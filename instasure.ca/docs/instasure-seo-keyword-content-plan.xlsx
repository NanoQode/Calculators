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Overview" sheetId="1" state="visible" r:id="rId1"/>
    <sheet name="Segment Summary" sheetId="2" state="visible" r:id="rId2"/>
    <sheet name="Pages" sheetId="3" state="visible" r:id="rId3"/>
    <sheet name="Page-Keyword Map" sheetId="4" state="visible" r:id="rId4"/>
    <sheet name="Nationwide KWs" sheetId="5" state="visible" r:id="rId5"/>
    <sheet name="Provincial KWs" sheetId="6" state="visible" r:id="rId6"/>
    <sheet name="City KWs" sheetId="7" state="visible" r:id="rId7"/>
    <sheet name="Backlog (Unmapped)" sheetId="8" state="visible" r:id="rId8"/>
    <sheet name="Blog Content Plan" sheetId="9" state="visible" r:id="rId9"/>
  </sheets>
  <definedNames>
    <definedName name="_xlnm._FilterDatabase" localSheetId="2" hidden="1">'Pages'!$A$1:$AC$829</definedName>
    <definedName name="_xlnm._FilterDatabase" localSheetId="3" hidden="1">'Page-Keyword Map'!$A$1:$P$675</definedName>
    <definedName name="_xlnm._FilterDatabase" localSheetId="4" hidden="1">'Nationwide KWs'!$A$1:$P$168</definedName>
    <definedName name="_xlnm._FilterDatabase" localSheetId="5" hidden="1">'Provincial KWs'!$A$1:$Q$137</definedName>
    <definedName name="_xlnm._FilterDatabase" localSheetId="6" hidden="1">'City KWs'!$A$1:$R$419</definedName>
    <definedName name="_xlnm._FilterDatabase" localSheetId="7" hidden="1">'Backlog (Unmapped)'!$A$1:$O$48</definedName>
    <definedName name="_xlnm._FilterDatabase" localSheetId="8" hidden="1">'Blog Content Plan'!$A$1:$AG$541</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0A1E33"/>
      <sz val="16"/>
    </font>
    <font>
      <name val="Arial"/>
      <charset val="1"/>
      <family val="0"/>
      <sz val="10"/>
    </font>
    <font>
      <name val="Arial"/>
      <charset val="1"/>
      <family val="0"/>
      <b val="1"/>
      <color rgb="FF006C46"/>
      <sz val="11"/>
    </font>
    <font>
      <name val="Arial"/>
      <charset val="1"/>
      <family val="0"/>
      <b val="1"/>
      <sz val="10"/>
    </font>
    <font>
      <name val="Arial"/>
      <charset val="1"/>
      <family val="0"/>
      <b val="1"/>
      <color rgb="FFFFFFFF"/>
      <sz val="10"/>
    </font>
    <font>
      <name val="Arial"/>
      <charset val="1"/>
      <family val="0"/>
      <i val="1"/>
      <color rgb="FF555555"/>
      <sz val="9"/>
    </font>
    <font>
      <name val="Arial"/>
      <family val="2"/>
      <sz val="10"/>
    </font>
    <font>
      <name val="Arial"/>
      <charset val="1"/>
      <family val="0"/>
      <color rgb="FF008000"/>
      <sz val="10"/>
    </font>
  </fonts>
  <fills count="5">
    <fill>
      <patternFill/>
    </fill>
    <fill>
      <patternFill patternType="gray125"/>
    </fill>
    <fill>
      <patternFill patternType="solid">
        <fgColor rgb="FFFFF2CC"/>
        <bgColor rgb="FFEEF3F8"/>
      </patternFill>
    </fill>
    <fill>
      <patternFill patternType="solid">
        <fgColor rgb="FF0A1E33"/>
        <bgColor rgb="FF003300"/>
      </patternFill>
    </fill>
    <fill>
      <patternFill patternType="solid">
        <fgColor rgb="FFEEF3F8"/>
        <bgColor rgb="FFFFFFFF"/>
      </patternFill>
    </fill>
  </fills>
  <borders count="2">
    <border>
      <left/>
      <right/>
      <top/>
      <bottom/>
      <diagonal/>
    </border>
    <border>
      <left/>
      <right/>
      <top style="thin">
        <color rgb="FFD0D7DE"/>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3"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3" borderId="0" applyAlignment="1" pivotButton="0" quotePrefix="0" xfId="0">
      <alignment horizontal="general" vertical="center" wrapText="1"/>
    </xf>
    <xf numFmtId="0" fontId="5" fillId="0" borderId="0" applyAlignment="1" pivotButton="0" quotePrefix="0" xfId="0">
      <alignment horizontal="general" vertical="bottom"/>
    </xf>
    <xf numFmtId="3" fontId="5" fillId="0" borderId="0" applyAlignment="1" pivotButton="0" quotePrefix="0" xfId="0">
      <alignment horizontal="general" vertical="bottom"/>
    </xf>
    <xf numFmtId="0" fontId="7" fillId="4" borderId="1" applyAlignment="1" pivotButton="0" quotePrefix="0" xfId="0">
      <alignment horizontal="general" vertical="bottom"/>
    </xf>
    <xf numFmtId="3" fontId="7" fillId="4" borderId="1" applyAlignment="1" pivotButton="0" quotePrefix="0" xfId="0">
      <alignment horizontal="general" vertical="bottom"/>
    </xf>
    <xf numFmtId="0" fontId="9" fillId="0" borderId="0" applyAlignment="1" pivotButton="0" quotePrefix="0" xfId="0">
      <alignment horizontal="general" vertical="bottom"/>
    </xf>
    <xf numFmtId="0" fontId="5" fillId="0" borderId="0" applyAlignment="1" pivotButton="0" quotePrefix="0" xfId="0">
      <alignment horizontal="general" vertical="top"/>
    </xf>
    <xf numFmtId="3" fontId="5" fillId="0" borderId="0" applyAlignment="1" pivotButton="0" quotePrefix="0" xfId="0">
      <alignment horizontal="general" vertical="top"/>
    </xf>
    <xf numFmtId="0" fontId="5" fillId="2" borderId="0" applyAlignment="1" pivotButton="0" quotePrefix="0" xfId="0">
      <alignment horizontal="general" vertical="top"/>
    </xf>
    <xf numFmtId="0" fontId="11" fillId="0" borderId="0" applyAlignment="1" pivotButton="0" quotePrefix="0" xfId="0">
      <alignment horizontal="general" vertical="top"/>
    </xf>
    <xf numFmtId="3" fontId="5" fillId="2" borderId="0" applyAlignment="1" pivotButton="0" quotePrefix="0" xfId="0">
      <alignment horizontal="general" vertical="top"/>
    </xf>
    <xf numFmtId="3" fontId="11"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3"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3" borderId="0" applyAlignment="1" pivotButton="0" quotePrefix="0" xfId="0">
      <alignment horizontal="general" vertical="center" wrapText="1"/>
    </xf>
    <xf numFmtId="0" fontId="5" fillId="0" borderId="0" applyAlignment="1" pivotButton="0" quotePrefix="0" xfId="0">
      <alignment horizontal="general" vertical="bottom"/>
    </xf>
    <xf numFmtId="3" fontId="5" fillId="0" borderId="0" applyAlignment="1" pivotButton="0" quotePrefix="0" xfId="0">
      <alignment horizontal="general" vertical="bottom"/>
    </xf>
    <xf numFmtId="0" fontId="7" fillId="4" borderId="1" applyAlignment="1" pivotButton="0" quotePrefix="0" xfId="0">
      <alignment horizontal="general" vertical="bottom"/>
    </xf>
    <xf numFmtId="3" fontId="7" fillId="4" borderId="1" applyAlignment="1" pivotButton="0" quotePrefix="0" xfId="0">
      <alignment horizontal="general" vertical="bottom"/>
    </xf>
    <xf numFmtId="0" fontId="9" fillId="0" borderId="0" applyAlignment="1" pivotButton="0" quotePrefix="0" xfId="0">
      <alignment horizontal="general" vertical="bottom"/>
    </xf>
    <xf numFmtId="0" fontId="5" fillId="0" borderId="0" applyAlignment="1" pivotButton="0" quotePrefix="0" xfId="0">
      <alignment horizontal="general" vertical="top"/>
    </xf>
    <xf numFmtId="3" fontId="5" fillId="0" borderId="0" applyAlignment="1" pivotButton="0" quotePrefix="0" xfId="0">
      <alignment horizontal="general" vertical="top"/>
    </xf>
    <xf numFmtId="0" fontId="5" fillId="2" borderId="0" applyAlignment="1" pivotButton="0" quotePrefix="0" xfId="0">
      <alignment horizontal="general" vertical="top"/>
    </xf>
    <xf numFmtId="0" fontId="11" fillId="0" borderId="0" applyAlignment="1" pivotButton="0" quotePrefix="0" xfId="0">
      <alignment horizontal="general" vertical="top"/>
    </xf>
    <xf numFmtId="3" fontId="5" fillId="2" borderId="0" applyAlignment="1" pivotButton="0" quotePrefix="0" xfId="0">
      <alignment horizontal="general" vertical="top"/>
    </xf>
    <xf numFmtId="3" fontId="11" fillId="0"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0A1E33"/>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C46"/>
      <rgbColor rgb="FFC0C0C0"/>
      <rgbColor rgb="FF7A8CA0"/>
      <rgbColor rgb="FF9999FF"/>
      <rgbColor rgb="FF993366"/>
      <rgbColor rgb="FFFFF2CC"/>
      <rgbColor rgb="FFEEF3F8"/>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A1E33"/>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Unknown Author</author>
  </authors>
  <commentList>
    <comment ref="K1" authorId="0" shapeId="0">
      <text>
        <t>Formula. Aim for 50–65 characters including the " | Instasure.ca" suffix.</t>
      </text>
    </comment>
    <comment ref="M1" authorId="0" shapeId="0">
      <text>
        <t>Formula. Aim for 140–160 characters.</t>
      </text>
    </comment>
    <comment ref="O1" authorId="0" shapeId="0">
      <text>
        <t>Highest-volume keyword from the keyword map that targets this page.</t>
      </text>
    </comment>
    <comment ref="R1" authorId="0" shapeId="0">
      <text>
        <t>Pattern keyword for pages with no mapped keyword yet (product + place, service head term or guide focus keyword). Add it to the keyword map with real volume when you validate it.</t>
      </text>
    </comment>
    <comment ref="S1" authorId="0" shapeId="0">
      <text>
        <t>Formula: rows on 'Page-Keyword Map' for this URL.</t>
      </text>
    </comment>
    <comment ref="Z1" authorId="0" shapeId="0">
      <text>
        <t>Which file under https://instasure.ca/sitemap.xml lists this URL. Noindex pages are deliberately left out of every sitemap.</t>
      </text>
    </comment>
    <comment ref="AA1" authorId="0" shapeId="0">
      <text>
        <t>Live – noindex pages are thin programmatic pages kept out of search until an editor enriches them (Admin → SEO → Page overrides).</t>
      </text>
    </comment>
  </commentList>
</comments>
</file>

<file path=xl/comments/comment2.xml><?xml version="1.0" encoding="utf-8"?>
<comments xmlns="http://schemas.openxmlformats.org/spreadsheetml/2006/main">
  <authors>
    <author>Unknown Author</author>
  </authors>
  <commentList>
    <comment ref="M1" authorId="0" shapeId="0">
      <text>
        <t>Primary = highest-volume keyword for the URL; use it in the title, H1 and first paragraph. Secondary keywords go in H2s, FAQ and body copy.</t>
      </text>
    </comment>
    <comment ref="N1" authorId="0" shapeId="0">
      <text>
        <t>Formula: looks up the page's title tag on the Pages tab.</t>
      </text>
    </comment>
  </commentList>
</comments>
</file>

<file path=xl/comments/comment3.xml><?xml version="1.0" encoding="utf-8"?>
<comments xmlns="http://schemas.openxmlformats.org/spreadsheetml/2006/main">
  <authors>
    <author>Unknown Author</author>
  </authors>
  <commentList>
    <comment ref="D1" authorId="0" shapeId="0">
      <text>
        <t>Modelled estimate (October 2026), not measured. Enter Keyword Planner data in the yellow column and re-sort.</t>
      </text>
    </comment>
    <comment ref="K1" authorId="0" shapeId="0">
      <text>
        <t>Formula: looks up the target page's title tag on the Pages tab.</t>
      </text>
    </comment>
    <comment ref="N1" authorId="0" shapeId="0">
      <text>
        <t>Fill in from Google Keyword Planner, Ahrefs or Semrush.</t>
      </text>
    </comment>
  </commentList>
</comments>
</file>

<file path=xl/comments/comment4.xml><?xml version="1.0" encoding="utf-8"?>
<comments xmlns="http://schemas.openxmlformats.org/spreadsheetml/2006/main">
  <authors>
    <author>Unknown Author</author>
  </authors>
  <commentList>
    <comment ref="E1" authorId="0" shapeId="0">
      <text>
        <t>Modelled estimate (October 2026), not measured. Enter Keyword Planner data in the yellow column and re-sort.</t>
      </text>
    </comment>
    <comment ref="L1" authorId="0" shapeId="0">
      <text>
        <t>Formula: looks up the target page's title tag on the Pages tab.</t>
      </text>
    </comment>
    <comment ref="O1" authorId="0" shapeId="0">
      <text>
        <t>Fill in from Google Keyword Planner, Ahrefs or Semrush.</t>
      </text>
    </comment>
  </commentList>
</comments>
</file>

<file path=xl/comments/comment5.xml><?xml version="1.0" encoding="utf-8"?>
<comments xmlns="http://schemas.openxmlformats.org/spreadsheetml/2006/main">
  <authors>
    <author>Unknown Author</author>
  </authors>
  <commentList>
    <comment ref="F1" authorId="0" shapeId="0">
      <text>
        <t>Modelled estimate (October 2026), not measured. Enter Keyword Planner data in the yellow column and re-sort.</t>
      </text>
    </comment>
    <comment ref="M1" authorId="0" shapeId="0">
      <text>
        <t>Formula: looks up the target page's title tag on the Pages tab.</t>
      </text>
    </comment>
    <comment ref="P1" authorId="0" shapeId="0">
      <text>
        <t>Fill in from Google Keyword Planner, Ahrefs or Semrush.</t>
      </text>
    </comment>
  </commentList>
</comments>
</file>

<file path=xl/comments/comment6.xml><?xml version="1.0" encoding="utf-8"?>
<comments xmlns="http://schemas.openxmlformats.org/spreadsheetml/2006/main">
  <authors>
    <author>Unknown Author</author>
  </authors>
  <commentList>
    <comment ref="B1" authorId="0" shapeId="0">
      <text>
        <t>Planned → Writing → In review → Published. Published rows are the 18 launch guides already live.</t>
      </text>
    </comment>
    <comment ref="I1" authorId="0" shapeId="0">
      <text>
        <t>Formula: modelled volume if the focus keyword is in the keyword map (Nationwide, Provincial or City tab); blank otherwise.</t>
      </text>
    </comment>
    <comment ref="J1" authorId="0" shapeId="0">
      <text>
        <t>Writer estimate: High &gt;2,000/mo, Medium 500–2,000, Low 100–500, Niche &lt;100. Validate in Keyword Planner.</t>
      </text>
    </comment>
    <comment ref="O1" authorId="0" shapeId="0">
      <text>
        <t>Without the " | Instasure.ca" suffix, which the site adds when it fits. Aim for 45–60 characters.</t>
      </text>
    </comment>
    <comment ref="Q1" authorId="0" shapeId="0">
      <text>
        <t>Aim for 140–155 characters.</t>
      </text>
    </comment>
    <comment ref="S1" authorId="0" shapeId="0">
      <text>
        <t>Formula. "Check" means the exact phrase is not in the title; a close variant may be fine.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filterMode="0">
    <tabColor rgb="FF0A1E33"/>
    <outlinePr summaryBelow="1" summaryRight="1"/>
    <pageSetUpPr fitToPage="0"/>
  </sheetPr>
  <dimension ref="A1:C3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4" customWidth="1" style="21" min="1" max="1"/>
    <col width="16" customWidth="1" style="21" min="2" max="2"/>
    <col width="90" customWidth="1" style="21" min="3" max="3"/>
  </cols>
  <sheetData>
    <row r="1" ht="35.8" customHeight="1" s="22">
      <c r="A1" s="23" t="inlineStr">
        <is>
          <t>instasure.ca: SEO keyword, page and content plan</t>
        </is>
      </c>
      <c r="B1" s="24" t="n"/>
      <c r="C1" s="24" t="n"/>
    </row>
    <row r="2" ht="46.25" customHeight="1" s="22">
      <c r="A2" s="25" t="inlineStr">
        <is>
          <t>Built from the October 2026 competitor research (Ratehub, Rates.ca, PolicyAdvisor, Sun Life, Manulife, Sonnet) and the live site at https://instasure.ca. Generated October 3, 2026.</t>
        </is>
      </c>
      <c r="B2" s="24" t="n"/>
      <c r="C2" s="24" t="n"/>
    </row>
    <row r="3" ht="15" customHeight="1" s="22">
      <c r="A3" s="24" t="n"/>
      <c r="B3" s="24" t="n"/>
      <c r="C3" s="24" t="n"/>
    </row>
    <row r="4" ht="15" customHeight="1" s="22">
      <c r="A4" s="26" t="inlineStr">
        <is>
          <t>At a glance</t>
        </is>
      </c>
      <c r="B4" s="24" t="n"/>
      <c r="C4" s="24" t="n"/>
    </row>
    <row r="5" ht="15" customHeight="1" s="22">
      <c r="A5" s="25" t="inlineStr">
        <is>
          <t>Pages on the site</t>
        </is>
      </c>
      <c r="B5" s="27">
        <f>COUNTA(Pages!$B$2:$B$829)</f>
        <v/>
      </c>
      <c r="C5" s="25" t="inlineStr">
        <is>
          <t>All URLs the site serves (Pages tab).</t>
        </is>
      </c>
    </row>
    <row r="6" ht="15" customHeight="1" s="22">
      <c r="A6" s="25" t="inlineStr">
        <is>
          <t>Indexable pages</t>
        </is>
      </c>
      <c r="B6" s="27">
        <f>COUNTIF(Pages!$I$2:$I$829,"Yes")</f>
        <v/>
      </c>
      <c r="C6" s="25" t="inlineStr">
        <is>
          <t>In the XML sitemap and open to search engines.</t>
        </is>
      </c>
    </row>
    <row r="7" ht="15" customHeight="1" s="22">
      <c r="A7" s="25" t="inlineStr">
        <is>
          <t>Noindex pages to enrich</t>
        </is>
      </c>
      <c r="B7" s="27">
        <f>COUNTIF(Pages!$I$2:$I$829,"No")</f>
        <v/>
      </c>
      <c r="C7" s="25" t="inlineStr">
        <is>
          <t>Thin programmatic pages kept out of search until an editor adds local content.</t>
        </is>
      </c>
    </row>
    <row r="8" ht="15" customHeight="1" s="22">
      <c r="A8" s="25" t="inlineStr">
        <is>
          <t>Keywords in the map</t>
        </is>
      </c>
      <c r="B8" s="27">
        <f>COUNTA('Nationwide KWs'!$A$2:$A$168)+COUNTA('Provincial KWs'!$A$2:$A$137)+COUNTA('City KWs'!$A$2:$A$419)</f>
        <v/>
      </c>
      <c r="C8" s="25" t="inlineStr">
        <is>
          <t>Nationwide + Provincial + City tabs.</t>
        </is>
      </c>
    </row>
    <row r="9" ht="15" customHeight="1" s="22">
      <c r="A9" s="25" t="inlineStr">
        <is>
          <t xml:space="preserve">  Nationwide keywords</t>
        </is>
      </c>
      <c r="B9" s="27">
        <f>COUNTA('Nationwide KWs'!$A$2:$A$168)</f>
        <v/>
      </c>
      <c r="C9" s="25" t="inlineStr">
        <is>
          <t>Canada-wide head terms and topics.</t>
        </is>
      </c>
    </row>
    <row r="10" ht="15" customHeight="1" s="22">
      <c r="A10" s="25" t="inlineStr">
        <is>
          <t xml:space="preserve">  Provincial keywords</t>
        </is>
      </c>
      <c r="B10" s="27">
        <f>COUNTA('Provincial KWs'!$A$2:$A$137)</f>
        <v/>
      </c>
      <c r="C10" s="25" t="inlineStr">
        <is>
          <t>Product + province, regulation and French (Quebec, planned).</t>
        </is>
      </c>
    </row>
    <row r="11" ht="15" customHeight="1" s="22">
      <c r="A11" s="25" t="inlineStr">
        <is>
          <t xml:space="preserve">  City keywords</t>
        </is>
      </c>
      <c r="B11" s="27">
        <f>COUNTA('City KWs'!$A$2:$A$419)</f>
        <v/>
      </c>
      <c r="C11" s="25" t="inlineStr">
        <is>
          <t>Product + city, GTA sub-areas and French cities (planned).</t>
        </is>
      </c>
    </row>
    <row r="12" ht="15" customHeight="1" s="22">
      <c r="A12" s="25" t="inlineStr">
        <is>
          <t>Modelled search volume / mo</t>
        </is>
      </c>
      <c r="B12" s="27">
        <f>SUM('Nationwide KWs'!$D$2:$D$168)+SUM('Provincial KWs'!$E$2:$E$137)+SUM('City KWs'!$F$2:$F$419)</f>
        <v/>
      </c>
      <c r="C12" s="25" t="inlineStr">
        <is>
          <t>Sum of modelled monthly searches. Use to order work, not to forecast traffic.</t>
        </is>
      </c>
    </row>
    <row r="13" ht="15" customHeight="1" s="22">
      <c r="A13" s="25" t="inlineStr">
        <is>
          <t>Keywords mapped to a live page</t>
        </is>
      </c>
      <c r="B13" s="27">
        <f>COUNTA('Page-Keyword Map'!$D$2:$D$675)</f>
        <v/>
      </c>
      <c r="C13" s="25" t="inlineStr">
        <is>
          <t>Rows on the Page-Keyword Map tab.</t>
        </is>
      </c>
    </row>
    <row r="14" ht="15" customHeight="1" s="22">
      <c r="A14" s="25" t="inlineStr">
        <is>
          <t>Keywords in the backlog</t>
        </is>
      </c>
      <c r="B14" s="27">
        <f>COUNTA('Backlog (Unmapped)'!$A$2:$A$48)</f>
        <v/>
      </c>
      <c r="C14" s="25" t="inlineStr">
        <is>
          <t>No page yet: planned URLs and blocked items (e.g. French Quebec).</t>
        </is>
      </c>
    </row>
    <row r="15" ht="15" customHeight="1" s="22">
      <c r="A15" s="25" t="inlineStr">
        <is>
          <t>Blog topics planned</t>
        </is>
      </c>
      <c r="B15" s="27">
        <f>COUNTIF('Blog Content Plan'!$B$2:$B$541,"&lt;&gt;Published")</f>
        <v/>
      </c>
      <c r="C15" s="25" t="inlineStr">
        <is>
          <t>Blog Content Plan tab (last tab).</t>
        </is>
      </c>
    </row>
    <row r="16" ht="15" customHeight="1" s="22">
      <c r="A16" s="25" t="inlineStr">
        <is>
          <t xml:space="preserve">  Priority 1 topics</t>
        </is>
      </c>
      <c r="B16" s="27">
        <f>COUNTIFS('Blog Content Plan'!$C$2:$C$541,1,'Blog Content Plan'!$B$2:$B$541,"&lt;&gt;Published")</f>
        <v/>
      </c>
      <c r="C16" s="25" t="inlineStr">
        <is>
          <t>Write these first.</t>
        </is>
      </c>
    </row>
    <row r="17" ht="15" customHeight="1" s="22">
      <c r="A17" s="25" t="inlineStr">
        <is>
          <t>Blog posts published</t>
        </is>
      </c>
      <c r="B17" s="27">
        <f>COUNTIF('Blog Content Plan'!$B$2:$B$541,"Published")</f>
        <v/>
      </c>
      <c r="C17" s="25" t="inlineStr">
        <is>
          <t>The 18 launch guides, plus any you mark Published.</t>
        </is>
      </c>
    </row>
    <row r="18" ht="15" customHeight="1" s="22">
      <c r="A18" s="24" t="n"/>
      <c r="B18" s="24" t="n"/>
      <c r="C18" s="24" t="n"/>
    </row>
    <row r="19" ht="15" customHeight="1" s="22">
      <c r="A19" s="26" t="inlineStr">
        <is>
          <t>Tabs</t>
        </is>
      </c>
      <c r="B19" s="24" t="n"/>
      <c r="C19" s="24" t="n"/>
    </row>
    <row r="20" ht="15" customHeight="1" s="22">
      <c r="A20" s="28" t="inlineStr">
        <is>
          <t>Segment Summary</t>
        </is>
      </c>
      <c r="B20" s="25" t="inlineStr">
        <is>
          <t>Pages, keywords (by level), volume, backlog and blog topics for each insurance segment.</t>
        </is>
      </c>
    </row>
    <row r="21" ht="15" customHeight="1" s="22">
      <c r="A21" s="28" t="inlineStr">
        <is>
          <t>Pages</t>
        </is>
      </c>
      <c r="B21" s="25" t="inlineStr">
        <is>
          <t>Every URL: type, segment, place, indexable, title tag, meta description, H1, primary keyword, keyword counts by level.</t>
        </is>
      </c>
    </row>
    <row r="22" ht="15" customHeight="1" s="22">
      <c r="A22" s="28" t="inlineStr">
        <is>
          <t>Page-Keyword Map</t>
        </is>
      </c>
      <c r="B22" s="25" t="inlineStr">
        <is>
          <t>One row per keyword per target page. Primary keyword goes in the title, H1 and first paragraph; secondary keywords in H2s, FAQ and body.</t>
        </is>
      </c>
    </row>
    <row r="23" ht="15" customHeight="1" s="22">
      <c r="A23" s="28" t="inlineStr">
        <is>
          <t>Nationwide KWs</t>
        </is>
      </c>
      <c r="B23" s="25" t="inlineStr">
        <is>
          <t>Canada-wide keywords, highest volume first.</t>
        </is>
      </c>
    </row>
    <row r="24" ht="15" customHeight="1" s="22">
      <c r="A24" s="28" t="inlineStr">
        <is>
          <t>Provincial KWs</t>
        </is>
      </c>
      <c r="B24" s="25" t="inlineStr">
        <is>
          <t>Province-level keywords, highest volume first.</t>
        </is>
      </c>
    </row>
    <row r="25" ht="15" customHeight="1" s="22">
      <c r="A25" s="28" t="inlineStr">
        <is>
          <t>City KWs</t>
        </is>
      </c>
      <c r="B25" s="25" t="inlineStr">
        <is>
          <t>City-level keywords, highest volume first.</t>
        </is>
      </c>
    </row>
    <row r="26" ht="15" customHeight="1" s="22">
      <c r="A26" s="28" t="inlineStr">
        <is>
          <t>Backlog (Unmapped)</t>
        </is>
      </c>
      <c r="B26" s="25" t="inlineStr">
        <is>
          <t>Keywords with no page yet, with the planned URL where one is set.</t>
        </is>
      </c>
    </row>
    <row r="27" ht="23.85" customHeight="1" s="22">
      <c r="A27" s="28" t="inlineStr">
        <is>
          <t>Blog Content Plan</t>
        </is>
      </c>
      <c r="B27" s="25" t="inlineStr">
        <is>
          <t>Exhaustive blog topic list per insurance segment from the competitor research: title, URL, focus and secondary keywords, meta title and description, H2 outline, FAQ, value asset, internal links, CTA, schema, competitor gap, optimization and compliance instructions.</t>
        </is>
      </c>
    </row>
    <row r="28" ht="15" customHeight="1" s="22">
      <c r="A28" s="24" t="n"/>
      <c r="B28" s="24" t="n"/>
      <c r="C28" s="24" t="n"/>
    </row>
    <row r="29" ht="15" customHeight="1" s="22">
      <c r="A29" s="26" t="inlineStr">
        <is>
          <t>How to use</t>
        </is>
      </c>
      <c r="B29" s="24" t="n"/>
      <c r="C29" s="24" t="n"/>
    </row>
    <row r="30" ht="15" customHeight="1" s="22">
      <c r="A30" s="29" t="inlineStr">
        <is>
          <t>Yellow cells</t>
        </is>
      </c>
      <c r="B30" s="25" t="inlineStr">
        <is>
          <t>Fill these in: status, owner, dates, measured volume, current rank. Everything else is data or a formula.</t>
        </is>
      </c>
    </row>
    <row r="31" ht="15" customHeight="1" s="22">
      <c r="A31" s="28" t="inlineStr">
        <is>
          <t>Formulas</t>
        </is>
      </c>
      <c r="B31" s="25" t="inlineStr">
        <is>
          <t>Counts, lengths, lookups and "keyword in title?" checks recalculate when you edit the sheet.</t>
        </is>
      </c>
    </row>
    <row r="32" ht="23.85" customHeight="1" s="22">
      <c r="A32" s="28" t="inlineStr">
        <is>
          <t>Volumes</t>
        </is>
      </c>
      <c r="B32" s="25" t="inlineStr">
        <is>
          <t>Modelled estimates (October 2026), not measured. Import Keyword Planner, Ahrefs or Semrush data into the yellow "Measured volume" columns, and into Admin → SEO → Keyword map on the site.</t>
        </is>
      </c>
    </row>
    <row r="33" ht="15" customHeight="1" s="22">
      <c r="A33" s="28" t="inlineStr">
        <is>
          <t>Levels</t>
        </is>
      </c>
      <c r="B33" s="25" t="inlineStr">
        <is>
          <t>Nationwide = Canada-wide query. Provincial = names a province or a provincial system (ICBC, FSRA, Care-First). City = names a city or GTA sub-area.</t>
        </is>
      </c>
    </row>
    <row r="34" ht="15" customHeight="1" s="22">
      <c r="A34" s="28" t="inlineStr">
        <is>
          <t>Priority</t>
        </is>
      </c>
      <c r="B34" s="25" t="inlineStr">
        <is>
          <t>1 = do first. Weighs lead value, volume, competitor gap and serviceability. Quebec stays at 3 or lower until AMF registration and French pages exist.</t>
        </is>
      </c>
    </row>
    <row r="35" ht="23.85" customHeight="1" s="22">
      <c r="A35" s="28" t="inlineStr">
        <is>
          <t>Publishing a blog</t>
        </is>
      </c>
      <c r="B35" s="25" t="inlineStr">
        <is>
          <t>Admin → Content on instasure.ca: paste the meta title, meta description and focus keyword from the Blog Content Plan, add the FAQ, sources and a licensed reviewer, then mark the row Published.</t>
        </is>
      </c>
    </row>
    <row r="36" ht="23.85" customHeight="1" s="22">
      <c r="A36" s="28" t="inlineStr">
        <is>
          <t>Compliance</t>
        </is>
      </c>
      <c r="B36" s="25" t="inlineStr">
        <is>
          <t>No "best", "cheapest" or "lowest" claims without a published methodology; estimates are labelled as estimates; verify every fact flagged in the Compliance column against the primary source (see docs/CONTENT_REVIEW.md in the repo).</t>
        </is>
      </c>
    </row>
    <row r="37" ht="15" customHeight="1" s="22">
      <c r="A37" s="28" t="inlineStr">
        <is>
          <t>Source files</t>
        </is>
      </c>
      <c r="B37" s="25" t="inlineStr">
        <is>
          <t>Repo NanoQode/Calculators → instasure.ca/docs: STRATEGY.md, SITE_REVIEW.md, KEYWORDS.md, keywords.csv, CONTENT_REVIEW.md, research/*.md.</t>
        </is>
      </c>
    </row>
  </sheetData>
  <mergeCells count="16">
    <mergeCell ref="B24:C24"/>
    <mergeCell ref="B21:C21"/>
    <mergeCell ref="B30:C30"/>
    <mergeCell ref="B33:C33"/>
    <mergeCell ref="B25:C25"/>
    <mergeCell ref="B20:C20"/>
    <mergeCell ref="B34:C34"/>
    <mergeCell ref="B37:C37"/>
    <mergeCell ref="B23:C23"/>
    <mergeCell ref="B22:C22"/>
    <mergeCell ref="B36:C36"/>
    <mergeCell ref="B32:C32"/>
    <mergeCell ref="B31:C31"/>
    <mergeCell ref="B26:C26"/>
    <mergeCell ref="B27:C27"/>
    <mergeCell ref="B35:C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A1E33"/>
    <outlinePr summaryBelow="1" summaryRight="1"/>
    <pageSetUpPr fitToPage="0"/>
  </sheetPr>
  <dimension ref="A1:N2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32" customWidth="1" style="21" min="1" max="1"/>
    <col width="13" customWidth="1" style="21" min="2" max="14"/>
  </cols>
  <sheetData>
    <row r="1" ht="45" customHeight="1" s="22">
      <c r="A1" s="30" t="inlineStr">
        <is>
          <t>Insurance segment</t>
        </is>
      </c>
      <c r="B1" s="30" t="inlineStr">
        <is>
          <t>Pages (all)</t>
        </is>
      </c>
      <c r="C1" s="30" t="inlineStr">
        <is>
          <t>Indexable pages</t>
        </is>
      </c>
      <c r="D1" s="30" t="inlineStr">
        <is>
          <t>Nationwide keywords</t>
        </is>
      </c>
      <c r="E1" s="30" t="inlineStr">
        <is>
          <t>Nationwide volume / mo</t>
        </is>
      </c>
      <c r="F1" s="30" t="inlineStr">
        <is>
          <t>Provincial keywords</t>
        </is>
      </c>
      <c r="G1" s="30" t="inlineStr">
        <is>
          <t>Provincial volume / mo</t>
        </is>
      </c>
      <c r="H1" s="30" t="inlineStr">
        <is>
          <t>City keywords</t>
        </is>
      </c>
      <c r="I1" s="30" t="inlineStr">
        <is>
          <t>City volume / mo</t>
        </is>
      </c>
      <c r="J1" s="30" t="inlineStr">
        <is>
          <t>Total keyword volume / mo</t>
        </is>
      </c>
      <c r="K1" s="30" t="inlineStr">
        <is>
          <t>Unmapped keywords (backlog)</t>
        </is>
      </c>
      <c r="L1" s="30" t="inlineStr">
        <is>
          <t>Blog topics planned</t>
        </is>
      </c>
      <c r="M1" s="30" t="inlineStr">
        <is>
          <t>Priority 1 topics</t>
        </is>
      </c>
      <c r="N1" s="30" t="inlineStr">
        <is>
          <t>Blog posts published</t>
        </is>
      </c>
    </row>
    <row r="2" ht="15" customHeight="1" s="22">
      <c r="A2" s="31" t="inlineStr">
        <is>
          <t>Life insurance</t>
        </is>
      </c>
      <c r="B2" s="32">
        <f>COUNTIF(Pages!$D$2:$D$829,$A2)</f>
        <v/>
      </c>
      <c r="C2" s="32">
        <f>COUNTIFS(Pages!$D$2:$D$829,$A2,Pages!$I$2:$I$829,"Yes")</f>
        <v/>
      </c>
      <c r="D2" s="32">
        <f>COUNTIF('Nationwide KWs'!$B$2:$B$168,$A2)</f>
        <v/>
      </c>
      <c r="E2" s="32">
        <f>SUMIF('Nationwide KWs'!$B$2:$B$168,$A2,'Nationwide KWs'!$D$2:$D$168)</f>
        <v/>
      </c>
      <c r="F2" s="32">
        <f>COUNTIF('Provincial KWs'!$B$2:$B$137,$A2)</f>
        <v/>
      </c>
      <c r="G2" s="32">
        <f>SUMIF('Provincial KWs'!$B$2:$B$137,$A2,'Provincial KWs'!$E$2:$E$137)</f>
        <v/>
      </c>
      <c r="H2" s="32">
        <f>COUNTIF('City KWs'!$B$2:$B$419,$A2)</f>
        <v/>
      </c>
      <c r="I2" s="32">
        <f>SUMIF('City KWs'!$B$2:$B$419,$A2,'City KWs'!$F$2:$F$419)</f>
        <v/>
      </c>
      <c r="J2" s="32">
        <f>E2+G2+I2</f>
        <v/>
      </c>
      <c r="K2" s="32">
        <f>COUNTIF('Backlog (Unmapped)'!$C$2:$C$48,$A2)</f>
        <v/>
      </c>
      <c r="L2" s="32">
        <f>COUNTIFS('Blog Content Plan'!$D$2:$D$541,$A2,'Blog Content Plan'!$B$2:$B$541,"&lt;&gt;Published")</f>
        <v/>
      </c>
      <c r="M2" s="32">
        <f>COUNTIFS('Blog Content Plan'!$D$2:$D$541,$A2,'Blog Content Plan'!$C$2:$C$541,1,'Blog Content Plan'!$B$2:$B$541,"&lt;&gt;Published")</f>
        <v/>
      </c>
      <c r="N2" s="32">
        <f>COUNTIFS('Blog Content Plan'!$D$2:$D$541,$A2,'Blog Content Plan'!$B$2:$B$541,"Published")</f>
        <v/>
      </c>
    </row>
    <row r="3" ht="15" customHeight="1" s="22">
      <c r="A3" s="31" t="inlineStr">
        <is>
          <t>Mortgage protection</t>
        </is>
      </c>
      <c r="B3" s="32">
        <f>COUNTIF(Pages!$D$2:$D$829,$A3)</f>
        <v/>
      </c>
      <c r="C3" s="32">
        <f>COUNTIFS(Pages!$D$2:$D$829,$A3,Pages!$I$2:$I$829,"Yes")</f>
        <v/>
      </c>
      <c r="D3" s="32">
        <f>COUNTIF('Nationwide KWs'!$B$2:$B$168,$A3)</f>
        <v/>
      </c>
      <c r="E3" s="32">
        <f>SUMIF('Nationwide KWs'!$B$2:$B$168,$A3,'Nationwide KWs'!$D$2:$D$168)</f>
        <v/>
      </c>
      <c r="F3" s="32">
        <f>COUNTIF('Provincial KWs'!$B$2:$B$137,$A3)</f>
        <v/>
      </c>
      <c r="G3" s="32">
        <f>SUMIF('Provincial KWs'!$B$2:$B$137,$A3,'Provincial KWs'!$E$2:$E$137)</f>
        <v/>
      </c>
      <c r="H3" s="32">
        <f>COUNTIF('City KWs'!$B$2:$B$419,$A3)</f>
        <v/>
      </c>
      <c r="I3" s="32">
        <f>SUMIF('City KWs'!$B$2:$B$419,$A3,'City KWs'!$F$2:$F$419)</f>
        <v/>
      </c>
      <c r="J3" s="32">
        <f>E3+G3+I3</f>
        <v/>
      </c>
      <c r="K3" s="32">
        <f>COUNTIF('Backlog (Unmapped)'!$C$2:$C$48,$A3)</f>
        <v/>
      </c>
      <c r="L3" s="32">
        <f>COUNTIFS('Blog Content Plan'!$D$2:$D$541,$A3,'Blog Content Plan'!$B$2:$B$541,"&lt;&gt;Published")</f>
        <v/>
      </c>
      <c r="M3" s="32">
        <f>COUNTIFS('Blog Content Plan'!$D$2:$D$541,$A3,'Blog Content Plan'!$C$2:$C$541,1,'Blog Content Plan'!$B$2:$B$541,"&lt;&gt;Published")</f>
        <v/>
      </c>
      <c r="N3" s="32">
        <f>COUNTIFS('Blog Content Plan'!$D$2:$D$541,$A3,'Blog Content Plan'!$B$2:$B$541,"Published")</f>
        <v/>
      </c>
    </row>
    <row r="4" ht="15" customHeight="1" s="22">
      <c r="A4" s="31" t="inlineStr">
        <is>
          <t>Critical illness insurance</t>
        </is>
      </c>
      <c r="B4" s="32">
        <f>COUNTIF(Pages!$D$2:$D$829,$A4)</f>
        <v/>
      </c>
      <c r="C4" s="32">
        <f>COUNTIFS(Pages!$D$2:$D$829,$A4,Pages!$I$2:$I$829,"Yes")</f>
        <v/>
      </c>
      <c r="D4" s="32">
        <f>COUNTIF('Nationwide KWs'!$B$2:$B$168,$A4)</f>
        <v/>
      </c>
      <c r="E4" s="32">
        <f>SUMIF('Nationwide KWs'!$B$2:$B$168,$A4,'Nationwide KWs'!$D$2:$D$168)</f>
        <v/>
      </c>
      <c r="F4" s="32">
        <f>COUNTIF('Provincial KWs'!$B$2:$B$137,$A4)</f>
        <v/>
      </c>
      <c r="G4" s="32">
        <f>SUMIF('Provincial KWs'!$B$2:$B$137,$A4,'Provincial KWs'!$E$2:$E$137)</f>
        <v/>
      </c>
      <c r="H4" s="32">
        <f>COUNTIF('City KWs'!$B$2:$B$419,$A4)</f>
        <v/>
      </c>
      <c r="I4" s="32">
        <f>SUMIF('City KWs'!$B$2:$B$419,$A4,'City KWs'!$F$2:$F$419)</f>
        <v/>
      </c>
      <c r="J4" s="32">
        <f>E4+G4+I4</f>
        <v/>
      </c>
      <c r="K4" s="32">
        <f>COUNTIF('Backlog (Unmapped)'!$C$2:$C$48,$A4)</f>
        <v/>
      </c>
      <c r="L4" s="32">
        <f>COUNTIFS('Blog Content Plan'!$D$2:$D$541,$A4,'Blog Content Plan'!$B$2:$B$541,"&lt;&gt;Published")</f>
        <v/>
      </c>
      <c r="M4" s="32">
        <f>COUNTIFS('Blog Content Plan'!$D$2:$D$541,$A4,'Blog Content Plan'!$C$2:$C$541,1,'Blog Content Plan'!$B$2:$B$541,"&lt;&gt;Published")</f>
        <v/>
      </c>
      <c r="N4" s="32">
        <f>COUNTIFS('Blog Content Plan'!$D$2:$D$541,$A4,'Blog Content Plan'!$B$2:$B$541,"Published")</f>
        <v/>
      </c>
    </row>
    <row r="5" ht="15" customHeight="1" s="22">
      <c r="A5" s="31" t="inlineStr">
        <is>
          <t>Disability insurance</t>
        </is>
      </c>
      <c r="B5" s="32">
        <f>COUNTIF(Pages!$D$2:$D$829,$A5)</f>
        <v/>
      </c>
      <c r="C5" s="32">
        <f>COUNTIFS(Pages!$D$2:$D$829,$A5,Pages!$I$2:$I$829,"Yes")</f>
        <v/>
      </c>
      <c r="D5" s="32">
        <f>COUNTIF('Nationwide KWs'!$B$2:$B$168,$A5)</f>
        <v/>
      </c>
      <c r="E5" s="32">
        <f>SUMIF('Nationwide KWs'!$B$2:$B$168,$A5,'Nationwide KWs'!$D$2:$D$168)</f>
        <v/>
      </c>
      <c r="F5" s="32">
        <f>COUNTIF('Provincial KWs'!$B$2:$B$137,$A5)</f>
        <v/>
      </c>
      <c r="G5" s="32">
        <f>SUMIF('Provincial KWs'!$B$2:$B$137,$A5,'Provincial KWs'!$E$2:$E$137)</f>
        <v/>
      </c>
      <c r="H5" s="32">
        <f>COUNTIF('City KWs'!$B$2:$B$419,$A5)</f>
        <v/>
      </c>
      <c r="I5" s="32">
        <f>SUMIF('City KWs'!$B$2:$B$419,$A5,'City KWs'!$F$2:$F$419)</f>
        <v/>
      </c>
      <c r="J5" s="32">
        <f>E5+G5+I5</f>
        <v/>
      </c>
      <c r="K5" s="32">
        <f>COUNTIF('Backlog (Unmapped)'!$C$2:$C$48,$A5)</f>
        <v/>
      </c>
      <c r="L5" s="32">
        <f>COUNTIFS('Blog Content Plan'!$D$2:$D$541,$A5,'Blog Content Plan'!$B$2:$B$541,"&lt;&gt;Published")</f>
        <v/>
      </c>
      <c r="M5" s="32">
        <f>COUNTIFS('Blog Content Plan'!$D$2:$D$541,$A5,'Blog Content Plan'!$C$2:$C$541,1,'Blog Content Plan'!$B$2:$B$541,"&lt;&gt;Published")</f>
        <v/>
      </c>
      <c r="N5" s="32">
        <f>COUNTIFS('Blog Content Plan'!$D$2:$D$541,$A5,'Blog Content Plan'!$B$2:$B$541,"Published")</f>
        <v/>
      </c>
    </row>
    <row r="6" ht="15" customHeight="1" s="22">
      <c r="A6" s="31" t="inlineStr">
        <is>
          <t>Health &amp; dental insurance</t>
        </is>
      </c>
      <c r="B6" s="32">
        <f>COUNTIF(Pages!$D$2:$D$829,$A6)</f>
        <v/>
      </c>
      <c r="C6" s="32">
        <f>COUNTIFS(Pages!$D$2:$D$829,$A6,Pages!$I$2:$I$829,"Yes")</f>
        <v/>
      </c>
      <c r="D6" s="32">
        <f>COUNTIF('Nationwide KWs'!$B$2:$B$168,$A6)</f>
        <v/>
      </c>
      <c r="E6" s="32">
        <f>SUMIF('Nationwide KWs'!$B$2:$B$168,$A6,'Nationwide KWs'!$D$2:$D$168)</f>
        <v/>
      </c>
      <c r="F6" s="32">
        <f>COUNTIF('Provincial KWs'!$B$2:$B$137,$A6)</f>
        <v/>
      </c>
      <c r="G6" s="32">
        <f>SUMIF('Provincial KWs'!$B$2:$B$137,$A6,'Provincial KWs'!$E$2:$E$137)</f>
        <v/>
      </c>
      <c r="H6" s="32">
        <f>COUNTIF('City KWs'!$B$2:$B$419,$A6)</f>
        <v/>
      </c>
      <c r="I6" s="32">
        <f>SUMIF('City KWs'!$B$2:$B$419,$A6,'City KWs'!$F$2:$F$419)</f>
        <v/>
      </c>
      <c r="J6" s="32">
        <f>E6+G6+I6</f>
        <v/>
      </c>
      <c r="K6" s="32">
        <f>COUNTIF('Backlog (Unmapped)'!$C$2:$C$48,$A6)</f>
        <v/>
      </c>
      <c r="L6" s="32">
        <f>COUNTIFS('Blog Content Plan'!$D$2:$D$541,$A6,'Blog Content Plan'!$B$2:$B$541,"&lt;&gt;Published")</f>
        <v/>
      </c>
      <c r="M6" s="32">
        <f>COUNTIFS('Blog Content Plan'!$D$2:$D$541,$A6,'Blog Content Plan'!$C$2:$C$541,1,'Blog Content Plan'!$B$2:$B$541,"&lt;&gt;Published")</f>
        <v/>
      </c>
      <c r="N6" s="32">
        <f>COUNTIFS('Blog Content Plan'!$D$2:$D$541,$A6,'Blog Content Plan'!$B$2:$B$541,"Published")</f>
        <v/>
      </c>
    </row>
    <row r="7" ht="15" customHeight="1" s="22">
      <c r="A7" s="31" t="inlineStr">
        <is>
          <t>Group benefits</t>
        </is>
      </c>
      <c r="B7" s="32">
        <f>COUNTIF(Pages!$D$2:$D$829,$A7)</f>
        <v/>
      </c>
      <c r="C7" s="32">
        <f>COUNTIFS(Pages!$D$2:$D$829,$A7,Pages!$I$2:$I$829,"Yes")</f>
        <v/>
      </c>
      <c r="D7" s="32">
        <f>COUNTIF('Nationwide KWs'!$B$2:$B$168,$A7)</f>
        <v/>
      </c>
      <c r="E7" s="32">
        <f>SUMIF('Nationwide KWs'!$B$2:$B$168,$A7,'Nationwide KWs'!$D$2:$D$168)</f>
        <v/>
      </c>
      <c r="F7" s="32">
        <f>COUNTIF('Provincial KWs'!$B$2:$B$137,$A7)</f>
        <v/>
      </c>
      <c r="G7" s="32">
        <f>SUMIF('Provincial KWs'!$B$2:$B$137,$A7,'Provincial KWs'!$E$2:$E$137)</f>
        <v/>
      </c>
      <c r="H7" s="32">
        <f>COUNTIF('City KWs'!$B$2:$B$419,$A7)</f>
        <v/>
      </c>
      <c r="I7" s="32">
        <f>SUMIF('City KWs'!$B$2:$B$419,$A7,'City KWs'!$F$2:$F$419)</f>
        <v/>
      </c>
      <c r="J7" s="32">
        <f>E7+G7+I7</f>
        <v/>
      </c>
      <c r="K7" s="32">
        <f>COUNTIF('Backlog (Unmapped)'!$C$2:$C$48,$A7)</f>
        <v/>
      </c>
      <c r="L7" s="32">
        <f>COUNTIFS('Blog Content Plan'!$D$2:$D$541,$A7,'Blog Content Plan'!$B$2:$B$541,"&lt;&gt;Published")</f>
        <v/>
      </c>
      <c r="M7" s="32">
        <f>COUNTIFS('Blog Content Plan'!$D$2:$D$541,$A7,'Blog Content Plan'!$C$2:$C$541,1,'Blog Content Plan'!$B$2:$B$541,"&lt;&gt;Published")</f>
        <v/>
      </c>
      <c r="N7" s="32">
        <f>COUNTIFS('Blog Content Plan'!$D$2:$D$541,$A7,'Blog Content Plan'!$B$2:$B$541,"Published")</f>
        <v/>
      </c>
    </row>
    <row r="8" ht="15" customHeight="1" s="22">
      <c r="A8" s="31" t="inlineStr">
        <is>
          <t>Travel insurance</t>
        </is>
      </c>
      <c r="B8" s="32">
        <f>COUNTIF(Pages!$D$2:$D$829,$A8)</f>
        <v/>
      </c>
      <c r="C8" s="32">
        <f>COUNTIFS(Pages!$D$2:$D$829,$A8,Pages!$I$2:$I$829,"Yes")</f>
        <v/>
      </c>
      <c r="D8" s="32">
        <f>COUNTIF('Nationwide KWs'!$B$2:$B$168,$A8)</f>
        <v/>
      </c>
      <c r="E8" s="32">
        <f>SUMIF('Nationwide KWs'!$B$2:$B$168,$A8,'Nationwide KWs'!$D$2:$D$168)</f>
        <v/>
      </c>
      <c r="F8" s="32">
        <f>COUNTIF('Provincial KWs'!$B$2:$B$137,$A8)</f>
        <v/>
      </c>
      <c r="G8" s="32">
        <f>SUMIF('Provincial KWs'!$B$2:$B$137,$A8,'Provincial KWs'!$E$2:$E$137)</f>
        <v/>
      </c>
      <c r="H8" s="32">
        <f>COUNTIF('City KWs'!$B$2:$B$419,$A8)</f>
        <v/>
      </c>
      <c r="I8" s="32">
        <f>SUMIF('City KWs'!$B$2:$B$419,$A8,'City KWs'!$F$2:$F$419)</f>
        <v/>
      </c>
      <c r="J8" s="32">
        <f>E8+G8+I8</f>
        <v/>
      </c>
      <c r="K8" s="32">
        <f>COUNTIF('Backlog (Unmapped)'!$C$2:$C$48,$A8)</f>
        <v/>
      </c>
      <c r="L8" s="32">
        <f>COUNTIFS('Blog Content Plan'!$D$2:$D$541,$A8,'Blog Content Plan'!$B$2:$B$541,"&lt;&gt;Published")</f>
        <v/>
      </c>
      <c r="M8" s="32">
        <f>COUNTIFS('Blog Content Plan'!$D$2:$D$541,$A8,'Blog Content Plan'!$C$2:$C$541,1,'Blog Content Plan'!$B$2:$B$541,"&lt;&gt;Published")</f>
        <v/>
      </c>
      <c r="N8" s="32">
        <f>COUNTIFS('Blog Content Plan'!$D$2:$D$541,$A8,'Blog Content Plan'!$B$2:$B$541,"Published")</f>
        <v/>
      </c>
    </row>
    <row r="9" ht="15" customHeight="1" s="22">
      <c r="A9" s="31" t="inlineStr">
        <is>
          <t>Super Visa &amp; visitors insurance</t>
        </is>
      </c>
      <c r="B9" s="32">
        <f>COUNTIF(Pages!$D$2:$D$829,$A9)</f>
        <v/>
      </c>
      <c r="C9" s="32">
        <f>COUNTIFS(Pages!$D$2:$D$829,$A9,Pages!$I$2:$I$829,"Yes")</f>
        <v/>
      </c>
      <c r="D9" s="32">
        <f>COUNTIF('Nationwide KWs'!$B$2:$B$168,$A9)</f>
        <v/>
      </c>
      <c r="E9" s="32">
        <f>SUMIF('Nationwide KWs'!$B$2:$B$168,$A9,'Nationwide KWs'!$D$2:$D$168)</f>
        <v/>
      </c>
      <c r="F9" s="32">
        <f>COUNTIF('Provincial KWs'!$B$2:$B$137,$A9)</f>
        <v/>
      </c>
      <c r="G9" s="32">
        <f>SUMIF('Provincial KWs'!$B$2:$B$137,$A9,'Provincial KWs'!$E$2:$E$137)</f>
        <v/>
      </c>
      <c r="H9" s="32">
        <f>COUNTIF('City KWs'!$B$2:$B$419,$A9)</f>
        <v/>
      </c>
      <c r="I9" s="32">
        <f>SUMIF('City KWs'!$B$2:$B$419,$A9,'City KWs'!$F$2:$F$419)</f>
        <v/>
      </c>
      <c r="J9" s="32">
        <f>E9+G9+I9</f>
        <v/>
      </c>
      <c r="K9" s="32">
        <f>COUNTIF('Backlog (Unmapped)'!$C$2:$C$48,$A9)</f>
        <v/>
      </c>
      <c r="L9" s="32">
        <f>COUNTIFS('Blog Content Plan'!$D$2:$D$541,$A9,'Blog Content Plan'!$B$2:$B$541,"&lt;&gt;Published")</f>
        <v/>
      </c>
      <c r="M9" s="32">
        <f>COUNTIFS('Blog Content Plan'!$D$2:$D$541,$A9,'Blog Content Plan'!$C$2:$C$541,1,'Blog Content Plan'!$B$2:$B$541,"&lt;&gt;Published")</f>
        <v/>
      </c>
      <c r="N9" s="32">
        <f>COUNTIFS('Blog Content Plan'!$D$2:$D$541,$A9,'Blog Content Plan'!$B$2:$B$541,"Published")</f>
        <v/>
      </c>
    </row>
    <row r="10" ht="15" customHeight="1" s="22">
      <c r="A10" s="31" t="inlineStr">
        <is>
          <t>Car insurance</t>
        </is>
      </c>
      <c r="B10" s="32">
        <f>COUNTIF(Pages!$D$2:$D$829,$A10)</f>
        <v/>
      </c>
      <c r="C10" s="32">
        <f>COUNTIFS(Pages!$D$2:$D$829,$A10,Pages!$I$2:$I$829,"Yes")</f>
        <v/>
      </c>
      <c r="D10" s="32">
        <f>COUNTIF('Nationwide KWs'!$B$2:$B$168,$A10)</f>
        <v/>
      </c>
      <c r="E10" s="32">
        <f>SUMIF('Nationwide KWs'!$B$2:$B$168,$A10,'Nationwide KWs'!$D$2:$D$168)</f>
        <v/>
      </c>
      <c r="F10" s="32">
        <f>COUNTIF('Provincial KWs'!$B$2:$B$137,$A10)</f>
        <v/>
      </c>
      <c r="G10" s="32">
        <f>SUMIF('Provincial KWs'!$B$2:$B$137,$A10,'Provincial KWs'!$E$2:$E$137)</f>
        <v/>
      </c>
      <c r="H10" s="32">
        <f>COUNTIF('City KWs'!$B$2:$B$419,$A10)</f>
        <v/>
      </c>
      <c r="I10" s="32">
        <f>SUMIF('City KWs'!$B$2:$B$419,$A10,'City KWs'!$F$2:$F$419)</f>
        <v/>
      </c>
      <c r="J10" s="32">
        <f>E10+G10+I10</f>
        <v/>
      </c>
      <c r="K10" s="32">
        <f>COUNTIF('Backlog (Unmapped)'!$C$2:$C$48,$A10)</f>
        <v/>
      </c>
      <c r="L10" s="32">
        <f>COUNTIFS('Blog Content Plan'!$D$2:$D$541,$A10,'Blog Content Plan'!$B$2:$B$541,"&lt;&gt;Published")</f>
        <v/>
      </c>
      <c r="M10" s="32">
        <f>COUNTIFS('Blog Content Plan'!$D$2:$D$541,$A10,'Blog Content Plan'!$C$2:$C$541,1,'Blog Content Plan'!$B$2:$B$541,"&lt;&gt;Published")</f>
        <v/>
      </c>
      <c r="N10" s="32">
        <f>COUNTIFS('Blog Content Plan'!$D$2:$D$541,$A10,'Blog Content Plan'!$B$2:$B$541,"Published")</f>
        <v/>
      </c>
    </row>
    <row r="11" ht="15" customHeight="1" s="22">
      <c r="A11" s="31" t="inlineStr">
        <is>
          <t>Recreational vehicles</t>
        </is>
      </c>
      <c r="B11" s="32">
        <f>COUNTIF(Pages!$D$2:$D$829,$A11)</f>
        <v/>
      </c>
      <c r="C11" s="32">
        <f>COUNTIFS(Pages!$D$2:$D$829,$A11,Pages!$I$2:$I$829,"Yes")</f>
        <v/>
      </c>
      <c r="D11" s="32">
        <f>COUNTIF('Nationwide KWs'!$B$2:$B$168,$A11)</f>
        <v/>
      </c>
      <c r="E11" s="32">
        <f>SUMIF('Nationwide KWs'!$B$2:$B$168,$A11,'Nationwide KWs'!$D$2:$D$168)</f>
        <v/>
      </c>
      <c r="F11" s="32">
        <f>COUNTIF('Provincial KWs'!$B$2:$B$137,$A11)</f>
        <v/>
      </c>
      <c r="G11" s="32">
        <f>SUMIF('Provincial KWs'!$B$2:$B$137,$A11,'Provincial KWs'!$E$2:$E$137)</f>
        <v/>
      </c>
      <c r="H11" s="32">
        <f>COUNTIF('City KWs'!$B$2:$B$419,$A11)</f>
        <v/>
      </c>
      <c r="I11" s="32">
        <f>SUMIF('City KWs'!$B$2:$B$419,$A11,'City KWs'!$F$2:$F$419)</f>
        <v/>
      </c>
      <c r="J11" s="32">
        <f>E11+G11+I11</f>
        <v/>
      </c>
      <c r="K11" s="32">
        <f>COUNTIF('Backlog (Unmapped)'!$C$2:$C$48,$A11)</f>
        <v/>
      </c>
      <c r="L11" s="32">
        <f>COUNTIFS('Blog Content Plan'!$D$2:$D$541,$A11,'Blog Content Plan'!$B$2:$B$541,"&lt;&gt;Published")</f>
        <v/>
      </c>
      <c r="M11" s="32">
        <f>COUNTIFS('Blog Content Plan'!$D$2:$D$541,$A11,'Blog Content Plan'!$C$2:$C$541,1,'Blog Content Plan'!$B$2:$B$541,"&lt;&gt;Published")</f>
        <v/>
      </c>
      <c r="N11" s="32">
        <f>COUNTIFS('Blog Content Plan'!$D$2:$D$541,$A11,'Blog Content Plan'!$B$2:$B$541,"Published")</f>
        <v/>
      </c>
    </row>
    <row r="12" ht="15" customHeight="1" s="22">
      <c r="A12" s="31" t="inlineStr">
        <is>
          <t>Home insurance</t>
        </is>
      </c>
      <c r="B12" s="32">
        <f>COUNTIF(Pages!$D$2:$D$829,$A12)</f>
        <v/>
      </c>
      <c r="C12" s="32">
        <f>COUNTIFS(Pages!$D$2:$D$829,$A12,Pages!$I$2:$I$829,"Yes")</f>
        <v/>
      </c>
      <c r="D12" s="32">
        <f>COUNTIF('Nationwide KWs'!$B$2:$B$168,$A12)</f>
        <v/>
      </c>
      <c r="E12" s="32">
        <f>SUMIF('Nationwide KWs'!$B$2:$B$168,$A12,'Nationwide KWs'!$D$2:$D$168)</f>
        <v/>
      </c>
      <c r="F12" s="32">
        <f>COUNTIF('Provincial KWs'!$B$2:$B$137,$A12)</f>
        <v/>
      </c>
      <c r="G12" s="32">
        <f>SUMIF('Provincial KWs'!$B$2:$B$137,$A12,'Provincial KWs'!$E$2:$E$137)</f>
        <v/>
      </c>
      <c r="H12" s="32">
        <f>COUNTIF('City KWs'!$B$2:$B$419,$A12)</f>
        <v/>
      </c>
      <c r="I12" s="32">
        <f>SUMIF('City KWs'!$B$2:$B$419,$A12,'City KWs'!$F$2:$F$419)</f>
        <v/>
      </c>
      <c r="J12" s="32">
        <f>E12+G12+I12</f>
        <v/>
      </c>
      <c r="K12" s="32">
        <f>COUNTIF('Backlog (Unmapped)'!$C$2:$C$48,$A12)</f>
        <v/>
      </c>
      <c r="L12" s="32">
        <f>COUNTIFS('Blog Content Plan'!$D$2:$D$541,$A12,'Blog Content Plan'!$B$2:$B$541,"&lt;&gt;Published")</f>
        <v/>
      </c>
      <c r="M12" s="32">
        <f>COUNTIFS('Blog Content Plan'!$D$2:$D$541,$A12,'Blog Content Plan'!$C$2:$C$541,1,'Blog Content Plan'!$B$2:$B$541,"&lt;&gt;Published")</f>
        <v/>
      </c>
      <c r="N12" s="32">
        <f>COUNTIFS('Blog Content Plan'!$D$2:$D$541,$A12,'Blog Content Plan'!$B$2:$B$541,"Published")</f>
        <v/>
      </c>
    </row>
    <row r="13" ht="15" customHeight="1" s="22">
      <c r="A13" s="31" t="inlineStr">
        <is>
          <t>Condo insurance</t>
        </is>
      </c>
      <c r="B13" s="32">
        <f>COUNTIF(Pages!$D$2:$D$829,$A13)</f>
        <v/>
      </c>
      <c r="C13" s="32">
        <f>COUNTIFS(Pages!$D$2:$D$829,$A13,Pages!$I$2:$I$829,"Yes")</f>
        <v/>
      </c>
      <c r="D13" s="32">
        <f>COUNTIF('Nationwide KWs'!$B$2:$B$168,$A13)</f>
        <v/>
      </c>
      <c r="E13" s="32">
        <f>SUMIF('Nationwide KWs'!$B$2:$B$168,$A13,'Nationwide KWs'!$D$2:$D$168)</f>
        <v/>
      </c>
      <c r="F13" s="32">
        <f>COUNTIF('Provincial KWs'!$B$2:$B$137,$A13)</f>
        <v/>
      </c>
      <c r="G13" s="32">
        <f>SUMIF('Provincial KWs'!$B$2:$B$137,$A13,'Provincial KWs'!$E$2:$E$137)</f>
        <v/>
      </c>
      <c r="H13" s="32">
        <f>COUNTIF('City KWs'!$B$2:$B$419,$A13)</f>
        <v/>
      </c>
      <c r="I13" s="32">
        <f>SUMIF('City KWs'!$B$2:$B$419,$A13,'City KWs'!$F$2:$F$419)</f>
        <v/>
      </c>
      <c r="J13" s="32">
        <f>E13+G13+I13</f>
        <v/>
      </c>
      <c r="K13" s="32">
        <f>COUNTIF('Backlog (Unmapped)'!$C$2:$C$48,$A13)</f>
        <v/>
      </c>
      <c r="L13" s="32">
        <f>COUNTIFS('Blog Content Plan'!$D$2:$D$541,$A13,'Blog Content Plan'!$B$2:$B$541,"&lt;&gt;Published")</f>
        <v/>
      </c>
      <c r="M13" s="32">
        <f>COUNTIFS('Blog Content Plan'!$D$2:$D$541,$A13,'Blog Content Plan'!$C$2:$C$541,1,'Blog Content Plan'!$B$2:$B$541,"&lt;&gt;Published")</f>
        <v/>
      </c>
      <c r="N13" s="32">
        <f>COUNTIFS('Blog Content Plan'!$D$2:$D$541,$A13,'Blog Content Plan'!$B$2:$B$541,"Published")</f>
        <v/>
      </c>
    </row>
    <row r="14" ht="15" customHeight="1" s="22">
      <c r="A14" s="31" t="inlineStr">
        <is>
          <t>Tenant insurance</t>
        </is>
      </c>
      <c r="B14" s="32">
        <f>COUNTIF(Pages!$D$2:$D$829,$A14)</f>
        <v/>
      </c>
      <c r="C14" s="32">
        <f>COUNTIFS(Pages!$D$2:$D$829,$A14,Pages!$I$2:$I$829,"Yes")</f>
        <v/>
      </c>
      <c r="D14" s="32">
        <f>COUNTIF('Nationwide KWs'!$B$2:$B$168,$A14)</f>
        <v/>
      </c>
      <c r="E14" s="32">
        <f>SUMIF('Nationwide KWs'!$B$2:$B$168,$A14,'Nationwide KWs'!$D$2:$D$168)</f>
        <v/>
      </c>
      <c r="F14" s="32">
        <f>COUNTIF('Provincial KWs'!$B$2:$B$137,$A14)</f>
        <v/>
      </c>
      <c r="G14" s="32">
        <f>SUMIF('Provincial KWs'!$B$2:$B$137,$A14,'Provincial KWs'!$E$2:$E$137)</f>
        <v/>
      </c>
      <c r="H14" s="32">
        <f>COUNTIF('City KWs'!$B$2:$B$419,$A14)</f>
        <v/>
      </c>
      <c r="I14" s="32">
        <f>SUMIF('City KWs'!$B$2:$B$419,$A14,'City KWs'!$F$2:$F$419)</f>
        <v/>
      </c>
      <c r="J14" s="32">
        <f>E14+G14+I14</f>
        <v/>
      </c>
      <c r="K14" s="32">
        <f>COUNTIF('Backlog (Unmapped)'!$C$2:$C$48,$A14)</f>
        <v/>
      </c>
      <c r="L14" s="32">
        <f>COUNTIFS('Blog Content Plan'!$D$2:$D$541,$A14,'Blog Content Plan'!$B$2:$B$541,"&lt;&gt;Published")</f>
        <v/>
      </c>
      <c r="M14" s="32">
        <f>COUNTIFS('Blog Content Plan'!$D$2:$D$541,$A14,'Blog Content Plan'!$C$2:$C$541,1,'Blog Content Plan'!$B$2:$B$541,"&lt;&gt;Published")</f>
        <v/>
      </c>
      <c r="N14" s="32">
        <f>COUNTIFS('Blog Content Plan'!$D$2:$D$541,$A14,'Blog Content Plan'!$B$2:$B$541,"Published")</f>
        <v/>
      </c>
    </row>
    <row r="15" ht="15" customHeight="1" s="22">
      <c r="A15" s="31" t="inlineStr">
        <is>
          <t>Landlord &amp; rental property</t>
        </is>
      </c>
      <c r="B15" s="32">
        <f>COUNTIF(Pages!$D$2:$D$829,$A15)</f>
        <v/>
      </c>
      <c r="C15" s="32">
        <f>COUNTIFS(Pages!$D$2:$D$829,$A15,Pages!$I$2:$I$829,"Yes")</f>
        <v/>
      </c>
      <c r="D15" s="32">
        <f>COUNTIF('Nationwide KWs'!$B$2:$B$168,$A15)</f>
        <v/>
      </c>
      <c r="E15" s="32">
        <f>SUMIF('Nationwide KWs'!$B$2:$B$168,$A15,'Nationwide KWs'!$D$2:$D$168)</f>
        <v/>
      </c>
      <c r="F15" s="32">
        <f>COUNTIF('Provincial KWs'!$B$2:$B$137,$A15)</f>
        <v/>
      </c>
      <c r="G15" s="32">
        <f>SUMIF('Provincial KWs'!$B$2:$B$137,$A15,'Provincial KWs'!$E$2:$E$137)</f>
        <v/>
      </c>
      <c r="H15" s="32">
        <f>COUNTIF('City KWs'!$B$2:$B$419,$A15)</f>
        <v/>
      </c>
      <c r="I15" s="32">
        <f>SUMIF('City KWs'!$B$2:$B$419,$A15,'City KWs'!$F$2:$F$419)</f>
        <v/>
      </c>
      <c r="J15" s="32">
        <f>E15+G15+I15</f>
        <v/>
      </c>
      <c r="K15" s="32">
        <f>COUNTIF('Backlog (Unmapped)'!$C$2:$C$48,$A15)</f>
        <v/>
      </c>
      <c r="L15" s="32">
        <f>COUNTIFS('Blog Content Plan'!$D$2:$D$541,$A15,'Blog Content Plan'!$B$2:$B$541,"&lt;&gt;Published")</f>
        <v/>
      </c>
      <c r="M15" s="32">
        <f>COUNTIFS('Blog Content Plan'!$D$2:$D$541,$A15,'Blog Content Plan'!$C$2:$C$541,1,'Blog Content Plan'!$B$2:$B$541,"&lt;&gt;Published")</f>
        <v/>
      </c>
      <c r="N15" s="32">
        <f>COUNTIFS('Blog Content Plan'!$D$2:$D$541,$A15,'Blog Content Plan'!$B$2:$B$541,"Published")</f>
        <v/>
      </c>
    </row>
    <row r="16" ht="15" customHeight="1" s="22">
      <c r="A16" s="31" t="inlineStr">
        <is>
          <t>Pet insurance</t>
        </is>
      </c>
      <c r="B16" s="32">
        <f>COUNTIF(Pages!$D$2:$D$829,$A16)</f>
        <v/>
      </c>
      <c r="C16" s="32">
        <f>COUNTIFS(Pages!$D$2:$D$829,$A16,Pages!$I$2:$I$829,"Yes")</f>
        <v/>
      </c>
      <c r="D16" s="32">
        <f>COUNTIF('Nationwide KWs'!$B$2:$B$168,$A16)</f>
        <v/>
      </c>
      <c r="E16" s="32">
        <f>SUMIF('Nationwide KWs'!$B$2:$B$168,$A16,'Nationwide KWs'!$D$2:$D$168)</f>
        <v/>
      </c>
      <c r="F16" s="32">
        <f>COUNTIF('Provincial KWs'!$B$2:$B$137,$A16)</f>
        <v/>
      </c>
      <c r="G16" s="32">
        <f>SUMIF('Provincial KWs'!$B$2:$B$137,$A16,'Provincial KWs'!$E$2:$E$137)</f>
        <v/>
      </c>
      <c r="H16" s="32">
        <f>COUNTIF('City KWs'!$B$2:$B$419,$A16)</f>
        <v/>
      </c>
      <c r="I16" s="32">
        <f>SUMIF('City KWs'!$B$2:$B$419,$A16,'City KWs'!$F$2:$F$419)</f>
        <v/>
      </c>
      <c r="J16" s="32">
        <f>E16+G16+I16</f>
        <v/>
      </c>
      <c r="K16" s="32">
        <f>COUNTIF('Backlog (Unmapped)'!$C$2:$C$48,$A16)</f>
        <v/>
      </c>
      <c r="L16" s="32">
        <f>COUNTIFS('Blog Content Plan'!$D$2:$D$541,$A16,'Blog Content Plan'!$B$2:$B$541,"&lt;&gt;Published")</f>
        <v/>
      </c>
      <c r="M16" s="32">
        <f>COUNTIFS('Blog Content Plan'!$D$2:$D$541,$A16,'Blog Content Plan'!$C$2:$C$541,1,'Blog Content Plan'!$B$2:$B$541,"&lt;&gt;Published")</f>
        <v/>
      </c>
      <c r="N16" s="32">
        <f>COUNTIFS('Blog Content Plan'!$D$2:$D$541,$A16,'Blog Content Plan'!$B$2:$B$541,"Published")</f>
        <v/>
      </c>
    </row>
    <row r="17" ht="15" customHeight="1" s="22">
      <c r="A17" s="31" t="inlineStr">
        <is>
          <t>Business insurance</t>
        </is>
      </c>
      <c r="B17" s="32">
        <f>COUNTIF(Pages!$D$2:$D$829,$A17)</f>
        <v/>
      </c>
      <c r="C17" s="32">
        <f>COUNTIFS(Pages!$D$2:$D$829,$A17,Pages!$I$2:$I$829,"Yes")</f>
        <v/>
      </c>
      <c r="D17" s="32">
        <f>COUNTIF('Nationwide KWs'!$B$2:$B$168,$A17)</f>
        <v/>
      </c>
      <c r="E17" s="32">
        <f>SUMIF('Nationwide KWs'!$B$2:$B$168,$A17,'Nationwide KWs'!$D$2:$D$168)</f>
        <v/>
      </c>
      <c r="F17" s="32">
        <f>COUNTIF('Provincial KWs'!$B$2:$B$137,$A17)</f>
        <v/>
      </c>
      <c r="G17" s="32">
        <f>SUMIF('Provincial KWs'!$B$2:$B$137,$A17,'Provincial KWs'!$E$2:$E$137)</f>
        <v/>
      </c>
      <c r="H17" s="32">
        <f>COUNTIF('City KWs'!$B$2:$B$419,$A17)</f>
        <v/>
      </c>
      <c r="I17" s="32">
        <f>SUMIF('City KWs'!$B$2:$B$419,$A17,'City KWs'!$F$2:$F$419)</f>
        <v/>
      </c>
      <c r="J17" s="32">
        <f>E17+G17+I17</f>
        <v/>
      </c>
      <c r="K17" s="32">
        <f>COUNTIF('Backlog (Unmapped)'!$C$2:$C$48,$A17)</f>
        <v/>
      </c>
      <c r="L17" s="32">
        <f>COUNTIFS('Blog Content Plan'!$D$2:$D$541,$A17,'Blog Content Plan'!$B$2:$B$541,"&lt;&gt;Published")</f>
        <v/>
      </c>
      <c r="M17" s="32">
        <f>COUNTIFS('Blog Content Plan'!$D$2:$D$541,$A17,'Blog Content Plan'!$C$2:$C$541,1,'Blog Content Plan'!$B$2:$B$541,"&lt;&gt;Published")</f>
        <v/>
      </c>
      <c r="N17" s="32">
        <f>COUNTIFS('Blog Content Plan'!$D$2:$D$541,$A17,'Blog Content Plan'!$B$2:$B$541,"Published")</f>
        <v/>
      </c>
    </row>
    <row r="18" ht="15" customHeight="1" s="22">
      <c r="A18" s="31" t="inlineStr">
        <is>
          <t>Contractor &amp; trades insurance</t>
        </is>
      </c>
      <c r="B18" s="32">
        <f>COUNTIF(Pages!$D$2:$D$829,$A18)</f>
        <v/>
      </c>
      <c r="C18" s="32">
        <f>COUNTIFS(Pages!$D$2:$D$829,$A18,Pages!$I$2:$I$829,"Yes")</f>
        <v/>
      </c>
      <c r="D18" s="32">
        <f>COUNTIF('Nationwide KWs'!$B$2:$B$168,$A18)</f>
        <v/>
      </c>
      <c r="E18" s="32">
        <f>SUMIF('Nationwide KWs'!$B$2:$B$168,$A18,'Nationwide KWs'!$D$2:$D$168)</f>
        <v/>
      </c>
      <c r="F18" s="32">
        <f>COUNTIF('Provincial KWs'!$B$2:$B$137,$A18)</f>
        <v/>
      </c>
      <c r="G18" s="32">
        <f>SUMIF('Provincial KWs'!$B$2:$B$137,$A18,'Provincial KWs'!$E$2:$E$137)</f>
        <v/>
      </c>
      <c r="H18" s="32">
        <f>COUNTIF('City KWs'!$B$2:$B$419,$A18)</f>
        <v/>
      </c>
      <c r="I18" s="32">
        <f>SUMIF('City KWs'!$B$2:$B$419,$A18,'City KWs'!$F$2:$F$419)</f>
        <v/>
      </c>
      <c r="J18" s="32">
        <f>E18+G18+I18</f>
        <v/>
      </c>
      <c r="K18" s="32">
        <f>COUNTIF('Backlog (Unmapped)'!$C$2:$C$48,$A18)</f>
        <v/>
      </c>
      <c r="L18" s="32">
        <f>COUNTIFS('Blog Content Plan'!$D$2:$D$541,$A18,'Blog Content Plan'!$B$2:$B$541,"&lt;&gt;Published")</f>
        <v/>
      </c>
      <c r="M18" s="32">
        <f>COUNTIFS('Blog Content Plan'!$D$2:$D$541,$A18,'Blog Content Plan'!$C$2:$C$541,1,'Blog Content Plan'!$B$2:$B$541,"&lt;&gt;Published")</f>
        <v/>
      </c>
      <c r="N18" s="32">
        <f>COUNTIFS('Blog Content Plan'!$D$2:$D$541,$A18,'Blog Content Plan'!$B$2:$B$541,"Published")</f>
        <v/>
      </c>
    </row>
    <row r="19" ht="15" customHeight="1" s="22">
      <c r="A19" s="31" t="inlineStr">
        <is>
          <t>Professional liability (E&amp;O)</t>
        </is>
      </c>
      <c r="B19" s="32">
        <f>COUNTIF(Pages!$D$2:$D$829,$A19)</f>
        <v/>
      </c>
      <c r="C19" s="32">
        <f>COUNTIFS(Pages!$D$2:$D$829,$A19,Pages!$I$2:$I$829,"Yes")</f>
        <v/>
      </c>
      <c r="D19" s="32">
        <f>COUNTIF('Nationwide KWs'!$B$2:$B$168,$A19)</f>
        <v/>
      </c>
      <c r="E19" s="32">
        <f>SUMIF('Nationwide KWs'!$B$2:$B$168,$A19,'Nationwide KWs'!$D$2:$D$168)</f>
        <v/>
      </c>
      <c r="F19" s="32">
        <f>COUNTIF('Provincial KWs'!$B$2:$B$137,$A19)</f>
        <v/>
      </c>
      <c r="G19" s="32">
        <f>SUMIF('Provincial KWs'!$B$2:$B$137,$A19,'Provincial KWs'!$E$2:$E$137)</f>
        <v/>
      </c>
      <c r="H19" s="32">
        <f>COUNTIF('City KWs'!$B$2:$B$419,$A19)</f>
        <v/>
      </c>
      <c r="I19" s="32">
        <f>SUMIF('City KWs'!$B$2:$B$419,$A19,'City KWs'!$F$2:$F$419)</f>
        <v/>
      </c>
      <c r="J19" s="32">
        <f>E19+G19+I19</f>
        <v/>
      </c>
      <c r="K19" s="32">
        <f>COUNTIF('Backlog (Unmapped)'!$C$2:$C$48,$A19)</f>
        <v/>
      </c>
      <c r="L19" s="32">
        <f>COUNTIFS('Blog Content Plan'!$D$2:$D$541,$A19,'Blog Content Plan'!$B$2:$B$541,"&lt;&gt;Published")</f>
        <v/>
      </c>
      <c r="M19" s="32">
        <f>COUNTIFS('Blog Content Plan'!$D$2:$D$541,$A19,'Blog Content Plan'!$C$2:$C$541,1,'Blog Content Plan'!$B$2:$B$541,"&lt;&gt;Published")</f>
        <v/>
      </c>
      <c r="N19" s="32">
        <f>COUNTIFS('Blog Content Plan'!$D$2:$D$541,$A19,'Blog Content Plan'!$B$2:$B$541,"Published")</f>
        <v/>
      </c>
    </row>
    <row r="20" ht="15" customHeight="1" s="22">
      <c r="A20" s="31" t="inlineStr">
        <is>
          <t>Insurance basics &amp; consumer rights</t>
        </is>
      </c>
      <c r="B20" s="32">
        <f>COUNTIF(Pages!$D$2:$D$829,$A20)</f>
        <v/>
      </c>
      <c r="C20" s="32">
        <f>COUNTIFS(Pages!$D$2:$D$829,$A20,Pages!$I$2:$I$829,"Yes")</f>
        <v/>
      </c>
      <c r="D20" s="32">
        <f>COUNTIF('Nationwide KWs'!$B$2:$B$168,$A20)</f>
        <v/>
      </c>
      <c r="E20" s="32">
        <f>SUMIF('Nationwide KWs'!$B$2:$B$168,$A20,'Nationwide KWs'!$D$2:$D$168)</f>
        <v/>
      </c>
      <c r="F20" s="32">
        <f>COUNTIF('Provincial KWs'!$B$2:$B$137,$A20)</f>
        <v/>
      </c>
      <c r="G20" s="32">
        <f>SUMIF('Provincial KWs'!$B$2:$B$137,$A20,'Provincial KWs'!$E$2:$E$137)</f>
        <v/>
      </c>
      <c r="H20" s="32">
        <f>COUNTIF('City KWs'!$B$2:$B$419,$A20)</f>
        <v/>
      </c>
      <c r="I20" s="32">
        <f>SUMIF('City KWs'!$B$2:$B$419,$A20,'City KWs'!$F$2:$F$419)</f>
        <v/>
      </c>
      <c r="J20" s="32">
        <f>E20+G20+I20</f>
        <v/>
      </c>
      <c r="K20" s="32">
        <f>COUNTIF('Backlog (Unmapped)'!$C$2:$C$48,$A20)</f>
        <v/>
      </c>
      <c r="L20" s="32">
        <f>COUNTIFS('Blog Content Plan'!$D$2:$D$541,$A20,'Blog Content Plan'!$B$2:$B$541,"&lt;&gt;Published")</f>
        <v/>
      </c>
      <c r="M20" s="32">
        <f>COUNTIFS('Blog Content Plan'!$D$2:$D$541,$A20,'Blog Content Plan'!$C$2:$C$541,1,'Blog Content Plan'!$B$2:$B$541,"&lt;&gt;Published")</f>
        <v/>
      </c>
      <c r="N20" s="32">
        <f>COUNTIFS('Blog Content Plan'!$D$2:$D$541,$A20,'Blog Content Plan'!$B$2:$B$541,"Published")</f>
        <v/>
      </c>
    </row>
    <row r="21" ht="15" customHeight="1" s="22">
      <c r="A21" s="31" t="inlineStr">
        <is>
          <t>Cross-product &amp; brand</t>
        </is>
      </c>
      <c r="B21" s="32">
        <f>COUNTIF(Pages!$D$2:$D$829,$A21)</f>
        <v/>
      </c>
      <c r="C21" s="32">
        <f>COUNTIFS(Pages!$D$2:$D$829,$A21,Pages!$I$2:$I$829,"Yes")</f>
        <v/>
      </c>
      <c r="D21" s="32">
        <f>COUNTIF('Nationwide KWs'!$B$2:$B$168,$A21)</f>
        <v/>
      </c>
      <c r="E21" s="32">
        <f>SUMIF('Nationwide KWs'!$B$2:$B$168,$A21,'Nationwide KWs'!$D$2:$D$168)</f>
        <v/>
      </c>
      <c r="F21" s="32">
        <f>COUNTIF('Provincial KWs'!$B$2:$B$137,$A21)</f>
        <v/>
      </c>
      <c r="G21" s="32">
        <f>SUMIF('Provincial KWs'!$B$2:$B$137,$A21,'Provincial KWs'!$E$2:$E$137)</f>
        <v/>
      </c>
      <c r="H21" s="32">
        <f>COUNTIF('City KWs'!$B$2:$B$419,$A21)</f>
        <v/>
      </c>
      <c r="I21" s="32">
        <f>SUMIF('City KWs'!$B$2:$B$419,$A21,'City KWs'!$F$2:$F$419)</f>
        <v/>
      </c>
      <c r="J21" s="32">
        <f>E21+G21+I21</f>
        <v/>
      </c>
      <c r="K21" s="32">
        <f>COUNTIF('Backlog (Unmapped)'!$C$2:$C$48,$A21)</f>
        <v/>
      </c>
      <c r="L21" s="32">
        <f>COUNTIFS('Blog Content Plan'!$D$2:$D$541,$A21,'Blog Content Plan'!$B$2:$B$541,"&lt;&gt;Published")</f>
        <v/>
      </c>
      <c r="M21" s="32">
        <f>COUNTIFS('Blog Content Plan'!$D$2:$D$541,$A21,'Blog Content Plan'!$C$2:$C$541,1,'Blog Content Plan'!$B$2:$B$541,"&lt;&gt;Published")</f>
        <v/>
      </c>
      <c r="N21" s="32">
        <f>COUNTIFS('Blog Content Plan'!$D$2:$D$541,$A21,'Blog Content Plan'!$B$2:$B$541,"Published")</f>
        <v/>
      </c>
    </row>
    <row r="22" ht="15" customHeight="1" s="22">
      <c r="A22" s="31" t="inlineStr">
        <is>
          <t>Multi-line (place hubs)</t>
        </is>
      </c>
      <c r="B22" s="32">
        <f>COUNTIF(Pages!$D$2:$D$829,$A22)</f>
        <v/>
      </c>
      <c r="C22" s="32">
        <f>COUNTIFS(Pages!$D$2:$D$829,$A22,Pages!$I$2:$I$829,"Yes")</f>
        <v/>
      </c>
      <c r="D22" s="32">
        <f>COUNTIF('Nationwide KWs'!$B$2:$B$168,$A22)</f>
        <v/>
      </c>
      <c r="E22" s="32">
        <f>SUMIF('Nationwide KWs'!$B$2:$B$168,$A22,'Nationwide KWs'!$D$2:$D$168)</f>
        <v/>
      </c>
      <c r="F22" s="32">
        <f>COUNTIF('Provincial KWs'!$B$2:$B$137,$A22)</f>
        <v/>
      </c>
      <c r="G22" s="32">
        <f>SUMIF('Provincial KWs'!$B$2:$B$137,$A22,'Provincial KWs'!$E$2:$E$137)</f>
        <v/>
      </c>
      <c r="H22" s="32">
        <f>COUNTIF('City KWs'!$B$2:$B$419,$A22)</f>
        <v/>
      </c>
      <c r="I22" s="32">
        <f>SUMIF('City KWs'!$B$2:$B$419,$A22,'City KWs'!$F$2:$F$419)</f>
        <v/>
      </c>
      <c r="J22" s="32">
        <f>E22+G22+I22</f>
        <v/>
      </c>
      <c r="K22" s="32">
        <f>COUNTIF('Backlog (Unmapped)'!$C$2:$C$48,$A22)</f>
        <v/>
      </c>
      <c r="L22" s="32">
        <f>COUNTIFS('Blog Content Plan'!$D$2:$D$541,$A22,'Blog Content Plan'!$B$2:$B$541,"&lt;&gt;Published")</f>
        <v/>
      </c>
      <c r="M22" s="32">
        <f>COUNTIFS('Blog Content Plan'!$D$2:$D$541,$A22,'Blog Content Plan'!$C$2:$C$541,1,'Blog Content Plan'!$B$2:$B$541,"&lt;&gt;Published")</f>
        <v/>
      </c>
      <c r="N22" s="32">
        <f>COUNTIFS('Blog Content Plan'!$D$2:$D$541,$A22,'Blog Content Plan'!$B$2:$B$541,"Published")</f>
        <v/>
      </c>
    </row>
    <row r="23" ht="15" customHeight="1" s="22">
      <c r="A23" s="31" t="inlineStr">
        <is>
          <t>Site, tools &amp; trust</t>
        </is>
      </c>
      <c r="B23" s="32">
        <f>COUNTIF(Pages!$D$2:$D$829,$A23)</f>
        <v/>
      </c>
      <c r="C23" s="32">
        <f>COUNTIFS(Pages!$D$2:$D$829,$A23,Pages!$I$2:$I$829,"Yes")</f>
        <v/>
      </c>
      <c r="D23" s="32">
        <f>COUNTIF('Nationwide KWs'!$B$2:$B$168,$A23)</f>
        <v/>
      </c>
      <c r="E23" s="32">
        <f>SUMIF('Nationwide KWs'!$B$2:$B$168,$A23,'Nationwide KWs'!$D$2:$D$168)</f>
        <v/>
      </c>
      <c r="F23" s="32">
        <f>COUNTIF('Provincial KWs'!$B$2:$B$137,$A23)</f>
        <v/>
      </c>
      <c r="G23" s="32">
        <f>SUMIF('Provincial KWs'!$B$2:$B$137,$A23,'Provincial KWs'!$E$2:$E$137)</f>
        <v/>
      </c>
      <c r="H23" s="32">
        <f>COUNTIF('City KWs'!$B$2:$B$419,$A23)</f>
        <v/>
      </c>
      <c r="I23" s="32">
        <f>SUMIF('City KWs'!$B$2:$B$419,$A23,'City KWs'!$F$2:$F$419)</f>
        <v/>
      </c>
      <c r="J23" s="32">
        <f>E23+G23+I23</f>
        <v/>
      </c>
      <c r="K23" s="32">
        <f>COUNTIF('Backlog (Unmapped)'!$C$2:$C$48,$A23)</f>
        <v/>
      </c>
      <c r="L23" s="32">
        <f>COUNTIFS('Blog Content Plan'!$D$2:$D$541,$A23,'Blog Content Plan'!$B$2:$B$541,"&lt;&gt;Published")</f>
        <v/>
      </c>
      <c r="M23" s="32">
        <f>COUNTIFS('Blog Content Plan'!$D$2:$D$541,$A23,'Blog Content Plan'!$C$2:$C$541,1,'Blog Content Plan'!$B$2:$B$541,"&lt;&gt;Published")</f>
        <v/>
      </c>
      <c r="N23" s="32">
        <f>COUNTIFS('Blog Content Plan'!$D$2:$D$541,$A23,'Blog Content Plan'!$B$2:$B$541,"Published")</f>
        <v/>
      </c>
    </row>
    <row r="24" ht="15" customHeight="1" s="22">
      <c r="A24" s="33" t="inlineStr">
        <is>
          <t>Total</t>
        </is>
      </c>
      <c r="B24" s="34">
        <f>SUM(B2:B23)</f>
        <v/>
      </c>
      <c r="C24" s="34">
        <f>SUM(C2:C23)</f>
        <v/>
      </c>
      <c r="D24" s="34">
        <f>SUM(D2:D23)</f>
        <v/>
      </c>
      <c r="E24" s="34">
        <f>SUM(E2:E23)</f>
        <v/>
      </c>
      <c r="F24" s="34">
        <f>SUM(F2:F23)</f>
        <v/>
      </c>
      <c r="G24" s="34">
        <f>SUM(G2:G23)</f>
        <v/>
      </c>
      <c r="H24" s="34">
        <f>SUM(H2:H23)</f>
        <v/>
      </c>
      <c r="I24" s="34">
        <f>SUM(I2:I23)</f>
        <v/>
      </c>
      <c r="J24" s="34">
        <f>SUM(J2:J23)</f>
        <v/>
      </c>
      <c r="K24" s="34">
        <f>SUM(K2:K23)</f>
        <v/>
      </c>
      <c r="L24" s="34">
        <f>SUM(L2:L23)</f>
        <v/>
      </c>
      <c r="M24" s="34">
        <f>SUM(M2:M23)</f>
        <v/>
      </c>
      <c r="N24" s="34">
        <f>SUM(N2:N23)</f>
        <v/>
      </c>
    </row>
    <row r="26" ht="15" customHeight="1" s="22">
      <c r="A26" s="35" t="inlineStr">
        <is>
          <t>Every number on this tab is a formula over the other tabs. Volumes are modelled monthly Google searches in Canada (October 2026), not measured data.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A8CA0"/>
    <outlinePr summaryBelow="1" summaryRight="1"/>
    <pageSetUpPr fitToPage="0"/>
  </sheetPr>
  <dimension ref="A1:AC82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390625" defaultRowHeight="15" zeroHeight="0" outlineLevelRow="0"/>
  <cols>
    <col width="8" customWidth="1" style="21" min="1" max="1"/>
    <col width="52" customWidth="1" style="21" min="2" max="2"/>
    <col width="16" customWidth="1" style="21" min="3" max="3"/>
    <col width="24" customWidth="1" style="21" min="4" max="4"/>
    <col width="22" customWidth="1" style="21" min="5" max="5"/>
    <col width="26" customWidth="1" style="21" min="6" max="6"/>
    <col width="16" customWidth="1" style="21" min="7" max="7"/>
    <col width="14" customWidth="1" style="21" min="8" max="8"/>
    <col width="9" customWidth="1" style="21" min="9" max="9"/>
    <col width="50" customWidth="1" style="21" min="10" max="10"/>
    <col width="8" customWidth="1" style="21" min="11" max="11"/>
    <col width="60" customWidth="1" style="21" min="12" max="12"/>
    <col width="8" customWidth="1" style="21" min="13" max="13"/>
    <col width="40" customWidth="1" style="21" min="14" max="14"/>
    <col width="30" customWidth="1" style="21" min="15" max="15"/>
    <col width="11" customWidth="1" style="21" min="16" max="17"/>
    <col width="30" customWidth="1" style="21" min="18" max="18"/>
    <col width="10" customWidth="1" style="21" min="19" max="19"/>
    <col width="12" customWidth="1" style="21" min="20" max="20"/>
    <col width="10" customWidth="1" style="21" min="21" max="23"/>
    <col width="11" customWidth="1" style="21" min="24" max="24"/>
    <col width="9" customWidth="1" style="21" min="25" max="25"/>
    <col width="22" customWidth="1" style="21" min="26" max="26"/>
    <col width="26" customWidth="1" style="21" min="27" max="27"/>
    <col width="14" customWidth="1" style="21" min="28" max="28"/>
    <col width="30" customWidth="1" style="21" min="29" max="29"/>
  </cols>
  <sheetData>
    <row r="1" ht="31.5" customHeight="1" s="22">
      <c r="A1" s="30" t="inlineStr">
        <is>
          <t>Page ID</t>
        </is>
      </c>
      <c r="B1" s="30" t="inlineStr">
        <is>
          <t>URL</t>
        </is>
      </c>
      <c r="C1" s="30" t="inlineStr">
        <is>
          <t>Page type</t>
        </is>
      </c>
      <c r="D1" s="30" t="inlineStr">
        <is>
          <t>Insurance segment</t>
        </is>
      </c>
      <c r="E1" s="30" t="inlineStr">
        <is>
          <t>Product line</t>
        </is>
      </c>
      <c r="F1" s="30" t="inlineStr">
        <is>
          <t>Service</t>
        </is>
      </c>
      <c r="G1" s="30" t="inlineStr">
        <is>
          <t>Province</t>
        </is>
      </c>
      <c r="H1" s="30" t="inlineStr">
        <is>
          <t>City</t>
        </is>
      </c>
      <c r="I1" s="30" t="inlineStr">
        <is>
          <t>Indexable</t>
        </is>
      </c>
      <c r="J1" s="30" t="inlineStr">
        <is>
          <t>Title tag</t>
        </is>
      </c>
      <c r="K1" s="30" t="inlineStr">
        <is>
          <t>Title length</t>
        </is>
      </c>
      <c r="L1" s="30" t="inlineStr">
        <is>
          <t>Meta description</t>
        </is>
      </c>
      <c r="M1" s="30" t="inlineStr">
        <is>
          <t>Description length</t>
        </is>
      </c>
      <c r="N1" s="30" t="inlineStr">
        <is>
          <t>H1</t>
        </is>
      </c>
      <c r="O1" s="30" t="inlineStr">
        <is>
          <t>Primary keyword</t>
        </is>
      </c>
      <c r="P1" s="30" t="inlineStr">
        <is>
          <t>Primary keyword volume</t>
        </is>
      </c>
      <c r="Q1" s="30" t="inlineStr">
        <is>
          <t>Primary keyword level</t>
        </is>
      </c>
      <c r="R1" s="30" t="inlineStr">
        <is>
          <t>Suggested keyword (not yet in keyword map)</t>
        </is>
      </c>
      <c r="S1" s="30" t="inlineStr">
        <is>
          <t>Keywords mapped</t>
        </is>
      </c>
      <c r="T1" s="30" t="inlineStr">
        <is>
          <t>Mapped volume / mo</t>
        </is>
      </c>
      <c r="U1" s="30" t="inlineStr">
        <is>
          <t>Nationwide keywords</t>
        </is>
      </c>
      <c r="V1" s="30" t="inlineStr">
        <is>
          <t>Provincial keywords</t>
        </is>
      </c>
      <c r="W1" s="30" t="inlineStr">
        <is>
          <t>City keywords</t>
        </is>
      </c>
      <c r="X1" s="30" t="inlineStr">
        <is>
          <t>Primary keyword in title?</t>
        </is>
      </c>
      <c r="Y1" s="30" t="inlineStr">
        <is>
          <t>Sitemap priority</t>
        </is>
      </c>
      <c r="Z1" s="30" t="inlineStr">
        <is>
          <t>Sitemap file</t>
        </is>
      </c>
      <c r="AA1" s="30" t="inlineStr">
        <is>
          <t>Status</t>
        </is>
      </c>
      <c r="AB1" s="30" t="inlineStr">
        <is>
          <t>Owner</t>
        </is>
      </c>
      <c r="AC1" s="30" t="inlineStr">
        <is>
          <t>Notes</t>
        </is>
      </c>
    </row>
    <row r="2" ht="23.85" customHeight="1" s="22">
      <c r="A2" s="36" t="inlineStr">
        <is>
          <t>P0001</t>
        </is>
      </c>
      <c r="B2" s="36" t="inlineStr">
        <is>
          <t>https://instasure.ca/</t>
        </is>
      </c>
      <c r="C2" s="36" t="inlineStr">
        <is>
          <t>Static / tool</t>
        </is>
      </c>
      <c r="D2" s="36" t="inlineStr">
        <is>
          <t>Site, tools &amp; trust</t>
        </is>
      </c>
      <c r="E2" s="36" t="n"/>
      <c r="F2" s="36" t="n"/>
      <c r="G2" s="36" t="n"/>
      <c r="H2" s="36" t="n"/>
      <c r="I2" s="36" t="inlineStr">
        <is>
          <t>Yes</t>
        </is>
      </c>
      <c r="J2" s="25" t="inlineStr">
        <is>
          <t>Instasure.ca — Compare Insurance Quotes in Canada | Instant Estimates</t>
        </is>
      </c>
      <c r="K2" s="36">
        <f>LEN(J2)</f>
        <v/>
      </c>
      <c r="L2" s="25" t="inlineStr">
        <is>
          <t>Instant insurance estimates for life, critical illness, home, tenant, car, travel and business coverage in every province — then a licensed advisor compares…</t>
        </is>
      </c>
      <c r="M2" s="36">
        <f>LEN(L2)</f>
        <v/>
      </c>
      <c r="N2" s="25" t="inlineStr">
        <is>
          <t>Compare Canadian insurance quotes. Instant estimates in 60 seconds.</t>
        </is>
      </c>
      <c r="O2" s="36" t="n"/>
      <c r="P2" s="37" t="n"/>
      <c r="Q2" s="36" t="n"/>
      <c r="R2" s="36" t="n"/>
      <c r="S2" s="36">
        <f>COUNTIF('Page-Keyword Map'!$A$2:$A$675,B2)</f>
        <v/>
      </c>
      <c r="T2" s="37">
        <f>SUMIF('Page-Keyword Map'!$A$2:$A$675,B2,'Page-Keyword Map'!$H$2:$H$675)</f>
        <v/>
      </c>
      <c r="U2" s="36">
        <f>COUNTIFS('Page-Keyword Map'!$A$2:$A$675,B2,'Page-Keyword Map'!$E$2:$E$675,"Nationwide")</f>
        <v/>
      </c>
      <c r="V2" s="36">
        <f>COUNTIFS('Page-Keyword Map'!$A$2:$A$675,B2,'Page-Keyword Map'!$E$2:$E$675,"Provincial")</f>
        <v/>
      </c>
      <c r="W2" s="36">
        <f>COUNTIFS('Page-Keyword Map'!$A$2:$A$675,B2,'Page-Keyword Map'!$E$2:$E$675,"City")</f>
        <v/>
      </c>
      <c r="X2" s="36">
        <f>IF(O2="","",IF(ISNUMBER(SEARCH(O2,J2)),"Yes","No"))</f>
        <v/>
      </c>
      <c r="Y2" s="36" t="n">
        <v>1</v>
      </c>
      <c r="Z2" s="36" t="inlineStr">
        <is>
          <t>sitemap-core.xml</t>
        </is>
      </c>
      <c r="AA2" s="36" t="inlineStr">
        <is>
          <t>Live – indexable</t>
        </is>
      </c>
      <c r="AB2" s="38" t="n"/>
      <c r="AC2" s="38" t="n"/>
    </row>
    <row r="3" ht="23.85" customHeight="1" s="22">
      <c r="A3" s="36" t="inlineStr">
        <is>
          <t>P0002</t>
        </is>
      </c>
      <c r="B3" s="36" t="inlineStr">
        <is>
          <t>https://instasure.ca/about/</t>
        </is>
      </c>
      <c r="C3" s="36" t="inlineStr">
        <is>
          <t>Static / tool</t>
        </is>
      </c>
      <c r="D3" s="36" t="inlineStr">
        <is>
          <t>Site, tools &amp; trust</t>
        </is>
      </c>
      <c r="E3" s="36" t="n"/>
      <c r="F3" s="36" t="n"/>
      <c r="G3" s="36" t="n"/>
      <c r="H3" s="36" t="n"/>
      <c r="I3" s="36" t="inlineStr">
        <is>
          <t>Yes</t>
        </is>
      </c>
      <c r="J3" s="25" t="inlineStr">
        <is>
          <t>About Instasure.ca</t>
        </is>
      </c>
      <c r="K3" s="36">
        <f>LEN(J3)</f>
        <v/>
      </c>
      <c r="L3" s="25" t="inlineStr">
        <is>
          <t>Instasure.ca helps Canadians understand insurance and price it instantly, then connects them with advisors licensed in their province.</t>
        </is>
      </c>
      <c r="M3" s="36">
        <f>LEN(L3)</f>
        <v/>
      </c>
      <c r="N3" s="25" t="inlineStr">
        <is>
          <t>About Instasure.ca</t>
        </is>
      </c>
      <c r="O3" s="36" t="n"/>
      <c r="P3" s="37" t="n"/>
      <c r="Q3" s="36" t="n"/>
      <c r="R3" s="36" t="n"/>
      <c r="S3" s="36">
        <f>COUNTIF('Page-Keyword Map'!$A$2:$A$675,B3)</f>
        <v/>
      </c>
      <c r="T3" s="37">
        <f>SUMIF('Page-Keyword Map'!$A$2:$A$675,B3,'Page-Keyword Map'!$H$2:$H$675)</f>
        <v/>
      </c>
      <c r="U3" s="36">
        <f>COUNTIFS('Page-Keyword Map'!$A$2:$A$675,B3,'Page-Keyword Map'!$E$2:$E$675,"Nationwide")</f>
        <v/>
      </c>
      <c r="V3" s="36">
        <f>COUNTIFS('Page-Keyword Map'!$A$2:$A$675,B3,'Page-Keyword Map'!$E$2:$E$675,"Provincial")</f>
        <v/>
      </c>
      <c r="W3" s="36">
        <f>COUNTIFS('Page-Keyword Map'!$A$2:$A$675,B3,'Page-Keyword Map'!$E$2:$E$675,"City")</f>
        <v/>
      </c>
      <c r="X3" s="36">
        <f>IF(O3="","",IF(ISNUMBER(SEARCH(O3,J3)),"Yes","No"))</f>
        <v/>
      </c>
      <c r="Y3" s="36" t="n">
        <v>0.4</v>
      </c>
      <c r="Z3" s="36" t="inlineStr">
        <is>
          <t>sitemap-core.xml</t>
        </is>
      </c>
      <c r="AA3" s="36" t="inlineStr">
        <is>
          <t>Live – indexable</t>
        </is>
      </c>
      <c r="AB3" s="38" t="n"/>
      <c r="AC3" s="38" t="n"/>
    </row>
    <row r="4" ht="23.85" customHeight="1" s="22">
      <c r="A4" s="36" t="inlineStr">
        <is>
          <t>P0003</t>
        </is>
      </c>
      <c r="B4" s="36" t="inlineStr">
        <is>
          <t>https://instasure.ca/accessibility/</t>
        </is>
      </c>
      <c r="C4" s="36" t="inlineStr">
        <is>
          <t>Static / tool</t>
        </is>
      </c>
      <c r="D4" s="36" t="inlineStr">
        <is>
          <t>Site, tools &amp; trust</t>
        </is>
      </c>
      <c r="E4" s="36" t="n"/>
      <c r="F4" s="36" t="n"/>
      <c r="G4" s="36" t="n"/>
      <c r="H4" s="36" t="n"/>
      <c r="I4" s="36" t="inlineStr">
        <is>
          <t>Yes</t>
        </is>
      </c>
      <c r="J4" s="25" t="inlineStr">
        <is>
          <t>Accessibility | Instasure.ca</t>
        </is>
      </c>
      <c r="K4" s="36">
        <f>LEN(J4)</f>
        <v/>
      </c>
      <c r="L4" s="25" t="inlineStr">
        <is>
          <t>Instasure.ca’s commitment to an accessible website for all Canadians, including AODA and WCAG 2.1 AA alignment.</t>
        </is>
      </c>
      <c r="M4" s="36">
        <f>LEN(L4)</f>
        <v/>
      </c>
      <c r="N4" s="25" t="inlineStr">
        <is>
          <t>Accessibility</t>
        </is>
      </c>
      <c r="O4" s="36" t="n"/>
      <c r="P4" s="37" t="n"/>
      <c r="Q4" s="36" t="n"/>
      <c r="R4" s="36" t="n"/>
      <c r="S4" s="36">
        <f>COUNTIF('Page-Keyword Map'!$A$2:$A$675,B4)</f>
        <v/>
      </c>
      <c r="T4" s="37">
        <f>SUMIF('Page-Keyword Map'!$A$2:$A$675,B4,'Page-Keyword Map'!$H$2:$H$675)</f>
        <v/>
      </c>
      <c r="U4" s="36">
        <f>COUNTIFS('Page-Keyword Map'!$A$2:$A$675,B4,'Page-Keyword Map'!$E$2:$E$675,"Nationwide")</f>
        <v/>
      </c>
      <c r="V4" s="36">
        <f>COUNTIFS('Page-Keyword Map'!$A$2:$A$675,B4,'Page-Keyword Map'!$E$2:$E$675,"Provincial")</f>
        <v/>
      </c>
      <c r="W4" s="36">
        <f>COUNTIFS('Page-Keyword Map'!$A$2:$A$675,B4,'Page-Keyword Map'!$E$2:$E$675,"City")</f>
        <v/>
      </c>
      <c r="X4" s="36">
        <f>IF(O4="","",IF(ISNUMBER(SEARCH(O4,J4)),"Yes","No"))</f>
        <v/>
      </c>
      <c r="Y4" s="36" t="n">
        <v>0.2</v>
      </c>
      <c r="Z4" s="36" t="inlineStr">
        <is>
          <t>sitemap-core.xml</t>
        </is>
      </c>
      <c r="AA4" s="36" t="inlineStr">
        <is>
          <t>Live – indexable</t>
        </is>
      </c>
      <c r="AB4" s="38" t="n"/>
      <c r="AC4" s="38" t="n"/>
    </row>
    <row r="5" ht="23.85" customHeight="1" s="22">
      <c r="A5" s="36" t="inlineStr">
        <is>
          <t>P0004</t>
        </is>
      </c>
      <c r="B5" s="36" t="inlineStr">
        <is>
          <t>https://instasure.ca/advisors/</t>
        </is>
      </c>
      <c r="C5" s="36" t="inlineStr">
        <is>
          <t>Static / tool</t>
        </is>
      </c>
      <c r="D5" s="36" t="inlineStr">
        <is>
          <t>Site, tools &amp; trust</t>
        </is>
      </c>
      <c r="E5" s="36" t="n"/>
      <c r="F5" s="36" t="n"/>
      <c r="G5" s="36" t="n"/>
      <c r="H5" s="36" t="n"/>
      <c r="I5" s="36" t="inlineStr">
        <is>
          <t>Yes</t>
        </is>
      </c>
      <c r="J5" s="25" t="inlineStr">
        <is>
          <t>Licensed Insurance Advisors Across Canada | Instasure.ca</t>
        </is>
      </c>
      <c r="K5" s="36">
        <f>LEN(J5)</f>
        <v/>
      </c>
      <c r="L5" s="25" t="inlineStr">
        <is>
          <t>Meet Instasure’s licensed insurance advisors. Every advisor is licensed in the provinces they serve and matched to you by province, product and language.</t>
        </is>
      </c>
      <c r="M5" s="36">
        <f>LEN(L5)</f>
        <v/>
      </c>
      <c r="N5" s="25" t="inlineStr">
        <is>
          <t>Licensed insurance advisors across Canada</t>
        </is>
      </c>
      <c r="O5" s="36" t="inlineStr">
        <is>
          <t>insurance broker near me</t>
        </is>
      </c>
      <c r="P5" s="37" t="n">
        <v>6600</v>
      </c>
      <c r="Q5" s="36" t="inlineStr">
        <is>
          <t>Nationwide</t>
        </is>
      </c>
      <c r="R5" s="36" t="n"/>
      <c r="S5" s="36">
        <f>COUNTIF('Page-Keyword Map'!$A$2:$A$675,B5)</f>
        <v/>
      </c>
      <c r="T5" s="37">
        <f>SUMIF('Page-Keyword Map'!$A$2:$A$675,B5,'Page-Keyword Map'!$H$2:$H$675)</f>
        <v/>
      </c>
      <c r="U5" s="36">
        <f>COUNTIFS('Page-Keyword Map'!$A$2:$A$675,B5,'Page-Keyword Map'!$E$2:$E$675,"Nationwide")</f>
        <v/>
      </c>
      <c r="V5" s="36">
        <f>COUNTIFS('Page-Keyword Map'!$A$2:$A$675,B5,'Page-Keyword Map'!$E$2:$E$675,"Provincial")</f>
        <v/>
      </c>
      <c r="W5" s="36">
        <f>COUNTIFS('Page-Keyword Map'!$A$2:$A$675,B5,'Page-Keyword Map'!$E$2:$E$675,"City")</f>
        <v/>
      </c>
      <c r="X5" s="36">
        <f>IF(O5="","",IF(ISNUMBER(SEARCH(O5,J5)),"Yes","No"))</f>
        <v/>
      </c>
      <c r="Y5" s="36" t="n">
        <v>0.7</v>
      </c>
      <c r="Z5" s="36" t="inlineStr">
        <is>
          <t>sitemap-core.xml</t>
        </is>
      </c>
      <c r="AA5" s="36" t="inlineStr">
        <is>
          <t>Live – indexable</t>
        </is>
      </c>
      <c r="AB5" s="38" t="n"/>
      <c r="AC5" s="38" t="n"/>
    </row>
    <row r="6" ht="23.85" customHeight="1" s="22">
      <c r="A6" s="36" t="inlineStr">
        <is>
          <t>P0005</t>
        </is>
      </c>
      <c r="B6" s="36" t="inlineStr">
        <is>
          <t>https://instasure.ca/calculators/</t>
        </is>
      </c>
      <c r="C6" s="36" t="inlineStr">
        <is>
          <t>Static / tool</t>
        </is>
      </c>
      <c r="D6" s="36" t="inlineStr">
        <is>
          <t>Site, tools &amp; trust</t>
        </is>
      </c>
      <c r="E6" s="36" t="n"/>
      <c r="F6" s="36" t="n"/>
      <c r="G6" s="36" t="n"/>
      <c r="H6" s="36" t="n"/>
      <c r="I6" s="36" t="inlineStr">
        <is>
          <t>Yes</t>
        </is>
      </c>
      <c r="J6" s="25" t="inlineStr">
        <is>
          <t>Free Insurance Calculators for Canadians | Instasure.ca</t>
        </is>
      </c>
      <c r="K6" s="36">
        <f>LEN(J6)</f>
        <v/>
      </c>
      <c r="L6" s="25" t="inlineStr">
        <is>
          <t>Free Canadian insurance calculators: life insurance needs, mortgage protection vs term life, tenant &amp; condo coverage and small-business coverage — instant results,…</t>
        </is>
      </c>
      <c r="M6" s="36">
        <f>LEN(L6)</f>
        <v/>
      </c>
      <c r="N6" s="25" t="inlineStr">
        <is>
          <t>Insurance calculators for Canadians</t>
        </is>
      </c>
      <c r="O6" s="36" t="n"/>
      <c r="P6" s="37" t="n"/>
      <c r="Q6" s="36" t="n"/>
      <c r="R6" s="36" t="n"/>
      <c r="S6" s="36">
        <f>COUNTIF('Page-Keyword Map'!$A$2:$A$675,B6)</f>
        <v/>
      </c>
      <c r="T6" s="37">
        <f>SUMIF('Page-Keyword Map'!$A$2:$A$675,B6,'Page-Keyword Map'!$H$2:$H$675)</f>
        <v/>
      </c>
      <c r="U6" s="36">
        <f>COUNTIFS('Page-Keyword Map'!$A$2:$A$675,B6,'Page-Keyword Map'!$E$2:$E$675,"Nationwide")</f>
        <v/>
      </c>
      <c r="V6" s="36">
        <f>COUNTIFS('Page-Keyword Map'!$A$2:$A$675,B6,'Page-Keyword Map'!$E$2:$E$675,"Provincial")</f>
        <v/>
      </c>
      <c r="W6" s="36">
        <f>COUNTIFS('Page-Keyword Map'!$A$2:$A$675,B6,'Page-Keyword Map'!$E$2:$E$675,"City")</f>
        <v/>
      </c>
      <c r="X6" s="36">
        <f>IF(O6="","",IF(ISNUMBER(SEARCH(O6,J6)),"Yes","No"))</f>
        <v/>
      </c>
      <c r="Y6" s="36" t="n">
        <v>0.8</v>
      </c>
      <c r="Z6" s="36" t="inlineStr">
        <is>
          <t>sitemap-core.xml</t>
        </is>
      </c>
      <c r="AA6" s="36" t="inlineStr">
        <is>
          <t>Live – indexable</t>
        </is>
      </c>
      <c r="AB6" s="38" t="n"/>
      <c r="AC6" s="38" t="n"/>
    </row>
    <row r="7" ht="23.85" customHeight="1" s="22">
      <c r="A7" s="36" t="inlineStr">
        <is>
          <t>P0006</t>
        </is>
      </c>
      <c r="B7" s="36" t="inlineStr">
        <is>
          <t>https://instasure.ca/calculators/business-coverage/</t>
        </is>
      </c>
      <c r="C7" s="36" t="inlineStr">
        <is>
          <t>Static / tool</t>
        </is>
      </c>
      <c r="D7" s="36" t="inlineStr">
        <is>
          <t>Site, tools &amp; trust</t>
        </is>
      </c>
      <c r="E7" s="36" t="n"/>
      <c r="F7" s="36" t="n"/>
      <c r="G7" s="36" t="n"/>
      <c r="H7" s="36" t="n"/>
      <c r="I7" s="36" t="inlineStr">
        <is>
          <t>Yes</t>
        </is>
      </c>
      <c r="J7" s="25" t="inlineStr">
        <is>
          <t>Small Business Insurance Coverage Checker | Instasure.ca</t>
        </is>
      </c>
      <c r="K7" s="36">
        <f>LEN(J7)</f>
        <v/>
      </c>
      <c r="L7" s="25" t="inlineStr">
        <is>
          <t>Answer a few questions about your business to see recommended CGL, E&amp;O, property and cyber coverage plus an instant cost estimate.</t>
        </is>
      </c>
      <c r="M7" s="36">
        <f>LEN(L7)</f>
        <v/>
      </c>
      <c r="N7" s="25" t="inlineStr">
        <is>
          <t>What business insurance do I need?</t>
        </is>
      </c>
      <c r="O7" s="36" t="inlineStr">
        <is>
          <t>business insurance calculator</t>
        </is>
      </c>
      <c r="P7" s="37" t="n">
        <v>140</v>
      </c>
      <c r="Q7" s="36" t="inlineStr">
        <is>
          <t>Nationwide</t>
        </is>
      </c>
      <c r="R7" s="36" t="n"/>
      <c r="S7" s="36">
        <f>COUNTIF('Page-Keyword Map'!$A$2:$A$675,B7)</f>
        <v/>
      </c>
      <c r="T7" s="37">
        <f>SUMIF('Page-Keyword Map'!$A$2:$A$675,B7,'Page-Keyword Map'!$H$2:$H$675)</f>
        <v/>
      </c>
      <c r="U7" s="36">
        <f>COUNTIFS('Page-Keyword Map'!$A$2:$A$675,B7,'Page-Keyword Map'!$E$2:$E$675,"Nationwide")</f>
        <v/>
      </c>
      <c r="V7" s="36">
        <f>COUNTIFS('Page-Keyword Map'!$A$2:$A$675,B7,'Page-Keyword Map'!$E$2:$E$675,"Provincial")</f>
        <v/>
      </c>
      <c r="W7" s="36">
        <f>COUNTIFS('Page-Keyword Map'!$A$2:$A$675,B7,'Page-Keyword Map'!$E$2:$E$675,"City")</f>
        <v/>
      </c>
      <c r="X7" s="36">
        <f>IF(O7="","",IF(ISNUMBER(SEARCH(O7,J7)),"Yes","No"))</f>
        <v/>
      </c>
      <c r="Y7" s="36" t="n">
        <v>0.6</v>
      </c>
      <c r="Z7" s="36" t="inlineStr">
        <is>
          <t>sitemap-core.xml</t>
        </is>
      </c>
      <c r="AA7" s="36" t="inlineStr">
        <is>
          <t>Live – indexable</t>
        </is>
      </c>
      <c r="AB7" s="38" t="n"/>
      <c r="AC7" s="38" t="n"/>
    </row>
    <row r="8" ht="23.85" customHeight="1" s="22">
      <c r="A8" s="36" t="inlineStr">
        <is>
          <t>P0007</t>
        </is>
      </c>
      <c r="B8" s="36" t="inlineStr">
        <is>
          <t>https://instasure.ca/calculators/life-insurance-needs/</t>
        </is>
      </c>
      <c r="C8" s="36" t="inlineStr">
        <is>
          <t>Static / tool</t>
        </is>
      </c>
      <c r="D8" s="36" t="inlineStr">
        <is>
          <t>Site, tools &amp; trust</t>
        </is>
      </c>
      <c r="E8" s="36" t="n"/>
      <c r="F8" s="36" t="n"/>
      <c r="G8" s="36" t="n"/>
      <c r="H8" s="36" t="n"/>
      <c r="I8" s="36" t="inlineStr">
        <is>
          <t>Yes</t>
        </is>
      </c>
      <c r="J8" s="25" t="inlineStr">
        <is>
          <t>Life Insurance Needs Calculator (Canada) | Instasure.ca</t>
        </is>
      </c>
      <c r="K8" s="36">
        <f>LEN(J8)</f>
        <v/>
      </c>
      <c r="L8" s="25" t="inlineStr">
        <is>
          <t>Calculate how much life insurance your family needs using your income, mortgage, debts, childcare and education costs — built for Canadian households.</t>
        </is>
      </c>
      <c r="M8" s="36">
        <f>LEN(L8)</f>
        <v/>
      </c>
      <c r="N8" s="25" t="inlineStr">
        <is>
          <t>How much life insurance do I need?</t>
        </is>
      </c>
      <c r="O8" s="36" t="inlineStr">
        <is>
          <t>life insurance calculator</t>
        </is>
      </c>
      <c r="P8" s="37" t="n">
        <v>2400</v>
      </c>
      <c r="Q8" s="36" t="inlineStr">
        <is>
          <t>Nationwide</t>
        </is>
      </c>
      <c r="R8" s="36" t="n"/>
      <c r="S8" s="36">
        <f>COUNTIF('Page-Keyword Map'!$A$2:$A$675,B8)</f>
        <v/>
      </c>
      <c r="T8" s="37">
        <f>SUMIF('Page-Keyword Map'!$A$2:$A$675,B8,'Page-Keyword Map'!$H$2:$H$675)</f>
        <v/>
      </c>
      <c r="U8" s="36">
        <f>COUNTIFS('Page-Keyword Map'!$A$2:$A$675,B8,'Page-Keyword Map'!$E$2:$E$675,"Nationwide")</f>
        <v/>
      </c>
      <c r="V8" s="36">
        <f>COUNTIFS('Page-Keyword Map'!$A$2:$A$675,B8,'Page-Keyword Map'!$E$2:$E$675,"Provincial")</f>
        <v/>
      </c>
      <c r="W8" s="36">
        <f>COUNTIFS('Page-Keyword Map'!$A$2:$A$675,B8,'Page-Keyword Map'!$E$2:$E$675,"City")</f>
        <v/>
      </c>
      <c r="X8" s="36">
        <f>IF(O8="","",IF(ISNUMBER(SEARCH(O8,J8)),"Yes","No"))</f>
        <v/>
      </c>
      <c r="Y8" s="36" t="n">
        <v>0.8</v>
      </c>
      <c r="Z8" s="36" t="inlineStr">
        <is>
          <t>sitemap-core.xml</t>
        </is>
      </c>
      <c r="AA8" s="36" t="inlineStr">
        <is>
          <t>Live – indexable</t>
        </is>
      </c>
      <c r="AB8" s="38" t="n"/>
      <c r="AC8" s="38" t="n"/>
    </row>
    <row r="9" ht="23.85" customHeight="1" s="22">
      <c r="A9" s="36" t="inlineStr">
        <is>
          <t>P0008</t>
        </is>
      </c>
      <c r="B9" s="36" t="inlineStr">
        <is>
          <t>https://instasure.ca/calculators/mortgage-protection/</t>
        </is>
      </c>
      <c r="C9" s="36" t="inlineStr">
        <is>
          <t>Static / tool</t>
        </is>
      </c>
      <c r="D9" s="36" t="inlineStr">
        <is>
          <t>Site, tools &amp; trust</t>
        </is>
      </c>
      <c r="E9" s="36" t="n"/>
      <c r="F9" s="36" t="n"/>
      <c r="G9" s="36" t="n"/>
      <c r="H9" s="36" t="n"/>
      <c r="I9" s="36" t="inlineStr">
        <is>
          <t>Yes</t>
        </is>
      </c>
      <c r="J9" s="25" t="inlineStr">
        <is>
          <t>Mortgage Life Insurance vs Term Life Calculator | Instasure.ca</t>
        </is>
      </c>
      <c r="K9" s="36">
        <f>LEN(J9)</f>
        <v/>
      </c>
      <c r="L9" s="25" t="inlineStr">
        <is>
          <t>Compare the cost and payout of bank mortgage creditor insurance against a personal term life policy for your mortgage balance and age.</t>
        </is>
      </c>
      <c r="M9" s="36">
        <f>LEN(L9)</f>
        <v/>
      </c>
      <c r="N9" s="25" t="inlineStr">
        <is>
          <t>Mortgage protection calculator: bank insurance vs term life</t>
        </is>
      </c>
      <c r="O9" s="36" t="inlineStr">
        <is>
          <t>mortgage life insurance calculator</t>
        </is>
      </c>
      <c r="P9" s="37" t="n">
        <v>260</v>
      </c>
      <c r="Q9" s="36" t="inlineStr">
        <is>
          <t>Nationwide</t>
        </is>
      </c>
      <c r="R9" s="36" t="n"/>
      <c r="S9" s="36">
        <f>COUNTIF('Page-Keyword Map'!$A$2:$A$675,B9)</f>
        <v/>
      </c>
      <c r="T9" s="37">
        <f>SUMIF('Page-Keyword Map'!$A$2:$A$675,B9,'Page-Keyword Map'!$H$2:$H$675)</f>
        <v/>
      </c>
      <c r="U9" s="36">
        <f>COUNTIFS('Page-Keyword Map'!$A$2:$A$675,B9,'Page-Keyword Map'!$E$2:$E$675,"Nationwide")</f>
        <v/>
      </c>
      <c r="V9" s="36">
        <f>COUNTIFS('Page-Keyword Map'!$A$2:$A$675,B9,'Page-Keyword Map'!$E$2:$E$675,"Provincial")</f>
        <v/>
      </c>
      <c r="W9" s="36">
        <f>COUNTIFS('Page-Keyword Map'!$A$2:$A$675,B9,'Page-Keyword Map'!$E$2:$E$675,"City")</f>
        <v/>
      </c>
      <c r="X9" s="36">
        <f>IF(O9="","",IF(ISNUMBER(SEARCH(O9,J9)),"Yes","No"))</f>
        <v/>
      </c>
      <c r="Y9" s="36" t="n">
        <v>0.6</v>
      </c>
      <c r="Z9" s="36" t="inlineStr">
        <is>
          <t>sitemap-core.xml</t>
        </is>
      </c>
      <c r="AA9" s="36" t="inlineStr">
        <is>
          <t>Live – indexable</t>
        </is>
      </c>
      <c r="AB9" s="38" t="n"/>
      <c r="AC9" s="38" t="n"/>
    </row>
    <row r="10" ht="23.85" customHeight="1" s="22">
      <c r="A10" s="36" t="inlineStr">
        <is>
          <t>P0009</t>
        </is>
      </c>
      <c r="B10" s="36" t="inlineStr">
        <is>
          <t>https://instasure.ca/calculators/tenant-condo-coverage/</t>
        </is>
      </c>
      <c r="C10" s="36" t="inlineStr">
        <is>
          <t>Static / tool</t>
        </is>
      </c>
      <c r="D10" s="36" t="inlineStr">
        <is>
          <t>Site, tools &amp; trust</t>
        </is>
      </c>
      <c r="E10" s="36" t="n"/>
      <c r="F10" s="36" t="n"/>
      <c r="G10" s="36" t="n"/>
      <c r="H10" s="36" t="n"/>
      <c r="I10" s="36" t="inlineStr">
        <is>
          <t>Yes</t>
        </is>
      </c>
      <c r="J10" s="25" t="inlineStr">
        <is>
          <t>Tenant &amp; Condo Insurance Coverage Calculator | Instasure.ca</t>
        </is>
      </c>
      <c r="K10" s="36">
        <f>LEN(J10)</f>
        <v/>
      </c>
      <c r="L10" s="25" t="inlineStr">
        <is>
          <t>Estimate the replacement value of your belongings, condo improvements and the deductible-assessment coverage your building requires.</t>
        </is>
      </c>
      <c r="M10" s="36">
        <f>LEN(L10)</f>
        <v/>
      </c>
      <c r="N10" s="25" t="inlineStr">
        <is>
          <t>How much tenant or condo insurance do I need?</t>
        </is>
      </c>
      <c r="O10" s="36" t="inlineStr">
        <is>
          <t>how much contents insurance do i need</t>
        </is>
      </c>
      <c r="P10" s="37" t="n">
        <v>260</v>
      </c>
      <c r="Q10" s="36" t="inlineStr">
        <is>
          <t>Nationwide</t>
        </is>
      </c>
      <c r="R10" s="36" t="n"/>
      <c r="S10" s="36">
        <f>COUNTIF('Page-Keyword Map'!$A$2:$A$675,B10)</f>
        <v/>
      </c>
      <c r="T10" s="37">
        <f>SUMIF('Page-Keyword Map'!$A$2:$A$675,B10,'Page-Keyword Map'!$H$2:$H$675)</f>
        <v/>
      </c>
      <c r="U10" s="36">
        <f>COUNTIFS('Page-Keyword Map'!$A$2:$A$675,B10,'Page-Keyword Map'!$E$2:$E$675,"Nationwide")</f>
        <v/>
      </c>
      <c r="V10" s="36">
        <f>COUNTIFS('Page-Keyword Map'!$A$2:$A$675,B10,'Page-Keyword Map'!$E$2:$E$675,"Provincial")</f>
        <v/>
      </c>
      <c r="W10" s="36">
        <f>COUNTIFS('Page-Keyword Map'!$A$2:$A$675,B10,'Page-Keyword Map'!$E$2:$E$675,"City")</f>
        <v/>
      </c>
      <c r="X10" s="36">
        <f>IF(O10="","",IF(ISNUMBER(SEARCH(O10,J10)),"Yes","No"))</f>
        <v/>
      </c>
      <c r="Y10" s="36" t="n">
        <v>0.6</v>
      </c>
      <c r="Z10" s="36" t="inlineStr">
        <is>
          <t>sitemap-core.xml</t>
        </is>
      </c>
      <c r="AA10" s="36" t="inlineStr">
        <is>
          <t>Live – indexable</t>
        </is>
      </c>
      <c r="AB10" s="38" t="n"/>
      <c r="AC10" s="38" t="n"/>
    </row>
    <row r="11" ht="23.85" customHeight="1" s="22">
      <c r="A11" s="36" t="inlineStr">
        <is>
          <t>P0010</t>
        </is>
      </c>
      <c r="B11" s="36" t="inlineStr">
        <is>
          <t>https://instasure.ca/compare/</t>
        </is>
      </c>
      <c r="C11" s="36" t="inlineStr">
        <is>
          <t>Static / tool</t>
        </is>
      </c>
      <c r="D11" s="36" t="inlineStr">
        <is>
          <t>Site, tools &amp; trust</t>
        </is>
      </c>
      <c r="E11" s="36" t="n"/>
      <c r="F11" s="36" t="n"/>
      <c r="G11" s="36" t="n"/>
      <c r="H11" s="36" t="n"/>
      <c r="I11" s="36" t="inlineStr">
        <is>
          <t>Yes</t>
        </is>
      </c>
      <c r="J11" s="25" t="inlineStr">
        <is>
          <t>Compare life insurance options in Canada (2026) | Instasure.ca</t>
        </is>
      </c>
      <c r="K11" s="36">
        <f>LEN(J11)</f>
        <v/>
      </c>
      <c r="L11" s="25" t="inlineStr">
        <is>
          <t>Side-by-side comparison of life insurance options in Canada — price, underwriting speed, medical requirements and features — with instant estimates and licensed…</t>
        </is>
      </c>
      <c r="M11" s="36">
        <f>LEN(L11)</f>
        <v/>
      </c>
      <c r="N11" s="25" t="inlineStr">
        <is>
          <t>Compare life insurance options</t>
        </is>
      </c>
      <c r="O11" s="36" t="inlineStr">
        <is>
          <t>compare insurance quotes canada</t>
        </is>
      </c>
      <c r="P11" s="37" t="n">
        <v>1000</v>
      </c>
      <c r="Q11" s="36" t="inlineStr">
        <is>
          <t>Nationwide</t>
        </is>
      </c>
      <c r="R11" s="36" t="n"/>
      <c r="S11" s="36">
        <f>COUNTIF('Page-Keyword Map'!$A$2:$A$675,B11)</f>
        <v/>
      </c>
      <c r="T11" s="37">
        <f>SUMIF('Page-Keyword Map'!$A$2:$A$675,B11,'Page-Keyword Map'!$H$2:$H$675)</f>
        <v/>
      </c>
      <c r="U11" s="36">
        <f>COUNTIFS('Page-Keyword Map'!$A$2:$A$675,B11,'Page-Keyword Map'!$E$2:$E$675,"Nationwide")</f>
        <v/>
      </c>
      <c r="V11" s="36">
        <f>COUNTIFS('Page-Keyword Map'!$A$2:$A$675,B11,'Page-Keyword Map'!$E$2:$E$675,"Provincial")</f>
        <v/>
      </c>
      <c r="W11" s="36">
        <f>COUNTIFS('Page-Keyword Map'!$A$2:$A$675,B11,'Page-Keyword Map'!$E$2:$E$675,"City")</f>
        <v/>
      </c>
      <c r="X11" s="36">
        <f>IF(O11="","",IF(ISNUMBER(SEARCH(O11,J11)),"Yes","No"))</f>
        <v/>
      </c>
      <c r="Y11" s="36" t="n">
        <v>0.7</v>
      </c>
      <c r="Z11" s="36" t="inlineStr">
        <is>
          <t>sitemap-core.xml</t>
        </is>
      </c>
      <c r="AA11" s="36" t="inlineStr">
        <is>
          <t>Live – indexable</t>
        </is>
      </c>
      <c r="AB11" s="38" t="n"/>
      <c r="AC11" s="38" t="n"/>
    </row>
    <row r="12" ht="23.85" customHeight="1" s="22">
      <c r="A12" s="36" t="inlineStr">
        <is>
          <t>P0011</t>
        </is>
      </c>
      <c r="B12" s="36" t="inlineStr">
        <is>
          <t>https://instasure.ca/contact/</t>
        </is>
      </c>
      <c r="C12" s="36" t="inlineStr">
        <is>
          <t>Static / tool</t>
        </is>
      </c>
      <c r="D12" s="36" t="inlineStr">
        <is>
          <t>Site, tools &amp; trust</t>
        </is>
      </c>
      <c r="E12" s="36" t="n"/>
      <c r="F12" s="36" t="n"/>
      <c r="G12" s="36" t="n"/>
      <c r="H12" s="36" t="n"/>
      <c r="I12" s="36" t="inlineStr">
        <is>
          <t>Yes</t>
        </is>
      </c>
      <c r="J12" s="25" t="inlineStr">
        <is>
          <t>Contact Instasure — Book a Free Licensed Advisor Review</t>
        </is>
      </c>
      <c r="K12" s="36">
        <f>LEN(J12)</f>
        <v/>
      </c>
      <c r="L12" s="25" t="inlineStr">
        <is>
          <t>Book a free, no-obligation insurance review with an advisor licensed in your province, or send us a question.</t>
        </is>
      </c>
      <c r="M12" s="36">
        <f>LEN(L12)</f>
        <v/>
      </c>
      <c r="N12" s="25" t="inlineStr">
        <is>
          <t>Talk to a licensed advisor</t>
        </is>
      </c>
      <c r="O12" s="36" t="n"/>
      <c r="P12" s="37" t="n"/>
      <c r="Q12" s="36" t="n"/>
      <c r="R12" s="36" t="n"/>
      <c r="S12" s="36">
        <f>COUNTIF('Page-Keyword Map'!$A$2:$A$675,B12)</f>
        <v/>
      </c>
      <c r="T12" s="37">
        <f>SUMIF('Page-Keyword Map'!$A$2:$A$675,B12,'Page-Keyword Map'!$H$2:$H$675)</f>
        <v/>
      </c>
      <c r="U12" s="36">
        <f>COUNTIFS('Page-Keyword Map'!$A$2:$A$675,B12,'Page-Keyword Map'!$E$2:$E$675,"Nationwide")</f>
        <v/>
      </c>
      <c r="V12" s="36">
        <f>COUNTIFS('Page-Keyword Map'!$A$2:$A$675,B12,'Page-Keyword Map'!$E$2:$E$675,"Provincial")</f>
        <v/>
      </c>
      <c r="W12" s="36">
        <f>COUNTIFS('Page-Keyword Map'!$A$2:$A$675,B12,'Page-Keyword Map'!$E$2:$E$675,"City")</f>
        <v/>
      </c>
      <c r="X12" s="36">
        <f>IF(O12="","",IF(ISNUMBER(SEARCH(O12,J12)),"Yes","No"))</f>
        <v/>
      </c>
      <c r="Y12" s="36" t="n">
        <v>0.4</v>
      </c>
      <c r="Z12" s="36" t="inlineStr">
        <is>
          <t>sitemap-core.xml</t>
        </is>
      </c>
      <c r="AA12" s="36" t="inlineStr">
        <is>
          <t>Live – indexable</t>
        </is>
      </c>
      <c r="AB12" s="38" t="n"/>
      <c r="AC12" s="38" t="n"/>
    </row>
    <row r="13" ht="23.85" customHeight="1" s="22">
      <c r="A13" s="36" t="inlineStr">
        <is>
          <t>P0012</t>
        </is>
      </c>
      <c r="B13" s="36" t="inlineStr">
        <is>
          <t>https://instasure.ca/editorial-guidelines/</t>
        </is>
      </c>
      <c r="C13" s="36" t="inlineStr">
        <is>
          <t>Static / tool</t>
        </is>
      </c>
      <c r="D13" s="36" t="inlineStr">
        <is>
          <t>Site, tools &amp; trust</t>
        </is>
      </c>
      <c r="E13" s="36" t="n"/>
      <c r="F13" s="36" t="n"/>
      <c r="G13" s="36" t="n"/>
      <c r="H13" s="36" t="n"/>
      <c r="I13" s="36" t="inlineStr">
        <is>
          <t>Yes</t>
        </is>
      </c>
      <c r="J13" s="25" t="inlineStr">
        <is>
          <t>Editorial guidelines | Instasure.ca</t>
        </is>
      </c>
      <c r="K13" s="36">
        <f>LEN(J13)</f>
        <v/>
      </c>
      <c r="L13" s="25" t="inlineStr">
        <is>
          <t>How Instasure.ca researches, writes, reviews and updates its insurance guides — sources, expert review, corrections and independence.</t>
        </is>
      </c>
      <c r="M13" s="36">
        <f>LEN(L13)</f>
        <v/>
      </c>
      <c r="N13" s="25" t="inlineStr">
        <is>
          <t>Editorial guidelines</t>
        </is>
      </c>
      <c r="O13" s="36" t="n"/>
      <c r="P13" s="37" t="n"/>
      <c r="Q13" s="36" t="n"/>
      <c r="R13" s="36" t="n"/>
      <c r="S13" s="36">
        <f>COUNTIF('Page-Keyword Map'!$A$2:$A$675,B13)</f>
        <v/>
      </c>
      <c r="T13" s="37">
        <f>SUMIF('Page-Keyword Map'!$A$2:$A$675,B13,'Page-Keyword Map'!$H$2:$H$675)</f>
        <v/>
      </c>
      <c r="U13" s="36">
        <f>COUNTIFS('Page-Keyword Map'!$A$2:$A$675,B13,'Page-Keyword Map'!$E$2:$E$675,"Nationwide")</f>
        <v/>
      </c>
      <c r="V13" s="36">
        <f>COUNTIFS('Page-Keyword Map'!$A$2:$A$675,B13,'Page-Keyword Map'!$E$2:$E$675,"Provincial")</f>
        <v/>
      </c>
      <c r="W13" s="36">
        <f>COUNTIFS('Page-Keyword Map'!$A$2:$A$675,B13,'Page-Keyword Map'!$E$2:$E$675,"City")</f>
        <v/>
      </c>
      <c r="X13" s="36">
        <f>IF(O13="","",IF(ISNUMBER(SEARCH(O13,J13)),"Yes","No"))</f>
        <v/>
      </c>
      <c r="Y13" s="36" t="n">
        <v>0.4</v>
      </c>
      <c r="Z13" s="36" t="inlineStr">
        <is>
          <t>sitemap-core.xml</t>
        </is>
      </c>
      <c r="AA13" s="36" t="inlineStr">
        <is>
          <t>Live – indexable</t>
        </is>
      </c>
      <c r="AB13" s="38" t="n"/>
      <c r="AC13" s="38" t="n"/>
    </row>
    <row r="14" ht="23.85" customHeight="1" s="22">
      <c r="A14" s="36" t="inlineStr">
        <is>
          <t>P0013</t>
        </is>
      </c>
      <c r="B14" s="36" t="inlineStr">
        <is>
          <t>https://instasure.ca/glossary/</t>
        </is>
      </c>
      <c r="C14" s="36" t="inlineStr">
        <is>
          <t>Static / tool</t>
        </is>
      </c>
      <c r="D14" s="36" t="inlineStr">
        <is>
          <t>Site, tools &amp; trust</t>
        </is>
      </c>
      <c r="E14" s="36" t="n"/>
      <c r="F14" s="36" t="n"/>
      <c r="G14" s="36" t="n"/>
      <c r="H14" s="36" t="n"/>
      <c r="I14" s="36" t="inlineStr">
        <is>
          <t>Yes</t>
        </is>
      </c>
      <c r="J14" s="25" t="inlineStr">
        <is>
          <t>Canadian Insurance Glossary: Plain-Language Definitions</t>
        </is>
      </c>
      <c r="K14" s="36">
        <f>LEN(J14)</f>
        <v/>
      </c>
      <c r="L14" s="25" t="inlineStr">
        <is>
          <t>Plain-language definitions of Canadian insurance terms — from accident benefits and DCPD to riders, simplified issue and deductible assessments.</t>
        </is>
      </c>
      <c r="M14" s="36">
        <f>LEN(L14)</f>
        <v/>
      </c>
      <c r="N14" s="25" t="inlineStr">
        <is>
          <t>Canadian insurance glossary</t>
        </is>
      </c>
      <c r="O14" s="36" t="inlineStr">
        <is>
          <t>car insurance deductible</t>
        </is>
      </c>
      <c r="P14" s="37" t="n">
        <v>880</v>
      </c>
      <c r="Q14" s="36" t="inlineStr">
        <is>
          <t>Nationwide</t>
        </is>
      </c>
      <c r="R14" s="36" t="n"/>
      <c r="S14" s="36">
        <f>COUNTIF('Page-Keyword Map'!$A$2:$A$675,B14)</f>
        <v/>
      </c>
      <c r="T14" s="37">
        <f>SUMIF('Page-Keyword Map'!$A$2:$A$675,B14,'Page-Keyword Map'!$H$2:$H$675)</f>
        <v/>
      </c>
      <c r="U14" s="36">
        <f>COUNTIFS('Page-Keyword Map'!$A$2:$A$675,B14,'Page-Keyword Map'!$E$2:$E$675,"Nationwide")</f>
        <v/>
      </c>
      <c r="V14" s="36">
        <f>COUNTIFS('Page-Keyword Map'!$A$2:$A$675,B14,'Page-Keyword Map'!$E$2:$E$675,"Provincial")</f>
        <v/>
      </c>
      <c r="W14" s="36">
        <f>COUNTIFS('Page-Keyword Map'!$A$2:$A$675,B14,'Page-Keyword Map'!$E$2:$E$675,"City")</f>
        <v/>
      </c>
      <c r="X14" s="36">
        <f>IF(O14="","",IF(ISNUMBER(SEARCH(O14,J14)),"Yes","No"))</f>
        <v/>
      </c>
      <c r="Y14" s="36" t="n">
        <v>0.5</v>
      </c>
      <c r="Z14" s="36" t="inlineStr">
        <is>
          <t>sitemap-core.xml</t>
        </is>
      </c>
      <c r="AA14" s="36" t="inlineStr">
        <is>
          <t>Live – indexable</t>
        </is>
      </c>
      <c r="AB14" s="38" t="n"/>
      <c r="AC14" s="38" t="n"/>
    </row>
    <row r="15" ht="23.85" customHeight="1" s="22">
      <c r="A15" s="36" t="inlineStr">
        <is>
          <t>P0014</t>
        </is>
      </c>
      <c r="B15" s="36" t="inlineStr">
        <is>
          <t>https://instasure.ca/guides/</t>
        </is>
      </c>
      <c r="C15" s="36" t="inlineStr">
        <is>
          <t>Static / tool</t>
        </is>
      </c>
      <c r="D15" s="36" t="inlineStr">
        <is>
          <t>Site, tools &amp; trust</t>
        </is>
      </c>
      <c r="E15" s="36" t="n"/>
      <c r="F15" s="36" t="n"/>
      <c r="G15" s="36" t="n"/>
      <c r="H15" s="36" t="n"/>
      <c r="I15" s="36" t="inlineStr">
        <is>
          <t>Yes</t>
        </is>
      </c>
      <c r="J15" s="25" t="inlineStr">
        <is>
          <t>Insurance Guides for Canadians — Knowledge &amp; Risk Center</t>
        </is>
      </c>
      <c r="K15" s="36">
        <f>LEN(J15)</f>
        <v/>
      </c>
      <c r="L15" s="25" t="inlineStr">
        <is>
          <t>Plain-language Canadian insurance guides: life, critical illness, home, tenant, car, travel and business coverage — with calculators, province rules and…</t>
        </is>
      </c>
      <c r="M15" s="36">
        <f>LEN(L15)</f>
        <v/>
      </c>
      <c r="N15" s="25" t="inlineStr">
        <is>
          <t>Insurance Knowledge &amp; Risk Center</t>
        </is>
      </c>
      <c r="O15" s="36" t="n"/>
      <c r="P15" s="37" t="n"/>
      <c r="Q15" s="36" t="n"/>
      <c r="R15" s="36" t="n"/>
      <c r="S15" s="36">
        <f>COUNTIF('Page-Keyword Map'!$A$2:$A$675,B15)</f>
        <v/>
      </c>
      <c r="T15" s="37">
        <f>SUMIF('Page-Keyword Map'!$A$2:$A$675,B15,'Page-Keyword Map'!$H$2:$H$675)</f>
        <v/>
      </c>
      <c r="U15" s="36">
        <f>COUNTIFS('Page-Keyword Map'!$A$2:$A$675,B15,'Page-Keyword Map'!$E$2:$E$675,"Nationwide")</f>
        <v/>
      </c>
      <c r="V15" s="36">
        <f>COUNTIFS('Page-Keyword Map'!$A$2:$A$675,B15,'Page-Keyword Map'!$E$2:$E$675,"Provincial")</f>
        <v/>
      </c>
      <c r="W15" s="36">
        <f>COUNTIFS('Page-Keyword Map'!$A$2:$A$675,B15,'Page-Keyword Map'!$E$2:$E$675,"City")</f>
        <v/>
      </c>
      <c r="X15" s="36">
        <f>IF(O15="","",IF(ISNUMBER(SEARCH(O15,J15)),"Yes","No"))</f>
        <v/>
      </c>
      <c r="Y15" s="36" t="n">
        <v>0.8</v>
      </c>
      <c r="Z15" s="36" t="inlineStr">
        <is>
          <t>sitemap-core.xml</t>
        </is>
      </c>
      <c r="AA15" s="36" t="inlineStr">
        <is>
          <t>Live – indexable</t>
        </is>
      </c>
      <c r="AB15" s="38" t="n"/>
      <c r="AC15" s="38" t="n"/>
    </row>
    <row r="16" ht="23.85" customHeight="1" s="22">
      <c r="A16" s="36" t="inlineStr">
        <is>
          <t>P0015</t>
        </is>
      </c>
      <c r="B16" s="36" t="inlineStr">
        <is>
          <t>https://instasure.ca/how-we-make-money/</t>
        </is>
      </c>
      <c r="C16" s="36" t="inlineStr">
        <is>
          <t>Static / tool</t>
        </is>
      </c>
      <c r="D16" s="36" t="inlineStr">
        <is>
          <t>Site, tools &amp; trust</t>
        </is>
      </c>
      <c r="E16" s="36" t="n"/>
      <c r="F16" s="36" t="n"/>
      <c r="G16" s="36" t="n"/>
      <c r="H16" s="36" t="n"/>
      <c r="I16" s="36" t="inlineStr">
        <is>
          <t>Yes</t>
        </is>
      </c>
      <c r="J16" s="25" t="inlineStr">
        <is>
          <t>How Instasure makes money | Instasure.ca</t>
        </is>
      </c>
      <c r="K16" s="36">
        <f>LEN(J16)</f>
        <v/>
      </c>
      <c r="L16" s="25" t="inlineStr">
        <is>
          <t>Transparency about how Instasure.ca is paid, how advisors are compensated, and how that affects (and doesn’t affect) what you pay.</t>
        </is>
      </c>
      <c r="M16" s="36">
        <f>LEN(L16)</f>
        <v/>
      </c>
      <c r="N16" s="25" t="inlineStr">
        <is>
          <t>How Instasure makes money</t>
        </is>
      </c>
      <c r="O16" s="36" t="n"/>
      <c r="P16" s="37" t="n"/>
      <c r="Q16" s="36" t="n"/>
      <c r="R16" s="36" t="n"/>
      <c r="S16" s="36">
        <f>COUNTIF('Page-Keyword Map'!$A$2:$A$675,B16)</f>
        <v/>
      </c>
      <c r="T16" s="37">
        <f>SUMIF('Page-Keyword Map'!$A$2:$A$675,B16,'Page-Keyword Map'!$H$2:$H$675)</f>
        <v/>
      </c>
      <c r="U16" s="36">
        <f>COUNTIFS('Page-Keyword Map'!$A$2:$A$675,B16,'Page-Keyword Map'!$E$2:$E$675,"Nationwide")</f>
        <v/>
      </c>
      <c r="V16" s="36">
        <f>COUNTIFS('Page-Keyword Map'!$A$2:$A$675,B16,'Page-Keyword Map'!$E$2:$E$675,"Provincial")</f>
        <v/>
      </c>
      <c r="W16" s="36">
        <f>COUNTIFS('Page-Keyword Map'!$A$2:$A$675,B16,'Page-Keyword Map'!$E$2:$E$675,"City")</f>
        <v/>
      </c>
      <c r="X16" s="36">
        <f>IF(O16="","",IF(ISNUMBER(SEARCH(O16,J16)),"Yes","No"))</f>
        <v/>
      </c>
      <c r="Y16" s="36" t="n">
        <v>0.4</v>
      </c>
      <c r="Z16" s="36" t="inlineStr">
        <is>
          <t>sitemap-core.xml</t>
        </is>
      </c>
      <c r="AA16" s="36" t="inlineStr">
        <is>
          <t>Live – indexable</t>
        </is>
      </c>
      <c r="AB16" s="38" t="n"/>
      <c r="AC16" s="38" t="n"/>
    </row>
    <row r="17" ht="23.85" customHeight="1" s="22">
      <c r="A17" s="36" t="inlineStr">
        <is>
          <t>P0016</t>
        </is>
      </c>
      <c r="B17" s="36" t="inlineStr">
        <is>
          <t>https://instasure.ca/insights/rate-index/</t>
        </is>
      </c>
      <c r="C17" s="36" t="inlineStr">
        <is>
          <t>Static / tool</t>
        </is>
      </c>
      <c r="D17" s="36" t="inlineStr">
        <is>
          <t>Site, tools &amp; trust</t>
        </is>
      </c>
      <c r="E17" s="36" t="n"/>
      <c r="F17" s="36" t="n"/>
      <c r="G17" s="36" t="n"/>
      <c r="H17" s="36" t="n"/>
      <c r="I17" s="36" t="inlineStr">
        <is>
          <t>No</t>
        </is>
      </c>
      <c r="J17" s="25" t="inlineStr">
        <is>
          <t>Instasure Rate Index — Canadian Insurance Estimates (October 2026)</t>
        </is>
      </c>
      <c r="K17" s="36">
        <f>LEN(J17)</f>
        <v/>
      </c>
      <c r="L17" s="25" t="inlineStr">
        <is>
          <t>Quarterly index of Canadian insurance estimate ranges by product and province, built from anonymised Instasure quote requests.</t>
        </is>
      </c>
      <c r="M17" s="36">
        <f>LEN(L17)</f>
        <v/>
      </c>
      <c r="N17" s="25" t="inlineStr">
        <is>
          <t>Instasure Rate Index</t>
        </is>
      </c>
      <c r="O17" s="36" t="inlineStr">
        <is>
          <t>average car insurance cost canada</t>
        </is>
      </c>
      <c r="P17" s="37" t="n">
        <v>2900</v>
      </c>
      <c r="Q17" s="36" t="inlineStr">
        <is>
          <t>Nationwide</t>
        </is>
      </c>
      <c r="R17" s="36" t="n"/>
      <c r="S17" s="36">
        <f>COUNTIF('Page-Keyword Map'!$A$2:$A$675,B17)</f>
        <v/>
      </c>
      <c r="T17" s="37">
        <f>SUMIF('Page-Keyword Map'!$A$2:$A$675,B17,'Page-Keyword Map'!$H$2:$H$675)</f>
        <v/>
      </c>
      <c r="U17" s="36">
        <f>COUNTIFS('Page-Keyword Map'!$A$2:$A$675,B17,'Page-Keyword Map'!$E$2:$E$675,"Nationwide")</f>
        <v/>
      </c>
      <c r="V17" s="36">
        <f>COUNTIFS('Page-Keyword Map'!$A$2:$A$675,B17,'Page-Keyword Map'!$E$2:$E$675,"Provincial")</f>
        <v/>
      </c>
      <c r="W17" s="36">
        <f>COUNTIFS('Page-Keyword Map'!$A$2:$A$675,B17,'Page-Keyword Map'!$E$2:$E$675,"City")</f>
        <v/>
      </c>
      <c r="X17" s="36">
        <f>IF(O17="","",IF(ISNUMBER(SEARCH(O17,J17)),"Yes","No"))</f>
        <v/>
      </c>
      <c r="Y17" s="36" t="n">
        <v>0.7</v>
      </c>
      <c r="Z17" s="36" t="inlineStr">
        <is>
          <t>(not listed: noindex)</t>
        </is>
      </c>
      <c r="AA17" s="36" t="inlineStr">
        <is>
          <t>Live – noindex (enrich before indexing)</t>
        </is>
      </c>
      <c r="AB17" s="38" t="n"/>
      <c r="AC17" s="38" t="n"/>
    </row>
    <row r="18" ht="23.85" customHeight="1" s="22">
      <c r="A18" s="36" t="inlineStr">
        <is>
          <t>P0017</t>
        </is>
      </c>
      <c r="B18" s="36" t="inlineStr">
        <is>
          <t>https://instasure.ca/insurance-services/</t>
        </is>
      </c>
      <c r="C18" s="36" t="inlineStr">
        <is>
          <t>Static / tool</t>
        </is>
      </c>
      <c r="D18" s="36" t="inlineStr">
        <is>
          <t>Cross-product &amp; brand</t>
        </is>
      </c>
      <c r="E18" s="36" t="n"/>
      <c r="F18" s="36" t="n"/>
      <c r="G18" s="36" t="n"/>
      <c r="H18" s="36" t="n"/>
      <c r="I18" s="36" t="inlineStr">
        <is>
          <t>Yes</t>
        </is>
      </c>
      <c r="J18" s="25" t="inlineStr">
        <is>
          <t>All Insurance Services &amp; Specialist Desks in Canada</t>
        </is>
      </c>
      <c r="K18" s="36">
        <f>LEN(J18)</f>
        <v/>
      </c>
      <c r="L18" s="25" t="inlineStr">
        <is>
          <t>Every type of insurance Instasure covers, from car, home and life to pet, boat, landlord and commercial auto, plus specialist desks for hard-to-place needs.</t>
        </is>
      </c>
      <c r="M18" s="36">
        <f>LEN(L18)</f>
        <v/>
      </c>
      <c r="N18" s="25" t="inlineStr">
        <is>
          <t>Every kind of insurance, one licensed advisor</t>
        </is>
      </c>
      <c r="O18" s="36" t="inlineStr">
        <is>
          <t>types of insurance in canada</t>
        </is>
      </c>
      <c r="P18" s="37" t="n">
        <v>1000</v>
      </c>
      <c r="Q18" s="36" t="inlineStr">
        <is>
          <t>Nationwide</t>
        </is>
      </c>
      <c r="R18" s="36" t="n"/>
      <c r="S18" s="36">
        <f>COUNTIF('Page-Keyword Map'!$A$2:$A$675,B18)</f>
        <v/>
      </c>
      <c r="T18" s="37">
        <f>SUMIF('Page-Keyword Map'!$A$2:$A$675,B18,'Page-Keyword Map'!$H$2:$H$675)</f>
        <v/>
      </c>
      <c r="U18" s="36">
        <f>COUNTIFS('Page-Keyword Map'!$A$2:$A$675,B18,'Page-Keyword Map'!$E$2:$E$675,"Nationwide")</f>
        <v/>
      </c>
      <c r="V18" s="36">
        <f>COUNTIFS('Page-Keyword Map'!$A$2:$A$675,B18,'Page-Keyword Map'!$E$2:$E$675,"Provincial")</f>
        <v/>
      </c>
      <c r="W18" s="36">
        <f>COUNTIFS('Page-Keyword Map'!$A$2:$A$675,B18,'Page-Keyword Map'!$E$2:$E$675,"City")</f>
        <v/>
      </c>
      <c r="X18" s="36">
        <f>IF(O18="","",IF(ISNUMBER(SEARCH(O18,J18)),"Yes","No"))</f>
        <v/>
      </c>
      <c r="Y18" s="36" t="n">
        <v>0.8</v>
      </c>
      <c r="Z18" s="36" t="inlineStr">
        <is>
          <t>sitemap-core.xml</t>
        </is>
      </c>
      <c r="AA18" s="36" t="inlineStr">
        <is>
          <t>Live – indexable</t>
        </is>
      </c>
      <c r="AB18" s="38" t="n"/>
      <c r="AC18" s="38" t="n"/>
    </row>
    <row r="19" ht="23.85" customHeight="1" s="22">
      <c r="A19" s="36" t="inlineStr">
        <is>
          <t>P0018</t>
        </is>
      </c>
      <c r="B19" s="36" t="inlineStr">
        <is>
          <t>https://instasure.ca/insurance/</t>
        </is>
      </c>
      <c r="C19" s="36" t="inlineStr">
        <is>
          <t>Static / tool</t>
        </is>
      </c>
      <c r="D19" s="36" t="inlineStr">
        <is>
          <t>Multi-line (place hubs)</t>
        </is>
      </c>
      <c r="E19" s="36" t="n"/>
      <c r="F19" s="36" t="n"/>
      <c r="G19" s="36" t="n"/>
      <c r="H19" s="36" t="n"/>
      <c r="I19" s="36" t="inlineStr">
        <is>
          <t>Yes</t>
        </is>
      </c>
      <c r="J19" s="25" t="inlineStr">
        <is>
          <t>Insurance in Canada by Province &amp; Territory | Instasure.ca</t>
        </is>
      </c>
      <c r="K19" s="36">
        <f>LEN(J19)</f>
        <v/>
      </c>
      <c r="L19" s="25" t="inlineStr">
        <is>
          <t>How insurance works in each Canadian province and territory — regulators, public vs private auto insurance, local risks and licensed advisors.</t>
        </is>
      </c>
      <c r="M19" s="36">
        <f>LEN(L19)</f>
        <v/>
      </c>
      <c r="N19" s="25" t="inlineStr">
        <is>
          <t>Insurance in Canada, province by province</t>
        </is>
      </c>
      <c r="O19" s="36" t="n"/>
      <c r="P19" s="37" t="n"/>
      <c r="Q19" s="36" t="n"/>
      <c r="R19" s="36" t="n"/>
      <c r="S19" s="36">
        <f>COUNTIF('Page-Keyword Map'!$A$2:$A$675,B19)</f>
        <v/>
      </c>
      <c r="T19" s="37">
        <f>SUMIF('Page-Keyword Map'!$A$2:$A$675,B19,'Page-Keyword Map'!$H$2:$H$675)</f>
        <v/>
      </c>
      <c r="U19" s="36">
        <f>COUNTIFS('Page-Keyword Map'!$A$2:$A$675,B19,'Page-Keyword Map'!$E$2:$E$675,"Nationwide")</f>
        <v/>
      </c>
      <c r="V19" s="36">
        <f>COUNTIFS('Page-Keyword Map'!$A$2:$A$675,B19,'Page-Keyword Map'!$E$2:$E$675,"Provincial")</f>
        <v/>
      </c>
      <c r="W19" s="36">
        <f>COUNTIFS('Page-Keyword Map'!$A$2:$A$675,B19,'Page-Keyword Map'!$E$2:$E$675,"City")</f>
        <v/>
      </c>
      <c r="X19" s="36">
        <f>IF(O19="","",IF(ISNUMBER(SEARCH(O19,J19)),"Yes","No"))</f>
        <v/>
      </c>
      <c r="Y19" s="36" t="n">
        <v>0.7</v>
      </c>
      <c r="Z19" s="36" t="inlineStr">
        <is>
          <t>sitemap-core.xml</t>
        </is>
      </c>
      <c r="AA19" s="36" t="inlineStr">
        <is>
          <t>Live – indexable</t>
        </is>
      </c>
      <c r="AB19" s="38" t="n"/>
      <c r="AC19" s="38" t="n"/>
    </row>
    <row r="20" ht="23.85" customHeight="1" s="22">
      <c r="A20" s="36" t="inlineStr">
        <is>
          <t>P0019</t>
        </is>
      </c>
      <c r="B20" s="36" t="inlineStr">
        <is>
          <t>https://instasure.ca/licensing/</t>
        </is>
      </c>
      <c r="C20" s="36" t="inlineStr">
        <is>
          <t>Static / tool</t>
        </is>
      </c>
      <c r="D20" s="36" t="inlineStr">
        <is>
          <t>Site, tools &amp; trust</t>
        </is>
      </c>
      <c r="E20" s="36" t="n"/>
      <c r="F20" s="36" t="n"/>
      <c r="G20" s="36" t="n"/>
      <c r="H20" s="36" t="n"/>
      <c r="I20" s="36" t="inlineStr">
        <is>
          <t>Yes</t>
        </is>
      </c>
      <c r="J20" s="25" t="inlineStr">
        <is>
          <t>Licensing &amp; disclosures | Instasure.ca</t>
        </is>
      </c>
      <c r="K20" s="36">
        <f>LEN(J20)</f>
        <v/>
      </c>
      <c r="L20" s="25" t="inlineStr">
        <is>
          <t>Licensing, regulatory and complaint information for Instasure.ca and the licensed advisors who serve its users.</t>
        </is>
      </c>
      <c r="M20" s="36">
        <f>LEN(L20)</f>
        <v/>
      </c>
      <c r="N20" s="25" t="inlineStr">
        <is>
          <t>Licensing &amp; disclosures</t>
        </is>
      </c>
      <c r="O20" s="36" t="n"/>
      <c r="P20" s="37" t="n"/>
      <c r="Q20" s="36" t="n"/>
      <c r="R20" s="36" t="n"/>
      <c r="S20" s="36">
        <f>COUNTIF('Page-Keyword Map'!$A$2:$A$675,B20)</f>
        <v/>
      </c>
      <c r="T20" s="37">
        <f>SUMIF('Page-Keyword Map'!$A$2:$A$675,B20,'Page-Keyword Map'!$H$2:$H$675)</f>
        <v/>
      </c>
      <c r="U20" s="36">
        <f>COUNTIFS('Page-Keyword Map'!$A$2:$A$675,B20,'Page-Keyword Map'!$E$2:$E$675,"Nationwide")</f>
        <v/>
      </c>
      <c r="V20" s="36">
        <f>COUNTIFS('Page-Keyword Map'!$A$2:$A$675,B20,'Page-Keyword Map'!$E$2:$E$675,"Provincial")</f>
        <v/>
      </c>
      <c r="W20" s="36">
        <f>COUNTIFS('Page-Keyword Map'!$A$2:$A$675,B20,'Page-Keyword Map'!$E$2:$E$675,"City")</f>
        <v/>
      </c>
      <c r="X20" s="36">
        <f>IF(O20="","",IF(ISNUMBER(SEARCH(O20,J20)),"Yes","No"))</f>
        <v/>
      </c>
      <c r="Y20" s="36" t="n">
        <v>0.4</v>
      </c>
      <c r="Z20" s="36" t="inlineStr">
        <is>
          <t>sitemap-core.xml</t>
        </is>
      </c>
      <c r="AA20" s="36" t="inlineStr">
        <is>
          <t>Live – indexable</t>
        </is>
      </c>
      <c r="AB20" s="38" t="n"/>
      <c r="AC20" s="38" t="n"/>
    </row>
    <row r="21" ht="23.85" customHeight="1" s="22">
      <c r="A21" s="36" t="inlineStr">
        <is>
          <t>P0020</t>
        </is>
      </c>
      <c r="B21" s="36" t="inlineStr">
        <is>
          <t>https://instasure.ca/privacy/</t>
        </is>
      </c>
      <c r="C21" s="36" t="inlineStr">
        <is>
          <t>Static / tool</t>
        </is>
      </c>
      <c r="D21" s="36" t="inlineStr">
        <is>
          <t>Site, tools &amp; trust</t>
        </is>
      </c>
      <c r="E21" s="36" t="n"/>
      <c r="F21" s="36" t="n"/>
      <c r="G21" s="36" t="n"/>
      <c r="H21" s="36" t="n"/>
      <c r="I21" s="36" t="inlineStr">
        <is>
          <t>Yes</t>
        </is>
      </c>
      <c r="J21" s="25" t="inlineStr">
        <is>
          <t>Privacy policy | Instasure.ca</t>
        </is>
      </c>
      <c r="K21" s="36">
        <f>LEN(J21)</f>
        <v/>
      </c>
      <c r="L21" s="25" t="inlineStr">
        <is>
          <t>How Instasure.ca collects, uses, shares and protects personal information under PIPEDA and applicable provincial privacy laws, including Quebec’s Law 25.</t>
        </is>
      </c>
      <c r="M21" s="36">
        <f>LEN(L21)</f>
        <v/>
      </c>
      <c r="N21" s="25" t="inlineStr">
        <is>
          <t>Privacy policy</t>
        </is>
      </c>
      <c r="O21" s="36" t="n"/>
      <c r="P21" s="37" t="n"/>
      <c r="Q21" s="36" t="n"/>
      <c r="R21" s="36" t="n"/>
      <c r="S21" s="36">
        <f>COUNTIF('Page-Keyword Map'!$A$2:$A$675,B21)</f>
        <v/>
      </c>
      <c r="T21" s="37">
        <f>SUMIF('Page-Keyword Map'!$A$2:$A$675,B21,'Page-Keyword Map'!$H$2:$H$675)</f>
        <v/>
      </c>
      <c r="U21" s="36">
        <f>COUNTIFS('Page-Keyword Map'!$A$2:$A$675,B21,'Page-Keyword Map'!$E$2:$E$675,"Nationwide")</f>
        <v/>
      </c>
      <c r="V21" s="36">
        <f>COUNTIFS('Page-Keyword Map'!$A$2:$A$675,B21,'Page-Keyword Map'!$E$2:$E$675,"Provincial")</f>
        <v/>
      </c>
      <c r="W21" s="36">
        <f>COUNTIFS('Page-Keyword Map'!$A$2:$A$675,B21,'Page-Keyword Map'!$E$2:$E$675,"City")</f>
        <v/>
      </c>
      <c r="X21" s="36">
        <f>IF(O21="","",IF(ISNUMBER(SEARCH(O21,J21)),"Yes","No"))</f>
        <v/>
      </c>
      <c r="Y21" s="36" t="n">
        <v>0.2</v>
      </c>
      <c r="Z21" s="36" t="inlineStr">
        <is>
          <t>sitemap-core.xml</t>
        </is>
      </c>
      <c r="AA21" s="36" t="inlineStr">
        <is>
          <t>Live – indexable</t>
        </is>
      </c>
      <c r="AB21" s="38" t="n"/>
      <c r="AC21" s="38" t="n"/>
    </row>
    <row r="22" ht="23.85" customHeight="1" s="22">
      <c r="A22" s="36" t="inlineStr">
        <is>
          <t>P0021</t>
        </is>
      </c>
      <c r="B22" s="36" t="inlineStr">
        <is>
          <t>https://instasure.ca/quote/</t>
        </is>
      </c>
      <c r="C22" s="36" t="inlineStr">
        <is>
          <t>Static / tool</t>
        </is>
      </c>
      <c r="D22" s="36" t="inlineStr">
        <is>
          <t>Site, tools &amp; trust</t>
        </is>
      </c>
      <c r="E22" s="36" t="n"/>
      <c r="F22" s="36" t="n"/>
      <c r="G22" s="36" t="n"/>
      <c r="H22" s="36" t="n"/>
      <c r="I22" s="36" t="inlineStr">
        <is>
          <t>Yes</t>
        </is>
      </c>
      <c r="J22" s="25" t="inlineStr">
        <is>
          <t>Get an Instant Insurance Quote in Canada | Instasure.ca</t>
        </is>
      </c>
      <c r="K22" s="36">
        <f>LEN(J22)</f>
        <v/>
      </c>
      <c r="L22" s="25" t="inlineStr">
        <is>
          <t>Choose your coverage and get an instant premium estimate in about 60 seconds — life, critical illness, disability, home, tenant, condo, car, travel, Super Visa and…</t>
        </is>
      </c>
      <c r="M22" s="36">
        <f>LEN(L22)</f>
        <v/>
      </c>
      <c r="N22" s="25" t="inlineStr">
        <is>
          <t>What would you like to insure?</t>
        </is>
      </c>
      <c r="O22" s="36" t="inlineStr">
        <is>
          <t>insurance quotes</t>
        </is>
      </c>
      <c r="P22" s="37" t="n">
        <v>6600</v>
      </c>
      <c r="Q22" s="36" t="inlineStr">
        <is>
          <t>Nationwide</t>
        </is>
      </c>
      <c r="R22" s="36" t="n"/>
      <c r="S22" s="36">
        <f>COUNTIF('Page-Keyword Map'!$A$2:$A$675,B22)</f>
        <v/>
      </c>
      <c r="T22" s="37">
        <f>SUMIF('Page-Keyword Map'!$A$2:$A$675,B22,'Page-Keyword Map'!$H$2:$H$675)</f>
        <v/>
      </c>
      <c r="U22" s="36">
        <f>COUNTIFS('Page-Keyword Map'!$A$2:$A$675,B22,'Page-Keyword Map'!$E$2:$E$675,"Nationwide")</f>
        <v/>
      </c>
      <c r="V22" s="36">
        <f>COUNTIFS('Page-Keyword Map'!$A$2:$A$675,B22,'Page-Keyword Map'!$E$2:$E$675,"Provincial")</f>
        <v/>
      </c>
      <c r="W22" s="36">
        <f>COUNTIFS('Page-Keyword Map'!$A$2:$A$675,B22,'Page-Keyword Map'!$E$2:$E$675,"City")</f>
        <v/>
      </c>
      <c r="X22" s="36">
        <f>IF(O22="","",IF(ISNUMBER(SEARCH(O22,J22)),"Yes","No"))</f>
        <v/>
      </c>
      <c r="Y22" s="36" t="n">
        <v>0.9</v>
      </c>
      <c r="Z22" s="36" t="inlineStr">
        <is>
          <t>sitemap-core.xml</t>
        </is>
      </c>
      <c r="AA22" s="36" t="inlineStr">
        <is>
          <t>Live – indexable</t>
        </is>
      </c>
      <c r="AB22" s="38" t="n"/>
      <c r="AC22" s="38" t="n"/>
    </row>
    <row r="23" ht="15" customHeight="1" s="22">
      <c r="A23" s="36" t="inlineStr">
        <is>
          <t>P0022</t>
        </is>
      </c>
      <c r="B23" s="36" t="inlineStr">
        <is>
          <t>https://instasure.ca/site-map/</t>
        </is>
      </c>
      <c r="C23" s="36" t="inlineStr">
        <is>
          <t>Static / tool</t>
        </is>
      </c>
      <c r="D23" s="36" t="inlineStr">
        <is>
          <t>Site, tools &amp; trust</t>
        </is>
      </c>
      <c r="E23" s="36" t="n"/>
      <c r="F23" s="36" t="n"/>
      <c r="G23" s="36" t="n"/>
      <c r="H23" s="36" t="n"/>
      <c r="I23" s="36" t="inlineStr">
        <is>
          <t>Yes</t>
        </is>
      </c>
      <c r="J23" s="25" t="inlineStr">
        <is>
          <t>Site map | Instasure.ca</t>
        </is>
      </c>
      <c r="K23" s="36">
        <f>LEN(J23)</f>
        <v/>
      </c>
      <c r="L23" s="25" t="inlineStr">
        <is>
          <t>Every guide, product, province and city page on Instasure.ca.</t>
        </is>
      </c>
      <c r="M23" s="36">
        <f>LEN(L23)</f>
        <v/>
      </c>
      <c r="N23" s="25" t="inlineStr">
        <is>
          <t>Site map</t>
        </is>
      </c>
      <c r="O23" s="36" t="n"/>
      <c r="P23" s="37" t="n"/>
      <c r="Q23" s="36" t="n"/>
      <c r="R23" s="36" t="n"/>
      <c r="S23" s="36">
        <f>COUNTIF('Page-Keyword Map'!$A$2:$A$675,B23)</f>
        <v/>
      </c>
      <c r="T23" s="37">
        <f>SUMIF('Page-Keyword Map'!$A$2:$A$675,B23,'Page-Keyword Map'!$H$2:$H$675)</f>
        <v/>
      </c>
      <c r="U23" s="36">
        <f>COUNTIFS('Page-Keyword Map'!$A$2:$A$675,B23,'Page-Keyword Map'!$E$2:$E$675,"Nationwide")</f>
        <v/>
      </c>
      <c r="V23" s="36">
        <f>COUNTIFS('Page-Keyword Map'!$A$2:$A$675,B23,'Page-Keyword Map'!$E$2:$E$675,"Provincial")</f>
        <v/>
      </c>
      <c r="W23" s="36">
        <f>COUNTIFS('Page-Keyword Map'!$A$2:$A$675,B23,'Page-Keyword Map'!$E$2:$E$675,"City")</f>
        <v/>
      </c>
      <c r="X23" s="36">
        <f>IF(O23="","",IF(ISNUMBER(SEARCH(O23,J23)),"Yes","No"))</f>
        <v/>
      </c>
      <c r="Y23" s="36" t="n">
        <v>0.3</v>
      </c>
      <c r="Z23" s="36" t="inlineStr">
        <is>
          <t>sitemap-core.xml</t>
        </is>
      </c>
      <c r="AA23" s="36" t="inlineStr">
        <is>
          <t>Live – indexable</t>
        </is>
      </c>
      <c r="AB23" s="38" t="n"/>
      <c r="AC23" s="38" t="n"/>
    </row>
    <row r="24" ht="15" customHeight="1" s="22">
      <c r="A24" s="36" t="inlineStr">
        <is>
          <t>P0023</t>
        </is>
      </c>
      <c r="B24" s="36" t="inlineStr">
        <is>
          <t>https://instasure.ca/terms/</t>
        </is>
      </c>
      <c r="C24" s="36" t="inlineStr">
        <is>
          <t>Static / tool</t>
        </is>
      </c>
      <c r="D24" s="36" t="inlineStr">
        <is>
          <t>Site, tools &amp; trust</t>
        </is>
      </c>
      <c r="E24" s="36" t="n"/>
      <c r="F24" s="36" t="n"/>
      <c r="G24" s="36" t="n"/>
      <c r="H24" s="36" t="n"/>
      <c r="I24" s="36" t="inlineStr">
        <is>
          <t>Yes</t>
        </is>
      </c>
      <c r="J24" s="25" t="inlineStr">
        <is>
          <t>Terms of use | Instasure.ca</t>
        </is>
      </c>
      <c r="K24" s="36">
        <f>LEN(J24)</f>
        <v/>
      </c>
      <c r="L24" s="25" t="inlineStr">
        <is>
          <t>Terms governing your use of Instasure.ca, its guides, calculators and instant estimates.</t>
        </is>
      </c>
      <c r="M24" s="36">
        <f>LEN(L24)</f>
        <v/>
      </c>
      <c r="N24" s="25" t="inlineStr">
        <is>
          <t>Terms of use</t>
        </is>
      </c>
      <c r="O24" s="36" t="n"/>
      <c r="P24" s="37" t="n"/>
      <c r="Q24" s="36" t="n"/>
      <c r="R24" s="36" t="n"/>
      <c r="S24" s="36">
        <f>COUNTIF('Page-Keyword Map'!$A$2:$A$675,B24)</f>
        <v/>
      </c>
      <c r="T24" s="37">
        <f>SUMIF('Page-Keyword Map'!$A$2:$A$675,B24,'Page-Keyword Map'!$H$2:$H$675)</f>
        <v/>
      </c>
      <c r="U24" s="36">
        <f>COUNTIFS('Page-Keyword Map'!$A$2:$A$675,B24,'Page-Keyword Map'!$E$2:$E$675,"Nationwide")</f>
        <v/>
      </c>
      <c r="V24" s="36">
        <f>COUNTIFS('Page-Keyword Map'!$A$2:$A$675,B24,'Page-Keyword Map'!$E$2:$E$675,"Provincial")</f>
        <v/>
      </c>
      <c r="W24" s="36">
        <f>COUNTIFS('Page-Keyword Map'!$A$2:$A$675,B24,'Page-Keyword Map'!$E$2:$E$675,"City")</f>
        <v/>
      </c>
      <c r="X24" s="36">
        <f>IF(O24="","",IF(ISNUMBER(SEARCH(O24,J24)),"Yes","No"))</f>
        <v/>
      </c>
      <c r="Y24" s="36" t="n">
        <v>0.2</v>
      </c>
      <c r="Z24" s="36" t="inlineStr">
        <is>
          <t>sitemap-core.xml</t>
        </is>
      </c>
      <c r="AA24" s="36" t="inlineStr">
        <is>
          <t>Live – indexable</t>
        </is>
      </c>
      <c r="AB24" s="38" t="n"/>
      <c r="AC24" s="38" t="n"/>
    </row>
    <row r="25" ht="23.85" customHeight="1" s="22">
      <c r="A25" s="36" t="inlineStr">
        <is>
          <t>P0024</t>
        </is>
      </c>
      <c r="B25" s="36" t="inlineStr">
        <is>
          <t>https://instasure.ca/business-insurance/</t>
        </is>
      </c>
      <c r="C25" s="36" t="inlineStr">
        <is>
          <t>Product pillar</t>
        </is>
      </c>
      <c r="D25" s="36" t="inlineStr">
        <is>
          <t>Business insurance</t>
        </is>
      </c>
      <c r="E25" s="36" t="inlineStr">
        <is>
          <t>Business Insurance</t>
        </is>
      </c>
      <c r="F25" s="36" t="n"/>
      <c r="G25" s="36" t="n"/>
      <c r="H25" s="36" t="n"/>
      <c r="I25" s="36" t="inlineStr">
        <is>
          <t>Yes</t>
        </is>
      </c>
      <c r="J25" s="25" t="inlineStr">
        <is>
          <t>Small Business Insurance (2026) | Instasure.ca</t>
        </is>
      </c>
      <c r="K25" s="36">
        <f>LEN(J25)</f>
        <v/>
      </c>
      <c r="L25" s="25" t="inlineStr">
        <is>
          <t>From sole proprietors to growing teams — the coverage clients, landlords and contracts require. Instant business insurance estimates for every province,…</t>
        </is>
      </c>
      <c r="M25" s="36">
        <f>LEN(L25)</f>
        <v/>
      </c>
      <c r="N25" s="25" t="inlineStr">
        <is>
          <t>Small Business Insurance: Liability, Property &amp; Professional Coverage</t>
        </is>
      </c>
      <c r="O25" s="36" t="inlineStr">
        <is>
          <t>business insurance</t>
        </is>
      </c>
      <c r="P25" s="37" t="n">
        <v>8100</v>
      </c>
      <c r="Q25" s="36" t="inlineStr">
        <is>
          <t>Nationwide</t>
        </is>
      </c>
      <c r="R25" s="36" t="n"/>
      <c r="S25" s="36">
        <f>COUNTIF('Page-Keyword Map'!$A$2:$A$675,B25)</f>
        <v/>
      </c>
      <c r="T25" s="37">
        <f>SUMIF('Page-Keyword Map'!$A$2:$A$675,B25,'Page-Keyword Map'!$H$2:$H$675)</f>
        <v/>
      </c>
      <c r="U25" s="36">
        <f>COUNTIFS('Page-Keyword Map'!$A$2:$A$675,B25,'Page-Keyword Map'!$E$2:$E$675,"Nationwide")</f>
        <v/>
      </c>
      <c r="V25" s="36">
        <f>COUNTIFS('Page-Keyword Map'!$A$2:$A$675,B25,'Page-Keyword Map'!$E$2:$E$675,"Provincial")</f>
        <v/>
      </c>
      <c r="W25" s="36">
        <f>COUNTIFS('Page-Keyword Map'!$A$2:$A$675,B25,'Page-Keyword Map'!$E$2:$E$675,"City")</f>
        <v/>
      </c>
      <c r="X25" s="36">
        <f>IF(O25="","",IF(ISNUMBER(SEARCH(O25,J25)),"Yes","No"))</f>
        <v/>
      </c>
      <c r="Y25" s="36" t="n">
        <v>0.9</v>
      </c>
      <c r="Z25" s="36" t="inlineStr">
        <is>
          <t>sitemap-core.xml</t>
        </is>
      </c>
      <c r="AA25" s="36" t="inlineStr">
        <is>
          <t>Live – indexable</t>
        </is>
      </c>
      <c r="AB25" s="38" t="n"/>
      <c r="AC25" s="38" t="n"/>
    </row>
    <row r="26" ht="23.85" customHeight="1" s="22">
      <c r="A26" s="36" t="inlineStr">
        <is>
          <t>P0025</t>
        </is>
      </c>
      <c r="B26" s="36" t="inlineStr">
        <is>
          <t>https://instasure.ca/car-insurance/</t>
        </is>
      </c>
      <c r="C26" s="36" t="inlineStr">
        <is>
          <t>Product pillar</t>
        </is>
      </c>
      <c r="D26" s="36" t="inlineStr">
        <is>
          <t>Car insurance</t>
        </is>
      </c>
      <c r="E26" s="36" t="inlineStr">
        <is>
          <t>Car Insurance</t>
        </is>
      </c>
      <c r="F26" s="36" t="n"/>
      <c r="G26" s="36" t="n"/>
      <c r="H26" s="36" t="n"/>
      <c r="I26" s="36" t="inlineStr">
        <is>
          <t>Yes</t>
        </is>
      </c>
      <c r="J26" s="25" t="inlineStr">
        <is>
          <t>Car Insurance Quotes (2026) | Instasure.ca</t>
        </is>
      </c>
      <c r="K26" s="36">
        <f>LEN(J26)</f>
        <v/>
      </c>
      <c r="L26" s="25" t="inlineStr">
        <is>
          <t>See what drivers like you pay, then let a licensed advisor compare insurers for you. Instant car insurance estimates for every province, plain-language guidance…</t>
        </is>
      </c>
      <c r="M26" s="36">
        <f>LEN(L26)</f>
        <v/>
      </c>
      <c r="N26" s="25" t="inlineStr">
        <is>
          <t>Car Insurance Quotes: Compare Rates in Minutes</t>
        </is>
      </c>
      <c r="O26" s="36" t="inlineStr">
        <is>
          <t>car insurance</t>
        </is>
      </c>
      <c r="P26" s="37" t="n">
        <v>74000</v>
      </c>
      <c r="Q26" s="36" t="inlineStr">
        <is>
          <t>Nationwide</t>
        </is>
      </c>
      <c r="R26" s="36" t="n"/>
      <c r="S26" s="36">
        <f>COUNTIF('Page-Keyword Map'!$A$2:$A$675,B26)</f>
        <v/>
      </c>
      <c r="T26" s="37">
        <f>SUMIF('Page-Keyword Map'!$A$2:$A$675,B26,'Page-Keyword Map'!$H$2:$H$675)</f>
        <v/>
      </c>
      <c r="U26" s="36">
        <f>COUNTIFS('Page-Keyword Map'!$A$2:$A$675,B26,'Page-Keyword Map'!$E$2:$E$675,"Nationwide")</f>
        <v/>
      </c>
      <c r="V26" s="36">
        <f>COUNTIFS('Page-Keyword Map'!$A$2:$A$675,B26,'Page-Keyword Map'!$E$2:$E$675,"Provincial")</f>
        <v/>
      </c>
      <c r="W26" s="36">
        <f>COUNTIFS('Page-Keyword Map'!$A$2:$A$675,B26,'Page-Keyword Map'!$E$2:$E$675,"City")</f>
        <v/>
      </c>
      <c r="X26" s="36">
        <f>IF(O26="","",IF(ISNUMBER(SEARCH(O26,J26)),"Yes","No"))</f>
        <v/>
      </c>
      <c r="Y26" s="36" t="n">
        <v>0.9</v>
      </c>
      <c r="Z26" s="36" t="inlineStr">
        <is>
          <t>sitemap-core.xml</t>
        </is>
      </c>
      <c r="AA26" s="36" t="inlineStr">
        <is>
          <t>Live – indexable</t>
        </is>
      </c>
      <c r="AB26" s="38" t="n"/>
      <c r="AC26" s="38" t="n"/>
    </row>
    <row r="27" ht="23.85" customHeight="1" s="22">
      <c r="A27" s="36" t="inlineStr">
        <is>
          <t>P0026</t>
        </is>
      </c>
      <c r="B27" s="36" t="inlineStr">
        <is>
          <t>https://instasure.ca/condo-insurance/</t>
        </is>
      </c>
      <c r="C27" s="36" t="inlineStr">
        <is>
          <t>Product pillar</t>
        </is>
      </c>
      <c r="D27" s="36" t="inlineStr">
        <is>
          <t>Condo insurance</t>
        </is>
      </c>
      <c r="E27" s="36" t="inlineStr">
        <is>
          <t>Condo Insurance</t>
        </is>
      </c>
      <c r="F27" s="36" t="n"/>
      <c r="G27" s="36" t="n"/>
      <c r="H27" s="36" t="n"/>
      <c r="I27" s="36" t="inlineStr">
        <is>
          <t>Yes</t>
        </is>
      </c>
      <c r="J27" s="25" t="inlineStr">
        <is>
          <t>Condo Insurance (2026) | Instasure.ca</t>
        </is>
      </c>
      <c r="K27" s="36">
        <f>LEN(J27)</f>
        <v/>
      </c>
      <c r="L27" s="25" t="inlineStr">
        <is>
          <t>Your corporation’s policy covers the building — not your belongings, upgrades or your share of a large deductible. Instant condo insurance estimates for every…</t>
        </is>
      </c>
      <c r="M27" s="36">
        <f>LEN(L27)</f>
        <v/>
      </c>
      <c r="N27" s="25" t="inlineStr">
        <is>
          <t>Condo Insurance: Unit, Improvements &amp; Deductible Assessment Coverage</t>
        </is>
      </c>
      <c r="O27" s="36" t="inlineStr">
        <is>
          <t>condo insurance</t>
        </is>
      </c>
      <c r="P27" s="37" t="n">
        <v>6600</v>
      </c>
      <c r="Q27" s="36" t="inlineStr">
        <is>
          <t>Nationwide</t>
        </is>
      </c>
      <c r="R27" s="36" t="n"/>
      <c r="S27" s="36">
        <f>COUNTIF('Page-Keyword Map'!$A$2:$A$675,B27)</f>
        <v/>
      </c>
      <c r="T27" s="37">
        <f>SUMIF('Page-Keyword Map'!$A$2:$A$675,B27,'Page-Keyword Map'!$H$2:$H$675)</f>
        <v/>
      </c>
      <c r="U27" s="36">
        <f>COUNTIFS('Page-Keyword Map'!$A$2:$A$675,B27,'Page-Keyword Map'!$E$2:$E$675,"Nationwide")</f>
        <v/>
      </c>
      <c r="V27" s="36">
        <f>COUNTIFS('Page-Keyword Map'!$A$2:$A$675,B27,'Page-Keyword Map'!$E$2:$E$675,"Provincial")</f>
        <v/>
      </c>
      <c r="W27" s="36">
        <f>COUNTIFS('Page-Keyword Map'!$A$2:$A$675,B27,'Page-Keyword Map'!$E$2:$E$675,"City")</f>
        <v/>
      </c>
      <c r="X27" s="36">
        <f>IF(O27="","",IF(ISNUMBER(SEARCH(O27,J27)),"Yes","No"))</f>
        <v/>
      </c>
      <c r="Y27" s="36" t="n">
        <v>0.9</v>
      </c>
      <c r="Z27" s="36" t="inlineStr">
        <is>
          <t>sitemap-core.xml</t>
        </is>
      </c>
      <c r="AA27" s="36" t="inlineStr">
        <is>
          <t>Live – indexable</t>
        </is>
      </c>
      <c r="AB27" s="38" t="n"/>
      <c r="AC27" s="38" t="n"/>
    </row>
    <row r="28" ht="23.85" customHeight="1" s="22">
      <c r="A28" s="36" t="inlineStr">
        <is>
          <t>P0027</t>
        </is>
      </c>
      <c r="B28" s="36" t="inlineStr">
        <is>
          <t>https://instasure.ca/contractor-insurance/</t>
        </is>
      </c>
      <c r="C28" s="36" t="inlineStr">
        <is>
          <t>Product pillar</t>
        </is>
      </c>
      <c r="D28" s="36" t="inlineStr">
        <is>
          <t>Contractor &amp; trades insurance</t>
        </is>
      </c>
      <c r="E28" s="36" t="inlineStr">
        <is>
          <t>Contractor Insurance</t>
        </is>
      </c>
      <c r="F28" s="36" t="n"/>
      <c r="G28" s="36" t="n"/>
      <c r="H28" s="36" t="n"/>
      <c r="I28" s="36" t="inlineStr">
        <is>
          <t>Yes</t>
        </is>
      </c>
      <c r="J28" s="25" t="inlineStr">
        <is>
          <t>Contractor Insurance for Trades (2026) | Instasure.ca</t>
        </is>
      </c>
      <c r="K28" s="36">
        <f>LEN(J28)</f>
        <v/>
      </c>
      <c r="L28" s="25" t="inlineStr">
        <is>
          <t>Get the certificate the general contractor or homeowner needs — fast. Instant contractor insurance estimates for every province, plain-language guidance and…</t>
        </is>
      </c>
      <c r="M28" s="36">
        <f>LEN(L28)</f>
        <v/>
      </c>
      <c r="N28" s="25" t="inlineStr">
        <is>
          <t>Contractor Insurance for Trades: Liability, Tools &amp; Equipment</t>
        </is>
      </c>
      <c r="O28" s="36" t="inlineStr">
        <is>
          <t>contractor insurance</t>
        </is>
      </c>
      <c r="P28" s="37" t="n">
        <v>1300</v>
      </c>
      <c r="Q28" s="36" t="inlineStr">
        <is>
          <t>Nationwide</t>
        </is>
      </c>
      <c r="R28" s="36" t="n"/>
      <c r="S28" s="36">
        <f>COUNTIF('Page-Keyword Map'!$A$2:$A$675,B28)</f>
        <v/>
      </c>
      <c r="T28" s="37">
        <f>SUMIF('Page-Keyword Map'!$A$2:$A$675,B28,'Page-Keyword Map'!$H$2:$H$675)</f>
        <v/>
      </c>
      <c r="U28" s="36">
        <f>COUNTIFS('Page-Keyword Map'!$A$2:$A$675,B28,'Page-Keyword Map'!$E$2:$E$675,"Nationwide")</f>
        <v/>
      </c>
      <c r="V28" s="36">
        <f>COUNTIFS('Page-Keyword Map'!$A$2:$A$675,B28,'Page-Keyword Map'!$E$2:$E$675,"Provincial")</f>
        <v/>
      </c>
      <c r="W28" s="36">
        <f>COUNTIFS('Page-Keyword Map'!$A$2:$A$675,B28,'Page-Keyword Map'!$E$2:$E$675,"City")</f>
        <v/>
      </c>
      <c r="X28" s="36">
        <f>IF(O28="","",IF(ISNUMBER(SEARCH(O28,J28)),"Yes","No"))</f>
        <v/>
      </c>
      <c r="Y28" s="36" t="n">
        <v>0.9</v>
      </c>
      <c r="Z28" s="36" t="inlineStr">
        <is>
          <t>sitemap-core.xml</t>
        </is>
      </c>
      <c r="AA28" s="36" t="inlineStr">
        <is>
          <t>Live – indexable</t>
        </is>
      </c>
      <c r="AB28" s="38" t="n"/>
      <c r="AC28" s="38" t="n"/>
    </row>
    <row r="29" ht="23.85" customHeight="1" s="22">
      <c r="A29" s="36" t="inlineStr">
        <is>
          <t>P0028</t>
        </is>
      </c>
      <c r="B29" s="36" t="inlineStr">
        <is>
          <t>https://instasure.ca/critical-illness-insurance/</t>
        </is>
      </c>
      <c r="C29" s="36" t="inlineStr">
        <is>
          <t>Product pillar</t>
        </is>
      </c>
      <c r="D29" s="36" t="inlineStr">
        <is>
          <t>Critical illness insurance</t>
        </is>
      </c>
      <c r="E29" s="36" t="inlineStr">
        <is>
          <t>Critical Illness Insurance</t>
        </is>
      </c>
      <c r="F29" s="36" t="n"/>
      <c r="G29" s="36" t="n"/>
      <c r="H29" s="36" t="n"/>
      <c r="I29" s="36" t="inlineStr">
        <is>
          <t>Yes</t>
        </is>
      </c>
      <c r="J29" s="25" t="inlineStr">
        <is>
          <t>Critical Illness Insurance in Canada (2026) | Instasure.ca</t>
        </is>
      </c>
      <c r="K29" s="36">
        <f>LEN(J29)</f>
        <v/>
      </c>
      <c r="L29" s="25" t="inlineStr">
        <is>
          <t>A lump-sum payment after a covered diagnosis like cancer, heart attack or stroke — spend it however recovery requires. Instant critical illness insurance estimates…</t>
        </is>
      </c>
      <c r="M29" s="36">
        <f>LEN(L29)</f>
        <v/>
      </c>
      <c r="N29" s="25" t="inlineStr">
        <is>
          <t>Critical Illness Insurance in Canada: Tax-Free Cash If You Get Sick</t>
        </is>
      </c>
      <c r="O29" s="36" t="inlineStr">
        <is>
          <t>critical illness insurance</t>
        </is>
      </c>
      <c r="P29" s="37" t="n">
        <v>6600</v>
      </c>
      <c r="Q29" s="36" t="inlineStr">
        <is>
          <t>Nationwide</t>
        </is>
      </c>
      <c r="R29" s="36" t="n"/>
      <c r="S29" s="36">
        <f>COUNTIF('Page-Keyword Map'!$A$2:$A$675,B29)</f>
        <v/>
      </c>
      <c r="T29" s="37">
        <f>SUMIF('Page-Keyword Map'!$A$2:$A$675,B29,'Page-Keyword Map'!$H$2:$H$675)</f>
        <v/>
      </c>
      <c r="U29" s="36">
        <f>COUNTIFS('Page-Keyword Map'!$A$2:$A$675,B29,'Page-Keyword Map'!$E$2:$E$675,"Nationwide")</f>
        <v/>
      </c>
      <c r="V29" s="36">
        <f>COUNTIFS('Page-Keyword Map'!$A$2:$A$675,B29,'Page-Keyword Map'!$E$2:$E$675,"Provincial")</f>
        <v/>
      </c>
      <c r="W29" s="36">
        <f>COUNTIFS('Page-Keyword Map'!$A$2:$A$675,B29,'Page-Keyword Map'!$E$2:$E$675,"City")</f>
        <v/>
      </c>
      <c r="X29" s="36">
        <f>IF(O29="","",IF(ISNUMBER(SEARCH(O29,J29)),"Yes","No"))</f>
        <v/>
      </c>
      <c r="Y29" s="36" t="n">
        <v>0.9</v>
      </c>
      <c r="Z29" s="36" t="inlineStr">
        <is>
          <t>sitemap-core.xml</t>
        </is>
      </c>
      <c r="AA29" s="36" t="inlineStr">
        <is>
          <t>Live – indexable</t>
        </is>
      </c>
      <c r="AB29" s="38" t="n"/>
      <c r="AC29" s="38" t="n"/>
    </row>
    <row r="30" ht="23.85" customHeight="1" s="22">
      <c r="A30" s="36" t="inlineStr">
        <is>
          <t>P0029</t>
        </is>
      </c>
      <c r="B30" s="36" t="inlineStr">
        <is>
          <t>https://instasure.ca/disability-insurance/</t>
        </is>
      </c>
      <c r="C30" s="36" t="inlineStr">
        <is>
          <t>Product pillar</t>
        </is>
      </c>
      <c r="D30" s="36" t="inlineStr">
        <is>
          <t>Disability insurance</t>
        </is>
      </c>
      <c r="E30" s="36" t="inlineStr">
        <is>
          <t>Disability Insurance</t>
        </is>
      </c>
      <c r="F30" s="36" t="n"/>
      <c r="G30" s="36" t="n"/>
      <c r="H30" s="36" t="n"/>
      <c r="I30" s="36" t="inlineStr">
        <is>
          <t>Yes</t>
        </is>
      </c>
      <c r="J30" s="25" t="inlineStr">
        <is>
          <t>Disability Insurance in Canada (2026) | Instasure.ca</t>
        </is>
      </c>
      <c r="K30" s="36">
        <f>LEN(J30)</f>
        <v/>
      </c>
      <c r="L30" s="25" t="inlineStr">
        <is>
          <t>Monthly income if illness or injury stops you from working — essential for the self-employed. Instant disability insurance estimates for every province,…</t>
        </is>
      </c>
      <c r="M30" s="36">
        <f>LEN(L30)</f>
        <v/>
      </c>
      <c r="N30" s="25" t="inlineStr">
        <is>
          <t>Disability Insurance in Canada: Protect Your Income</t>
        </is>
      </c>
      <c r="O30" s="36" t="inlineStr">
        <is>
          <t>disability insurance</t>
        </is>
      </c>
      <c r="P30" s="37" t="n">
        <v>4400</v>
      </c>
      <c r="Q30" s="36" t="inlineStr">
        <is>
          <t>Nationwide</t>
        </is>
      </c>
      <c r="R30" s="36" t="n"/>
      <c r="S30" s="36">
        <f>COUNTIF('Page-Keyword Map'!$A$2:$A$675,B30)</f>
        <v/>
      </c>
      <c r="T30" s="37">
        <f>SUMIF('Page-Keyword Map'!$A$2:$A$675,B30,'Page-Keyword Map'!$H$2:$H$675)</f>
        <v/>
      </c>
      <c r="U30" s="36">
        <f>COUNTIFS('Page-Keyword Map'!$A$2:$A$675,B30,'Page-Keyword Map'!$E$2:$E$675,"Nationwide")</f>
        <v/>
      </c>
      <c r="V30" s="36">
        <f>COUNTIFS('Page-Keyword Map'!$A$2:$A$675,B30,'Page-Keyword Map'!$E$2:$E$675,"Provincial")</f>
        <v/>
      </c>
      <c r="W30" s="36">
        <f>COUNTIFS('Page-Keyword Map'!$A$2:$A$675,B30,'Page-Keyword Map'!$E$2:$E$675,"City")</f>
        <v/>
      </c>
      <c r="X30" s="36">
        <f>IF(O30="","",IF(ISNUMBER(SEARCH(O30,J30)),"Yes","No"))</f>
        <v/>
      </c>
      <c r="Y30" s="36" t="n">
        <v>0.9</v>
      </c>
      <c r="Z30" s="36" t="inlineStr">
        <is>
          <t>sitemap-core.xml</t>
        </is>
      </c>
      <c r="AA30" s="36" t="inlineStr">
        <is>
          <t>Live – indexable</t>
        </is>
      </c>
      <c r="AB30" s="38" t="n"/>
      <c r="AC30" s="38" t="n"/>
    </row>
    <row r="31" ht="23.85" customHeight="1" s="22">
      <c r="A31" s="36" t="inlineStr">
        <is>
          <t>P0030</t>
        </is>
      </c>
      <c r="B31" s="36" t="inlineStr">
        <is>
          <t>https://instasure.ca/group-benefits/</t>
        </is>
      </c>
      <c r="C31" s="36" t="inlineStr">
        <is>
          <t>Product pillar</t>
        </is>
      </c>
      <c r="D31" s="36" t="inlineStr">
        <is>
          <t>Group benefits</t>
        </is>
      </c>
      <c r="E31" s="36" t="inlineStr">
        <is>
          <t>Group Benefits</t>
        </is>
      </c>
      <c r="F31" s="36" t="n"/>
      <c r="G31" s="36" t="n"/>
      <c r="H31" s="36" t="n"/>
      <c r="I31" s="36" t="inlineStr">
        <is>
          <t>Yes</t>
        </is>
      </c>
      <c r="J31" s="25" t="inlineStr">
        <is>
          <t>Group Benefits for Small Businesses (2026) | Instasure.ca</t>
        </is>
      </c>
      <c r="K31" s="36">
        <f>LEN(J31)</f>
        <v/>
      </c>
      <c r="L31" s="25" t="inlineStr">
        <is>
          <t>Attract and keep great people with a benefits plan sized for teams of 2 to 200. Instant group benefits estimates for every province, plain-language guidance and…</t>
        </is>
      </c>
      <c r="M31" s="36">
        <f>LEN(L31)</f>
        <v/>
      </c>
      <c r="N31" s="25" t="inlineStr">
        <is>
          <t>Group Benefits for Small Businesses: Health, Dental &amp; More</t>
        </is>
      </c>
      <c r="O31" s="36" t="inlineStr">
        <is>
          <t>group benefits for small business</t>
        </is>
      </c>
      <c r="P31" s="37" t="n">
        <v>1300</v>
      </c>
      <c r="Q31" s="36" t="inlineStr">
        <is>
          <t>Nationwide</t>
        </is>
      </c>
      <c r="R31" s="36" t="n"/>
      <c r="S31" s="36">
        <f>COUNTIF('Page-Keyword Map'!$A$2:$A$675,B31)</f>
        <v/>
      </c>
      <c r="T31" s="37">
        <f>SUMIF('Page-Keyword Map'!$A$2:$A$675,B31,'Page-Keyword Map'!$H$2:$H$675)</f>
        <v/>
      </c>
      <c r="U31" s="36">
        <f>COUNTIFS('Page-Keyword Map'!$A$2:$A$675,B31,'Page-Keyword Map'!$E$2:$E$675,"Nationwide")</f>
        <v/>
      </c>
      <c r="V31" s="36">
        <f>COUNTIFS('Page-Keyword Map'!$A$2:$A$675,B31,'Page-Keyword Map'!$E$2:$E$675,"Provincial")</f>
        <v/>
      </c>
      <c r="W31" s="36">
        <f>COUNTIFS('Page-Keyword Map'!$A$2:$A$675,B31,'Page-Keyword Map'!$E$2:$E$675,"City")</f>
        <v/>
      </c>
      <c r="X31" s="36">
        <f>IF(O31="","",IF(ISNUMBER(SEARCH(O31,J31)),"Yes","No"))</f>
        <v/>
      </c>
      <c r="Y31" s="36" t="n">
        <v>0.9</v>
      </c>
      <c r="Z31" s="36" t="inlineStr">
        <is>
          <t>sitemap-core.xml</t>
        </is>
      </c>
      <c r="AA31" s="36" t="inlineStr">
        <is>
          <t>Live – indexable</t>
        </is>
      </c>
      <c r="AB31" s="38" t="n"/>
      <c r="AC31" s="38" t="n"/>
    </row>
    <row r="32" ht="23.85" customHeight="1" s="22">
      <c r="A32" s="36" t="inlineStr">
        <is>
          <t>P0031</t>
        </is>
      </c>
      <c r="B32" s="36" t="inlineStr">
        <is>
          <t>https://instasure.ca/health-dental-insurance/</t>
        </is>
      </c>
      <c r="C32" s="36" t="inlineStr">
        <is>
          <t>Product pillar</t>
        </is>
      </c>
      <c r="D32" s="36" t="inlineStr">
        <is>
          <t>Health &amp; dental insurance</t>
        </is>
      </c>
      <c r="E32" s="36" t="inlineStr">
        <is>
          <t>Health &amp; Dental Insurance</t>
        </is>
      </c>
      <c r="F32" s="36" t="n"/>
      <c r="G32" s="36" t="n"/>
      <c r="H32" s="36" t="n"/>
      <c r="I32" s="36" t="inlineStr">
        <is>
          <t>Yes</t>
        </is>
      </c>
      <c r="J32" s="25" t="inlineStr">
        <is>
          <t>Health &amp; Dental Insurance for Individuals and Families (2026)</t>
        </is>
      </c>
      <c r="K32" s="36">
        <f>LEN(J32)</f>
        <v/>
      </c>
      <c r="L32" s="25" t="inlineStr">
        <is>
          <t>Prescription drugs, dental, vision and paramedical care that provincial plans don’t fully cover. Instant health &amp; dental insurance estimates for every province,…</t>
        </is>
      </c>
      <c r="M32" s="36">
        <f>LEN(L32)</f>
        <v/>
      </c>
      <c r="N32" s="25" t="inlineStr">
        <is>
          <t>Health &amp; Dental Insurance for Individuals and Families</t>
        </is>
      </c>
      <c r="O32" s="36" t="inlineStr">
        <is>
          <t>dental insurance</t>
        </is>
      </c>
      <c r="P32" s="37" t="n">
        <v>8100</v>
      </c>
      <c r="Q32" s="36" t="inlineStr">
        <is>
          <t>Nationwide</t>
        </is>
      </c>
      <c r="R32" s="36" t="n"/>
      <c r="S32" s="36">
        <f>COUNTIF('Page-Keyword Map'!$A$2:$A$675,B32)</f>
        <v/>
      </c>
      <c r="T32" s="37">
        <f>SUMIF('Page-Keyword Map'!$A$2:$A$675,B32,'Page-Keyword Map'!$H$2:$H$675)</f>
        <v/>
      </c>
      <c r="U32" s="36">
        <f>COUNTIFS('Page-Keyword Map'!$A$2:$A$675,B32,'Page-Keyword Map'!$E$2:$E$675,"Nationwide")</f>
        <v/>
      </c>
      <c r="V32" s="36">
        <f>COUNTIFS('Page-Keyword Map'!$A$2:$A$675,B32,'Page-Keyword Map'!$E$2:$E$675,"Provincial")</f>
        <v/>
      </c>
      <c r="W32" s="36">
        <f>COUNTIFS('Page-Keyword Map'!$A$2:$A$675,B32,'Page-Keyword Map'!$E$2:$E$675,"City")</f>
        <v/>
      </c>
      <c r="X32" s="36">
        <f>IF(O32="","",IF(ISNUMBER(SEARCH(O32,J32)),"Yes","No"))</f>
        <v/>
      </c>
      <c r="Y32" s="36" t="n">
        <v>0.9</v>
      </c>
      <c r="Z32" s="36" t="inlineStr">
        <is>
          <t>sitemap-core.xml</t>
        </is>
      </c>
      <c r="AA32" s="36" t="inlineStr">
        <is>
          <t>Live – indexable</t>
        </is>
      </c>
      <c r="AB32" s="38" t="n"/>
      <c r="AC32" s="38" t="n"/>
    </row>
    <row r="33" ht="23.85" customHeight="1" s="22">
      <c r="A33" s="36" t="inlineStr">
        <is>
          <t>P0032</t>
        </is>
      </c>
      <c r="B33" s="36" t="inlineStr">
        <is>
          <t>https://instasure.ca/home-insurance/</t>
        </is>
      </c>
      <c r="C33" s="36" t="inlineStr">
        <is>
          <t>Product pillar</t>
        </is>
      </c>
      <c r="D33" s="36" t="inlineStr">
        <is>
          <t>Home insurance</t>
        </is>
      </c>
      <c r="E33" s="36" t="inlineStr">
        <is>
          <t>Home Insurance</t>
        </is>
      </c>
      <c r="F33" s="36" t="n"/>
      <c r="G33" s="36" t="n"/>
      <c r="H33" s="36" t="n"/>
      <c r="I33" s="36" t="inlineStr">
        <is>
          <t>Yes</t>
        </is>
      </c>
      <c r="J33" s="25" t="inlineStr">
        <is>
          <t>Home Insurance Quotes (2026) | Instasure.ca</t>
        </is>
      </c>
      <c r="K33" s="36">
        <f>LEN(J33)</f>
        <v/>
      </c>
      <c r="L33" s="25" t="inlineStr">
        <is>
          <t>Coverage built for Canadian risks — water, wind, hail, wildfire and theft. Instant home insurance estimates for every province, plain-language guidance and…</t>
        </is>
      </c>
      <c r="M33" s="36">
        <f>LEN(L33)</f>
        <v/>
      </c>
      <c r="N33" s="25" t="inlineStr">
        <is>
          <t>Home Insurance Quotes: Protect Your House, Belongings &amp; Liability</t>
        </is>
      </c>
      <c r="O33" s="36" t="inlineStr">
        <is>
          <t>home insurance</t>
        </is>
      </c>
      <c r="P33" s="37" t="n">
        <v>27000</v>
      </c>
      <c r="Q33" s="36" t="inlineStr">
        <is>
          <t>Nationwide</t>
        </is>
      </c>
      <c r="R33" s="36" t="n"/>
      <c r="S33" s="36">
        <f>COUNTIF('Page-Keyword Map'!$A$2:$A$675,B33)</f>
        <v/>
      </c>
      <c r="T33" s="37">
        <f>SUMIF('Page-Keyword Map'!$A$2:$A$675,B33,'Page-Keyword Map'!$H$2:$H$675)</f>
        <v/>
      </c>
      <c r="U33" s="36">
        <f>COUNTIFS('Page-Keyword Map'!$A$2:$A$675,B33,'Page-Keyword Map'!$E$2:$E$675,"Nationwide")</f>
        <v/>
      </c>
      <c r="V33" s="36">
        <f>COUNTIFS('Page-Keyword Map'!$A$2:$A$675,B33,'Page-Keyword Map'!$E$2:$E$675,"Provincial")</f>
        <v/>
      </c>
      <c r="W33" s="36">
        <f>COUNTIFS('Page-Keyword Map'!$A$2:$A$675,B33,'Page-Keyword Map'!$E$2:$E$675,"City")</f>
        <v/>
      </c>
      <c r="X33" s="36">
        <f>IF(O33="","",IF(ISNUMBER(SEARCH(O33,J33)),"Yes","No"))</f>
        <v/>
      </c>
      <c r="Y33" s="36" t="n">
        <v>0.9</v>
      </c>
      <c r="Z33" s="36" t="inlineStr">
        <is>
          <t>sitemap-core.xml</t>
        </is>
      </c>
      <c r="AA33" s="36" t="inlineStr">
        <is>
          <t>Live – indexable</t>
        </is>
      </c>
      <c r="AB33" s="38" t="n"/>
      <c r="AC33" s="38" t="n"/>
    </row>
    <row r="34" ht="23.85" customHeight="1" s="22">
      <c r="A34" s="36" t="inlineStr">
        <is>
          <t>P0033</t>
        </is>
      </c>
      <c r="B34" s="36" t="inlineStr">
        <is>
          <t>https://instasure.ca/life-insurance/</t>
        </is>
      </c>
      <c r="C34" s="36" t="inlineStr">
        <is>
          <t>Product pillar</t>
        </is>
      </c>
      <c r="D34" s="36" t="inlineStr">
        <is>
          <t>Life insurance</t>
        </is>
      </c>
      <c r="E34" s="36" t="inlineStr">
        <is>
          <t>Life Insurance</t>
        </is>
      </c>
      <c r="F34" s="36" t="n"/>
      <c r="G34" s="36" t="n"/>
      <c r="H34" s="36" t="n"/>
      <c r="I34" s="36" t="inlineStr">
        <is>
          <t>Yes</t>
        </is>
      </c>
      <c r="J34" s="25" t="inlineStr">
        <is>
          <t>Life Insurance in Canada (2026) | Instasure.ca</t>
        </is>
      </c>
      <c r="K34" s="36">
        <f>LEN(J34)</f>
        <v/>
      </c>
      <c r="L34" s="25" t="inlineStr">
        <is>
          <t>Protect your family’s income, mortgage and future with term or permanent coverage from leading Canadian insurers. Instant life insurance estimates for every…</t>
        </is>
      </c>
      <c r="M34" s="36">
        <f>LEN(L34)</f>
        <v/>
      </c>
      <c r="N34" s="25" t="inlineStr">
        <is>
          <t>Life Insurance in Canada: Compare Quotes in 60 Seconds</t>
        </is>
      </c>
      <c r="O34" s="36" t="inlineStr">
        <is>
          <t>life insurance</t>
        </is>
      </c>
      <c r="P34" s="37" t="n">
        <v>33000</v>
      </c>
      <c r="Q34" s="36" t="inlineStr">
        <is>
          <t>Nationwide</t>
        </is>
      </c>
      <c r="R34" s="36" t="n"/>
      <c r="S34" s="36">
        <f>COUNTIF('Page-Keyword Map'!$A$2:$A$675,B34)</f>
        <v/>
      </c>
      <c r="T34" s="37">
        <f>SUMIF('Page-Keyword Map'!$A$2:$A$675,B34,'Page-Keyword Map'!$H$2:$H$675)</f>
        <v/>
      </c>
      <c r="U34" s="36">
        <f>COUNTIFS('Page-Keyword Map'!$A$2:$A$675,B34,'Page-Keyword Map'!$E$2:$E$675,"Nationwide")</f>
        <v/>
      </c>
      <c r="V34" s="36">
        <f>COUNTIFS('Page-Keyword Map'!$A$2:$A$675,B34,'Page-Keyword Map'!$E$2:$E$675,"Provincial")</f>
        <v/>
      </c>
      <c r="W34" s="36">
        <f>COUNTIFS('Page-Keyword Map'!$A$2:$A$675,B34,'Page-Keyword Map'!$E$2:$E$675,"City")</f>
        <v/>
      </c>
      <c r="X34" s="36">
        <f>IF(O34="","",IF(ISNUMBER(SEARCH(O34,J34)),"Yes","No"))</f>
        <v/>
      </c>
      <c r="Y34" s="36" t="n">
        <v>0.9</v>
      </c>
      <c r="Z34" s="36" t="inlineStr">
        <is>
          <t>sitemap-core.xml</t>
        </is>
      </c>
      <c r="AA34" s="36" t="inlineStr">
        <is>
          <t>Live – indexable</t>
        </is>
      </c>
      <c r="AB34" s="38" t="n"/>
      <c r="AC34" s="38" t="n"/>
    </row>
    <row r="35" ht="23.85" customHeight="1" s="22">
      <c r="A35" s="36" t="inlineStr">
        <is>
          <t>P0034</t>
        </is>
      </c>
      <c r="B35" s="36" t="inlineStr">
        <is>
          <t>https://instasure.ca/mortgage-life-insurance/</t>
        </is>
      </c>
      <c r="C35" s="36" t="inlineStr">
        <is>
          <t>Product pillar</t>
        </is>
      </c>
      <c r="D35" s="36" t="inlineStr">
        <is>
          <t>Mortgage protection</t>
        </is>
      </c>
      <c r="E35" s="36" t="inlineStr">
        <is>
          <t>Mortgage Life Insurance</t>
        </is>
      </c>
      <c r="F35" s="36" t="n"/>
      <c r="G35" s="36" t="n"/>
      <c r="H35" s="36" t="n"/>
      <c r="I35" s="36" t="inlineStr">
        <is>
          <t>Yes</t>
        </is>
      </c>
      <c r="J35" s="25" t="inlineStr">
        <is>
          <t>Mortgage Life Insurance vs Term Life (2026) | Instasure.ca</t>
        </is>
      </c>
      <c r="K35" s="36">
        <f>LEN(J35)</f>
        <v/>
      </c>
      <c r="L35" s="25" t="inlineStr">
        <is>
          <t>Make sure your family keeps the house — without overpaying for bank creditor insurance. Instant mortgage life insurance estimates for every province,…</t>
        </is>
      </c>
      <c r="M35" s="36">
        <f>LEN(L35)</f>
        <v/>
      </c>
      <c r="N35" s="25" t="inlineStr">
        <is>
          <t>Mortgage Life Insurance vs Term Life: Protect Your Home for Less</t>
        </is>
      </c>
      <c r="O35" s="36" t="inlineStr">
        <is>
          <t>mortgage life insurance</t>
        </is>
      </c>
      <c r="P35" s="37" t="n">
        <v>2400</v>
      </c>
      <c r="Q35" s="36" t="inlineStr">
        <is>
          <t>Nationwide</t>
        </is>
      </c>
      <c r="R35" s="36" t="n"/>
      <c r="S35" s="36">
        <f>COUNTIF('Page-Keyword Map'!$A$2:$A$675,B35)</f>
        <v/>
      </c>
      <c r="T35" s="37">
        <f>SUMIF('Page-Keyword Map'!$A$2:$A$675,B35,'Page-Keyword Map'!$H$2:$H$675)</f>
        <v/>
      </c>
      <c r="U35" s="36">
        <f>COUNTIFS('Page-Keyword Map'!$A$2:$A$675,B35,'Page-Keyword Map'!$E$2:$E$675,"Nationwide")</f>
        <v/>
      </c>
      <c r="V35" s="36">
        <f>COUNTIFS('Page-Keyword Map'!$A$2:$A$675,B35,'Page-Keyword Map'!$E$2:$E$675,"Provincial")</f>
        <v/>
      </c>
      <c r="W35" s="36">
        <f>COUNTIFS('Page-Keyword Map'!$A$2:$A$675,B35,'Page-Keyword Map'!$E$2:$E$675,"City")</f>
        <v/>
      </c>
      <c r="X35" s="36">
        <f>IF(O35="","",IF(ISNUMBER(SEARCH(O35,J35)),"Yes","No"))</f>
        <v/>
      </c>
      <c r="Y35" s="36" t="n">
        <v>0.9</v>
      </c>
      <c r="Z35" s="36" t="inlineStr">
        <is>
          <t>sitemap-core.xml</t>
        </is>
      </c>
      <c r="AA35" s="36" t="inlineStr">
        <is>
          <t>Live – indexable</t>
        </is>
      </c>
      <c r="AB35" s="38" t="n"/>
      <c r="AC35" s="38" t="n"/>
    </row>
    <row r="36" ht="23.85" customHeight="1" s="22">
      <c r="A36" s="36" t="inlineStr">
        <is>
          <t>P0035</t>
        </is>
      </c>
      <c r="B36" s="36" t="inlineStr">
        <is>
          <t>https://instasure.ca/no-medical-life-insurance/</t>
        </is>
      </c>
      <c r="C36" s="36" t="inlineStr">
        <is>
          <t>Product pillar</t>
        </is>
      </c>
      <c r="D36" s="36" t="inlineStr">
        <is>
          <t>Life insurance</t>
        </is>
      </c>
      <c r="E36" s="36" t="inlineStr">
        <is>
          <t>No-Medical Life Insurance</t>
        </is>
      </c>
      <c r="F36" s="36" t="n"/>
      <c r="G36" s="36" t="n"/>
      <c r="H36" s="36" t="n"/>
      <c r="I36" s="36" t="inlineStr">
        <is>
          <t>Yes</t>
        </is>
      </c>
      <c r="J36" s="25" t="inlineStr">
        <is>
          <t>No-Medical Life Insurance in Canada (2026) | Instasure.ca</t>
        </is>
      </c>
      <c r="K36" s="36">
        <f>LEN(J36)</f>
        <v/>
      </c>
      <c r="L36" s="25" t="inlineStr">
        <is>
          <t>Fast approval with health questions instead of needles — including options if you have a medical condition. Instant no-medical life insurance estimates for every…</t>
        </is>
      </c>
      <c r="M36" s="36">
        <f>LEN(L36)</f>
        <v/>
      </c>
      <c r="N36" s="25" t="inlineStr">
        <is>
          <t>No-Medical Life Insurance in Canada: Get Covered Without an Exam</t>
        </is>
      </c>
      <c r="O36" s="36" t="inlineStr">
        <is>
          <t>no medical life insurance</t>
        </is>
      </c>
      <c r="P36" s="37" t="n">
        <v>1300</v>
      </c>
      <c r="Q36" s="36" t="inlineStr">
        <is>
          <t>Nationwide</t>
        </is>
      </c>
      <c r="R36" s="36" t="n"/>
      <c r="S36" s="36">
        <f>COUNTIF('Page-Keyword Map'!$A$2:$A$675,B36)</f>
        <v/>
      </c>
      <c r="T36" s="37">
        <f>SUMIF('Page-Keyword Map'!$A$2:$A$675,B36,'Page-Keyword Map'!$H$2:$H$675)</f>
        <v/>
      </c>
      <c r="U36" s="36">
        <f>COUNTIFS('Page-Keyword Map'!$A$2:$A$675,B36,'Page-Keyword Map'!$E$2:$E$675,"Nationwide")</f>
        <v/>
      </c>
      <c r="V36" s="36">
        <f>COUNTIFS('Page-Keyword Map'!$A$2:$A$675,B36,'Page-Keyword Map'!$E$2:$E$675,"Provincial")</f>
        <v/>
      </c>
      <c r="W36" s="36">
        <f>COUNTIFS('Page-Keyword Map'!$A$2:$A$675,B36,'Page-Keyword Map'!$E$2:$E$675,"City")</f>
        <v/>
      </c>
      <c r="X36" s="36">
        <f>IF(O36="","",IF(ISNUMBER(SEARCH(O36,J36)),"Yes","No"))</f>
        <v/>
      </c>
      <c r="Y36" s="36" t="n">
        <v>0.9</v>
      </c>
      <c r="Z36" s="36" t="inlineStr">
        <is>
          <t>sitemap-core.xml</t>
        </is>
      </c>
      <c r="AA36" s="36" t="inlineStr">
        <is>
          <t>Live – indexable</t>
        </is>
      </c>
      <c r="AB36" s="38" t="n"/>
      <c r="AC36" s="38" t="n"/>
    </row>
    <row r="37" ht="23.85" customHeight="1" s="22">
      <c r="A37" s="36" t="inlineStr">
        <is>
          <t>P0036</t>
        </is>
      </c>
      <c r="B37" s="36" t="inlineStr">
        <is>
          <t>https://instasure.ca/professional-liability-insurance/</t>
        </is>
      </c>
      <c r="C37" s="36" t="inlineStr">
        <is>
          <t>Product pillar</t>
        </is>
      </c>
      <c r="D37" s="36" t="inlineStr">
        <is>
          <t>Professional liability (E&amp;O)</t>
        </is>
      </c>
      <c r="E37" s="36" t="inlineStr">
        <is>
          <t>Professional Liability (E&amp;O) Insurance</t>
        </is>
      </c>
      <c r="F37" s="36" t="n"/>
      <c r="G37" s="36" t="n"/>
      <c r="H37" s="36" t="n"/>
      <c r="I37" s="36" t="inlineStr">
        <is>
          <t>Yes</t>
        </is>
      </c>
      <c r="J37" s="25" t="inlineStr">
        <is>
          <t>Professional Liability &amp; E&amp;O Insurance for Consultants and Professionals (2026)</t>
        </is>
      </c>
      <c r="K37" s="36">
        <f>LEN(J37)</f>
        <v/>
      </c>
      <c r="L37" s="25" t="inlineStr">
        <is>
          <t>Protection when a client says your advice, design or service cost them money. Instant professional liability (e&amp;o) insurance estimates for every province,…</t>
        </is>
      </c>
      <c r="M37" s="36">
        <f>LEN(L37)</f>
        <v/>
      </c>
      <c r="N37" s="25" t="inlineStr">
        <is>
          <t>Professional Liability &amp; E&amp;O Insurance for Consultants and Professionals</t>
        </is>
      </c>
      <c r="O37" s="36" t="inlineStr">
        <is>
          <t>professional liability insurance</t>
        </is>
      </c>
      <c r="P37" s="37" t="n">
        <v>1600</v>
      </c>
      <c r="Q37" s="36" t="inlineStr">
        <is>
          <t>Nationwide</t>
        </is>
      </c>
      <c r="R37" s="36" t="n"/>
      <c r="S37" s="36">
        <f>COUNTIF('Page-Keyword Map'!$A$2:$A$675,B37)</f>
        <v/>
      </c>
      <c r="T37" s="37">
        <f>SUMIF('Page-Keyword Map'!$A$2:$A$675,B37,'Page-Keyword Map'!$H$2:$H$675)</f>
        <v/>
      </c>
      <c r="U37" s="36">
        <f>COUNTIFS('Page-Keyword Map'!$A$2:$A$675,B37,'Page-Keyword Map'!$E$2:$E$675,"Nationwide")</f>
        <v/>
      </c>
      <c r="V37" s="36">
        <f>COUNTIFS('Page-Keyword Map'!$A$2:$A$675,B37,'Page-Keyword Map'!$E$2:$E$675,"Provincial")</f>
        <v/>
      </c>
      <c r="W37" s="36">
        <f>COUNTIFS('Page-Keyword Map'!$A$2:$A$675,B37,'Page-Keyword Map'!$E$2:$E$675,"City")</f>
        <v/>
      </c>
      <c r="X37" s="36">
        <f>IF(O37="","",IF(ISNUMBER(SEARCH(O37,J37)),"Yes","No"))</f>
        <v/>
      </c>
      <c r="Y37" s="36" t="n">
        <v>0.9</v>
      </c>
      <c r="Z37" s="36" t="inlineStr">
        <is>
          <t>sitemap-core.xml</t>
        </is>
      </c>
      <c r="AA37" s="36" t="inlineStr">
        <is>
          <t>Live – indexable</t>
        </is>
      </c>
      <c r="AB37" s="38" t="n"/>
      <c r="AC37" s="38" t="n"/>
    </row>
    <row r="38" ht="23.85" customHeight="1" s="22">
      <c r="A38" s="36" t="inlineStr">
        <is>
          <t>P0037</t>
        </is>
      </c>
      <c r="B38" s="36" t="inlineStr">
        <is>
          <t>https://instasure.ca/super-visa-insurance/</t>
        </is>
      </c>
      <c r="C38" s="36" t="inlineStr">
        <is>
          <t>Product pillar</t>
        </is>
      </c>
      <c r="D38" s="36" t="inlineStr">
        <is>
          <t>Super Visa &amp; visitors insurance</t>
        </is>
      </c>
      <c r="E38" s="36" t="inlineStr">
        <is>
          <t>Super Visa Insurance</t>
        </is>
      </c>
      <c r="F38" s="36" t="n"/>
      <c r="G38" s="36" t="n"/>
      <c r="H38" s="36" t="n"/>
      <c r="I38" s="36" t="inlineStr">
        <is>
          <t>Yes</t>
        </is>
      </c>
      <c r="J38" s="25" t="inlineStr">
        <is>
          <t>Super Visa Insurance (2026) | Instasure.ca</t>
        </is>
      </c>
      <c r="K38" s="36">
        <f>LEN(J38)</f>
        <v/>
      </c>
      <c r="L38" s="25" t="inlineStr">
        <is>
          <t>Meet IRCC’s medical insurance requirement for the Parent and Grandparent Super Visa — with monthly payment options. Instant super visa insurance estimates for…</t>
        </is>
      </c>
      <c r="M38" s="36">
        <f>LEN(L38)</f>
        <v/>
      </c>
      <c r="N38" s="25" t="inlineStr">
        <is>
          <t>Super Visa Insurance: Compare Monthly Plans for Parents &amp; Grandparents</t>
        </is>
      </c>
      <c r="O38" s="36" t="inlineStr">
        <is>
          <t>super visa insurance</t>
        </is>
      </c>
      <c r="P38" s="37" t="n">
        <v>9900</v>
      </c>
      <c r="Q38" s="36" t="inlineStr">
        <is>
          <t>Nationwide</t>
        </is>
      </c>
      <c r="R38" s="36" t="n"/>
      <c r="S38" s="36">
        <f>COUNTIF('Page-Keyword Map'!$A$2:$A$675,B38)</f>
        <v/>
      </c>
      <c r="T38" s="37">
        <f>SUMIF('Page-Keyword Map'!$A$2:$A$675,B38,'Page-Keyword Map'!$H$2:$H$675)</f>
        <v/>
      </c>
      <c r="U38" s="36">
        <f>COUNTIFS('Page-Keyword Map'!$A$2:$A$675,B38,'Page-Keyword Map'!$E$2:$E$675,"Nationwide")</f>
        <v/>
      </c>
      <c r="V38" s="36">
        <f>COUNTIFS('Page-Keyword Map'!$A$2:$A$675,B38,'Page-Keyword Map'!$E$2:$E$675,"Provincial")</f>
        <v/>
      </c>
      <c r="W38" s="36">
        <f>COUNTIFS('Page-Keyword Map'!$A$2:$A$675,B38,'Page-Keyword Map'!$E$2:$E$675,"City")</f>
        <v/>
      </c>
      <c r="X38" s="36">
        <f>IF(O38="","",IF(ISNUMBER(SEARCH(O38,J38)),"Yes","No"))</f>
        <v/>
      </c>
      <c r="Y38" s="36" t="n">
        <v>0.9</v>
      </c>
      <c r="Z38" s="36" t="inlineStr">
        <is>
          <t>sitemap-core.xml</t>
        </is>
      </c>
      <c r="AA38" s="36" t="inlineStr">
        <is>
          <t>Live – indexable</t>
        </is>
      </c>
      <c r="AB38" s="38" t="n"/>
      <c r="AC38" s="38" t="n"/>
    </row>
    <row r="39" ht="23.85" customHeight="1" s="22">
      <c r="A39" s="36" t="inlineStr">
        <is>
          <t>P0038</t>
        </is>
      </c>
      <c r="B39" s="36" t="inlineStr">
        <is>
          <t>https://instasure.ca/tenant-insurance/</t>
        </is>
      </c>
      <c r="C39" s="36" t="inlineStr">
        <is>
          <t>Product pillar</t>
        </is>
      </c>
      <c r="D39" s="36" t="inlineStr">
        <is>
          <t>Tenant insurance</t>
        </is>
      </c>
      <c r="E39" s="36" t="inlineStr">
        <is>
          <t>Tenant Insurance</t>
        </is>
      </c>
      <c r="F39" s="36" t="n"/>
      <c r="G39" s="36" t="n"/>
      <c r="H39" s="36" t="n"/>
      <c r="I39" s="36" t="inlineStr">
        <is>
          <t>Yes</t>
        </is>
      </c>
      <c r="J39" s="25" t="inlineStr">
        <is>
          <t>Tenant Insurance (2026) | Instasure.ca</t>
        </is>
      </c>
      <c r="K39" s="36">
        <f>LEN(J39)</f>
        <v/>
      </c>
      <c r="L39" s="25" t="inlineStr">
        <is>
          <t>Protect your belongings and your liability — and meet your landlord’s lease requirement. Instant tenant insurance estimates for every province, plain-language…</t>
        </is>
      </c>
      <c r="M39" s="36">
        <f>LEN(L39)</f>
        <v/>
      </c>
      <c r="N39" s="25" t="inlineStr">
        <is>
          <t>Tenant Insurance: Coverage for Renters from About a Coffee a Week</t>
        </is>
      </c>
      <c r="O39" s="36" t="inlineStr">
        <is>
          <t>tenant insurance</t>
        </is>
      </c>
      <c r="P39" s="37" t="n">
        <v>15000</v>
      </c>
      <c r="Q39" s="36" t="inlineStr">
        <is>
          <t>Nationwide</t>
        </is>
      </c>
      <c r="R39" s="36" t="n"/>
      <c r="S39" s="36">
        <f>COUNTIF('Page-Keyword Map'!$A$2:$A$675,B39)</f>
        <v/>
      </c>
      <c r="T39" s="37">
        <f>SUMIF('Page-Keyword Map'!$A$2:$A$675,B39,'Page-Keyword Map'!$H$2:$H$675)</f>
        <v/>
      </c>
      <c r="U39" s="36">
        <f>COUNTIFS('Page-Keyword Map'!$A$2:$A$675,B39,'Page-Keyword Map'!$E$2:$E$675,"Nationwide")</f>
        <v/>
      </c>
      <c r="V39" s="36">
        <f>COUNTIFS('Page-Keyword Map'!$A$2:$A$675,B39,'Page-Keyword Map'!$E$2:$E$675,"Provincial")</f>
        <v/>
      </c>
      <c r="W39" s="36">
        <f>COUNTIFS('Page-Keyword Map'!$A$2:$A$675,B39,'Page-Keyword Map'!$E$2:$E$675,"City")</f>
        <v/>
      </c>
      <c r="X39" s="36">
        <f>IF(O39="","",IF(ISNUMBER(SEARCH(O39,J39)),"Yes","No"))</f>
        <v/>
      </c>
      <c r="Y39" s="36" t="n">
        <v>0.9</v>
      </c>
      <c r="Z39" s="36" t="inlineStr">
        <is>
          <t>sitemap-core.xml</t>
        </is>
      </c>
      <c r="AA39" s="36" t="inlineStr">
        <is>
          <t>Live – indexable</t>
        </is>
      </c>
      <c r="AB39" s="38" t="n"/>
      <c r="AC39" s="38" t="n"/>
    </row>
    <row r="40" ht="23.85" customHeight="1" s="22">
      <c r="A40" s="36" t="inlineStr">
        <is>
          <t>P0039</t>
        </is>
      </c>
      <c r="B40" s="36" t="inlineStr">
        <is>
          <t>https://instasure.ca/term-life-insurance/</t>
        </is>
      </c>
      <c r="C40" s="36" t="inlineStr">
        <is>
          <t>Product pillar</t>
        </is>
      </c>
      <c r="D40" s="36" t="inlineStr">
        <is>
          <t>Life insurance</t>
        </is>
      </c>
      <c r="E40" s="36" t="inlineStr">
        <is>
          <t>Term Life Insurance</t>
        </is>
      </c>
      <c r="F40" s="36" t="n"/>
      <c r="G40" s="36" t="n"/>
      <c r="H40" s="36" t="n"/>
      <c r="I40" s="36" t="inlineStr">
        <is>
          <t>Yes</t>
        </is>
      </c>
      <c r="J40" s="25" t="inlineStr">
        <is>
          <t>Term Life Insurance Quotes (2026) | Instasure.ca</t>
        </is>
      </c>
      <c r="K40" s="36">
        <f>LEN(J40)</f>
        <v/>
      </c>
      <c r="L40" s="25" t="inlineStr">
        <is>
          <t>The most affordable way to protect your family during your working and mortgage years. Instant term life insurance estimates for every province, plain-language…</t>
        </is>
      </c>
      <c r="M40" s="36">
        <f>LEN(L40)</f>
        <v/>
      </c>
      <c r="N40" s="25" t="inlineStr">
        <is>
          <t>Term Life Insurance Quotes: 10, 20 &amp; 30-Year Rates</t>
        </is>
      </c>
      <c r="O40" s="36" t="inlineStr">
        <is>
          <t>term life insurance</t>
        </is>
      </c>
      <c r="P40" s="37" t="n">
        <v>6600</v>
      </c>
      <c r="Q40" s="36" t="inlineStr">
        <is>
          <t>Nationwide</t>
        </is>
      </c>
      <c r="R40" s="36" t="n"/>
      <c r="S40" s="36">
        <f>COUNTIF('Page-Keyword Map'!$A$2:$A$675,B40)</f>
        <v/>
      </c>
      <c r="T40" s="37">
        <f>SUMIF('Page-Keyword Map'!$A$2:$A$675,B40,'Page-Keyword Map'!$H$2:$H$675)</f>
        <v/>
      </c>
      <c r="U40" s="36">
        <f>COUNTIFS('Page-Keyword Map'!$A$2:$A$675,B40,'Page-Keyword Map'!$E$2:$E$675,"Nationwide")</f>
        <v/>
      </c>
      <c r="V40" s="36">
        <f>COUNTIFS('Page-Keyword Map'!$A$2:$A$675,B40,'Page-Keyword Map'!$E$2:$E$675,"Provincial")</f>
        <v/>
      </c>
      <c r="W40" s="36">
        <f>COUNTIFS('Page-Keyword Map'!$A$2:$A$675,B40,'Page-Keyword Map'!$E$2:$E$675,"City")</f>
        <v/>
      </c>
      <c r="X40" s="36">
        <f>IF(O40="","",IF(ISNUMBER(SEARCH(O40,J40)),"Yes","No"))</f>
        <v/>
      </c>
      <c r="Y40" s="36" t="n">
        <v>0.9</v>
      </c>
      <c r="Z40" s="36" t="inlineStr">
        <is>
          <t>sitemap-core.xml</t>
        </is>
      </c>
      <c r="AA40" s="36" t="inlineStr">
        <is>
          <t>Live – indexable</t>
        </is>
      </c>
      <c r="AB40" s="38" t="n"/>
      <c r="AC40" s="38" t="n"/>
    </row>
    <row r="41" ht="23.85" customHeight="1" s="22">
      <c r="A41" s="36" t="inlineStr">
        <is>
          <t>P0040</t>
        </is>
      </c>
      <c r="B41" s="36" t="inlineStr">
        <is>
          <t>https://instasure.ca/travel-insurance/</t>
        </is>
      </c>
      <c r="C41" s="36" t="inlineStr">
        <is>
          <t>Product pillar</t>
        </is>
      </c>
      <c r="D41" s="36" t="inlineStr">
        <is>
          <t>Travel insurance</t>
        </is>
      </c>
      <c r="E41" s="36" t="inlineStr">
        <is>
          <t>Travel Insurance</t>
        </is>
      </c>
      <c r="F41" s="36" t="n"/>
      <c r="G41" s="36" t="n"/>
      <c r="H41" s="36" t="n"/>
      <c r="I41" s="36" t="inlineStr">
        <is>
          <t>Yes</t>
        </is>
      </c>
      <c r="J41" s="25" t="inlineStr">
        <is>
          <t>Travel Insurance for Canadians (2026) | Instasure.ca</t>
        </is>
      </c>
      <c r="K41" s="36">
        <f>LEN(J41)</f>
        <v/>
      </c>
      <c r="L41" s="25" t="inlineStr">
        <is>
          <t>Provincial health plans cover very little outside Canada. One night in a U.S. hospital can cost thousands. Instant travel insurance estimates for every province,…</t>
        </is>
      </c>
      <c r="M41" s="36">
        <f>LEN(L41)</f>
        <v/>
      </c>
      <c r="N41" s="25" t="inlineStr">
        <is>
          <t>Travel Insurance for Canadians: Emergency Medical &amp; Trip Protection</t>
        </is>
      </c>
      <c r="O41" s="36" t="inlineStr">
        <is>
          <t>travel insurance</t>
        </is>
      </c>
      <c r="P41" s="37" t="n">
        <v>40000</v>
      </c>
      <c r="Q41" s="36" t="inlineStr">
        <is>
          <t>Nationwide</t>
        </is>
      </c>
      <c r="R41" s="36" t="n"/>
      <c r="S41" s="36">
        <f>COUNTIF('Page-Keyword Map'!$A$2:$A$675,B41)</f>
        <v/>
      </c>
      <c r="T41" s="37">
        <f>SUMIF('Page-Keyword Map'!$A$2:$A$675,B41,'Page-Keyword Map'!$H$2:$H$675)</f>
        <v/>
      </c>
      <c r="U41" s="36">
        <f>COUNTIFS('Page-Keyword Map'!$A$2:$A$675,B41,'Page-Keyword Map'!$E$2:$E$675,"Nationwide")</f>
        <v/>
      </c>
      <c r="V41" s="36">
        <f>COUNTIFS('Page-Keyword Map'!$A$2:$A$675,B41,'Page-Keyword Map'!$E$2:$E$675,"Provincial")</f>
        <v/>
      </c>
      <c r="W41" s="36">
        <f>COUNTIFS('Page-Keyword Map'!$A$2:$A$675,B41,'Page-Keyword Map'!$E$2:$E$675,"City")</f>
        <v/>
      </c>
      <c r="X41" s="36">
        <f>IF(O41="","",IF(ISNUMBER(SEARCH(O41,J41)),"Yes","No"))</f>
        <v/>
      </c>
      <c r="Y41" s="36" t="n">
        <v>0.9</v>
      </c>
      <c r="Z41" s="36" t="inlineStr">
        <is>
          <t>sitemap-core.xml</t>
        </is>
      </c>
      <c r="AA41" s="36" t="inlineStr">
        <is>
          <t>Live – indexable</t>
        </is>
      </c>
      <c r="AB41" s="38" t="n"/>
      <c r="AC41" s="38" t="n"/>
    </row>
    <row r="42" ht="23.85" customHeight="1" s="22">
      <c r="A42" s="36" t="inlineStr">
        <is>
          <t>P0041</t>
        </is>
      </c>
      <c r="B42" s="36" t="inlineStr">
        <is>
          <t>https://instasure.ca/whole-life-insurance/</t>
        </is>
      </c>
      <c r="C42" s="36" t="inlineStr">
        <is>
          <t>Product pillar</t>
        </is>
      </c>
      <c r="D42" s="36" t="inlineStr">
        <is>
          <t>Life insurance</t>
        </is>
      </c>
      <c r="E42" s="36" t="inlineStr">
        <is>
          <t>Whole Life Insurance</t>
        </is>
      </c>
      <c r="F42" s="36" t="n"/>
      <c r="G42" s="36" t="n"/>
      <c r="H42" s="36" t="n"/>
      <c r="I42" s="36" t="inlineStr">
        <is>
          <t>Yes</t>
        </is>
      </c>
      <c r="J42" s="25" t="inlineStr">
        <is>
          <t>Whole Life Insurance in Canada (2026) | Instasure.ca</t>
        </is>
      </c>
      <c r="K42" s="36">
        <f>LEN(J42)</f>
        <v/>
      </c>
      <c r="L42" s="25" t="inlineStr">
        <is>
          <t>Lifetime coverage with guaranteed premiums and cash value — for estate, legacy and business planning. Instant whole life insurance estimates for every province,…</t>
        </is>
      </c>
      <c r="M42" s="36">
        <f>LEN(L42)</f>
        <v/>
      </c>
      <c r="N42" s="25" t="inlineStr">
        <is>
          <t>Whole Life Insurance in Canada: Costs, Cash Value &amp; When It Makes Sense</t>
        </is>
      </c>
      <c r="O42" s="36" t="inlineStr">
        <is>
          <t>whole life insurance</t>
        </is>
      </c>
      <c r="P42" s="37" t="n">
        <v>5400</v>
      </c>
      <c r="Q42" s="36" t="inlineStr">
        <is>
          <t>Nationwide</t>
        </is>
      </c>
      <c r="R42" s="36" t="n"/>
      <c r="S42" s="36">
        <f>COUNTIF('Page-Keyword Map'!$A$2:$A$675,B42)</f>
        <v/>
      </c>
      <c r="T42" s="37">
        <f>SUMIF('Page-Keyword Map'!$A$2:$A$675,B42,'Page-Keyword Map'!$H$2:$H$675)</f>
        <v/>
      </c>
      <c r="U42" s="36">
        <f>COUNTIFS('Page-Keyword Map'!$A$2:$A$675,B42,'Page-Keyword Map'!$E$2:$E$675,"Nationwide")</f>
        <v/>
      </c>
      <c r="V42" s="36">
        <f>COUNTIFS('Page-Keyword Map'!$A$2:$A$675,B42,'Page-Keyword Map'!$E$2:$E$675,"Provincial")</f>
        <v/>
      </c>
      <c r="W42" s="36">
        <f>COUNTIFS('Page-Keyword Map'!$A$2:$A$675,B42,'Page-Keyword Map'!$E$2:$E$675,"City")</f>
        <v/>
      </c>
      <c r="X42" s="36">
        <f>IF(O42="","",IF(ISNUMBER(SEARCH(O42,J42)),"Yes","No"))</f>
        <v/>
      </c>
      <c r="Y42" s="36" t="n">
        <v>0.9</v>
      </c>
      <c r="Z42" s="36" t="inlineStr">
        <is>
          <t>sitemap-core.xml</t>
        </is>
      </c>
      <c r="AA42" s="36" t="inlineStr">
        <is>
          <t>Live – indexable</t>
        </is>
      </c>
      <c r="AB42" s="38" t="n"/>
      <c r="AC42" s="38" t="n"/>
    </row>
    <row r="43" ht="23.85" customHeight="1" s="22">
      <c r="A43" s="36" t="inlineStr">
        <is>
          <t>P0042</t>
        </is>
      </c>
      <c r="B43" s="36" t="inlineStr">
        <is>
          <t>https://instasure.ca/atv-snowmobile-insurance/</t>
        </is>
      </c>
      <c r="C43" s="36" t="inlineStr">
        <is>
          <t>Service page</t>
        </is>
      </c>
      <c r="D43" s="36" t="inlineStr">
        <is>
          <t>Recreational vehicles</t>
        </is>
      </c>
      <c r="E43" s="36" t="inlineStr">
        <is>
          <t>Car Insurance</t>
        </is>
      </c>
      <c r="F43" s="36" t="inlineStr">
        <is>
          <t>ATV &amp; Snowmobile Insurance</t>
        </is>
      </c>
      <c r="G43" s="36" t="n"/>
      <c r="H43" s="36" t="n"/>
      <c r="I43" s="36" t="inlineStr">
        <is>
          <t>Yes</t>
        </is>
      </c>
      <c r="J43" s="25" t="inlineStr">
        <is>
          <t>ATV &amp; Snowmobile Insurance in Canada | Instasure.ca</t>
        </is>
      </c>
      <c r="K43" s="36">
        <f>LEN(J43)</f>
        <v/>
      </c>
      <c r="L43" s="25" t="inlineStr">
        <is>
          <t>Insurance for ATVs, side-by-sides and snowmobiles: when it is required, trail permits, liability and damage coverage, and seasonal pricing.</t>
        </is>
      </c>
      <c r="M43" s="36">
        <f>LEN(L43)</f>
        <v/>
      </c>
      <c r="N43" s="25" t="inlineStr">
        <is>
          <t>ATV &amp; Snowmobile Insurance</t>
        </is>
      </c>
      <c r="O43" s="36" t="inlineStr">
        <is>
          <t>snowmobile insurance</t>
        </is>
      </c>
      <c r="P43" s="37" t="n">
        <v>1000</v>
      </c>
      <c r="Q43" s="36" t="inlineStr">
        <is>
          <t>Nationwide</t>
        </is>
      </c>
      <c r="R43" s="36" t="n"/>
      <c r="S43" s="36">
        <f>COUNTIF('Page-Keyword Map'!$A$2:$A$675,B43)</f>
        <v/>
      </c>
      <c r="T43" s="37">
        <f>SUMIF('Page-Keyword Map'!$A$2:$A$675,B43,'Page-Keyword Map'!$H$2:$H$675)</f>
        <v/>
      </c>
      <c r="U43" s="36">
        <f>COUNTIFS('Page-Keyword Map'!$A$2:$A$675,B43,'Page-Keyword Map'!$E$2:$E$675,"Nationwide")</f>
        <v/>
      </c>
      <c r="V43" s="36">
        <f>COUNTIFS('Page-Keyword Map'!$A$2:$A$675,B43,'Page-Keyword Map'!$E$2:$E$675,"Provincial")</f>
        <v/>
      </c>
      <c r="W43" s="36">
        <f>COUNTIFS('Page-Keyword Map'!$A$2:$A$675,B43,'Page-Keyword Map'!$E$2:$E$675,"City")</f>
        <v/>
      </c>
      <c r="X43" s="36">
        <f>IF(O43="","",IF(ISNUMBER(SEARCH(O43,J43)),"Yes","No"))</f>
        <v/>
      </c>
      <c r="Y43" s="36" t="n">
        <v>0.7</v>
      </c>
      <c r="Z43" s="36" t="inlineStr">
        <is>
          <t>sitemap-services.xml</t>
        </is>
      </c>
      <c r="AA43" s="36" t="inlineStr">
        <is>
          <t>Live – indexable</t>
        </is>
      </c>
      <c r="AB43" s="38" t="n"/>
      <c r="AC43" s="38" t="n"/>
    </row>
    <row r="44" ht="23.85" customHeight="1" s="22">
      <c r="A44" s="36" t="inlineStr">
        <is>
          <t>P0043</t>
        </is>
      </c>
      <c r="B44" s="36" t="inlineStr">
        <is>
          <t>https://instasure.ca/boat-insurance/</t>
        </is>
      </c>
      <c r="C44" s="36" t="inlineStr">
        <is>
          <t>Service page</t>
        </is>
      </c>
      <c r="D44" s="36" t="inlineStr">
        <is>
          <t>Recreational vehicles</t>
        </is>
      </c>
      <c r="E44" s="36" t="inlineStr">
        <is>
          <t>Home Insurance</t>
        </is>
      </c>
      <c r="F44" s="36" t="inlineStr">
        <is>
          <t>Boat Insurance</t>
        </is>
      </c>
      <c r="G44" s="36" t="n"/>
      <c r="H44" s="36" t="n"/>
      <c r="I44" s="36" t="inlineStr">
        <is>
          <t>Yes</t>
        </is>
      </c>
      <c r="J44" s="25" t="inlineStr">
        <is>
          <t>Boat Insurance in Canada: Pleasure Craft and Watercraft</t>
        </is>
      </c>
      <c r="K44" s="36">
        <f>LEN(J44)</f>
        <v/>
      </c>
      <c r="L44" s="25" t="inlineStr">
        <is>
          <t>Boat and personal watercraft insurance in Canada: liability, hull and equipment coverage, what a home policy covers and marina requirements.</t>
        </is>
      </c>
      <c r="M44" s="36">
        <f>LEN(L44)</f>
        <v/>
      </c>
      <c r="N44" s="25" t="inlineStr">
        <is>
          <t>Boat Insurance</t>
        </is>
      </c>
      <c r="O44" s="36" t="inlineStr">
        <is>
          <t>boat insurance</t>
        </is>
      </c>
      <c r="P44" s="37" t="n">
        <v>2900</v>
      </c>
      <c r="Q44" s="36" t="inlineStr">
        <is>
          <t>Nationwide</t>
        </is>
      </c>
      <c r="R44" s="36" t="n"/>
      <c r="S44" s="36">
        <f>COUNTIF('Page-Keyword Map'!$A$2:$A$675,B44)</f>
        <v/>
      </c>
      <c r="T44" s="37">
        <f>SUMIF('Page-Keyword Map'!$A$2:$A$675,B44,'Page-Keyword Map'!$H$2:$H$675)</f>
        <v/>
      </c>
      <c r="U44" s="36">
        <f>COUNTIFS('Page-Keyword Map'!$A$2:$A$675,B44,'Page-Keyword Map'!$E$2:$E$675,"Nationwide")</f>
        <v/>
      </c>
      <c r="V44" s="36">
        <f>COUNTIFS('Page-Keyword Map'!$A$2:$A$675,B44,'Page-Keyword Map'!$E$2:$E$675,"Provincial")</f>
        <v/>
      </c>
      <c r="W44" s="36">
        <f>COUNTIFS('Page-Keyword Map'!$A$2:$A$675,B44,'Page-Keyword Map'!$E$2:$E$675,"City")</f>
        <v/>
      </c>
      <c r="X44" s="36">
        <f>IF(O44="","",IF(ISNUMBER(SEARCH(O44,J44)),"Yes","No"))</f>
        <v/>
      </c>
      <c r="Y44" s="36" t="n">
        <v>0.7</v>
      </c>
      <c r="Z44" s="36" t="inlineStr">
        <is>
          <t>sitemap-services.xml</t>
        </is>
      </c>
      <c r="AA44" s="36" t="inlineStr">
        <is>
          <t>Live – indexable</t>
        </is>
      </c>
      <c r="AB44" s="38" t="n"/>
      <c r="AC44" s="38" t="n"/>
    </row>
    <row r="45" ht="23.85" customHeight="1" s="22">
      <c r="A45" s="36" t="inlineStr">
        <is>
          <t>P0044</t>
        </is>
      </c>
      <c r="B45" s="36" t="inlineStr">
        <is>
          <t>https://instasure.ca/business-insurance/commercial-auto/</t>
        </is>
      </c>
      <c r="C45" s="36" t="inlineStr">
        <is>
          <t>Service page</t>
        </is>
      </c>
      <c r="D45" s="36" t="inlineStr">
        <is>
          <t>Business insurance</t>
        </is>
      </c>
      <c r="E45" s="36" t="inlineStr">
        <is>
          <t>Business Insurance</t>
        </is>
      </c>
      <c r="F45" s="36" t="inlineStr">
        <is>
          <t>Commercial Auto &amp; Fleet Insurance</t>
        </is>
      </c>
      <c r="G45" s="36" t="n"/>
      <c r="H45" s="36" t="n"/>
      <c r="I45" s="36" t="inlineStr">
        <is>
          <t>Yes</t>
        </is>
      </c>
      <c r="J45" s="25" t="inlineStr">
        <is>
          <t>Commercial Auto Insurance: Vans, Trucks and Small Fleets</t>
        </is>
      </c>
      <c r="K45" s="36">
        <f>LEN(J45)</f>
        <v/>
      </c>
      <c r="L45" s="25" t="inlineStr">
        <is>
          <t>Commercial vehicle insurance for Canadian businesses: work vans, pickups, small fleets, trucking and cargo, employee drivers and what personal policies exclude.</t>
        </is>
      </c>
      <c r="M45" s="36">
        <f>LEN(L45)</f>
        <v/>
      </c>
      <c r="N45" s="25" t="inlineStr">
        <is>
          <t>Commercial Auto &amp; Fleet Insurance</t>
        </is>
      </c>
      <c r="O45" s="36" t="inlineStr">
        <is>
          <t>commercial auto insurance</t>
        </is>
      </c>
      <c r="P45" s="37" t="n">
        <v>1300</v>
      </c>
      <c r="Q45" s="36" t="inlineStr">
        <is>
          <t>Nationwide</t>
        </is>
      </c>
      <c r="R45" s="36" t="n"/>
      <c r="S45" s="36">
        <f>COUNTIF('Page-Keyword Map'!$A$2:$A$675,B45)</f>
        <v/>
      </c>
      <c r="T45" s="37">
        <f>SUMIF('Page-Keyword Map'!$A$2:$A$675,B45,'Page-Keyword Map'!$H$2:$H$675)</f>
        <v/>
      </c>
      <c r="U45" s="36">
        <f>COUNTIFS('Page-Keyword Map'!$A$2:$A$675,B45,'Page-Keyword Map'!$E$2:$E$675,"Nationwide")</f>
        <v/>
      </c>
      <c r="V45" s="36">
        <f>COUNTIFS('Page-Keyword Map'!$A$2:$A$675,B45,'Page-Keyword Map'!$E$2:$E$675,"Provincial")</f>
        <v/>
      </c>
      <c r="W45" s="36">
        <f>COUNTIFS('Page-Keyword Map'!$A$2:$A$675,B45,'Page-Keyword Map'!$E$2:$E$675,"City")</f>
        <v/>
      </c>
      <c r="X45" s="36">
        <f>IF(O45="","",IF(ISNUMBER(SEARCH(O45,J45)),"Yes","No"))</f>
        <v/>
      </c>
      <c r="Y45" s="36" t="n">
        <v>0.8</v>
      </c>
      <c r="Z45" s="36" t="inlineStr">
        <is>
          <t>sitemap-services.xml</t>
        </is>
      </c>
      <c r="AA45" s="36" t="inlineStr">
        <is>
          <t>Live – indexable</t>
        </is>
      </c>
      <c r="AB45" s="38" t="n"/>
      <c r="AC45" s="38" t="n"/>
    </row>
    <row r="46" ht="23.85" customHeight="1" s="22">
      <c r="A46" s="36" t="inlineStr">
        <is>
          <t>P0045</t>
        </is>
      </c>
      <c r="B46" s="36" t="inlineStr">
        <is>
          <t>https://instasure.ca/business-insurance/cyber/</t>
        </is>
      </c>
      <c r="C46" s="36" t="inlineStr">
        <is>
          <t>Service page</t>
        </is>
      </c>
      <c r="D46" s="36" t="inlineStr">
        <is>
          <t>Business insurance</t>
        </is>
      </c>
      <c r="E46" s="36" t="inlineStr">
        <is>
          <t>Business Insurance</t>
        </is>
      </c>
      <c r="F46" s="36" t="inlineStr">
        <is>
          <t>Cyber Insurance</t>
        </is>
      </c>
      <c r="G46" s="36" t="n"/>
      <c r="H46" s="36" t="n"/>
      <c r="I46" s="36" t="inlineStr">
        <is>
          <t>Yes</t>
        </is>
      </c>
      <c r="J46" s="25" t="inlineStr">
        <is>
          <t>Cyber Insurance for Canadian Small Businesses | Instasure.ca</t>
        </is>
      </c>
      <c r="K46" s="36">
        <f>LEN(J46)</f>
        <v/>
      </c>
      <c r="L46" s="25" t="inlineStr">
        <is>
          <t>Cyber insurance for Canadian small businesses: data breaches, ransomware, downtime, privacy breach reporting and the security insurers expect.</t>
        </is>
      </c>
      <c r="M46" s="36">
        <f>LEN(L46)</f>
        <v/>
      </c>
      <c r="N46" s="25" t="inlineStr">
        <is>
          <t>Cyber Insurance</t>
        </is>
      </c>
      <c r="O46" s="36" t="inlineStr">
        <is>
          <t>cyber insurance canada</t>
        </is>
      </c>
      <c r="P46" s="37" t="n">
        <v>590</v>
      </c>
      <c r="Q46" s="36" t="inlineStr">
        <is>
          <t>Nationwide</t>
        </is>
      </c>
      <c r="R46" s="36" t="n"/>
      <c r="S46" s="36">
        <f>COUNTIF('Page-Keyword Map'!$A$2:$A$675,B46)</f>
        <v/>
      </c>
      <c r="T46" s="37">
        <f>SUMIF('Page-Keyword Map'!$A$2:$A$675,B46,'Page-Keyword Map'!$H$2:$H$675)</f>
        <v/>
      </c>
      <c r="U46" s="36">
        <f>COUNTIFS('Page-Keyword Map'!$A$2:$A$675,B46,'Page-Keyword Map'!$E$2:$E$675,"Nationwide")</f>
        <v/>
      </c>
      <c r="V46" s="36">
        <f>COUNTIFS('Page-Keyword Map'!$A$2:$A$675,B46,'Page-Keyword Map'!$E$2:$E$675,"Provincial")</f>
        <v/>
      </c>
      <c r="W46" s="36">
        <f>COUNTIFS('Page-Keyword Map'!$A$2:$A$675,B46,'Page-Keyword Map'!$E$2:$E$675,"City")</f>
        <v/>
      </c>
      <c r="X46" s="36">
        <f>IF(O46="","",IF(ISNUMBER(SEARCH(O46,J46)),"Yes","No"))</f>
        <v/>
      </c>
      <c r="Y46" s="36" t="n">
        <v>0.7</v>
      </c>
      <c r="Z46" s="36" t="inlineStr">
        <is>
          <t>sitemap-services.xml</t>
        </is>
      </c>
      <c r="AA46" s="36" t="inlineStr">
        <is>
          <t>Live – indexable</t>
        </is>
      </c>
      <c r="AB46" s="38" t="n"/>
      <c r="AC46" s="38" t="n"/>
    </row>
    <row r="47" ht="23.85" customHeight="1" s="22">
      <c r="A47" s="36" t="inlineStr">
        <is>
          <t>P0046</t>
        </is>
      </c>
      <c r="B47" s="36" t="inlineStr">
        <is>
          <t>https://instasure.ca/business-insurance/directors-and-officers/</t>
        </is>
      </c>
      <c r="C47" s="36" t="inlineStr">
        <is>
          <t>Service page</t>
        </is>
      </c>
      <c r="D47" s="36" t="inlineStr">
        <is>
          <t>Business insurance</t>
        </is>
      </c>
      <c r="E47" s="36" t="inlineStr">
        <is>
          <t>Business Insurance</t>
        </is>
      </c>
      <c r="F47" s="36" t="inlineStr">
        <is>
          <t>Directors &amp; Officers Insurance</t>
        </is>
      </c>
      <c r="G47" s="36" t="n"/>
      <c r="H47" s="36" t="n"/>
      <c r="I47" s="36" t="inlineStr">
        <is>
          <t>Yes</t>
        </is>
      </c>
      <c r="J47" s="25" t="inlineStr">
        <is>
          <t>Directors &amp; Officers (D&amp;O) Insurance in Canada | Instasure.ca</t>
        </is>
      </c>
      <c r="K47" s="36">
        <f>LEN(J47)</f>
        <v/>
      </c>
      <c r="L47" s="25" t="inlineStr">
        <is>
          <t>D&amp;O insurance for Canadian companies and non-profits: personal liability of directors and officers, what it covers, who needs it and typical exclusions.</t>
        </is>
      </c>
      <c r="M47" s="36">
        <f>LEN(L47)</f>
        <v/>
      </c>
      <c r="N47" s="25" t="inlineStr">
        <is>
          <t>Directors &amp; Officers Insurance</t>
        </is>
      </c>
      <c r="O47" s="36" t="inlineStr">
        <is>
          <t>directors and officers insurance</t>
        </is>
      </c>
      <c r="P47" s="37" t="n">
        <v>880</v>
      </c>
      <c r="Q47" s="36" t="inlineStr">
        <is>
          <t>Nationwide</t>
        </is>
      </c>
      <c r="R47" s="36" t="n"/>
      <c r="S47" s="36">
        <f>COUNTIF('Page-Keyword Map'!$A$2:$A$675,B47)</f>
        <v/>
      </c>
      <c r="T47" s="37">
        <f>SUMIF('Page-Keyword Map'!$A$2:$A$675,B47,'Page-Keyword Map'!$H$2:$H$675)</f>
        <v/>
      </c>
      <c r="U47" s="36">
        <f>COUNTIFS('Page-Keyword Map'!$A$2:$A$675,B47,'Page-Keyword Map'!$E$2:$E$675,"Nationwide")</f>
        <v/>
      </c>
      <c r="V47" s="36">
        <f>COUNTIFS('Page-Keyword Map'!$A$2:$A$675,B47,'Page-Keyword Map'!$E$2:$E$675,"Provincial")</f>
        <v/>
      </c>
      <c r="W47" s="36">
        <f>COUNTIFS('Page-Keyword Map'!$A$2:$A$675,B47,'Page-Keyword Map'!$E$2:$E$675,"City")</f>
        <v/>
      </c>
      <c r="X47" s="36">
        <f>IF(O47="","",IF(ISNUMBER(SEARCH(O47,J47)),"Yes","No"))</f>
        <v/>
      </c>
      <c r="Y47" s="36" t="n">
        <v>0.7</v>
      </c>
      <c r="Z47" s="36" t="inlineStr">
        <is>
          <t>sitemap-services.xml</t>
        </is>
      </c>
      <c r="AA47" s="36" t="inlineStr">
        <is>
          <t>Live – indexable</t>
        </is>
      </c>
      <c r="AB47" s="38" t="n"/>
      <c r="AC47" s="38" t="n"/>
    </row>
    <row r="48" ht="23.85" customHeight="1" s="22">
      <c r="A48" s="36" t="inlineStr">
        <is>
          <t>P0047</t>
        </is>
      </c>
      <c r="B48" s="36" t="inlineStr">
        <is>
          <t>https://instasure.ca/business-insurance/home-based/</t>
        </is>
      </c>
      <c r="C48" s="36" t="inlineStr">
        <is>
          <t>Service page</t>
        </is>
      </c>
      <c r="D48" s="36" t="inlineStr">
        <is>
          <t>Business insurance</t>
        </is>
      </c>
      <c r="E48" s="36" t="inlineStr">
        <is>
          <t>Business Insurance</t>
        </is>
      </c>
      <c r="F48" s="36" t="inlineStr">
        <is>
          <t>Home-Based Business Insurance</t>
        </is>
      </c>
      <c r="G48" s="36" t="n"/>
      <c r="H48" s="36" t="n"/>
      <c r="I48" s="36" t="inlineStr">
        <is>
          <t>Yes</t>
        </is>
      </c>
      <c r="J48" s="25" t="inlineStr">
        <is>
          <t>Home-Based Business Insurance in Canada | Instasure.ca</t>
        </is>
      </c>
      <c r="K48" s="36">
        <f>LEN(J48)</f>
        <v/>
      </c>
      <c r="L48" s="25" t="inlineStr">
        <is>
          <t>Insurance for businesses run from home: what your home policy excludes, home business endorsements vs commercial policies, clients and equipment.</t>
        </is>
      </c>
      <c r="M48" s="36">
        <f>LEN(L48)</f>
        <v/>
      </c>
      <c r="N48" s="25" t="inlineStr">
        <is>
          <t>Home-Based Business Insurance</t>
        </is>
      </c>
      <c r="O48" s="36" t="inlineStr">
        <is>
          <t>home based business insurance</t>
        </is>
      </c>
      <c r="P48" s="37" t="n">
        <v>480</v>
      </c>
      <c r="Q48" s="36" t="inlineStr">
        <is>
          <t>Nationwide</t>
        </is>
      </c>
      <c r="R48" s="36" t="n"/>
      <c r="S48" s="36">
        <f>COUNTIF('Page-Keyword Map'!$A$2:$A$675,B48)</f>
        <v/>
      </c>
      <c r="T48" s="37">
        <f>SUMIF('Page-Keyword Map'!$A$2:$A$675,B48,'Page-Keyword Map'!$H$2:$H$675)</f>
        <v/>
      </c>
      <c r="U48" s="36">
        <f>COUNTIFS('Page-Keyword Map'!$A$2:$A$675,B48,'Page-Keyword Map'!$E$2:$E$675,"Nationwide")</f>
        <v/>
      </c>
      <c r="V48" s="36">
        <f>COUNTIFS('Page-Keyword Map'!$A$2:$A$675,B48,'Page-Keyword Map'!$E$2:$E$675,"Provincial")</f>
        <v/>
      </c>
      <c r="W48" s="36">
        <f>COUNTIFS('Page-Keyword Map'!$A$2:$A$675,B48,'Page-Keyword Map'!$E$2:$E$675,"City")</f>
        <v/>
      </c>
      <c r="X48" s="36">
        <f>IF(O48="","",IF(ISNUMBER(SEARCH(O48,J48)),"Yes","No"))</f>
        <v/>
      </c>
      <c r="Y48" s="36" t="n">
        <v>0.7</v>
      </c>
      <c r="Z48" s="36" t="inlineStr">
        <is>
          <t>sitemap-services.xml</t>
        </is>
      </c>
      <c r="AA48" s="36" t="inlineStr">
        <is>
          <t>Live – indexable</t>
        </is>
      </c>
      <c r="AB48" s="38" t="n"/>
      <c r="AC48" s="38" t="n"/>
    </row>
    <row r="49" ht="23.85" customHeight="1" s="22">
      <c r="A49" s="36" t="inlineStr">
        <is>
          <t>P0048</t>
        </is>
      </c>
      <c r="B49" s="36" t="inlineStr">
        <is>
          <t>https://instasure.ca/business-insurance/key-person/</t>
        </is>
      </c>
      <c r="C49" s="36" t="inlineStr">
        <is>
          <t>Service page</t>
        </is>
      </c>
      <c r="D49" s="36" t="inlineStr">
        <is>
          <t>Business insurance</t>
        </is>
      </c>
      <c r="E49" s="36" t="inlineStr">
        <is>
          <t>Life Insurance</t>
        </is>
      </c>
      <c r="F49" s="36" t="inlineStr">
        <is>
          <t>Key Person &amp; Buy-Sell Insurance</t>
        </is>
      </c>
      <c r="G49" s="36" t="n"/>
      <c r="H49" s="36" t="n"/>
      <c r="I49" s="36" t="inlineStr">
        <is>
          <t>Yes</t>
        </is>
      </c>
      <c r="J49" s="25" t="inlineStr">
        <is>
          <t>Key Person &amp; Buy-Sell Insurance for Canadian Businesses</t>
        </is>
      </c>
      <c r="K49" s="36">
        <f>LEN(J49)</f>
        <v/>
      </c>
      <c r="L49" s="25" t="inlineStr">
        <is>
          <t>Key person and buy-sell insurance for Canadian businesses: protect the company if an owner or key employee dies or falls ill, and fund shareholder agreements.</t>
        </is>
      </c>
      <c r="M49" s="36">
        <f>LEN(L49)</f>
        <v/>
      </c>
      <c r="N49" s="25" t="inlineStr">
        <is>
          <t>Key Person &amp; Buy-Sell Insurance</t>
        </is>
      </c>
      <c r="O49" s="36" t="inlineStr">
        <is>
          <t>key person insurance</t>
        </is>
      </c>
      <c r="P49" s="37" t="n">
        <v>480</v>
      </c>
      <c r="Q49" s="36" t="inlineStr">
        <is>
          <t>Nationwide</t>
        </is>
      </c>
      <c r="R49" s="36" t="n"/>
      <c r="S49" s="36">
        <f>COUNTIF('Page-Keyword Map'!$A$2:$A$675,B49)</f>
        <v/>
      </c>
      <c r="T49" s="37">
        <f>SUMIF('Page-Keyword Map'!$A$2:$A$675,B49,'Page-Keyword Map'!$H$2:$H$675)</f>
        <v/>
      </c>
      <c r="U49" s="36">
        <f>COUNTIFS('Page-Keyword Map'!$A$2:$A$675,B49,'Page-Keyword Map'!$E$2:$E$675,"Nationwide")</f>
        <v/>
      </c>
      <c r="V49" s="36">
        <f>COUNTIFS('Page-Keyword Map'!$A$2:$A$675,B49,'Page-Keyword Map'!$E$2:$E$675,"Provincial")</f>
        <v/>
      </c>
      <c r="W49" s="36">
        <f>COUNTIFS('Page-Keyword Map'!$A$2:$A$675,B49,'Page-Keyword Map'!$E$2:$E$675,"City")</f>
        <v/>
      </c>
      <c r="X49" s="36">
        <f>IF(O49="","",IF(ISNUMBER(SEARCH(O49,J49)),"Yes","No"))</f>
        <v/>
      </c>
      <c r="Y49" s="36" t="n">
        <v>0.7</v>
      </c>
      <c r="Z49" s="36" t="inlineStr">
        <is>
          <t>sitemap-services.xml</t>
        </is>
      </c>
      <c r="AA49" s="36" t="inlineStr">
        <is>
          <t>Live – indexable</t>
        </is>
      </c>
      <c r="AB49" s="38" t="n"/>
      <c r="AC49" s="38" t="n"/>
    </row>
    <row r="50" ht="23.85" customHeight="1" s="22">
      <c r="A50" s="36" t="inlineStr">
        <is>
          <t>P0049</t>
        </is>
      </c>
      <c r="B50" s="36" t="inlineStr">
        <is>
          <t>https://instasure.ca/business-insurance/restaurants/</t>
        </is>
      </c>
      <c r="C50" s="36" t="inlineStr">
        <is>
          <t>Service page</t>
        </is>
      </c>
      <c r="D50" s="36" t="inlineStr">
        <is>
          <t>Business insurance</t>
        </is>
      </c>
      <c r="E50" s="36" t="inlineStr">
        <is>
          <t>Business Insurance</t>
        </is>
      </c>
      <c r="F50" s="36" t="inlineStr">
        <is>
          <t>Restaurant &amp; Food Service Insurance</t>
        </is>
      </c>
      <c r="G50" s="36" t="n"/>
      <c r="H50" s="36" t="n"/>
      <c r="I50" s="36" t="inlineStr">
        <is>
          <t>Yes</t>
        </is>
      </c>
      <c r="J50" s="25" t="inlineStr">
        <is>
          <t>Restaurant &amp; Food Service Insurance in Canada | Instasure.ca</t>
        </is>
      </c>
      <c r="K50" s="36">
        <f>LEN(J50)</f>
        <v/>
      </c>
      <c r="L50" s="25" t="inlineStr">
        <is>
          <t>Insurance for restaurants, cafés, bars and food trucks: general liability, liquor liability, property, equipment breakdown, spoilage and business interruption.</t>
        </is>
      </c>
      <c r="M50" s="36">
        <f>LEN(L50)</f>
        <v/>
      </c>
      <c r="N50" s="25" t="inlineStr">
        <is>
          <t>Restaurant &amp; Food Service Insurance</t>
        </is>
      </c>
      <c r="O50" s="36" t="inlineStr">
        <is>
          <t>restaurant insurance</t>
        </is>
      </c>
      <c r="P50" s="37" t="n">
        <v>590</v>
      </c>
      <c r="Q50" s="36" t="inlineStr">
        <is>
          <t>Nationwide</t>
        </is>
      </c>
      <c r="R50" s="36" t="n"/>
      <c r="S50" s="36">
        <f>COUNTIF('Page-Keyword Map'!$A$2:$A$675,B50)</f>
        <v/>
      </c>
      <c r="T50" s="37">
        <f>SUMIF('Page-Keyword Map'!$A$2:$A$675,B50,'Page-Keyword Map'!$H$2:$H$675)</f>
        <v/>
      </c>
      <c r="U50" s="36">
        <f>COUNTIFS('Page-Keyword Map'!$A$2:$A$675,B50,'Page-Keyword Map'!$E$2:$E$675,"Nationwide")</f>
        <v/>
      </c>
      <c r="V50" s="36">
        <f>COUNTIFS('Page-Keyword Map'!$A$2:$A$675,B50,'Page-Keyword Map'!$E$2:$E$675,"Provincial")</f>
        <v/>
      </c>
      <c r="W50" s="36">
        <f>COUNTIFS('Page-Keyword Map'!$A$2:$A$675,B50,'Page-Keyword Map'!$E$2:$E$675,"City")</f>
        <v/>
      </c>
      <c r="X50" s="36">
        <f>IF(O50="","",IF(ISNUMBER(SEARCH(O50,J50)),"Yes","No"))</f>
        <v/>
      </c>
      <c r="Y50" s="36" t="n">
        <v>0.7</v>
      </c>
      <c r="Z50" s="36" t="inlineStr">
        <is>
          <t>sitemap-services.xml</t>
        </is>
      </c>
      <c r="AA50" s="36" t="inlineStr">
        <is>
          <t>Live – indexable</t>
        </is>
      </c>
      <c r="AB50" s="38" t="n"/>
      <c r="AC50" s="38" t="n"/>
    </row>
    <row r="51" ht="23.85" customHeight="1" s="22">
      <c r="A51" s="36" t="inlineStr">
        <is>
          <t>P0050</t>
        </is>
      </c>
      <c r="B51" s="36" t="inlineStr">
        <is>
          <t>https://instasure.ca/car-insurance/accident-benefits-review/</t>
        </is>
      </c>
      <c r="C51" s="36" t="inlineStr">
        <is>
          <t>Service page</t>
        </is>
      </c>
      <c r="D51" s="36" t="inlineStr">
        <is>
          <t>Car insurance</t>
        </is>
      </c>
      <c r="E51" s="36" t="inlineStr">
        <is>
          <t>Car Insurance</t>
        </is>
      </c>
      <c r="F51" s="36" t="inlineStr">
        <is>
          <t>Ontario Accident Benefits Review</t>
        </is>
      </c>
      <c r="G51" s="36" t="n"/>
      <c r="H51" s="36" t="n"/>
      <c r="I51" s="36" t="inlineStr">
        <is>
          <t>Yes</t>
        </is>
      </c>
      <c r="J51" s="25" t="inlineStr">
        <is>
          <t>Ontario Accident Benefits Review: What to Keep After July 2026</t>
        </is>
      </c>
      <c r="K51" s="36">
        <f>LEN(J51)</f>
        <v/>
      </c>
      <c r="L51" s="25" t="inlineStr">
        <is>
          <t>A free review of Ontario’s optional accident benefits (income replacement, caregiver, death and funeral and more): what to keep at renewal and what it costs.</t>
        </is>
      </c>
      <c r="M51" s="36">
        <f>LEN(L51)</f>
        <v/>
      </c>
      <c r="N51" s="25" t="inlineStr">
        <is>
          <t>Ontario Accident Benefits Review</t>
        </is>
      </c>
      <c r="O51" s="36" t="inlineStr">
        <is>
          <t>should i buy optional accident benefits</t>
        </is>
      </c>
      <c r="P51" s="37" t="n">
        <v>210</v>
      </c>
      <c r="Q51" s="36" t="inlineStr">
        <is>
          <t>Nationwide</t>
        </is>
      </c>
      <c r="R51" s="36" t="n"/>
      <c r="S51" s="36">
        <f>COUNTIF('Page-Keyword Map'!$A$2:$A$675,B51)</f>
        <v/>
      </c>
      <c r="T51" s="37">
        <f>SUMIF('Page-Keyword Map'!$A$2:$A$675,B51,'Page-Keyword Map'!$H$2:$H$675)</f>
        <v/>
      </c>
      <c r="U51" s="36">
        <f>COUNTIFS('Page-Keyword Map'!$A$2:$A$675,B51,'Page-Keyword Map'!$E$2:$E$675,"Nationwide")</f>
        <v/>
      </c>
      <c r="V51" s="36">
        <f>COUNTIFS('Page-Keyword Map'!$A$2:$A$675,B51,'Page-Keyword Map'!$E$2:$E$675,"Provincial")</f>
        <v/>
      </c>
      <c r="W51" s="36">
        <f>COUNTIFS('Page-Keyword Map'!$A$2:$A$675,B51,'Page-Keyword Map'!$E$2:$E$675,"City")</f>
        <v/>
      </c>
      <c r="X51" s="36">
        <f>IF(O51="","",IF(ISNUMBER(SEARCH(O51,J51)),"Yes","No"))</f>
        <v/>
      </c>
      <c r="Y51" s="36" t="n">
        <v>0.8</v>
      </c>
      <c r="Z51" s="36" t="inlineStr">
        <is>
          <t>sitemap-services.xml</t>
        </is>
      </c>
      <c r="AA51" s="36" t="inlineStr">
        <is>
          <t>Live – indexable</t>
        </is>
      </c>
      <c r="AB51" s="38" t="n"/>
      <c r="AC51" s="38" t="n"/>
    </row>
    <row r="52" ht="23.85" customHeight="1" s="22">
      <c r="A52" s="36" t="inlineStr">
        <is>
          <t>P0051</t>
        </is>
      </c>
      <c r="B52" s="36" t="inlineStr">
        <is>
          <t>https://instasure.ca/car-insurance/classic-cars/</t>
        </is>
      </c>
      <c r="C52" s="36" t="inlineStr">
        <is>
          <t>Service page</t>
        </is>
      </c>
      <c r="D52" s="36" t="inlineStr">
        <is>
          <t>Car insurance</t>
        </is>
      </c>
      <c r="E52" s="36" t="inlineStr">
        <is>
          <t>Car Insurance</t>
        </is>
      </c>
      <c r="F52" s="36" t="inlineStr">
        <is>
          <t>Classic &amp; Collector Car Insurance</t>
        </is>
      </c>
      <c r="G52" s="36" t="n"/>
      <c r="H52" s="36" t="n"/>
      <c r="I52" s="36" t="inlineStr">
        <is>
          <t>Yes</t>
        </is>
      </c>
      <c r="J52" s="25" t="inlineStr">
        <is>
          <t>Classic &amp; Collector Car Insurance in Canada | Instasure.ca</t>
        </is>
      </c>
      <c r="K52" s="36">
        <f>LEN(J52)</f>
        <v/>
      </c>
      <c r="L52" s="25" t="inlineStr">
        <is>
          <t>Insurance for classic, antique and collector cars: agreed-value coverage, limited-use rules, storage requirements and who qualifies.</t>
        </is>
      </c>
      <c r="M52" s="36">
        <f>LEN(L52)</f>
        <v/>
      </c>
      <c r="N52" s="25" t="inlineStr">
        <is>
          <t>Classic &amp; Collector Car Insurance</t>
        </is>
      </c>
      <c r="O52" s="36" t="inlineStr">
        <is>
          <t>classic car insurance</t>
        </is>
      </c>
      <c r="P52" s="37" t="n">
        <v>1300</v>
      </c>
      <c r="Q52" s="36" t="inlineStr">
        <is>
          <t>Nationwide</t>
        </is>
      </c>
      <c r="R52" s="36" t="n"/>
      <c r="S52" s="36">
        <f>COUNTIF('Page-Keyword Map'!$A$2:$A$675,B52)</f>
        <v/>
      </c>
      <c r="T52" s="37">
        <f>SUMIF('Page-Keyword Map'!$A$2:$A$675,B52,'Page-Keyword Map'!$H$2:$H$675)</f>
        <v/>
      </c>
      <c r="U52" s="36">
        <f>COUNTIFS('Page-Keyword Map'!$A$2:$A$675,B52,'Page-Keyword Map'!$E$2:$E$675,"Nationwide")</f>
        <v/>
      </c>
      <c r="V52" s="36">
        <f>COUNTIFS('Page-Keyword Map'!$A$2:$A$675,B52,'Page-Keyword Map'!$E$2:$E$675,"Provincial")</f>
        <v/>
      </c>
      <c r="W52" s="36">
        <f>COUNTIFS('Page-Keyword Map'!$A$2:$A$675,B52,'Page-Keyword Map'!$E$2:$E$675,"City")</f>
        <v/>
      </c>
      <c r="X52" s="36">
        <f>IF(O52="","",IF(ISNUMBER(SEARCH(O52,J52)),"Yes","No"))</f>
        <v/>
      </c>
      <c r="Y52" s="36" t="n">
        <v>0.7</v>
      </c>
      <c r="Z52" s="36" t="inlineStr">
        <is>
          <t>sitemap-services.xml</t>
        </is>
      </c>
      <c r="AA52" s="36" t="inlineStr">
        <is>
          <t>Live – indexable</t>
        </is>
      </c>
      <c r="AB52" s="38" t="n"/>
      <c r="AC52" s="38" t="n"/>
    </row>
    <row r="53" ht="23.85" customHeight="1" s="22">
      <c r="A53" s="36" t="inlineStr">
        <is>
          <t>P0052</t>
        </is>
      </c>
      <c r="B53" s="36" t="inlineStr">
        <is>
          <t>https://instasure.ca/car-insurance/electric-and-hybrid/</t>
        </is>
      </c>
      <c r="C53" s="36" t="inlineStr">
        <is>
          <t>Service page</t>
        </is>
      </c>
      <c r="D53" s="36" t="inlineStr">
        <is>
          <t>Car insurance</t>
        </is>
      </c>
      <c r="E53" s="36" t="inlineStr">
        <is>
          <t>Car Insurance</t>
        </is>
      </c>
      <c r="F53" s="36" t="inlineStr">
        <is>
          <t>Electric &amp; Hybrid Car Insurance</t>
        </is>
      </c>
      <c r="G53" s="36" t="n"/>
      <c r="H53" s="36" t="n"/>
      <c r="I53" s="36" t="inlineStr">
        <is>
          <t>Yes</t>
        </is>
      </c>
      <c r="J53" s="25" t="inlineStr">
        <is>
          <t>Electric &amp; Hybrid Car Insurance in Canada | Instasure.ca</t>
        </is>
      </c>
      <c r="K53" s="36">
        <f>LEN(J53)</f>
        <v/>
      </c>
      <c r="L53" s="25" t="inlineStr">
        <is>
          <t>How insurers price electric and hybrid cars in Canada: repair and battery costs, EV discounts, charging equipment and what to ask before you buy.</t>
        </is>
      </c>
      <c r="M53" s="36">
        <f>LEN(L53)</f>
        <v/>
      </c>
      <c r="N53" s="25" t="inlineStr">
        <is>
          <t>Electric &amp; Hybrid Car Insurance</t>
        </is>
      </c>
      <c r="O53" s="36" t="inlineStr">
        <is>
          <t>electric car insurance</t>
        </is>
      </c>
      <c r="P53" s="37" t="n">
        <v>880</v>
      </c>
      <c r="Q53" s="36" t="inlineStr">
        <is>
          <t>Nationwide</t>
        </is>
      </c>
      <c r="R53" s="36" t="n"/>
      <c r="S53" s="36">
        <f>COUNTIF('Page-Keyword Map'!$A$2:$A$675,B53)</f>
        <v/>
      </c>
      <c r="T53" s="37">
        <f>SUMIF('Page-Keyword Map'!$A$2:$A$675,B53,'Page-Keyword Map'!$H$2:$H$675)</f>
        <v/>
      </c>
      <c r="U53" s="36">
        <f>COUNTIFS('Page-Keyword Map'!$A$2:$A$675,B53,'Page-Keyword Map'!$E$2:$E$675,"Nationwide")</f>
        <v/>
      </c>
      <c r="V53" s="36">
        <f>COUNTIFS('Page-Keyword Map'!$A$2:$A$675,B53,'Page-Keyword Map'!$E$2:$E$675,"Provincial")</f>
        <v/>
      </c>
      <c r="W53" s="36">
        <f>COUNTIFS('Page-Keyword Map'!$A$2:$A$675,B53,'Page-Keyword Map'!$E$2:$E$675,"City")</f>
        <v/>
      </c>
      <c r="X53" s="36">
        <f>IF(O53="","",IF(ISNUMBER(SEARCH(O53,J53)),"Yes","No"))</f>
        <v/>
      </c>
      <c r="Y53" s="36" t="n">
        <v>0.7</v>
      </c>
      <c r="Z53" s="36" t="inlineStr">
        <is>
          <t>sitemap-services.xml</t>
        </is>
      </c>
      <c r="AA53" s="36" t="inlineStr">
        <is>
          <t>Live – indexable</t>
        </is>
      </c>
      <c r="AB53" s="38" t="n"/>
      <c r="AC53" s="38" t="n"/>
    </row>
    <row r="54" ht="23.85" customHeight="1" s="22">
      <c r="A54" s="36" t="inlineStr">
        <is>
          <t>P0053</t>
        </is>
      </c>
      <c r="B54" s="36" t="inlineStr">
        <is>
          <t>https://instasure.ca/car-insurance/high-risk-drivers/</t>
        </is>
      </c>
      <c r="C54" s="36" t="inlineStr">
        <is>
          <t>Service page</t>
        </is>
      </c>
      <c r="D54" s="36" t="inlineStr">
        <is>
          <t>Car insurance</t>
        </is>
      </c>
      <c r="E54" s="36" t="inlineStr">
        <is>
          <t>Car Insurance</t>
        </is>
      </c>
      <c r="F54" s="36" t="inlineStr">
        <is>
          <t>High-Risk Car Insurance</t>
        </is>
      </c>
      <c r="G54" s="36" t="n"/>
      <c r="H54" s="36" t="n"/>
      <c r="I54" s="36" t="inlineStr">
        <is>
          <t>Yes</t>
        </is>
      </c>
      <c r="J54" s="25" t="inlineStr">
        <is>
          <t>High-Risk Car Insurance: After Tickets, Claims or a Lapse</t>
        </is>
      </c>
      <c r="K54" s="36">
        <f>LEN(J54)</f>
        <v/>
      </c>
      <c r="L54" s="25" t="inlineStr">
        <is>
          <t>Car insurance after at-fault claims, convictions, a lapse or a cancellation: who still insures you, what it costs and how to get back to standard rates.</t>
        </is>
      </c>
      <c r="M54" s="36">
        <f>LEN(L54)</f>
        <v/>
      </c>
      <c r="N54" s="25" t="inlineStr">
        <is>
          <t>High-Risk Car Insurance</t>
        </is>
      </c>
      <c r="O54" s="36" t="inlineStr">
        <is>
          <t>high risk car insurance</t>
        </is>
      </c>
      <c r="P54" s="37" t="n">
        <v>1600</v>
      </c>
      <c r="Q54" s="36" t="inlineStr">
        <is>
          <t>Nationwide</t>
        </is>
      </c>
      <c r="R54" s="36" t="n"/>
      <c r="S54" s="36">
        <f>COUNTIF('Page-Keyword Map'!$A$2:$A$675,B54)</f>
        <v/>
      </c>
      <c r="T54" s="37">
        <f>SUMIF('Page-Keyword Map'!$A$2:$A$675,B54,'Page-Keyword Map'!$H$2:$H$675)</f>
        <v/>
      </c>
      <c r="U54" s="36">
        <f>COUNTIFS('Page-Keyword Map'!$A$2:$A$675,B54,'Page-Keyword Map'!$E$2:$E$675,"Nationwide")</f>
        <v/>
      </c>
      <c r="V54" s="36">
        <f>COUNTIFS('Page-Keyword Map'!$A$2:$A$675,B54,'Page-Keyword Map'!$E$2:$E$675,"Provincial")</f>
        <v/>
      </c>
      <c r="W54" s="36">
        <f>COUNTIFS('Page-Keyword Map'!$A$2:$A$675,B54,'Page-Keyword Map'!$E$2:$E$675,"City")</f>
        <v/>
      </c>
      <c r="X54" s="36">
        <f>IF(O54="","",IF(ISNUMBER(SEARCH(O54,J54)),"Yes","No"))</f>
        <v/>
      </c>
      <c r="Y54" s="36" t="n">
        <v>0.8</v>
      </c>
      <c r="Z54" s="36" t="inlineStr">
        <is>
          <t>sitemap-services.xml</t>
        </is>
      </c>
      <c r="AA54" s="36" t="inlineStr">
        <is>
          <t>Live – indexable</t>
        </is>
      </c>
      <c r="AB54" s="38" t="n"/>
      <c r="AC54" s="38" t="n"/>
    </row>
    <row r="55" ht="23.85" customHeight="1" s="22">
      <c r="A55" s="36" t="inlineStr">
        <is>
          <t>P0054</t>
        </is>
      </c>
      <c r="B55" s="36" t="inlineStr">
        <is>
          <t>https://instasure.ca/car-insurance/home-and-auto-bundle/</t>
        </is>
      </c>
      <c r="C55" s="36" t="inlineStr">
        <is>
          <t>Service page</t>
        </is>
      </c>
      <c r="D55" s="36" t="inlineStr">
        <is>
          <t>Car insurance</t>
        </is>
      </c>
      <c r="E55" s="36" t="inlineStr">
        <is>
          <t>Car Insurance</t>
        </is>
      </c>
      <c r="F55" s="36" t="inlineStr">
        <is>
          <t>Home &amp; Auto Insurance Bundle</t>
        </is>
      </c>
      <c r="G55" s="36" t="n"/>
      <c r="H55" s="36" t="n"/>
      <c r="I55" s="36" t="inlineStr">
        <is>
          <t>Yes</t>
        </is>
      </c>
      <c r="J55" s="25" t="inlineStr">
        <is>
          <t>Home &amp; Auto Insurance Bundle: Is Bundling Cheaper? | Instasure.ca</t>
        </is>
      </c>
      <c r="K55" s="36">
        <f>LEN(J55)</f>
        <v/>
      </c>
      <c r="L55" s="25" t="inlineStr">
        <is>
          <t>How home and auto bundles work in Canada, what multi-line discounts are worth, when separate insurers are cheaper, and how to compare both ways.</t>
        </is>
      </c>
      <c r="M55" s="36">
        <f>LEN(L55)</f>
        <v/>
      </c>
      <c r="N55" s="25" t="inlineStr">
        <is>
          <t>Home &amp; Auto Insurance Bundle</t>
        </is>
      </c>
      <c r="O55" s="36" t="inlineStr">
        <is>
          <t>home and auto insurance bundle</t>
        </is>
      </c>
      <c r="P55" s="37" t="n">
        <v>880</v>
      </c>
      <c r="Q55" s="36" t="inlineStr">
        <is>
          <t>Nationwide</t>
        </is>
      </c>
      <c r="R55" s="36" t="n"/>
      <c r="S55" s="36">
        <f>COUNTIF('Page-Keyword Map'!$A$2:$A$675,B55)</f>
        <v/>
      </c>
      <c r="T55" s="37">
        <f>SUMIF('Page-Keyword Map'!$A$2:$A$675,B55,'Page-Keyword Map'!$H$2:$H$675)</f>
        <v/>
      </c>
      <c r="U55" s="36">
        <f>COUNTIFS('Page-Keyword Map'!$A$2:$A$675,B55,'Page-Keyword Map'!$E$2:$E$675,"Nationwide")</f>
        <v/>
      </c>
      <c r="V55" s="36">
        <f>COUNTIFS('Page-Keyword Map'!$A$2:$A$675,B55,'Page-Keyword Map'!$E$2:$E$675,"Provincial")</f>
        <v/>
      </c>
      <c r="W55" s="36">
        <f>COUNTIFS('Page-Keyword Map'!$A$2:$A$675,B55,'Page-Keyword Map'!$E$2:$E$675,"City")</f>
        <v/>
      </c>
      <c r="X55" s="36">
        <f>IF(O55="","",IF(ISNUMBER(SEARCH(O55,J55)),"Yes","No"))</f>
        <v/>
      </c>
      <c r="Y55" s="36" t="n">
        <v>0.7</v>
      </c>
      <c r="Z55" s="36" t="inlineStr">
        <is>
          <t>sitemap-services.xml</t>
        </is>
      </c>
      <c r="AA55" s="36" t="inlineStr">
        <is>
          <t>Live – indexable</t>
        </is>
      </c>
      <c r="AB55" s="38" t="n"/>
      <c r="AC55" s="38" t="n"/>
    </row>
    <row r="56" ht="23.85" customHeight="1" s="22">
      <c r="A56" s="36" t="inlineStr">
        <is>
          <t>P0055</t>
        </is>
      </c>
      <c r="B56" s="36" t="inlineStr">
        <is>
          <t>https://instasure.ca/car-insurance/new-drivers/</t>
        </is>
      </c>
      <c r="C56" s="36" t="inlineStr">
        <is>
          <t>Service page</t>
        </is>
      </c>
      <c r="D56" s="36" t="inlineStr">
        <is>
          <t>Car insurance</t>
        </is>
      </c>
      <c r="E56" s="36" t="inlineStr">
        <is>
          <t>Car Insurance</t>
        </is>
      </c>
      <c r="F56" s="36" t="inlineStr">
        <is>
          <t>Car Insurance for New Drivers</t>
        </is>
      </c>
      <c r="G56" s="36" t="n"/>
      <c r="H56" s="36" t="n"/>
      <c r="I56" s="36" t="inlineStr">
        <is>
          <t>Yes</t>
        </is>
      </c>
      <c r="J56" s="25" t="inlineStr">
        <is>
          <t>Car Insurance for New Drivers: G1, G2, Class 7 and L/N</t>
        </is>
      </c>
      <c r="K56" s="36">
        <f>LEN(J56)</f>
        <v/>
      </c>
      <c r="L56" s="25" t="inlineStr">
        <is>
          <t>How new drivers get insured in Canada: graduated licences (G1/G2, Class 7, L/N), adding a teen to a family policy, training discounts and costs.</t>
        </is>
      </c>
      <c r="M56" s="36">
        <f>LEN(L56)</f>
        <v/>
      </c>
      <c r="N56" s="25" t="inlineStr">
        <is>
          <t>Car Insurance for New Drivers</t>
        </is>
      </c>
      <c r="O56" s="36" t="inlineStr">
        <is>
          <t>car insurance for new drivers</t>
        </is>
      </c>
      <c r="P56" s="37" t="n">
        <v>1900</v>
      </c>
      <c r="Q56" s="36" t="inlineStr">
        <is>
          <t>Nationwide</t>
        </is>
      </c>
      <c r="R56" s="36" t="n"/>
      <c r="S56" s="36">
        <f>COUNTIF('Page-Keyword Map'!$A$2:$A$675,B56)</f>
        <v/>
      </c>
      <c r="T56" s="37">
        <f>SUMIF('Page-Keyword Map'!$A$2:$A$675,B56,'Page-Keyword Map'!$H$2:$H$675)</f>
        <v/>
      </c>
      <c r="U56" s="36">
        <f>COUNTIFS('Page-Keyword Map'!$A$2:$A$675,B56,'Page-Keyword Map'!$E$2:$E$675,"Nationwide")</f>
        <v/>
      </c>
      <c r="V56" s="36">
        <f>COUNTIFS('Page-Keyword Map'!$A$2:$A$675,B56,'Page-Keyword Map'!$E$2:$E$675,"Provincial")</f>
        <v/>
      </c>
      <c r="W56" s="36">
        <f>COUNTIFS('Page-Keyword Map'!$A$2:$A$675,B56,'Page-Keyword Map'!$E$2:$E$675,"City")</f>
        <v/>
      </c>
      <c r="X56" s="36">
        <f>IF(O56="","",IF(ISNUMBER(SEARCH(O56,J56)),"Yes","No"))</f>
        <v/>
      </c>
      <c r="Y56" s="36" t="n">
        <v>0.7</v>
      </c>
      <c r="Z56" s="36" t="inlineStr">
        <is>
          <t>sitemap-services.xml</t>
        </is>
      </c>
      <c r="AA56" s="36" t="inlineStr">
        <is>
          <t>Live – indexable</t>
        </is>
      </c>
      <c r="AB56" s="38" t="n"/>
      <c r="AC56" s="38" t="n"/>
    </row>
    <row r="57" ht="23.85" customHeight="1" s="22">
      <c r="A57" s="36" t="inlineStr">
        <is>
          <t>P0056</t>
        </is>
      </c>
      <c r="B57" s="36" t="inlineStr">
        <is>
          <t>https://instasure.ca/car-insurance/newcomers/</t>
        </is>
      </c>
      <c r="C57" s="36" t="inlineStr">
        <is>
          <t>Service page</t>
        </is>
      </c>
      <c r="D57" s="36" t="inlineStr">
        <is>
          <t>Car insurance</t>
        </is>
      </c>
      <c r="E57" s="36" t="inlineStr">
        <is>
          <t>Car Insurance</t>
        </is>
      </c>
      <c r="F57" s="36" t="inlineStr">
        <is>
          <t>Car Insurance for Newcomers to Canada</t>
        </is>
      </c>
      <c r="G57" s="36" t="n"/>
      <c r="H57" s="36" t="n"/>
      <c r="I57" s="36" t="inlineStr">
        <is>
          <t>Yes</t>
        </is>
      </c>
      <c r="J57" s="25" t="inlineStr">
        <is>
          <t>Car Insurance for Newcomers to Canada: Credit for Experience</t>
        </is>
      </c>
      <c r="K57" s="36">
        <f>LEN(J57)</f>
        <v/>
      </c>
      <c r="L57" s="25" t="inlineStr">
        <is>
          <t>How newcomers, permanent residents and work-permit holders get car insurance in Canada, and how to get credit for driving experience abroad.</t>
        </is>
      </c>
      <c r="M57" s="36">
        <f>LEN(L57)</f>
        <v/>
      </c>
      <c r="N57" s="25" t="inlineStr">
        <is>
          <t>Car Insurance for Newcomers to Canada</t>
        </is>
      </c>
      <c r="O57" s="36" t="inlineStr">
        <is>
          <t>car insurance for newcomers to canada</t>
        </is>
      </c>
      <c r="P57" s="37" t="n">
        <v>1000</v>
      </c>
      <c r="Q57" s="36" t="inlineStr">
        <is>
          <t>Nationwide</t>
        </is>
      </c>
      <c r="R57" s="36" t="n"/>
      <c r="S57" s="36">
        <f>COUNTIF('Page-Keyword Map'!$A$2:$A$675,B57)</f>
        <v/>
      </c>
      <c r="T57" s="37">
        <f>SUMIF('Page-Keyword Map'!$A$2:$A$675,B57,'Page-Keyword Map'!$H$2:$H$675)</f>
        <v/>
      </c>
      <c r="U57" s="36">
        <f>COUNTIFS('Page-Keyword Map'!$A$2:$A$675,B57,'Page-Keyword Map'!$E$2:$E$675,"Nationwide")</f>
        <v/>
      </c>
      <c r="V57" s="36">
        <f>COUNTIFS('Page-Keyword Map'!$A$2:$A$675,B57,'Page-Keyword Map'!$E$2:$E$675,"Provincial")</f>
        <v/>
      </c>
      <c r="W57" s="36">
        <f>COUNTIFS('Page-Keyword Map'!$A$2:$A$675,B57,'Page-Keyword Map'!$E$2:$E$675,"City")</f>
        <v/>
      </c>
      <c r="X57" s="36">
        <f>IF(O57="","",IF(ISNUMBER(SEARCH(O57,J57)),"Yes","No"))</f>
        <v/>
      </c>
      <c r="Y57" s="36" t="n">
        <v>0.8</v>
      </c>
      <c r="Z57" s="36" t="inlineStr">
        <is>
          <t>sitemap-services.xml</t>
        </is>
      </c>
      <c r="AA57" s="36" t="inlineStr">
        <is>
          <t>Live – indexable</t>
        </is>
      </c>
      <c r="AB57" s="38" t="n"/>
      <c r="AC57" s="38" t="n"/>
    </row>
    <row r="58" ht="23.85" customHeight="1" s="22">
      <c r="A58" s="36" t="inlineStr">
        <is>
          <t>P0057</t>
        </is>
      </c>
      <c r="B58" s="36" t="inlineStr">
        <is>
          <t>https://instasure.ca/car-insurance/rideshare-and-delivery/</t>
        </is>
      </c>
      <c r="C58" s="36" t="inlineStr">
        <is>
          <t>Service page</t>
        </is>
      </c>
      <c r="D58" s="36" t="inlineStr">
        <is>
          <t>Car insurance</t>
        </is>
      </c>
      <c r="E58" s="36" t="inlineStr">
        <is>
          <t>Car Insurance</t>
        </is>
      </c>
      <c r="F58" s="36" t="inlineStr">
        <is>
          <t>Rideshare &amp; Delivery Driver Insurance</t>
        </is>
      </c>
      <c r="G58" s="36" t="n"/>
      <c r="H58" s="36" t="n"/>
      <c r="I58" s="36" t="inlineStr">
        <is>
          <t>Yes</t>
        </is>
      </c>
      <c r="J58" s="25" t="inlineStr">
        <is>
          <t>Rideshare &amp; Delivery Insurance: Uber, Lyft, DoorDash</t>
        </is>
      </c>
      <c r="K58" s="36">
        <f>LEN(J58)</f>
        <v/>
      </c>
      <c r="L58" s="25" t="inlineStr">
        <is>
          <t>Insurance for Uber, Lyft and delivery drivers in Canada: what the app covers, what your personal policy excludes, endorsements and income protection.</t>
        </is>
      </c>
      <c r="M58" s="36">
        <f>LEN(L58)</f>
        <v/>
      </c>
      <c r="N58" s="25" t="inlineStr">
        <is>
          <t>Rideshare &amp; Delivery Driver Insurance</t>
        </is>
      </c>
      <c r="O58" s="36" t="inlineStr">
        <is>
          <t>uber insurance canada</t>
        </is>
      </c>
      <c r="P58" s="37" t="n">
        <v>1000</v>
      </c>
      <c r="Q58" s="36" t="inlineStr">
        <is>
          <t>Nationwide</t>
        </is>
      </c>
      <c r="R58" s="36" t="n"/>
      <c r="S58" s="36">
        <f>COUNTIF('Page-Keyword Map'!$A$2:$A$675,B58)</f>
        <v/>
      </c>
      <c r="T58" s="37">
        <f>SUMIF('Page-Keyword Map'!$A$2:$A$675,B58,'Page-Keyword Map'!$H$2:$H$675)</f>
        <v/>
      </c>
      <c r="U58" s="36">
        <f>COUNTIFS('Page-Keyword Map'!$A$2:$A$675,B58,'Page-Keyword Map'!$E$2:$E$675,"Nationwide")</f>
        <v/>
      </c>
      <c r="V58" s="36">
        <f>COUNTIFS('Page-Keyword Map'!$A$2:$A$675,B58,'Page-Keyword Map'!$E$2:$E$675,"Provincial")</f>
        <v/>
      </c>
      <c r="W58" s="36">
        <f>COUNTIFS('Page-Keyword Map'!$A$2:$A$675,B58,'Page-Keyword Map'!$E$2:$E$675,"City")</f>
        <v/>
      </c>
      <c r="X58" s="36">
        <f>IF(O58="","",IF(ISNUMBER(SEARCH(O58,J58)),"Yes","No"))</f>
        <v/>
      </c>
      <c r="Y58" s="36" t="n">
        <v>0.8</v>
      </c>
      <c r="Z58" s="36" t="inlineStr">
        <is>
          <t>sitemap-services.xml</t>
        </is>
      </c>
      <c r="AA58" s="36" t="inlineStr">
        <is>
          <t>Live – indexable</t>
        </is>
      </c>
      <c r="AB58" s="38" t="n"/>
      <c r="AC58" s="38" t="n"/>
    </row>
    <row r="59" ht="23.85" customHeight="1" s="22">
      <c r="A59" s="36" t="inlineStr">
        <is>
          <t>P0058</t>
        </is>
      </c>
      <c r="B59" s="36" t="inlineStr">
        <is>
          <t>https://instasure.ca/car-insurance/senior-drivers/</t>
        </is>
      </c>
      <c r="C59" s="36" t="inlineStr">
        <is>
          <t>Service page</t>
        </is>
      </c>
      <c r="D59" s="36" t="inlineStr">
        <is>
          <t>Car insurance</t>
        </is>
      </c>
      <c r="E59" s="36" t="inlineStr">
        <is>
          <t>Car Insurance</t>
        </is>
      </c>
      <c r="F59" s="36" t="inlineStr">
        <is>
          <t>Car Insurance for Senior Drivers</t>
        </is>
      </c>
      <c r="G59" s="36" t="n"/>
      <c r="H59" s="36" t="n"/>
      <c r="I59" s="36" t="inlineStr">
        <is>
          <t>Yes</t>
        </is>
      </c>
      <c r="J59" s="25" t="inlineStr">
        <is>
          <t>Car Insurance for Senior Drivers in Canada | Instasure.ca</t>
        </is>
      </c>
      <c r="K59" s="36">
        <f>LEN(J59)</f>
        <v/>
      </c>
      <c r="L59" s="25" t="inlineStr">
        <is>
          <t>Car insurance for drivers 65 and older: retiree and low-mileage discounts, licence renewal rules, and how to keep premiums steady.</t>
        </is>
      </c>
      <c r="M59" s="36">
        <f>LEN(L59)</f>
        <v/>
      </c>
      <c r="N59" s="25" t="inlineStr">
        <is>
          <t>Car Insurance for Senior Drivers</t>
        </is>
      </c>
      <c r="O59" s="36" t="inlineStr">
        <is>
          <t>senior car insurance</t>
        </is>
      </c>
      <c r="P59" s="37" t="n">
        <v>590</v>
      </c>
      <c r="Q59" s="36" t="inlineStr">
        <is>
          <t>Nationwide</t>
        </is>
      </c>
      <c r="R59" s="36" t="n"/>
      <c r="S59" s="36">
        <f>COUNTIF('Page-Keyword Map'!$A$2:$A$675,B59)</f>
        <v/>
      </c>
      <c r="T59" s="37">
        <f>SUMIF('Page-Keyword Map'!$A$2:$A$675,B59,'Page-Keyword Map'!$H$2:$H$675)</f>
        <v/>
      </c>
      <c r="U59" s="36">
        <f>COUNTIFS('Page-Keyword Map'!$A$2:$A$675,B59,'Page-Keyword Map'!$E$2:$E$675,"Nationwide")</f>
        <v/>
      </c>
      <c r="V59" s="36">
        <f>COUNTIFS('Page-Keyword Map'!$A$2:$A$675,B59,'Page-Keyword Map'!$E$2:$E$675,"Provincial")</f>
        <v/>
      </c>
      <c r="W59" s="36">
        <f>COUNTIFS('Page-Keyword Map'!$A$2:$A$675,B59,'Page-Keyword Map'!$E$2:$E$675,"City")</f>
        <v/>
      </c>
      <c r="X59" s="36">
        <f>IF(O59="","",IF(ISNUMBER(SEARCH(O59,J59)),"Yes","No"))</f>
        <v/>
      </c>
      <c r="Y59" s="36" t="n">
        <v>0.7</v>
      </c>
      <c r="Z59" s="36" t="inlineStr">
        <is>
          <t>sitemap-services.xml</t>
        </is>
      </c>
      <c r="AA59" s="36" t="inlineStr">
        <is>
          <t>Live – indexable</t>
        </is>
      </c>
      <c r="AB59" s="38" t="n"/>
      <c r="AC59" s="38" t="n"/>
    </row>
    <row r="60" ht="23.85" customHeight="1" s="22">
      <c r="A60" s="36" t="inlineStr">
        <is>
          <t>P0059</t>
        </is>
      </c>
      <c r="B60" s="36" t="inlineStr">
        <is>
          <t>https://instasure.ca/contractor-insurance/cleaning/</t>
        </is>
      </c>
      <c r="C60" s="36" t="inlineStr">
        <is>
          <t>Service page</t>
        </is>
      </c>
      <c r="D60" s="36" t="inlineStr">
        <is>
          <t>Contractor &amp; trades insurance</t>
        </is>
      </c>
      <c r="E60" s="36" t="inlineStr">
        <is>
          <t>Contractor Insurance</t>
        </is>
      </c>
      <c r="F60" s="36" t="inlineStr">
        <is>
          <t>Insurance for Cleaning Businesses</t>
        </is>
      </c>
      <c r="G60" s="36" t="n"/>
      <c r="H60" s="36" t="n"/>
      <c r="I60" s="36" t="inlineStr">
        <is>
          <t>Yes</t>
        </is>
      </c>
      <c r="J60" s="25" t="inlineStr">
        <is>
          <t>Cleaning Business Insurance in Canada: Liability and Tools</t>
        </is>
      </c>
      <c r="K60" s="36">
        <f>LEN(J60)</f>
        <v/>
      </c>
      <c r="L60" s="25" t="inlineStr">
        <is>
          <t>Insurance for cleaning businesses in Canada: general liability, completed operations, tools and equipment, work vehicles and certificates of insurance.</t>
        </is>
      </c>
      <c r="M60" s="36">
        <f>LEN(L60)</f>
        <v/>
      </c>
      <c r="N60" s="25" t="inlineStr">
        <is>
          <t>Insurance for Cleaning Businesses</t>
        </is>
      </c>
      <c r="O60" s="36" t="inlineStr">
        <is>
          <t>cleaning business insurance</t>
        </is>
      </c>
      <c r="P60" s="37" t="n">
        <v>390</v>
      </c>
      <c r="Q60" s="36" t="inlineStr">
        <is>
          <t>Nationwide</t>
        </is>
      </c>
      <c r="R60" s="36" t="n"/>
      <c r="S60" s="36">
        <f>COUNTIF('Page-Keyword Map'!$A$2:$A$675,B60)</f>
        <v/>
      </c>
      <c r="T60" s="37">
        <f>SUMIF('Page-Keyword Map'!$A$2:$A$675,B60,'Page-Keyword Map'!$H$2:$H$675)</f>
        <v/>
      </c>
      <c r="U60" s="36">
        <f>COUNTIFS('Page-Keyword Map'!$A$2:$A$675,B60,'Page-Keyword Map'!$E$2:$E$675,"Nationwide")</f>
        <v/>
      </c>
      <c r="V60" s="36">
        <f>COUNTIFS('Page-Keyword Map'!$A$2:$A$675,B60,'Page-Keyword Map'!$E$2:$E$675,"Provincial")</f>
        <v/>
      </c>
      <c r="W60" s="36">
        <f>COUNTIFS('Page-Keyword Map'!$A$2:$A$675,B60,'Page-Keyword Map'!$E$2:$E$675,"City")</f>
        <v/>
      </c>
      <c r="X60" s="36">
        <f>IF(O60="","",IF(ISNUMBER(SEARCH(O60,J60)),"Yes","No"))</f>
        <v/>
      </c>
      <c r="Y60" s="36" t="n">
        <v>0.7</v>
      </c>
      <c r="Z60" s="36" t="inlineStr">
        <is>
          <t>sitemap-services.xml</t>
        </is>
      </c>
      <c r="AA60" s="36" t="inlineStr">
        <is>
          <t>Live – indexable</t>
        </is>
      </c>
      <c r="AB60" s="38" t="n"/>
      <c r="AC60" s="38" t="n"/>
    </row>
    <row r="61" ht="23.85" customHeight="1" s="22">
      <c r="A61" s="36" t="inlineStr">
        <is>
          <t>P0060</t>
        </is>
      </c>
      <c r="B61" s="36" t="inlineStr">
        <is>
          <t>https://instasure.ca/contractor-insurance/electrician/</t>
        </is>
      </c>
      <c r="C61" s="36" t="inlineStr">
        <is>
          <t>Service page</t>
        </is>
      </c>
      <c r="D61" s="36" t="inlineStr">
        <is>
          <t>Contractor &amp; trades insurance</t>
        </is>
      </c>
      <c r="E61" s="36" t="inlineStr">
        <is>
          <t>Contractor Insurance</t>
        </is>
      </c>
      <c r="F61" s="36" t="inlineStr">
        <is>
          <t>Insurance for Electricians</t>
        </is>
      </c>
      <c r="G61" s="36" t="n"/>
      <c r="H61" s="36" t="n"/>
      <c r="I61" s="36" t="inlineStr">
        <is>
          <t>Yes</t>
        </is>
      </c>
      <c r="J61" s="25" t="inlineStr">
        <is>
          <t>Electrician Insurance in Canada: Liability and Tools</t>
        </is>
      </c>
      <c r="K61" s="36">
        <f>LEN(J61)</f>
        <v/>
      </c>
      <c r="L61" s="25" t="inlineStr">
        <is>
          <t>Insurance for electricians in Canada: general liability, completed operations, tools and equipment, work vehicles and certificates of insurance.</t>
        </is>
      </c>
      <c r="M61" s="36">
        <f>LEN(L61)</f>
        <v/>
      </c>
      <c r="N61" s="25" t="inlineStr">
        <is>
          <t>Insurance for Electricians</t>
        </is>
      </c>
      <c r="O61" s="36" t="inlineStr">
        <is>
          <t>electrician insurance</t>
        </is>
      </c>
      <c r="P61" s="37" t="n">
        <v>260</v>
      </c>
      <c r="Q61" s="36" t="inlineStr">
        <is>
          <t>Nationwide</t>
        </is>
      </c>
      <c r="R61" s="36" t="n"/>
      <c r="S61" s="36">
        <f>COUNTIF('Page-Keyword Map'!$A$2:$A$675,B61)</f>
        <v/>
      </c>
      <c r="T61" s="37">
        <f>SUMIF('Page-Keyword Map'!$A$2:$A$675,B61,'Page-Keyword Map'!$H$2:$H$675)</f>
        <v/>
      </c>
      <c r="U61" s="36">
        <f>COUNTIFS('Page-Keyword Map'!$A$2:$A$675,B61,'Page-Keyword Map'!$E$2:$E$675,"Nationwide")</f>
        <v/>
      </c>
      <c r="V61" s="36">
        <f>COUNTIFS('Page-Keyword Map'!$A$2:$A$675,B61,'Page-Keyword Map'!$E$2:$E$675,"Provincial")</f>
        <v/>
      </c>
      <c r="W61" s="36">
        <f>COUNTIFS('Page-Keyword Map'!$A$2:$A$675,B61,'Page-Keyword Map'!$E$2:$E$675,"City")</f>
        <v/>
      </c>
      <c r="X61" s="36">
        <f>IF(O61="","",IF(ISNUMBER(SEARCH(O61,J61)),"Yes","No"))</f>
        <v/>
      </c>
      <c r="Y61" s="36" t="n">
        <v>0.7</v>
      </c>
      <c r="Z61" s="36" t="inlineStr">
        <is>
          <t>sitemap-services.xml</t>
        </is>
      </c>
      <c r="AA61" s="36" t="inlineStr">
        <is>
          <t>Live – indexable</t>
        </is>
      </c>
      <c r="AB61" s="38" t="n"/>
      <c r="AC61" s="38" t="n"/>
    </row>
    <row r="62" ht="23.85" customHeight="1" s="22">
      <c r="A62" s="36" t="inlineStr">
        <is>
          <t>P0061</t>
        </is>
      </c>
      <c r="B62" s="36" t="inlineStr">
        <is>
          <t>https://instasure.ca/contractor-insurance/hvac/</t>
        </is>
      </c>
      <c r="C62" s="36" t="inlineStr">
        <is>
          <t>Service page</t>
        </is>
      </c>
      <c r="D62" s="36" t="inlineStr">
        <is>
          <t>Contractor &amp; trades insurance</t>
        </is>
      </c>
      <c r="E62" s="36" t="inlineStr">
        <is>
          <t>Contractor Insurance</t>
        </is>
      </c>
      <c r="F62" s="36" t="inlineStr">
        <is>
          <t>Insurance for HVAC Contractors</t>
        </is>
      </c>
      <c r="G62" s="36" t="n"/>
      <c r="H62" s="36" t="n"/>
      <c r="I62" s="36" t="inlineStr">
        <is>
          <t>Yes</t>
        </is>
      </c>
      <c r="J62" s="25" t="inlineStr">
        <is>
          <t>HVAC Contractor Insurance in Canada: Liability and Tools</t>
        </is>
      </c>
      <c r="K62" s="36">
        <f>LEN(J62)</f>
        <v/>
      </c>
      <c r="L62" s="25" t="inlineStr">
        <is>
          <t>Insurance for hvac contractors in Canada: general liability, completed operations, tools and equipment, work vehicles and certificates of insurance.</t>
        </is>
      </c>
      <c r="M62" s="36">
        <f>LEN(L62)</f>
        <v/>
      </c>
      <c r="N62" s="25" t="inlineStr">
        <is>
          <t>Insurance for HVAC Contractors</t>
        </is>
      </c>
      <c r="O62" s="36" t="inlineStr">
        <is>
          <t>hvac insurance</t>
        </is>
      </c>
      <c r="P62" s="37" t="n">
        <v>210</v>
      </c>
      <c r="Q62" s="36" t="inlineStr">
        <is>
          <t>Nationwide</t>
        </is>
      </c>
      <c r="R62" s="36" t="n"/>
      <c r="S62" s="36">
        <f>COUNTIF('Page-Keyword Map'!$A$2:$A$675,B62)</f>
        <v/>
      </c>
      <c r="T62" s="37">
        <f>SUMIF('Page-Keyword Map'!$A$2:$A$675,B62,'Page-Keyword Map'!$H$2:$H$675)</f>
        <v/>
      </c>
      <c r="U62" s="36">
        <f>COUNTIFS('Page-Keyword Map'!$A$2:$A$675,B62,'Page-Keyword Map'!$E$2:$E$675,"Nationwide")</f>
        <v/>
      </c>
      <c r="V62" s="36">
        <f>COUNTIFS('Page-Keyword Map'!$A$2:$A$675,B62,'Page-Keyword Map'!$E$2:$E$675,"Provincial")</f>
        <v/>
      </c>
      <c r="W62" s="36">
        <f>COUNTIFS('Page-Keyword Map'!$A$2:$A$675,B62,'Page-Keyword Map'!$E$2:$E$675,"City")</f>
        <v/>
      </c>
      <c r="X62" s="36">
        <f>IF(O62="","",IF(ISNUMBER(SEARCH(O62,J62)),"Yes","No"))</f>
        <v/>
      </c>
      <c r="Y62" s="36" t="n">
        <v>0.7</v>
      </c>
      <c r="Z62" s="36" t="inlineStr">
        <is>
          <t>sitemap-services.xml</t>
        </is>
      </c>
      <c r="AA62" s="36" t="inlineStr">
        <is>
          <t>Live – indexable</t>
        </is>
      </c>
      <c r="AB62" s="38" t="n"/>
      <c r="AC62" s="38" t="n"/>
    </row>
    <row r="63" ht="23.85" customHeight="1" s="22">
      <c r="A63" s="36" t="inlineStr">
        <is>
          <t>P0062</t>
        </is>
      </c>
      <c r="B63" s="36" t="inlineStr">
        <is>
          <t>https://instasure.ca/contractor-insurance/landscaping/</t>
        </is>
      </c>
      <c r="C63" s="36" t="inlineStr">
        <is>
          <t>Service page</t>
        </is>
      </c>
      <c r="D63" s="36" t="inlineStr">
        <is>
          <t>Contractor &amp; trades insurance</t>
        </is>
      </c>
      <c r="E63" s="36" t="inlineStr">
        <is>
          <t>Contractor Insurance</t>
        </is>
      </c>
      <c r="F63" s="36" t="inlineStr">
        <is>
          <t>Insurance for Landscapers</t>
        </is>
      </c>
      <c r="G63" s="36" t="n"/>
      <c r="H63" s="36" t="n"/>
      <c r="I63" s="36" t="inlineStr">
        <is>
          <t>Yes</t>
        </is>
      </c>
      <c r="J63" s="25" t="inlineStr">
        <is>
          <t>Landscaper Insurance in Canada: Liability and Tools</t>
        </is>
      </c>
      <c r="K63" s="36">
        <f>LEN(J63)</f>
        <v/>
      </c>
      <c r="L63" s="25" t="inlineStr">
        <is>
          <t>Insurance for landscapers in Canada: general liability, completed operations, tools and equipment, work vehicles and certificates of insurance.</t>
        </is>
      </c>
      <c r="M63" s="36">
        <f>LEN(L63)</f>
        <v/>
      </c>
      <c r="N63" s="25" t="inlineStr">
        <is>
          <t>Insurance for Landscapers</t>
        </is>
      </c>
      <c r="O63" s="36" t="inlineStr">
        <is>
          <t>landscaping insurance</t>
        </is>
      </c>
      <c r="P63" s="37" t="n">
        <v>320</v>
      </c>
      <c r="Q63" s="36" t="inlineStr">
        <is>
          <t>Nationwide</t>
        </is>
      </c>
      <c r="R63" s="36" t="n"/>
      <c r="S63" s="36">
        <f>COUNTIF('Page-Keyword Map'!$A$2:$A$675,B63)</f>
        <v/>
      </c>
      <c r="T63" s="37">
        <f>SUMIF('Page-Keyword Map'!$A$2:$A$675,B63,'Page-Keyword Map'!$H$2:$H$675)</f>
        <v/>
      </c>
      <c r="U63" s="36">
        <f>COUNTIFS('Page-Keyword Map'!$A$2:$A$675,B63,'Page-Keyword Map'!$E$2:$E$675,"Nationwide")</f>
        <v/>
      </c>
      <c r="V63" s="36">
        <f>COUNTIFS('Page-Keyword Map'!$A$2:$A$675,B63,'Page-Keyword Map'!$E$2:$E$675,"Provincial")</f>
        <v/>
      </c>
      <c r="W63" s="36">
        <f>COUNTIFS('Page-Keyword Map'!$A$2:$A$675,B63,'Page-Keyword Map'!$E$2:$E$675,"City")</f>
        <v/>
      </c>
      <c r="X63" s="36">
        <f>IF(O63="","",IF(ISNUMBER(SEARCH(O63,J63)),"Yes","No"))</f>
        <v/>
      </c>
      <c r="Y63" s="36" t="n">
        <v>0.7</v>
      </c>
      <c r="Z63" s="36" t="inlineStr">
        <is>
          <t>sitemap-services.xml</t>
        </is>
      </c>
      <c r="AA63" s="36" t="inlineStr">
        <is>
          <t>Live – indexable</t>
        </is>
      </c>
      <c r="AB63" s="38" t="n"/>
      <c r="AC63" s="38" t="n"/>
    </row>
    <row r="64" ht="23.85" customHeight="1" s="22">
      <c r="A64" s="36" t="inlineStr">
        <is>
          <t>P0063</t>
        </is>
      </c>
      <c r="B64" s="36" t="inlineStr">
        <is>
          <t>https://instasure.ca/contractor-insurance/plumber/</t>
        </is>
      </c>
      <c r="C64" s="36" t="inlineStr">
        <is>
          <t>Service page</t>
        </is>
      </c>
      <c r="D64" s="36" t="inlineStr">
        <is>
          <t>Contractor &amp; trades insurance</t>
        </is>
      </c>
      <c r="E64" s="36" t="inlineStr">
        <is>
          <t>Contractor Insurance</t>
        </is>
      </c>
      <c r="F64" s="36" t="inlineStr">
        <is>
          <t>Insurance for Plumbers</t>
        </is>
      </c>
      <c r="G64" s="36" t="n"/>
      <c r="H64" s="36" t="n"/>
      <c r="I64" s="36" t="inlineStr">
        <is>
          <t>Yes</t>
        </is>
      </c>
      <c r="J64" s="25" t="inlineStr">
        <is>
          <t>Plumber Insurance in Canada: Liability and Tools | Instasure.ca</t>
        </is>
      </c>
      <c r="K64" s="36">
        <f>LEN(J64)</f>
        <v/>
      </c>
      <c r="L64" s="25" t="inlineStr">
        <is>
          <t>Insurance for plumbers in Canada: general liability, completed operations, tools and equipment, work vehicles and certificates of insurance.</t>
        </is>
      </c>
      <c r="M64" s="36">
        <f>LEN(L64)</f>
        <v/>
      </c>
      <c r="N64" s="25" t="inlineStr">
        <is>
          <t>Insurance for Plumbers</t>
        </is>
      </c>
      <c r="O64" s="36" t="inlineStr">
        <is>
          <t>plumber insurance</t>
        </is>
      </c>
      <c r="P64" s="37" t="n">
        <v>260</v>
      </c>
      <c r="Q64" s="36" t="inlineStr">
        <is>
          <t>Nationwide</t>
        </is>
      </c>
      <c r="R64" s="36" t="n"/>
      <c r="S64" s="36">
        <f>COUNTIF('Page-Keyword Map'!$A$2:$A$675,B64)</f>
        <v/>
      </c>
      <c r="T64" s="37">
        <f>SUMIF('Page-Keyword Map'!$A$2:$A$675,B64,'Page-Keyword Map'!$H$2:$H$675)</f>
        <v/>
      </c>
      <c r="U64" s="36">
        <f>COUNTIFS('Page-Keyword Map'!$A$2:$A$675,B64,'Page-Keyword Map'!$E$2:$E$675,"Nationwide")</f>
        <v/>
      </c>
      <c r="V64" s="36">
        <f>COUNTIFS('Page-Keyword Map'!$A$2:$A$675,B64,'Page-Keyword Map'!$E$2:$E$675,"Provincial")</f>
        <v/>
      </c>
      <c r="W64" s="36">
        <f>COUNTIFS('Page-Keyword Map'!$A$2:$A$675,B64,'Page-Keyword Map'!$E$2:$E$675,"City")</f>
        <v/>
      </c>
      <c r="X64" s="36">
        <f>IF(O64="","",IF(ISNUMBER(SEARCH(O64,J64)),"Yes","No"))</f>
        <v/>
      </c>
      <c r="Y64" s="36" t="n">
        <v>0.7</v>
      </c>
      <c r="Z64" s="36" t="inlineStr">
        <is>
          <t>sitemap-services.xml</t>
        </is>
      </c>
      <c r="AA64" s="36" t="inlineStr">
        <is>
          <t>Live – indexable</t>
        </is>
      </c>
      <c r="AB64" s="38" t="n"/>
      <c r="AC64" s="38" t="n"/>
    </row>
    <row r="65" ht="23.85" customHeight="1" s="22">
      <c r="A65" s="36" t="inlineStr">
        <is>
          <t>P0064</t>
        </is>
      </c>
      <c r="B65" s="36" t="inlineStr">
        <is>
          <t>https://instasure.ca/contractor-insurance/roofing/</t>
        </is>
      </c>
      <c r="C65" s="36" t="inlineStr">
        <is>
          <t>Service page</t>
        </is>
      </c>
      <c r="D65" s="36" t="inlineStr">
        <is>
          <t>Contractor &amp; trades insurance</t>
        </is>
      </c>
      <c r="E65" s="36" t="inlineStr">
        <is>
          <t>Contractor Insurance</t>
        </is>
      </c>
      <c r="F65" s="36" t="inlineStr">
        <is>
          <t>Insurance for Roofers</t>
        </is>
      </c>
      <c r="G65" s="36" t="n"/>
      <c r="H65" s="36" t="n"/>
      <c r="I65" s="36" t="inlineStr">
        <is>
          <t>Yes</t>
        </is>
      </c>
      <c r="J65" s="25" t="inlineStr">
        <is>
          <t>Roofer Insurance in Canada: Liability and Tools | Instasure.ca</t>
        </is>
      </c>
      <c r="K65" s="36">
        <f>LEN(J65)</f>
        <v/>
      </c>
      <c r="L65" s="25" t="inlineStr">
        <is>
          <t>Insurance for roofers in Canada: general liability, completed operations, tools and equipment, work vehicles and certificates of insurance.</t>
        </is>
      </c>
      <c r="M65" s="36">
        <f>LEN(L65)</f>
        <v/>
      </c>
      <c r="N65" s="25" t="inlineStr">
        <is>
          <t>Insurance for Roofers</t>
        </is>
      </c>
      <c r="O65" s="36" t="inlineStr">
        <is>
          <t>roofing insurance</t>
        </is>
      </c>
      <c r="P65" s="37" t="n">
        <v>260</v>
      </c>
      <c r="Q65" s="36" t="inlineStr">
        <is>
          <t>Nationwide</t>
        </is>
      </c>
      <c r="R65" s="36" t="n"/>
      <c r="S65" s="36">
        <f>COUNTIF('Page-Keyword Map'!$A$2:$A$675,B65)</f>
        <v/>
      </c>
      <c r="T65" s="37">
        <f>SUMIF('Page-Keyword Map'!$A$2:$A$675,B65,'Page-Keyword Map'!$H$2:$H$675)</f>
        <v/>
      </c>
      <c r="U65" s="36">
        <f>COUNTIFS('Page-Keyword Map'!$A$2:$A$675,B65,'Page-Keyword Map'!$E$2:$E$675,"Nationwide")</f>
        <v/>
      </c>
      <c r="V65" s="36">
        <f>COUNTIFS('Page-Keyword Map'!$A$2:$A$675,B65,'Page-Keyword Map'!$E$2:$E$675,"Provincial")</f>
        <v/>
      </c>
      <c r="W65" s="36">
        <f>COUNTIFS('Page-Keyword Map'!$A$2:$A$675,B65,'Page-Keyword Map'!$E$2:$E$675,"City")</f>
        <v/>
      </c>
      <c r="X65" s="36">
        <f>IF(O65="","",IF(ISNUMBER(SEARCH(O65,J65)),"Yes","No"))</f>
        <v/>
      </c>
      <c r="Y65" s="36" t="n">
        <v>0.7</v>
      </c>
      <c r="Z65" s="36" t="inlineStr">
        <is>
          <t>sitemap-services.xml</t>
        </is>
      </c>
      <c r="AA65" s="36" t="inlineStr">
        <is>
          <t>Live – indexable</t>
        </is>
      </c>
      <c r="AB65" s="38" t="n"/>
      <c r="AC65" s="38" t="n"/>
    </row>
    <row r="66" ht="23.85" customHeight="1" s="22">
      <c r="A66" s="36" t="inlineStr">
        <is>
          <t>P0065</t>
        </is>
      </c>
      <c r="B66" s="36" t="inlineStr">
        <is>
          <t>https://instasure.ca/disability-insurance/self-employed/</t>
        </is>
      </c>
      <c r="C66" s="36" t="inlineStr">
        <is>
          <t>Service page</t>
        </is>
      </c>
      <c r="D66" s="36" t="inlineStr">
        <is>
          <t>Disability insurance</t>
        </is>
      </c>
      <c r="E66" s="36" t="inlineStr">
        <is>
          <t>Disability Insurance</t>
        </is>
      </c>
      <c r="F66" s="36" t="inlineStr">
        <is>
          <t>Disability Insurance for the Self-Employed</t>
        </is>
      </c>
      <c r="G66" s="36" t="n"/>
      <c r="H66" s="36" t="n"/>
      <c r="I66" s="36" t="inlineStr">
        <is>
          <t>Yes</t>
        </is>
      </c>
      <c r="J66" s="25" t="inlineStr">
        <is>
          <t>Disability Insurance for the Self-Employed and Gig Workers</t>
        </is>
      </c>
      <c r="K66" s="36">
        <f>LEN(J66)</f>
        <v/>
      </c>
      <c r="L66" s="25" t="inlineStr">
        <is>
          <t>Disability insurance for self-employed Canadians, contractors and gig workers: proving income, own-occupation definitions, waiting periods and overhead cover.</t>
        </is>
      </c>
      <c r="M66" s="36">
        <f>LEN(L66)</f>
        <v/>
      </c>
      <c r="N66" s="25" t="inlineStr">
        <is>
          <t>Disability Insurance for the Self-Employed</t>
        </is>
      </c>
      <c r="O66" s="36" t="inlineStr">
        <is>
          <t>disability insurance for self employed</t>
        </is>
      </c>
      <c r="P66" s="37" t="n">
        <v>590</v>
      </c>
      <c r="Q66" s="36" t="inlineStr">
        <is>
          <t>Nationwide</t>
        </is>
      </c>
      <c r="R66" s="36" t="n"/>
      <c r="S66" s="36">
        <f>COUNTIF('Page-Keyword Map'!$A$2:$A$675,B66)</f>
        <v/>
      </c>
      <c r="T66" s="37">
        <f>SUMIF('Page-Keyword Map'!$A$2:$A$675,B66,'Page-Keyword Map'!$H$2:$H$675)</f>
        <v/>
      </c>
      <c r="U66" s="36">
        <f>COUNTIFS('Page-Keyword Map'!$A$2:$A$675,B66,'Page-Keyword Map'!$E$2:$E$675,"Nationwide")</f>
        <v/>
      </c>
      <c r="V66" s="36">
        <f>COUNTIFS('Page-Keyword Map'!$A$2:$A$675,B66,'Page-Keyword Map'!$E$2:$E$675,"Provincial")</f>
        <v/>
      </c>
      <c r="W66" s="36">
        <f>COUNTIFS('Page-Keyword Map'!$A$2:$A$675,B66,'Page-Keyword Map'!$E$2:$E$675,"City")</f>
        <v/>
      </c>
      <c r="X66" s="36">
        <f>IF(O66="","",IF(ISNUMBER(SEARCH(O66,J66)),"Yes","No"))</f>
        <v/>
      </c>
      <c r="Y66" s="36" t="n">
        <v>0.8</v>
      </c>
      <c r="Z66" s="36" t="inlineStr">
        <is>
          <t>sitemap-services.xml</t>
        </is>
      </c>
      <c r="AA66" s="36" t="inlineStr">
        <is>
          <t>Live – indexable</t>
        </is>
      </c>
      <c r="AB66" s="38" t="n"/>
      <c r="AC66" s="38" t="n"/>
    </row>
    <row r="67" ht="23.85" customHeight="1" s="22">
      <c r="A67" s="36" t="inlineStr">
        <is>
          <t>P0066</t>
        </is>
      </c>
      <c r="B67" s="36" t="inlineStr">
        <is>
          <t>https://instasure.ca/home-insurance/cottage-and-seasonal/</t>
        </is>
      </c>
      <c r="C67" s="36" t="inlineStr">
        <is>
          <t>Service page</t>
        </is>
      </c>
      <c r="D67" s="36" t="inlineStr">
        <is>
          <t>Home insurance</t>
        </is>
      </c>
      <c r="E67" s="36" t="inlineStr">
        <is>
          <t>Home Insurance</t>
        </is>
      </c>
      <c r="F67" s="36" t="inlineStr">
        <is>
          <t>Cottage &amp; Seasonal Home Insurance</t>
        </is>
      </c>
      <c r="G67" s="36" t="n"/>
      <c r="H67" s="36" t="n"/>
      <c r="I67" s="36" t="inlineStr">
        <is>
          <t>Yes</t>
        </is>
      </c>
      <c r="J67" s="25" t="inlineStr">
        <is>
          <t>Cottage &amp; Seasonal Home Insurance in Canada | Instasure.ca</t>
        </is>
      </c>
      <c r="K67" s="36">
        <f>LEN(J67)</f>
        <v/>
      </c>
      <c r="L67" s="25" t="inlineStr">
        <is>
          <t>Insurance for cottages, cabins and seasonal homes: vacancy rules, wood stoves, water access, distance from fire services, rentals, boats and docks.</t>
        </is>
      </c>
      <c r="M67" s="36">
        <f>LEN(L67)</f>
        <v/>
      </c>
      <c r="N67" s="25" t="inlineStr">
        <is>
          <t>Cottage &amp; Seasonal Home Insurance</t>
        </is>
      </c>
      <c r="O67" s="36" t="inlineStr">
        <is>
          <t>cottage insurance</t>
        </is>
      </c>
      <c r="P67" s="37" t="n">
        <v>880</v>
      </c>
      <c r="Q67" s="36" t="inlineStr">
        <is>
          <t>Nationwide</t>
        </is>
      </c>
      <c r="R67" s="36" t="n"/>
      <c r="S67" s="36">
        <f>COUNTIF('Page-Keyword Map'!$A$2:$A$675,B67)</f>
        <v/>
      </c>
      <c r="T67" s="37">
        <f>SUMIF('Page-Keyword Map'!$A$2:$A$675,B67,'Page-Keyword Map'!$H$2:$H$675)</f>
        <v/>
      </c>
      <c r="U67" s="36">
        <f>COUNTIFS('Page-Keyword Map'!$A$2:$A$675,B67,'Page-Keyword Map'!$E$2:$E$675,"Nationwide")</f>
        <v/>
      </c>
      <c r="V67" s="36">
        <f>COUNTIFS('Page-Keyword Map'!$A$2:$A$675,B67,'Page-Keyword Map'!$E$2:$E$675,"Provincial")</f>
        <v/>
      </c>
      <c r="W67" s="36">
        <f>COUNTIFS('Page-Keyword Map'!$A$2:$A$675,B67,'Page-Keyword Map'!$E$2:$E$675,"City")</f>
        <v/>
      </c>
      <c r="X67" s="36">
        <f>IF(O67="","",IF(ISNUMBER(SEARCH(O67,J67)),"Yes","No"))</f>
        <v/>
      </c>
      <c r="Y67" s="36" t="n">
        <v>0.8</v>
      </c>
      <c r="Z67" s="36" t="inlineStr">
        <is>
          <t>sitemap-services.xml</t>
        </is>
      </c>
      <c r="AA67" s="36" t="inlineStr">
        <is>
          <t>Live – indexable</t>
        </is>
      </c>
      <c r="AB67" s="38" t="n"/>
      <c r="AC67" s="38" t="n"/>
    </row>
    <row r="68" ht="23.85" customHeight="1" s="22">
      <c r="A68" s="36" t="inlineStr">
        <is>
          <t>P0067</t>
        </is>
      </c>
      <c r="B68" s="36" t="inlineStr">
        <is>
          <t>https://instasure.ca/home-insurance/hard-to-insure/</t>
        </is>
      </c>
      <c r="C68" s="36" t="inlineStr">
        <is>
          <t>Service page</t>
        </is>
      </c>
      <c r="D68" s="36" t="inlineStr">
        <is>
          <t>Home insurance</t>
        </is>
      </c>
      <c r="E68" s="36" t="inlineStr">
        <is>
          <t>Home Insurance</t>
        </is>
      </c>
      <c r="F68" s="36" t="inlineStr">
        <is>
          <t>Hard-to-Insure Home Insurance</t>
        </is>
      </c>
      <c r="G68" s="36" t="n"/>
      <c r="H68" s="36" t="n"/>
      <c r="I68" s="36" t="inlineStr">
        <is>
          <t>Yes</t>
        </is>
      </c>
      <c r="J68" s="25" t="inlineStr">
        <is>
          <t>Hard-to-Insure Homes: Declined, Non-Renewed or High Risk</t>
        </is>
      </c>
      <c r="K68" s="36">
        <f>LEN(J68)</f>
        <v/>
      </c>
      <c r="L68" s="25" t="inlineStr">
        <is>
          <t>Home insurance after a decline or non-renewal: flood and wildfire zones, knob-and-tube wiring, oil tanks, past claims, vacant homes and renovations.</t>
        </is>
      </c>
      <c r="M68" s="36">
        <f>LEN(L68)</f>
        <v/>
      </c>
      <c r="N68" s="25" t="inlineStr">
        <is>
          <t>Hard-to-Insure Home Insurance</t>
        </is>
      </c>
      <c r="O68" s="36" t="inlineStr">
        <is>
          <t>cant get home insurance</t>
        </is>
      </c>
      <c r="P68" s="37" t="n">
        <v>480</v>
      </c>
      <c r="Q68" s="36" t="inlineStr">
        <is>
          <t>Nationwide</t>
        </is>
      </c>
      <c r="R68" s="36" t="n"/>
      <c r="S68" s="36">
        <f>COUNTIF('Page-Keyword Map'!$A$2:$A$675,B68)</f>
        <v/>
      </c>
      <c r="T68" s="37">
        <f>SUMIF('Page-Keyword Map'!$A$2:$A$675,B68,'Page-Keyword Map'!$H$2:$H$675)</f>
        <v/>
      </c>
      <c r="U68" s="36">
        <f>COUNTIFS('Page-Keyword Map'!$A$2:$A$675,B68,'Page-Keyword Map'!$E$2:$E$675,"Nationwide")</f>
        <v/>
      </c>
      <c r="V68" s="36">
        <f>COUNTIFS('Page-Keyword Map'!$A$2:$A$675,B68,'Page-Keyword Map'!$E$2:$E$675,"Provincial")</f>
        <v/>
      </c>
      <c r="W68" s="36">
        <f>COUNTIFS('Page-Keyword Map'!$A$2:$A$675,B68,'Page-Keyword Map'!$E$2:$E$675,"City")</f>
        <v/>
      </c>
      <c r="X68" s="36">
        <f>IF(O68="","",IF(ISNUMBER(SEARCH(O68,J68)),"Yes","No"))</f>
        <v/>
      </c>
      <c r="Y68" s="36" t="n">
        <v>0.8</v>
      </c>
      <c r="Z68" s="36" t="inlineStr">
        <is>
          <t>sitemap-services.xml</t>
        </is>
      </c>
      <c r="AA68" s="36" t="inlineStr">
        <is>
          <t>Live – indexable</t>
        </is>
      </c>
      <c r="AB68" s="38" t="n"/>
      <c r="AC68" s="38" t="n"/>
    </row>
    <row r="69" ht="23.85" customHeight="1" s="22">
      <c r="A69" s="36" t="inlineStr">
        <is>
          <t>P0068</t>
        </is>
      </c>
      <c r="B69" s="36" t="inlineStr">
        <is>
          <t>https://instasure.ca/home-insurance/mobile-and-manufactured/</t>
        </is>
      </c>
      <c r="C69" s="36" t="inlineStr">
        <is>
          <t>Service page</t>
        </is>
      </c>
      <c r="D69" s="36" t="inlineStr">
        <is>
          <t>Home insurance</t>
        </is>
      </c>
      <c r="E69" s="36" t="inlineStr">
        <is>
          <t>Home Insurance</t>
        </is>
      </c>
      <c r="F69" s="36" t="inlineStr">
        <is>
          <t>Mobile &amp; Manufactured Home Insurance</t>
        </is>
      </c>
      <c r="G69" s="36" t="n"/>
      <c r="H69" s="36" t="n"/>
      <c r="I69" s="36" t="inlineStr">
        <is>
          <t>Yes</t>
        </is>
      </c>
      <c r="J69" s="25" t="inlineStr">
        <is>
          <t>Mobile &amp; Manufactured Home Insurance in Canada | Instasure.ca</t>
        </is>
      </c>
      <c r="K69" s="36">
        <f>LEN(J69)</f>
        <v/>
      </c>
      <c r="L69" s="25" t="inlineStr">
        <is>
          <t>Insurance for mobile, manufactured and modular homes: CSA certification, tie-downs, age limits, land-lease parks and what affects the price.</t>
        </is>
      </c>
      <c r="M69" s="36">
        <f>LEN(L69)</f>
        <v/>
      </c>
      <c r="N69" s="25" t="inlineStr">
        <is>
          <t>Mobile &amp; Manufactured Home Insurance</t>
        </is>
      </c>
      <c r="O69" s="36" t="inlineStr">
        <is>
          <t>mobile home insurance</t>
        </is>
      </c>
      <c r="P69" s="37" t="n">
        <v>720</v>
      </c>
      <c r="Q69" s="36" t="inlineStr">
        <is>
          <t>Nationwide</t>
        </is>
      </c>
      <c r="R69" s="36" t="n"/>
      <c r="S69" s="36">
        <f>COUNTIF('Page-Keyword Map'!$A$2:$A$675,B69)</f>
        <v/>
      </c>
      <c r="T69" s="37">
        <f>SUMIF('Page-Keyword Map'!$A$2:$A$675,B69,'Page-Keyword Map'!$H$2:$H$675)</f>
        <v/>
      </c>
      <c r="U69" s="36">
        <f>COUNTIFS('Page-Keyword Map'!$A$2:$A$675,B69,'Page-Keyword Map'!$E$2:$E$675,"Nationwide")</f>
        <v/>
      </c>
      <c r="V69" s="36">
        <f>COUNTIFS('Page-Keyword Map'!$A$2:$A$675,B69,'Page-Keyword Map'!$E$2:$E$675,"Provincial")</f>
        <v/>
      </c>
      <c r="W69" s="36">
        <f>COUNTIFS('Page-Keyword Map'!$A$2:$A$675,B69,'Page-Keyword Map'!$E$2:$E$675,"City")</f>
        <v/>
      </c>
      <c r="X69" s="36">
        <f>IF(O69="","",IF(ISNUMBER(SEARCH(O69,J69)),"Yes","No"))</f>
        <v/>
      </c>
      <c r="Y69" s="36" t="n">
        <v>0.7</v>
      </c>
      <c r="Z69" s="36" t="inlineStr">
        <is>
          <t>sitemap-services.xml</t>
        </is>
      </c>
      <c r="AA69" s="36" t="inlineStr">
        <is>
          <t>Live – indexable</t>
        </is>
      </c>
      <c r="AB69" s="38" t="n"/>
      <c r="AC69" s="38" t="n"/>
    </row>
    <row r="70" ht="23.85" customHeight="1" s="22">
      <c r="A70" s="36" t="inlineStr">
        <is>
          <t>P0069</t>
        </is>
      </c>
      <c r="B70" s="36" t="inlineStr">
        <is>
          <t>https://instasure.ca/home-insurance/short-term-rental/</t>
        </is>
      </c>
      <c r="C70" s="36" t="inlineStr">
        <is>
          <t>Service page</t>
        </is>
      </c>
      <c r="D70" s="36" t="inlineStr">
        <is>
          <t>Landlord &amp; rental property</t>
        </is>
      </c>
      <c r="E70" s="36" t="inlineStr">
        <is>
          <t>Home Insurance</t>
        </is>
      </c>
      <c r="F70" s="36" t="inlineStr">
        <is>
          <t>Short-Term Rental (Airbnb) Insurance</t>
        </is>
      </c>
      <c r="G70" s="36" t="n"/>
      <c r="H70" s="36" t="n"/>
      <c r="I70" s="36" t="inlineStr">
        <is>
          <t>Yes</t>
        </is>
      </c>
      <c r="J70" s="25" t="inlineStr">
        <is>
          <t>Short-Term Rental Insurance: Airbnb and VRBO Hosts in Canada</t>
        </is>
      </c>
      <c r="K70" s="36">
        <f>LEN(J70)</f>
        <v/>
      </c>
      <c r="L70" s="25" t="inlineStr">
        <is>
          <t>Insurance for Airbnb and VRBO hosts in Canada: home-sharing endorsements, commercial short-term rental policies, platform protection limits and condo rules.</t>
        </is>
      </c>
      <c r="M70" s="36">
        <f>LEN(L70)</f>
        <v/>
      </c>
      <c r="N70" s="25" t="inlineStr">
        <is>
          <t>Short-Term Rental (Airbnb) Insurance</t>
        </is>
      </c>
      <c r="O70" s="36" t="inlineStr">
        <is>
          <t>airbnb insurance canada</t>
        </is>
      </c>
      <c r="P70" s="37" t="n">
        <v>720</v>
      </c>
      <c r="Q70" s="36" t="inlineStr">
        <is>
          <t>Nationwide</t>
        </is>
      </c>
      <c r="R70" s="36" t="n"/>
      <c r="S70" s="36">
        <f>COUNTIF('Page-Keyword Map'!$A$2:$A$675,B70)</f>
        <v/>
      </c>
      <c r="T70" s="37">
        <f>SUMIF('Page-Keyword Map'!$A$2:$A$675,B70,'Page-Keyword Map'!$H$2:$H$675)</f>
        <v/>
      </c>
      <c r="U70" s="36">
        <f>COUNTIFS('Page-Keyword Map'!$A$2:$A$675,B70,'Page-Keyword Map'!$E$2:$E$675,"Nationwide")</f>
        <v/>
      </c>
      <c r="V70" s="36">
        <f>COUNTIFS('Page-Keyword Map'!$A$2:$A$675,B70,'Page-Keyword Map'!$E$2:$E$675,"Provincial")</f>
        <v/>
      </c>
      <c r="W70" s="36">
        <f>COUNTIFS('Page-Keyword Map'!$A$2:$A$675,B70,'Page-Keyword Map'!$E$2:$E$675,"City")</f>
        <v/>
      </c>
      <c r="X70" s="36">
        <f>IF(O70="","",IF(ISNUMBER(SEARCH(O70,J70)),"Yes","No"))</f>
        <v/>
      </c>
      <c r="Y70" s="36" t="n">
        <v>0.8</v>
      </c>
      <c r="Z70" s="36" t="inlineStr">
        <is>
          <t>sitemap-services.xml</t>
        </is>
      </c>
      <c r="AA70" s="36" t="inlineStr">
        <is>
          <t>Live – indexable</t>
        </is>
      </c>
      <c r="AB70" s="38" t="n"/>
      <c r="AC70" s="38" t="n"/>
    </row>
    <row r="71" ht="23.85" customHeight="1" s="22">
      <c r="A71" s="36" t="inlineStr">
        <is>
          <t>P0070</t>
        </is>
      </c>
      <c r="B71" s="36" t="inlineStr">
        <is>
          <t>https://instasure.ca/landlord-insurance/</t>
        </is>
      </c>
      <c r="C71" s="36" t="inlineStr">
        <is>
          <t>Service page</t>
        </is>
      </c>
      <c r="D71" s="36" t="inlineStr">
        <is>
          <t>Landlord &amp; rental property</t>
        </is>
      </c>
      <c r="E71" s="36" t="inlineStr">
        <is>
          <t>Home Insurance</t>
        </is>
      </c>
      <c r="F71" s="36" t="inlineStr">
        <is>
          <t>Landlord &amp; Rental Property Insurance</t>
        </is>
      </c>
      <c r="G71" s="36" t="n"/>
      <c r="H71" s="36" t="n"/>
      <c r="I71" s="36" t="inlineStr">
        <is>
          <t>Yes</t>
        </is>
      </c>
      <c r="J71" s="25" t="inlineStr">
        <is>
          <t>Landlord Insurance in Canada: Rental Houses, Condos and Units</t>
        </is>
      </c>
      <c r="K71" s="36">
        <f>LEN(J71)</f>
        <v/>
      </c>
      <c r="L71" s="25" t="inlineStr">
        <is>
          <t>Insurance for rental properties in Canada: rental dwelling policies, lost rental income, landlord liability, condo rentals and what tenant insurance excludes.</t>
        </is>
      </c>
      <c r="M71" s="36">
        <f>LEN(L71)</f>
        <v/>
      </c>
      <c r="N71" s="25" t="inlineStr">
        <is>
          <t>Landlord &amp; Rental Property Insurance</t>
        </is>
      </c>
      <c r="O71" s="36" t="inlineStr">
        <is>
          <t>landlord insurance</t>
        </is>
      </c>
      <c r="P71" s="37" t="n">
        <v>2400</v>
      </c>
      <c r="Q71" s="36" t="inlineStr">
        <is>
          <t>Nationwide</t>
        </is>
      </c>
      <c r="R71" s="36" t="n"/>
      <c r="S71" s="36">
        <f>COUNTIF('Page-Keyword Map'!$A$2:$A$675,B71)</f>
        <v/>
      </c>
      <c r="T71" s="37">
        <f>SUMIF('Page-Keyword Map'!$A$2:$A$675,B71,'Page-Keyword Map'!$H$2:$H$675)</f>
        <v/>
      </c>
      <c r="U71" s="36">
        <f>COUNTIFS('Page-Keyword Map'!$A$2:$A$675,B71,'Page-Keyword Map'!$E$2:$E$675,"Nationwide")</f>
        <v/>
      </c>
      <c r="V71" s="36">
        <f>COUNTIFS('Page-Keyword Map'!$A$2:$A$675,B71,'Page-Keyword Map'!$E$2:$E$675,"Provincial")</f>
        <v/>
      </c>
      <c r="W71" s="36">
        <f>COUNTIFS('Page-Keyword Map'!$A$2:$A$675,B71,'Page-Keyword Map'!$E$2:$E$675,"City")</f>
        <v/>
      </c>
      <c r="X71" s="36">
        <f>IF(O71="","",IF(ISNUMBER(SEARCH(O71,J71)),"Yes","No"))</f>
        <v/>
      </c>
      <c r="Y71" s="36" t="n">
        <v>0.7</v>
      </c>
      <c r="Z71" s="36" t="inlineStr">
        <is>
          <t>sitemap-services.xml</t>
        </is>
      </c>
      <c r="AA71" s="36" t="inlineStr">
        <is>
          <t>Live – indexable</t>
        </is>
      </c>
      <c r="AB71" s="38" t="n"/>
      <c r="AC71" s="38" t="n"/>
    </row>
    <row r="72" ht="23.85" customHeight="1" s="22">
      <c r="A72" s="36" t="inlineStr">
        <is>
          <t>P0071</t>
        </is>
      </c>
      <c r="B72" s="36" t="inlineStr">
        <is>
          <t>https://instasure.ca/life-insurance/children/</t>
        </is>
      </c>
      <c r="C72" s="36" t="inlineStr">
        <is>
          <t>Service page</t>
        </is>
      </c>
      <c r="D72" s="36" t="inlineStr">
        <is>
          <t>Life insurance</t>
        </is>
      </c>
      <c r="E72" s="36" t="inlineStr">
        <is>
          <t>Whole Life Insurance</t>
        </is>
      </c>
      <c r="F72" s="36" t="inlineStr">
        <is>
          <t>Children’s Life Insurance</t>
        </is>
      </c>
      <c r="G72" s="36" t="n"/>
      <c r="H72" s="36" t="n"/>
      <c r="I72" s="36" t="inlineStr">
        <is>
          <t>Yes</t>
        </is>
      </c>
      <c r="J72" s="25" t="inlineStr">
        <is>
          <t>Children’s Life Insurance in Canada: Pros and Cons | Instasure.ca</t>
        </is>
      </c>
      <c r="K72" s="36">
        <f>LEN(J72)</f>
        <v/>
      </c>
      <c r="L72" s="25" t="inlineStr">
        <is>
          <t>Life insurance for children in Canada: guaranteed future insurability, low permanent premiums, child riders and when it makes sense.</t>
        </is>
      </c>
      <c r="M72" s="36">
        <f>LEN(L72)</f>
        <v/>
      </c>
      <c r="N72" s="25" t="inlineStr">
        <is>
          <t>Children’s Life Insurance</t>
        </is>
      </c>
      <c r="O72" s="36" t="n"/>
      <c r="P72" s="37" t="n"/>
      <c r="Q72" s="36" t="n"/>
      <c r="R72" s="36" t="inlineStr">
        <is>
          <t>children's life insurance</t>
        </is>
      </c>
      <c r="S72" s="36">
        <f>COUNTIF('Page-Keyword Map'!$A$2:$A$675,B72)</f>
        <v/>
      </c>
      <c r="T72" s="37">
        <f>SUMIF('Page-Keyword Map'!$A$2:$A$675,B72,'Page-Keyword Map'!$H$2:$H$675)</f>
        <v/>
      </c>
      <c r="U72" s="36">
        <f>COUNTIFS('Page-Keyword Map'!$A$2:$A$675,B72,'Page-Keyword Map'!$E$2:$E$675,"Nationwide")</f>
        <v/>
      </c>
      <c r="V72" s="36">
        <f>COUNTIFS('Page-Keyword Map'!$A$2:$A$675,B72,'Page-Keyword Map'!$E$2:$E$675,"Provincial")</f>
        <v/>
      </c>
      <c r="W72" s="36">
        <f>COUNTIFS('Page-Keyword Map'!$A$2:$A$675,B72,'Page-Keyword Map'!$E$2:$E$675,"City")</f>
        <v/>
      </c>
      <c r="X72" s="36">
        <f>IF(O72="","",IF(ISNUMBER(SEARCH(O72,J72)),"Yes","No"))</f>
        <v/>
      </c>
      <c r="Y72" s="36" t="n">
        <v>0.7</v>
      </c>
      <c r="Z72" s="36" t="inlineStr">
        <is>
          <t>sitemap-services.xml</t>
        </is>
      </c>
      <c r="AA72" s="36" t="inlineStr">
        <is>
          <t>Live – indexable</t>
        </is>
      </c>
      <c r="AB72" s="38" t="n"/>
      <c r="AC72" s="38" t="n"/>
    </row>
    <row r="73" ht="23.85" customHeight="1" s="22">
      <c r="A73" s="36" t="inlineStr">
        <is>
          <t>P0072</t>
        </is>
      </c>
      <c r="B73" s="36" t="inlineStr">
        <is>
          <t>https://instasure.ca/life-insurance/final-expense/</t>
        </is>
      </c>
      <c r="C73" s="36" t="inlineStr">
        <is>
          <t>Service page</t>
        </is>
      </c>
      <c r="D73" s="36" t="inlineStr">
        <is>
          <t>Life insurance</t>
        </is>
      </c>
      <c r="E73" s="36" t="inlineStr">
        <is>
          <t>Whole Life Insurance</t>
        </is>
      </c>
      <c r="F73" s="36" t="inlineStr">
        <is>
          <t>Final Expense Insurance</t>
        </is>
      </c>
      <c r="G73" s="36" t="n"/>
      <c r="H73" s="36" t="n"/>
      <c r="I73" s="36" t="inlineStr">
        <is>
          <t>Yes</t>
        </is>
      </c>
      <c r="J73" s="25" t="inlineStr">
        <is>
          <t>Final Expense Insurance Canada: Costs and Options | Instasure.ca</t>
        </is>
      </c>
      <c r="K73" s="36">
        <f>LEN(J73)</f>
        <v/>
      </c>
      <c r="L73" s="25" t="inlineStr">
        <is>
          <t>Final expense insurance in Canada: small permanent policies for final bills, debts and funeral costs, simplified or guaranteed issue, and what they cost.</t>
        </is>
      </c>
      <c r="M73" s="36">
        <f>LEN(L73)</f>
        <v/>
      </c>
      <c r="N73" s="25" t="inlineStr">
        <is>
          <t>Final Expense Insurance</t>
        </is>
      </c>
      <c r="O73" s="36" t="inlineStr">
        <is>
          <t>final expense insurance canada</t>
        </is>
      </c>
      <c r="P73" s="37" t="n">
        <v>1000</v>
      </c>
      <c r="Q73" s="36" t="inlineStr">
        <is>
          <t>Nationwide</t>
        </is>
      </c>
      <c r="R73" s="36" t="n"/>
      <c r="S73" s="36">
        <f>COUNTIF('Page-Keyword Map'!$A$2:$A$675,B73)</f>
        <v/>
      </c>
      <c r="T73" s="37">
        <f>SUMIF('Page-Keyword Map'!$A$2:$A$675,B73,'Page-Keyword Map'!$H$2:$H$675)</f>
        <v/>
      </c>
      <c r="U73" s="36">
        <f>COUNTIFS('Page-Keyword Map'!$A$2:$A$675,B73,'Page-Keyword Map'!$E$2:$E$675,"Nationwide")</f>
        <v/>
      </c>
      <c r="V73" s="36">
        <f>COUNTIFS('Page-Keyword Map'!$A$2:$A$675,B73,'Page-Keyword Map'!$E$2:$E$675,"Provincial")</f>
        <v/>
      </c>
      <c r="W73" s="36">
        <f>COUNTIFS('Page-Keyword Map'!$A$2:$A$675,B73,'Page-Keyword Map'!$E$2:$E$675,"City")</f>
        <v/>
      </c>
      <c r="X73" s="36">
        <f>IF(O73="","",IF(ISNUMBER(SEARCH(O73,J73)),"Yes","No"))</f>
        <v/>
      </c>
      <c r="Y73" s="36" t="n">
        <v>0.7</v>
      </c>
      <c r="Z73" s="36" t="inlineStr">
        <is>
          <t>sitemap-services.xml</t>
        </is>
      </c>
      <c r="AA73" s="36" t="inlineStr">
        <is>
          <t>Live – indexable</t>
        </is>
      </c>
      <c r="AB73" s="38" t="n"/>
      <c r="AC73" s="38" t="n"/>
    </row>
    <row r="74" ht="23.85" customHeight="1" s="22">
      <c r="A74" s="36" t="inlineStr">
        <is>
          <t>P0073</t>
        </is>
      </c>
      <c r="B74" s="36" t="inlineStr">
        <is>
          <t>https://instasure.ca/life-insurance/funeral-expense/</t>
        </is>
      </c>
      <c r="C74" s="36" t="inlineStr">
        <is>
          <t>Service page</t>
        </is>
      </c>
      <c r="D74" s="36" t="inlineStr">
        <is>
          <t>Life insurance</t>
        </is>
      </c>
      <c r="E74" s="36" t="inlineStr">
        <is>
          <t>Whole Life Insurance</t>
        </is>
      </c>
      <c r="F74" s="36" t="inlineStr">
        <is>
          <t>Funeral Expense Insurance</t>
        </is>
      </c>
      <c r="G74" s="36" t="n"/>
      <c r="H74" s="36" t="n"/>
      <c r="I74" s="36" t="inlineStr">
        <is>
          <t>Yes</t>
        </is>
      </c>
      <c r="J74" s="25" t="inlineStr">
        <is>
          <t>Funeral Expense Insurance in Canada from $1 a Day | Instasure.ca</t>
        </is>
      </c>
      <c r="K74" s="36">
        <f>LEN(J74)</f>
        <v/>
      </c>
      <c r="L74" s="25" t="inlineStr">
        <is>
          <t>Funeral expense insurance from about $1 a day: $5,000 to $50,000 of lifelong cover, no medical exam and a tax-free payout your family can use right away.</t>
        </is>
      </c>
      <c r="M74" s="36">
        <f>LEN(L74)</f>
        <v/>
      </c>
      <c r="N74" s="25" t="inlineStr">
        <is>
          <t>Funeral Expense Insurance from $1 a Day</t>
        </is>
      </c>
      <c r="O74" s="36" t="inlineStr">
        <is>
          <t>funeral insurance</t>
        </is>
      </c>
      <c r="P74" s="37" t="n">
        <v>1900</v>
      </c>
      <c r="Q74" s="36" t="inlineStr">
        <is>
          <t>Nationwide</t>
        </is>
      </c>
      <c r="R74" s="36" t="n"/>
      <c r="S74" s="36">
        <f>COUNTIF('Page-Keyword Map'!$A$2:$A$675,B74)</f>
        <v/>
      </c>
      <c r="T74" s="37">
        <f>SUMIF('Page-Keyword Map'!$A$2:$A$675,B74,'Page-Keyword Map'!$H$2:$H$675)</f>
        <v/>
      </c>
      <c r="U74" s="36">
        <f>COUNTIFS('Page-Keyword Map'!$A$2:$A$675,B74,'Page-Keyword Map'!$E$2:$E$675,"Nationwide")</f>
        <v/>
      </c>
      <c r="V74" s="36">
        <f>COUNTIFS('Page-Keyword Map'!$A$2:$A$675,B74,'Page-Keyword Map'!$E$2:$E$675,"Provincial")</f>
        <v/>
      </c>
      <c r="W74" s="36">
        <f>COUNTIFS('Page-Keyword Map'!$A$2:$A$675,B74,'Page-Keyword Map'!$E$2:$E$675,"City")</f>
        <v/>
      </c>
      <c r="X74" s="36">
        <f>IF(O74="","",IF(ISNUMBER(SEARCH(O74,J74)),"Yes","No"))</f>
        <v/>
      </c>
      <c r="Y74" s="36" t="n">
        <v>0.7</v>
      </c>
      <c r="Z74" s="36" t="inlineStr">
        <is>
          <t>sitemap-services.xml</t>
        </is>
      </c>
      <c r="AA74" s="36" t="inlineStr">
        <is>
          <t>Live – indexable</t>
        </is>
      </c>
      <c r="AB74" s="38" t="n"/>
      <c r="AC74" s="38" t="n"/>
    </row>
    <row r="75" ht="23.85" customHeight="1" s="22">
      <c r="A75" s="36" t="inlineStr">
        <is>
          <t>P0074</t>
        </is>
      </c>
      <c r="B75" s="36" t="inlineStr">
        <is>
          <t>https://instasure.ca/life-insurance/joint/</t>
        </is>
      </c>
      <c r="C75" s="36" t="inlineStr">
        <is>
          <t>Service page</t>
        </is>
      </c>
      <c r="D75" s="36" t="inlineStr">
        <is>
          <t>Life insurance</t>
        </is>
      </c>
      <c r="E75" s="36" t="inlineStr">
        <is>
          <t>Life Insurance</t>
        </is>
      </c>
      <c r="F75" s="36" t="inlineStr">
        <is>
          <t>Joint Life Insurance</t>
        </is>
      </c>
      <c r="G75" s="36" t="n"/>
      <c r="H75" s="36" t="n"/>
      <c r="I75" s="36" t="inlineStr">
        <is>
          <t>Yes</t>
        </is>
      </c>
      <c r="J75" s="25" t="inlineStr">
        <is>
          <t>Joint Life Insurance: First-to-Die vs Last-to-Die | Instasure.ca</t>
        </is>
      </c>
      <c r="K75" s="36">
        <f>LEN(J75)</f>
        <v/>
      </c>
      <c r="L75" s="25" t="inlineStr">
        <is>
          <t>Joint life insurance in Canada: first-to-die and last-to-die policies, when a joint policy suits couples and estates, and when two policies are better.</t>
        </is>
      </c>
      <c r="M75" s="36">
        <f>LEN(L75)</f>
        <v/>
      </c>
      <c r="N75" s="25" t="inlineStr">
        <is>
          <t>Joint Life Insurance</t>
        </is>
      </c>
      <c r="O75" s="36" t="inlineStr">
        <is>
          <t>joint life insurance</t>
        </is>
      </c>
      <c r="P75" s="37" t="n">
        <v>590</v>
      </c>
      <c r="Q75" s="36" t="inlineStr">
        <is>
          <t>Nationwide</t>
        </is>
      </c>
      <c r="R75" s="36" t="n"/>
      <c r="S75" s="36">
        <f>COUNTIF('Page-Keyword Map'!$A$2:$A$675,B75)</f>
        <v/>
      </c>
      <c r="T75" s="37">
        <f>SUMIF('Page-Keyword Map'!$A$2:$A$675,B75,'Page-Keyword Map'!$H$2:$H$675)</f>
        <v/>
      </c>
      <c r="U75" s="36">
        <f>COUNTIFS('Page-Keyword Map'!$A$2:$A$675,B75,'Page-Keyword Map'!$E$2:$E$675,"Nationwide")</f>
        <v/>
      </c>
      <c r="V75" s="36">
        <f>COUNTIFS('Page-Keyword Map'!$A$2:$A$675,B75,'Page-Keyword Map'!$E$2:$E$675,"Provincial")</f>
        <v/>
      </c>
      <c r="W75" s="36">
        <f>COUNTIFS('Page-Keyword Map'!$A$2:$A$675,B75,'Page-Keyword Map'!$E$2:$E$675,"City")</f>
        <v/>
      </c>
      <c r="X75" s="36">
        <f>IF(O75="","",IF(ISNUMBER(SEARCH(O75,J75)),"Yes","No"))</f>
        <v/>
      </c>
      <c r="Y75" s="36" t="n">
        <v>0.7</v>
      </c>
      <c r="Z75" s="36" t="inlineStr">
        <is>
          <t>sitemap-services.xml</t>
        </is>
      </c>
      <c r="AA75" s="36" t="inlineStr">
        <is>
          <t>Live – indexable</t>
        </is>
      </c>
      <c r="AB75" s="38" t="n"/>
      <c r="AC75" s="38" t="n"/>
    </row>
    <row r="76" ht="23.85" customHeight="1" s="22">
      <c r="A76" s="36" t="inlineStr">
        <is>
          <t>P0075</t>
        </is>
      </c>
      <c r="B76" s="36" t="inlineStr">
        <is>
          <t>https://instasure.ca/life-insurance/medical-conditions/</t>
        </is>
      </c>
      <c r="C76" s="36" t="inlineStr">
        <is>
          <t>Service page</t>
        </is>
      </c>
      <c r="D76" s="36" t="inlineStr">
        <is>
          <t>Life insurance</t>
        </is>
      </c>
      <c r="E76" s="36" t="inlineStr">
        <is>
          <t>Life Insurance</t>
        </is>
      </c>
      <c r="F76" s="36" t="inlineStr">
        <is>
          <t>Life Insurance with Medical Conditions</t>
        </is>
      </c>
      <c r="G76" s="36" t="n"/>
      <c r="H76" s="36" t="n"/>
      <c r="I76" s="36" t="inlineStr">
        <is>
          <t>Yes</t>
        </is>
      </c>
      <c r="J76" s="25" t="inlineStr">
        <is>
          <t>Life Insurance with Medical Conditions: Diabetes, Heart</t>
        </is>
      </c>
      <c r="K76" s="36">
        <f>LEN(J76)</f>
        <v/>
      </c>
      <c r="L76" s="25" t="inlineStr">
        <is>
          <t>Life insurance with diabetes, heart disease, high blood pressure, cancer history or mental health conditions: rated policies, exclusions and no-medical options.</t>
        </is>
      </c>
      <c r="M76" s="36">
        <f>LEN(L76)</f>
        <v/>
      </c>
      <c r="N76" s="25" t="inlineStr">
        <is>
          <t>Life Insurance with Medical Conditions</t>
        </is>
      </c>
      <c r="O76" s="36" t="inlineStr">
        <is>
          <t>life insurance for smokers</t>
        </is>
      </c>
      <c r="P76" s="37" t="n">
        <v>390</v>
      </c>
      <c r="Q76" s="36" t="inlineStr">
        <is>
          <t>Nationwide</t>
        </is>
      </c>
      <c r="R76" s="36" t="n"/>
      <c r="S76" s="36">
        <f>COUNTIF('Page-Keyword Map'!$A$2:$A$675,B76)</f>
        <v/>
      </c>
      <c r="T76" s="37">
        <f>SUMIF('Page-Keyword Map'!$A$2:$A$675,B76,'Page-Keyword Map'!$H$2:$H$675)</f>
        <v/>
      </c>
      <c r="U76" s="36">
        <f>COUNTIFS('Page-Keyword Map'!$A$2:$A$675,B76,'Page-Keyword Map'!$E$2:$E$675,"Nationwide")</f>
        <v/>
      </c>
      <c r="V76" s="36">
        <f>COUNTIFS('Page-Keyword Map'!$A$2:$A$675,B76,'Page-Keyword Map'!$E$2:$E$675,"Provincial")</f>
        <v/>
      </c>
      <c r="W76" s="36">
        <f>COUNTIFS('Page-Keyword Map'!$A$2:$A$675,B76,'Page-Keyword Map'!$E$2:$E$675,"City")</f>
        <v/>
      </c>
      <c r="X76" s="36">
        <f>IF(O76="","",IF(ISNUMBER(SEARCH(O76,J76)),"Yes","No"))</f>
        <v/>
      </c>
      <c r="Y76" s="36" t="n">
        <v>0.8</v>
      </c>
      <c r="Z76" s="36" t="inlineStr">
        <is>
          <t>sitemap-services.xml</t>
        </is>
      </c>
      <c r="AA76" s="36" t="inlineStr">
        <is>
          <t>Live – indexable</t>
        </is>
      </c>
      <c r="AB76" s="38" t="n"/>
      <c r="AC76" s="38" t="n"/>
    </row>
    <row r="77" ht="23.85" customHeight="1" s="22">
      <c r="A77" s="36" t="inlineStr">
        <is>
          <t>P0076</t>
        </is>
      </c>
      <c r="B77" s="36" t="inlineStr">
        <is>
          <t>https://instasure.ca/life-insurance/newcomers/</t>
        </is>
      </c>
      <c r="C77" s="36" t="inlineStr">
        <is>
          <t>Service page</t>
        </is>
      </c>
      <c r="D77" s="36" t="inlineStr">
        <is>
          <t>Life insurance</t>
        </is>
      </c>
      <c r="E77" s="36" t="inlineStr">
        <is>
          <t>Life Insurance</t>
        </is>
      </c>
      <c r="F77" s="36" t="inlineStr">
        <is>
          <t>Life Insurance for Newcomers</t>
        </is>
      </c>
      <c r="G77" s="36" t="n"/>
      <c r="H77" s="36" t="n"/>
      <c r="I77" s="36" t="inlineStr">
        <is>
          <t>Yes</t>
        </is>
      </c>
      <c r="J77" s="25" t="inlineStr">
        <is>
          <t>Life Insurance for Newcomers: PR, Work Permits and Students</t>
        </is>
      </c>
      <c r="K77" s="36">
        <f>LEN(J77)</f>
        <v/>
      </c>
      <c r="L77" s="25" t="inlineStr">
        <is>
          <t>Life insurance for newcomers to Canada: eligibility for permanent residents, work-permit holders and students, coverage limits and advice in your language.</t>
        </is>
      </c>
      <c r="M77" s="36">
        <f>LEN(L77)</f>
        <v/>
      </c>
      <c r="N77" s="25" t="inlineStr">
        <is>
          <t>Life Insurance for Newcomers</t>
        </is>
      </c>
      <c r="O77" s="36" t="n"/>
      <c r="P77" s="37" t="n"/>
      <c r="Q77" s="36" t="n"/>
      <c r="R77" s="36" t="inlineStr">
        <is>
          <t>life insurance for newcomers to canada</t>
        </is>
      </c>
      <c r="S77" s="36">
        <f>COUNTIF('Page-Keyword Map'!$A$2:$A$675,B77)</f>
        <v/>
      </c>
      <c r="T77" s="37">
        <f>SUMIF('Page-Keyword Map'!$A$2:$A$675,B77,'Page-Keyword Map'!$H$2:$H$675)</f>
        <v/>
      </c>
      <c r="U77" s="36">
        <f>COUNTIFS('Page-Keyword Map'!$A$2:$A$675,B77,'Page-Keyword Map'!$E$2:$E$675,"Nationwide")</f>
        <v/>
      </c>
      <c r="V77" s="36">
        <f>COUNTIFS('Page-Keyword Map'!$A$2:$A$675,B77,'Page-Keyword Map'!$E$2:$E$675,"Provincial")</f>
        <v/>
      </c>
      <c r="W77" s="36">
        <f>COUNTIFS('Page-Keyword Map'!$A$2:$A$675,B77,'Page-Keyword Map'!$E$2:$E$675,"City")</f>
        <v/>
      </c>
      <c r="X77" s="36">
        <f>IF(O77="","",IF(ISNUMBER(SEARCH(O77,J77)),"Yes","No"))</f>
        <v/>
      </c>
      <c r="Y77" s="36" t="n">
        <v>0.8</v>
      </c>
      <c r="Z77" s="36" t="inlineStr">
        <is>
          <t>sitemap-services.xml</t>
        </is>
      </c>
      <c r="AA77" s="36" t="inlineStr">
        <is>
          <t>Live – indexable</t>
        </is>
      </c>
      <c r="AB77" s="38" t="n"/>
      <c r="AC77" s="38" t="n"/>
    </row>
    <row r="78" ht="23.85" customHeight="1" s="22">
      <c r="A78" s="36" t="inlineStr">
        <is>
          <t>P0077</t>
        </is>
      </c>
      <c r="B78" s="36" t="inlineStr">
        <is>
          <t>https://instasure.ca/life-insurance/seniors/</t>
        </is>
      </c>
      <c r="C78" s="36" t="inlineStr">
        <is>
          <t>Service page</t>
        </is>
      </c>
      <c r="D78" s="36" t="inlineStr">
        <is>
          <t>Life insurance</t>
        </is>
      </c>
      <c r="E78" s="36" t="inlineStr">
        <is>
          <t>Term Life Insurance</t>
        </is>
      </c>
      <c r="F78" s="36" t="inlineStr">
        <is>
          <t>Life Insurance for Seniors</t>
        </is>
      </c>
      <c r="G78" s="36" t="n"/>
      <c r="H78" s="36" t="n"/>
      <c r="I78" s="36" t="inlineStr">
        <is>
          <t>Yes</t>
        </is>
      </c>
      <c r="J78" s="25" t="inlineStr">
        <is>
          <t>Life Insurance for Seniors: Term, Permanent and No-Medical</t>
        </is>
      </c>
      <c r="K78" s="36">
        <f>LEN(J78)</f>
        <v/>
      </c>
      <c r="L78" s="25" t="inlineStr">
        <is>
          <t>Life insurance for Canadians over 60: term to age 80 or 85, permanent coverage, no-medical options, estate taxes and what it costs.</t>
        </is>
      </c>
      <c r="M78" s="36">
        <f>LEN(L78)</f>
        <v/>
      </c>
      <c r="N78" s="25" t="inlineStr">
        <is>
          <t>Life Insurance for Seniors</t>
        </is>
      </c>
      <c r="O78" s="36" t="inlineStr">
        <is>
          <t>life insurance for seniors</t>
        </is>
      </c>
      <c r="P78" s="37" t="n">
        <v>1600</v>
      </c>
      <c r="Q78" s="36" t="inlineStr">
        <is>
          <t>Nationwide</t>
        </is>
      </c>
      <c r="R78" s="36" t="n"/>
      <c r="S78" s="36">
        <f>COUNTIF('Page-Keyword Map'!$A$2:$A$675,B78)</f>
        <v/>
      </c>
      <c r="T78" s="37">
        <f>SUMIF('Page-Keyword Map'!$A$2:$A$675,B78,'Page-Keyword Map'!$H$2:$H$675)</f>
        <v/>
      </c>
      <c r="U78" s="36">
        <f>COUNTIFS('Page-Keyword Map'!$A$2:$A$675,B78,'Page-Keyword Map'!$E$2:$E$675,"Nationwide")</f>
        <v/>
      </c>
      <c r="V78" s="36">
        <f>COUNTIFS('Page-Keyword Map'!$A$2:$A$675,B78,'Page-Keyword Map'!$E$2:$E$675,"Provincial")</f>
        <v/>
      </c>
      <c r="W78" s="36">
        <f>COUNTIFS('Page-Keyword Map'!$A$2:$A$675,B78,'Page-Keyword Map'!$E$2:$E$675,"City")</f>
        <v/>
      </c>
      <c r="X78" s="36">
        <f>IF(O78="","",IF(ISNUMBER(SEARCH(O78,J78)),"Yes","No"))</f>
        <v/>
      </c>
      <c r="Y78" s="36" t="n">
        <v>0.7</v>
      </c>
      <c r="Z78" s="36" t="inlineStr">
        <is>
          <t>sitemap-services.xml</t>
        </is>
      </c>
      <c r="AA78" s="36" t="inlineStr">
        <is>
          <t>Live – indexable</t>
        </is>
      </c>
      <c r="AB78" s="38" t="n"/>
      <c r="AC78" s="38" t="n"/>
    </row>
    <row r="79" ht="23.85" customHeight="1" s="22">
      <c r="A79" s="36" t="inlineStr">
        <is>
          <t>P0078</t>
        </is>
      </c>
      <c r="B79" s="36" t="inlineStr">
        <is>
          <t>https://instasure.ca/life-insurance/universal-life/</t>
        </is>
      </c>
      <c r="C79" s="36" t="inlineStr">
        <is>
          <t>Service page</t>
        </is>
      </c>
      <c r="D79" s="36" t="inlineStr">
        <is>
          <t>Life insurance</t>
        </is>
      </c>
      <c r="E79" s="36" t="inlineStr">
        <is>
          <t>Whole Life Insurance</t>
        </is>
      </c>
      <c r="F79" s="36" t="inlineStr">
        <is>
          <t>Universal Life Insurance</t>
        </is>
      </c>
      <c r="G79" s="36" t="n"/>
      <c r="H79" s="36" t="n"/>
      <c r="I79" s="36" t="inlineStr">
        <is>
          <t>Yes</t>
        </is>
      </c>
      <c r="J79" s="25" t="inlineStr">
        <is>
          <t>Universal Life Insurance in Canada: How It Works | Instasure.ca</t>
        </is>
      </c>
      <c r="K79" s="36">
        <f>LEN(J79)</f>
        <v/>
      </c>
      <c r="L79" s="25" t="inlineStr">
        <is>
          <t>Universal life insurance in Canada: permanent coverage with a tax-advantaged investment account, cost-of-insurance options and how it compares with whole life.</t>
        </is>
      </c>
      <c r="M79" s="36">
        <f>LEN(L79)</f>
        <v/>
      </c>
      <c r="N79" s="25" t="inlineStr">
        <is>
          <t>Universal Life Insurance</t>
        </is>
      </c>
      <c r="O79" s="36" t="inlineStr">
        <is>
          <t>universal life insurance</t>
        </is>
      </c>
      <c r="P79" s="37" t="n">
        <v>1300</v>
      </c>
      <c r="Q79" s="36" t="inlineStr">
        <is>
          <t>Nationwide</t>
        </is>
      </c>
      <c r="R79" s="36" t="n"/>
      <c r="S79" s="36">
        <f>COUNTIF('Page-Keyword Map'!$A$2:$A$675,B79)</f>
        <v/>
      </c>
      <c r="T79" s="37">
        <f>SUMIF('Page-Keyword Map'!$A$2:$A$675,B79,'Page-Keyword Map'!$H$2:$H$675)</f>
        <v/>
      </c>
      <c r="U79" s="36">
        <f>COUNTIFS('Page-Keyword Map'!$A$2:$A$675,B79,'Page-Keyword Map'!$E$2:$E$675,"Nationwide")</f>
        <v/>
      </c>
      <c r="V79" s="36">
        <f>COUNTIFS('Page-Keyword Map'!$A$2:$A$675,B79,'Page-Keyword Map'!$E$2:$E$675,"Provincial")</f>
        <v/>
      </c>
      <c r="W79" s="36">
        <f>COUNTIFS('Page-Keyword Map'!$A$2:$A$675,B79,'Page-Keyword Map'!$E$2:$E$675,"City")</f>
        <v/>
      </c>
      <c r="X79" s="36">
        <f>IF(O79="","",IF(ISNUMBER(SEARCH(O79,J79)),"Yes","No"))</f>
        <v/>
      </c>
      <c r="Y79" s="36" t="n">
        <v>0.7</v>
      </c>
      <c r="Z79" s="36" t="inlineStr">
        <is>
          <t>sitemap-services.xml</t>
        </is>
      </c>
      <c r="AA79" s="36" t="inlineStr">
        <is>
          <t>Live – indexable</t>
        </is>
      </c>
      <c r="AB79" s="38" t="n"/>
      <c r="AC79" s="38" t="n"/>
    </row>
    <row r="80" ht="23.85" customHeight="1" s="22">
      <c r="A80" s="36" t="inlineStr">
        <is>
          <t>P0079</t>
        </is>
      </c>
      <c r="B80" s="36" t="inlineStr">
        <is>
          <t>https://instasure.ca/long-term-care-insurance/</t>
        </is>
      </c>
      <c r="C80" s="36" t="inlineStr">
        <is>
          <t>Service page</t>
        </is>
      </c>
      <c r="D80" s="36" t="inlineStr">
        <is>
          <t>Health &amp; dental insurance</t>
        </is>
      </c>
      <c r="E80" s="36" t="inlineStr">
        <is>
          <t>Health &amp; Dental Insurance</t>
        </is>
      </c>
      <c r="F80" s="36" t="inlineStr">
        <is>
          <t>Long-Term Care Insurance</t>
        </is>
      </c>
      <c r="G80" s="36" t="n"/>
      <c r="H80" s="36" t="n"/>
      <c r="I80" s="36" t="inlineStr">
        <is>
          <t>Yes</t>
        </is>
      </c>
      <c r="J80" s="25" t="inlineStr">
        <is>
          <t>Long-Term Care Insurance in Canada | Instasure.ca</t>
        </is>
      </c>
      <c r="K80" s="36">
        <f>LEN(J80)</f>
        <v/>
      </c>
      <c r="L80" s="25" t="inlineStr">
        <is>
          <t>Long-term care insurance in Canada: what triggers benefits, home care vs facility care, how it differs from critical illness and disability, and alternatives.</t>
        </is>
      </c>
      <c r="M80" s="36">
        <f>LEN(L80)</f>
        <v/>
      </c>
      <c r="N80" s="25" t="inlineStr">
        <is>
          <t>Long-Term Care Insurance</t>
        </is>
      </c>
      <c r="O80" s="36" t="inlineStr">
        <is>
          <t>long term care insurance canada</t>
        </is>
      </c>
      <c r="P80" s="37" t="n">
        <v>1300</v>
      </c>
      <c r="Q80" s="36" t="inlineStr">
        <is>
          <t>Nationwide</t>
        </is>
      </c>
      <c r="R80" s="36" t="n"/>
      <c r="S80" s="36">
        <f>COUNTIF('Page-Keyword Map'!$A$2:$A$675,B80)</f>
        <v/>
      </c>
      <c r="T80" s="37">
        <f>SUMIF('Page-Keyword Map'!$A$2:$A$675,B80,'Page-Keyword Map'!$H$2:$H$675)</f>
        <v/>
      </c>
      <c r="U80" s="36">
        <f>COUNTIFS('Page-Keyword Map'!$A$2:$A$675,B80,'Page-Keyword Map'!$E$2:$E$675,"Nationwide")</f>
        <v/>
      </c>
      <c r="V80" s="36">
        <f>COUNTIFS('Page-Keyword Map'!$A$2:$A$675,B80,'Page-Keyword Map'!$E$2:$E$675,"Provincial")</f>
        <v/>
      </c>
      <c r="W80" s="36">
        <f>COUNTIFS('Page-Keyword Map'!$A$2:$A$675,B80,'Page-Keyword Map'!$E$2:$E$675,"City")</f>
        <v/>
      </c>
      <c r="X80" s="36">
        <f>IF(O80="","",IF(ISNUMBER(SEARCH(O80,J80)),"Yes","No"))</f>
        <v/>
      </c>
      <c r="Y80" s="36" t="n">
        <v>0.7</v>
      </c>
      <c r="Z80" s="36" t="inlineStr">
        <is>
          <t>sitemap-services.xml</t>
        </is>
      </c>
      <c r="AA80" s="36" t="inlineStr">
        <is>
          <t>Live – indexable</t>
        </is>
      </c>
      <c r="AB80" s="38" t="n"/>
      <c r="AC80" s="38" t="n"/>
    </row>
    <row r="81" ht="23.85" customHeight="1" s="22">
      <c r="A81" s="36" t="inlineStr">
        <is>
          <t>P0080</t>
        </is>
      </c>
      <c r="B81" s="36" t="inlineStr">
        <is>
          <t>https://instasure.ca/motorcycle-insurance/</t>
        </is>
      </c>
      <c r="C81" s="36" t="inlineStr">
        <is>
          <t>Service page</t>
        </is>
      </c>
      <c r="D81" s="36" t="inlineStr">
        <is>
          <t>Recreational vehicles</t>
        </is>
      </c>
      <c r="E81" s="36" t="inlineStr">
        <is>
          <t>Car Insurance</t>
        </is>
      </c>
      <c r="F81" s="36" t="inlineStr">
        <is>
          <t>Motorcycle Insurance</t>
        </is>
      </c>
      <c r="G81" s="36" t="n"/>
      <c r="H81" s="36" t="n"/>
      <c r="I81" s="36" t="inlineStr">
        <is>
          <t>Yes</t>
        </is>
      </c>
      <c r="J81" s="25" t="inlineStr">
        <is>
          <t>Motorcycle Insurance in Canada: M1, M2 and Seasonal Coverage</t>
        </is>
      </c>
      <c r="K81" s="36">
        <f>LEN(J81)</f>
        <v/>
      </c>
      <c r="L81" s="25" t="inlineStr">
        <is>
          <t>Motorcycle insurance in Canada: mandatory coverage, graduated motorcycle licences, seasonal riding, gear coverage and what drives the price.</t>
        </is>
      </c>
      <c r="M81" s="36">
        <f>LEN(L81)</f>
        <v/>
      </c>
      <c r="N81" s="25" t="inlineStr">
        <is>
          <t>Motorcycle Insurance</t>
        </is>
      </c>
      <c r="O81" s="36" t="inlineStr">
        <is>
          <t>motorcycle insurance</t>
        </is>
      </c>
      <c r="P81" s="37" t="n">
        <v>5400</v>
      </c>
      <c r="Q81" s="36" t="inlineStr">
        <is>
          <t>Nationwide</t>
        </is>
      </c>
      <c r="R81" s="36" t="n"/>
      <c r="S81" s="36">
        <f>COUNTIF('Page-Keyword Map'!$A$2:$A$675,B81)</f>
        <v/>
      </c>
      <c r="T81" s="37">
        <f>SUMIF('Page-Keyword Map'!$A$2:$A$675,B81,'Page-Keyword Map'!$H$2:$H$675)</f>
        <v/>
      </c>
      <c r="U81" s="36">
        <f>COUNTIFS('Page-Keyword Map'!$A$2:$A$675,B81,'Page-Keyword Map'!$E$2:$E$675,"Nationwide")</f>
        <v/>
      </c>
      <c r="V81" s="36">
        <f>COUNTIFS('Page-Keyword Map'!$A$2:$A$675,B81,'Page-Keyword Map'!$E$2:$E$675,"Provincial")</f>
        <v/>
      </c>
      <c r="W81" s="36">
        <f>COUNTIFS('Page-Keyword Map'!$A$2:$A$675,B81,'Page-Keyword Map'!$E$2:$E$675,"City")</f>
        <v/>
      </c>
      <c r="X81" s="36">
        <f>IF(O81="","",IF(ISNUMBER(SEARCH(O81,J81)),"Yes","No"))</f>
        <v/>
      </c>
      <c r="Y81" s="36" t="n">
        <v>0.7</v>
      </c>
      <c r="Z81" s="36" t="inlineStr">
        <is>
          <t>sitemap-services.xml</t>
        </is>
      </c>
      <c r="AA81" s="36" t="inlineStr">
        <is>
          <t>Live – indexable</t>
        </is>
      </c>
      <c r="AB81" s="38" t="n"/>
      <c r="AC81" s="38" t="n"/>
    </row>
    <row r="82" ht="23.85" customHeight="1" s="22">
      <c r="A82" s="36" t="inlineStr">
        <is>
          <t>P0081</t>
        </is>
      </c>
      <c r="B82" s="36" t="inlineStr">
        <is>
          <t>https://instasure.ca/pet-insurance/</t>
        </is>
      </c>
      <c r="C82" s="36" t="inlineStr">
        <is>
          <t>Service page</t>
        </is>
      </c>
      <c r="D82" s="36" t="inlineStr">
        <is>
          <t>Pet insurance</t>
        </is>
      </c>
      <c r="E82" s="36" t="inlineStr">
        <is>
          <t>Home Insurance</t>
        </is>
      </c>
      <c r="F82" s="36" t="inlineStr">
        <is>
          <t>Pet Insurance</t>
        </is>
      </c>
      <c r="G82" s="36" t="n"/>
      <c r="H82" s="36" t="n"/>
      <c r="I82" s="36" t="inlineStr">
        <is>
          <t>Yes</t>
        </is>
      </c>
      <c r="J82" s="25" t="inlineStr">
        <is>
          <t>Pet Insurance in Canada: Accident, Illness and Wellness Plans</t>
        </is>
      </c>
      <c r="K82" s="36">
        <f>LEN(J82)</f>
        <v/>
      </c>
      <c r="L82" s="25" t="inlineStr">
        <is>
          <t>Pet insurance for dogs and cats in Canada: accident-only, accident and illness, and wellness plans, waiting periods, pre-existing conditions and claims.</t>
        </is>
      </c>
      <c r="M82" s="36">
        <f>LEN(L82)</f>
        <v/>
      </c>
      <c r="N82" s="25" t="inlineStr">
        <is>
          <t>Pet Insurance</t>
        </is>
      </c>
      <c r="O82" s="36" t="inlineStr">
        <is>
          <t>pet insurance</t>
        </is>
      </c>
      <c r="P82" s="37" t="n">
        <v>14000</v>
      </c>
      <c r="Q82" s="36" t="inlineStr">
        <is>
          <t>Nationwide</t>
        </is>
      </c>
      <c r="R82" s="36" t="n"/>
      <c r="S82" s="36">
        <f>COUNTIF('Page-Keyword Map'!$A$2:$A$675,B82)</f>
        <v/>
      </c>
      <c r="T82" s="37">
        <f>SUMIF('Page-Keyword Map'!$A$2:$A$675,B82,'Page-Keyword Map'!$H$2:$H$675)</f>
        <v/>
      </c>
      <c r="U82" s="36">
        <f>COUNTIFS('Page-Keyword Map'!$A$2:$A$675,B82,'Page-Keyword Map'!$E$2:$E$675,"Nationwide")</f>
        <v/>
      </c>
      <c r="V82" s="36">
        <f>COUNTIFS('Page-Keyword Map'!$A$2:$A$675,B82,'Page-Keyword Map'!$E$2:$E$675,"Provincial")</f>
        <v/>
      </c>
      <c r="W82" s="36">
        <f>COUNTIFS('Page-Keyword Map'!$A$2:$A$675,B82,'Page-Keyword Map'!$E$2:$E$675,"City")</f>
        <v/>
      </c>
      <c r="X82" s="36">
        <f>IF(O82="","",IF(ISNUMBER(SEARCH(O82,J82)),"Yes","No"))</f>
        <v/>
      </c>
      <c r="Y82" s="36" t="n">
        <v>0.7</v>
      </c>
      <c r="Z82" s="36" t="inlineStr">
        <is>
          <t>sitemap-services.xml</t>
        </is>
      </c>
      <c r="AA82" s="36" t="inlineStr">
        <is>
          <t>Live – indexable</t>
        </is>
      </c>
      <c r="AB82" s="38" t="n"/>
      <c r="AC82" s="38" t="n"/>
    </row>
    <row r="83" ht="23.85" customHeight="1" s="22">
      <c r="A83" s="36" t="inlineStr">
        <is>
          <t>P0082</t>
        </is>
      </c>
      <c r="B83" s="36" t="inlineStr">
        <is>
          <t>https://instasure.ca/rv-insurance/</t>
        </is>
      </c>
      <c r="C83" s="36" t="inlineStr">
        <is>
          <t>Service page</t>
        </is>
      </c>
      <c r="D83" s="36" t="inlineStr">
        <is>
          <t>Recreational vehicles</t>
        </is>
      </c>
      <c r="E83" s="36" t="inlineStr">
        <is>
          <t>Car Insurance</t>
        </is>
      </c>
      <c r="F83" s="36" t="inlineStr">
        <is>
          <t>RV &amp; Trailer Insurance</t>
        </is>
      </c>
      <c r="G83" s="36" t="n"/>
      <c r="H83" s="36" t="n"/>
      <c r="I83" s="36" t="inlineStr">
        <is>
          <t>Yes</t>
        </is>
      </c>
      <c r="J83" s="25" t="inlineStr">
        <is>
          <t>RV &amp; Trailer Insurance in Canada: Motorhomes and Campers</t>
        </is>
      </c>
      <c r="K83" s="36">
        <f>LEN(J83)</f>
        <v/>
      </c>
      <c r="L83" s="25" t="inlineStr">
        <is>
          <t>Insurance for motorhomes, travel trailers, fifth wheels and campers: what the tow vehicle covers, contents and seasonal-site coverage.</t>
        </is>
      </c>
      <c r="M83" s="36">
        <f>LEN(L83)</f>
        <v/>
      </c>
      <c r="N83" s="25" t="inlineStr">
        <is>
          <t>RV &amp; Trailer Insurance</t>
        </is>
      </c>
      <c r="O83" s="36" t="inlineStr">
        <is>
          <t>rv insurance</t>
        </is>
      </c>
      <c r="P83" s="37" t="n">
        <v>1900</v>
      </c>
      <c r="Q83" s="36" t="inlineStr">
        <is>
          <t>Nationwide</t>
        </is>
      </c>
      <c r="R83" s="36" t="n"/>
      <c r="S83" s="36">
        <f>COUNTIF('Page-Keyword Map'!$A$2:$A$675,B83)</f>
        <v/>
      </c>
      <c r="T83" s="37">
        <f>SUMIF('Page-Keyword Map'!$A$2:$A$675,B83,'Page-Keyword Map'!$H$2:$H$675)</f>
        <v/>
      </c>
      <c r="U83" s="36">
        <f>COUNTIFS('Page-Keyword Map'!$A$2:$A$675,B83,'Page-Keyword Map'!$E$2:$E$675,"Nationwide")</f>
        <v/>
      </c>
      <c r="V83" s="36">
        <f>COUNTIFS('Page-Keyword Map'!$A$2:$A$675,B83,'Page-Keyword Map'!$E$2:$E$675,"Provincial")</f>
        <v/>
      </c>
      <c r="W83" s="36">
        <f>COUNTIFS('Page-Keyword Map'!$A$2:$A$675,B83,'Page-Keyword Map'!$E$2:$E$675,"City")</f>
        <v/>
      </c>
      <c r="X83" s="36">
        <f>IF(O83="","",IF(ISNUMBER(SEARCH(O83,J83)),"Yes","No"))</f>
        <v/>
      </c>
      <c r="Y83" s="36" t="n">
        <v>0.7</v>
      </c>
      <c r="Z83" s="36" t="inlineStr">
        <is>
          <t>sitemap-services.xml</t>
        </is>
      </c>
      <c r="AA83" s="36" t="inlineStr">
        <is>
          <t>Live – indexable</t>
        </is>
      </c>
      <c r="AB83" s="38" t="n"/>
      <c r="AC83" s="38" t="n"/>
    </row>
    <row r="84" ht="23.85" customHeight="1" s="22">
      <c r="A84" s="36" t="inlineStr">
        <is>
          <t>P0083</t>
        </is>
      </c>
      <c r="B84" s="36" t="inlineStr">
        <is>
          <t>https://instasure.ca/tenant-insurance/students/</t>
        </is>
      </c>
      <c r="C84" s="36" t="inlineStr">
        <is>
          <t>Service page</t>
        </is>
      </c>
      <c r="D84" s="36" t="inlineStr">
        <is>
          <t>Tenant insurance</t>
        </is>
      </c>
      <c r="E84" s="36" t="inlineStr">
        <is>
          <t>Tenant Insurance</t>
        </is>
      </c>
      <c r="F84" s="36" t="inlineStr">
        <is>
          <t>Tenant Insurance for Students</t>
        </is>
      </c>
      <c r="G84" s="36" t="n"/>
      <c r="H84" s="36" t="n"/>
      <c r="I84" s="36" t="inlineStr">
        <is>
          <t>Yes</t>
        </is>
      </c>
      <c r="J84" s="25" t="inlineStr">
        <is>
          <t>Tenant Insurance for Students: Residence and Shared Houses</t>
        </is>
      </c>
      <c r="K84" s="36">
        <f>LEN(J84)</f>
        <v/>
      </c>
      <c r="L84" s="25" t="inlineStr">
        <is>
          <t>Insurance for students renting in residence, shared houses or apartments: what a parent's policy covers, roommates, laptops, bikes and landlord rules.</t>
        </is>
      </c>
      <c r="M84" s="36">
        <f>LEN(L84)</f>
        <v/>
      </c>
      <c r="N84" s="25" t="inlineStr">
        <is>
          <t>Tenant Insurance for Students</t>
        </is>
      </c>
      <c r="O84" s="36" t="inlineStr">
        <is>
          <t>tenant insurance for students</t>
        </is>
      </c>
      <c r="P84" s="37" t="n">
        <v>390</v>
      </c>
      <c r="Q84" s="36" t="inlineStr">
        <is>
          <t>Nationwide</t>
        </is>
      </c>
      <c r="R84" s="36" t="n"/>
      <c r="S84" s="36">
        <f>COUNTIF('Page-Keyword Map'!$A$2:$A$675,B84)</f>
        <v/>
      </c>
      <c r="T84" s="37">
        <f>SUMIF('Page-Keyword Map'!$A$2:$A$675,B84,'Page-Keyword Map'!$H$2:$H$675)</f>
        <v/>
      </c>
      <c r="U84" s="36">
        <f>COUNTIFS('Page-Keyword Map'!$A$2:$A$675,B84,'Page-Keyword Map'!$E$2:$E$675,"Nationwide")</f>
        <v/>
      </c>
      <c r="V84" s="36">
        <f>COUNTIFS('Page-Keyword Map'!$A$2:$A$675,B84,'Page-Keyword Map'!$E$2:$E$675,"Provincial")</f>
        <v/>
      </c>
      <c r="W84" s="36">
        <f>COUNTIFS('Page-Keyword Map'!$A$2:$A$675,B84,'Page-Keyword Map'!$E$2:$E$675,"City")</f>
        <v/>
      </c>
      <c r="X84" s="36">
        <f>IF(O84="","",IF(ISNUMBER(SEARCH(O84,J84)),"Yes","No"))</f>
        <v/>
      </c>
      <c r="Y84" s="36" t="n">
        <v>0.7</v>
      </c>
      <c r="Z84" s="36" t="inlineStr">
        <is>
          <t>sitemap-services.xml</t>
        </is>
      </c>
      <c r="AA84" s="36" t="inlineStr">
        <is>
          <t>Live – indexable</t>
        </is>
      </c>
      <c r="AB84" s="38" t="n"/>
      <c r="AC84" s="38" t="n"/>
    </row>
    <row r="85" ht="23.85" customHeight="1" s="22">
      <c r="A85" s="36" t="inlineStr">
        <is>
          <t>P0084</t>
        </is>
      </c>
      <c r="B85" s="36" t="inlineStr">
        <is>
          <t>https://instasure.ca/travel-insurance/international-students/</t>
        </is>
      </c>
      <c r="C85" s="36" t="inlineStr">
        <is>
          <t>Service page</t>
        </is>
      </c>
      <c r="D85" s="36" t="inlineStr">
        <is>
          <t>Travel insurance</t>
        </is>
      </c>
      <c r="E85" s="36" t="inlineStr">
        <is>
          <t>Travel Insurance</t>
        </is>
      </c>
      <c r="F85" s="36" t="inlineStr">
        <is>
          <t>International Student Health Insurance</t>
        </is>
      </c>
      <c r="G85" s="36" t="n"/>
      <c r="H85" s="36" t="n"/>
      <c r="I85" s="36" t="inlineStr">
        <is>
          <t>Yes</t>
        </is>
      </c>
      <c r="J85" s="25" t="inlineStr">
        <is>
          <t>Health Insurance for International Students in Canada</t>
        </is>
      </c>
      <c r="K85" s="36">
        <f>LEN(J85)</f>
        <v/>
      </c>
      <c r="L85" s="25" t="inlineStr">
        <is>
          <t>Health insurance for international students in Canada: provincial coverage rules, school plans such as UHIP, gaps before coverage starts and renters insurance.</t>
        </is>
      </c>
      <c r="M85" s="36">
        <f>LEN(L85)</f>
        <v/>
      </c>
      <c r="N85" s="25" t="inlineStr">
        <is>
          <t>International Student Health Insurance</t>
        </is>
      </c>
      <c r="O85" s="36" t="inlineStr">
        <is>
          <t>international student health insurance canada</t>
        </is>
      </c>
      <c r="P85" s="37" t="n">
        <v>720</v>
      </c>
      <c r="Q85" s="36" t="inlineStr">
        <is>
          <t>Nationwide</t>
        </is>
      </c>
      <c r="R85" s="36" t="n"/>
      <c r="S85" s="36">
        <f>COUNTIF('Page-Keyword Map'!$A$2:$A$675,B85)</f>
        <v/>
      </c>
      <c r="T85" s="37">
        <f>SUMIF('Page-Keyword Map'!$A$2:$A$675,B85,'Page-Keyword Map'!$H$2:$H$675)</f>
        <v/>
      </c>
      <c r="U85" s="36">
        <f>COUNTIFS('Page-Keyword Map'!$A$2:$A$675,B85,'Page-Keyword Map'!$E$2:$E$675,"Nationwide")</f>
        <v/>
      </c>
      <c r="V85" s="36">
        <f>COUNTIFS('Page-Keyword Map'!$A$2:$A$675,B85,'Page-Keyword Map'!$E$2:$E$675,"Provincial")</f>
        <v/>
      </c>
      <c r="W85" s="36">
        <f>COUNTIFS('Page-Keyword Map'!$A$2:$A$675,B85,'Page-Keyword Map'!$E$2:$E$675,"City")</f>
        <v/>
      </c>
      <c r="X85" s="36">
        <f>IF(O85="","",IF(ISNUMBER(SEARCH(O85,J85)),"Yes","No"))</f>
        <v/>
      </c>
      <c r="Y85" s="36" t="n">
        <v>0.7</v>
      </c>
      <c r="Z85" s="36" t="inlineStr">
        <is>
          <t>sitemap-services.xml</t>
        </is>
      </c>
      <c r="AA85" s="36" t="inlineStr">
        <is>
          <t>Live – indexable</t>
        </is>
      </c>
      <c r="AB85" s="38" t="n"/>
      <c r="AC85" s="38" t="n"/>
    </row>
    <row r="86" ht="23.85" customHeight="1" s="22">
      <c r="A86" s="36" t="inlineStr">
        <is>
          <t>P0085</t>
        </is>
      </c>
      <c r="B86" s="36" t="inlineStr">
        <is>
          <t>https://instasure.ca/travel-insurance/snowbirds/</t>
        </is>
      </c>
      <c r="C86" s="36" t="inlineStr">
        <is>
          <t>Service page</t>
        </is>
      </c>
      <c r="D86" s="36" t="inlineStr">
        <is>
          <t>Travel insurance</t>
        </is>
      </c>
      <c r="E86" s="36" t="inlineStr">
        <is>
          <t>Travel Insurance</t>
        </is>
      </c>
      <c r="F86" s="36" t="inlineStr">
        <is>
          <t>Snowbird Travel Insurance</t>
        </is>
      </c>
      <c r="G86" s="36" t="n"/>
      <c r="H86" s="36" t="n"/>
      <c r="I86" s="36" t="inlineStr">
        <is>
          <t>Yes</t>
        </is>
      </c>
      <c r="J86" s="25" t="inlineStr">
        <is>
          <t>Snowbird Travel Insurance: Long Stays and Stability Periods</t>
        </is>
      </c>
      <c r="K86" s="36">
        <f>LEN(J86)</f>
        <v/>
      </c>
      <c r="L86" s="25" t="inlineStr">
        <is>
          <t>Travel medical insurance for Canadian snowbirds: long-stay coverage, medical questionnaires, stability periods, provincial time-away rules and top-ups.</t>
        </is>
      </c>
      <c r="M86" s="36">
        <f>LEN(L86)</f>
        <v/>
      </c>
      <c r="N86" s="25" t="inlineStr">
        <is>
          <t>Snowbird Travel Insurance</t>
        </is>
      </c>
      <c r="O86" s="36" t="inlineStr">
        <is>
          <t>snowbird travel insurance</t>
        </is>
      </c>
      <c r="P86" s="37" t="n">
        <v>1300</v>
      </c>
      <c r="Q86" s="36" t="inlineStr">
        <is>
          <t>Nationwide</t>
        </is>
      </c>
      <c r="R86" s="36" t="n"/>
      <c r="S86" s="36">
        <f>COUNTIF('Page-Keyword Map'!$A$2:$A$675,B86)</f>
        <v/>
      </c>
      <c r="T86" s="37">
        <f>SUMIF('Page-Keyword Map'!$A$2:$A$675,B86,'Page-Keyword Map'!$H$2:$H$675)</f>
        <v/>
      </c>
      <c r="U86" s="36">
        <f>COUNTIFS('Page-Keyword Map'!$A$2:$A$675,B86,'Page-Keyword Map'!$E$2:$E$675,"Nationwide")</f>
        <v/>
      </c>
      <c r="V86" s="36">
        <f>COUNTIFS('Page-Keyword Map'!$A$2:$A$675,B86,'Page-Keyword Map'!$E$2:$E$675,"Provincial")</f>
        <v/>
      </c>
      <c r="W86" s="36">
        <f>COUNTIFS('Page-Keyword Map'!$A$2:$A$675,B86,'Page-Keyword Map'!$E$2:$E$675,"City")</f>
        <v/>
      </c>
      <c r="X86" s="36">
        <f>IF(O86="","",IF(ISNUMBER(SEARCH(O86,J86)),"Yes","No"))</f>
        <v/>
      </c>
      <c r="Y86" s="36" t="n">
        <v>0.8</v>
      </c>
      <c r="Z86" s="36" t="inlineStr">
        <is>
          <t>sitemap-services.xml</t>
        </is>
      </c>
      <c r="AA86" s="36" t="inlineStr">
        <is>
          <t>Live – indexable</t>
        </is>
      </c>
      <c r="AB86" s="38" t="n"/>
      <c r="AC86" s="38" t="n"/>
    </row>
    <row r="87" ht="23.85" customHeight="1" s="22">
      <c r="A87" s="36" t="inlineStr">
        <is>
          <t>P0086</t>
        </is>
      </c>
      <c r="B87" s="36" t="inlineStr">
        <is>
          <t>https://instasure.ca/travel-insurance/visitors-to-canada/</t>
        </is>
      </c>
      <c r="C87" s="36" t="inlineStr">
        <is>
          <t>Service page</t>
        </is>
      </c>
      <c r="D87" s="36" t="inlineStr">
        <is>
          <t>Super Visa &amp; visitors insurance</t>
        </is>
      </c>
      <c r="E87" s="36" t="inlineStr">
        <is>
          <t>Super Visa Insurance</t>
        </is>
      </c>
      <c r="F87" s="36" t="inlineStr">
        <is>
          <t>Visitors to Canada Insurance</t>
        </is>
      </c>
      <c r="G87" s="36" t="n"/>
      <c r="H87" s="36" t="n"/>
      <c r="I87" s="36" t="inlineStr">
        <is>
          <t>Yes</t>
        </is>
      </c>
      <c r="J87" s="25" t="inlineStr">
        <is>
          <t>Visitors to Canada Insurance: Emergency Medical for Guests</t>
        </is>
      </c>
      <c r="K87" s="36">
        <f>LEN(J87)</f>
        <v/>
      </c>
      <c r="L87" s="25" t="inlineStr">
        <is>
          <t>Emergency medical insurance for visitors to Canada: who needs it, how it differs from Super Visa insurance, pre-existing conditions and deductibles.</t>
        </is>
      </c>
      <c r="M87" s="36">
        <f>LEN(L87)</f>
        <v/>
      </c>
      <c r="N87" s="25" t="inlineStr">
        <is>
          <t>Visitors to Canada Insurance</t>
        </is>
      </c>
      <c r="O87" s="36" t="inlineStr">
        <is>
          <t>visitors insurance canada</t>
        </is>
      </c>
      <c r="P87" s="37" t="n">
        <v>4400</v>
      </c>
      <c r="Q87" s="36" t="inlineStr">
        <is>
          <t>Nationwide</t>
        </is>
      </c>
      <c r="R87" s="36" t="n"/>
      <c r="S87" s="36">
        <f>COUNTIF('Page-Keyword Map'!$A$2:$A$675,B87)</f>
        <v/>
      </c>
      <c r="T87" s="37">
        <f>SUMIF('Page-Keyword Map'!$A$2:$A$675,B87,'Page-Keyword Map'!$H$2:$H$675)</f>
        <v/>
      </c>
      <c r="U87" s="36">
        <f>COUNTIFS('Page-Keyword Map'!$A$2:$A$675,B87,'Page-Keyword Map'!$E$2:$E$675,"Nationwide")</f>
        <v/>
      </c>
      <c r="V87" s="36">
        <f>COUNTIFS('Page-Keyword Map'!$A$2:$A$675,B87,'Page-Keyword Map'!$E$2:$E$675,"Provincial")</f>
        <v/>
      </c>
      <c r="W87" s="36">
        <f>COUNTIFS('Page-Keyword Map'!$A$2:$A$675,B87,'Page-Keyword Map'!$E$2:$E$675,"City")</f>
        <v/>
      </c>
      <c r="X87" s="36">
        <f>IF(O87="","",IF(ISNUMBER(SEARCH(O87,J87)),"Yes","No"))</f>
        <v/>
      </c>
      <c r="Y87" s="36" t="n">
        <v>0.7</v>
      </c>
      <c r="Z87" s="36" t="inlineStr">
        <is>
          <t>sitemap-services.xml</t>
        </is>
      </c>
      <c r="AA87" s="36" t="inlineStr">
        <is>
          <t>Live – indexable</t>
        </is>
      </c>
      <c r="AB87" s="38" t="n"/>
      <c r="AC87" s="38" t="n"/>
    </row>
    <row r="88" ht="23.85" customHeight="1" s="22">
      <c r="A88" s="36" t="inlineStr">
        <is>
          <t>P0087</t>
        </is>
      </c>
      <c r="B88" s="36" t="inlineStr">
        <is>
          <t>https://instasure.ca/umbrella-insurance/</t>
        </is>
      </c>
      <c r="C88" s="36" t="inlineStr">
        <is>
          <t>Service page</t>
        </is>
      </c>
      <c r="D88" s="36" t="inlineStr">
        <is>
          <t>Home insurance</t>
        </is>
      </c>
      <c r="E88" s="36" t="inlineStr">
        <is>
          <t>Home Insurance</t>
        </is>
      </c>
      <c r="F88" s="36" t="inlineStr">
        <is>
          <t>Umbrella Liability Insurance</t>
        </is>
      </c>
      <c r="G88" s="36" t="n"/>
      <c r="H88" s="36" t="n"/>
      <c r="I88" s="36" t="inlineStr">
        <is>
          <t>Yes</t>
        </is>
      </c>
      <c r="J88" s="25" t="inlineStr">
        <is>
          <t>Umbrella Liability Insurance in Canada | Instasure.ca</t>
        </is>
      </c>
      <c r="K88" s="36">
        <f>LEN(J88)</f>
        <v/>
      </c>
      <c r="L88" s="25" t="inlineStr">
        <is>
          <t>Personal umbrella insurance in Canada: extra liability above your home, auto and boat policies, who needs it, required underlying limits and amounts.</t>
        </is>
      </c>
      <c r="M88" s="36">
        <f>LEN(L88)</f>
        <v/>
      </c>
      <c r="N88" s="25" t="inlineStr">
        <is>
          <t>Umbrella Liability Insurance</t>
        </is>
      </c>
      <c r="O88" s="36" t="inlineStr">
        <is>
          <t>umbrella insurance</t>
        </is>
      </c>
      <c r="P88" s="37" t="n">
        <v>1300</v>
      </c>
      <c r="Q88" s="36" t="inlineStr">
        <is>
          <t>Nationwide</t>
        </is>
      </c>
      <c r="R88" s="36" t="n"/>
      <c r="S88" s="36">
        <f>COUNTIF('Page-Keyword Map'!$A$2:$A$675,B88)</f>
        <v/>
      </c>
      <c r="T88" s="37">
        <f>SUMIF('Page-Keyword Map'!$A$2:$A$675,B88,'Page-Keyword Map'!$H$2:$H$675)</f>
        <v/>
      </c>
      <c r="U88" s="36">
        <f>COUNTIFS('Page-Keyword Map'!$A$2:$A$675,B88,'Page-Keyword Map'!$E$2:$E$675,"Nationwide")</f>
        <v/>
      </c>
      <c r="V88" s="36">
        <f>COUNTIFS('Page-Keyword Map'!$A$2:$A$675,B88,'Page-Keyword Map'!$E$2:$E$675,"Provincial")</f>
        <v/>
      </c>
      <c r="W88" s="36">
        <f>COUNTIFS('Page-Keyword Map'!$A$2:$A$675,B88,'Page-Keyword Map'!$E$2:$E$675,"City")</f>
        <v/>
      </c>
      <c r="X88" s="36">
        <f>IF(O88="","",IF(ISNUMBER(SEARCH(O88,J88)),"Yes","No"))</f>
        <v/>
      </c>
      <c r="Y88" s="36" t="n">
        <v>0.7</v>
      </c>
      <c r="Z88" s="36" t="inlineStr">
        <is>
          <t>sitemap-services.xml</t>
        </is>
      </c>
      <c r="AA88" s="36" t="inlineStr">
        <is>
          <t>Live – indexable</t>
        </is>
      </c>
      <c r="AB88" s="38" t="n"/>
      <c r="AC88" s="38" t="n"/>
    </row>
    <row r="89" ht="23.85" customHeight="1" s="22">
      <c r="A89" s="36" t="inlineStr">
        <is>
          <t>P0088</t>
        </is>
      </c>
      <c r="B89" s="36" t="inlineStr">
        <is>
          <t>https://instasure.ca/business-insurance/alberta/</t>
        </is>
      </c>
      <c r="C89" s="36" t="inlineStr">
        <is>
          <t>Product × province</t>
        </is>
      </c>
      <c r="D89" s="36" t="inlineStr">
        <is>
          <t>Business insurance</t>
        </is>
      </c>
      <c r="E89" s="36" t="inlineStr">
        <is>
          <t>Business Insurance</t>
        </is>
      </c>
      <c r="F89" s="36" t="n"/>
      <c r="G89" s="36" t="inlineStr">
        <is>
          <t>Alberta</t>
        </is>
      </c>
      <c r="H89" s="36" t="n"/>
      <c r="I89" s="36" t="inlineStr">
        <is>
          <t>Yes</t>
        </is>
      </c>
      <c r="J89" s="25" t="inlineStr">
        <is>
          <t>Business Insurance in Alberta: Costs, Rules &amp; Quotes (2026)</t>
        </is>
      </c>
      <c r="K89" s="36">
        <f>LEN(J89)</f>
        <v/>
      </c>
      <c r="L89" s="25" t="inlineStr">
        <is>
          <t>Business Insurance in Alberta: how it works under the Superintendent of Insurance, what drives price, instant estimates and advisors licensed in Alberta.</t>
        </is>
      </c>
      <c r="M89" s="36">
        <f>LEN(L89)</f>
        <v/>
      </c>
      <c r="N89" s="25" t="inlineStr">
        <is>
          <t>Business Insurance in Alberta</t>
        </is>
      </c>
      <c r="O89" s="36" t="inlineStr">
        <is>
          <t>business insurance alberta</t>
        </is>
      </c>
      <c r="P89" s="37" t="n">
        <v>370</v>
      </c>
      <c r="Q89" s="36" t="inlineStr">
        <is>
          <t>Provincial</t>
        </is>
      </c>
      <c r="R89" s="36" t="n"/>
      <c r="S89" s="36">
        <f>COUNTIF('Page-Keyword Map'!$A$2:$A$675,B89)</f>
        <v/>
      </c>
      <c r="T89" s="37">
        <f>SUMIF('Page-Keyword Map'!$A$2:$A$675,B89,'Page-Keyword Map'!$H$2:$H$675)</f>
        <v/>
      </c>
      <c r="U89" s="36">
        <f>COUNTIFS('Page-Keyword Map'!$A$2:$A$675,B89,'Page-Keyword Map'!$E$2:$E$675,"Nationwide")</f>
        <v/>
      </c>
      <c r="V89" s="36">
        <f>COUNTIFS('Page-Keyword Map'!$A$2:$A$675,B89,'Page-Keyword Map'!$E$2:$E$675,"Provincial")</f>
        <v/>
      </c>
      <c r="W89" s="36">
        <f>COUNTIFS('Page-Keyword Map'!$A$2:$A$675,B89,'Page-Keyword Map'!$E$2:$E$675,"City")</f>
        <v/>
      </c>
      <c r="X89" s="36">
        <f>IF(O89="","",IF(ISNUMBER(SEARCH(O89,J89)),"Yes","No"))</f>
        <v/>
      </c>
      <c r="Y89" s="36" t="n">
        <v>0.7</v>
      </c>
      <c r="Z89" s="36" t="inlineStr">
        <is>
          <t>sitemap-provinces.xml</t>
        </is>
      </c>
      <c r="AA89" s="36" t="inlineStr">
        <is>
          <t>Live – indexable</t>
        </is>
      </c>
      <c r="AB89" s="38" t="n"/>
      <c r="AC89" s="38" t="n"/>
    </row>
    <row r="90" ht="23.85" customHeight="1" s="22">
      <c r="A90" s="36" t="inlineStr">
        <is>
          <t>P0089</t>
        </is>
      </c>
      <c r="B90" s="36" t="inlineStr">
        <is>
          <t>https://instasure.ca/business-insurance/british-columbia/</t>
        </is>
      </c>
      <c r="C90" s="36" t="inlineStr">
        <is>
          <t>Product × province</t>
        </is>
      </c>
      <c r="D90" s="36" t="inlineStr">
        <is>
          <t>Business insurance</t>
        </is>
      </c>
      <c r="E90" s="36" t="inlineStr">
        <is>
          <t>Business Insurance</t>
        </is>
      </c>
      <c r="F90" s="36" t="n"/>
      <c r="G90" s="36" t="inlineStr">
        <is>
          <t>British Columbia</t>
        </is>
      </c>
      <c r="H90" s="36" t="n"/>
      <c r="I90" s="36" t="inlineStr">
        <is>
          <t>Yes</t>
        </is>
      </c>
      <c r="J90" s="25" t="inlineStr">
        <is>
          <t>Business Insurance in British Columbia: Costs, Rules &amp; Quotes (2026)</t>
        </is>
      </c>
      <c r="K90" s="36">
        <f>LEN(J90)</f>
        <v/>
      </c>
      <c r="L90" s="25" t="inlineStr">
        <is>
          <t>Business Insurance in British Columbia: how it works under BCFSA, what drives price, instant estimates and advisors licensed in British Columbia.</t>
        </is>
      </c>
      <c r="M90" s="36">
        <f>LEN(L90)</f>
        <v/>
      </c>
      <c r="N90" s="25" t="inlineStr">
        <is>
          <t>Business Insurance in British Columbia</t>
        </is>
      </c>
      <c r="O90" s="36" t="inlineStr">
        <is>
          <t>business insurance bc</t>
        </is>
      </c>
      <c r="P90" s="37" t="n">
        <v>430</v>
      </c>
      <c r="Q90" s="36" t="inlineStr">
        <is>
          <t>Provincial</t>
        </is>
      </c>
      <c r="R90" s="36" t="n"/>
      <c r="S90" s="36">
        <f>COUNTIF('Page-Keyword Map'!$A$2:$A$675,B90)</f>
        <v/>
      </c>
      <c r="T90" s="37">
        <f>SUMIF('Page-Keyword Map'!$A$2:$A$675,B90,'Page-Keyword Map'!$H$2:$H$675)</f>
        <v/>
      </c>
      <c r="U90" s="36">
        <f>COUNTIFS('Page-Keyword Map'!$A$2:$A$675,B90,'Page-Keyword Map'!$E$2:$E$675,"Nationwide")</f>
        <v/>
      </c>
      <c r="V90" s="36">
        <f>COUNTIFS('Page-Keyword Map'!$A$2:$A$675,B90,'Page-Keyword Map'!$E$2:$E$675,"Provincial")</f>
        <v/>
      </c>
      <c r="W90" s="36">
        <f>COUNTIFS('Page-Keyword Map'!$A$2:$A$675,B90,'Page-Keyword Map'!$E$2:$E$675,"City")</f>
        <v/>
      </c>
      <c r="X90" s="36">
        <f>IF(O90="","",IF(ISNUMBER(SEARCH(O90,J90)),"Yes","No"))</f>
        <v/>
      </c>
      <c r="Y90" s="36" t="n">
        <v>0.7</v>
      </c>
      <c r="Z90" s="36" t="inlineStr">
        <is>
          <t>sitemap-provinces.xml</t>
        </is>
      </c>
      <c r="AA90" s="36" t="inlineStr">
        <is>
          <t>Live – indexable</t>
        </is>
      </c>
      <c r="AB90" s="38" t="n"/>
      <c r="AC90" s="38" t="n"/>
    </row>
    <row r="91" ht="23.85" customHeight="1" s="22">
      <c r="A91" s="36" t="inlineStr">
        <is>
          <t>P0090</t>
        </is>
      </c>
      <c r="B91" s="36" t="inlineStr">
        <is>
          <t>https://instasure.ca/business-insurance/manitoba/</t>
        </is>
      </c>
      <c r="C91" s="36" t="inlineStr">
        <is>
          <t>Product × province</t>
        </is>
      </c>
      <c r="D91" s="36" t="inlineStr">
        <is>
          <t>Business insurance</t>
        </is>
      </c>
      <c r="E91" s="36" t="inlineStr">
        <is>
          <t>Business Insurance</t>
        </is>
      </c>
      <c r="F91" s="36" t="n"/>
      <c r="G91" s="36" t="inlineStr">
        <is>
          <t>Manitoba</t>
        </is>
      </c>
      <c r="H91" s="36" t="n"/>
      <c r="I91" s="36" t="inlineStr">
        <is>
          <t>Yes</t>
        </is>
      </c>
      <c r="J91" s="25" t="inlineStr">
        <is>
          <t>Business Insurance in Manitoba: Costs, Rules &amp; Quotes (2026)</t>
        </is>
      </c>
      <c r="K91" s="36">
        <f>LEN(J91)</f>
        <v/>
      </c>
      <c r="L91" s="25" t="inlineStr">
        <is>
          <t>Business Insurance in Manitoba: how it works under FIRB, what drives price, instant estimates and advisors licensed in Manitoba.</t>
        </is>
      </c>
      <c r="M91" s="36">
        <f>LEN(L91)</f>
        <v/>
      </c>
      <c r="N91" s="25" t="inlineStr">
        <is>
          <t>Business Insurance in Manitoba</t>
        </is>
      </c>
      <c r="O91" s="36" t="inlineStr">
        <is>
          <t>business insurance manitoba</t>
        </is>
      </c>
      <c r="P91" s="37" t="n">
        <v>130</v>
      </c>
      <c r="Q91" s="36" t="inlineStr">
        <is>
          <t>Provincial</t>
        </is>
      </c>
      <c r="R91" s="36" t="n"/>
      <c r="S91" s="36">
        <f>COUNTIF('Page-Keyword Map'!$A$2:$A$675,B91)</f>
        <v/>
      </c>
      <c r="T91" s="37">
        <f>SUMIF('Page-Keyword Map'!$A$2:$A$675,B91,'Page-Keyword Map'!$H$2:$H$675)</f>
        <v/>
      </c>
      <c r="U91" s="36">
        <f>COUNTIFS('Page-Keyword Map'!$A$2:$A$675,B91,'Page-Keyword Map'!$E$2:$E$675,"Nationwide")</f>
        <v/>
      </c>
      <c r="V91" s="36">
        <f>COUNTIFS('Page-Keyword Map'!$A$2:$A$675,B91,'Page-Keyword Map'!$E$2:$E$675,"Provincial")</f>
        <v/>
      </c>
      <c r="W91" s="36">
        <f>COUNTIFS('Page-Keyword Map'!$A$2:$A$675,B91,'Page-Keyword Map'!$E$2:$E$675,"City")</f>
        <v/>
      </c>
      <c r="X91" s="36">
        <f>IF(O91="","",IF(ISNUMBER(SEARCH(O91,J91)),"Yes","No"))</f>
        <v/>
      </c>
      <c r="Y91" s="36" t="n">
        <v>0.7</v>
      </c>
      <c r="Z91" s="36" t="inlineStr">
        <is>
          <t>sitemap-provinces.xml</t>
        </is>
      </c>
      <c r="AA91" s="36" t="inlineStr">
        <is>
          <t>Live – indexable</t>
        </is>
      </c>
      <c r="AB91" s="38" t="n"/>
      <c r="AC91" s="38" t="n"/>
    </row>
    <row r="92" ht="23.85" customHeight="1" s="22">
      <c r="A92" s="36" t="inlineStr">
        <is>
          <t>P0091</t>
        </is>
      </c>
      <c r="B92" s="36" t="inlineStr">
        <is>
          <t>https://instasure.ca/business-insurance/new-brunswick/</t>
        </is>
      </c>
      <c r="C92" s="36" t="inlineStr">
        <is>
          <t>Product × province</t>
        </is>
      </c>
      <c r="D92" s="36" t="inlineStr">
        <is>
          <t>Business insurance</t>
        </is>
      </c>
      <c r="E92" s="36" t="inlineStr">
        <is>
          <t>Business Insurance</t>
        </is>
      </c>
      <c r="F92" s="36" t="n"/>
      <c r="G92" s="36" t="inlineStr">
        <is>
          <t>New Brunswick</t>
        </is>
      </c>
      <c r="H92" s="36" t="n"/>
      <c r="I92" s="36" t="inlineStr">
        <is>
          <t>Yes</t>
        </is>
      </c>
      <c r="J92" s="25" t="inlineStr">
        <is>
          <t>Business Insurance in New Brunswick: Costs, Rules &amp; Quotes (2026)</t>
        </is>
      </c>
      <c r="K92" s="36">
        <f>LEN(J92)</f>
        <v/>
      </c>
      <c r="L92" s="25" t="inlineStr">
        <is>
          <t>Business Insurance in New Brunswick: how it works under FCNB, what drives price, instant estimates and advisors licensed in New Brunswick.</t>
        </is>
      </c>
      <c r="M92" s="36">
        <f>LEN(L92)</f>
        <v/>
      </c>
      <c r="N92" s="25" t="inlineStr">
        <is>
          <t>Business Insurance in New Brunswick</t>
        </is>
      </c>
      <c r="O92" s="36" t="inlineStr">
        <is>
          <t>business insurance new brunswick</t>
        </is>
      </c>
      <c r="P92" s="37" t="n">
        <v>80</v>
      </c>
      <c r="Q92" s="36" t="inlineStr">
        <is>
          <t>Provincial</t>
        </is>
      </c>
      <c r="R92" s="36" t="n"/>
      <c r="S92" s="36">
        <f>COUNTIF('Page-Keyword Map'!$A$2:$A$675,B92)</f>
        <v/>
      </c>
      <c r="T92" s="37">
        <f>SUMIF('Page-Keyword Map'!$A$2:$A$675,B92,'Page-Keyword Map'!$H$2:$H$675)</f>
        <v/>
      </c>
      <c r="U92" s="36">
        <f>COUNTIFS('Page-Keyword Map'!$A$2:$A$675,B92,'Page-Keyword Map'!$E$2:$E$675,"Nationwide")</f>
        <v/>
      </c>
      <c r="V92" s="36">
        <f>COUNTIFS('Page-Keyword Map'!$A$2:$A$675,B92,'Page-Keyword Map'!$E$2:$E$675,"Provincial")</f>
        <v/>
      </c>
      <c r="W92" s="36">
        <f>COUNTIFS('Page-Keyword Map'!$A$2:$A$675,B92,'Page-Keyword Map'!$E$2:$E$675,"City")</f>
        <v/>
      </c>
      <c r="X92" s="36">
        <f>IF(O92="","",IF(ISNUMBER(SEARCH(O92,J92)),"Yes","No"))</f>
        <v/>
      </c>
      <c r="Y92" s="36" t="n">
        <v>0.7</v>
      </c>
      <c r="Z92" s="36" t="inlineStr">
        <is>
          <t>sitemap-provinces.xml</t>
        </is>
      </c>
      <c r="AA92" s="36" t="inlineStr">
        <is>
          <t>Live – indexable</t>
        </is>
      </c>
      <c r="AB92" s="38" t="n"/>
      <c r="AC92" s="38" t="n"/>
    </row>
    <row r="93" ht="23.85" customHeight="1" s="22">
      <c r="A93" s="36" t="inlineStr">
        <is>
          <t>P0092</t>
        </is>
      </c>
      <c r="B93" s="36" t="inlineStr">
        <is>
          <t>https://instasure.ca/business-insurance/newfoundland-and-labrador/</t>
        </is>
      </c>
      <c r="C93" s="36" t="inlineStr">
        <is>
          <t>Product × province</t>
        </is>
      </c>
      <c r="D93" s="36" t="inlineStr">
        <is>
          <t>Business insurance</t>
        </is>
      </c>
      <c r="E93" s="36" t="inlineStr">
        <is>
          <t>Business Insurance</t>
        </is>
      </c>
      <c r="F93" s="36" t="n"/>
      <c r="G93" s="36" t="inlineStr">
        <is>
          <t>Newfoundland and Labrador</t>
        </is>
      </c>
      <c r="H93" s="36" t="n"/>
      <c r="I93" s="36" t="inlineStr">
        <is>
          <t>Yes</t>
        </is>
      </c>
      <c r="J93" s="25" t="inlineStr">
        <is>
          <t>Business Insurance in Newfoundland and Labrador: Costs, Rules &amp; Quotes (2026)</t>
        </is>
      </c>
      <c r="K93" s="36">
        <f>LEN(J93)</f>
        <v/>
      </c>
      <c r="L93" s="25" t="inlineStr">
        <is>
          <t>Business Insurance in Newfoundland and Labrador: how it works under Service NL, what drives price, instant estimates and advisors licensed in Newfoundland and…</t>
        </is>
      </c>
      <c r="M93" s="36">
        <f>LEN(L93)</f>
        <v/>
      </c>
      <c r="N93" s="25" t="inlineStr">
        <is>
          <t>Business Insurance in Newfoundland and Labrador</t>
        </is>
      </c>
      <c r="O93" s="36" t="inlineStr">
        <is>
          <t>business insurance newfoundland</t>
        </is>
      </c>
      <c r="P93" s="37" t="n">
        <v>55</v>
      </c>
      <c r="Q93" s="36" t="inlineStr">
        <is>
          <t>Provincial</t>
        </is>
      </c>
      <c r="R93" s="36" t="n"/>
      <c r="S93" s="36">
        <f>COUNTIF('Page-Keyword Map'!$A$2:$A$675,B93)</f>
        <v/>
      </c>
      <c r="T93" s="37">
        <f>SUMIF('Page-Keyword Map'!$A$2:$A$675,B93,'Page-Keyword Map'!$H$2:$H$675)</f>
        <v/>
      </c>
      <c r="U93" s="36">
        <f>COUNTIFS('Page-Keyword Map'!$A$2:$A$675,B93,'Page-Keyword Map'!$E$2:$E$675,"Nationwide")</f>
        <v/>
      </c>
      <c r="V93" s="36">
        <f>COUNTIFS('Page-Keyword Map'!$A$2:$A$675,B93,'Page-Keyword Map'!$E$2:$E$675,"Provincial")</f>
        <v/>
      </c>
      <c r="W93" s="36">
        <f>COUNTIFS('Page-Keyword Map'!$A$2:$A$675,B93,'Page-Keyword Map'!$E$2:$E$675,"City")</f>
        <v/>
      </c>
      <c r="X93" s="36">
        <f>IF(O93="","",IF(ISNUMBER(SEARCH(O93,J93)),"Yes","No"))</f>
        <v/>
      </c>
      <c r="Y93" s="36" t="n">
        <v>0.7</v>
      </c>
      <c r="Z93" s="36" t="inlineStr">
        <is>
          <t>sitemap-provinces.xml</t>
        </is>
      </c>
      <c r="AA93" s="36" t="inlineStr">
        <is>
          <t>Live – indexable</t>
        </is>
      </c>
      <c r="AB93" s="38" t="n"/>
      <c r="AC93" s="38" t="n"/>
    </row>
    <row r="94" ht="23.85" customHeight="1" s="22">
      <c r="A94" s="36" t="inlineStr">
        <is>
          <t>P0093</t>
        </is>
      </c>
      <c r="B94" s="36" t="inlineStr">
        <is>
          <t>https://instasure.ca/business-insurance/northwest-territories/</t>
        </is>
      </c>
      <c r="C94" s="36" t="inlineStr">
        <is>
          <t>Product × province</t>
        </is>
      </c>
      <c r="D94" s="36" t="inlineStr">
        <is>
          <t>Business insurance</t>
        </is>
      </c>
      <c r="E94" s="36" t="inlineStr">
        <is>
          <t>Business Insurance</t>
        </is>
      </c>
      <c r="F94" s="36" t="n"/>
      <c r="G94" s="36" t="inlineStr">
        <is>
          <t>Northwest Territories</t>
        </is>
      </c>
      <c r="H94" s="36" t="n"/>
      <c r="I94" s="36" t="inlineStr">
        <is>
          <t>Yes</t>
        </is>
      </c>
      <c r="J94" s="25" t="inlineStr">
        <is>
          <t>Business Insurance in Northwest Territories: Costs, Rules &amp; Quotes (2026)</t>
        </is>
      </c>
      <c r="K94" s="36">
        <f>LEN(J94)</f>
        <v/>
      </c>
      <c r="L94" s="25" t="inlineStr">
        <is>
          <t>Business Insurance in Northwest Territories: how it works under the NWT Superintendent, what drives price, instant estimates and a waitlist for licensed advice in…</t>
        </is>
      </c>
      <c r="M94" s="36">
        <f>LEN(L94)</f>
        <v/>
      </c>
      <c r="N94" s="25" t="inlineStr">
        <is>
          <t>Business Insurance in Northwest Territories</t>
        </is>
      </c>
      <c r="O94" s="36" t="n"/>
      <c r="P94" s="37" t="n"/>
      <c r="Q94" s="36" t="n"/>
      <c r="R94" s="36" t="inlineStr">
        <is>
          <t>business insurance northwest territories</t>
        </is>
      </c>
      <c r="S94" s="36">
        <f>COUNTIF('Page-Keyword Map'!$A$2:$A$675,B94)</f>
        <v/>
      </c>
      <c r="T94" s="37">
        <f>SUMIF('Page-Keyword Map'!$A$2:$A$675,B94,'Page-Keyword Map'!$H$2:$H$675)</f>
        <v/>
      </c>
      <c r="U94" s="36">
        <f>COUNTIFS('Page-Keyword Map'!$A$2:$A$675,B94,'Page-Keyword Map'!$E$2:$E$675,"Nationwide")</f>
        <v/>
      </c>
      <c r="V94" s="36">
        <f>COUNTIFS('Page-Keyword Map'!$A$2:$A$675,B94,'Page-Keyword Map'!$E$2:$E$675,"Provincial")</f>
        <v/>
      </c>
      <c r="W94" s="36">
        <f>COUNTIFS('Page-Keyword Map'!$A$2:$A$675,B94,'Page-Keyword Map'!$E$2:$E$675,"City")</f>
        <v/>
      </c>
      <c r="X94" s="36">
        <f>IF(O94="","",IF(ISNUMBER(SEARCH(O94,J94)),"Yes","No"))</f>
        <v/>
      </c>
      <c r="Y94" s="36" t="n">
        <v>0.7</v>
      </c>
      <c r="Z94" s="36" t="inlineStr">
        <is>
          <t>sitemap-provinces.xml</t>
        </is>
      </c>
      <c r="AA94" s="36" t="inlineStr">
        <is>
          <t>Live – indexable</t>
        </is>
      </c>
      <c r="AB94" s="38" t="n"/>
      <c r="AC94" s="38" t="n"/>
    </row>
    <row r="95" ht="23.85" customHeight="1" s="22">
      <c r="A95" s="36" t="inlineStr">
        <is>
          <t>P0094</t>
        </is>
      </c>
      <c r="B95" s="36" t="inlineStr">
        <is>
          <t>https://instasure.ca/business-insurance/nova-scotia/</t>
        </is>
      </c>
      <c r="C95" s="36" t="inlineStr">
        <is>
          <t>Product × province</t>
        </is>
      </c>
      <c r="D95" s="36" t="inlineStr">
        <is>
          <t>Business insurance</t>
        </is>
      </c>
      <c r="E95" s="36" t="inlineStr">
        <is>
          <t>Business Insurance</t>
        </is>
      </c>
      <c r="F95" s="36" t="n"/>
      <c r="G95" s="36" t="inlineStr">
        <is>
          <t>Nova Scotia</t>
        </is>
      </c>
      <c r="H95" s="36" t="n"/>
      <c r="I95" s="36" t="inlineStr">
        <is>
          <t>Yes</t>
        </is>
      </c>
      <c r="J95" s="25" t="inlineStr">
        <is>
          <t>Business Insurance in Nova Scotia: Costs, Rules &amp; Quotes (2026)</t>
        </is>
      </c>
      <c r="K95" s="36">
        <f>LEN(J95)</f>
        <v/>
      </c>
      <c r="L95" s="25" t="inlineStr">
        <is>
          <t>Business Insurance in Nova Scotia: how it works under the NS Superintendent of Insurance, what drives price, instant estimates and advisors licensed in Nova Scotia.</t>
        </is>
      </c>
      <c r="M95" s="36">
        <f>LEN(L95)</f>
        <v/>
      </c>
      <c r="N95" s="25" t="inlineStr">
        <is>
          <t>Business Insurance in Nova Scotia</t>
        </is>
      </c>
      <c r="O95" s="36" t="inlineStr">
        <is>
          <t>business insurance nova scotia</t>
        </is>
      </c>
      <c r="P95" s="37" t="n">
        <v>97</v>
      </c>
      <c r="Q95" s="36" t="inlineStr">
        <is>
          <t>Provincial</t>
        </is>
      </c>
      <c r="R95" s="36" t="n"/>
      <c r="S95" s="36">
        <f>COUNTIF('Page-Keyword Map'!$A$2:$A$675,B95)</f>
        <v/>
      </c>
      <c r="T95" s="37">
        <f>SUMIF('Page-Keyword Map'!$A$2:$A$675,B95,'Page-Keyword Map'!$H$2:$H$675)</f>
        <v/>
      </c>
      <c r="U95" s="36">
        <f>COUNTIFS('Page-Keyword Map'!$A$2:$A$675,B95,'Page-Keyword Map'!$E$2:$E$675,"Nationwide")</f>
        <v/>
      </c>
      <c r="V95" s="36">
        <f>COUNTIFS('Page-Keyword Map'!$A$2:$A$675,B95,'Page-Keyword Map'!$E$2:$E$675,"Provincial")</f>
        <v/>
      </c>
      <c r="W95" s="36">
        <f>COUNTIFS('Page-Keyword Map'!$A$2:$A$675,B95,'Page-Keyword Map'!$E$2:$E$675,"City")</f>
        <v/>
      </c>
      <c r="X95" s="36">
        <f>IF(O95="","",IF(ISNUMBER(SEARCH(O95,J95)),"Yes","No"))</f>
        <v/>
      </c>
      <c r="Y95" s="36" t="n">
        <v>0.7</v>
      </c>
      <c r="Z95" s="36" t="inlineStr">
        <is>
          <t>sitemap-provinces.xml</t>
        </is>
      </c>
      <c r="AA95" s="36" t="inlineStr">
        <is>
          <t>Live – indexable</t>
        </is>
      </c>
      <c r="AB95" s="38" t="n"/>
      <c r="AC95" s="38" t="n"/>
    </row>
    <row r="96" ht="23.85" customHeight="1" s="22">
      <c r="A96" s="36" t="inlineStr">
        <is>
          <t>P0095</t>
        </is>
      </c>
      <c r="B96" s="36" t="inlineStr">
        <is>
          <t>https://instasure.ca/business-insurance/nunavut/</t>
        </is>
      </c>
      <c r="C96" s="36" t="inlineStr">
        <is>
          <t>Product × province</t>
        </is>
      </c>
      <c r="D96" s="36" t="inlineStr">
        <is>
          <t>Business insurance</t>
        </is>
      </c>
      <c r="E96" s="36" t="inlineStr">
        <is>
          <t>Business Insurance</t>
        </is>
      </c>
      <c r="F96" s="36" t="n"/>
      <c r="G96" s="36" t="inlineStr">
        <is>
          <t>Nunavut</t>
        </is>
      </c>
      <c r="H96" s="36" t="n"/>
      <c r="I96" s="36" t="inlineStr">
        <is>
          <t>Yes</t>
        </is>
      </c>
      <c r="J96" s="25" t="inlineStr">
        <is>
          <t>Business Insurance in Nunavut: Costs, Rules &amp; Quotes (2026)</t>
        </is>
      </c>
      <c r="K96" s="36">
        <f>LEN(J96)</f>
        <v/>
      </c>
      <c r="L96" s="25" t="inlineStr">
        <is>
          <t>Business Insurance in Nunavut: how it works under the Nunavut Superintendent, what drives price, instant estimates and a waitlist for licensed advice in Nunavut.</t>
        </is>
      </c>
      <c r="M96" s="36">
        <f>LEN(L96)</f>
        <v/>
      </c>
      <c r="N96" s="25" t="inlineStr">
        <is>
          <t>Business Insurance in Nunavut</t>
        </is>
      </c>
      <c r="O96" s="36" t="n"/>
      <c r="P96" s="37" t="n"/>
      <c r="Q96" s="36" t="n"/>
      <c r="R96" s="36" t="inlineStr">
        <is>
          <t>business insurance nunavut</t>
        </is>
      </c>
      <c r="S96" s="36">
        <f>COUNTIF('Page-Keyword Map'!$A$2:$A$675,B96)</f>
        <v/>
      </c>
      <c r="T96" s="37">
        <f>SUMIF('Page-Keyword Map'!$A$2:$A$675,B96,'Page-Keyword Map'!$H$2:$H$675)</f>
        <v/>
      </c>
      <c r="U96" s="36">
        <f>COUNTIFS('Page-Keyword Map'!$A$2:$A$675,B96,'Page-Keyword Map'!$E$2:$E$675,"Nationwide")</f>
        <v/>
      </c>
      <c r="V96" s="36">
        <f>COUNTIFS('Page-Keyword Map'!$A$2:$A$675,B96,'Page-Keyword Map'!$E$2:$E$675,"Provincial")</f>
        <v/>
      </c>
      <c r="W96" s="36">
        <f>COUNTIFS('Page-Keyword Map'!$A$2:$A$675,B96,'Page-Keyword Map'!$E$2:$E$675,"City")</f>
        <v/>
      </c>
      <c r="X96" s="36">
        <f>IF(O96="","",IF(ISNUMBER(SEARCH(O96,J96)),"Yes","No"))</f>
        <v/>
      </c>
      <c r="Y96" s="36" t="n">
        <v>0.7</v>
      </c>
      <c r="Z96" s="36" t="inlineStr">
        <is>
          <t>sitemap-provinces.xml</t>
        </is>
      </c>
      <c r="AA96" s="36" t="inlineStr">
        <is>
          <t>Live – indexable</t>
        </is>
      </c>
      <c r="AB96" s="38" t="n"/>
      <c r="AC96" s="38" t="n"/>
    </row>
    <row r="97" ht="23.85" customHeight="1" s="22">
      <c r="A97" s="36" t="inlineStr">
        <is>
          <t>P0096</t>
        </is>
      </c>
      <c r="B97" s="36" t="inlineStr">
        <is>
          <t>https://instasure.ca/business-insurance/ontario/</t>
        </is>
      </c>
      <c r="C97" s="36" t="inlineStr">
        <is>
          <t>Product × province</t>
        </is>
      </c>
      <c r="D97" s="36" t="inlineStr">
        <is>
          <t>Business insurance</t>
        </is>
      </c>
      <c r="E97" s="36" t="inlineStr">
        <is>
          <t>Business Insurance</t>
        </is>
      </c>
      <c r="F97" s="36" t="n"/>
      <c r="G97" s="36" t="inlineStr">
        <is>
          <t>Ontario</t>
        </is>
      </c>
      <c r="H97" s="36" t="n"/>
      <c r="I97" s="36" t="inlineStr">
        <is>
          <t>Yes</t>
        </is>
      </c>
      <c r="J97" s="25" t="inlineStr">
        <is>
          <t>Business Insurance in Ontario: Costs, Rules &amp; Quotes (2026)</t>
        </is>
      </c>
      <c r="K97" s="36">
        <f>LEN(J97)</f>
        <v/>
      </c>
      <c r="L97" s="25" t="inlineStr">
        <is>
          <t>Business Insurance in Ontario: how it works under FSRA, what drives price, instant estimates and advisors licensed in Ontario.</t>
        </is>
      </c>
      <c r="M97" s="36">
        <f>LEN(L97)</f>
        <v/>
      </c>
      <c r="N97" s="25" t="inlineStr">
        <is>
          <t>Business Insurance in Ontario</t>
        </is>
      </c>
      <c r="O97" s="36" t="inlineStr">
        <is>
          <t>business insurance ontario</t>
        </is>
      </c>
      <c r="P97" s="37" t="n">
        <v>1200</v>
      </c>
      <c r="Q97" s="36" t="inlineStr">
        <is>
          <t>Provincial</t>
        </is>
      </c>
      <c r="R97" s="36" t="n"/>
      <c r="S97" s="36">
        <f>COUNTIF('Page-Keyword Map'!$A$2:$A$675,B97)</f>
        <v/>
      </c>
      <c r="T97" s="37">
        <f>SUMIF('Page-Keyword Map'!$A$2:$A$675,B97,'Page-Keyword Map'!$H$2:$H$675)</f>
        <v/>
      </c>
      <c r="U97" s="36">
        <f>COUNTIFS('Page-Keyword Map'!$A$2:$A$675,B97,'Page-Keyword Map'!$E$2:$E$675,"Nationwide")</f>
        <v/>
      </c>
      <c r="V97" s="36">
        <f>COUNTIFS('Page-Keyword Map'!$A$2:$A$675,B97,'Page-Keyword Map'!$E$2:$E$675,"Provincial")</f>
        <v/>
      </c>
      <c r="W97" s="36">
        <f>COUNTIFS('Page-Keyword Map'!$A$2:$A$675,B97,'Page-Keyword Map'!$E$2:$E$675,"City")</f>
        <v/>
      </c>
      <c r="X97" s="36">
        <f>IF(O97="","",IF(ISNUMBER(SEARCH(O97,J97)),"Yes","No"))</f>
        <v/>
      </c>
      <c r="Y97" s="36" t="n">
        <v>0.7</v>
      </c>
      <c r="Z97" s="36" t="inlineStr">
        <is>
          <t>sitemap-provinces.xml</t>
        </is>
      </c>
      <c r="AA97" s="36" t="inlineStr">
        <is>
          <t>Live – indexable</t>
        </is>
      </c>
      <c r="AB97" s="38" t="n"/>
      <c r="AC97" s="38" t="n"/>
    </row>
    <row r="98" ht="23.85" customHeight="1" s="22">
      <c r="A98" s="36" t="inlineStr">
        <is>
          <t>P0097</t>
        </is>
      </c>
      <c r="B98" s="36" t="inlineStr">
        <is>
          <t>https://instasure.ca/business-insurance/prince-edward-island/</t>
        </is>
      </c>
      <c r="C98" s="36" t="inlineStr">
        <is>
          <t>Product × province</t>
        </is>
      </c>
      <c r="D98" s="36" t="inlineStr">
        <is>
          <t>Business insurance</t>
        </is>
      </c>
      <c r="E98" s="36" t="inlineStr">
        <is>
          <t>Business Insurance</t>
        </is>
      </c>
      <c r="F98" s="36" t="n"/>
      <c r="G98" s="36" t="inlineStr">
        <is>
          <t>Prince Edward Island</t>
        </is>
      </c>
      <c r="H98" s="36" t="n"/>
      <c r="I98" s="36" t="inlineStr">
        <is>
          <t>Yes</t>
        </is>
      </c>
      <c r="J98" s="25" t="inlineStr">
        <is>
          <t>Business Insurance in Prince Edward Island: Costs, Rules &amp; Quotes (2026)</t>
        </is>
      </c>
      <c r="K98" s="36">
        <f>LEN(J98)</f>
        <v/>
      </c>
      <c r="L98" s="25" t="inlineStr">
        <is>
          <t>Business Insurance in Prince Edward Island: how it works under the PEI Superintendent, what drives price, instant estimates and advisors licensed in Prince Edward…</t>
        </is>
      </c>
      <c r="M98" s="36">
        <f>LEN(L98)</f>
        <v/>
      </c>
      <c r="N98" s="25" t="inlineStr">
        <is>
          <t>Business Insurance in Prince Edward Island</t>
        </is>
      </c>
      <c r="O98" s="36" t="n"/>
      <c r="P98" s="37" t="n"/>
      <c r="Q98" s="36" t="n"/>
      <c r="R98" s="36" t="inlineStr">
        <is>
          <t>business insurance prince edward island</t>
        </is>
      </c>
      <c r="S98" s="36">
        <f>COUNTIF('Page-Keyword Map'!$A$2:$A$675,B98)</f>
        <v/>
      </c>
      <c r="T98" s="37">
        <f>SUMIF('Page-Keyword Map'!$A$2:$A$675,B98,'Page-Keyword Map'!$H$2:$H$675)</f>
        <v/>
      </c>
      <c r="U98" s="36">
        <f>COUNTIFS('Page-Keyword Map'!$A$2:$A$675,B98,'Page-Keyword Map'!$E$2:$E$675,"Nationwide")</f>
        <v/>
      </c>
      <c r="V98" s="36">
        <f>COUNTIFS('Page-Keyword Map'!$A$2:$A$675,B98,'Page-Keyword Map'!$E$2:$E$675,"Provincial")</f>
        <v/>
      </c>
      <c r="W98" s="36">
        <f>COUNTIFS('Page-Keyword Map'!$A$2:$A$675,B98,'Page-Keyword Map'!$E$2:$E$675,"City")</f>
        <v/>
      </c>
      <c r="X98" s="36">
        <f>IF(O98="","",IF(ISNUMBER(SEARCH(O98,J98)),"Yes","No"))</f>
        <v/>
      </c>
      <c r="Y98" s="36" t="n">
        <v>0.7</v>
      </c>
      <c r="Z98" s="36" t="inlineStr">
        <is>
          <t>sitemap-provinces.xml</t>
        </is>
      </c>
      <c r="AA98" s="36" t="inlineStr">
        <is>
          <t>Live – indexable</t>
        </is>
      </c>
      <c r="AB98" s="38" t="n"/>
      <c r="AC98" s="38" t="n"/>
    </row>
    <row r="99" ht="23.85" customHeight="1" s="22">
      <c r="A99" s="36" t="inlineStr">
        <is>
          <t>P0098</t>
        </is>
      </c>
      <c r="B99" s="36" t="inlineStr">
        <is>
          <t>https://instasure.ca/business-insurance/quebec/</t>
        </is>
      </c>
      <c r="C99" s="36" t="inlineStr">
        <is>
          <t>Product × province</t>
        </is>
      </c>
      <c r="D99" s="36" t="inlineStr">
        <is>
          <t>Business insurance</t>
        </is>
      </c>
      <c r="E99" s="36" t="inlineStr">
        <is>
          <t>Business Insurance</t>
        </is>
      </c>
      <c r="F99" s="36" t="n"/>
      <c r="G99" s="36" t="inlineStr">
        <is>
          <t>Quebec</t>
        </is>
      </c>
      <c r="H99" s="36" t="n"/>
      <c r="I99" s="36" t="inlineStr">
        <is>
          <t>Yes</t>
        </is>
      </c>
      <c r="J99" s="25" t="inlineStr">
        <is>
          <t>Business Insurance in Quebec: Costs, Rules &amp; Quotes (2026)</t>
        </is>
      </c>
      <c r="K99" s="36">
        <f>LEN(J99)</f>
        <v/>
      </c>
      <c r="L99" s="25" t="inlineStr">
        <is>
          <t>Business Insurance in Quebec: how it works under AMF, what drives price, instant estimates and a waitlist for licensed advice in Quebec.</t>
        </is>
      </c>
      <c r="M99" s="36">
        <f>LEN(L99)</f>
        <v/>
      </c>
      <c r="N99" s="25" t="inlineStr">
        <is>
          <t>Business Insurance in Quebec</t>
        </is>
      </c>
      <c r="O99" s="36" t="inlineStr">
        <is>
          <t>business insurance quebec</t>
        </is>
      </c>
      <c r="P99" s="37" t="n">
        <v>210</v>
      </c>
      <c r="Q99" s="36" t="inlineStr">
        <is>
          <t>Provincial</t>
        </is>
      </c>
      <c r="R99" s="36" t="n"/>
      <c r="S99" s="36">
        <f>COUNTIF('Page-Keyword Map'!$A$2:$A$675,B99)</f>
        <v/>
      </c>
      <c r="T99" s="37">
        <f>SUMIF('Page-Keyword Map'!$A$2:$A$675,B99,'Page-Keyword Map'!$H$2:$H$675)</f>
        <v/>
      </c>
      <c r="U99" s="36">
        <f>COUNTIFS('Page-Keyword Map'!$A$2:$A$675,B99,'Page-Keyword Map'!$E$2:$E$675,"Nationwide")</f>
        <v/>
      </c>
      <c r="V99" s="36">
        <f>COUNTIFS('Page-Keyword Map'!$A$2:$A$675,B99,'Page-Keyword Map'!$E$2:$E$675,"Provincial")</f>
        <v/>
      </c>
      <c r="W99" s="36">
        <f>COUNTIFS('Page-Keyword Map'!$A$2:$A$675,B99,'Page-Keyword Map'!$E$2:$E$675,"City")</f>
        <v/>
      </c>
      <c r="X99" s="36">
        <f>IF(O99="","",IF(ISNUMBER(SEARCH(O99,J99)),"Yes","No"))</f>
        <v/>
      </c>
      <c r="Y99" s="36" t="n">
        <v>0.7</v>
      </c>
      <c r="Z99" s="36" t="inlineStr">
        <is>
          <t>sitemap-provinces.xml</t>
        </is>
      </c>
      <c r="AA99" s="36" t="inlineStr">
        <is>
          <t>Live – indexable</t>
        </is>
      </c>
      <c r="AB99" s="38" t="n"/>
      <c r="AC99" s="38" t="n"/>
    </row>
    <row r="100" ht="23.85" customHeight="1" s="22">
      <c r="A100" s="36" t="inlineStr">
        <is>
          <t>P0099</t>
        </is>
      </c>
      <c r="B100" s="36" t="inlineStr">
        <is>
          <t>https://instasure.ca/business-insurance/saskatchewan/</t>
        </is>
      </c>
      <c r="C100" s="36" t="inlineStr">
        <is>
          <t>Product × province</t>
        </is>
      </c>
      <c r="D100" s="36" t="inlineStr">
        <is>
          <t>Business insurance</t>
        </is>
      </c>
      <c r="E100" s="36" t="inlineStr">
        <is>
          <t>Business Insurance</t>
        </is>
      </c>
      <c r="F100" s="36" t="n"/>
      <c r="G100" s="36" t="inlineStr">
        <is>
          <t>Saskatchewan</t>
        </is>
      </c>
      <c r="H100" s="36" t="n"/>
      <c r="I100" s="36" t="inlineStr">
        <is>
          <t>Yes</t>
        </is>
      </c>
      <c r="J100" s="25" t="inlineStr">
        <is>
          <t>Business Insurance in Saskatchewan: Costs, Rules &amp; Quotes (2026)</t>
        </is>
      </c>
      <c r="K100" s="36">
        <f>LEN(J100)</f>
        <v/>
      </c>
      <c r="L100" s="25" t="inlineStr">
        <is>
          <t>Business Insurance in Saskatchewan: how it works under FCAA, what drives price, instant estimates and advisors licensed in Saskatchewan.</t>
        </is>
      </c>
      <c r="M100" s="36">
        <f>LEN(L100)</f>
        <v/>
      </c>
      <c r="N100" s="25" t="inlineStr">
        <is>
          <t>Business Insurance in Saskatchewan</t>
        </is>
      </c>
      <c r="O100" s="36" t="inlineStr">
        <is>
          <t>business insurance saskatchewan</t>
        </is>
      </c>
      <c r="P100" s="37" t="n">
        <v>110</v>
      </c>
      <c r="Q100" s="36" t="inlineStr">
        <is>
          <t>Provincial</t>
        </is>
      </c>
      <c r="R100" s="36" t="n"/>
      <c r="S100" s="36">
        <f>COUNTIF('Page-Keyword Map'!$A$2:$A$675,B100)</f>
        <v/>
      </c>
      <c r="T100" s="37">
        <f>SUMIF('Page-Keyword Map'!$A$2:$A$675,B100,'Page-Keyword Map'!$H$2:$H$675)</f>
        <v/>
      </c>
      <c r="U100" s="36">
        <f>COUNTIFS('Page-Keyword Map'!$A$2:$A$675,B100,'Page-Keyword Map'!$E$2:$E$675,"Nationwide")</f>
        <v/>
      </c>
      <c r="V100" s="36">
        <f>COUNTIFS('Page-Keyword Map'!$A$2:$A$675,B100,'Page-Keyword Map'!$E$2:$E$675,"Provincial")</f>
        <v/>
      </c>
      <c r="W100" s="36">
        <f>COUNTIFS('Page-Keyword Map'!$A$2:$A$675,B100,'Page-Keyword Map'!$E$2:$E$675,"City")</f>
        <v/>
      </c>
      <c r="X100" s="36">
        <f>IF(O100="","",IF(ISNUMBER(SEARCH(O100,J100)),"Yes","No"))</f>
        <v/>
      </c>
      <c r="Y100" s="36" t="n">
        <v>0.7</v>
      </c>
      <c r="Z100" s="36" t="inlineStr">
        <is>
          <t>sitemap-provinces.xml</t>
        </is>
      </c>
      <c r="AA100" s="36" t="inlineStr">
        <is>
          <t>Live – indexable</t>
        </is>
      </c>
      <c r="AB100" s="38" t="n"/>
      <c r="AC100" s="38" t="n"/>
    </row>
    <row r="101" ht="23.85" customHeight="1" s="22">
      <c r="A101" s="36" t="inlineStr">
        <is>
          <t>P0100</t>
        </is>
      </c>
      <c r="B101" s="36" t="inlineStr">
        <is>
          <t>https://instasure.ca/business-insurance/yukon/</t>
        </is>
      </c>
      <c r="C101" s="36" t="inlineStr">
        <is>
          <t>Product × province</t>
        </is>
      </c>
      <c r="D101" s="36" t="inlineStr">
        <is>
          <t>Business insurance</t>
        </is>
      </c>
      <c r="E101" s="36" t="inlineStr">
        <is>
          <t>Business Insurance</t>
        </is>
      </c>
      <c r="F101" s="36" t="n"/>
      <c r="G101" s="36" t="inlineStr">
        <is>
          <t>Yukon</t>
        </is>
      </c>
      <c r="H101" s="36" t="n"/>
      <c r="I101" s="36" t="inlineStr">
        <is>
          <t>Yes</t>
        </is>
      </c>
      <c r="J101" s="25" t="inlineStr">
        <is>
          <t>Business Insurance in Yukon: Costs, Rules &amp; Quotes (2026)</t>
        </is>
      </c>
      <c r="K101" s="36">
        <f>LEN(J101)</f>
        <v/>
      </c>
      <c r="L101" s="25" t="inlineStr">
        <is>
          <t>Business Insurance in Yukon: how it works under the Yukon Superintendent, what drives price, instant estimates and a waitlist for licensed advice in Yukon.</t>
        </is>
      </c>
      <c r="M101" s="36">
        <f>LEN(L101)</f>
        <v/>
      </c>
      <c r="N101" s="25" t="inlineStr">
        <is>
          <t>Business Insurance in Yukon</t>
        </is>
      </c>
      <c r="O101" s="36" t="n"/>
      <c r="P101" s="37" t="n"/>
      <c r="Q101" s="36" t="n"/>
      <c r="R101" s="36" t="inlineStr">
        <is>
          <t>business insurance yukon</t>
        </is>
      </c>
      <c r="S101" s="36">
        <f>COUNTIF('Page-Keyword Map'!$A$2:$A$675,B101)</f>
        <v/>
      </c>
      <c r="T101" s="37">
        <f>SUMIF('Page-Keyword Map'!$A$2:$A$675,B101,'Page-Keyword Map'!$H$2:$H$675)</f>
        <v/>
      </c>
      <c r="U101" s="36">
        <f>COUNTIFS('Page-Keyword Map'!$A$2:$A$675,B101,'Page-Keyword Map'!$E$2:$E$675,"Nationwide")</f>
        <v/>
      </c>
      <c r="V101" s="36">
        <f>COUNTIFS('Page-Keyword Map'!$A$2:$A$675,B101,'Page-Keyword Map'!$E$2:$E$675,"Provincial")</f>
        <v/>
      </c>
      <c r="W101" s="36">
        <f>COUNTIFS('Page-Keyword Map'!$A$2:$A$675,B101,'Page-Keyword Map'!$E$2:$E$675,"City")</f>
        <v/>
      </c>
      <c r="X101" s="36">
        <f>IF(O101="","",IF(ISNUMBER(SEARCH(O101,J101)),"Yes","No"))</f>
        <v/>
      </c>
      <c r="Y101" s="36" t="n">
        <v>0.7</v>
      </c>
      <c r="Z101" s="36" t="inlineStr">
        <is>
          <t>sitemap-provinces.xml</t>
        </is>
      </c>
      <c r="AA101" s="36" t="inlineStr">
        <is>
          <t>Live – indexable</t>
        </is>
      </c>
      <c r="AB101" s="38" t="n"/>
      <c r="AC101" s="38" t="n"/>
    </row>
    <row r="102" ht="23.85" customHeight="1" s="22">
      <c r="A102" s="36" t="inlineStr">
        <is>
          <t>P0101</t>
        </is>
      </c>
      <c r="B102" s="36" t="inlineStr">
        <is>
          <t>https://instasure.ca/car-insurance/alberta/</t>
        </is>
      </c>
      <c r="C102" s="36" t="inlineStr">
        <is>
          <t>Product × province</t>
        </is>
      </c>
      <c r="D102" s="36" t="inlineStr">
        <is>
          <t>Car insurance</t>
        </is>
      </c>
      <c r="E102" s="36" t="inlineStr">
        <is>
          <t>Car Insurance</t>
        </is>
      </c>
      <c r="F102" s="36" t="n"/>
      <c r="G102" s="36" t="inlineStr">
        <is>
          <t>Alberta</t>
        </is>
      </c>
      <c r="H102" s="36" t="n"/>
      <c r="I102" s="36" t="inlineStr">
        <is>
          <t>Yes</t>
        </is>
      </c>
      <c r="J102" s="25" t="inlineStr">
        <is>
          <t>Car Insurance in Alberta: Costs, Rules &amp; Quotes (2026)</t>
        </is>
      </c>
      <c r="K102" s="36">
        <f>LEN(J102)</f>
        <v/>
      </c>
      <c r="L102" s="25" t="inlineStr">
        <is>
          <t>Car Insurance in Alberta: how it works under the Superintendent of Insurance, what drives price, instant estimates and advisors licensed in Alberta.</t>
        </is>
      </c>
      <c r="M102" s="36">
        <f>LEN(L102)</f>
        <v/>
      </c>
      <c r="N102" s="25" t="inlineStr">
        <is>
          <t>Car Insurance in Alberta</t>
        </is>
      </c>
      <c r="O102" s="36" t="inlineStr">
        <is>
          <t>car insurance alberta</t>
        </is>
      </c>
      <c r="P102" s="37" t="n">
        <v>4500</v>
      </c>
      <c r="Q102" s="36" t="inlineStr">
        <is>
          <t>Provincial</t>
        </is>
      </c>
      <c r="R102" s="36" t="n"/>
      <c r="S102" s="36">
        <f>COUNTIF('Page-Keyword Map'!$A$2:$A$675,B102)</f>
        <v/>
      </c>
      <c r="T102" s="37">
        <f>SUMIF('Page-Keyword Map'!$A$2:$A$675,B102,'Page-Keyword Map'!$H$2:$H$675)</f>
        <v/>
      </c>
      <c r="U102" s="36">
        <f>COUNTIFS('Page-Keyword Map'!$A$2:$A$675,B102,'Page-Keyword Map'!$E$2:$E$675,"Nationwide")</f>
        <v/>
      </c>
      <c r="V102" s="36">
        <f>COUNTIFS('Page-Keyword Map'!$A$2:$A$675,B102,'Page-Keyword Map'!$E$2:$E$675,"Provincial")</f>
        <v/>
      </c>
      <c r="W102" s="36">
        <f>COUNTIFS('Page-Keyword Map'!$A$2:$A$675,B102,'Page-Keyword Map'!$E$2:$E$675,"City")</f>
        <v/>
      </c>
      <c r="X102" s="36">
        <f>IF(O102="","",IF(ISNUMBER(SEARCH(O102,J102)),"Yes","No"))</f>
        <v/>
      </c>
      <c r="Y102" s="36" t="n">
        <v>0.7</v>
      </c>
      <c r="Z102" s="36" t="inlineStr">
        <is>
          <t>sitemap-provinces.xml</t>
        </is>
      </c>
      <c r="AA102" s="36" t="inlineStr">
        <is>
          <t>Live – indexable</t>
        </is>
      </c>
      <c r="AB102" s="38" t="n"/>
      <c r="AC102" s="38" t="n"/>
    </row>
    <row r="103" ht="23.85" customHeight="1" s="22">
      <c r="A103" s="36" t="inlineStr">
        <is>
          <t>P0102</t>
        </is>
      </c>
      <c r="B103" s="36" t="inlineStr">
        <is>
          <t>https://instasure.ca/car-insurance/british-columbia/</t>
        </is>
      </c>
      <c r="C103" s="36" t="inlineStr">
        <is>
          <t>Product × province</t>
        </is>
      </c>
      <c r="D103" s="36" t="inlineStr">
        <is>
          <t>Car insurance</t>
        </is>
      </c>
      <c r="E103" s="36" t="inlineStr">
        <is>
          <t>Car Insurance</t>
        </is>
      </c>
      <c r="F103" s="36" t="n"/>
      <c r="G103" s="36" t="inlineStr">
        <is>
          <t>British Columbia</t>
        </is>
      </c>
      <c r="H103" s="36" t="n"/>
      <c r="I103" s="36" t="inlineStr">
        <is>
          <t>Yes</t>
        </is>
      </c>
      <c r="J103" s="25" t="inlineStr">
        <is>
          <t>Car Insurance in British Columbia: Costs, Rules &amp; Quotes (2026)</t>
        </is>
      </c>
      <c r="K103" s="36">
        <f>LEN(J103)</f>
        <v/>
      </c>
      <c r="L103" s="25" t="inlineStr">
        <is>
          <t>Car Insurance in British Columbia: how it works under BCFSA, what drives price, instant estimates and advisors licensed in British Columbia.</t>
        </is>
      </c>
      <c r="M103" s="36">
        <f>LEN(L103)</f>
        <v/>
      </c>
      <c r="N103" s="25" t="inlineStr">
        <is>
          <t>Car Insurance in British Columbia</t>
        </is>
      </c>
      <c r="O103" s="36" t="inlineStr">
        <is>
          <t>car insurance bc</t>
        </is>
      </c>
      <c r="P103" s="37" t="n">
        <v>2200</v>
      </c>
      <c r="Q103" s="36" t="inlineStr">
        <is>
          <t>Provincial</t>
        </is>
      </c>
      <c r="R103" s="36" t="n"/>
      <c r="S103" s="36">
        <f>COUNTIF('Page-Keyword Map'!$A$2:$A$675,B103)</f>
        <v/>
      </c>
      <c r="T103" s="37">
        <f>SUMIF('Page-Keyword Map'!$A$2:$A$675,B103,'Page-Keyword Map'!$H$2:$H$675)</f>
        <v/>
      </c>
      <c r="U103" s="36">
        <f>COUNTIFS('Page-Keyword Map'!$A$2:$A$675,B103,'Page-Keyword Map'!$E$2:$E$675,"Nationwide")</f>
        <v/>
      </c>
      <c r="V103" s="36">
        <f>COUNTIFS('Page-Keyword Map'!$A$2:$A$675,B103,'Page-Keyword Map'!$E$2:$E$675,"Provincial")</f>
        <v/>
      </c>
      <c r="W103" s="36">
        <f>COUNTIFS('Page-Keyword Map'!$A$2:$A$675,B103,'Page-Keyword Map'!$E$2:$E$675,"City")</f>
        <v/>
      </c>
      <c r="X103" s="36">
        <f>IF(O103="","",IF(ISNUMBER(SEARCH(O103,J103)),"Yes","No"))</f>
        <v/>
      </c>
      <c r="Y103" s="36" t="n">
        <v>0.7</v>
      </c>
      <c r="Z103" s="36" t="inlineStr">
        <is>
          <t>sitemap-provinces.xml</t>
        </is>
      </c>
      <c r="AA103" s="36" t="inlineStr">
        <is>
          <t>Live – indexable</t>
        </is>
      </c>
      <c r="AB103" s="38" t="n"/>
      <c r="AC103" s="38" t="n"/>
    </row>
    <row r="104" ht="23.85" customHeight="1" s="22">
      <c r="A104" s="36" t="inlineStr">
        <is>
          <t>P0103</t>
        </is>
      </c>
      <c r="B104" s="36" t="inlineStr">
        <is>
          <t>https://instasure.ca/car-insurance/manitoba/</t>
        </is>
      </c>
      <c r="C104" s="36" t="inlineStr">
        <is>
          <t>Product × province</t>
        </is>
      </c>
      <c r="D104" s="36" t="inlineStr">
        <is>
          <t>Car insurance</t>
        </is>
      </c>
      <c r="E104" s="36" t="inlineStr">
        <is>
          <t>Car Insurance</t>
        </is>
      </c>
      <c r="F104" s="36" t="n"/>
      <c r="G104" s="36" t="inlineStr">
        <is>
          <t>Manitoba</t>
        </is>
      </c>
      <c r="H104" s="36" t="n"/>
      <c r="I104" s="36" t="inlineStr">
        <is>
          <t>Yes</t>
        </is>
      </c>
      <c r="J104" s="25" t="inlineStr">
        <is>
          <t>Car Insurance in Manitoba: Costs, Rules &amp; Quotes (2026)</t>
        </is>
      </c>
      <c r="K104" s="36">
        <f>LEN(J104)</f>
        <v/>
      </c>
      <c r="L104" s="25" t="inlineStr">
        <is>
          <t>Car Insurance in Manitoba: how it works under FIRB, what drives price, instant estimates and advisors licensed in Manitoba.</t>
        </is>
      </c>
      <c r="M104" s="36">
        <f>LEN(L104)</f>
        <v/>
      </c>
      <c r="N104" s="25" t="inlineStr">
        <is>
          <t>Car Insurance in Manitoba</t>
        </is>
      </c>
      <c r="O104" s="36" t="inlineStr">
        <is>
          <t>car insurance manitoba</t>
        </is>
      </c>
      <c r="P104" s="37" t="n">
        <v>660</v>
      </c>
      <c r="Q104" s="36" t="inlineStr">
        <is>
          <t>Provincial</t>
        </is>
      </c>
      <c r="R104" s="36" t="n"/>
      <c r="S104" s="36">
        <f>COUNTIF('Page-Keyword Map'!$A$2:$A$675,B104)</f>
        <v/>
      </c>
      <c r="T104" s="37">
        <f>SUMIF('Page-Keyword Map'!$A$2:$A$675,B104,'Page-Keyword Map'!$H$2:$H$675)</f>
        <v/>
      </c>
      <c r="U104" s="36">
        <f>COUNTIFS('Page-Keyword Map'!$A$2:$A$675,B104,'Page-Keyword Map'!$E$2:$E$675,"Nationwide")</f>
        <v/>
      </c>
      <c r="V104" s="36">
        <f>COUNTIFS('Page-Keyword Map'!$A$2:$A$675,B104,'Page-Keyword Map'!$E$2:$E$675,"Provincial")</f>
        <v/>
      </c>
      <c r="W104" s="36">
        <f>COUNTIFS('Page-Keyword Map'!$A$2:$A$675,B104,'Page-Keyword Map'!$E$2:$E$675,"City")</f>
        <v/>
      </c>
      <c r="X104" s="36">
        <f>IF(O104="","",IF(ISNUMBER(SEARCH(O104,J104)),"Yes","No"))</f>
        <v/>
      </c>
      <c r="Y104" s="36" t="n">
        <v>0.7</v>
      </c>
      <c r="Z104" s="36" t="inlineStr">
        <is>
          <t>sitemap-provinces.xml</t>
        </is>
      </c>
      <c r="AA104" s="36" t="inlineStr">
        <is>
          <t>Live – indexable</t>
        </is>
      </c>
      <c r="AB104" s="38" t="n"/>
      <c r="AC104" s="38" t="n"/>
    </row>
    <row r="105" ht="23.85" customHeight="1" s="22">
      <c r="A105" s="36" t="inlineStr">
        <is>
          <t>P0104</t>
        </is>
      </c>
      <c r="B105" s="36" t="inlineStr">
        <is>
          <t>https://instasure.ca/car-insurance/new-brunswick/</t>
        </is>
      </c>
      <c r="C105" s="36" t="inlineStr">
        <is>
          <t>Product × province</t>
        </is>
      </c>
      <c r="D105" s="36" t="inlineStr">
        <is>
          <t>Car insurance</t>
        </is>
      </c>
      <c r="E105" s="36" t="inlineStr">
        <is>
          <t>Car Insurance</t>
        </is>
      </c>
      <c r="F105" s="36" t="n"/>
      <c r="G105" s="36" t="inlineStr">
        <is>
          <t>New Brunswick</t>
        </is>
      </c>
      <c r="H105" s="36" t="n"/>
      <c r="I105" s="36" t="inlineStr">
        <is>
          <t>Yes</t>
        </is>
      </c>
      <c r="J105" s="25" t="inlineStr">
        <is>
          <t>Car Insurance in New Brunswick: Costs, Rules &amp; Quotes (2026)</t>
        </is>
      </c>
      <c r="K105" s="36">
        <f>LEN(J105)</f>
        <v/>
      </c>
      <c r="L105" s="25" t="inlineStr">
        <is>
          <t>Car Insurance in New Brunswick: how it works under FCNB, what drives price, instant estimates and advisors licensed in New Brunswick.</t>
        </is>
      </c>
      <c r="M105" s="36">
        <f>LEN(L105)</f>
        <v/>
      </c>
      <c r="N105" s="25" t="inlineStr">
        <is>
          <t>Car Insurance in New Brunswick</t>
        </is>
      </c>
      <c r="O105" s="36" t="inlineStr">
        <is>
          <t>car insurance new brunswick</t>
        </is>
      </c>
      <c r="P105" s="37" t="n">
        <v>810</v>
      </c>
      <c r="Q105" s="36" t="inlineStr">
        <is>
          <t>Provincial</t>
        </is>
      </c>
      <c r="R105" s="36" t="n"/>
      <c r="S105" s="36">
        <f>COUNTIF('Page-Keyword Map'!$A$2:$A$675,B105)</f>
        <v/>
      </c>
      <c r="T105" s="37">
        <f>SUMIF('Page-Keyword Map'!$A$2:$A$675,B105,'Page-Keyword Map'!$H$2:$H$675)</f>
        <v/>
      </c>
      <c r="U105" s="36">
        <f>COUNTIFS('Page-Keyword Map'!$A$2:$A$675,B105,'Page-Keyword Map'!$E$2:$E$675,"Nationwide")</f>
        <v/>
      </c>
      <c r="V105" s="36">
        <f>COUNTIFS('Page-Keyword Map'!$A$2:$A$675,B105,'Page-Keyword Map'!$E$2:$E$675,"Provincial")</f>
        <v/>
      </c>
      <c r="W105" s="36">
        <f>COUNTIFS('Page-Keyword Map'!$A$2:$A$675,B105,'Page-Keyword Map'!$E$2:$E$675,"City")</f>
        <v/>
      </c>
      <c r="X105" s="36">
        <f>IF(O105="","",IF(ISNUMBER(SEARCH(O105,J105)),"Yes","No"))</f>
        <v/>
      </c>
      <c r="Y105" s="36" t="n">
        <v>0.7</v>
      </c>
      <c r="Z105" s="36" t="inlineStr">
        <is>
          <t>sitemap-provinces.xml</t>
        </is>
      </c>
      <c r="AA105" s="36" t="inlineStr">
        <is>
          <t>Live – indexable</t>
        </is>
      </c>
      <c r="AB105" s="38" t="n"/>
      <c r="AC105" s="38" t="n"/>
    </row>
    <row r="106" ht="23.85" customHeight="1" s="22">
      <c r="A106" s="36" t="inlineStr">
        <is>
          <t>P0105</t>
        </is>
      </c>
      <c r="B106" s="36" t="inlineStr">
        <is>
          <t>https://instasure.ca/car-insurance/newfoundland-and-labrador/</t>
        </is>
      </c>
      <c r="C106" s="36" t="inlineStr">
        <is>
          <t>Product × province</t>
        </is>
      </c>
      <c r="D106" s="36" t="inlineStr">
        <is>
          <t>Car insurance</t>
        </is>
      </c>
      <c r="E106" s="36" t="inlineStr">
        <is>
          <t>Car Insurance</t>
        </is>
      </c>
      <c r="F106" s="36" t="n"/>
      <c r="G106" s="36" t="inlineStr">
        <is>
          <t>Newfoundland and Labrador</t>
        </is>
      </c>
      <c r="H106" s="36" t="n"/>
      <c r="I106" s="36" t="inlineStr">
        <is>
          <t>Yes</t>
        </is>
      </c>
      <c r="J106" s="25" t="inlineStr">
        <is>
          <t>Car Insurance in Newfoundland and Labrador: Costs, Rules &amp; Quotes (2026)</t>
        </is>
      </c>
      <c r="K106" s="36">
        <f>LEN(J106)</f>
        <v/>
      </c>
      <c r="L106" s="25" t="inlineStr">
        <is>
          <t>Car Insurance in Newfoundland and Labrador: how it works under Service NL, what drives price, instant estimates and advisors licensed in Newfoundland and Labrador.</t>
        </is>
      </c>
      <c r="M106" s="36">
        <f>LEN(L106)</f>
        <v/>
      </c>
      <c r="N106" s="25" t="inlineStr">
        <is>
          <t>Car Insurance in Newfoundland and Labrador</t>
        </is>
      </c>
      <c r="O106" s="36" t="inlineStr">
        <is>
          <t>car insurance newfoundland</t>
        </is>
      </c>
      <c r="P106" s="37" t="n">
        <v>560</v>
      </c>
      <c r="Q106" s="36" t="inlineStr">
        <is>
          <t>Provincial</t>
        </is>
      </c>
      <c r="R106" s="36" t="n"/>
      <c r="S106" s="36">
        <f>COUNTIF('Page-Keyword Map'!$A$2:$A$675,B106)</f>
        <v/>
      </c>
      <c r="T106" s="37">
        <f>SUMIF('Page-Keyword Map'!$A$2:$A$675,B106,'Page-Keyword Map'!$H$2:$H$675)</f>
        <v/>
      </c>
      <c r="U106" s="36">
        <f>COUNTIFS('Page-Keyword Map'!$A$2:$A$675,B106,'Page-Keyword Map'!$E$2:$E$675,"Nationwide")</f>
        <v/>
      </c>
      <c r="V106" s="36">
        <f>COUNTIFS('Page-Keyword Map'!$A$2:$A$675,B106,'Page-Keyword Map'!$E$2:$E$675,"Provincial")</f>
        <v/>
      </c>
      <c r="W106" s="36">
        <f>COUNTIFS('Page-Keyword Map'!$A$2:$A$675,B106,'Page-Keyword Map'!$E$2:$E$675,"City")</f>
        <v/>
      </c>
      <c r="X106" s="36">
        <f>IF(O106="","",IF(ISNUMBER(SEARCH(O106,J106)),"Yes","No"))</f>
        <v/>
      </c>
      <c r="Y106" s="36" t="n">
        <v>0.7</v>
      </c>
      <c r="Z106" s="36" t="inlineStr">
        <is>
          <t>sitemap-provinces.xml</t>
        </is>
      </c>
      <c r="AA106" s="36" t="inlineStr">
        <is>
          <t>Live – indexable</t>
        </is>
      </c>
      <c r="AB106" s="38" t="n"/>
      <c r="AC106" s="38" t="n"/>
    </row>
    <row r="107" ht="23.85" customHeight="1" s="22">
      <c r="A107" s="36" t="inlineStr">
        <is>
          <t>P0106</t>
        </is>
      </c>
      <c r="B107" s="36" t="inlineStr">
        <is>
          <t>https://instasure.ca/car-insurance/northwest-territories/</t>
        </is>
      </c>
      <c r="C107" s="36" t="inlineStr">
        <is>
          <t>Product × province</t>
        </is>
      </c>
      <c r="D107" s="36" t="inlineStr">
        <is>
          <t>Car insurance</t>
        </is>
      </c>
      <c r="E107" s="36" t="inlineStr">
        <is>
          <t>Car Insurance</t>
        </is>
      </c>
      <c r="F107" s="36" t="n"/>
      <c r="G107" s="36" t="inlineStr">
        <is>
          <t>Northwest Territories</t>
        </is>
      </c>
      <c r="H107" s="36" t="n"/>
      <c r="I107" s="36" t="inlineStr">
        <is>
          <t>No</t>
        </is>
      </c>
      <c r="J107" s="25" t="inlineStr">
        <is>
          <t>Car Insurance in Northwest Territories: Costs, Rules &amp; Quotes (2026)</t>
        </is>
      </c>
      <c r="K107" s="36">
        <f>LEN(J107)</f>
        <v/>
      </c>
      <c r="L107" s="25" t="inlineStr">
        <is>
          <t>Car Insurance in Northwest Territories: how it works under the NWT Superintendent, what drives price, instant estimates and a waitlist for licensed advice in…</t>
        </is>
      </c>
      <c r="M107" s="36">
        <f>LEN(L107)</f>
        <v/>
      </c>
      <c r="N107" s="25" t="inlineStr">
        <is>
          <t>Car Insurance in Northwest Territories</t>
        </is>
      </c>
      <c r="O107" s="36" t="n"/>
      <c r="P107" s="37" t="n"/>
      <c r="Q107" s="36" t="n"/>
      <c r="R107" s="36" t="inlineStr">
        <is>
          <t>car insurance northwest territories</t>
        </is>
      </c>
      <c r="S107" s="36">
        <f>COUNTIF('Page-Keyword Map'!$A$2:$A$675,B107)</f>
        <v/>
      </c>
      <c r="T107" s="37">
        <f>SUMIF('Page-Keyword Map'!$A$2:$A$675,B107,'Page-Keyword Map'!$H$2:$H$675)</f>
        <v/>
      </c>
      <c r="U107" s="36">
        <f>COUNTIFS('Page-Keyword Map'!$A$2:$A$675,B107,'Page-Keyword Map'!$E$2:$E$675,"Nationwide")</f>
        <v/>
      </c>
      <c r="V107" s="36">
        <f>COUNTIFS('Page-Keyword Map'!$A$2:$A$675,B107,'Page-Keyword Map'!$E$2:$E$675,"Provincial")</f>
        <v/>
      </c>
      <c r="W107" s="36">
        <f>COUNTIFS('Page-Keyword Map'!$A$2:$A$675,B107,'Page-Keyword Map'!$E$2:$E$675,"City")</f>
        <v/>
      </c>
      <c r="X107" s="36">
        <f>IF(O107="","",IF(ISNUMBER(SEARCH(O107,J107)),"Yes","No"))</f>
        <v/>
      </c>
      <c r="Y107" s="36" t="n">
        <v>0.7</v>
      </c>
      <c r="Z107" s="36" t="inlineStr">
        <is>
          <t>(not listed: noindex)</t>
        </is>
      </c>
      <c r="AA107" s="36" t="inlineStr">
        <is>
          <t>Live – noindex (enrich before indexing)</t>
        </is>
      </c>
      <c r="AB107" s="38" t="n"/>
      <c r="AC107" s="38" t="n"/>
    </row>
    <row r="108" ht="23.85" customHeight="1" s="22">
      <c r="A108" s="36" t="inlineStr">
        <is>
          <t>P0107</t>
        </is>
      </c>
      <c r="B108" s="36" t="inlineStr">
        <is>
          <t>https://instasure.ca/car-insurance/nova-scotia/</t>
        </is>
      </c>
      <c r="C108" s="36" t="inlineStr">
        <is>
          <t>Product × province</t>
        </is>
      </c>
      <c r="D108" s="36" t="inlineStr">
        <is>
          <t>Car insurance</t>
        </is>
      </c>
      <c r="E108" s="36" t="inlineStr">
        <is>
          <t>Car Insurance</t>
        </is>
      </c>
      <c r="F108" s="36" t="n"/>
      <c r="G108" s="36" t="inlineStr">
        <is>
          <t>Nova Scotia</t>
        </is>
      </c>
      <c r="H108" s="36" t="n"/>
      <c r="I108" s="36" t="inlineStr">
        <is>
          <t>Yes</t>
        </is>
      </c>
      <c r="J108" s="25" t="inlineStr">
        <is>
          <t>Car Insurance in Nova Scotia: Costs, Rules &amp; Quotes (2026)</t>
        </is>
      </c>
      <c r="K108" s="36">
        <f>LEN(J108)</f>
        <v/>
      </c>
      <c r="L108" s="25" t="inlineStr">
        <is>
          <t>Car Insurance in Nova Scotia: how it works under the NS Superintendent of Insurance, what drives price, instant estimates and advisors licensed in Nova Scotia.</t>
        </is>
      </c>
      <c r="M108" s="36">
        <f>LEN(L108)</f>
        <v/>
      </c>
      <c r="N108" s="25" t="inlineStr">
        <is>
          <t>Car Insurance in Nova Scotia</t>
        </is>
      </c>
      <c r="O108" s="36" t="inlineStr">
        <is>
          <t>car insurance nova scotia</t>
        </is>
      </c>
      <c r="P108" s="37" t="n">
        <v>990</v>
      </c>
      <c r="Q108" s="36" t="inlineStr">
        <is>
          <t>Provincial</t>
        </is>
      </c>
      <c r="R108" s="36" t="n"/>
      <c r="S108" s="36">
        <f>COUNTIF('Page-Keyword Map'!$A$2:$A$675,B108)</f>
        <v/>
      </c>
      <c r="T108" s="37">
        <f>SUMIF('Page-Keyword Map'!$A$2:$A$675,B108,'Page-Keyword Map'!$H$2:$H$675)</f>
        <v/>
      </c>
      <c r="U108" s="36">
        <f>COUNTIFS('Page-Keyword Map'!$A$2:$A$675,B108,'Page-Keyword Map'!$E$2:$E$675,"Nationwide")</f>
        <v/>
      </c>
      <c r="V108" s="36">
        <f>COUNTIFS('Page-Keyword Map'!$A$2:$A$675,B108,'Page-Keyword Map'!$E$2:$E$675,"Provincial")</f>
        <v/>
      </c>
      <c r="W108" s="36">
        <f>COUNTIFS('Page-Keyword Map'!$A$2:$A$675,B108,'Page-Keyword Map'!$E$2:$E$675,"City")</f>
        <v/>
      </c>
      <c r="X108" s="36">
        <f>IF(O108="","",IF(ISNUMBER(SEARCH(O108,J108)),"Yes","No"))</f>
        <v/>
      </c>
      <c r="Y108" s="36" t="n">
        <v>0.7</v>
      </c>
      <c r="Z108" s="36" t="inlineStr">
        <is>
          <t>sitemap-provinces.xml</t>
        </is>
      </c>
      <c r="AA108" s="36" t="inlineStr">
        <is>
          <t>Live – indexable</t>
        </is>
      </c>
      <c r="AB108" s="38" t="n"/>
      <c r="AC108" s="38" t="n"/>
    </row>
    <row r="109" ht="23.85" customHeight="1" s="22">
      <c r="A109" s="36" t="inlineStr">
        <is>
          <t>P0108</t>
        </is>
      </c>
      <c r="B109" s="36" t="inlineStr">
        <is>
          <t>https://instasure.ca/car-insurance/nunavut/</t>
        </is>
      </c>
      <c r="C109" s="36" t="inlineStr">
        <is>
          <t>Product × province</t>
        </is>
      </c>
      <c r="D109" s="36" t="inlineStr">
        <is>
          <t>Car insurance</t>
        </is>
      </c>
      <c r="E109" s="36" t="inlineStr">
        <is>
          <t>Car Insurance</t>
        </is>
      </c>
      <c r="F109" s="36" t="n"/>
      <c r="G109" s="36" t="inlineStr">
        <is>
          <t>Nunavut</t>
        </is>
      </c>
      <c r="H109" s="36" t="n"/>
      <c r="I109" s="36" t="inlineStr">
        <is>
          <t>No</t>
        </is>
      </c>
      <c r="J109" s="25" t="inlineStr">
        <is>
          <t>Car Insurance in Nunavut: Costs, Rules &amp; Quotes (2026)</t>
        </is>
      </c>
      <c r="K109" s="36">
        <f>LEN(J109)</f>
        <v/>
      </c>
      <c r="L109" s="25" t="inlineStr">
        <is>
          <t>Car Insurance in Nunavut: how it works under the Nunavut Superintendent, what drives price, instant estimates and a waitlist for licensed advice in Nunavut.</t>
        </is>
      </c>
      <c r="M109" s="36">
        <f>LEN(L109)</f>
        <v/>
      </c>
      <c r="N109" s="25" t="inlineStr">
        <is>
          <t>Car Insurance in Nunavut</t>
        </is>
      </c>
      <c r="O109" s="36" t="n"/>
      <c r="P109" s="37" t="n"/>
      <c r="Q109" s="36" t="n"/>
      <c r="R109" s="36" t="inlineStr">
        <is>
          <t>car insurance nunavut</t>
        </is>
      </c>
      <c r="S109" s="36">
        <f>COUNTIF('Page-Keyword Map'!$A$2:$A$675,B109)</f>
        <v/>
      </c>
      <c r="T109" s="37">
        <f>SUMIF('Page-Keyword Map'!$A$2:$A$675,B109,'Page-Keyword Map'!$H$2:$H$675)</f>
        <v/>
      </c>
      <c r="U109" s="36">
        <f>COUNTIFS('Page-Keyword Map'!$A$2:$A$675,B109,'Page-Keyword Map'!$E$2:$E$675,"Nationwide")</f>
        <v/>
      </c>
      <c r="V109" s="36">
        <f>COUNTIFS('Page-Keyword Map'!$A$2:$A$675,B109,'Page-Keyword Map'!$E$2:$E$675,"Provincial")</f>
        <v/>
      </c>
      <c r="W109" s="36">
        <f>COUNTIFS('Page-Keyword Map'!$A$2:$A$675,B109,'Page-Keyword Map'!$E$2:$E$675,"City")</f>
        <v/>
      </c>
      <c r="X109" s="36">
        <f>IF(O109="","",IF(ISNUMBER(SEARCH(O109,J109)),"Yes","No"))</f>
        <v/>
      </c>
      <c r="Y109" s="36" t="n">
        <v>0.7</v>
      </c>
      <c r="Z109" s="36" t="inlineStr">
        <is>
          <t>(not listed: noindex)</t>
        </is>
      </c>
      <c r="AA109" s="36" t="inlineStr">
        <is>
          <t>Live – noindex (enrich before indexing)</t>
        </is>
      </c>
      <c r="AB109" s="38" t="n"/>
      <c r="AC109" s="38" t="n"/>
    </row>
    <row r="110" ht="23.85" customHeight="1" s="22">
      <c r="A110" s="36" t="inlineStr">
        <is>
          <t>P0109</t>
        </is>
      </c>
      <c r="B110" s="36" t="inlineStr">
        <is>
          <t>https://instasure.ca/car-insurance/ontario/</t>
        </is>
      </c>
      <c r="C110" s="36" t="inlineStr">
        <is>
          <t>Product × province</t>
        </is>
      </c>
      <c r="D110" s="36" t="inlineStr">
        <is>
          <t>Car insurance</t>
        </is>
      </c>
      <c r="E110" s="36" t="inlineStr">
        <is>
          <t>Car Insurance</t>
        </is>
      </c>
      <c r="F110" s="36" t="n"/>
      <c r="G110" s="36" t="inlineStr">
        <is>
          <t>Ontario</t>
        </is>
      </c>
      <c r="H110" s="36" t="n"/>
      <c r="I110" s="36" t="inlineStr">
        <is>
          <t>Yes</t>
        </is>
      </c>
      <c r="J110" s="25" t="inlineStr">
        <is>
          <t>Car Insurance in Ontario: Costs, Rules &amp; Quotes (2026)</t>
        </is>
      </c>
      <c r="K110" s="36">
        <f>LEN(J110)</f>
        <v/>
      </c>
      <c r="L110" s="25" t="inlineStr">
        <is>
          <t>Car Insurance in Ontario: how it works under FSRA, what drives price, instant estimates and advisors licensed in Ontario.</t>
        </is>
      </c>
      <c r="M110" s="36">
        <f>LEN(L110)</f>
        <v/>
      </c>
      <c r="N110" s="25" t="inlineStr">
        <is>
          <t>Car Insurance in Ontario</t>
        </is>
      </c>
      <c r="O110" s="36" t="inlineStr">
        <is>
          <t>car insurance ontario</t>
        </is>
      </c>
      <c r="P110" s="37" t="n">
        <v>12000</v>
      </c>
      <c r="Q110" s="36" t="inlineStr">
        <is>
          <t>Provincial</t>
        </is>
      </c>
      <c r="R110" s="36" t="n"/>
      <c r="S110" s="36">
        <f>COUNTIF('Page-Keyword Map'!$A$2:$A$675,B110)</f>
        <v/>
      </c>
      <c r="T110" s="37">
        <f>SUMIF('Page-Keyword Map'!$A$2:$A$675,B110,'Page-Keyword Map'!$H$2:$H$675)</f>
        <v/>
      </c>
      <c r="U110" s="36">
        <f>COUNTIFS('Page-Keyword Map'!$A$2:$A$675,B110,'Page-Keyword Map'!$E$2:$E$675,"Nationwide")</f>
        <v/>
      </c>
      <c r="V110" s="36">
        <f>COUNTIFS('Page-Keyword Map'!$A$2:$A$675,B110,'Page-Keyword Map'!$E$2:$E$675,"Provincial")</f>
        <v/>
      </c>
      <c r="W110" s="36">
        <f>COUNTIFS('Page-Keyword Map'!$A$2:$A$675,B110,'Page-Keyword Map'!$E$2:$E$675,"City")</f>
        <v/>
      </c>
      <c r="X110" s="36">
        <f>IF(O110="","",IF(ISNUMBER(SEARCH(O110,J110)),"Yes","No"))</f>
        <v/>
      </c>
      <c r="Y110" s="36" t="n">
        <v>0.7</v>
      </c>
      <c r="Z110" s="36" t="inlineStr">
        <is>
          <t>sitemap-provinces.xml</t>
        </is>
      </c>
      <c r="AA110" s="36" t="inlineStr">
        <is>
          <t>Live – indexable</t>
        </is>
      </c>
      <c r="AB110" s="38" t="n"/>
      <c r="AC110" s="38" t="n"/>
    </row>
    <row r="111" ht="23.85" customHeight="1" s="22">
      <c r="A111" s="36" t="inlineStr">
        <is>
          <t>P0110</t>
        </is>
      </c>
      <c r="B111" s="36" t="inlineStr">
        <is>
          <t>https://instasure.ca/car-insurance/prince-edward-island/</t>
        </is>
      </c>
      <c r="C111" s="36" t="inlineStr">
        <is>
          <t>Product × province</t>
        </is>
      </c>
      <c r="D111" s="36" t="inlineStr">
        <is>
          <t>Car insurance</t>
        </is>
      </c>
      <c r="E111" s="36" t="inlineStr">
        <is>
          <t>Car Insurance</t>
        </is>
      </c>
      <c r="F111" s="36" t="n"/>
      <c r="G111" s="36" t="inlineStr">
        <is>
          <t>Prince Edward Island</t>
        </is>
      </c>
      <c r="H111" s="36" t="n"/>
      <c r="I111" s="36" t="inlineStr">
        <is>
          <t>Yes</t>
        </is>
      </c>
      <c r="J111" s="25" t="inlineStr">
        <is>
          <t>Car Insurance in Prince Edward Island: Costs, Rules &amp; Quotes (2026)</t>
        </is>
      </c>
      <c r="K111" s="36">
        <f>LEN(J111)</f>
        <v/>
      </c>
      <c r="L111" s="25" t="inlineStr">
        <is>
          <t>Car Insurance in Prince Edward Island: how it works under the PEI Superintendent, what drives price, instant estimates and advisors licensed in Prince Edward Island.</t>
        </is>
      </c>
      <c r="M111" s="36">
        <f>LEN(L111)</f>
        <v/>
      </c>
      <c r="N111" s="25" t="inlineStr">
        <is>
          <t>Car Insurance in Prince Edward Island</t>
        </is>
      </c>
      <c r="O111" s="36" t="inlineStr">
        <is>
          <t>car insurance pei</t>
        </is>
      </c>
      <c r="P111" s="37" t="n">
        <v>190</v>
      </c>
      <c r="Q111" s="36" t="inlineStr">
        <is>
          <t>Provincial</t>
        </is>
      </c>
      <c r="R111" s="36" t="n"/>
      <c r="S111" s="36">
        <f>COUNTIF('Page-Keyword Map'!$A$2:$A$675,B111)</f>
        <v/>
      </c>
      <c r="T111" s="37">
        <f>SUMIF('Page-Keyword Map'!$A$2:$A$675,B111,'Page-Keyword Map'!$H$2:$H$675)</f>
        <v/>
      </c>
      <c r="U111" s="36">
        <f>COUNTIFS('Page-Keyword Map'!$A$2:$A$675,B111,'Page-Keyword Map'!$E$2:$E$675,"Nationwide")</f>
        <v/>
      </c>
      <c r="V111" s="36">
        <f>COUNTIFS('Page-Keyword Map'!$A$2:$A$675,B111,'Page-Keyword Map'!$E$2:$E$675,"Provincial")</f>
        <v/>
      </c>
      <c r="W111" s="36">
        <f>COUNTIFS('Page-Keyword Map'!$A$2:$A$675,B111,'Page-Keyword Map'!$E$2:$E$675,"City")</f>
        <v/>
      </c>
      <c r="X111" s="36">
        <f>IF(O111="","",IF(ISNUMBER(SEARCH(O111,J111)),"Yes","No"))</f>
        <v/>
      </c>
      <c r="Y111" s="36" t="n">
        <v>0.7</v>
      </c>
      <c r="Z111" s="36" t="inlineStr">
        <is>
          <t>sitemap-provinces.xml</t>
        </is>
      </c>
      <c r="AA111" s="36" t="inlineStr">
        <is>
          <t>Live – indexable</t>
        </is>
      </c>
      <c r="AB111" s="38" t="n"/>
      <c r="AC111" s="38" t="n"/>
    </row>
    <row r="112" ht="23.85" customHeight="1" s="22">
      <c r="A112" s="36" t="inlineStr">
        <is>
          <t>P0111</t>
        </is>
      </c>
      <c r="B112" s="36" t="inlineStr">
        <is>
          <t>https://instasure.ca/car-insurance/quebec/</t>
        </is>
      </c>
      <c r="C112" s="36" t="inlineStr">
        <is>
          <t>Product × province</t>
        </is>
      </c>
      <c r="D112" s="36" t="inlineStr">
        <is>
          <t>Car insurance</t>
        </is>
      </c>
      <c r="E112" s="36" t="inlineStr">
        <is>
          <t>Car Insurance</t>
        </is>
      </c>
      <c r="F112" s="36" t="n"/>
      <c r="G112" s="36" t="inlineStr">
        <is>
          <t>Quebec</t>
        </is>
      </c>
      <c r="H112" s="36" t="n"/>
      <c r="I112" s="36" t="inlineStr">
        <is>
          <t>Yes</t>
        </is>
      </c>
      <c r="J112" s="25" t="inlineStr">
        <is>
          <t>Car Insurance in Quebec: Costs, Rules &amp; Quotes (2026)</t>
        </is>
      </c>
      <c r="K112" s="36">
        <f>LEN(J112)</f>
        <v/>
      </c>
      <c r="L112" s="25" t="inlineStr">
        <is>
          <t>Car Insurance in Quebec: how it works under AMF, what drives price, instant estimates and a waitlist for licensed advice in Quebec.</t>
        </is>
      </c>
      <c r="M112" s="36">
        <f>LEN(L112)</f>
        <v/>
      </c>
      <c r="N112" s="25" t="inlineStr">
        <is>
          <t>Car Insurance in Quebec</t>
        </is>
      </c>
      <c r="O112" s="36" t="inlineStr">
        <is>
          <t>car insurance quebec</t>
        </is>
      </c>
      <c r="P112" s="37" t="n">
        <v>2200</v>
      </c>
      <c r="Q112" s="36" t="inlineStr">
        <is>
          <t>Provincial</t>
        </is>
      </c>
      <c r="R112" s="36" t="n"/>
      <c r="S112" s="36">
        <f>COUNTIF('Page-Keyword Map'!$A$2:$A$675,B112)</f>
        <v/>
      </c>
      <c r="T112" s="37">
        <f>SUMIF('Page-Keyword Map'!$A$2:$A$675,B112,'Page-Keyword Map'!$H$2:$H$675)</f>
        <v/>
      </c>
      <c r="U112" s="36">
        <f>COUNTIFS('Page-Keyword Map'!$A$2:$A$675,B112,'Page-Keyword Map'!$E$2:$E$675,"Nationwide")</f>
        <v/>
      </c>
      <c r="V112" s="36">
        <f>COUNTIFS('Page-Keyword Map'!$A$2:$A$675,B112,'Page-Keyword Map'!$E$2:$E$675,"Provincial")</f>
        <v/>
      </c>
      <c r="W112" s="36">
        <f>COUNTIFS('Page-Keyword Map'!$A$2:$A$675,B112,'Page-Keyword Map'!$E$2:$E$675,"City")</f>
        <v/>
      </c>
      <c r="X112" s="36">
        <f>IF(O112="","",IF(ISNUMBER(SEARCH(O112,J112)),"Yes","No"))</f>
        <v/>
      </c>
      <c r="Y112" s="36" t="n">
        <v>0.7</v>
      </c>
      <c r="Z112" s="36" t="inlineStr">
        <is>
          <t>sitemap-provinces.xml</t>
        </is>
      </c>
      <c r="AA112" s="36" t="inlineStr">
        <is>
          <t>Live – indexable</t>
        </is>
      </c>
      <c r="AB112" s="38" t="n"/>
      <c r="AC112" s="38" t="n"/>
    </row>
    <row r="113" ht="23.85" customHeight="1" s="22">
      <c r="A113" s="36" t="inlineStr">
        <is>
          <t>P0112</t>
        </is>
      </c>
      <c r="B113" s="36" t="inlineStr">
        <is>
          <t>https://instasure.ca/car-insurance/saskatchewan/</t>
        </is>
      </c>
      <c r="C113" s="36" t="inlineStr">
        <is>
          <t>Product × province</t>
        </is>
      </c>
      <c r="D113" s="36" t="inlineStr">
        <is>
          <t>Car insurance</t>
        </is>
      </c>
      <c r="E113" s="36" t="inlineStr">
        <is>
          <t>Car Insurance</t>
        </is>
      </c>
      <c r="F113" s="36" t="n"/>
      <c r="G113" s="36" t="inlineStr">
        <is>
          <t>Saskatchewan</t>
        </is>
      </c>
      <c r="H113" s="36" t="n"/>
      <c r="I113" s="36" t="inlineStr">
        <is>
          <t>Yes</t>
        </is>
      </c>
      <c r="J113" s="25" t="inlineStr">
        <is>
          <t>Car Insurance in Saskatchewan: Costs, Rules &amp; Quotes (2026)</t>
        </is>
      </c>
      <c r="K113" s="36">
        <f>LEN(J113)</f>
        <v/>
      </c>
      <c r="L113" s="25" t="inlineStr">
        <is>
          <t>Car Insurance in Saskatchewan: how it works under FCAA, what drives price, instant estimates and advisors licensed in Saskatchewan.</t>
        </is>
      </c>
      <c r="M113" s="36">
        <f>LEN(L113)</f>
        <v/>
      </c>
      <c r="N113" s="25" t="inlineStr">
        <is>
          <t>Car Insurance in Saskatchewan</t>
        </is>
      </c>
      <c r="O113" s="36" t="inlineStr">
        <is>
          <t>car insurance saskatchewan</t>
        </is>
      </c>
      <c r="P113" s="37" t="n">
        <v>570</v>
      </c>
      <c r="Q113" s="36" t="inlineStr">
        <is>
          <t>Provincial</t>
        </is>
      </c>
      <c r="R113" s="36" t="n"/>
      <c r="S113" s="36">
        <f>COUNTIF('Page-Keyword Map'!$A$2:$A$675,B113)</f>
        <v/>
      </c>
      <c r="T113" s="37">
        <f>SUMIF('Page-Keyword Map'!$A$2:$A$675,B113,'Page-Keyword Map'!$H$2:$H$675)</f>
        <v/>
      </c>
      <c r="U113" s="36">
        <f>COUNTIFS('Page-Keyword Map'!$A$2:$A$675,B113,'Page-Keyword Map'!$E$2:$E$675,"Nationwide")</f>
        <v/>
      </c>
      <c r="V113" s="36">
        <f>COUNTIFS('Page-Keyword Map'!$A$2:$A$675,B113,'Page-Keyword Map'!$E$2:$E$675,"Provincial")</f>
        <v/>
      </c>
      <c r="W113" s="36">
        <f>COUNTIFS('Page-Keyword Map'!$A$2:$A$675,B113,'Page-Keyword Map'!$E$2:$E$675,"City")</f>
        <v/>
      </c>
      <c r="X113" s="36">
        <f>IF(O113="","",IF(ISNUMBER(SEARCH(O113,J113)),"Yes","No"))</f>
        <v/>
      </c>
      <c r="Y113" s="36" t="n">
        <v>0.7</v>
      </c>
      <c r="Z113" s="36" t="inlineStr">
        <is>
          <t>sitemap-provinces.xml</t>
        </is>
      </c>
      <c r="AA113" s="36" t="inlineStr">
        <is>
          <t>Live – indexable</t>
        </is>
      </c>
      <c r="AB113" s="38" t="n"/>
      <c r="AC113" s="38" t="n"/>
    </row>
    <row r="114" ht="23.85" customHeight="1" s="22">
      <c r="A114" s="36" t="inlineStr">
        <is>
          <t>P0113</t>
        </is>
      </c>
      <c r="B114" s="36" t="inlineStr">
        <is>
          <t>https://instasure.ca/car-insurance/yukon/</t>
        </is>
      </c>
      <c r="C114" s="36" t="inlineStr">
        <is>
          <t>Product × province</t>
        </is>
      </c>
      <c r="D114" s="36" t="inlineStr">
        <is>
          <t>Car insurance</t>
        </is>
      </c>
      <c r="E114" s="36" t="inlineStr">
        <is>
          <t>Car Insurance</t>
        </is>
      </c>
      <c r="F114" s="36" t="n"/>
      <c r="G114" s="36" t="inlineStr">
        <is>
          <t>Yukon</t>
        </is>
      </c>
      <c r="H114" s="36" t="n"/>
      <c r="I114" s="36" t="inlineStr">
        <is>
          <t>No</t>
        </is>
      </c>
      <c r="J114" s="25" t="inlineStr">
        <is>
          <t>Car Insurance in Yukon: Costs, Rules &amp; Quotes (2026)</t>
        </is>
      </c>
      <c r="K114" s="36">
        <f>LEN(J114)</f>
        <v/>
      </c>
      <c r="L114" s="25" t="inlineStr">
        <is>
          <t>Car Insurance in Yukon: how it works under the Yukon Superintendent, what drives price, instant estimates and a waitlist for licensed advice in Yukon.</t>
        </is>
      </c>
      <c r="M114" s="36">
        <f>LEN(L114)</f>
        <v/>
      </c>
      <c r="N114" s="25" t="inlineStr">
        <is>
          <t>Car Insurance in Yukon</t>
        </is>
      </c>
      <c r="O114" s="36" t="n"/>
      <c r="P114" s="37" t="n"/>
      <c r="Q114" s="36" t="n"/>
      <c r="R114" s="36" t="inlineStr">
        <is>
          <t>car insurance yukon</t>
        </is>
      </c>
      <c r="S114" s="36">
        <f>COUNTIF('Page-Keyword Map'!$A$2:$A$675,B114)</f>
        <v/>
      </c>
      <c r="T114" s="37">
        <f>SUMIF('Page-Keyword Map'!$A$2:$A$675,B114,'Page-Keyword Map'!$H$2:$H$675)</f>
        <v/>
      </c>
      <c r="U114" s="36">
        <f>COUNTIFS('Page-Keyword Map'!$A$2:$A$675,B114,'Page-Keyword Map'!$E$2:$E$675,"Nationwide")</f>
        <v/>
      </c>
      <c r="V114" s="36">
        <f>COUNTIFS('Page-Keyword Map'!$A$2:$A$675,B114,'Page-Keyword Map'!$E$2:$E$675,"Provincial")</f>
        <v/>
      </c>
      <c r="W114" s="36">
        <f>COUNTIFS('Page-Keyword Map'!$A$2:$A$675,B114,'Page-Keyword Map'!$E$2:$E$675,"City")</f>
        <v/>
      </c>
      <c r="X114" s="36">
        <f>IF(O114="","",IF(ISNUMBER(SEARCH(O114,J114)),"Yes","No"))</f>
        <v/>
      </c>
      <c r="Y114" s="36" t="n">
        <v>0.7</v>
      </c>
      <c r="Z114" s="36" t="inlineStr">
        <is>
          <t>(not listed: noindex)</t>
        </is>
      </c>
      <c r="AA114" s="36" t="inlineStr">
        <is>
          <t>Live – noindex (enrich before indexing)</t>
        </is>
      </c>
      <c r="AB114" s="38" t="n"/>
      <c r="AC114" s="38" t="n"/>
    </row>
    <row r="115" ht="23.85" customHeight="1" s="22">
      <c r="A115" s="36" t="inlineStr">
        <is>
          <t>P0114</t>
        </is>
      </c>
      <c r="B115" s="36" t="inlineStr">
        <is>
          <t>https://instasure.ca/condo-insurance/alberta/</t>
        </is>
      </c>
      <c r="C115" s="36" t="inlineStr">
        <is>
          <t>Product × province</t>
        </is>
      </c>
      <c r="D115" s="36" t="inlineStr">
        <is>
          <t>Condo insurance</t>
        </is>
      </c>
      <c r="E115" s="36" t="inlineStr">
        <is>
          <t>Condo Insurance</t>
        </is>
      </c>
      <c r="F115" s="36" t="n"/>
      <c r="G115" s="36" t="inlineStr">
        <is>
          <t>Alberta</t>
        </is>
      </c>
      <c r="H115" s="36" t="n"/>
      <c r="I115" s="36" t="inlineStr">
        <is>
          <t>Yes</t>
        </is>
      </c>
      <c r="J115" s="25" t="inlineStr">
        <is>
          <t>Condo Insurance in Alberta: Costs, Rules &amp; Quotes (2026)</t>
        </is>
      </c>
      <c r="K115" s="36">
        <f>LEN(J115)</f>
        <v/>
      </c>
      <c r="L115" s="25" t="inlineStr">
        <is>
          <t>Condo Insurance in Alberta: how it works under the Superintendent of Insurance, what drives price, instant estimates and advisors licensed in Alberta.</t>
        </is>
      </c>
      <c r="M115" s="36">
        <f>LEN(L115)</f>
        <v/>
      </c>
      <c r="N115" s="25" t="inlineStr">
        <is>
          <t>Condo Insurance in Alberta</t>
        </is>
      </c>
      <c r="O115" s="36" t="inlineStr">
        <is>
          <t>condo insurance alberta</t>
        </is>
      </c>
      <c r="P115" s="37" t="n">
        <v>220</v>
      </c>
      <c r="Q115" s="36" t="inlineStr">
        <is>
          <t>Provincial</t>
        </is>
      </c>
      <c r="R115" s="36" t="n"/>
      <c r="S115" s="36">
        <f>COUNTIF('Page-Keyword Map'!$A$2:$A$675,B115)</f>
        <v/>
      </c>
      <c r="T115" s="37">
        <f>SUMIF('Page-Keyword Map'!$A$2:$A$675,B115,'Page-Keyword Map'!$H$2:$H$675)</f>
        <v/>
      </c>
      <c r="U115" s="36">
        <f>COUNTIFS('Page-Keyword Map'!$A$2:$A$675,B115,'Page-Keyword Map'!$E$2:$E$675,"Nationwide")</f>
        <v/>
      </c>
      <c r="V115" s="36">
        <f>COUNTIFS('Page-Keyword Map'!$A$2:$A$675,B115,'Page-Keyword Map'!$E$2:$E$675,"Provincial")</f>
        <v/>
      </c>
      <c r="W115" s="36">
        <f>COUNTIFS('Page-Keyword Map'!$A$2:$A$675,B115,'Page-Keyword Map'!$E$2:$E$675,"City")</f>
        <v/>
      </c>
      <c r="X115" s="36">
        <f>IF(O115="","",IF(ISNUMBER(SEARCH(O115,J115)),"Yes","No"))</f>
        <v/>
      </c>
      <c r="Y115" s="36" t="n">
        <v>0.7</v>
      </c>
      <c r="Z115" s="36" t="inlineStr">
        <is>
          <t>sitemap-provinces.xml</t>
        </is>
      </c>
      <c r="AA115" s="36" t="inlineStr">
        <is>
          <t>Live – indexable</t>
        </is>
      </c>
      <c r="AB115" s="38" t="n"/>
      <c r="AC115" s="38" t="n"/>
    </row>
    <row r="116" ht="23.85" customHeight="1" s="22">
      <c r="A116" s="36" t="inlineStr">
        <is>
          <t>P0115</t>
        </is>
      </c>
      <c r="B116" s="36" t="inlineStr">
        <is>
          <t>https://instasure.ca/condo-insurance/british-columbia/</t>
        </is>
      </c>
      <c r="C116" s="36" t="inlineStr">
        <is>
          <t>Product × province</t>
        </is>
      </c>
      <c r="D116" s="36" t="inlineStr">
        <is>
          <t>Condo insurance</t>
        </is>
      </c>
      <c r="E116" s="36" t="inlineStr">
        <is>
          <t>Condo Insurance</t>
        </is>
      </c>
      <c r="F116" s="36" t="n"/>
      <c r="G116" s="36" t="inlineStr">
        <is>
          <t>British Columbia</t>
        </is>
      </c>
      <c r="H116" s="36" t="n"/>
      <c r="I116" s="36" t="inlineStr">
        <is>
          <t>Yes</t>
        </is>
      </c>
      <c r="J116" s="25" t="inlineStr">
        <is>
          <t>Condo Insurance in British Columbia: Costs, Rules &amp; Quotes (2026)</t>
        </is>
      </c>
      <c r="K116" s="36">
        <f>LEN(J116)</f>
        <v/>
      </c>
      <c r="L116" s="25" t="inlineStr">
        <is>
          <t>Condo Insurance in British Columbia: how it works under BCFSA, what drives price, instant estimates and advisors licensed in British Columbia.</t>
        </is>
      </c>
      <c r="M116" s="36">
        <f>LEN(L116)</f>
        <v/>
      </c>
      <c r="N116" s="25" t="inlineStr">
        <is>
          <t>Condo Insurance in British Columbia</t>
        </is>
      </c>
      <c r="O116" s="36" t="inlineStr">
        <is>
          <t>condo insurance bc</t>
        </is>
      </c>
      <c r="P116" s="37" t="n">
        <v>260</v>
      </c>
      <c r="Q116" s="36" t="inlineStr">
        <is>
          <t>Provincial</t>
        </is>
      </c>
      <c r="R116" s="36" t="n"/>
      <c r="S116" s="36">
        <f>COUNTIF('Page-Keyword Map'!$A$2:$A$675,B116)</f>
        <v/>
      </c>
      <c r="T116" s="37">
        <f>SUMIF('Page-Keyword Map'!$A$2:$A$675,B116,'Page-Keyword Map'!$H$2:$H$675)</f>
        <v/>
      </c>
      <c r="U116" s="36">
        <f>COUNTIFS('Page-Keyword Map'!$A$2:$A$675,B116,'Page-Keyword Map'!$E$2:$E$675,"Nationwide")</f>
        <v/>
      </c>
      <c r="V116" s="36">
        <f>COUNTIFS('Page-Keyword Map'!$A$2:$A$675,B116,'Page-Keyword Map'!$E$2:$E$675,"Provincial")</f>
        <v/>
      </c>
      <c r="W116" s="36">
        <f>COUNTIFS('Page-Keyword Map'!$A$2:$A$675,B116,'Page-Keyword Map'!$E$2:$E$675,"City")</f>
        <v/>
      </c>
      <c r="X116" s="36">
        <f>IF(O116="","",IF(ISNUMBER(SEARCH(O116,J116)),"Yes","No"))</f>
        <v/>
      </c>
      <c r="Y116" s="36" t="n">
        <v>0.7</v>
      </c>
      <c r="Z116" s="36" t="inlineStr">
        <is>
          <t>sitemap-provinces.xml</t>
        </is>
      </c>
      <c r="AA116" s="36" t="inlineStr">
        <is>
          <t>Live – indexable</t>
        </is>
      </c>
      <c r="AB116" s="38" t="n"/>
      <c r="AC116" s="38" t="n"/>
    </row>
    <row r="117" ht="23.85" customHeight="1" s="22">
      <c r="A117" s="36" t="inlineStr">
        <is>
          <t>P0116</t>
        </is>
      </c>
      <c r="B117" s="36" t="inlineStr">
        <is>
          <t>https://instasure.ca/condo-insurance/manitoba/</t>
        </is>
      </c>
      <c r="C117" s="36" t="inlineStr">
        <is>
          <t>Product × province</t>
        </is>
      </c>
      <c r="D117" s="36" t="inlineStr">
        <is>
          <t>Condo insurance</t>
        </is>
      </c>
      <c r="E117" s="36" t="inlineStr">
        <is>
          <t>Condo Insurance</t>
        </is>
      </c>
      <c r="F117" s="36" t="n"/>
      <c r="G117" s="36" t="inlineStr">
        <is>
          <t>Manitoba</t>
        </is>
      </c>
      <c r="H117" s="36" t="n"/>
      <c r="I117" s="36" t="inlineStr">
        <is>
          <t>Yes</t>
        </is>
      </c>
      <c r="J117" s="25" t="inlineStr">
        <is>
          <t>Condo Insurance in Manitoba: Costs, Rules &amp; Quotes (2026)</t>
        </is>
      </c>
      <c r="K117" s="36">
        <f>LEN(J117)</f>
        <v/>
      </c>
      <c r="L117" s="25" t="inlineStr">
        <is>
          <t>Condo Insurance in Manitoba: how it works under FIRB, what drives price, instant estimates and advisors licensed in Manitoba.</t>
        </is>
      </c>
      <c r="M117" s="36">
        <f>LEN(L117)</f>
        <v/>
      </c>
      <c r="N117" s="25" t="inlineStr">
        <is>
          <t>Condo Insurance in Manitoba</t>
        </is>
      </c>
      <c r="O117" s="36" t="inlineStr">
        <is>
          <t>condo insurance manitoba</t>
        </is>
      </c>
      <c r="P117" s="37" t="n">
        <v>78</v>
      </c>
      <c r="Q117" s="36" t="inlineStr">
        <is>
          <t>Provincial</t>
        </is>
      </c>
      <c r="R117" s="36" t="n"/>
      <c r="S117" s="36">
        <f>COUNTIF('Page-Keyword Map'!$A$2:$A$675,B117)</f>
        <v/>
      </c>
      <c r="T117" s="37">
        <f>SUMIF('Page-Keyword Map'!$A$2:$A$675,B117,'Page-Keyword Map'!$H$2:$H$675)</f>
        <v/>
      </c>
      <c r="U117" s="36">
        <f>COUNTIFS('Page-Keyword Map'!$A$2:$A$675,B117,'Page-Keyword Map'!$E$2:$E$675,"Nationwide")</f>
        <v/>
      </c>
      <c r="V117" s="36">
        <f>COUNTIFS('Page-Keyword Map'!$A$2:$A$675,B117,'Page-Keyword Map'!$E$2:$E$675,"Provincial")</f>
        <v/>
      </c>
      <c r="W117" s="36">
        <f>COUNTIFS('Page-Keyword Map'!$A$2:$A$675,B117,'Page-Keyword Map'!$E$2:$E$675,"City")</f>
        <v/>
      </c>
      <c r="X117" s="36">
        <f>IF(O117="","",IF(ISNUMBER(SEARCH(O117,J117)),"Yes","No"))</f>
        <v/>
      </c>
      <c r="Y117" s="36" t="n">
        <v>0.7</v>
      </c>
      <c r="Z117" s="36" t="inlineStr">
        <is>
          <t>sitemap-provinces.xml</t>
        </is>
      </c>
      <c r="AA117" s="36" t="inlineStr">
        <is>
          <t>Live – indexable</t>
        </is>
      </c>
      <c r="AB117" s="38" t="n"/>
      <c r="AC117" s="38" t="n"/>
    </row>
    <row r="118" ht="23.85" customHeight="1" s="22">
      <c r="A118" s="36" t="inlineStr">
        <is>
          <t>P0117</t>
        </is>
      </c>
      <c r="B118" s="36" t="inlineStr">
        <is>
          <t>https://instasure.ca/condo-insurance/new-brunswick/</t>
        </is>
      </c>
      <c r="C118" s="36" t="inlineStr">
        <is>
          <t>Product × province</t>
        </is>
      </c>
      <c r="D118" s="36" t="inlineStr">
        <is>
          <t>Condo insurance</t>
        </is>
      </c>
      <c r="E118" s="36" t="inlineStr">
        <is>
          <t>Condo Insurance</t>
        </is>
      </c>
      <c r="F118" s="36" t="n"/>
      <c r="G118" s="36" t="inlineStr">
        <is>
          <t>New Brunswick</t>
        </is>
      </c>
      <c r="H118" s="36" t="n"/>
      <c r="I118" s="36" t="inlineStr">
        <is>
          <t>Yes</t>
        </is>
      </c>
      <c r="J118" s="25" t="inlineStr">
        <is>
          <t>Condo Insurance in New Brunswick: Costs, Rules &amp; Quotes (2026)</t>
        </is>
      </c>
      <c r="K118" s="36">
        <f>LEN(J118)</f>
        <v/>
      </c>
      <c r="L118" s="25" t="inlineStr">
        <is>
          <t>Condo Insurance in New Brunswick: how it works under FCNB, what drives price, instant estimates and advisors licensed in New Brunswick.</t>
        </is>
      </c>
      <c r="M118" s="36">
        <f>LEN(L118)</f>
        <v/>
      </c>
      <c r="N118" s="25" t="inlineStr">
        <is>
          <t>Condo Insurance in New Brunswick</t>
        </is>
      </c>
      <c r="O118" s="36" t="inlineStr">
        <is>
          <t>condo insurance new brunswick</t>
        </is>
      </c>
      <c r="P118" s="37" t="n">
        <v>48</v>
      </c>
      <c r="Q118" s="36" t="inlineStr">
        <is>
          <t>Provincial</t>
        </is>
      </c>
      <c r="R118" s="36" t="n"/>
      <c r="S118" s="36">
        <f>COUNTIF('Page-Keyword Map'!$A$2:$A$675,B118)</f>
        <v/>
      </c>
      <c r="T118" s="37">
        <f>SUMIF('Page-Keyword Map'!$A$2:$A$675,B118,'Page-Keyword Map'!$H$2:$H$675)</f>
        <v/>
      </c>
      <c r="U118" s="36">
        <f>COUNTIFS('Page-Keyword Map'!$A$2:$A$675,B118,'Page-Keyword Map'!$E$2:$E$675,"Nationwide")</f>
        <v/>
      </c>
      <c r="V118" s="36">
        <f>COUNTIFS('Page-Keyword Map'!$A$2:$A$675,B118,'Page-Keyword Map'!$E$2:$E$675,"Provincial")</f>
        <v/>
      </c>
      <c r="W118" s="36">
        <f>COUNTIFS('Page-Keyword Map'!$A$2:$A$675,B118,'Page-Keyword Map'!$E$2:$E$675,"City")</f>
        <v/>
      </c>
      <c r="X118" s="36">
        <f>IF(O118="","",IF(ISNUMBER(SEARCH(O118,J118)),"Yes","No"))</f>
        <v/>
      </c>
      <c r="Y118" s="36" t="n">
        <v>0.7</v>
      </c>
      <c r="Z118" s="36" t="inlineStr">
        <is>
          <t>sitemap-provinces.xml</t>
        </is>
      </c>
      <c r="AA118" s="36" t="inlineStr">
        <is>
          <t>Live – indexable</t>
        </is>
      </c>
      <c r="AB118" s="38" t="n"/>
      <c r="AC118" s="38" t="n"/>
    </row>
    <row r="119" ht="23.85" customHeight="1" s="22">
      <c r="A119" s="36" t="inlineStr">
        <is>
          <t>P0118</t>
        </is>
      </c>
      <c r="B119" s="36" t="inlineStr">
        <is>
          <t>https://instasure.ca/condo-insurance/newfoundland-and-labrador/</t>
        </is>
      </c>
      <c r="C119" s="36" t="inlineStr">
        <is>
          <t>Product × province</t>
        </is>
      </c>
      <c r="D119" s="36" t="inlineStr">
        <is>
          <t>Condo insurance</t>
        </is>
      </c>
      <c r="E119" s="36" t="inlineStr">
        <is>
          <t>Condo Insurance</t>
        </is>
      </c>
      <c r="F119" s="36" t="n"/>
      <c r="G119" s="36" t="inlineStr">
        <is>
          <t>Newfoundland and Labrador</t>
        </is>
      </c>
      <c r="H119" s="36" t="n"/>
      <c r="I119" s="36" t="inlineStr">
        <is>
          <t>Yes</t>
        </is>
      </c>
      <c r="J119" s="25" t="inlineStr">
        <is>
          <t>Condo Insurance in Newfoundland and Labrador: Costs, Rules &amp; Quotes (2026)</t>
        </is>
      </c>
      <c r="K119" s="36">
        <f>LEN(J119)</f>
        <v/>
      </c>
      <c r="L119" s="25" t="inlineStr">
        <is>
          <t>Condo Insurance in Newfoundland and Labrador: how it works under Service NL, what drives price, instant estimates and advisors licensed in Newfoundland and Labrador.</t>
        </is>
      </c>
      <c r="M119" s="36">
        <f>LEN(L119)</f>
        <v/>
      </c>
      <c r="N119" s="25" t="inlineStr">
        <is>
          <t>Condo Insurance in Newfoundland and Labrador</t>
        </is>
      </c>
      <c r="O119" s="36" t="inlineStr">
        <is>
          <t>condo insurance newfoundland</t>
        </is>
      </c>
      <c r="P119" s="37" t="n">
        <v>33</v>
      </c>
      <c r="Q119" s="36" t="inlineStr">
        <is>
          <t>Provincial</t>
        </is>
      </c>
      <c r="R119" s="36" t="n"/>
      <c r="S119" s="36">
        <f>COUNTIF('Page-Keyword Map'!$A$2:$A$675,B119)</f>
        <v/>
      </c>
      <c r="T119" s="37">
        <f>SUMIF('Page-Keyword Map'!$A$2:$A$675,B119,'Page-Keyword Map'!$H$2:$H$675)</f>
        <v/>
      </c>
      <c r="U119" s="36">
        <f>COUNTIFS('Page-Keyword Map'!$A$2:$A$675,B119,'Page-Keyword Map'!$E$2:$E$675,"Nationwide")</f>
        <v/>
      </c>
      <c r="V119" s="36">
        <f>COUNTIFS('Page-Keyword Map'!$A$2:$A$675,B119,'Page-Keyword Map'!$E$2:$E$675,"Provincial")</f>
        <v/>
      </c>
      <c r="W119" s="36">
        <f>COUNTIFS('Page-Keyword Map'!$A$2:$A$675,B119,'Page-Keyword Map'!$E$2:$E$675,"City")</f>
        <v/>
      </c>
      <c r="X119" s="36">
        <f>IF(O119="","",IF(ISNUMBER(SEARCH(O119,J119)),"Yes","No"))</f>
        <v/>
      </c>
      <c r="Y119" s="36" t="n">
        <v>0.7</v>
      </c>
      <c r="Z119" s="36" t="inlineStr">
        <is>
          <t>sitemap-provinces.xml</t>
        </is>
      </c>
      <c r="AA119" s="36" t="inlineStr">
        <is>
          <t>Live – indexable</t>
        </is>
      </c>
      <c r="AB119" s="38" t="n"/>
      <c r="AC119" s="38" t="n"/>
    </row>
    <row r="120" ht="23.85" customHeight="1" s="22">
      <c r="A120" s="36" t="inlineStr">
        <is>
          <t>P0119</t>
        </is>
      </c>
      <c r="B120" s="36" t="inlineStr">
        <is>
          <t>https://instasure.ca/condo-insurance/northwest-territories/</t>
        </is>
      </c>
      <c r="C120" s="36" t="inlineStr">
        <is>
          <t>Product × province</t>
        </is>
      </c>
      <c r="D120" s="36" t="inlineStr">
        <is>
          <t>Condo insurance</t>
        </is>
      </c>
      <c r="E120" s="36" t="inlineStr">
        <is>
          <t>Condo Insurance</t>
        </is>
      </c>
      <c r="F120" s="36" t="n"/>
      <c r="G120" s="36" t="inlineStr">
        <is>
          <t>Northwest Territories</t>
        </is>
      </c>
      <c r="H120" s="36" t="n"/>
      <c r="I120" s="36" t="inlineStr">
        <is>
          <t>Yes</t>
        </is>
      </c>
      <c r="J120" s="25" t="inlineStr">
        <is>
          <t>Condo Insurance in Northwest Territories: Costs, Rules &amp; Quotes (2026)</t>
        </is>
      </c>
      <c r="K120" s="36">
        <f>LEN(J120)</f>
        <v/>
      </c>
      <c r="L120" s="25" t="inlineStr">
        <is>
          <t>Condo Insurance in Northwest Territories: how it works under the NWT Superintendent, what drives price, instant estimates and a waitlist for licensed advice in…</t>
        </is>
      </c>
      <c r="M120" s="36">
        <f>LEN(L120)</f>
        <v/>
      </c>
      <c r="N120" s="25" t="inlineStr">
        <is>
          <t>Condo Insurance in Northwest Territories</t>
        </is>
      </c>
      <c r="O120" s="36" t="n"/>
      <c r="P120" s="37" t="n"/>
      <c r="Q120" s="36" t="n"/>
      <c r="R120" s="36" t="inlineStr">
        <is>
          <t>condo insurance northwest territories</t>
        </is>
      </c>
      <c r="S120" s="36">
        <f>COUNTIF('Page-Keyword Map'!$A$2:$A$675,B120)</f>
        <v/>
      </c>
      <c r="T120" s="37">
        <f>SUMIF('Page-Keyword Map'!$A$2:$A$675,B120,'Page-Keyword Map'!$H$2:$H$675)</f>
        <v/>
      </c>
      <c r="U120" s="36">
        <f>COUNTIFS('Page-Keyword Map'!$A$2:$A$675,B120,'Page-Keyword Map'!$E$2:$E$675,"Nationwide")</f>
        <v/>
      </c>
      <c r="V120" s="36">
        <f>COUNTIFS('Page-Keyword Map'!$A$2:$A$675,B120,'Page-Keyword Map'!$E$2:$E$675,"Provincial")</f>
        <v/>
      </c>
      <c r="W120" s="36">
        <f>COUNTIFS('Page-Keyword Map'!$A$2:$A$675,B120,'Page-Keyword Map'!$E$2:$E$675,"City")</f>
        <v/>
      </c>
      <c r="X120" s="36">
        <f>IF(O120="","",IF(ISNUMBER(SEARCH(O120,J120)),"Yes","No"))</f>
        <v/>
      </c>
      <c r="Y120" s="36" t="n">
        <v>0.7</v>
      </c>
      <c r="Z120" s="36" t="inlineStr">
        <is>
          <t>sitemap-provinces.xml</t>
        </is>
      </c>
      <c r="AA120" s="36" t="inlineStr">
        <is>
          <t>Live – indexable</t>
        </is>
      </c>
      <c r="AB120" s="38" t="n"/>
      <c r="AC120" s="38" t="n"/>
    </row>
    <row r="121" ht="23.85" customHeight="1" s="22">
      <c r="A121" s="36" t="inlineStr">
        <is>
          <t>P0120</t>
        </is>
      </c>
      <c r="B121" s="36" t="inlineStr">
        <is>
          <t>https://instasure.ca/condo-insurance/nova-scotia/</t>
        </is>
      </c>
      <c r="C121" s="36" t="inlineStr">
        <is>
          <t>Product × province</t>
        </is>
      </c>
      <c r="D121" s="36" t="inlineStr">
        <is>
          <t>Condo insurance</t>
        </is>
      </c>
      <c r="E121" s="36" t="inlineStr">
        <is>
          <t>Condo Insurance</t>
        </is>
      </c>
      <c r="F121" s="36" t="n"/>
      <c r="G121" s="36" t="inlineStr">
        <is>
          <t>Nova Scotia</t>
        </is>
      </c>
      <c r="H121" s="36" t="n"/>
      <c r="I121" s="36" t="inlineStr">
        <is>
          <t>Yes</t>
        </is>
      </c>
      <c r="J121" s="25" t="inlineStr">
        <is>
          <t>Condo Insurance in Nova Scotia: Costs, Rules &amp; Quotes (2026)</t>
        </is>
      </c>
      <c r="K121" s="36">
        <f>LEN(J121)</f>
        <v/>
      </c>
      <c r="L121" s="25" t="inlineStr">
        <is>
          <t>Condo Insurance in Nova Scotia: how it works under the NS Superintendent of Insurance, what drives price, instant estimates and advisors licensed in Nova Scotia.</t>
        </is>
      </c>
      <c r="M121" s="36">
        <f>LEN(L121)</f>
        <v/>
      </c>
      <c r="N121" s="25" t="inlineStr">
        <is>
          <t>Condo Insurance in Nova Scotia</t>
        </is>
      </c>
      <c r="O121" s="36" t="inlineStr">
        <is>
          <t>condo insurance nova scotia</t>
        </is>
      </c>
      <c r="P121" s="37" t="n">
        <v>58</v>
      </c>
      <c r="Q121" s="36" t="inlineStr">
        <is>
          <t>Provincial</t>
        </is>
      </c>
      <c r="R121" s="36" t="n"/>
      <c r="S121" s="36">
        <f>COUNTIF('Page-Keyword Map'!$A$2:$A$675,B121)</f>
        <v/>
      </c>
      <c r="T121" s="37">
        <f>SUMIF('Page-Keyword Map'!$A$2:$A$675,B121,'Page-Keyword Map'!$H$2:$H$675)</f>
        <v/>
      </c>
      <c r="U121" s="36">
        <f>COUNTIFS('Page-Keyword Map'!$A$2:$A$675,B121,'Page-Keyword Map'!$E$2:$E$675,"Nationwide")</f>
        <v/>
      </c>
      <c r="V121" s="36">
        <f>COUNTIFS('Page-Keyword Map'!$A$2:$A$675,B121,'Page-Keyword Map'!$E$2:$E$675,"Provincial")</f>
        <v/>
      </c>
      <c r="W121" s="36">
        <f>COUNTIFS('Page-Keyword Map'!$A$2:$A$675,B121,'Page-Keyword Map'!$E$2:$E$675,"City")</f>
        <v/>
      </c>
      <c r="X121" s="36">
        <f>IF(O121="","",IF(ISNUMBER(SEARCH(O121,J121)),"Yes","No"))</f>
        <v/>
      </c>
      <c r="Y121" s="36" t="n">
        <v>0.7</v>
      </c>
      <c r="Z121" s="36" t="inlineStr">
        <is>
          <t>sitemap-provinces.xml</t>
        </is>
      </c>
      <c r="AA121" s="36" t="inlineStr">
        <is>
          <t>Live – indexable</t>
        </is>
      </c>
      <c r="AB121" s="38" t="n"/>
      <c r="AC121" s="38" t="n"/>
    </row>
    <row r="122" ht="23.85" customHeight="1" s="22">
      <c r="A122" s="36" t="inlineStr">
        <is>
          <t>P0121</t>
        </is>
      </c>
      <c r="B122" s="36" t="inlineStr">
        <is>
          <t>https://instasure.ca/condo-insurance/nunavut/</t>
        </is>
      </c>
      <c r="C122" s="36" t="inlineStr">
        <is>
          <t>Product × province</t>
        </is>
      </c>
      <c r="D122" s="36" t="inlineStr">
        <is>
          <t>Condo insurance</t>
        </is>
      </c>
      <c r="E122" s="36" t="inlineStr">
        <is>
          <t>Condo Insurance</t>
        </is>
      </c>
      <c r="F122" s="36" t="n"/>
      <c r="G122" s="36" t="inlineStr">
        <is>
          <t>Nunavut</t>
        </is>
      </c>
      <c r="H122" s="36" t="n"/>
      <c r="I122" s="36" t="inlineStr">
        <is>
          <t>Yes</t>
        </is>
      </c>
      <c r="J122" s="25" t="inlineStr">
        <is>
          <t>Condo Insurance in Nunavut: Costs, Rules &amp; Quotes (2026)</t>
        </is>
      </c>
      <c r="K122" s="36">
        <f>LEN(J122)</f>
        <v/>
      </c>
      <c r="L122" s="25" t="inlineStr">
        <is>
          <t>Condo Insurance in Nunavut: how it works under the Nunavut Superintendent, what drives price, instant estimates and a waitlist for licensed advice in Nunavut.</t>
        </is>
      </c>
      <c r="M122" s="36">
        <f>LEN(L122)</f>
        <v/>
      </c>
      <c r="N122" s="25" t="inlineStr">
        <is>
          <t>Condo Insurance in Nunavut</t>
        </is>
      </c>
      <c r="O122" s="36" t="n"/>
      <c r="P122" s="37" t="n"/>
      <c r="Q122" s="36" t="n"/>
      <c r="R122" s="36" t="inlineStr">
        <is>
          <t>condo insurance nunavut</t>
        </is>
      </c>
      <c r="S122" s="36">
        <f>COUNTIF('Page-Keyword Map'!$A$2:$A$675,B122)</f>
        <v/>
      </c>
      <c r="T122" s="37">
        <f>SUMIF('Page-Keyword Map'!$A$2:$A$675,B122,'Page-Keyword Map'!$H$2:$H$675)</f>
        <v/>
      </c>
      <c r="U122" s="36">
        <f>COUNTIFS('Page-Keyword Map'!$A$2:$A$675,B122,'Page-Keyword Map'!$E$2:$E$675,"Nationwide")</f>
        <v/>
      </c>
      <c r="V122" s="36">
        <f>COUNTIFS('Page-Keyword Map'!$A$2:$A$675,B122,'Page-Keyword Map'!$E$2:$E$675,"Provincial")</f>
        <v/>
      </c>
      <c r="W122" s="36">
        <f>COUNTIFS('Page-Keyword Map'!$A$2:$A$675,B122,'Page-Keyword Map'!$E$2:$E$675,"City")</f>
        <v/>
      </c>
      <c r="X122" s="36">
        <f>IF(O122="","",IF(ISNUMBER(SEARCH(O122,J122)),"Yes","No"))</f>
        <v/>
      </c>
      <c r="Y122" s="36" t="n">
        <v>0.7</v>
      </c>
      <c r="Z122" s="36" t="inlineStr">
        <is>
          <t>sitemap-provinces.xml</t>
        </is>
      </c>
      <c r="AA122" s="36" t="inlineStr">
        <is>
          <t>Live – indexable</t>
        </is>
      </c>
      <c r="AB122" s="38" t="n"/>
      <c r="AC122" s="38" t="n"/>
    </row>
    <row r="123" ht="23.85" customHeight="1" s="22">
      <c r="A123" s="36" t="inlineStr">
        <is>
          <t>P0122</t>
        </is>
      </c>
      <c r="B123" s="36" t="inlineStr">
        <is>
          <t>https://instasure.ca/condo-insurance/ontario/</t>
        </is>
      </c>
      <c r="C123" s="36" t="inlineStr">
        <is>
          <t>Product × province</t>
        </is>
      </c>
      <c r="D123" s="36" t="inlineStr">
        <is>
          <t>Condo insurance</t>
        </is>
      </c>
      <c r="E123" s="36" t="inlineStr">
        <is>
          <t>Condo Insurance</t>
        </is>
      </c>
      <c r="F123" s="36" t="n"/>
      <c r="G123" s="36" t="inlineStr">
        <is>
          <t>Ontario</t>
        </is>
      </c>
      <c r="H123" s="36" t="n"/>
      <c r="I123" s="36" t="inlineStr">
        <is>
          <t>Yes</t>
        </is>
      </c>
      <c r="J123" s="25" t="inlineStr">
        <is>
          <t>Condo Insurance in Ontario: Costs, Rules &amp; Quotes (2026)</t>
        </is>
      </c>
      <c r="K123" s="36">
        <f>LEN(J123)</f>
        <v/>
      </c>
      <c r="L123" s="25" t="inlineStr">
        <is>
          <t>Condo Insurance in Ontario: how it works under FSRA, what drives price, instant estimates and advisors licensed in Ontario.</t>
        </is>
      </c>
      <c r="M123" s="36">
        <f>LEN(L123)</f>
        <v/>
      </c>
      <c r="N123" s="25" t="inlineStr">
        <is>
          <t>Condo Insurance in Ontario</t>
        </is>
      </c>
      <c r="O123" s="36" t="inlineStr">
        <is>
          <t>condo insurance ontario</t>
        </is>
      </c>
      <c r="P123" s="37" t="n">
        <v>730</v>
      </c>
      <c r="Q123" s="36" t="inlineStr">
        <is>
          <t>Provincial</t>
        </is>
      </c>
      <c r="R123" s="36" t="n"/>
      <c r="S123" s="36">
        <f>COUNTIF('Page-Keyword Map'!$A$2:$A$675,B123)</f>
        <v/>
      </c>
      <c r="T123" s="37">
        <f>SUMIF('Page-Keyword Map'!$A$2:$A$675,B123,'Page-Keyword Map'!$H$2:$H$675)</f>
        <v/>
      </c>
      <c r="U123" s="36">
        <f>COUNTIFS('Page-Keyword Map'!$A$2:$A$675,B123,'Page-Keyword Map'!$E$2:$E$675,"Nationwide")</f>
        <v/>
      </c>
      <c r="V123" s="36">
        <f>COUNTIFS('Page-Keyword Map'!$A$2:$A$675,B123,'Page-Keyword Map'!$E$2:$E$675,"Provincial")</f>
        <v/>
      </c>
      <c r="W123" s="36">
        <f>COUNTIFS('Page-Keyword Map'!$A$2:$A$675,B123,'Page-Keyword Map'!$E$2:$E$675,"City")</f>
        <v/>
      </c>
      <c r="X123" s="36">
        <f>IF(O123="","",IF(ISNUMBER(SEARCH(O123,J123)),"Yes","No"))</f>
        <v/>
      </c>
      <c r="Y123" s="36" t="n">
        <v>0.7</v>
      </c>
      <c r="Z123" s="36" t="inlineStr">
        <is>
          <t>sitemap-provinces.xml</t>
        </is>
      </c>
      <c r="AA123" s="36" t="inlineStr">
        <is>
          <t>Live – indexable</t>
        </is>
      </c>
      <c r="AB123" s="38" t="n"/>
      <c r="AC123" s="38" t="n"/>
    </row>
    <row r="124" ht="23.85" customHeight="1" s="22">
      <c r="A124" s="36" t="inlineStr">
        <is>
          <t>P0123</t>
        </is>
      </c>
      <c r="B124" s="36" t="inlineStr">
        <is>
          <t>https://instasure.ca/condo-insurance/prince-edward-island/</t>
        </is>
      </c>
      <c r="C124" s="36" t="inlineStr">
        <is>
          <t>Product × province</t>
        </is>
      </c>
      <c r="D124" s="36" t="inlineStr">
        <is>
          <t>Condo insurance</t>
        </is>
      </c>
      <c r="E124" s="36" t="inlineStr">
        <is>
          <t>Condo Insurance</t>
        </is>
      </c>
      <c r="F124" s="36" t="n"/>
      <c r="G124" s="36" t="inlineStr">
        <is>
          <t>Prince Edward Island</t>
        </is>
      </c>
      <c r="H124" s="36" t="n"/>
      <c r="I124" s="36" t="inlineStr">
        <is>
          <t>Yes</t>
        </is>
      </c>
      <c r="J124" s="25" t="inlineStr">
        <is>
          <t>Condo Insurance in Prince Edward Island: Costs, Rules &amp; Quotes (2026)</t>
        </is>
      </c>
      <c r="K124" s="36">
        <f>LEN(J124)</f>
        <v/>
      </c>
      <c r="L124" s="25" t="inlineStr">
        <is>
          <t>Condo Insurance in Prince Edward Island: how it works under the PEI Superintendent, what drives price, instant estimates and advisors licensed in Prince Edward…</t>
        </is>
      </c>
      <c r="M124" s="36">
        <f>LEN(L124)</f>
        <v/>
      </c>
      <c r="N124" s="25" t="inlineStr">
        <is>
          <t>Condo Insurance in Prince Edward Island</t>
        </is>
      </c>
      <c r="O124" s="36" t="n"/>
      <c r="P124" s="37" t="n"/>
      <c r="Q124" s="36" t="n"/>
      <c r="R124" s="36" t="inlineStr">
        <is>
          <t>condo insurance prince edward island</t>
        </is>
      </c>
      <c r="S124" s="36">
        <f>COUNTIF('Page-Keyword Map'!$A$2:$A$675,B124)</f>
        <v/>
      </c>
      <c r="T124" s="37">
        <f>SUMIF('Page-Keyword Map'!$A$2:$A$675,B124,'Page-Keyword Map'!$H$2:$H$675)</f>
        <v/>
      </c>
      <c r="U124" s="36">
        <f>COUNTIFS('Page-Keyword Map'!$A$2:$A$675,B124,'Page-Keyword Map'!$E$2:$E$675,"Nationwide")</f>
        <v/>
      </c>
      <c r="V124" s="36">
        <f>COUNTIFS('Page-Keyword Map'!$A$2:$A$675,B124,'Page-Keyword Map'!$E$2:$E$675,"Provincial")</f>
        <v/>
      </c>
      <c r="W124" s="36">
        <f>COUNTIFS('Page-Keyword Map'!$A$2:$A$675,B124,'Page-Keyword Map'!$E$2:$E$675,"City")</f>
        <v/>
      </c>
      <c r="X124" s="36">
        <f>IF(O124="","",IF(ISNUMBER(SEARCH(O124,J124)),"Yes","No"))</f>
        <v/>
      </c>
      <c r="Y124" s="36" t="n">
        <v>0.7</v>
      </c>
      <c r="Z124" s="36" t="inlineStr">
        <is>
          <t>sitemap-provinces.xml</t>
        </is>
      </c>
      <c r="AA124" s="36" t="inlineStr">
        <is>
          <t>Live – indexable</t>
        </is>
      </c>
      <c r="AB124" s="38" t="n"/>
      <c r="AC124" s="38" t="n"/>
    </row>
    <row r="125" ht="23.85" customHeight="1" s="22">
      <c r="A125" s="36" t="inlineStr">
        <is>
          <t>P0124</t>
        </is>
      </c>
      <c r="B125" s="36" t="inlineStr">
        <is>
          <t>https://instasure.ca/condo-insurance/quebec/</t>
        </is>
      </c>
      <c r="C125" s="36" t="inlineStr">
        <is>
          <t>Product × province</t>
        </is>
      </c>
      <c r="D125" s="36" t="inlineStr">
        <is>
          <t>Condo insurance</t>
        </is>
      </c>
      <c r="E125" s="36" t="inlineStr">
        <is>
          <t>Condo Insurance</t>
        </is>
      </c>
      <c r="F125" s="36" t="n"/>
      <c r="G125" s="36" t="inlineStr">
        <is>
          <t>Quebec</t>
        </is>
      </c>
      <c r="H125" s="36" t="n"/>
      <c r="I125" s="36" t="inlineStr">
        <is>
          <t>Yes</t>
        </is>
      </c>
      <c r="J125" s="25" t="inlineStr">
        <is>
          <t>Condo Insurance in Quebec: Costs, Rules &amp; Quotes (2026)</t>
        </is>
      </c>
      <c r="K125" s="36">
        <f>LEN(J125)</f>
        <v/>
      </c>
      <c r="L125" s="25" t="inlineStr">
        <is>
          <t>Condo Insurance in Quebec: how it works under AMF, what drives price, instant estimates and a waitlist for licensed advice in Quebec.</t>
        </is>
      </c>
      <c r="M125" s="36">
        <f>LEN(L125)</f>
        <v/>
      </c>
      <c r="N125" s="25" t="inlineStr">
        <is>
          <t>Condo Insurance in Quebec</t>
        </is>
      </c>
      <c r="O125" s="36" t="inlineStr">
        <is>
          <t>condo insurance quebec</t>
        </is>
      </c>
      <c r="P125" s="37" t="n">
        <v>130</v>
      </c>
      <c r="Q125" s="36" t="inlineStr">
        <is>
          <t>Provincial</t>
        </is>
      </c>
      <c r="R125" s="36" t="n"/>
      <c r="S125" s="36">
        <f>COUNTIF('Page-Keyword Map'!$A$2:$A$675,B125)</f>
        <v/>
      </c>
      <c r="T125" s="37">
        <f>SUMIF('Page-Keyword Map'!$A$2:$A$675,B125,'Page-Keyword Map'!$H$2:$H$675)</f>
        <v/>
      </c>
      <c r="U125" s="36">
        <f>COUNTIFS('Page-Keyword Map'!$A$2:$A$675,B125,'Page-Keyword Map'!$E$2:$E$675,"Nationwide")</f>
        <v/>
      </c>
      <c r="V125" s="36">
        <f>COUNTIFS('Page-Keyword Map'!$A$2:$A$675,B125,'Page-Keyword Map'!$E$2:$E$675,"Provincial")</f>
        <v/>
      </c>
      <c r="W125" s="36">
        <f>COUNTIFS('Page-Keyword Map'!$A$2:$A$675,B125,'Page-Keyword Map'!$E$2:$E$675,"City")</f>
        <v/>
      </c>
      <c r="X125" s="36">
        <f>IF(O125="","",IF(ISNUMBER(SEARCH(O125,J125)),"Yes","No"))</f>
        <v/>
      </c>
      <c r="Y125" s="36" t="n">
        <v>0.7</v>
      </c>
      <c r="Z125" s="36" t="inlineStr">
        <is>
          <t>sitemap-provinces.xml</t>
        </is>
      </c>
      <c r="AA125" s="36" t="inlineStr">
        <is>
          <t>Live – indexable</t>
        </is>
      </c>
      <c r="AB125" s="38" t="n"/>
      <c r="AC125" s="38" t="n"/>
    </row>
    <row r="126" ht="23.85" customHeight="1" s="22">
      <c r="A126" s="36" t="inlineStr">
        <is>
          <t>P0125</t>
        </is>
      </c>
      <c r="B126" s="36" t="inlineStr">
        <is>
          <t>https://instasure.ca/condo-insurance/saskatchewan/</t>
        </is>
      </c>
      <c r="C126" s="36" t="inlineStr">
        <is>
          <t>Product × province</t>
        </is>
      </c>
      <c r="D126" s="36" t="inlineStr">
        <is>
          <t>Condo insurance</t>
        </is>
      </c>
      <c r="E126" s="36" t="inlineStr">
        <is>
          <t>Condo Insurance</t>
        </is>
      </c>
      <c r="F126" s="36" t="n"/>
      <c r="G126" s="36" t="inlineStr">
        <is>
          <t>Saskatchewan</t>
        </is>
      </c>
      <c r="H126" s="36" t="n"/>
      <c r="I126" s="36" t="inlineStr">
        <is>
          <t>Yes</t>
        </is>
      </c>
      <c r="J126" s="25" t="inlineStr">
        <is>
          <t>Condo Insurance in Saskatchewan: Costs, Rules &amp; Quotes (2026)</t>
        </is>
      </c>
      <c r="K126" s="36">
        <f>LEN(J126)</f>
        <v/>
      </c>
      <c r="L126" s="25" t="inlineStr">
        <is>
          <t>Condo Insurance in Saskatchewan: how it works under FCAA, what drives price, instant estimates and advisors licensed in Saskatchewan.</t>
        </is>
      </c>
      <c r="M126" s="36">
        <f>LEN(L126)</f>
        <v/>
      </c>
      <c r="N126" s="25" t="inlineStr">
        <is>
          <t>Condo Insurance in Saskatchewan</t>
        </is>
      </c>
      <c r="O126" s="36" t="inlineStr">
        <is>
          <t>condo insurance saskatchewan</t>
        </is>
      </c>
      <c r="P126" s="37" t="n">
        <v>67</v>
      </c>
      <c r="Q126" s="36" t="inlineStr">
        <is>
          <t>Provincial</t>
        </is>
      </c>
      <c r="R126" s="36" t="n"/>
      <c r="S126" s="36">
        <f>COUNTIF('Page-Keyword Map'!$A$2:$A$675,B126)</f>
        <v/>
      </c>
      <c r="T126" s="37">
        <f>SUMIF('Page-Keyword Map'!$A$2:$A$675,B126,'Page-Keyword Map'!$H$2:$H$675)</f>
        <v/>
      </c>
      <c r="U126" s="36">
        <f>COUNTIFS('Page-Keyword Map'!$A$2:$A$675,B126,'Page-Keyword Map'!$E$2:$E$675,"Nationwide")</f>
        <v/>
      </c>
      <c r="V126" s="36">
        <f>COUNTIFS('Page-Keyword Map'!$A$2:$A$675,B126,'Page-Keyword Map'!$E$2:$E$675,"Provincial")</f>
        <v/>
      </c>
      <c r="W126" s="36">
        <f>COUNTIFS('Page-Keyword Map'!$A$2:$A$675,B126,'Page-Keyword Map'!$E$2:$E$675,"City")</f>
        <v/>
      </c>
      <c r="X126" s="36">
        <f>IF(O126="","",IF(ISNUMBER(SEARCH(O126,J126)),"Yes","No"))</f>
        <v/>
      </c>
      <c r="Y126" s="36" t="n">
        <v>0.7</v>
      </c>
      <c r="Z126" s="36" t="inlineStr">
        <is>
          <t>sitemap-provinces.xml</t>
        </is>
      </c>
      <c r="AA126" s="36" t="inlineStr">
        <is>
          <t>Live – indexable</t>
        </is>
      </c>
      <c r="AB126" s="38" t="n"/>
      <c r="AC126" s="38" t="n"/>
    </row>
    <row r="127" ht="23.85" customHeight="1" s="22">
      <c r="A127" s="36" t="inlineStr">
        <is>
          <t>P0126</t>
        </is>
      </c>
      <c r="B127" s="36" t="inlineStr">
        <is>
          <t>https://instasure.ca/condo-insurance/yukon/</t>
        </is>
      </c>
      <c r="C127" s="36" t="inlineStr">
        <is>
          <t>Product × province</t>
        </is>
      </c>
      <c r="D127" s="36" t="inlineStr">
        <is>
          <t>Condo insurance</t>
        </is>
      </c>
      <c r="E127" s="36" t="inlineStr">
        <is>
          <t>Condo Insurance</t>
        </is>
      </c>
      <c r="F127" s="36" t="n"/>
      <c r="G127" s="36" t="inlineStr">
        <is>
          <t>Yukon</t>
        </is>
      </c>
      <c r="H127" s="36" t="n"/>
      <c r="I127" s="36" t="inlineStr">
        <is>
          <t>Yes</t>
        </is>
      </c>
      <c r="J127" s="25" t="inlineStr">
        <is>
          <t>Condo Insurance in Yukon: Costs, Rules &amp; Quotes (2026)</t>
        </is>
      </c>
      <c r="K127" s="36">
        <f>LEN(J127)</f>
        <v/>
      </c>
      <c r="L127" s="25" t="inlineStr">
        <is>
          <t>Condo Insurance in Yukon: how it works under the Yukon Superintendent, what drives price, instant estimates and a waitlist for licensed advice in Yukon.</t>
        </is>
      </c>
      <c r="M127" s="36">
        <f>LEN(L127)</f>
        <v/>
      </c>
      <c r="N127" s="25" t="inlineStr">
        <is>
          <t>Condo Insurance in Yukon</t>
        </is>
      </c>
      <c r="O127" s="36" t="n"/>
      <c r="P127" s="37" t="n"/>
      <c r="Q127" s="36" t="n"/>
      <c r="R127" s="36" t="inlineStr">
        <is>
          <t>condo insurance yukon</t>
        </is>
      </c>
      <c r="S127" s="36">
        <f>COUNTIF('Page-Keyword Map'!$A$2:$A$675,B127)</f>
        <v/>
      </c>
      <c r="T127" s="37">
        <f>SUMIF('Page-Keyword Map'!$A$2:$A$675,B127,'Page-Keyword Map'!$H$2:$H$675)</f>
        <v/>
      </c>
      <c r="U127" s="36">
        <f>COUNTIFS('Page-Keyword Map'!$A$2:$A$675,B127,'Page-Keyword Map'!$E$2:$E$675,"Nationwide")</f>
        <v/>
      </c>
      <c r="V127" s="36">
        <f>COUNTIFS('Page-Keyword Map'!$A$2:$A$675,B127,'Page-Keyword Map'!$E$2:$E$675,"Provincial")</f>
        <v/>
      </c>
      <c r="W127" s="36">
        <f>COUNTIFS('Page-Keyword Map'!$A$2:$A$675,B127,'Page-Keyword Map'!$E$2:$E$675,"City")</f>
        <v/>
      </c>
      <c r="X127" s="36">
        <f>IF(O127="","",IF(ISNUMBER(SEARCH(O127,J127)),"Yes","No"))</f>
        <v/>
      </c>
      <c r="Y127" s="36" t="n">
        <v>0.7</v>
      </c>
      <c r="Z127" s="36" t="inlineStr">
        <is>
          <t>sitemap-provinces.xml</t>
        </is>
      </c>
      <c r="AA127" s="36" t="inlineStr">
        <is>
          <t>Live – indexable</t>
        </is>
      </c>
      <c r="AB127" s="38" t="n"/>
      <c r="AC127" s="38" t="n"/>
    </row>
    <row r="128" ht="23.85" customHeight="1" s="22">
      <c r="A128" s="36" t="inlineStr">
        <is>
          <t>P0127</t>
        </is>
      </c>
      <c r="B128" s="36" t="inlineStr">
        <is>
          <t>https://instasure.ca/contractor-insurance/alberta/</t>
        </is>
      </c>
      <c r="C128" s="36" t="inlineStr">
        <is>
          <t>Product × province</t>
        </is>
      </c>
      <c r="D128" s="36" t="inlineStr">
        <is>
          <t>Contractor &amp; trades insurance</t>
        </is>
      </c>
      <c r="E128" s="36" t="inlineStr">
        <is>
          <t>Contractor Insurance</t>
        </is>
      </c>
      <c r="F128" s="36" t="n"/>
      <c r="G128" s="36" t="inlineStr">
        <is>
          <t>Alberta</t>
        </is>
      </c>
      <c r="H128" s="36" t="n"/>
      <c r="I128" s="36" t="inlineStr">
        <is>
          <t>Yes</t>
        </is>
      </c>
      <c r="J128" s="25" t="inlineStr">
        <is>
          <t>Contractor Insurance in Alberta: Costs, Rules &amp; Quotes (2026)</t>
        </is>
      </c>
      <c r="K128" s="36">
        <f>LEN(J128)</f>
        <v/>
      </c>
      <c r="L128" s="25" t="inlineStr">
        <is>
          <t>Contractor Insurance in Alberta: how it works under the Superintendent of Insurance, what drives price, instant estimates and advisors licensed in Alberta.</t>
        </is>
      </c>
      <c r="M128" s="36">
        <f>LEN(L128)</f>
        <v/>
      </c>
      <c r="N128" s="25" t="inlineStr">
        <is>
          <t>Contractor Insurance in Alberta</t>
        </is>
      </c>
      <c r="O128" s="36" t="inlineStr">
        <is>
          <t>contractor insurance alberta</t>
        </is>
      </c>
      <c r="P128" s="37" t="n">
        <v>74</v>
      </c>
      <c r="Q128" s="36" t="inlineStr">
        <is>
          <t>Provincial</t>
        </is>
      </c>
      <c r="R128" s="36" t="n"/>
      <c r="S128" s="36">
        <f>COUNTIF('Page-Keyword Map'!$A$2:$A$675,B128)</f>
        <v/>
      </c>
      <c r="T128" s="37">
        <f>SUMIF('Page-Keyword Map'!$A$2:$A$675,B128,'Page-Keyword Map'!$H$2:$H$675)</f>
        <v/>
      </c>
      <c r="U128" s="36">
        <f>COUNTIFS('Page-Keyword Map'!$A$2:$A$675,B128,'Page-Keyword Map'!$E$2:$E$675,"Nationwide")</f>
        <v/>
      </c>
      <c r="V128" s="36">
        <f>COUNTIFS('Page-Keyword Map'!$A$2:$A$675,B128,'Page-Keyword Map'!$E$2:$E$675,"Provincial")</f>
        <v/>
      </c>
      <c r="W128" s="36">
        <f>COUNTIFS('Page-Keyword Map'!$A$2:$A$675,B128,'Page-Keyword Map'!$E$2:$E$675,"City")</f>
        <v/>
      </c>
      <c r="X128" s="36">
        <f>IF(O128="","",IF(ISNUMBER(SEARCH(O128,J128)),"Yes","No"))</f>
        <v/>
      </c>
      <c r="Y128" s="36" t="n">
        <v>0.7</v>
      </c>
      <c r="Z128" s="36" t="inlineStr">
        <is>
          <t>sitemap-provinces.xml</t>
        </is>
      </c>
      <c r="AA128" s="36" t="inlineStr">
        <is>
          <t>Live – indexable</t>
        </is>
      </c>
      <c r="AB128" s="38" t="n"/>
      <c r="AC128" s="38" t="n"/>
    </row>
    <row r="129" ht="23.85" customHeight="1" s="22">
      <c r="A129" s="36" t="inlineStr">
        <is>
          <t>P0128</t>
        </is>
      </c>
      <c r="B129" s="36" t="inlineStr">
        <is>
          <t>https://instasure.ca/contractor-insurance/british-columbia/</t>
        </is>
      </c>
      <c r="C129" s="36" t="inlineStr">
        <is>
          <t>Product × province</t>
        </is>
      </c>
      <c r="D129" s="36" t="inlineStr">
        <is>
          <t>Contractor &amp; trades insurance</t>
        </is>
      </c>
      <c r="E129" s="36" t="inlineStr">
        <is>
          <t>Contractor Insurance</t>
        </is>
      </c>
      <c r="F129" s="36" t="n"/>
      <c r="G129" s="36" t="inlineStr">
        <is>
          <t>British Columbia</t>
        </is>
      </c>
      <c r="H129" s="36" t="n"/>
      <c r="I129" s="36" t="inlineStr">
        <is>
          <t>Yes</t>
        </is>
      </c>
      <c r="J129" s="25" t="inlineStr">
        <is>
          <t>Contractor Insurance in British Columbia: Costs, Rules &amp; Quotes (2026)</t>
        </is>
      </c>
      <c r="K129" s="36">
        <f>LEN(J129)</f>
        <v/>
      </c>
      <c r="L129" s="25" t="inlineStr">
        <is>
          <t>Contractor Insurance in British Columbia: how it works under BCFSA, what drives price, instant estimates and advisors licensed in British Columbia.</t>
        </is>
      </c>
      <c r="M129" s="36">
        <f>LEN(L129)</f>
        <v/>
      </c>
      <c r="N129" s="25" t="inlineStr">
        <is>
          <t>Contractor Insurance in British Columbia</t>
        </is>
      </c>
      <c r="O129" s="36" t="inlineStr">
        <is>
          <t>contractor insurance bc</t>
        </is>
      </c>
      <c r="P129" s="37" t="n">
        <v>85</v>
      </c>
      <c r="Q129" s="36" t="inlineStr">
        <is>
          <t>Provincial</t>
        </is>
      </c>
      <c r="R129" s="36" t="n"/>
      <c r="S129" s="36">
        <f>COUNTIF('Page-Keyword Map'!$A$2:$A$675,B129)</f>
        <v/>
      </c>
      <c r="T129" s="37">
        <f>SUMIF('Page-Keyword Map'!$A$2:$A$675,B129,'Page-Keyword Map'!$H$2:$H$675)</f>
        <v/>
      </c>
      <c r="U129" s="36">
        <f>COUNTIFS('Page-Keyword Map'!$A$2:$A$675,B129,'Page-Keyword Map'!$E$2:$E$675,"Nationwide")</f>
        <v/>
      </c>
      <c r="V129" s="36">
        <f>COUNTIFS('Page-Keyword Map'!$A$2:$A$675,B129,'Page-Keyword Map'!$E$2:$E$675,"Provincial")</f>
        <v/>
      </c>
      <c r="W129" s="36">
        <f>COUNTIFS('Page-Keyword Map'!$A$2:$A$675,B129,'Page-Keyword Map'!$E$2:$E$675,"City")</f>
        <v/>
      </c>
      <c r="X129" s="36">
        <f>IF(O129="","",IF(ISNUMBER(SEARCH(O129,J129)),"Yes","No"))</f>
        <v/>
      </c>
      <c r="Y129" s="36" t="n">
        <v>0.7</v>
      </c>
      <c r="Z129" s="36" t="inlineStr">
        <is>
          <t>sitemap-provinces.xml</t>
        </is>
      </c>
      <c r="AA129" s="36" t="inlineStr">
        <is>
          <t>Live – indexable</t>
        </is>
      </c>
      <c r="AB129" s="38" t="n"/>
      <c r="AC129" s="38" t="n"/>
    </row>
    <row r="130" ht="23.85" customHeight="1" s="22">
      <c r="A130" s="36" t="inlineStr">
        <is>
          <t>P0129</t>
        </is>
      </c>
      <c r="B130" s="36" t="inlineStr">
        <is>
          <t>https://instasure.ca/contractor-insurance/manitoba/</t>
        </is>
      </c>
      <c r="C130" s="36" t="inlineStr">
        <is>
          <t>Product × province</t>
        </is>
      </c>
      <c r="D130" s="36" t="inlineStr">
        <is>
          <t>Contractor &amp; trades insurance</t>
        </is>
      </c>
      <c r="E130" s="36" t="inlineStr">
        <is>
          <t>Contractor Insurance</t>
        </is>
      </c>
      <c r="F130" s="36" t="n"/>
      <c r="G130" s="36" t="inlineStr">
        <is>
          <t>Manitoba</t>
        </is>
      </c>
      <c r="H130" s="36" t="n"/>
      <c r="I130" s="36" t="inlineStr">
        <is>
          <t>Yes</t>
        </is>
      </c>
      <c r="J130" s="25" t="inlineStr">
        <is>
          <t>Contractor Insurance in Manitoba: Costs, Rules &amp; Quotes (2026)</t>
        </is>
      </c>
      <c r="K130" s="36">
        <f>LEN(J130)</f>
        <v/>
      </c>
      <c r="L130" s="25" t="inlineStr">
        <is>
          <t>Contractor Insurance in Manitoba: how it works under FIRB, what drives price, instant estimates and advisors licensed in Manitoba.</t>
        </is>
      </c>
      <c r="M130" s="36">
        <f>LEN(L130)</f>
        <v/>
      </c>
      <c r="N130" s="25" t="inlineStr">
        <is>
          <t>Contractor Insurance in Manitoba</t>
        </is>
      </c>
      <c r="O130" s="36" t="inlineStr">
        <is>
          <t>contractor insurance manitoba</t>
        </is>
      </c>
      <c r="P130" s="37" t="n">
        <v>26</v>
      </c>
      <c r="Q130" s="36" t="inlineStr">
        <is>
          <t>Provincial</t>
        </is>
      </c>
      <c r="R130" s="36" t="n"/>
      <c r="S130" s="36">
        <f>COUNTIF('Page-Keyword Map'!$A$2:$A$675,B130)</f>
        <v/>
      </c>
      <c r="T130" s="37">
        <f>SUMIF('Page-Keyword Map'!$A$2:$A$675,B130,'Page-Keyword Map'!$H$2:$H$675)</f>
        <v/>
      </c>
      <c r="U130" s="36">
        <f>COUNTIFS('Page-Keyword Map'!$A$2:$A$675,B130,'Page-Keyword Map'!$E$2:$E$675,"Nationwide")</f>
        <v/>
      </c>
      <c r="V130" s="36">
        <f>COUNTIFS('Page-Keyword Map'!$A$2:$A$675,B130,'Page-Keyword Map'!$E$2:$E$675,"Provincial")</f>
        <v/>
      </c>
      <c r="W130" s="36">
        <f>COUNTIFS('Page-Keyword Map'!$A$2:$A$675,B130,'Page-Keyword Map'!$E$2:$E$675,"City")</f>
        <v/>
      </c>
      <c r="X130" s="36">
        <f>IF(O130="","",IF(ISNUMBER(SEARCH(O130,J130)),"Yes","No"))</f>
        <v/>
      </c>
      <c r="Y130" s="36" t="n">
        <v>0.7</v>
      </c>
      <c r="Z130" s="36" t="inlineStr">
        <is>
          <t>sitemap-provinces.xml</t>
        </is>
      </c>
      <c r="AA130" s="36" t="inlineStr">
        <is>
          <t>Live – indexable</t>
        </is>
      </c>
      <c r="AB130" s="38" t="n"/>
      <c r="AC130" s="38" t="n"/>
    </row>
    <row r="131" ht="23.85" customHeight="1" s="22">
      <c r="A131" s="36" t="inlineStr">
        <is>
          <t>P0130</t>
        </is>
      </c>
      <c r="B131" s="36" t="inlineStr">
        <is>
          <t>https://instasure.ca/contractor-insurance/new-brunswick/</t>
        </is>
      </c>
      <c r="C131" s="36" t="inlineStr">
        <is>
          <t>Product × province</t>
        </is>
      </c>
      <c r="D131" s="36" t="inlineStr">
        <is>
          <t>Contractor &amp; trades insurance</t>
        </is>
      </c>
      <c r="E131" s="36" t="inlineStr">
        <is>
          <t>Contractor Insurance</t>
        </is>
      </c>
      <c r="F131" s="36" t="n"/>
      <c r="G131" s="36" t="inlineStr">
        <is>
          <t>New Brunswick</t>
        </is>
      </c>
      <c r="H131" s="36" t="n"/>
      <c r="I131" s="36" t="inlineStr">
        <is>
          <t>Yes</t>
        </is>
      </c>
      <c r="J131" s="25" t="inlineStr">
        <is>
          <t>Contractor Insurance in New Brunswick: Costs, Rules &amp; Quotes (2026)</t>
        </is>
      </c>
      <c r="K131" s="36">
        <f>LEN(J131)</f>
        <v/>
      </c>
      <c r="L131" s="25" t="inlineStr">
        <is>
          <t>Contractor Insurance in New Brunswick: how it works under FCNB, what drives price, instant estimates and advisors licensed in New Brunswick.</t>
        </is>
      </c>
      <c r="M131" s="36">
        <f>LEN(L131)</f>
        <v/>
      </c>
      <c r="N131" s="25" t="inlineStr">
        <is>
          <t>Contractor Insurance in New Brunswick</t>
        </is>
      </c>
      <c r="O131" s="36" t="n"/>
      <c r="P131" s="37" t="n"/>
      <c r="Q131" s="36" t="n"/>
      <c r="R131" s="36" t="inlineStr">
        <is>
          <t>contractor insurance new brunswick</t>
        </is>
      </c>
      <c r="S131" s="36">
        <f>COUNTIF('Page-Keyword Map'!$A$2:$A$675,B131)</f>
        <v/>
      </c>
      <c r="T131" s="37">
        <f>SUMIF('Page-Keyword Map'!$A$2:$A$675,B131,'Page-Keyword Map'!$H$2:$H$675)</f>
        <v/>
      </c>
      <c r="U131" s="36">
        <f>COUNTIFS('Page-Keyword Map'!$A$2:$A$675,B131,'Page-Keyword Map'!$E$2:$E$675,"Nationwide")</f>
        <v/>
      </c>
      <c r="V131" s="36">
        <f>COUNTIFS('Page-Keyword Map'!$A$2:$A$675,B131,'Page-Keyword Map'!$E$2:$E$675,"Provincial")</f>
        <v/>
      </c>
      <c r="W131" s="36">
        <f>COUNTIFS('Page-Keyword Map'!$A$2:$A$675,B131,'Page-Keyword Map'!$E$2:$E$675,"City")</f>
        <v/>
      </c>
      <c r="X131" s="36">
        <f>IF(O131="","",IF(ISNUMBER(SEARCH(O131,J131)),"Yes","No"))</f>
        <v/>
      </c>
      <c r="Y131" s="36" t="n">
        <v>0.7</v>
      </c>
      <c r="Z131" s="36" t="inlineStr">
        <is>
          <t>sitemap-provinces.xml</t>
        </is>
      </c>
      <c r="AA131" s="36" t="inlineStr">
        <is>
          <t>Live – indexable</t>
        </is>
      </c>
      <c r="AB131" s="38" t="n"/>
      <c r="AC131" s="38" t="n"/>
    </row>
    <row r="132" ht="23.85" customHeight="1" s="22">
      <c r="A132" s="36" t="inlineStr">
        <is>
          <t>P0131</t>
        </is>
      </c>
      <c r="B132" s="36" t="inlineStr">
        <is>
          <t>https://instasure.ca/contractor-insurance/newfoundland-and-labrador/</t>
        </is>
      </c>
      <c r="C132" s="36" t="inlineStr">
        <is>
          <t>Product × province</t>
        </is>
      </c>
      <c r="D132" s="36" t="inlineStr">
        <is>
          <t>Contractor &amp; trades insurance</t>
        </is>
      </c>
      <c r="E132" s="36" t="inlineStr">
        <is>
          <t>Contractor Insurance</t>
        </is>
      </c>
      <c r="F132" s="36" t="n"/>
      <c r="G132" s="36" t="inlineStr">
        <is>
          <t>Newfoundland and Labrador</t>
        </is>
      </c>
      <c r="H132" s="36" t="n"/>
      <c r="I132" s="36" t="inlineStr">
        <is>
          <t>Yes</t>
        </is>
      </c>
      <c r="J132" s="25" t="inlineStr">
        <is>
          <t>Contractor Insurance in Newfoundland and Labrador: Costs, Rules &amp; Quotes (2026)</t>
        </is>
      </c>
      <c r="K132" s="36">
        <f>LEN(J132)</f>
        <v/>
      </c>
      <c r="L132" s="25" t="inlineStr">
        <is>
          <t>Contractor Insurance in Newfoundland and Labrador: how it works under Service NL, what drives price, instant estimates and advisors licensed in Newfoundland and…</t>
        </is>
      </c>
      <c r="M132" s="36">
        <f>LEN(L132)</f>
        <v/>
      </c>
      <c r="N132" s="25" t="inlineStr">
        <is>
          <t>Contractor Insurance in Newfoundland and Labrador</t>
        </is>
      </c>
      <c r="O132" s="36" t="n"/>
      <c r="P132" s="37" t="n"/>
      <c r="Q132" s="36" t="n"/>
      <c r="R132" s="36" t="inlineStr">
        <is>
          <t>contractor insurance newfoundland and labrador</t>
        </is>
      </c>
      <c r="S132" s="36">
        <f>COUNTIF('Page-Keyword Map'!$A$2:$A$675,B132)</f>
        <v/>
      </c>
      <c r="T132" s="37">
        <f>SUMIF('Page-Keyword Map'!$A$2:$A$675,B132,'Page-Keyword Map'!$H$2:$H$675)</f>
        <v/>
      </c>
      <c r="U132" s="36">
        <f>COUNTIFS('Page-Keyword Map'!$A$2:$A$675,B132,'Page-Keyword Map'!$E$2:$E$675,"Nationwide")</f>
        <v/>
      </c>
      <c r="V132" s="36">
        <f>COUNTIFS('Page-Keyword Map'!$A$2:$A$675,B132,'Page-Keyword Map'!$E$2:$E$675,"Provincial")</f>
        <v/>
      </c>
      <c r="W132" s="36">
        <f>COUNTIFS('Page-Keyword Map'!$A$2:$A$675,B132,'Page-Keyword Map'!$E$2:$E$675,"City")</f>
        <v/>
      </c>
      <c r="X132" s="36">
        <f>IF(O132="","",IF(ISNUMBER(SEARCH(O132,J132)),"Yes","No"))</f>
        <v/>
      </c>
      <c r="Y132" s="36" t="n">
        <v>0.7</v>
      </c>
      <c r="Z132" s="36" t="inlineStr">
        <is>
          <t>sitemap-provinces.xml</t>
        </is>
      </c>
      <c r="AA132" s="36" t="inlineStr">
        <is>
          <t>Live – indexable</t>
        </is>
      </c>
      <c r="AB132" s="38" t="n"/>
      <c r="AC132" s="38" t="n"/>
    </row>
    <row r="133" ht="23.85" customHeight="1" s="22">
      <c r="A133" s="36" t="inlineStr">
        <is>
          <t>P0132</t>
        </is>
      </c>
      <c r="B133" s="36" t="inlineStr">
        <is>
          <t>https://instasure.ca/contractor-insurance/northwest-territories/</t>
        </is>
      </c>
      <c r="C133" s="36" t="inlineStr">
        <is>
          <t>Product × province</t>
        </is>
      </c>
      <c r="D133" s="36" t="inlineStr">
        <is>
          <t>Contractor &amp; trades insurance</t>
        </is>
      </c>
      <c r="E133" s="36" t="inlineStr">
        <is>
          <t>Contractor Insurance</t>
        </is>
      </c>
      <c r="F133" s="36" t="n"/>
      <c r="G133" s="36" t="inlineStr">
        <is>
          <t>Northwest Territories</t>
        </is>
      </c>
      <c r="H133" s="36" t="n"/>
      <c r="I133" s="36" t="inlineStr">
        <is>
          <t>Yes</t>
        </is>
      </c>
      <c r="J133" s="25" t="inlineStr">
        <is>
          <t>Contractor Insurance in Northwest Territories: Costs, Rules &amp; Quotes (2026)</t>
        </is>
      </c>
      <c r="K133" s="36">
        <f>LEN(J133)</f>
        <v/>
      </c>
      <c r="L133" s="25" t="inlineStr">
        <is>
          <t>Contractor Insurance in Northwest Territories: how it works under the NWT Superintendent, what drives price, instant estimates and a waitlist for licensed advice…</t>
        </is>
      </c>
      <c r="M133" s="36">
        <f>LEN(L133)</f>
        <v/>
      </c>
      <c r="N133" s="25" t="inlineStr">
        <is>
          <t>Contractor Insurance in Northwest Territories</t>
        </is>
      </c>
      <c r="O133" s="36" t="n"/>
      <c r="P133" s="37" t="n"/>
      <c r="Q133" s="36" t="n"/>
      <c r="R133" s="36" t="inlineStr">
        <is>
          <t>contractor insurance northwest territories</t>
        </is>
      </c>
      <c r="S133" s="36">
        <f>COUNTIF('Page-Keyword Map'!$A$2:$A$675,B133)</f>
        <v/>
      </c>
      <c r="T133" s="37">
        <f>SUMIF('Page-Keyword Map'!$A$2:$A$675,B133,'Page-Keyword Map'!$H$2:$H$675)</f>
        <v/>
      </c>
      <c r="U133" s="36">
        <f>COUNTIFS('Page-Keyword Map'!$A$2:$A$675,B133,'Page-Keyword Map'!$E$2:$E$675,"Nationwide")</f>
        <v/>
      </c>
      <c r="V133" s="36">
        <f>COUNTIFS('Page-Keyword Map'!$A$2:$A$675,B133,'Page-Keyword Map'!$E$2:$E$675,"Provincial")</f>
        <v/>
      </c>
      <c r="W133" s="36">
        <f>COUNTIFS('Page-Keyword Map'!$A$2:$A$675,B133,'Page-Keyword Map'!$E$2:$E$675,"City")</f>
        <v/>
      </c>
      <c r="X133" s="36">
        <f>IF(O133="","",IF(ISNUMBER(SEARCH(O133,J133)),"Yes","No"))</f>
        <v/>
      </c>
      <c r="Y133" s="36" t="n">
        <v>0.7</v>
      </c>
      <c r="Z133" s="36" t="inlineStr">
        <is>
          <t>sitemap-provinces.xml</t>
        </is>
      </c>
      <c r="AA133" s="36" t="inlineStr">
        <is>
          <t>Live – indexable</t>
        </is>
      </c>
      <c r="AB133" s="38" t="n"/>
      <c r="AC133" s="38" t="n"/>
    </row>
    <row r="134" ht="23.85" customHeight="1" s="22">
      <c r="A134" s="36" t="inlineStr">
        <is>
          <t>P0133</t>
        </is>
      </c>
      <c r="B134" s="36" t="inlineStr">
        <is>
          <t>https://instasure.ca/contractor-insurance/nova-scotia/</t>
        </is>
      </c>
      <c r="C134" s="36" t="inlineStr">
        <is>
          <t>Product × province</t>
        </is>
      </c>
      <c r="D134" s="36" t="inlineStr">
        <is>
          <t>Contractor &amp; trades insurance</t>
        </is>
      </c>
      <c r="E134" s="36" t="inlineStr">
        <is>
          <t>Contractor Insurance</t>
        </is>
      </c>
      <c r="F134" s="36" t="n"/>
      <c r="G134" s="36" t="inlineStr">
        <is>
          <t>Nova Scotia</t>
        </is>
      </c>
      <c r="H134" s="36" t="n"/>
      <c r="I134" s="36" t="inlineStr">
        <is>
          <t>Yes</t>
        </is>
      </c>
      <c r="J134" s="25" t="inlineStr">
        <is>
          <t>Contractor Insurance in Nova Scotia: Costs, Rules &amp; Quotes (2026)</t>
        </is>
      </c>
      <c r="K134" s="36">
        <f>LEN(J134)</f>
        <v/>
      </c>
      <c r="L134" s="25" t="inlineStr">
        <is>
          <t>Contractor Insurance in Nova Scotia: how it works under the NS Superintendent of Insurance, what drives price, instant estimates and advisors licensed in Nova…</t>
        </is>
      </c>
      <c r="M134" s="36">
        <f>LEN(L134)</f>
        <v/>
      </c>
      <c r="N134" s="25" t="inlineStr">
        <is>
          <t>Contractor Insurance in Nova Scotia</t>
        </is>
      </c>
      <c r="O134" s="36" t="n"/>
      <c r="P134" s="37" t="n"/>
      <c r="Q134" s="36" t="n"/>
      <c r="R134" s="36" t="inlineStr">
        <is>
          <t>contractor insurance nova scotia</t>
        </is>
      </c>
      <c r="S134" s="36">
        <f>COUNTIF('Page-Keyword Map'!$A$2:$A$675,B134)</f>
        <v/>
      </c>
      <c r="T134" s="37">
        <f>SUMIF('Page-Keyword Map'!$A$2:$A$675,B134,'Page-Keyword Map'!$H$2:$H$675)</f>
        <v/>
      </c>
      <c r="U134" s="36">
        <f>COUNTIFS('Page-Keyword Map'!$A$2:$A$675,B134,'Page-Keyword Map'!$E$2:$E$675,"Nationwide")</f>
        <v/>
      </c>
      <c r="V134" s="36">
        <f>COUNTIFS('Page-Keyword Map'!$A$2:$A$675,B134,'Page-Keyword Map'!$E$2:$E$675,"Provincial")</f>
        <v/>
      </c>
      <c r="W134" s="36">
        <f>COUNTIFS('Page-Keyword Map'!$A$2:$A$675,B134,'Page-Keyword Map'!$E$2:$E$675,"City")</f>
        <v/>
      </c>
      <c r="X134" s="36">
        <f>IF(O134="","",IF(ISNUMBER(SEARCH(O134,J134)),"Yes","No"))</f>
        <v/>
      </c>
      <c r="Y134" s="36" t="n">
        <v>0.7</v>
      </c>
      <c r="Z134" s="36" t="inlineStr">
        <is>
          <t>sitemap-provinces.xml</t>
        </is>
      </c>
      <c r="AA134" s="36" t="inlineStr">
        <is>
          <t>Live – indexable</t>
        </is>
      </c>
      <c r="AB134" s="38" t="n"/>
      <c r="AC134" s="38" t="n"/>
    </row>
    <row r="135" ht="23.85" customHeight="1" s="22">
      <c r="A135" s="36" t="inlineStr">
        <is>
          <t>P0134</t>
        </is>
      </c>
      <c r="B135" s="36" t="inlineStr">
        <is>
          <t>https://instasure.ca/contractor-insurance/nunavut/</t>
        </is>
      </c>
      <c r="C135" s="36" t="inlineStr">
        <is>
          <t>Product × province</t>
        </is>
      </c>
      <c r="D135" s="36" t="inlineStr">
        <is>
          <t>Contractor &amp; trades insurance</t>
        </is>
      </c>
      <c r="E135" s="36" t="inlineStr">
        <is>
          <t>Contractor Insurance</t>
        </is>
      </c>
      <c r="F135" s="36" t="n"/>
      <c r="G135" s="36" t="inlineStr">
        <is>
          <t>Nunavut</t>
        </is>
      </c>
      <c r="H135" s="36" t="n"/>
      <c r="I135" s="36" t="inlineStr">
        <is>
          <t>Yes</t>
        </is>
      </c>
      <c r="J135" s="25" t="inlineStr">
        <is>
          <t>Contractor Insurance in Nunavut: Costs, Rules &amp; Quotes (2026)</t>
        </is>
      </c>
      <c r="K135" s="36">
        <f>LEN(J135)</f>
        <v/>
      </c>
      <c r="L135" s="25" t="inlineStr">
        <is>
          <t>Contractor Insurance in Nunavut: how it works under the Nunavut Superintendent, what drives price, instant estimates and a waitlist for licensed advice in Nunavut.</t>
        </is>
      </c>
      <c r="M135" s="36">
        <f>LEN(L135)</f>
        <v/>
      </c>
      <c r="N135" s="25" t="inlineStr">
        <is>
          <t>Contractor Insurance in Nunavut</t>
        </is>
      </c>
      <c r="O135" s="36" t="n"/>
      <c r="P135" s="37" t="n"/>
      <c r="Q135" s="36" t="n"/>
      <c r="R135" s="36" t="inlineStr">
        <is>
          <t>contractor insurance nunavut</t>
        </is>
      </c>
      <c r="S135" s="36">
        <f>COUNTIF('Page-Keyword Map'!$A$2:$A$675,B135)</f>
        <v/>
      </c>
      <c r="T135" s="37">
        <f>SUMIF('Page-Keyword Map'!$A$2:$A$675,B135,'Page-Keyword Map'!$H$2:$H$675)</f>
        <v/>
      </c>
      <c r="U135" s="36">
        <f>COUNTIFS('Page-Keyword Map'!$A$2:$A$675,B135,'Page-Keyword Map'!$E$2:$E$675,"Nationwide")</f>
        <v/>
      </c>
      <c r="V135" s="36">
        <f>COUNTIFS('Page-Keyword Map'!$A$2:$A$675,B135,'Page-Keyword Map'!$E$2:$E$675,"Provincial")</f>
        <v/>
      </c>
      <c r="W135" s="36">
        <f>COUNTIFS('Page-Keyword Map'!$A$2:$A$675,B135,'Page-Keyword Map'!$E$2:$E$675,"City")</f>
        <v/>
      </c>
      <c r="X135" s="36">
        <f>IF(O135="","",IF(ISNUMBER(SEARCH(O135,J135)),"Yes","No"))</f>
        <v/>
      </c>
      <c r="Y135" s="36" t="n">
        <v>0.7</v>
      </c>
      <c r="Z135" s="36" t="inlineStr">
        <is>
          <t>sitemap-provinces.xml</t>
        </is>
      </c>
      <c r="AA135" s="36" t="inlineStr">
        <is>
          <t>Live – indexable</t>
        </is>
      </c>
      <c r="AB135" s="38" t="n"/>
      <c r="AC135" s="38" t="n"/>
    </row>
    <row r="136" ht="23.85" customHeight="1" s="22">
      <c r="A136" s="36" t="inlineStr">
        <is>
          <t>P0135</t>
        </is>
      </c>
      <c r="B136" s="36" t="inlineStr">
        <is>
          <t>https://instasure.ca/contractor-insurance/ontario/</t>
        </is>
      </c>
      <c r="C136" s="36" t="inlineStr">
        <is>
          <t>Product × province</t>
        </is>
      </c>
      <c r="D136" s="36" t="inlineStr">
        <is>
          <t>Contractor &amp; trades insurance</t>
        </is>
      </c>
      <c r="E136" s="36" t="inlineStr">
        <is>
          <t>Contractor Insurance</t>
        </is>
      </c>
      <c r="F136" s="36" t="n"/>
      <c r="G136" s="36" t="inlineStr">
        <is>
          <t>Ontario</t>
        </is>
      </c>
      <c r="H136" s="36" t="n"/>
      <c r="I136" s="36" t="inlineStr">
        <is>
          <t>Yes</t>
        </is>
      </c>
      <c r="J136" s="25" t="inlineStr">
        <is>
          <t>Contractor Insurance in Ontario: Costs, Rules &amp; Quotes (2026)</t>
        </is>
      </c>
      <c r="K136" s="36">
        <f>LEN(J136)</f>
        <v/>
      </c>
      <c r="L136" s="25" t="inlineStr">
        <is>
          <t>Contractor Insurance in Ontario: how it works under FSRA, what drives price, instant estimates and advisors licensed in Ontario.</t>
        </is>
      </c>
      <c r="M136" s="36">
        <f>LEN(L136)</f>
        <v/>
      </c>
      <c r="N136" s="25" t="inlineStr">
        <is>
          <t>Contractor Insurance in Ontario</t>
        </is>
      </c>
      <c r="O136" s="36" t="inlineStr">
        <is>
          <t>contractor insurance ontario</t>
        </is>
      </c>
      <c r="P136" s="37" t="n">
        <v>240</v>
      </c>
      <c r="Q136" s="36" t="inlineStr">
        <is>
          <t>Provincial</t>
        </is>
      </c>
      <c r="R136" s="36" t="n"/>
      <c r="S136" s="36">
        <f>COUNTIF('Page-Keyword Map'!$A$2:$A$675,B136)</f>
        <v/>
      </c>
      <c r="T136" s="37">
        <f>SUMIF('Page-Keyword Map'!$A$2:$A$675,B136,'Page-Keyword Map'!$H$2:$H$675)</f>
        <v/>
      </c>
      <c r="U136" s="36">
        <f>COUNTIFS('Page-Keyword Map'!$A$2:$A$675,B136,'Page-Keyword Map'!$E$2:$E$675,"Nationwide")</f>
        <v/>
      </c>
      <c r="V136" s="36">
        <f>COUNTIFS('Page-Keyword Map'!$A$2:$A$675,B136,'Page-Keyword Map'!$E$2:$E$675,"Provincial")</f>
        <v/>
      </c>
      <c r="W136" s="36">
        <f>COUNTIFS('Page-Keyword Map'!$A$2:$A$675,B136,'Page-Keyword Map'!$E$2:$E$675,"City")</f>
        <v/>
      </c>
      <c r="X136" s="36">
        <f>IF(O136="","",IF(ISNUMBER(SEARCH(O136,J136)),"Yes","No"))</f>
        <v/>
      </c>
      <c r="Y136" s="36" t="n">
        <v>0.7</v>
      </c>
      <c r="Z136" s="36" t="inlineStr">
        <is>
          <t>sitemap-provinces.xml</t>
        </is>
      </c>
      <c r="AA136" s="36" t="inlineStr">
        <is>
          <t>Live – indexable</t>
        </is>
      </c>
      <c r="AB136" s="38" t="n"/>
      <c r="AC136" s="38" t="n"/>
    </row>
    <row r="137" ht="23.85" customHeight="1" s="22">
      <c r="A137" s="36" t="inlineStr">
        <is>
          <t>P0136</t>
        </is>
      </c>
      <c r="B137" s="36" t="inlineStr">
        <is>
          <t>https://instasure.ca/contractor-insurance/prince-edward-island/</t>
        </is>
      </c>
      <c r="C137" s="36" t="inlineStr">
        <is>
          <t>Product × province</t>
        </is>
      </c>
      <c r="D137" s="36" t="inlineStr">
        <is>
          <t>Contractor &amp; trades insurance</t>
        </is>
      </c>
      <c r="E137" s="36" t="inlineStr">
        <is>
          <t>Contractor Insurance</t>
        </is>
      </c>
      <c r="F137" s="36" t="n"/>
      <c r="G137" s="36" t="inlineStr">
        <is>
          <t>Prince Edward Island</t>
        </is>
      </c>
      <c r="H137" s="36" t="n"/>
      <c r="I137" s="36" t="inlineStr">
        <is>
          <t>Yes</t>
        </is>
      </c>
      <c r="J137" s="25" t="inlineStr">
        <is>
          <t>Contractor Insurance in Prince Edward Island: Costs, Rules &amp; Quotes (2026)</t>
        </is>
      </c>
      <c r="K137" s="36">
        <f>LEN(J137)</f>
        <v/>
      </c>
      <c r="L137" s="25" t="inlineStr">
        <is>
          <t>Contractor Insurance in Prince Edward Island: how it works under the PEI Superintendent, what drives price, instant estimates and advisors licensed in Prince…</t>
        </is>
      </c>
      <c r="M137" s="36">
        <f>LEN(L137)</f>
        <v/>
      </c>
      <c r="N137" s="25" t="inlineStr">
        <is>
          <t>Contractor Insurance in Prince Edward Island</t>
        </is>
      </c>
      <c r="O137" s="36" t="n"/>
      <c r="P137" s="37" t="n"/>
      <c r="Q137" s="36" t="n"/>
      <c r="R137" s="36" t="inlineStr">
        <is>
          <t>contractor insurance prince edward island</t>
        </is>
      </c>
      <c r="S137" s="36">
        <f>COUNTIF('Page-Keyword Map'!$A$2:$A$675,B137)</f>
        <v/>
      </c>
      <c r="T137" s="37">
        <f>SUMIF('Page-Keyword Map'!$A$2:$A$675,B137,'Page-Keyword Map'!$H$2:$H$675)</f>
        <v/>
      </c>
      <c r="U137" s="36">
        <f>COUNTIFS('Page-Keyword Map'!$A$2:$A$675,B137,'Page-Keyword Map'!$E$2:$E$675,"Nationwide")</f>
        <v/>
      </c>
      <c r="V137" s="36">
        <f>COUNTIFS('Page-Keyword Map'!$A$2:$A$675,B137,'Page-Keyword Map'!$E$2:$E$675,"Provincial")</f>
        <v/>
      </c>
      <c r="W137" s="36">
        <f>COUNTIFS('Page-Keyword Map'!$A$2:$A$675,B137,'Page-Keyword Map'!$E$2:$E$675,"City")</f>
        <v/>
      </c>
      <c r="X137" s="36">
        <f>IF(O137="","",IF(ISNUMBER(SEARCH(O137,J137)),"Yes","No"))</f>
        <v/>
      </c>
      <c r="Y137" s="36" t="n">
        <v>0.7</v>
      </c>
      <c r="Z137" s="36" t="inlineStr">
        <is>
          <t>sitemap-provinces.xml</t>
        </is>
      </c>
      <c r="AA137" s="36" t="inlineStr">
        <is>
          <t>Live – indexable</t>
        </is>
      </c>
      <c r="AB137" s="38" t="n"/>
      <c r="AC137" s="38" t="n"/>
    </row>
    <row r="138" ht="23.85" customHeight="1" s="22">
      <c r="A138" s="36" t="inlineStr">
        <is>
          <t>P0137</t>
        </is>
      </c>
      <c r="B138" s="36" t="inlineStr">
        <is>
          <t>https://instasure.ca/contractor-insurance/quebec/</t>
        </is>
      </c>
      <c r="C138" s="36" t="inlineStr">
        <is>
          <t>Product × province</t>
        </is>
      </c>
      <c r="D138" s="36" t="inlineStr">
        <is>
          <t>Contractor &amp; trades insurance</t>
        </is>
      </c>
      <c r="E138" s="36" t="inlineStr">
        <is>
          <t>Contractor Insurance</t>
        </is>
      </c>
      <c r="F138" s="36" t="n"/>
      <c r="G138" s="36" t="inlineStr">
        <is>
          <t>Quebec</t>
        </is>
      </c>
      <c r="H138" s="36" t="n"/>
      <c r="I138" s="36" t="inlineStr">
        <is>
          <t>Yes</t>
        </is>
      </c>
      <c r="J138" s="25" t="inlineStr">
        <is>
          <t>Contractor Insurance in Quebec: Costs, Rules &amp; Quotes (2026)</t>
        </is>
      </c>
      <c r="K138" s="36">
        <f>LEN(J138)</f>
        <v/>
      </c>
      <c r="L138" s="25" t="inlineStr">
        <is>
          <t>Contractor Insurance in Quebec: how it works under AMF, what drives price, instant estimates and a waitlist for licensed advice in Quebec.</t>
        </is>
      </c>
      <c r="M138" s="36">
        <f>LEN(L138)</f>
        <v/>
      </c>
      <c r="N138" s="25" t="inlineStr">
        <is>
          <t>Contractor Insurance in Quebec</t>
        </is>
      </c>
      <c r="O138" s="36" t="inlineStr">
        <is>
          <t>contractor insurance quebec</t>
        </is>
      </c>
      <c r="P138" s="37" t="n">
        <v>43</v>
      </c>
      <c r="Q138" s="36" t="inlineStr">
        <is>
          <t>Provincial</t>
        </is>
      </c>
      <c r="R138" s="36" t="n"/>
      <c r="S138" s="36">
        <f>COUNTIF('Page-Keyword Map'!$A$2:$A$675,B138)</f>
        <v/>
      </c>
      <c r="T138" s="37">
        <f>SUMIF('Page-Keyword Map'!$A$2:$A$675,B138,'Page-Keyword Map'!$H$2:$H$675)</f>
        <v/>
      </c>
      <c r="U138" s="36">
        <f>COUNTIFS('Page-Keyword Map'!$A$2:$A$675,B138,'Page-Keyword Map'!$E$2:$E$675,"Nationwide")</f>
        <v/>
      </c>
      <c r="V138" s="36">
        <f>COUNTIFS('Page-Keyword Map'!$A$2:$A$675,B138,'Page-Keyword Map'!$E$2:$E$675,"Provincial")</f>
        <v/>
      </c>
      <c r="W138" s="36">
        <f>COUNTIFS('Page-Keyword Map'!$A$2:$A$675,B138,'Page-Keyword Map'!$E$2:$E$675,"City")</f>
        <v/>
      </c>
      <c r="X138" s="36">
        <f>IF(O138="","",IF(ISNUMBER(SEARCH(O138,J138)),"Yes","No"))</f>
        <v/>
      </c>
      <c r="Y138" s="36" t="n">
        <v>0.7</v>
      </c>
      <c r="Z138" s="36" t="inlineStr">
        <is>
          <t>sitemap-provinces.xml</t>
        </is>
      </c>
      <c r="AA138" s="36" t="inlineStr">
        <is>
          <t>Live – indexable</t>
        </is>
      </c>
      <c r="AB138" s="38" t="n"/>
      <c r="AC138" s="38" t="n"/>
    </row>
    <row r="139" ht="23.85" customHeight="1" s="22">
      <c r="A139" s="36" t="inlineStr">
        <is>
          <t>P0138</t>
        </is>
      </c>
      <c r="B139" s="36" t="inlineStr">
        <is>
          <t>https://instasure.ca/contractor-insurance/saskatchewan/</t>
        </is>
      </c>
      <c r="C139" s="36" t="inlineStr">
        <is>
          <t>Product × province</t>
        </is>
      </c>
      <c r="D139" s="36" t="inlineStr">
        <is>
          <t>Contractor &amp; trades insurance</t>
        </is>
      </c>
      <c r="E139" s="36" t="inlineStr">
        <is>
          <t>Contractor Insurance</t>
        </is>
      </c>
      <c r="F139" s="36" t="n"/>
      <c r="G139" s="36" t="inlineStr">
        <is>
          <t>Saskatchewan</t>
        </is>
      </c>
      <c r="H139" s="36" t="n"/>
      <c r="I139" s="36" t="inlineStr">
        <is>
          <t>Yes</t>
        </is>
      </c>
      <c r="J139" s="25" t="inlineStr">
        <is>
          <t>Contractor Insurance in Saskatchewan: Costs, Rules &amp; Quotes (2026)</t>
        </is>
      </c>
      <c r="K139" s="36">
        <f>LEN(J139)</f>
        <v/>
      </c>
      <c r="L139" s="25" t="inlineStr">
        <is>
          <t>Contractor Insurance in Saskatchewan: how it works under FCAA, what drives price, instant estimates and advisors licensed in Saskatchewan.</t>
        </is>
      </c>
      <c r="M139" s="36">
        <f>LEN(L139)</f>
        <v/>
      </c>
      <c r="N139" s="25" t="inlineStr">
        <is>
          <t>Contractor Insurance in Saskatchewan</t>
        </is>
      </c>
      <c r="O139" s="36" t="inlineStr">
        <is>
          <t>contractor insurance saskatchewan</t>
        </is>
      </c>
      <c r="P139" s="37" t="n">
        <v>22</v>
      </c>
      <c r="Q139" s="36" t="inlineStr">
        <is>
          <t>Provincial</t>
        </is>
      </c>
      <c r="R139" s="36" t="n"/>
      <c r="S139" s="36">
        <f>COUNTIF('Page-Keyword Map'!$A$2:$A$675,B139)</f>
        <v/>
      </c>
      <c r="T139" s="37">
        <f>SUMIF('Page-Keyword Map'!$A$2:$A$675,B139,'Page-Keyword Map'!$H$2:$H$675)</f>
        <v/>
      </c>
      <c r="U139" s="36">
        <f>COUNTIFS('Page-Keyword Map'!$A$2:$A$675,B139,'Page-Keyword Map'!$E$2:$E$675,"Nationwide")</f>
        <v/>
      </c>
      <c r="V139" s="36">
        <f>COUNTIFS('Page-Keyword Map'!$A$2:$A$675,B139,'Page-Keyword Map'!$E$2:$E$675,"Provincial")</f>
        <v/>
      </c>
      <c r="W139" s="36">
        <f>COUNTIFS('Page-Keyword Map'!$A$2:$A$675,B139,'Page-Keyword Map'!$E$2:$E$675,"City")</f>
        <v/>
      </c>
      <c r="X139" s="36">
        <f>IF(O139="","",IF(ISNUMBER(SEARCH(O139,J139)),"Yes","No"))</f>
        <v/>
      </c>
      <c r="Y139" s="36" t="n">
        <v>0.7</v>
      </c>
      <c r="Z139" s="36" t="inlineStr">
        <is>
          <t>sitemap-provinces.xml</t>
        </is>
      </c>
      <c r="AA139" s="36" t="inlineStr">
        <is>
          <t>Live – indexable</t>
        </is>
      </c>
      <c r="AB139" s="38" t="n"/>
      <c r="AC139" s="38" t="n"/>
    </row>
    <row r="140" ht="23.85" customHeight="1" s="22">
      <c r="A140" s="36" t="inlineStr">
        <is>
          <t>P0139</t>
        </is>
      </c>
      <c r="B140" s="36" t="inlineStr">
        <is>
          <t>https://instasure.ca/contractor-insurance/yukon/</t>
        </is>
      </c>
      <c r="C140" s="36" t="inlineStr">
        <is>
          <t>Product × province</t>
        </is>
      </c>
      <c r="D140" s="36" t="inlineStr">
        <is>
          <t>Contractor &amp; trades insurance</t>
        </is>
      </c>
      <c r="E140" s="36" t="inlineStr">
        <is>
          <t>Contractor Insurance</t>
        </is>
      </c>
      <c r="F140" s="36" t="n"/>
      <c r="G140" s="36" t="inlineStr">
        <is>
          <t>Yukon</t>
        </is>
      </c>
      <c r="H140" s="36" t="n"/>
      <c r="I140" s="36" t="inlineStr">
        <is>
          <t>Yes</t>
        </is>
      </c>
      <c r="J140" s="25" t="inlineStr">
        <is>
          <t>Contractor Insurance in Yukon: Costs, Rules &amp; Quotes (2026)</t>
        </is>
      </c>
      <c r="K140" s="36">
        <f>LEN(J140)</f>
        <v/>
      </c>
      <c r="L140" s="25" t="inlineStr">
        <is>
          <t>Contractor Insurance in Yukon: how it works under the Yukon Superintendent, what drives price, instant estimates and a waitlist for licensed advice in Yukon.</t>
        </is>
      </c>
      <c r="M140" s="36">
        <f>LEN(L140)</f>
        <v/>
      </c>
      <c r="N140" s="25" t="inlineStr">
        <is>
          <t>Contractor Insurance in Yukon</t>
        </is>
      </c>
      <c r="O140" s="36" t="n"/>
      <c r="P140" s="37" t="n"/>
      <c r="Q140" s="36" t="n"/>
      <c r="R140" s="36" t="inlineStr">
        <is>
          <t>contractor insurance yukon</t>
        </is>
      </c>
      <c r="S140" s="36">
        <f>COUNTIF('Page-Keyword Map'!$A$2:$A$675,B140)</f>
        <v/>
      </c>
      <c r="T140" s="37">
        <f>SUMIF('Page-Keyword Map'!$A$2:$A$675,B140,'Page-Keyword Map'!$H$2:$H$675)</f>
        <v/>
      </c>
      <c r="U140" s="36">
        <f>COUNTIFS('Page-Keyword Map'!$A$2:$A$675,B140,'Page-Keyword Map'!$E$2:$E$675,"Nationwide")</f>
        <v/>
      </c>
      <c r="V140" s="36">
        <f>COUNTIFS('Page-Keyword Map'!$A$2:$A$675,B140,'Page-Keyword Map'!$E$2:$E$675,"Provincial")</f>
        <v/>
      </c>
      <c r="W140" s="36">
        <f>COUNTIFS('Page-Keyword Map'!$A$2:$A$675,B140,'Page-Keyword Map'!$E$2:$E$675,"City")</f>
        <v/>
      </c>
      <c r="X140" s="36">
        <f>IF(O140="","",IF(ISNUMBER(SEARCH(O140,J140)),"Yes","No"))</f>
        <v/>
      </c>
      <c r="Y140" s="36" t="n">
        <v>0.7</v>
      </c>
      <c r="Z140" s="36" t="inlineStr">
        <is>
          <t>sitemap-provinces.xml</t>
        </is>
      </c>
      <c r="AA140" s="36" t="inlineStr">
        <is>
          <t>Live – indexable</t>
        </is>
      </c>
      <c r="AB140" s="38" t="n"/>
      <c r="AC140" s="38" t="n"/>
    </row>
    <row r="141" ht="23.85" customHeight="1" s="22">
      <c r="A141" s="36" t="inlineStr">
        <is>
          <t>P0140</t>
        </is>
      </c>
      <c r="B141" s="36" t="inlineStr">
        <is>
          <t>https://instasure.ca/critical-illness-insurance/alberta/</t>
        </is>
      </c>
      <c r="C141" s="36" t="inlineStr">
        <is>
          <t>Product × province</t>
        </is>
      </c>
      <c r="D141" s="36" t="inlineStr">
        <is>
          <t>Critical illness insurance</t>
        </is>
      </c>
      <c r="E141" s="36" t="inlineStr">
        <is>
          <t>Critical Illness Insurance</t>
        </is>
      </c>
      <c r="F141" s="36" t="n"/>
      <c r="G141" s="36" t="inlineStr">
        <is>
          <t>Alberta</t>
        </is>
      </c>
      <c r="H141" s="36" t="n"/>
      <c r="I141" s="36" t="inlineStr">
        <is>
          <t>Yes</t>
        </is>
      </c>
      <c r="J141" s="25" t="inlineStr">
        <is>
          <t>Critical Illness Insurance in Alberta: Costs, Rules &amp; Quotes (2026)</t>
        </is>
      </c>
      <c r="K141" s="36">
        <f>LEN(J141)</f>
        <v/>
      </c>
      <c r="L141" s="25" t="inlineStr">
        <is>
          <t>Critical Illness Insurance in Alberta: how it works under the Superintendent of Insurance, what drives price, instant estimates and advisors licensed in Alberta.</t>
        </is>
      </c>
      <c r="M141" s="36">
        <f>LEN(L141)</f>
        <v/>
      </c>
      <c r="N141" s="25" t="inlineStr">
        <is>
          <t>Critical Illness Insurance in Alberta</t>
        </is>
      </c>
      <c r="O141" s="36" t="inlineStr">
        <is>
          <t>critical illness insurance alberta</t>
        </is>
      </c>
      <c r="P141" s="37" t="n">
        <v>66</v>
      </c>
      <c r="Q141" s="36" t="inlineStr">
        <is>
          <t>Provincial</t>
        </is>
      </c>
      <c r="R141" s="36" t="n"/>
      <c r="S141" s="36">
        <f>COUNTIF('Page-Keyword Map'!$A$2:$A$675,B141)</f>
        <v/>
      </c>
      <c r="T141" s="37">
        <f>SUMIF('Page-Keyword Map'!$A$2:$A$675,B141,'Page-Keyword Map'!$H$2:$H$675)</f>
        <v/>
      </c>
      <c r="U141" s="36">
        <f>COUNTIFS('Page-Keyword Map'!$A$2:$A$675,B141,'Page-Keyword Map'!$E$2:$E$675,"Nationwide")</f>
        <v/>
      </c>
      <c r="V141" s="36">
        <f>COUNTIFS('Page-Keyword Map'!$A$2:$A$675,B141,'Page-Keyword Map'!$E$2:$E$675,"Provincial")</f>
        <v/>
      </c>
      <c r="W141" s="36">
        <f>COUNTIFS('Page-Keyword Map'!$A$2:$A$675,B141,'Page-Keyword Map'!$E$2:$E$675,"City")</f>
        <v/>
      </c>
      <c r="X141" s="36">
        <f>IF(O141="","",IF(ISNUMBER(SEARCH(O141,J141)),"Yes","No"))</f>
        <v/>
      </c>
      <c r="Y141" s="36" t="n">
        <v>0.7</v>
      </c>
      <c r="Z141" s="36" t="inlineStr">
        <is>
          <t>sitemap-provinces.xml</t>
        </is>
      </c>
      <c r="AA141" s="36" t="inlineStr">
        <is>
          <t>Live – indexable</t>
        </is>
      </c>
      <c r="AB141" s="38" t="n"/>
      <c r="AC141" s="38" t="n"/>
    </row>
    <row r="142" ht="23.85" customHeight="1" s="22">
      <c r="A142" s="36" t="inlineStr">
        <is>
          <t>P0141</t>
        </is>
      </c>
      <c r="B142" s="36" t="inlineStr">
        <is>
          <t>https://instasure.ca/critical-illness-insurance/british-columbia/</t>
        </is>
      </c>
      <c r="C142" s="36" t="inlineStr">
        <is>
          <t>Product × province</t>
        </is>
      </c>
      <c r="D142" s="36" t="inlineStr">
        <is>
          <t>Critical illness insurance</t>
        </is>
      </c>
      <c r="E142" s="36" t="inlineStr">
        <is>
          <t>Critical Illness Insurance</t>
        </is>
      </c>
      <c r="F142" s="36" t="n"/>
      <c r="G142" s="36" t="inlineStr">
        <is>
          <t>British Columbia</t>
        </is>
      </c>
      <c r="H142" s="36" t="n"/>
      <c r="I142" s="36" t="inlineStr">
        <is>
          <t>Yes</t>
        </is>
      </c>
      <c r="J142" s="25" t="inlineStr">
        <is>
          <t>Critical Illness Insurance in British Columbia: Costs, Rules &amp; Quotes (2026)</t>
        </is>
      </c>
      <c r="K142" s="36">
        <f>LEN(J142)</f>
        <v/>
      </c>
      <c r="L142" s="25" t="inlineStr">
        <is>
          <t>Critical Illness Insurance in British Columbia: how it works under BCFSA, what drives price, instant estimates and advisors licensed in British Columbia.</t>
        </is>
      </c>
      <c r="M142" s="36">
        <f>LEN(L142)</f>
        <v/>
      </c>
      <c r="N142" s="25" t="inlineStr">
        <is>
          <t>Critical Illness Insurance in British Columbia</t>
        </is>
      </c>
      <c r="O142" s="36" t="inlineStr">
        <is>
          <t>critical illness insurance bc</t>
        </is>
      </c>
      <c r="P142" s="37" t="n">
        <v>77</v>
      </c>
      <c r="Q142" s="36" t="inlineStr">
        <is>
          <t>Provincial</t>
        </is>
      </c>
      <c r="R142" s="36" t="n"/>
      <c r="S142" s="36">
        <f>COUNTIF('Page-Keyword Map'!$A$2:$A$675,B142)</f>
        <v/>
      </c>
      <c r="T142" s="37">
        <f>SUMIF('Page-Keyword Map'!$A$2:$A$675,B142,'Page-Keyword Map'!$H$2:$H$675)</f>
        <v/>
      </c>
      <c r="U142" s="36">
        <f>COUNTIFS('Page-Keyword Map'!$A$2:$A$675,B142,'Page-Keyword Map'!$E$2:$E$675,"Nationwide")</f>
        <v/>
      </c>
      <c r="V142" s="36">
        <f>COUNTIFS('Page-Keyword Map'!$A$2:$A$675,B142,'Page-Keyword Map'!$E$2:$E$675,"Provincial")</f>
        <v/>
      </c>
      <c r="W142" s="36">
        <f>COUNTIFS('Page-Keyword Map'!$A$2:$A$675,B142,'Page-Keyword Map'!$E$2:$E$675,"City")</f>
        <v/>
      </c>
      <c r="X142" s="36">
        <f>IF(O142="","",IF(ISNUMBER(SEARCH(O142,J142)),"Yes","No"))</f>
        <v/>
      </c>
      <c r="Y142" s="36" t="n">
        <v>0.7</v>
      </c>
      <c r="Z142" s="36" t="inlineStr">
        <is>
          <t>sitemap-provinces.xml</t>
        </is>
      </c>
      <c r="AA142" s="36" t="inlineStr">
        <is>
          <t>Live – indexable</t>
        </is>
      </c>
      <c r="AB142" s="38" t="n"/>
      <c r="AC142" s="38" t="n"/>
    </row>
    <row r="143" ht="23.85" customHeight="1" s="22">
      <c r="A143" s="36" t="inlineStr">
        <is>
          <t>P0142</t>
        </is>
      </c>
      <c r="B143" s="36" t="inlineStr">
        <is>
          <t>https://instasure.ca/critical-illness-insurance/manitoba/</t>
        </is>
      </c>
      <c r="C143" s="36" t="inlineStr">
        <is>
          <t>Product × province</t>
        </is>
      </c>
      <c r="D143" s="36" t="inlineStr">
        <is>
          <t>Critical illness insurance</t>
        </is>
      </c>
      <c r="E143" s="36" t="inlineStr">
        <is>
          <t>Critical Illness Insurance</t>
        </is>
      </c>
      <c r="F143" s="36" t="n"/>
      <c r="G143" s="36" t="inlineStr">
        <is>
          <t>Manitoba</t>
        </is>
      </c>
      <c r="H143" s="36" t="n"/>
      <c r="I143" s="36" t="inlineStr">
        <is>
          <t>Yes</t>
        </is>
      </c>
      <c r="J143" s="25" t="inlineStr">
        <is>
          <t>Critical Illness Insurance in Manitoba: Costs, Rules &amp; Quotes (2026)</t>
        </is>
      </c>
      <c r="K143" s="36">
        <f>LEN(J143)</f>
        <v/>
      </c>
      <c r="L143" s="25" t="inlineStr">
        <is>
          <t>Critical Illness Insurance in Manitoba: how it works under FIRB, what drives price, instant estimates and advisors licensed in Manitoba.</t>
        </is>
      </c>
      <c r="M143" s="36">
        <f>LEN(L143)</f>
        <v/>
      </c>
      <c r="N143" s="25" t="inlineStr">
        <is>
          <t>Critical Illness Insurance in Manitoba</t>
        </is>
      </c>
      <c r="O143" s="36" t="inlineStr">
        <is>
          <t>critical illness insurance manitoba</t>
        </is>
      </c>
      <c r="P143" s="37" t="n">
        <v>23</v>
      </c>
      <c r="Q143" s="36" t="inlineStr">
        <is>
          <t>Provincial</t>
        </is>
      </c>
      <c r="R143" s="36" t="n"/>
      <c r="S143" s="36">
        <f>COUNTIF('Page-Keyword Map'!$A$2:$A$675,B143)</f>
        <v/>
      </c>
      <c r="T143" s="37">
        <f>SUMIF('Page-Keyword Map'!$A$2:$A$675,B143,'Page-Keyword Map'!$H$2:$H$675)</f>
        <v/>
      </c>
      <c r="U143" s="36">
        <f>COUNTIFS('Page-Keyword Map'!$A$2:$A$675,B143,'Page-Keyword Map'!$E$2:$E$675,"Nationwide")</f>
        <v/>
      </c>
      <c r="V143" s="36">
        <f>COUNTIFS('Page-Keyword Map'!$A$2:$A$675,B143,'Page-Keyword Map'!$E$2:$E$675,"Provincial")</f>
        <v/>
      </c>
      <c r="W143" s="36">
        <f>COUNTIFS('Page-Keyword Map'!$A$2:$A$675,B143,'Page-Keyword Map'!$E$2:$E$675,"City")</f>
        <v/>
      </c>
      <c r="X143" s="36">
        <f>IF(O143="","",IF(ISNUMBER(SEARCH(O143,J143)),"Yes","No"))</f>
        <v/>
      </c>
      <c r="Y143" s="36" t="n">
        <v>0.7</v>
      </c>
      <c r="Z143" s="36" t="inlineStr">
        <is>
          <t>sitemap-provinces.xml</t>
        </is>
      </c>
      <c r="AA143" s="36" t="inlineStr">
        <is>
          <t>Live – indexable</t>
        </is>
      </c>
      <c r="AB143" s="38" t="n"/>
      <c r="AC143" s="38" t="n"/>
    </row>
    <row r="144" ht="23.85" customHeight="1" s="22">
      <c r="A144" s="36" t="inlineStr">
        <is>
          <t>P0143</t>
        </is>
      </c>
      <c r="B144" s="36" t="inlineStr">
        <is>
          <t>https://instasure.ca/critical-illness-insurance/new-brunswick/</t>
        </is>
      </c>
      <c r="C144" s="36" t="inlineStr">
        <is>
          <t>Product × province</t>
        </is>
      </c>
      <c r="D144" s="36" t="inlineStr">
        <is>
          <t>Critical illness insurance</t>
        </is>
      </c>
      <c r="E144" s="36" t="inlineStr">
        <is>
          <t>Critical Illness Insurance</t>
        </is>
      </c>
      <c r="F144" s="36" t="n"/>
      <c r="G144" s="36" t="inlineStr">
        <is>
          <t>New Brunswick</t>
        </is>
      </c>
      <c r="H144" s="36" t="n"/>
      <c r="I144" s="36" t="inlineStr">
        <is>
          <t>Yes</t>
        </is>
      </c>
      <c r="J144" s="25" t="inlineStr">
        <is>
          <t>Critical Illness Insurance in New Brunswick: Costs, Rules &amp; Quotes (2026)</t>
        </is>
      </c>
      <c r="K144" s="36">
        <f>LEN(J144)</f>
        <v/>
      </c>
      <c r="L144" s="25" t="inlineStr">
        <is>
          <t>Critical Illness Insurance in New Brunswick: how it works under FCNB, what drives price, instant estimates and advisors licensed in New Brunswick.</t>
        </is>
      </c>
      <c r="M144" s="36">
        <f>LEN(L144)</f>
        <v/>
      </c>
      <c r="N144" s="25" t="inlineStr">
        <is>
          <t>Critical Illness Insurance in New Brunswick</t>
        </is>
      </c>
      <c r="O144" s="36" t="n"/>
      <c r="P144" s="37" t="n"/>
      <c r="Q144" s="36" t="n"/>
      <c r="R144" s="36" t="inlineStr">
        <is>
          <t>critical illness insurance new brunswick</t>
        </is>
      </c>
      <c r="S144" s="36">
        <f>COUNTIF('Page-Keyword Map'!$A$2:$A$675,B144)</f>
        <v/>
      </c>
      <c r="T144" s="37">
        <f>SUMIF('Page-Keyword Map'!$A$2:$A$675,B144,'Page-Keyword Map'!$H$2:$H$675)</f>
        <v/>
      </c>
      <c r="U144" s="36">
        <f>COUNTIFS('Page-Keyword Map'!$A$2:$A$675,B144,'Page-Keyword Map'!$E$2:$E$675,"Nationwide")</f>
        <v/>
      </c>
      <c r="V144" s="36">
        <f>COUNTIFS('Page-Keyword Map'!$A$2:$A$675,B144,'Page-Keyword Map'!$E$2:$E$675,"Provincial")</f>
        <v/>
      </c>
      <c r="W144" s="36">
        <f>COUNTIFS('Page-Keyword Map'!$A$2:$A$675,B144,'Page-Keyword Map'!$E$2:$E$675,"City")</f>
        <v/>
      </c>
      <c r="X144" s="36">
        <f>IF(O144="","",IF(ISNUMBER(SEARCH(O144,J144)),"Yes","No"))</f>
        <v/>
      </c>
      <c r="Y144" s="36" t="n">
        <v>0.7</v>
      </c>
      <c r="Z144" s="36" t="inlineStr">
        <is>
          <t>sitemap-provinces.xml</t>
        </is>
      </c>
      <c r="AA144" s="36" t="inlineStr">
        <is>
          <t>Live – indexable</t>
        </is>
      </c>
      <c r="AB144" s="38" t="n"/>
      <c r="AC144" s="38" t="n"/>
    </row>
    <row r="145" ht="23.85" customHeight="1" s="22">
      <c r="A145" s="36" t="inlineStr">
        <is>
          <t>P0144</t>
        </is>
      </c>
      <c r="B145" s="36" t="inlineStr">
        <is>
          <t>https://instasure.ca/critical-illness-insurance/newfoundland-and-labrador/</t>
        </is>
      </c>
      <c r="C145" s="36" t="inlineStr">
        <is>
          <t>Product × province</t>
        </is>
      </c>
      <c r="D145" s="36" t="inlineStr">
        <is>
          <t>Critical illness insurance</t>
        </is>
      </c>
      <c r="E145" s="36" t="inlineStr">
        <is>
          <t>Critical Illness Insurance</t>
        </is>
      </c>
      <c r="F145" s="36" t="n"/>
      <c r="G145" s="36" t="inlineStr">
        <is>
          <t>Newfoundland and Labrador</t>
        </is>
      </c>
      <c r="H145" s="36" t="n"/>
      <c r="I145" s="36" t="inlineStr">
        <is>
          <t>Yes</t>
        </is>
      </c>
      <c r="J145" s="25" t="inlineStr">
        <is>
          <t>Critical Illness Insurance in Newfoundland and Labrador: Costs, Rules &amp; Quotes (2026)</t>
        </is>
      </c>
      <c r="K145" s="36">
        <f>LEN(J145)</f>
        <v/>
      </c>
      <c r="L145" s="25" t="inlineStr">
        <is>
          <t>Critical Illness Insurance in Newfoundland and Labrador: how it works under Service NL, what drives price, instant estimates and advisors licensed in Newfoundland…</t>
        </is>
      </c>
      <c r="M145" s="36">
        <f>LEN(L145)</f>
        <v/>
      </c>
      <c r="N145" s="25" t="inlineStr">
        <is>
          <t>Critical Illness Insurance in Newfoundland and Labrador</t>
        </is>
      </c>
      <c r="O145" s="36" t="n"/>
      <c r="P145" s="37" t="n"/>
      <c r="Q145" s="36" t="n"/>
      <c r="R145" s="36" t="inlineStr">
        <is>
          <t>critical illness insurance newfoundland and labrador</t>
        </is>
      </c>
      <c r="S145" s="36">
        <f>COUNTIF('Page-Keyword Map'!$A$2:$A$675,B145)</f>
        <v/>
      </c>
      <c r="T145" s="37">
        <f>SUMIF('Page-Keyword Map'!$A$2:$A$675,B145,'Page-Keyword Map'!$H$2:$H$675)</f>
        <v/>
      </c>
      <c r="U145" s="36">
        <f>COUNTIFS('Page-Keyword Map'!$A$2:$A$675,B145,'Page-Keyword Map'!$E$2:$E$675,"Nationwide")</f>
        <v/>
      </c>
      <c r="V145" s="36">
        <f>COUNTIFS('Page-Keyword Map'!$A$2:$A$675,B145,'Page-Keyword Map'!$E$2:$E$675,"Provincial")</f>
        <v/>
      </c>
      <c r="W145" s="36">
        <f>COUNTIFS('Page-Keyword Map'!$A$2:$A$675,B145,'Page-Keyword Map'!$E$2:$E$675,"City")</f>
        <v/>
      </c>
      <c r="X145" s="36">
        <f>IF(O145="","",IF(ISNUMBER(SEARCH(O145,J145)),"Yes","No"))</f>
        <v/>
      </c>
      <c r="Y145" s="36" t="n">
        <v>0.7</v>
      </c>
      <c r="Z145" s="36" t="inlineStr">
        <is>
          <t>sitemap-provinces.xml</t>
        </is>
      </c>
      <c r="AA145" s="36" t="inlineStr">
        <is>
          <t>Live – indexable</t>
        </is>
      </c>
      <c r="AB145" s="38" t="n"/>
      <c r="AC145" s="38" t="n"/>
    </row>
    <row r="146" ht="23.85" customHeight="1" s="22">
      <c r="A146" s="36" t="inlineStr">
        <is>
          <t>P0145</t>
        </is>
      </c>
      <c r="B146" s="36" t="inlineStr">
        <is>
          <t>https://instasure.ca/critical-illness-insurance/northwest-territories/</t>
        </is>
      </c>
      <c r="C146" s="36" t="inlineStr">
        <is>
          <t>Product × province</t>
        </is>
      </c>
      <c r="D146" s="36" t="inlineStr">
        <is>
          <t>Critical illness insurance</t>
        </is>
      </c>
      <c r="E146" s="36" t="inlineStr">
        <is>
          <t>Critical Illness Insurance</t>
        </is>
      </c>
      <c r="F146" s="36" t="n"/>
      <c r="G146" s="36" t="inlineStr">
        <is>
          <t>Northwest Territories</t>
        </is>
      </c>
      <c r="H146" s="36" t="n"/>
      <c r="I146" s="36" t="inlineStr">
        <is>
          <t>Yes</t>
        </is>
      </c>
      <c r="J146" s="25" t="inlineStr">
        <is>
          <t>Critical Illness Insurance in Northwest Territories: Costs, Rules &amp; Quotes (2026)</t>
        </is>
      </c>
      <c r="K146" s="36">
        <f>LEN(J146)</f>
        <v/>
      </c>
      <c r="L146" s="25" t="inlineStr">
        <is>
          <t>Critical Illness Insurance in Northwest Territories: how it works under the NWT Superintendent, what drives price, instant estimates and a waitlist for licensed…</t>
        </is>
      </c>
      <c r="M146" s="36">
        <f>LEN(L146)</f>
        <v/>
      </c>
      <c r="N146" s="25" t="inlineStr">
        <is>
          <t>Critical Illness Insurance in Northwest Territories</t>
        </is>
      </c>
      <c r="O146" s="36" t="n"/>
      <c r="P146" s="37" t="n"/>
      <c r="Q146" s="36" t="n"/>
      <c r="R146" s="36" t="inlineStr">
        <is>
          <t>critical illness insurance northwest territories</t>
        </is>
      </c>
      <c r="S146" s="36">
        <f>COUNTIF('Page-Keyword Map'!$A$2:$A$675,B146)</f>
        <v/>
      </c>
      <c r="T146" s="37">
        <f>SUMIF('Page-Keyword Map'!$A$2:$A$675,B146,'Page-Keyword Map'!$H$2:$H$675)</f>
        <v/>
      </c>
      <c r="U146" s="36">
        <f>COUNTIFS('Page-Keyword Map'!$A$2:$A$675,B146,'Page-Keyword Map'!$E$2:$E$675,"Nationwide")</f>
        <v/>
      </c>
      <c r="V146" s="36">
        <f>COUNTIFS('Page-Keyword Map'!$A$2:$A$675,B146,'Page-Keyword Map'!$E$2:$E$675,"Provincial")</f>
        <v/>
      </c>
      <c r="W146" s="36">
        <f>COUNTIFS('Page-Keyword Map'!$A$2:$A$675,B146,'Page-Keyword Map'!$E$2:$E$675,"City")</f>
        <v/>
      </c>
      <c r="X146" s="36">
        <f>IF(O146="","",IF(ISNUMBER(SEARCH(O146,J146)),"Yes","No"))</f>
        <v/>
      </c>
      <c r="Y146" s="36" t="n">
        <v>0.7</v>
      </c>
      <c r="Z146" s="36" t="inlineStr">
        <is>
          <t>sitemap-provinces.xml</t>
        </is>
      </c>
      <c r="AA146" s="36" t="inlineStr">
        <is>
          <t>Live – indexable</t>
        </is>
      </c>
      <c r="AB146" s="38" t="n"/>
      <c r="AC146" s="38" t="n"/>
    </row>
    <row r="147" ht="23.85" customHeight="1" s="22">
      <c r="A147" s="36" t="inlineStr">
        <is>
          <t>P0146</t>
        </is>
      </c>
      <c r="B147" s="36" t="inlineStr">
        <is>
          <t>https://instasure.ca/critical-illness-insurance/nova-scotia/</t>
        </is>
      </c>
      <c r="C147" s="36" t="inlineStr">
        <is>
          <t>Product × province</t>
        </is>
      </c>
      <c r="D147" s="36" t="inlineStr">
        <is>
          <t>Critical illness insurance</t>
        </is>
      </c>
      <c r="E147" s="36" t="inlineStr">
        <is>
          <t>Critical Illness Insurance</t>
        </is>
      </c>
      <c r="F147" s="36" t="n"/>
      <c r="G147" s="36" t="inlineStr">
        <is>
          <t>Nova Scotia</t>
        </is>
      </c>
      <c r="H147" s="36" t="n"/>
      <c r="I147" s="36" t="inlineStr">
        <is>
          <t>Yes</t>
        </is>
      </c>
      <c r="J147" s="25" t="inlineStr">
        <is>
          <t>Critical Illness Insurance in Nova Scotia: Costs, Rules &amp; Quotes (2026)</t>
        </is>
      </c>
      <c r="K147" s="36">
        <f>LEN(J147)</f>
        <v/>
      </c>
      <c r="L147" s="25" t="inlineStr">
        <is>
          <t>Critical Illness Insurance in Nova Scotia: how it works under the NS Superintendent of Insurance, what drives price, instant estimates and advisors licensed in…</t>
        </is>
      </c>
      <c r="M147" s="36">
        <f>LEN(L147)</f>
        <v/>
      </c>
      <c r="N147" s="25" t="inlineStr">
        <is>
          <t>Critical Illness Insurance in Nova Scotia</t>
        </is>
      </c>
      <c r="O147" s="36" t="n"/>
      <c r="P147" s="37" t="n"/>
      <c r="Q147" s="36" t="n"/>
      <c r="R147" s="36" t="inlineStr">
        <is>
          <t>critical illness insurance nova scotia</t>
        </is>
      </c>
      <c r="S147" s="36">
        <f>COUNTIF('Page-Keyword Map'!$A$2:$A$675,B147)</f>
        <v/>
      </c>
      <c r="T147" s="37">
        <f>SUMIF('Page-Keyword Map'!$A$2:$A$675,B147,'Page-Keyword Map'!$H$2:$H$675)</f>
        <v/>
      </c>
      <c r="U147" s="36">
        <f>COUNTIFS('Page-Keyword Map'!$A$2:$A$675,B147,'Page-Keyword Map'!$E$2:$E$675,"Nationwide")</f>
        <v/>
      </c>
      <c r="V147" s="36">
        <f>COUNTIFS('Page-Keyword Map'!$A$2:$A$675,B147,'Page-Keyword Map'!$E$2:$E$675,"Provincial")</f>
        <v/>
      </c>
      <c r="W147" s="36">
        <f>COUNTIFS('Page-Keyword Map'!$A$2:$A$675,B147,'Page-Keyword Map'!$E$2:$E$675,"City")</f>
        <v/>
      </c>
      <c r="X147" s="36">
        <f>IF(O147="","",IF(ISNUMBER(SEARCH(O147,J147)),"Yes","No"))</f>
        <v/>
      </c>
      <c r="Y147" s="36" t="n">
        <v>0.7</v>
      </c>
      <c r="Z147" s="36" t="inlineStr">
        <is>
          <t>sitemap-provinces.xml</t>
        </is>
      </c>
      <c r="AA147" s="36" t="inlineStr">
        <is>
          <t>Live – indexable</t>
        </is>
      </c>
      <c r="AB147" s="38" t="n"/>
      <c r="AC147" s="38" t="n"/>
    </row>
    <row r="148" ht="23.85" customHeight="1" s="22">
      <c r="A148" s="36" t="inlineStr">
        <is>
          <t>P0147</t>
        </is>
      </c>
      <c r="B148" s="36" t="inlineStr">
        <is>
          <t>https://instasure.ca/critical-illness-insurance/nunavut/</t>
        </is>
      </c>
      <c r="C148" s="36" t="inlineStr">
        <is>
          <t>Product × province</t>
        </is>
      </c>
      <c r="D148" s="36" t="inlineStr">
        <is>
          <t>Critical illness insurance</t>
        </is>
      </c>
      <c r="E148" s="36" t="inlineStr">
        <is>
          <t>Critical Illness Insurance</t>
        </is>
      </c>
      <c r="F148" s="36" t="n"/>
      <c r="G148" s="36" t="inlineStr">
        <is>
          <t>Nunavut</t>
        </is>
      </c>
      <c r="H148" s="36" t="n"/>
      <c r="I148" s="36" t="inlineStr">
        <is>
          <t>Yes</t>
        </is>
      </c>
      <c r="J148" s="25" t="inlineStr">
        <is>
          <t>Critical Illness Insurance in Nunavut: Costs, Rules &amp; Quotes (2026)</t>
        </is>
      </c>
      <c r="K148" s="36">
        <f>LEN(J148)</f>
        <v/>
      </c>
      <c r="L148" s="25" t="inlineStr">
        <is>
          <t>Critical Illness Insurance in Nunavut: how it works under the Nunavut Superintendent, what drives price, instant estimates and a waitlist for licensed advice in…</t>
        </is>
      </c>
      <c r="M148" s="36">
        <f>LEN(L148)</f>
        <v/>
      </c>
      <c r="N148" s="25" t="inlineStr">
        <is>
          <t>Critical Illness Insurance in Nunavut</t>
        </is>
      </c>
      <c r="O148" s="36" t="n"/>
      <c r="P148" s="37" t="n"/>
      <c r="Q148" s="36" t="n"/>
      <c r="R148" s="36" t="inlineStr">
        <is>
          <t>critical illness insurance nunavut</t>
        </is>
      </c>
      <c r="S148" s="36">
        <f>COUNTIF('Page-Keyword Map'!$A$2:$A$675,B148)</f>
        <v/>
      </c>
      <c r="T148" s="37">
        <f>SUMIF('Page-Keyword Map'!$A$2:$A$675,B148,'Page-Keyword Map'!$H$2:$H$675)</f>
        <v/>
      </c>
      <c r="U148" s="36">
        <f>COUNTIFS('Page-Keyword Map'!$A$2:$A$675,B148,'Page-Keyword Map'!$E$2:$E$675,"Nationwide")</f>
        <v/>
      </c>
      <c r="V148" s="36">
        <f>COUNTIFS('Page-Keyword Map'!$A$2:$A$675,B148,'Page-Keyword Map'!$E$2:$E$675,"Provincial")</f>
        <v/>
      </c>
      <c r="W148" s="36">
        <f>COUNTIFS('Page-Keyword Map'!$A$2:$A$675,B148,'Page-Keyword Map'!$E$2:$E$675,"City")</f>
        <v/>
      </c>
      <c r="X148" s="36">
        <f>IF(O148="","",IF(ISNUMBER(SEARCH(O148,J148)),"Yes","No"))</f>
        <v/>
      </c>
      <c r="Y148" s="36" t="n">
        <v>0.7</v>
      </c>
      <c r="Z148" s="36" t="inlineStr">
        <is>
          <t>sitemap-provinces.xml</t>
        </is>
      </c>
      <c r="AA148" s="36" t="inlineStr">
        <is>
          <t>Live – indexable</t>
        </is>
      </c>
      <c r="AB148" s="38" t="n"/>
      <c r="AC148" s="38" t="n"/>
    </row>
    <row r="149" ht="23.85" customHeight="1" s="22">
      <c r="A149" s="36" t="inlineStr">
        <is>
          <t>P0148</t>
        </is>
      </c>
      <c r="B149" s="36" t="inlineStr">
        <is>
          <t>https://instasure.ca/critical-illness-insurance/ontario/</t>
        </is>
      </c>
      <c r="C149" s="36" t="inlineStr">
        <is>
          <t>Product × province</t>
        </is>
      </c>
      <c r="D149" s="36" t="inlineStr">
        <is>
          <t>Critical illness insurance</t>
        </is>
      </c>
      <c r="E149" s="36" t="inlineStr">
        <is>
          <t>Critical Illness Insurance</t>
        </is>
      </c>
      <c r="F149" s="36" t="n"/>
      <c r="G149" s="36" t="inlineStr">
        <is>
          <t>Ontario</t>
        </is>
      </c>
      <c r="H149" s="36" t="n"/>
      <c r="I149" s="36" t="inlineStr">
        <is>
          <t>Yes</t>
        </is>
      </c>
      <c r="J149" s="25" t="inlineStr">
        <is>
          <t>Critical Illness Insurance in Ontario: Costs, Rules &amp; Quotes (2026)</t>
        </is>
      </c>
      <c r="K149" s="36">
        <f>LEN(J149)</f>
        <v/>
      </c>
      <c r="L149" s="25" t="inlineStr">
        <is>
          <t>Critical Illness Insurance in Ontario: how it works under FSRA, what drives price, instant estimates and advisors licensed in Ontario.</t>
        </is>
      </c>
      <c r="M149" s="36">
        <f>LEN(L149)</f>
        <v/>
      </c>
      <c r="N149" s="25" t="inlineStr">
        <is>
          <t>Critical Illness Insurance in Ontario</t>
        </is>
      </c>
      <c r="O149" s="36" t="inlineStr">
        <is>
          <t>critical illness insurance ontario</t>
        </is>
      </c>
      <c r="P149" s="37" t="n">
        <v>220</v>
      </c>
      <c r="Q149" s="36" t="inlineStr">
        <is>
          <t>Provincial</t>
        </is>
      </c>
      <c r="R149" s="36" t="n"/>
      <c r="S149" s="36">
        <f>COUNTIF('Page-Keyword Map'!$A$2:$A$675,B149)</f>
        <v/>
      </c>
      <c r="T149" s="37">
        <f>SUMIF('Page-Keyword Map'!$A$2:$A$675,B149,'Page-Keyword Map'!$H$2:$H$675)</f>
        <v/>
      </c>
      <c r="U149" s="36">
        <f>COUNTIFS('Page-Keyword Map'!$A$2:$A$675,B149,'Page-Keyword Map'!$E$2:$E$675,"Nationwide")</f>
        <v/>
      </c>
      <c r="V149" s="36">
        <f>COUNTIFS('Page-Keyword Map'!$A$2:$A$675,B149,'Page-Keyword Map'!$E$2:$E$675,"Provincial")</f>
        <v/>
      </c>
      <c r="W149" s="36">
        <f>COUNTIFS('Page-Keyword Map'!$A$2:$A$675,B149,'Page-Keyword Map'!$E$2:$E$675,"City")</f>
        <v/>
      </c>
      <c r="X149" s="36">
        <f>IF(O149="","",IF(ISNUMBER(SEARCH(O149,J149)),"Yes","No"))</f>
        <v/>
      </c>
      <c r="Y149" s="36" t="n">
        <v>0.7</v>
      </c>
      <c r="Z149" s="36" t="inlineStr">
        <is>
          <t>sitemap-provinces.xml</t>
        </is>
      </c>
      <c r="AA149" s="36" t="inlineStr">
        <is>
          <t>Live – indexable</t>
        </is>
      </c>
      <c r="AB149" s="38" t="n"/>
      <c r="AC149" s="38" t="n"/>
    </row>
    <row r="150" ht="23.85" customHeight="1" s="22">
      <c r="A150" s="36" t="inlineStr">
        <is>
          <t>P0149</t>
        </is>
      </c>
      <c r="B150" s="36" t="inlineStr">
        <is>
          <t>https://instasure.ca/critical-illness-insurance/prince-edward-island/</t>
        </is>
      </c>
      <c r="C150" s="36" t="inlineStr">
        <is>
          <t>Product × province</t>
        </is>
      </c>
      <c r="D150" s="36" t="inlineStr">
        <is>
          <t>Critical illness insurance</t>
        </is>
      </c>
      <c r="E150" s="36" t="inlineStr">
        <is>
          <t>Critical Illness Insurance</t>
        </is>
      </c>
      <c r="F150" s="36" t="n"/>
      <c r="G150" s="36" t="inlineStr">
        <is>
          <t>Prince Edward Island</t>
        </is>
      </c>
      <c r="H150" s="36" t="n"/>
      <c r="I150" s="36" t="inlineStr">
        <is>
          <t>Yes</t>
        </is>
      </c>
      <c r="J150" s="25" t="inlineStr">
        <is>
          <t>Critical Illness Insurance in Prince Edward Island: Costs, Rules &amp; Quotes (2026)</t>
        </is>
      </c>
      <c r="K150" s="36">
        <f>LEN(J150)</f>
        <v/>
      </c>
      <c r="L150" s="25" t="inlineStr">
        <is>
          <t>Critical Illness Insurance in Prince Edward Island: how it works under the PEI Superintendent, what drives price, instant estimates and advisors licensed in Prince…</t>
        </is>
      </c>
      <c r="M150" s="36">
        <f>LEN(L150)</f>
        <v/>
      </c>
      <c r="N150" s="25" t="inlineStr">
        <is>
          <t>Critical Illness Insurance in Prince Edward Island</t>
        </is>
      </c>
      <c r="O150" s="36" t="n"/>
      <c r="P150" s="37" t="n"/>
      <c r="Q150" s="36" t="n"/>
      <c r="R150" s="36" t="inlineStr">
        <is>
          <t>critical illness insurance prince edward island</t>
        </is>
      </c>
      <c r="S150" s="36">
        <f>COUNTIF('Page-Keyword Map'!$A$2:$A$675,B150)</f>
        <v/>
      </c>
      <c r="T150" s="37">
        <f>SUMIF('Page-Keyword Map'!$A$2:$A$675,B150,'Page-Keyword Map'!$H$2:$H$675)</f>
        <v/>
      </c>
      <c r="U150" s="36">
        <f>COUNTIFS('Page-Keyword Map'!$A$2:$A$675,B150,'Page-Keyword Map'!$E$2:$E$675,"Nationwide")</f>
        <v/>
      </c>
      <c r="V150" s="36">
        <f>COUNTIFS('Page-Keyword Map'!$A$2:$A$675,B150,'Page-Keyword Map'!$E$2:$E$675,"Provincial")</f>
        <v/>
      </c>
      <c r="W150" s="36">
        <f>COUNTIFS('Page-Keyword Map'!$A$2:$A$675,B150,'Page-Keyword Map'!$E$2:$E$675,"City")</f>
        <v/>
      </c>
      <c r="X150" s="36">
        <f>IF(O150="","",IF(ISNUMBER(SEARCH(O150,J150)),"Yes","No"))</f>
        <v/>
      </c>
      <c r="Y150" s="36" t="n">
        <v>0.7</v>
      </c>
      <c r="Z150" s="36" t="inlineStr">
        <is>
          <t>sitemap-provinces.xml</t>
        </is>
      </c>
      <c r="AA150" s="36" t="inlineStr">
        <is>
          <t>Live – indexable</t>
        </is>
      </c>
      <c r="AB150" s="38" t="n"/>
      <c r="AC150" s="38" t="n"/>
    </row>
    <row r="151" ht="23.85" customHeight="1" s="22">
      <c r="A151" s="36" t="inlineStr">
        <is>
          <t>P0150</t>
        </is>
      </c>
      <c r="B151" s="36" t="inlineStr">
        <is>
          <t>https://instasure.ca/critical-illness-insurance/quebec/</t>
        </is>
      </c>
      <c r="C151" s="36" t="inlineStr">
        <is>
          <t>Product × province</t>
        </is>
      </c>
      <c r="D151" s="36" t="inlineStr">
        <is>
          <t>Critical illness insurance</t>
        </is>
      </c>
      <c r="E151" s="36" t="inlineStr">
        <is>
          <t>Critical Illness Insurance</t>
        </is>
      </c>
      <c r="F151" s="36" t="n"/>
      <c r="G151" s="36" t="inlineStr">
        <is>
          <t>Quebec</t>
        </is>
      </c>
      <c r="H151" s="36" t="n"/>
      <c r="I151" s="36" t="inlineStr">
        <is>
          <t>Yes</t>
        </is>
      </c>
      <c r="J151" s="25" t="inlineStr">
        <is>
          <t>Critical Illness Insurance in Quebec: Costs, Rules &amp; Quotes (2026)</t>
        </is>
      </c>
      <c r="K151" s="36">
        <f>LEN(J151)</f>
        <v/>
      </c>
      <c r="L151" s="25" t="inlineStr">
        <is>
          <t>Critical Illness Insurance in Quebec: how it works under AMF, what drives price, instant estimates and a waitlist for licensed advice in Quebec.</t>
        </is>
      </c>
      <c r="M151" s="36">
        <f>LEN(L151)</f>
        <v/>
      </c>
      <c r="N151" s="25" t="inlineStr">
        <is>
          <t>Critical Illness Insurance in Quebec</t>
        </is>
      </c>
      <c r="O151" s="36" t="inlineStr">
        <is>
          <t>critical illness insurance quebec</t>
        </is>
      </c>
      <c r="P151" s="37" t="n">
        <v>39</v>
      </c>
      <c r="Q151" s="36" t="inlineStr">
        <is>
          <t>Provincial</t>
        </is>
      </c>
      <c r="R151" s="36" t="n"/>
      <c r="S151" s="36">
        <f>COUNTIF('Page-Keyword Map'!$A$2:$A$675,B151)</f>
        <v/>
      </c>
      <c r="T151" s="37">
        <f>SUMIF('Page-Keyword Map'!$A$2:$A$675,B151,'Page-Keyword Map'!$H$2:$H$675)</f>
        <v/>
      </c>
      <c r="U151" s="36">
        <f>COUNTIFS('Page-Keyword Map'!$A$2:$A$675,B151,'Page-Keyword Map'!$E$2:$E$675,"Nationwide")</f>
        <v/>
      </c>
      <c r="V151" s="36">
        <f>COUNTIFS('Page-Keyword Map'!$A$2:$A$675,B151,'Page-Keyword Map'!$E$2:$E$675,"Provincial")</f>
        <v/>
      </c>
      <c r="W151" s="36">
        <f>COUNTIFS('Page-Keyword Map'!$A$2:$A$675,B151,'Page-Keyword Map'!$E$2:$E$675,"City")</f>
        <v/>
      </c>
      <c r="X151" s="36">
        <f>IF(O151="","",IF(ISNUMBER(SEARCH(O151,J151)),"Yes","No"))</f>
        <v/>
      </c>
      <c r="Y151" s="36" t="n">
        <v>0.7</v>
      </c>
      <c r="Z151" s="36" t="inlineStr">
        <is>
          <t>sitemap-provinces.xml</t>
        </is>
      </c>
      <c r="AA151" s="36" t="inlineStr">
        <is>
          <t>Live – indexable</t>
        </is>
      </c>
      <c r="AB151" s="38" t="n"/>
      <c r="AC151" s="38" t="n"/>
    </row>
    <row r="152" ht="23.85" customHeight="1" s="22">
      <c r="A152" s="36" t="inlineStr">
        <is>
          <t>P0151</t>
        </is>
      </c>
      <c r="B152" s="36" t="inlineStr">
        <is>
          <t>https://instasure.ca/critical-illness-insurance/saskatchewan/</t>
        </is>
      </c>
      <c r="C152" s="36" t="inlineStr">
        <is>
          <t>Product × province</t>
        </is>
      </c>
      <c r="D152" s="36" t="inlineStr">
        <is>
          <t>Critical illness insurance</t>
        </is>
      </c>
      <c r="E152" s="36" t="inlineStr">
        <is>
          <t>Critical Illness Insurance</t>
        </is>
      </c>
      <c r="F152" s="36" t="n"/>
      <c r="G152" s="36" t="inlineStr">
        <is>
          <t>Saskatchewan</t>
        </is>
      </c>
      <c r="H152" s="36" t="n"/>
      <c r="I152" s="36" t="inlineStr">
        <is>
          <t>Yes</t>
        </is>
      </c>
      <c r="J152" s="25" t="inlineStr">
        <is>
          <t>Critical Illness Insurance in Saskatchewan: Costs, Rules &amp; Quotes (2026)</t>
        </is>
      </c>
      <c r="K152" s="36">
        <f>LEN(J152)</f>
        <v/>
      </c>
      <c r="L152" s="25" t="inlineStr">
        <is>
          <t>Critical Illness Insurance in Saskatchewan: how it works under FCAA, what drives price, instant estimates and advisors licensed in Saskatchewan.</t>
        </is>
      </c>
      <c r="M152" s="36">
        <f>LEN(L152)</f>
        <v/>
      </c>
      <c r="N152" s="25" t="inlineStr">
        <is>
          <t>Critical Illness Insurance in Saskatchewan</t>
        </is>
      </c>
      <c r="O152" s="36" t="inlineStr">
        <is>
          <t>critical illness insurance saskatchewan</t>
        </is>
      </c>
      <c r="P152" s="37" t="n">
        <v>20</v>
      </c>
      <c r="Q152" s="36" t="inlineStr">
        <is>
          <t>Provincial</t>
        </is>
      </c>
      <c r="R152" s="36" t="n"/>
      <c r="S152" s="36">
        <f>COUNTIF('Page-Keyword Map'!$A$2:$A$675,B152)</f>
        <v/>
      </c>
      <c r="T152" s="37">
        <f>SUMIF('Page-Keyword Map'!$A$2:$A$675,B152,'Page-Keyword Map'!$H$2:$H$675)</f>
        <v/>
      </c>
      <c r="U152" s="36">
        <f>COUNTIFS('Page-Keyword Map'!$A$2:$A$675,B152,'Page-Keyword Map'!$E$2:$E$675,"Nationwide")</f>
        <v/>
      </c>
      <c r="V152" s="36">
        <f>COUNTIFS('Page-Keyword Map'!$A$2:$A$675,B152,'Page-Keyword Map'!$E$2:$E$675,"Provincial")</f>
        <v/>
      </c>
      <c r="W152" s="36">
        <f>COUNTIFS('Page-Keyword Map'!$A$2:$A$675,B152,'Page-Keyword Map'!$E$2:$E$675,"City")</f>
        <v/>
      </c>
      <c r="X152" s="36">
        <f>IF(O152="","",IF(ISNUMBER(SEARCH(O152,J152)),"Yes","No"))</f>
        <v/>
      </c>
      <c r="Y152" s="36" t="n">
        <v>0.7</v>
      </c>
      <c r="Z152" s="36" t="inlineStr">
        <is>
          <t>sitemap-provinces.xml</t>
        </is>
      </c>
      <c r="AA152" s="36" t="inlineStr">
        <is>
          <t>Live – indexable</t>
        </is>
      </c>
      <c r="AB152" s="38" t="n"/>
      <c r="AC152" s="38" t="n"/>
    </row>
    <row r="153" ht="23.85" customHeight="1" s="22">
      <c r="A153" s="36" t="inlineStr">
        <is>
          <t>P0152</t>
        </is>
      </c>
      <c r="B153" s="36" t="inlineStr">
        <is>
          <t>https://instasure.ca/critical-illness-insurance/yukon/</t>
        </is>
      </c>
      <c r="C153" s="36" t="inlineStr">
        <is>
          <t>Product × province</t>
        </is>
      </c>
      <c r="D153" s="36" t="inlineStr">
        <is>
          <t>Critical illness insurance</t>
        </is>
      </c>
      <c r="E153" s="36" t="inlineStr">
        <is>
          <t>Critical Illness Insurance</t>
        </is>
      </c>
      <c r="F153" s="36" t="n"/>
      <c r="G153" s="36" t="inlineStr">
        <is>
          <t>Yukon</t>
        </is>
      </c>
      <c r="H153" s="36" t="n"/>
      <c r="I153" s="36" t="inlineStr">
        <is>
          <t>Yes</t>
        </is>
      </c>
      <c r="J153" s="25" t="inlineStr">
        <is>
          <t>Critical Illness Insurance in Yukon: Costs, Rules &amp; Quotes (2026)</t>
        </is>
      </c>
      <c r="K153" s="36">
        <f>LEN(J153)</f>
        <v/>
      </c>
      <c r="L153" s="25" t="inlineStr">
        <is>
          <t>Critical Illness Insurance in Yukon: how it works under the Yukon Superintendent, what drives price, instant estimates and a waitlist for licensed advice in Yukon.</t>
        </is>
      </c>
      <c r="M153" s="36">
        <f>LEN(L153)</f>
        <v/>
      </c>
      <c r="N153" s="25" t="inlineStr">
        <is>
          <t>Critical Illness Insurance in Yukon</t>
        </is>
      </c>
      <c r="O153" s="36" t="n"/>
      <c r="P153" s="37" t="n"/>
      <c r="Q153" s="36" t="n"/>
      <c r="R153" s="36" t="inlineStr">
        <is>
          <t>critical illness insurance yukon</t>
        </is>
      </c>
      <c r="S153" s="36">
        <f>COUNTIF('Page-Keyword Map'!$A$2:$A$675,B153)</f>
        <v/>
      </c>
      <c r="T153" s="37">
        <f>SUMIF('Page-Keyword Map'!$A$2:$A$675,B153,'Page-Keyword Map'!$H$2:$H$675)</f>
        <v/>
      </c>
      <c r="U153" s="36">
        <f>COUNTIFS('Page-Keyword Map'!$A$2:$A$675,B153,'Page-Keyword Map'!$E$2:$E$675,"Nationwide")</f>
        <v/>
      </c>
      <c r="V153" s="36">
        <f>COUNTIFS('Page-Keyword Map'!$A$2:$A$675,B153,'Page-Keyword Map'!$E$2:$E$675,"Provincial")</f>
        <v/>
      </c>
      <c r="W153" s="36">
        <f>COUNTIFS('Page-Keyword Map'!$A$2:$A$675,B153,'Page-Keyword Map'!$E$2:$E$675,"City")</f>
        <v/>
      </c>
      <c r="X153" s="36">
        <f>IF(O153="","",IF(ISNUMBER(SEARCH(O153,J153)),"Yes","No"))</f>
        <v/>
      </c>
      <c r="Y153" s="36" t="n">
        <v>0.7</v>
      </c>
      <c r="Z153" s="36" t="inlineStr">
        <is>
          <t>sitemap-provinces.xml</t>
        </is>
      </c>
      <c r="AA153" s="36" t="inlineStr">
        <is>
          <t>Live – indexable</t>
        </is>
      </c>
      <c r="AB153" s="38" t="n"/>
      <c r="AC153" s="38" t="n"/>
    </row>
    <row r="154" ht="23.85" customHeight="1" s="22">
      <c r="A154" s="36" t="inlineStr">
        <is>
          <t>P0153</t>
        </is>
      </c>
      <c r="B154" s="36" t="inlineStr">
        <is>
          <t>https://instasure.ca/disability-insurance/alberta/</t>
        </is>
      </c>
      <c r="C154" s="36" t="inlineStr">
        <is>
          <t>Product × province</t>
        </is>
      </c>
      <c r="D154" s="36" t="inlineStr">
        <is>
          <t>Disability insurance</t>
        </is>
      </c>
      <c r="E154" s="36" t="inlineStr">
        <is>
          <t>Disability Insurance</t>
        </is>
      </c>
      <c r="F154" s="36" t="n"/>
      <c r="G154" s="36" t="inlineStr">
        <is>
          <t>Alberta</t>
        </is>
      </c>
      <c r="H154" s="36" t="n"/>
      <c r="I154" s="36" t="inlineStr">
        <is>
          <t>Yes</t>
        </is>
      </c>
      <c r="J154" s="25" t="inlineStr">
        <is>
          <t>Disability Insurance in Alberta: Costs, Rules &amp; Quotes (2026)</t>
        </is>
      </c>
      <c r="K154" s="36">
        <f>LEN(J154)</f>
        <v/>
      </c>
      <c r="L154" s="25" t="inlineStr">
        <is>
          <t>Disability Insurance in Alberta: how it works under the Superintendent of Insurance, what drives price, instant estimates and advisors licensed in Alberta.</t>
        </is>
      </c>
      <c r="M154" s="36">
        <f>LEN(L154)</f>
        <v/>
      </c>
      <c r="N154" s="25" t="inlineStr">
        <is>
          <t>Disability Insurance in Alberta</t>
        </is>
      </c>
      <c r="O154" s="36" t="inlineStr">
        <is>
          <t>disability insurance alberta</t>
        </is>
      </c>
      <c r="P154" s="37" t="n">
        <v>81</v>
      </c>
      <c r="Q154" s="36" t="inlineStr">
        <is>
          <t>Provincial</t>
        </is>
      </c>
      <c r="R154" s="36" t="n"/>
      <c r="S154" s="36">
        <f>COUNTIF('Page-Keyword Map'!$A$2:$A$675,B154)</f>
        <v/>
      </c>
      <c r="T154" s="37">
        <f>SUMIF('Page-Keyword Map'!$A$2:$A$675,B154,'Page-Keyword Map'!$H$2:$H$675)</f>
        <v/>
      </c>
      <c r="U154" s="36">
        <f>COUNTIFS('Page-Keyword Map'!$A$2:$A$675,B154,'Page-Keyword Map'!$E$2:$E$675,"Nationwide")</f>
        <v/>
      </c>
      <c r="V154" s="36">
        <f>COUNTIFS('Page-Keyword Map'!$A$2:$A$675,B154,'Page-Keyword Map'!$E$2:$E$675,"Provincial")</f>
        <v/>
      </c>
      <c r="W154" s="36">
        <f>COUNTIFS('Page-Keyword Map'!$A$2:$A$675,B154,'Page-Keyword Map'!$E$2:$E$675,"City")</f>
        <v/>
      </c>
      <c r="X154" s="36">
        <f>IF(O154="","",IF(ISNUMBER(SEARCH(O154,J154)),"Yes","No"))</f>
        <v/>
      </c>
      <c r="Y154" s="36" t="n">
        <v>0.7</v>
      </c>
      <c r="Z154" s="36" t="inlineStr">
        <is>
          <t>sitemap-provinces.xml</t>
        </is>
      </c>
      <c r="AA154" s="36" t="inlineStr">
        <is>
          <t>Live – indexable</t>
        </is>
      </c>
      <c r="AB154" s="38" t="n"/>
      <c r="AC154" s="38" t="n"/>
    </row>
    <row r="155" ht="23.85" customHeight="1" s="22">
      <c r="A155" s="36" t="inlineStr">
        <is>
          <t>P0154</t>
        </is>
      </c>
      <c r="B155" s="36" t="inlineStr">
        <is>
          <t>https://instasure.ca/disability-insurance/british-columbia/</t>
        </is>
      </c>
      <c r="C155" s="36" t="inlineStr">
        <is>
          <t>Product × province</t>
        </is>
      </c>
      <c r="D155" s="36" t="inlineStr">
        <is>
          <t>Disability insurance</t>
        </is>
      </c>
      <c r="E155" s="36" t="inlineStr">
        <is>
          <t>Disability Insurance</t>
        </is>
      </c>
      <c r="F155" s="36" t="n"/>
      <c r="G155" s="36" t="inlineStr">
        <is>
          <t>British Columbia</t>
        </is>
      </c>
      <c r="H155" s="36" t="n"/>
      <c r="I155" s="36" t="inlineStr">
        <is>
          <t>Yes</t>
        </is>
      </c>
      <c r="J155" s="25" t="inlineStr">
        <is>
          <t>Disability Insurance in British Columbia: Costs, Rules &amp; Quotes (2026)</t>
        </is>
      </c>
      <c r="K155" s="36">
        <f>LEN(J155)</f>
        <v/>
      </c>
      <c r="L155" s="25" t="inlineStr">
        <is>
          <t>Disability Insurance in British Columbia: how it works under BCFSA, what drives price, instant estimates and advisors licensed in British Columbia.</t>
        </is>
      </c>
      <c r="M155" s="36">
        <f>LEN(L155)</f>
        <v/>
      </c>
      <c r="N155" s="25" t="inlineStr">
        <is>
          <t>Disability Insurance in British Columbia</t>
        </is>
      </c>
      <c r="O155" s="36" t="inlineStr">
        <is>
          <t>disability insurance bc</t>
        </is>
      </c>
      <c r="P155" s="37" t="n">
        <v>94</v>
      </c>
      <c r="Q155" s="36" t="inlineStr">
        <is>
          <t>Provincial</t>
        </is>
      </c>
      <c r="R155" s="36" t="n"/>
      <c r="S155" s="36">
        <f>COUNTIF('Page-Keyword Map'!$A$2:$A$675,B155)</f>
        <v/>
      </c>
      <c r="T155" s="37">
        <f>SUMIF('Page-Keyword Map'!$A$2:$A$675,B155,'Page-Keyword Map'!$H$2:$H$675)</f>
        <v/>
      </c>
      <c r="U155" s="36">
        <f>COUNTIFS('Page-Keyword Map'!$A$2:$A$675,B155,'Page-Keyword Map'!$E$2:$E$675,"Nationwide")</f>
        <v/>
      </c>
      <c r="V155" s="36">
        <f>COUNTIFS('Page-Keyword Map'!$A$2:$A$675,B155,'Page-Keyword Map'!$E$2:$E$675,"Provincial")</f>
        <v/>
      </c>
      <c r="W155" s="36">
        <f>COUNTIFS('Page-Keyword Map'!$A$2:$A$675,B155,'Page-Keyword Map'!$E$2:$E$675,"City")</f>
        <v/>
      </c>
      <c r="X155" s="36">
        <f>IF(O155="","",IF(ISNUMBER(SEARCH(O155,J155)),"Yes","No"))</f>
        <v/>
      </c>
      <c r="Y155" s="36" t="n">
        <v>0.7</v>
      </c>
      <c r="Z155" s="36" t="inlineStr">
        <is>
          <t>sitemap-provinces.xml</t>
        </is>
      </c>
      <c r="AA155" s="36" t="inlineStr">
        <is>
          <t>Live – indexable</t>
        </is>
      </c>
      <c r="AB155" s="38" t="n"/>
      <c r="AC155" s="38" t="n"/>
    </row>
    <row r="156" ht="23.85" customHeight="1" s="22">
      <c r="A156" s="36" t="inlineStr">
        <is>
          <t>P0155</t>
        </is>
      </c>
      <c r="B156" s="36" t="inlineStr">
        <is>
          <t>https://instasure.ca/disability-insurance/manitoba/</t>
        </is>
      </c>
      <c r="C156" s="36" t="inlineStr">
        <is>
          <t>Product × province</t>
        </is>
      </c>
      <c r="D156" s="36" t="inlineStr">
        <is>
          <t>Disability insurance</t>
        </is>
      </c>
      <c r="E156" s="36" t="inlineStr">
        <is>
          <t>Disability Insurance</t>
        </is>
      </c>
      <c r="F156" s="36" t="n"/>
      <c r="G156" s="36" t="inlineStr">
        <is>
          <t>Manitoba</t>
        </is>
      </c>
      <c r="H156" s="36" t="n"/>
      <c r="I156" s="36" t="inlineStr">
        <is>
          <t>Yes</t>
        </is>
      </c>
      <c r="J156" s="25" t="inlineStr">
        <is>
          <t>Disability Insurance in Manitoba: Costs, Rules &amp; Quotes (2026)</t>
        </is>
      </c>
      <c r="K156" s="36">
        <f>LEN(J156)</f>
        <v/>
      </c>
      <c r="L156" s="25" t="inlineStr">
        <is>
          <t>Disability Insurance in Manitoba: how it works under FIRB, what drives price, instant estimates and advisors licensed in Manitoba.</t>
        </is>
      </c>
      <c r="M156" s="36">
        <f>LEN(L156)</f>
        <v/>
      </c>
      <c r="N156" s="25" t="inlineStr">
        <is>
          <t>Disability Insurance in Manitoba</t>
        </is>
      </c>
      <c r="O156" s="36" t="inlineStr">
        <is>
          <t>disability insurance manitoba</t>
        </is>
      </c>
      <c r="P156" s="37" t="n">
        <v>29</v>
      </c>
      <c r="Q156" s="36" t="inlineStr">
        <is>
          <t>Provincial</t>
        </is>
      </c>
      <c r="R156" s="36" t="n"/>
      <c r="S156" s="36">
        <f>COUNTIF('Page-Keyword Map'!$A$2:$A$675,B156)</f>
        <v/>
      </c>
      <c r="T156" s="37">
        <f>SUMIF('Page-Keyword Map'!$A$2:$A$675,B156,'Page-Keyword Map'!$H$2:$H$675)</f>
        <v/>
      </c>
      <c r="U156" s="36">
        <f>COUNTIFS('Page-Keyword Map'!$A$2:$A$675,B156,'Page-Keyword Map'!$E$2:$E$675,"Nationwide")</f>
        <v/>
      </c>
      <c r="V156" s="36">
        <f>COUNTIFS('Page-Keyword Map'!$A$2:$A$675,B156,'Page-Keyword Map'!$E$2:$E$675,"Provincial")</f>
        <v/>
      </c>
      <c r="W156" s="36">
        <f>COUNTIFS('Page-Keyword Map'!$A$2:$A$675,B156,'Page-Keyword Map'!$E$2:$E$675,"City")</f>
        <v/>
      </c>
      <c r="X156" s="36">
        <f>IF(O156="","",IF(ISNUMBER(SEARCH(O156,J156)),"Yes","No"))</f>
        <v/>
      </c>
      <c r="Y156" s="36" t="n">
        <v>0.7</v>
      </c>
      <c r="Z156" s="36" t="inlineStr">
        <is>
          <t>sitemap-provinces.xml</t>
        </is>
      </c>
      <c r="AA156" s="36" t="inlineStr">
        <is>
          <t>Live – indexable</t>
        </is>
      </c>
      <c r="AB156" s="38" t="n"/>
      <c r="AC156" s="38" t="n"/>
    </row>
    <row r="157" ht="23.85" customHeight="1" s="22">
      <c r="A157" s="36" t="inlineStr">
        <is>
          <t>P0156</t>
        </is>
      </c>
      <c r="B157" s="36" t="inlineStr">
        <is>
          <t>https://instasure.ca/disability-insurance/new-brunswick/</t>
        </is>
      </c>
      <c r="C157" s="36" t="inlineStr">
        <is>
          <t>Product × province</t>
        </is>
      </c>
      <c r="D157" s="36" t="inlineStr">
        <is>
          <t>Disability insurance</t>
        </is>
      </c>
      <c r="E157" s="36" t="inlineStr">
        <is>
          <t>Disability Insurance</t>
        </is>
      </c>
      <c r="F157" s="36" t="n"/>
      <c r="G157" s="36" t="inlineStr">
        <is>
          <t>New Brunswick</t>
        </is>
      </c>
      <c r="H157" s="36" t="n"/>
      <c r="I157" s="36" t="inlineStr">
        <is>
          <t>Yes</t>
        </is>
      </c>
      <c r="J157" s="25" t="inlineStr">
        <is>
          <t>Disability Insurance in New Brunswick: Costs, Rules &amp; Quotes (2026)</t>
        </is>
      </c>
      <c r="K157" s="36">
        <f>LEN(J157)</f>
        <v/>
      </c>
      <c r="L157" s="25" t="inlineStr">
        <is>
          <t>Disability Insurance in New Brunswick: how it works under FCNB, what drives price, instant estimates and advisors licensed in New Brunswick.</t>
        </is>
      </c>
      <c r="M157" s="36">
        <f>LEN(L157)</f>
        <v/>
      </c>
      <c r="N157" s="25" t="inlineStr">
        <is>
          <t>Disability Insurance in New Brunswick</t>
        </is>
      </c>
      <c r="O157" s="36" t="n"/>
      <c r="P157" s="37" t="n"/>
      <c r="Q157" s="36" t="n"/>
      <c r="R157" s="36" t="inlineStr">
        <is>
          <t>disability insurance new brunswick</t>
        </is>
      </c>
      <c r="S157" s="36">
        <f>COUNTIF('Page-Keyword Map'!$A$2:$A$675,B157)</f>
        <v/>
      </c>
      <c r="T157" s="37">
        <f>SUMIF('Page-Keyword Map'!$A$2:$A$675,B157,'Page-Keyword Map'!$H$2:$H$675)</f>
        <v/>
      </c>
      <c r="U157" s="36">
        <f>COUNTIFS('Page-Keyword Map'!$A$2:$A$675,B157,'Page-Keyword Map'!$E$2:$E$675,"Nationwide")</f>
        <v/>
      </c>
      <c r="V157" s="36">
        <f>COUNTIFS('Page-Keyword Map'!$A$2:$A$675,B157,'Page-Keyword Map'!$E$2:$E$675,"Provincial")</f>
        <v/>
      </c>
      <c r="W157" s="36">
        <f>COUNTIFS('Page-Keyword Map'!$A$2:$A$675,B157,'Page-Keyword Map'!$E$2:$E$675,"City")</f>
        <v/>
      </c>
      <c r="X157" s="36">
        <f>IF(O157="","",IF(ISNUMBER(SEARCH(O157,J157)),"Yes","No"))</f>
        <v/>
      </c>
      <c r="Y157" s="36" t="n">
        <v>0.7</v>
      </c>
      <c r="Z157" s="36" t="inlineStr">
        <is>
          <t>sitemap-provinces.xml</t>
        </is>
      </c>
      <c r="AA157" s="36" t="inlineStr">
        <is>
          <t>Live – indexable</t>
        </is>
      </c>
      <c r="AB157" s="38" t="n"/>
      <c r="AC157" s="38" t="n"/>
    </row>
    <row r="158" ht="23.85" customHeight="1" s="22">
      <c r="A158" s="36" t="inlineStr">
        <is>
          <t>P0157</t>
        </is>
      </c>
      <c r="B158" s="36" t="inlineStr">
        <is>
          <t>https://instasure.ca/disability-insurance/newfoundland-and-labrador/</t>
        </is>
      </c>
      <c r="C158" s="36" t="inlineStr">
        <is>
          <t>Product × province</t>
        </is>
      </c>
      <c r="D158" s="36" t="inlineStr">
        <is>
          <t>Disability insurance</t>
        </is>
      </c>
      <c r="E158" s="36" t="inlineStr">
        <is>
          <t>Disability Insurance</t>
        </is>
      </c>
      <c r="F158" s="36" t="n"/>
      <c r="G158" s="36" t="inlineStr">
        <is>
          <t>Newfoundland and Labrador</t>
        </is>
      </c>
      <c r="H158" s="36" t="n"/>
      <c r="I158" s="36" t="inlineStr">
        <is>
          <t>Yes</t>
        </is>
      </c>
      <c r="J158" s="25" t="inlineStr">
        <is>
          <t>Disability Insurance in Newfoundland and Labrador: Costs, Rules &amp; Quotes (2026)</t>
        </is>
      </c>
      <c r="K158" s="36">
        <f>LEN(J158)</f>
        <v/>
      </c>
      <c r="L158" s="25" t="inlineStr">
        <is>
          <t>Disability Insurance in Newfoundland and Labrador: how it works under Service NL, what drives price, instant estimates and advisors licensed in Newfoundland and…</t>
        </is>
      </c>
      <c r="M158" s="36">
        <f>LEN(L158)</f>
        <v/>
      </c>
      <c r="N158" s="25" t="inlineStr">
        <is>
          <t>Disability Insurance in Newfoundland and Labrador</t>
        </is>
      </c>
      <c r="O158" s="36" t="n"/>
      <c r="P158" s="37" t="n"/>
      <c r="Q158" s="36" t="n"/>
      <c r="R158" s="36" t="inlineStr">
        <is>
          <t>disability insurance newfoundland and labrador</t>
        </is>
      </c>
      <c r="S158" s="36">
        <f>COUNTIF('Page-Keyword Map'!$A$2:$A$675,B158)</f>
        <v/>
      </c>
      <c r="T158" s="37">
        <f>SUMIF('Page-Keyword Map'!$A$2:$A$675,B158,'Page-Keyword Map'!$H$2:$H$675)</f>
        <v/>
      </c>
      <c r="U158" s="36">
        <f>COUNTIFS('Page-Keyword Map'!$A$2:$A$675,B158,'Page-Keyword Map'!$E$2:$E$675,"Nationwide")</f>
        <v/>
      </c>
      <c r="V158" s="36">
        <f>COUNTIFS('Page-Keyword Map'!$A$2:$A$675,B158,'Page-Keyword Map'!$E$2:$E$675,"Provincial")</f>
        <v/>
      </c>
      <c r="W158" s="36">
        <f>COUNTIFS('Page-Keyword Map'!$A$2:$A$675,B158,'Page-Keyword Map'!$E$2:$E$675,"City")</f>
        <v/>
      </c>
      <c r="X158" s="36">
        <f>IF(O158="","",IF(ISNUMBER(SEARCH(O158,J158)),"Yes","No"))</f>
        <v/>
      </c>
      <c r="Y158" s="36" t="n">
        <v>0.7</v>
      </c>
      <c r="Z158" s="36" t="inlineStr">
        <is>
          <t>sitemap-provinces.xml</t>
        </is>
      </c>
      <c r="AA158" s="36" t="inlineStr">
        <is>
          <t>Live – indexable</t>
        </is>
      </c>
      <c r="AB158" s="38" t="n"/>
      <c r="AC158" s="38" t="n"/>
    </row>
    <row r="159" ht="23.85" customHeight="1" s="22">
      <c r="A159" s="36" t="inlineStr">
        <is>
          <t>P0158</t>
        </is>
      </c>
      <c r="B159" s="36" t="inlineStr">
        <is>
          <t>https://instasure.ca/disability-insurance/northwest-territories/</t>
        </is>
      </c>
      <c r="C159" s="36" t="inlineStr">
        <is>
          <t>Product × province</t>
        </is>
      </c>
      <c r="D159" s="36" t="inlineStr">
        <is>
          <t>Disability insurance</t>
        </is>
      </c>
      <c r="E159" s="36" t="inlineStr">
        <is>
          <t>Disability Insurance</t>
        </is>
      </c>
      <c r="F159" s="36" t="n"/>
      <c r="G159" s="36" t="inlineStr">
        <is>
          <t>Northwest Territories</t>
        </is>
      </c>
      <c r="H159" s="36" t="n"/>
      <c r="I159" s="36" t="inlineStr">
        <is>
          <t>Yes</t>
        </is>
      </c>
      <c r="J159" s="25" t="inlineStr">
        <is>
          <t>Disability Insurance in Northwest Territories: Costs, Rules &amp; Quotes (2026)</t>
        </is>
      </c>
      <c r="K159" s="36">
        <f>LEN(J159)</f>
        <v/>
      </c>
      <c r="L159" s="25" t="inlineStr">
        <is>
          <t>Disability Insurance in Northwest Territories: how it works under the NWT Superintendent, what drives price, instant estimates and a waitlist for licensed advice…</t>
        </is>
      </c>
      <c r="M159" s="36">
        <f>LEN(L159)</f>
        <v/>
      </c>
      <c r="N159" s="25" t="inlineStr">
        <is>
          <t>Disability Insurance in Northwest Territories</t>
        </is>
      </c>
      <c r="O159" s="36" t="n"/>
      <c r="P159" s="37" t="n"/>
      <c r="Q159" s="36" t="n"/>
      <c r="R159" s="36" t="inlineStr">
        <is>
          <t>disability insurance northwest territories</t>
        </is>
      </c>
      <c r="S159" s="36">
        <f>COUNTIF('Page-Keyword Map'!$A$2:$A$675,B159)</f>
        <v/>
      </c>
      <c r="T159" s="37">
        <f>SUMIF('Page-Keyword Map'!$A$2:$A$675,B159,'Page-Keyword Map'!$H$2:$H$675)</f>
        <v/>
      </c>
      <c r="U159" s="36">
        <f>COUNTIFS('Page-Keyword Map'!$A$2:$A$675,B159,'Page-Keyword Map'!$E$2:$E$675,"Nationwide")</f>
        <v/>
      </c>
      <c r="V159" s="36">
        <f>COUNTIFS('Page-Keyword Map'!$A$2:$A$675,B159,'Page-Keyword Map'!$E$2:$E$675,"Provincial")</f>
        <v/>
      </c>
      <c r="W159" s="36">
        <f>COUNTIFS('Page-Keyword Map'!$A$2:$A$675,B159,'Page-Keyword Map'!$E$2:$E$675,"City")</f>
        <v/>
      </c>
      <c r="X159" s="36">
        <f>IF(O159="","",IF(ISNUMBER(SEARCH(O159,J159)),"Yes","No"))</f>
        <v/>
      </c>
      <c r="Y159" s="36" t="n">
        <v>0.7</v>
      </c>
      <c r="Z159" s="36" t="inlineStr">
        <is>
          <t>sitemap-provinces.xml</t>
        </is>
      </c>
      <c r="AA159" s="36" t="inlineStr">
        <is>
          <t>Live – indexable</t>
        </is>
      </c>
      <c r="AB159" s="38" t="n"/>
      <c r="AC159" s="38" t="n"/>
    </row>
    <row r="160" ht="23.85" customHeight="1" s="22">
      <c r="A160" s="36" t="inlineStr">
        <is>
          <t>P0159</t>
        </is>
      </c>
      <c r="B160" s="36" t="inlineStr">
        <is>
          <t>https://instasure.ca/disability-insurance/nova-scotia/</t>
        </is>
      </c>
      <c r="C160" s="36" t="inlineStr">
        <is>
          <t>Product × province</t>
        </is>
      </c>
      <c r="D160" s="36" t="inlineStr">
        <is>
          <t>Disability insurance</t>
        </is>
      </c>
      <c r="E160" s="36" t="inlineStr">
        <is>
          <t>Disability Insurance</t>
        </is>
      </c>
      <c r="F160" s="36" t="n"/>
      <c r="G160" s="36" t="inlineStr">
        <is>
          <t>Nova Scotia</t>
        </is>
      </c>
      <c r="H160" s="36" t="n"/>
      <c r="I160" s="36" t="inlineStr">
        <is>
          <t>Yes</t>
        </is>
      </c>
      <c r="J160" s="25" t="inlineStr">
        <is>
          <t>Disability Insurance in Nova Scotia: Costs, Rules &amp; Quotes (2026)</t>
        </is>
      </c>
      <c r="K160" s="36">
        <f>LEN(J160)</f>
        <v/>
      </c>
      <c r="L160" s="25" t="inlineStr">
        <is>
          <t>Disability Insurance in Nova Scotia: how it works under the NS Superintendent of Insurance, what drives price, instant estimates and advisors licensed in Nova…</t>
        </is>
      </c>
      <c r="M160" s="36">
        <f>LEN(L160)</f>
        <v/>
      </c>
      <c r="N160" s="25" t="inlineStr">
        <is>
          <t>Disability Insurance in Nova Scotia</t>
        </is>
      </c>
      <c r="O160" s="36" t="inlineStr">
        <is>
          <t>disability insurance nova scotia</t>
        </is>
      </c>
      <c r="P160" s="37" t="n">
        <v>21</v>
      </c>
      <c r="Q160" s="36" t="inlineStr">
        <is>
          <t>Provincial</t>
        </is>
      </c>
      <c r="R160" s="36" t="n"/>
      <c r="S160" s="36">
        <f>COUNTIF('Page-Keyword Map'!$A$2:$A$675,B160)</f>
        <v/>
      </c>
      <c r="T160" s="37">
        <f>SUMIF('Page-Keyword Map'!$A$2:$A$675,B160,'Page-Keyword Map'!$H$2:$H$675)</f>
        <v/>
      </c>
      <c r="U160" s="36">
        <f>COUNTIFS('Page-Keyword Map'!$A$2:$A$675,B160,'Page-Keyword Map'!$E$2:$E$675,"Nationwide")</f>
        <v/>
      </c>
      <c r="V160" s="36">
        <f>COUNTIFS('Page-Keyword Map'!$A$2:$A$675,B160,'Page-Keyword Map'!$E$2:$E$675,"Provincial")</f>
        <v/>
      </c>
      <c r="W160" s="36">
        <f>COUNTIFS('Page-Keyword Map'!$A$2:$A$675,B160,'Page-Keyword Map'!$E$2:$E$675,"City")</f>
        <v/>
      </c>
      <c r="X160" s="36">
        <f>IF(O160="","",IF(ISNUMBER(SEARCH(O160,J160)),"Yes","No"))</f>
        <v/>
      </c>
      <c r="Y160" s="36" t="n">
        <v>0.7</v>
      </c>
      <c r="Z160" s="36" t="inlineStr">
        <is>
          <t>sitemap-provinces.xml</t>
        </is>
      </c>
      <c r="AA160" s="36" t="inlineStr">
        <is>
          <t>Live – indexable</t>
        </is>
      </c>
      <c r="AB160" s="38" t="n"/>
      <c r="AC160" s="38" t="n"/>
    </row>
    <row r="161" ht="23.85" customHeight="1" s="22">
      <c r="A161" s="36" t="inlineStr">
        <is>
          <t>P0160</t>
        </is>
      </c>
      <c r="B161" s="36" t="inlineStr">
        <is>
          <t>https://instasure.ca/disability-insurance/nunavut/</t>
        </is>
      </c>
      <c r="C161" s="36" t="inlineStr">
        <is>
          <t>Product × province</t>
        </is>
      </c>
      <c r="D161" s="36" t="inlineStr">
        <is>
          <t>Disability insurance</t>
        </is>
      </c>
      <c r="E161" s="36" t="inlineStr">
        <is>
          <t>Disability Insurance</t>
        </is>
      </c>
      <c r="F161" s="36" t="n"/>
      <c r="G161" s="36" t="inlineStr">
        <is>
          <t>Nunavut</t>
        </is>
      </c>
      <c r="H161" s="36" t="n"/>
      <c r="I161" s="36" t="inlineStr">
        <is>
          <t>Yes</t>
        </is>
      </c>
      <c r="J161" s="25" t="inlineStr">
        <is>
          <t>Disability Insurance in Nunavut: Costs, Rules &amp; Quotes (2026)</t>
        </is>
      </c>
      <c r="K161" s="36">
        <f>LEN(J161)</f>
        <v/>
      </c>
      <c r="L161" s="25" t="inlineStr">
        <is>
          <t>Disability Insurance in Nunavut: how it works under the Nunavut Superintendent, what drives price, instant estimates and a waitlist for licensed advice in Nunavut.</t>
        </is>
      </c>
      <c r="M161" s="36">
        <f>LEN(L161)</f>
        <v/>
      </c>
      <c r="N161" s="25" t="inlineStr">
        <is>
          <t>Disability Insurance in Nunavut</t>
        </is>
      </c>
      <c r="O161" s="36" t="n"/>
      <c r="P161" s="37" t="n"/>
      <c r="Q161" s="36" t="n"/>
      <c r="R161" s="36" t="inlineStr">
        <is>
          <t>disability insurance nunavut</t>
        </is>
      </c>
      <c r="S161" s="36">
        <f>COUNTIF('Page-Keyword Map'!$A$2:$A$675,B161)</f>
        <v/>
      </c>
      <c r="T161" s="37">
        <f>SUMIF('Page-Keyword Map'!$A$2:$A$675,B161,'Page-Keyword Map'!$H$2:$H$675)</f>
        <v/>
      </c>
      <c r="U161" s="36">
        <f>COUNTIFS('Page-Keyword Map'!$A$2:$A$675,B161,'Page-Keyword Map'!$E$2:$E$675,"Nationwide")</f>
        <v/>
      </c>
      <c r="V161" s="36">
        <f>COUNTIFS('Page-Keyword Map'!$A$2:$A$675,B161,'Page-Keyword Map'!$E$2:$E$675,"Provincial")</f>
        <v/>
      </c>
      <c r="W161" s="36">
        <f>COUNTIFS('Page-Keyword Map'!$A$2:$A$675,B161,'Page-Keyword Map'!$E$2:$E$675,"City")</f>
        <v/>
      </c>
      <c r="X161" s="36">
        <f>IF(O161="","",IF(ISNUMBER(SEARCH(O161,J161)),"Yes","No"))</f>
        <v/>
      </c>
      <c r="Y161" s="36" t="n">
        <v>0.7</v>
      </c>
      <c r="Z161" s="36" t="inlineStr">
        <is>
          <t>sitemap-provinces.xml</t>
        </is>
      </c>
      <c r="AA161" s="36" t="inlineStr">
        <is>
          <t>Live – indexable</t>
        </is>
      </c>
      <c r="AB161" s="38" t="n"/>
      <c r="AC161" s="38" t="n"/>
    </row>
    <row r="162" ht="23.85" customHeight="1" s="22">
      <c r="A162" s="36" t="inlineStr">
        <is>
          <t>P0161</t>
        </is>
      </c>
      <c r="B162" s="36" t="inlineStr">
        <is>
          <t>https://instasure.ca/disability-insurance/ontario/</t>
        </is>
      </c>
      <c r="C162" s="36" t="inlineStr">
        <is>
          <t>Product × province</t>
        </is>
      </c>
      <c r="D162" s="36" t="inlineStr">
        <is>
          <t>Disability insurance</t>
        </is>
      </c>
      <c r="E162" s="36" t="inlineStr">
        <is>
          <t>Disability Insurance</t>
        </is>
      </c>
      <c r="F162" s="36" t="n"/>
      <c r="G162" s="36" t="inlineStr">
        <is>
          <t>Ontario</t>
        </is>
      </c>
      <c r="H162" s="36" t="n"/>
      <c r="I162" s="36" t="inlineStr">
        <is>
          <t>Yes</t>
        </is>
      </c>
      <c r="J162" s="25" t="inlineStr">
        <is>
          <t>Disability Insurance in Ontario: Costs, Rules &amp; Quotes (2026)</t>
        </is>
      </c>
      <c r="K162" s="36">
        <f>LEN(J162)</f>
        <v/>
      </c>
      <c r="L162" s="25" t="inlineStr">
        <is>
          <t>Disability Insurance in Ontario: how it works under FSRA, what drives price, instant estimates and advisors licensed in Ontario.</t>
        </is>
      </c>
      <c r="M162" s="36">
        <f>LEN(L162)</f>
        <v/>
      </c>
      <c r="N162" s="25" t="inlineStr">
        <is>
          <t>Disability Insurance in Ontario</t>
        </is>
      </c>
      <c r="O162" s="36" t="inlineStr">
        <is>
          <t>disability insurance ontario</t>
        </is>
      </c>
      <c r="P162" s="37" t="n">
        <v>270</v>
      </c>
      <c r="Q162" s="36" t="inlineStr">
        <is>
          <t>Provincial</t>
        </is>
      </c>
      <c r="R162" s="36" t="n"/>
      <c r="S162" s="36">
        <f>COUNTIF('Page-Keyword Map'!$A$2:$A$675,B162)</f>
        <v/>
      </c>
      <c r="T162" s="37">
        <f>SUMIF('Page-Keyword Map'!$A$2:$A$675,B162,'Page-Keyword Map'!$H$2:$H$675)</f>
        <v/>
      </c>
      <c r="U162" s="36">
        <f>COUNTIFS('Page-Keyword Map'!$A$2:$A$675,B162,'Page-Keyword Map'!$E$2:$E$675,"Nationwide")</f>
        <v/>
      </c>
      <c r="V162" s="36">
        <f>COUNTIFS('Page-Keyword Map'!$A$2:$A$675,B162,'Page-Keyword Map'!$E$2:$E$675,"Provincial")</f>
        <v/>
      </c>
      <c r="W162" s="36">
        <f>COUNTIFS('Page-Keyword Map'!$A$2:$A$675,B162,'Page-Keyword Map'!$E$2:$E$675,"City")</f>
        <v/>
      </c>
      <c r="X162" s="36">
        <f>IF(O162="","",IF(ISNUMBER(SEARCH(O162,J162)),"Yes","No"))</f>
        <v/>
      </c>
      <c r="Y162" s="36" t="n">
        <v>0.7</v>
      </c>
      <c r="Z162" s="36" t="inlineStr">
        <is>
          <t>sitemap-provinces.xml</t>
        </is>
      </c>
      <c r="AA162" s="36" t="inlineStr">
        <is>
          <t>Live – indexable</t>
        </is>
      </c>
      <c r="AB162" s="38" t="n"/>
      <c r="AC162" s="38" t="n"/>
    </row>
    <row r="163" ht="23.85" customHeight="1" s="22">
      <c r="A163" s="36" t="inlineStr">
        <is>
          <t>P0162</t>
        </is>
      </c>
      <c r="B163" s="36" t="inlineStr">
        <is>
          <t>https://instasure.ca/disability-insurance/prince-edward-island/</t>
        </is>
      </c>
      <c r="C163" s="36" t="inlineStr">
        <is>
          <t>Product × province</t>
        </is>
      </c>
      <c r="D163" s="36" t="inlineStr">
        <is>
          <t>Disability insurance</t>
        </is>
      </c>
      <c r="E163" s="36" t="inlineStr">
        <is>
          <t>Disability Insurance</t>
        </is>
      </c>
      <c r="F163" s="36" t="n"/>
      <c r="G163" s="36" t="inlineStr">
        <is>
          <t>Prince Edward Island</t>
        </is>
      </c>
      <c r="H163" s="36" t="n"/>
      <c r="I163" s="36" t="inlineStr">
        <is>
          <t>Yes</t>
        </is>
      </c>
      <c r="J163" s="25" t="inlineStr">
        <is>
          <t>Disability Insurance in Prince Edward Island: Costs, Rules &amp; Quotes (2026)</t>
        </is>
      </c>
      <c r="K163" s="36">
        <f>LEN(J163)</f>
        <v/>
      </c>
      <c r="L163" s="25" t="inlineStr">
        <is>
          <t>Disability Insurance in Prince Edward Island: how it works under the PEI Superintendent, what drives price, instant estimates and advisors licensed in Prince…</t>
        </is>
      </c>
      <c r="M163" s="36">
        <f>LEN(L163)</f>
        <v/>
      </c>
      <c r="N163" s="25" t="inlineStr">
        <is>
          <t>Disability Insurance in Prince Edward Island</t>
        </is>
      </c>
      <c r="O163" s="36" t="n"/>
      <c r="P163" s="37" t="n"/>
      <c r="Q163" s="36" t="n"/>
      <c r="R163" s="36" t="inlineStr">
        <is>
          <t>disability insurance prince edward island</t>
        </is>
      </c>
      <c r="S163" s="36">
        <f>COUNTIF('Page-Keyword Map'!$A$2:$A$675,B163)</f>
        <v/>
      </c>
      <c r="T163" s="37">
        <f>SUMIF('Page-Keyword Map'!$A$2:$A$675,B163,'Page-Keyword Map'!$H$2:$H$675)</f>
        <v/>
      </c>
      <c r="U163" s="36">
        <f>COUNTIFS('Page-Keyword Map'!$A$2:$A$675,B163,'Page-Keyword Map'!$E$2:$E$675,"Nationwide")</f>
        <v/>
      </c>
      <c r="V163" s="36">
        <f>COUNTIFS('Page-Keyword Map'!$A$2:$A$675,B163,'Page-Keyword Map'!$E$2:$E$675,"Provincial")</f>
        <v/>
      </c>
      <c r="W163" s="36">
        <f>COUNTIFS('Page-Keyword Map'!$A$2:$A$675,B163,'Page-Keyword Map'!$E$2:$E$675,"City")</f>
        <v/>
      </c>
      <c r="X163" s="36">
        <f>IF(O163="","",IF(ISNUMBER(SEARCH(O163,J163)),"Yes","No"))</f>
        <v/>
      </c>
      <c r="Y163" s="36" t="n">
        <v>0.7</v>
      </c>
      <c r="Z163" s="36" t="inlineStr">
        <is>
          <t>sitemap-provinces.xml</t>
        </is>
      </c>
      <c r="AA163" s="36" t="inlineStr">
        <is>
          <t>Live – indexable</t>
        </is>
      </c>
      <c r="AB163" s="38" t="n"/>
      <c r="AC163" s="38" t="n"/>
    </row>
    <row r="164" ht="23.85" customHeight="1" s="22">
      <c r="A164" s="36" t="inlineStr">
        <is>
          <t>P0163</t>
        </is>
      </c>
      <c r="B164" s="36" t="inlineStr">
        <is>
          <t>https://instasure.ca/disability-insurance/quebec/</t>
        </is>
      </c>
      <c r="C164" s="36" t="inlineStr">
        <is>
          <t>Product × province</t>
        </is>
      </c>
      <c r="D164" s="36" t="inlineStr">
        <is>
          <t>Disability insurance</t>
        </is>
      </c>
      <c r="E164" s="36" t="inlineStr">
        <is>
          <t>Disability Insurance</t>
        </is>
      </c>
      <c r="F164" s="36" t="n"/>
      <c r="G164" s="36" t="inlineStr">
        <is>
          <t>Quebec</t>
        </is>
      </c>
      <c r="H164" s="36" t="n"/>
      <c r="I164" s="36" t="inlineStr">
        <is>
          <t>Yes</t>
        </is>
      </c>
      <c r="J164" s="25" t="inlineStr">
        <is>
          <t>Disability Insurance in Quebec: Costs, Rules &amp; Quotes (2026)</t>
        </is>
      </c>
      <c r="K164" s="36">
        <f>LEN(J164)</f>
        <v/>
      </c>
      <c r="L164" s="25" t="inlineStr">
        <is>
          <t>Disability Insurance in Quebec: how it works under AMF, what drives price, instant estimates and a waitlist for licensed advice in Quebec.</t>
        </is>
      </c>
      <c r="M164" s="36">
        <f>LEN(L164)</f>
        <v/>
      </c>
      <c r="N164" s="25" t="inlineStr">
        <is>
          <t>Disability Insurance in Quebec</t>
        </is>
      </c>
      <c r="O164" s="36" t="inlineStr">
        <is>
          <t>disability insurance quebec</t>
        </is>
      </c>
      <c r="P164" s="37" t="n">
        <v>47</v>
      </c>
      <c r="Q164" s="36" t="inlineStr">
        <is>
          <t>Provincial</t>
        </is>
      </c>
      <c r="R164" s="36" t="n"/>
      <c r="S164" s="36">
        <f>COUNTIF('Page-Keyword Map'!$A$2:$A$675,B164)</f>
        <v/>
      </c>
      <c r="T164" s="37">
        <f>SUMIF('Page-Keyword Map'!$A$2:$A$675,B164,'Page-Keyword Map'!$H$2:$H$675)</f>
        <v/>
      </c>
      <c r="U164" s="36">
        <f>COUNTIFS('Page-Keyword Map'!$A$2:$A$675,B164,'Page-Keyword Map'!$E$2:$E$675,"Nationwide")</f>
        <v/>
      </c>
      <c r="V164" s="36">
        <f>COUNTIFS('Page-Keyword Map'!$A$2:$A$675,B164,'Page-Keyword Map'!$E$2:$E$675,"Provincial")</f>
        <v/>
      </c>
      <c r="W164" s="36">
        <f>COUNTIFS('Page-Keyword Map'!$A$2:$A$675,B164,'Page-Keyword Map'!$E$2:$E$675,"City")</f>
        <v/>
      </c>
      <c r="X164" s="36">
        <f>IF(O164="","",IF(ISNUMBER(SEARCH(O164,J164)),"Yes","No"))</f>
        <v/>
      </c>
      <c r="Y164" s="36" t="n">
        <v>0.7</v>
      </c>
      <c r="Z164" s="36" t="inlineStr">
        <is>
          <t>sitemap-provinces.xml</t>
        </is>
      </c>
      <c r="AA164" s="36" t="inlineStr">
        <is>
          <t>Live – indexable</t>
        </is>
      </c>
      <c r="AB164" s="38" t="n"/>
      <c r="AC164" s="38" t="n"/>
    </row>
    <row r="165" ht="23.85" customHeight="1" s="22">
      <c r="A165" s="36" t="inlineStr">
        <is>
          <t>P0164</t>
        </is>
      </c>
      <c r="B165" s="36" t="inlineStr">
        <is>
          <t>https://instasure.ca/disability-insurance/saskatchewan/</t>
        </is>
      </c>
      <c r="C165" s="36" t="inlineStr">
        <is>
          <t>Product × province</t>
        </is>
      </c>
      <c r="D165" s="36" t="inlineStr">
        <is>
          <t>Disability insurance</t>
        </is>
      </c>
      <c r="E165" s="36" t="inlineStr">
        <is>
          <t>Disability Insurance</t>
        </is>
      </c>
      <c r="F165" s="36" t="n"/>
      <c r="G165" s="36" t="inlineStr">
        <is>
          <t>Saskatchewan</t>
        </is>
      </c>
      <c r="H165" s="36" t="n"/>
      <c r="I165" s="36" t="inlineStr">
        <is>
          <t>Yes</t>
        </is>
      </c>
      <c r="J165" s="25" t="inlineStr">
        <is>
          <t>Disability Insurance in Saskatchewan: Costs, Rules &amp; Quotes (2026)</t>
        </is>
      </c>
      <c r="K165" s="36">
        <f>LEN(J165)</f>
        <v/>
      </c>
      <c r="L165" s="25" t="inlineStr">
        <is>
          <t>Disability Insurance in Saskatchewan: how it works under FCAA, what drives price, instant estimates and advisors licensed in Saskatchewan.</t>
        </is>
      </c>
      <c r="M165" s="36">
        <f>LEN(L165)</f>
        <v/>
      </c>
      <c r="N165" s="25" t="inlineStr">
        <is>
          <t>Disability Insurance in Saskatchewan</t>
        </is>
      </c>
      <c r="O165" s="36" t="inlineStr">
        <is>
          <t>disability insurance saskatchewan</t>
        </is>
      </c>
      <c r="P165" s="37" t="n">
        <v>25</v>
      </c>
      <c r="Q165" s="36" t="inlineStr">
        <is>
          <t>Provincial</t>
        </is>
      </c>
      <c r="R165" s="36" t="n"/>
      <c r="S165" s="36">
        <f>COUNTIF('Page-Keyword Map'!$A$2:$A$675,B165)</f>
        <v/>
      </c>
      <c r="T165" s="37">
        <f>SUMIF('Page-Keyword Map'!$A$2:$A$675,B165,'Page-Keyword Map'!$H$2:$H$675)</f>
        <v/>
      </c>
      <c r="U165" s="36">
        <f>COUNTIFS('Page-Keyword Map'!$A$2:$A$675,B165,'Page-Keyword Map'!$E$2:$E$675,"Nationwide")</f>
        <v/>
      </c>
      <c r="V165" s="36">
        <f>COUNTIFS('Page-Keyword Map'!$A$2:$A$675,B165,'Page-Keyword Map'!$E$2:$E$675,"Provincial")</f>
        <v/>
      </c>
      <c r="W165" s="36">
        <f>COUNTIFS('Page-Keyword Map'!$A$2:$A$675,B165,'Page-Keyword Map'!$E$2:$E$675,"City")</f>
        <v/>
      </c>
      <c r="X165" s="36">
        <f>IF(O165="","",IF(ISNUMBER(SEARCH(O165,J165)),"Yes","No"))</f>
        <v/>
      </c>
      <c r="Y165" s="36" t="n">
        <v>0.7</v>
      </c>
      <c r="Z165" s="36" t="inlineStr">
        <is>
          <t>sitemap-provinces.xml</t>
        </is>
      </c>
      <c r="AA165" s="36" t="inlineStr">
        <is>
          <t>Live – indexable</t>
        </is>
      </c>
      <c r="AB165" s="38" t="n"/>
      <c r="AC165" s="38" t="n"/>
    </row>
    <row r="166" ht="23.85" customHeight="1" s="22">
      <c r="A166" s="36" t="inlineStr">
        <is>
          <t>P0165</t>
        </is>
      </c>
      <c r="B166" s="36" t="inlineStr">
        <is>
          <t>https://instasure.ca/disability-insurance/yukon/</t>
        </is>
      </c>
      <c r="C166" s="36" t="inlineStr">
        <is>
          <t>Product × province</t>
        </is>
      </c>
      <c r="D166" s="36" t="inlineStr">
        <is>
          <t>Disability insurance</t>
        </is>
      </c>
      <c r="E166" s="36" t="inlineStr">
        <is>
          <t>Disability Insurance</t>
        </is>
      </c>
      <c r="F166" s="36" t="n"/>
      <c r="G166" s="36" t="inlineStr">
        <is>
          <t>Yukon</t>
        </is>
      </c>
      <c r="H166" s="36" t="n"/>
      <c r="I166" s="36" t="inlineStr">
        <is>
          <t>Yes</t>
        </is>
      </c>
      <c r="J166" s="25" t="inlineStr">
        <is>
          <t>Disability Insurance in Yukon: Costs, Rules &amp; Quotes (2026)</t>
        </is>
      </c>
      <c r="K166" s="36">
        <f>LEN(J166)</f>
        <v/>
      </c>
      <c r="L166" s="25" t="inlineStr">
        <is>
          <t>Disability Insurance in Yukon: how it works under the Yukon Superintendent, what drives price, instant estimates and a waitlist for licensed advice in Yukon.</t>
        </is>
      </c>
      <c r="M166" s="36">
        <f>LEN(L166)</f>
        <v/>
      </c>
      <c r="N166" s="25" t="inlineStr">
        <is>
          <t>Disability Insurance in Yukon</t>
        </is>
      </c>
      <c r="O166" s="36" t="n"/>
      <c r="P166" s="37" t="n"/>
      <c r="Q166" s="36" t="n"/>
      <c r="R166" s="36" t="inlineStr">
        <is>
          <t>disability insurance yukon</t>
        </is>
      </c>
      <c r="S166" s="36">
        <f>COUNTIF('Page-Keyword Map'!$A$2:$A$675,B166)</f>
        <v/>
      </c>
      <c r="T166" s="37">
        <f>SUMIF('Page-Keyword Map'!$A$2:$A$675,B166,'Page-Keyword Map'!$H$2:$H$675)</f>
        <v/>
      </c>
      <c r="U166" s="36">
        <f>COUNTIFS('Page-Keyword Map'!$A$2:$A$675,B166,'Page-Keyword Map'!$E$2:$E$675,"Nationwide")</f>
        <v/>
      </c>
      <c r="V166" s="36">
        <f>COUNTIFS('Page-Keyword Map'!$A$2:$A$675,B166,'Page-Keyword Map'!$E$2:$E$675,"Provincial")</f>
        <v/>
      </c>
      <c r="W166" s="36">
        <f>COUNTIFS('Page-Keyword Map'!$A$2:$A$675,B166,'Page-Keyword Map'!$E$2:$E$675,"City")</f>
        <v/>
      </c>
      <c r="X166" s="36">
        <f>IF(O166="","",IF(ISNUMBER(SEARCH(O166,J166)),"Yes","No"))</f>
        <v/>
      </c>
      <c r="Y166" s="36" t="n">
        <v>0.7</v>
      </c>
      <c r="Z166" s="36" t="inlineStr">
        <is>
          <t>sitemap-provinces.xml</t>
        </is>
      </c>
      <c r="AA166" s="36" t="inlineStr">
        <is>
          <t>Live – indexable</t>
        </is>
      </c>
      <c r="AB166" s="38" t="n"/>
      <c r="AC166" s="38" t="n"/>
    </row>
    <row r="167" ht="23.85" customHeight="1" s="22">
      <c r="A167" s="36" t="inlineStr">
        <is>
          <t>P0166</t>
        </is>
      </c>
      <c r="B167" s="36" t="inlineStr">
        <is>
          <t>https://instasure.ca/group-benefits/alberta/</t>
        </is>
      </c>
      <c r="C167" s="36" t="inlineStr">
        <is>
          <t>Product × province</t>
        </is>
      </c>
      <c r="D167" s="36" t="inlineStr">
        <is>
          <t>Group benefits</t>
        </is>
      </c>
      <c r="E167" s="36" t="inlineStr">
        <is>
          <t>Group Benefits</t>
        </is>
      </c>
      <c r="F167" s="36" t="n"/>
      <c r="G167" s="36" t="inlineStr">
        <is>
          <t>Alberta</t>
        </is>
      </c>
      <c r="H167" s="36" t="n"/>
      <c r="I167" s="36" t="inlineStr">
        <is>
          <t>Yes</t>
        </is>
      </c>
      <c r="J167" s="25" t="inlineStr">
        <is>
          <t>Group Benefits in Alberta: Costs, Rules &amp; Quotes (2026)</t>
        </is>
      </c>
      <c r="K167" s="36">
        <f>LEN(J167)</f>
        <v/>
      </c>
      <c r="L167" s="25" t="inlineStr">
        <is>
          <t>Group Benefits in Alberta: how it works under the Superintendent of Insurance, what drives price, instant estimates and advisors licensed in Alberta.</t>
        </is>
      </c>
      <c r="M167" s="36">
        <f>LEN(L167)</f>
        <v/>
      </c>
      <c r="N167" s="25" t="inlineStr">
        <is>
          <t>Group Benefits in Alberta</t>
        </is>
      </c>
      <c r="O167" s="36" t="inlineStr">
        <is>
          <t>group benefits alberta</t>
        </is>
      </c>
      <c r="P167" s="37" t="n">
        <v>44</v>
      </c>
      <c r="Q167" s="36" t="inlineStr">
        <is>
          <t>Provincial</t>
        </is>
      </c>
      <c r="R167" s="36" t="n"/>
      <c r="S167" s="36">
        <f>COUNTIF('Page-Keyword Map'!$A$2:$A$675,B167)</f>
        <v/>
      </c>
      <c r="T167" s="37">
        <f>SUMIF('Page-Keyword Map'!$A$2:$A$675,B167,'Page-Keyword Map'!$H$2:$H$675)</f>
        <v/>
      </c>
      <c r="U167" s="36">
        <f>COUNTIFS('Page-Keyword Map'!$A$2:$A$675,B167,'Page-Keyword Map'!$E$2:$E$675,"Nationwide")</f>
        <v/>
      </c>
      <c r="V167" s="36">
        <f>COUNTIFS('Page-Keyword Map'!$A$2:$A$675,B167,'Page-Keyword Map'!$E$2:$E$675,"Provincial")</f>
        <v/>
      </c>
      <c r="W167" s="36">
        <f>COUNTIFS('Page-Keyword Map'!$A$2:$A$675,B167,'Page-Keyword Map'!$E$2:$E$675,"City")</f>
        <v/>
      </c>
      <c r="X167" s="36">
        <f>IF(O167="","",IF(ISNUMBER(SEARCH(O167,J167)),"Yes","No"))</f>
        <v/>
      </c>
      <c r="Y167" s="36" t="n">
        <v>0.7</v>
      </c>
      <c r="Z167" s="36" t="inlineStr">
        <is>
          <t>sitemap-provinces.xml</t>
        </is>
      </c>
      <c r="AA167" s="36" t="inlineStr">
        <is>
          <t>Live – indexable</t>
        </is>
      </c>
      <c r="AB167" s="38" t="n"/>
      <c r="AC167" s="38" t="n"/>
    </row>
    <row r="168" ht="23.85" customHeight="1" s="22">
      <c r="A168" s="36" t="inlineStr">
        <is>
          <t>P0167</t>
        </is>
      </c>
      <c r="B168" s="36" t="inlineStr">
        <is>
          <t>https://instasure.ca/group-benefits/british-columbia/</t>
        </is>
      </c>
      <c r="C168" s="36" t="inlineStr">
        <is>
          <t>Product × province</t>
        </is>
      </c>
      <c r="D168" s="36" t="inlineStr">
        <is>
          <t>Group benefits</t>
        </is>
      </c>
      <c r="E168" s="36" t="inlineStr">
        <is>
          <t>Group Benefits</t>
        </is>
      </c>
      <c r="F168" s="36" t="n"/>
      <c r="G168" s="36" t="inlineStr">
        <is>
          <t>British Columbia</t>
        </is>
      </c>
      <c r="H168" s="36" t="n"/>
      <c r="I168" s="36" t="inlineStr">
        <is>
          <t>Yes</t>
        </is>
      </c>
      <c r="J168" s="25" t="inlineStr">
        <is>
          <t>Group Benefits in British Columbia: Costs, Rules &amp; Quotes (2026)</t>
        </is>
      </c>
      <c r="K168" s="36">
        <f>LEN(J168)</f>
        <v/>
      </c>
      <c r="L168" s="25" t="inlineStr">
        <is>
          <t>Group Benefits in British Columbia: how it works under BCFSA, what drives price, instant estimates and advisors licensed in British Columbia.</t>
        </is>
      </c>
      <c r="M168" s="36">
        <f>LEN(L168)</f>
        <v/>
      </c>
      <c r="N168" s="25" t="inlineStr">
        <is>
          <t>Group Benefits in British Columbia</t>
        </is>
      </c>
      <c r="O168" s="36" t="inlineStr">
        <is>
          <t>group benefits bc</t>
        </is>
      </c>
      <c r="P168" s="37" t="n">
        <v>51</v>
      </c>
      <c r="Q168" s="36" t="inlineStr">
        <is>
          <t>Provincial</t>
        </is>
      </c>
      <c r="R168" s="36" t="n"/>
      <c r="S168" s="36">
        <f>COUNTIF('Page-Keyword Map'!$A$2:$A$675,B168)</f>
        <v/>
      </c>
      <c r="T168" s="37">
        <f>SUMIF('Page-Keyword Map'!$A$2:$A$675,B168,'Page-Keyword Map'!$H$2:$H$675)</f>
        <v/>
      </c>
      <c r="U168" s="36">
        <f>COUNTIFS('Page-Keyword Map'!$A$2:$A$675,B168,'Page-Keyword Map'!$E$2:$E$675,"Nationwide")</f>
        <v/>
      </c>
      <c r="V168" s="36">
        <f>COUNTIFS('Page-Keyword Map'!$A$2:$A$675,B168,'Page-Keyword Map'!$E$2:$E$675,"Provincial")</f>
        <v/>
      </c>
      <c r="W168" s="36">
        <f>COUNTIFS('Page-Keyword Map'!$A$2:$A$675,B168,'Page-Keyword Map'!$E$2:$E$675,"City")</f>
        <v/>
      </c>
      <c r="X168" s="36">
        <f>IF(O168="","",IF(ISNUMBER(SEARCH(O168,J168)),"Yes","No"))</f>
        <v/>
      </c>
      <c r="Y168" s="36" t="n">
        <v>0.7</v>
      </c>
      <c r="Z168" s="36" t="inlineStr">
        <is>
          <t>sitemap-provinces.xml</t>
        </is>
      </c>
      <c r="AA168" s="36" t="inlineStr">
        <is>
          <t>Live – indexable</t>
        </is>
      </c>
      <c r="AB168" s="38" t="n"/>
      <c r="AC168" s="38" t="n"/>
    </row>
    <row r="169" ht="23.85" customHeight="1" s="22">
      <c r="A169" s="36" t="inlineStr">
        <is>
          <t>P0168</t>
        </is>
      </c>
      <c r="B169" s="36" t="inlineStr">
        <is>
          <t>https://instasure.ca/group-benefits/manitoba/</t>
        </is>
      </c>
      <c r="C169" s="36" t="inlineStr">
        <is>
          <t>Product × province</t>
        </is>
      </c>
      <c r="D169" s="36" t="inlineStr">
        <is>
          <t>Group benefits</t>
        </is>
      </c>
      <c r="E169" s="36" t="inlineStr">
        <is>
          <t>Group Benefits</t>
        </is>
      </c>
      <c r="F169" s="36" t="n"/>
      <c r="G169" s="36" t="inlineStr">
        <is>
          <t>Manitoba</t>
        </is>
      </c>
      <c r="H169" s="36" t="n"/>
      <c r="I169" s="36" t="inlineStr">
        <is>
          <t>Yes</t>
        </is>
      </c>
      <c r="J169" s="25" t="inlineStr">
        <is>
          <t>Group Benefits in Manitoba: Costs, Rules &amp; Quotes (2026)</t>
        </is>
      </c>
      <c r="K169" s="36">
        <f>LEN(J169)</f>
        <v/>
      </c>
      <c r="L169" s="25" t="inlineStr">
        <is>
          <t>Group Benefits in Manitoba: how it works under FIRB, what drives price, instant estimates and advisors licensed in Manitoba.</t>
        </is>
      </c>
      <c r="M169" s="36">
        <f>LEN(L169)</f>
        <v/>
      </c>
      <c r="N169" s="25" t="inlineStr">
        <is>
          <t>Group Benefits in Manitoba</t>
        </is>
      </c>
      <c r="O169" s="36" t="n"/>
      <c r="P169" s="37" t="n"/>
      <c r="Q169" s="36" t="n"/>
      <c r="R169" s="36" t="inlineStr">
        <is>
          <t>group benefits manitoba</t>
        </is>
      </c>
      <c r="S169" s="36">
        <f>COUNTIF('Page-Keyword Map'!$A$2:$A$675,B169)</f>
        <v/>
      </c>
      <c r="T169" s="37">
        <f>SUMIF('Page-Keyword Map'!$A$2:$A$675,B169,'Page-Keyword Map'!$H$2:$H$675)</f>
        <v/>
      </c>
      <c r="U169" s="36">
        <f>COUNTIFS('Page-Keyword Map'!$A$2:$A$675,B169,'Page-Keyword Map'!$E$2:$E$675,"Nationwide")</f>
        <v/>
      </c>
      <c r="V169" s="36">
        <f>COUNTIFS('Page-Keyword Map'!$A$2:$A$675,B169,'Page-Keyword Map'!$E$2:$E$675,"Provincial")</f>
        <v/>
      </c>
      <c r="W169" s="36">
        <f>COUNTIFS('Page-Keyword Map'!$A$2:$A$675,B169,'Page-Keyword Map'!$E$2:$E$675,"City")</f>
        <v/>
      </c>
      <c r="X169" s="36">
        <f>IF(O169="","",IF(ISNUMBER(SEARCH(O169,J169)),"Yes","No"))</f>
        <v/>
      </c>
      <c r="Y169" s="36" t="n">
        <v>0.7</v>
      </c>
      <c r="Z169" s="36" t="inlineStr">
        <is>
          <t>sitemap-provinces.xml</t>
        </is>
      </c>
      <c r="AA169" s="36" t="inlineStr">
        <is>
          <t>Live – indexable</t>
        </is>
      </c>
      <c r="AB169" s="38" t="n"/>
      <c r="AC169" s="38" t="n"/>
    </row>
    <row r="170" ht="23.85" customHeight="1" s="22">
      <c r="A170" s="36" t="inlineStr">
        <is>
          <t>P0169</t>
        </is>
      </c>
      <c r="B170" s="36" t="inlineStr">
        <is>
          <t>https://instasure.ca/group-benefits/new-brunswick/</t>
        </is>
      </c>
      <c r="C170" s="36" t="inlineStr">
        <is>
          <t>Product × province</t>
        </is>
      </c>
      <c r="D170" s="36" t="inlineStr">
        <is>
          <t>Group benefits</t>
        </is>
      </c>
      <c r="E170" s="36" t="inlineStr">
        <is>
          <t>Group Benefits</t>
        </is>
      </c>
      <c r="F170" s="36" t="n"/>
      <c r="G170" s="36" t="inlineStr">
        <is>
          <t>New Brunswick</t>
        </is>
      </c>
      <c r="H170" s="36" t="n"/>
      <c r="I170" s="36" t="inlineStr">
        <is>
          <t>Yes</t>
        </is>
      </c>
      <c r="J170" s="25" t="inlineStr">
        <is>
          <t>Group Benefits in New Brunswick: Costs, Rules &amp; Quotes (2026)</t>
        </is>
      </c>
      <c r="K170" s="36">
        <f>LEN(J170)</f>
        <v/>
      </c>
      <c r="L170" s="25" t="inlineStr">
        <is>
          <t>Group Benefits in New Brunswick: how it works under FCNB, what drives price, instant estimates and advisors licensed in New Brunswick.</t>
        </is>
      </c>
      <c r="M170" s="36">
        <f>LEN(L170)</f>
        <v/>
      </c>
      <c r="N170" s="25" t="inlineStr">
        <is>
          <t>Group Benefits in New Brunswick</t>
        </is>
      </c>
      <c r="O170" s="36" t="n"/>
      <c r="P170" s="37" t="n"/>
      <c r="Q170" s="36" t="n"/>
      <c r="R170" s="36" t="inlineStr">
        <is>
          <t>group benefits new brunswick</t>
        </is>
      </c>
      <c r="S170" s="36">
        <f>COUNTIF('Page-Keyword Map'!$A$2:$A$675,B170)</f>
        <v/>
      </c>
      <c r="T170" s="37">
        <f>SUMIF('Page-Keyword Map'!$A$2:$A$675,B170,'Page-Keyword Map'!$H$2:$H$675)</f>
        <v/>
      </c>
      <c r="U170" s="36">
        <f>COUNTIFS('Page-Keyword Map'!$A$2:$A$675,B170,'Page-Keyword Map'!$E$2:$E$675,"Nationwide")</f>
        <v/>
      </c>
      <c r="V170" s="36">
        <f>COUNTIFS('Page-Keyword Map'!$A$2:$A$675,B170,'Page-Keyword Map'!$E$2:$E$675,"Provincial")</f>
        <v/>
      </c>
      <c r="W170" s="36">
        <f>COUNTIFS('Page-Keyword Map'!$A$2:$A$675,B170,'Page-Keyword Map'!$E$2:$E$675,"City")</f>
        <v/>
      </c>
      <c r="X170" s="36">
        <f>IF(O170="","",IF(ISNUMBER(SEARCH(O170,J170)),"Yes","No"))</f>
        <v/>
      </c>
      <c r="Y170" s="36" t="n">
        <v>0.7</v>
      </c>
      <c r="Z170" s="36" t="inlineStr">
        <is>
          <t>sitemap-provinces.xml</t>
        </is>
      </c>
      <c r="AA170" s="36" t="inlineStr">
        <is>
          <t>Live – indexable</t>
        </is>
      </c>
      <c r="AB170" s="38" t="n"/>
      <c r="AC170" s="38" t="n"/>
    </row>
    <row r="171" ht="23.85" customHeight="1" s="22">
      <c r="A171" s="36" t="inlineStr">
        <is>
          <t>P0170</t>
        </is>
      </c>
      <c r="B171" s="36" t="inlineStr">
        <is>
          <t>https://instasure.ca/group-benefits/newfoundland-and-labrador/</t>
        </is>
      </c>
      <c r="C171" s="36" t="inlineStr">
        <is>
          <t>Product × province</t>
        </is>
      </c>
      <c r="D171" s="36" t="inlineStr">
        <is>
          <t>Group benefits</t>
        </is>
      </c>
      <c r="E171" s="36" t="inlineStr">
        <is>
          <t>Group Benefits</t>
        </is>
      </c>
      <c r="F171" s="36" t="n"/>
      <c r="G171" s="36" t="inlineStr">
        <is>
          <t>Newfoundland and Labrador</t>
        </is>
      </c>
      <c r="H171" s="36" t="n"/>
      <c r="I171" s="36" t="inlineStr">
        <is>
          <t>Yes</t>
        </is>
      </c>
      <c r="J171" s="25" t="inlineStr">
        <is>
          <t>Group Benefits in Newfoundland and Labrador: Costs, Rules &amp; Quotes (2026)</t>
        </is>
      </c>
      <c r="K171" s="36">
        <f>LEN(J171)</f>
        <v/>
      </c>
      <c r="L171" s="25" t="inlineStr">
        <is>
          <t>Group Benefits in Newfoundland and Labrador: how it works under Service NL, what drives price, instant estimates and advisors licensed in Newfoundland and Labrador.</t>
        </is>
      </c>
      <c r="M171" s="36">
        <f>LEN(L171)</f>
        <v/>
      </c>
      <c r="N171" s="25" t="inlineStr">
        <is>
          <t>Group Benefits in Newfoundland and Labrador</t>
        </is>
      </c>
      <c r="O171" s="36" t="n"/>
      <c r="P171" s="37" t="n"/>
      <c r="Q171" s="36" t="n"/>
      <c r="R171" s="36" t="inlineStr">
        <is>
          <t>group benefits newfoundland and labrador</t>
        </is>
      </c>
      <c r="S171" s="36">
        <f>COUNTIF('Page-Keyword Map'!$A$2:$A$675,B171)</f>
        <v/>
      </c>
      <c r="T171" s="37">
        <f>SUMIF('Page-Keyword Map'!$A$2:$A$675,B171,'Page-Keyword Map'!$H$2:$H$675)</f>
        <v/>
      </c>
      <c r="U171" s="36">
        <f>COUNTIFS('Page-Keyword Map'!$A$2:$A$675,B171,'Page-Keyword Map'!$E$2:$E$675,"Nationwide")</f>
        <v/>
      </c>
      <c r="V171" s="36">
        <f>COUNTIFS('Page-Keyword Map'!$A$2:$A$675,B171,'Page-Keyword Map'!$E$2:$E$675,"Provincial")</f>
        <v/>
      </c>
      <c r="W171" s="36">
        <f>COUNTIFS('Page-Keyword Map'!$A$2:$A$675,B171,'Page-Keyword Map'!$E$2:$E$675,"City")</f>
        <v/>
      </c>
      <c r="X171" s="36">
        <f>IF(O171="","",IF(ISNUMBER(SEARCH(O171,J171)),"Yes","No"))</f>
        <v/>
      </c>
      <c r="Y171" s="36" t="n">
        <v>0.7</v>
      </c>
      <c r="Z171" s="36" t="inlineStr">
        <is>
          <t>sitemap-provinces.xml</t>
        </is>
      </c>
      <c r="AA171" s="36" t="inlineStr">
        <is>
          <t>Live – indexable</t>
        </is>
      </c>
      <c r="AB171" s="38" t="n"/>
      <c r="AC171" s="38" t="n"/>
    </row>
    <row r="172" ht="23.85" customHeight="1" s="22">
      <c r="A172" s="36" t="inlineStr">
        <is>
          <t>P0171</t>
        </is>
      </c>
      <c r="B172" s="36" t="inlineStr">
        <is>
          <t>https://instasure.ca/group-benefits/northwest-territories/</t>
        </is>
      </c>
      <c r="C172" s="36" t="inlineStr">
        <is>
          <t>Product × province</t>
        </is>
      </c>
      <c r="D172" s="36" t="inlineStr">
        <is>
          <t>Group benefits</t>
        </is>
      </c>
      <c r="E172" s="36" t="inlineStr">
        <is>
          <t>Group Benefits</t>
        </is>
      </c>
      <c r="F172" s="36" t="n"/>
      <c r="G172" s="36" t="inlineStr">
        <is>
          <t>Northwest Territories</t>
        </is>
      </c>
      <c r="H172" s="36" t="n"/>
      <c r="I172" s="36" t="inlineStr">
        <is>
          <t>Yes</t>
        </is>
      </c>
      <c r="J172" s="25" t="inlineStr">
        <is>
          <t>Group Benefits in Northwest Territories: Costs, Rules &amp; Quotes (2026)</t>
        </is>
      </c>
      <c r="K172" s="36">
        <f>LEN(J172)</f>
        <v/>
      </c>
      <c r="L172" s="25" t="inlineStr">
        <is>
          <t>Group Benefits in Northwest Territories: how it works under the NWT Superintendent, what drives price, instant estimates and a waitlist for licensed advice in…</t>
        </is>
      </c>
      <c r="M172" s="36">
        <f>LEN(L172)</f>
        <v/>
      </c>
      <c r="N172" s="25" t="inlineStr">
        <is>
          <t>Group Benefits in Northwest Territories</t>
        </is>
      </c>
      <c r="O172" s="36" t="n"/>
      <c r="P172" s="37" t="n"/>
      <c r="Q172" s="36" t="n"/>
      <c r="R172" s="36" t="inlineStr">
        <is>
          <t>group benefits northwest territories</t>
        </is>
      </c>
      <c r="S172" s="36">
        <f>COUNTIF('Page-Keyword Map'!$A$2:$A$675,B172)</f>
        <v/>
      </c>
      <c r="T172" s="37">
        <f>SUMIF('Page-Keyword Map'!$A$2:$A$675,B172,'Page-Keyword Map'!$H$2:$H$675)</f>
        <v/>
      </c>
      <c r="U172" s="36">
        <f>COUNTIFS('Page-Keyword Map'!$A$2:$A$675,B172,'Page-Keyword Map'!$E$2:$E$675,"Nationwide")</f>
        <v/>
      </c>
      <c r="V172" s="36">
        <f>COUNTIFS('Page-Keyword Map'!$A$2:$A$675,B172,'Page-Keyword Map'!$E$2:$E$675,"Provincial")</f>
        <v/>
      </c>
      <c r="W172" s="36">
        <f>COUNTIFS('Page-Keyword Map'!$A$2:$A$675,B172,'Page-Keyword Map'!$E$2:$E$675,"City")</f>
        <v/>
      </c>
      <c r="X172" s="36">
        <f>IF(O172="","",IF(ISNUMBER(SEARCH(O172,J172)),"Yes","No"))</f>
        <v/>
      </c>
      <c r="Y172" s="36" t="n">
        <v>0.7</v>
      </c>
      <c r="Z172" s="36" t="inlineStr">
        <is>
          <t>sitemap-provinces.xml</t>
        </is>
      </c>
      <c r="AA172" s="36" t="inlineStr">
        <is>
          <t>Live – indexable</t>
        </is>
      </c>
      <c r="AB172" s="38" t="n"/>
      <c r="AC172" s="38" t="n"/>
    </row>
    <row r="173" ht="23.85" customHeight="1" s="22">
      <c r="A173" s="36" t="inlineStr">
        <is>
          <t>P0172</t>
        </is>
      </c>
      <c r="B173" s="36" t="inlineStr">
        <is>
          <t>https://instasure.ca/group-benefits/nova-scotia/</t>
        </is>
      </c>
      <c r="C173" s="36" t="inlineStr">
        <is>
          <t>Product × province</t>
        </is>
      </c>
      <c r="D173" s="36" t="inlineStr">
        <is>
          <t>Group benefits</t>
        </is>
      </c>
      <c r="E173" s="36" t="inlineStr">
        <is>
          <t>Group Benefits</t>
        </is>
      </c>
      <c r="F173" s="36" t="n"/>
      <c r="G173" s="36" t="inlineStr">
        <is>
          <t>Nova Scotia</t>
        </is>
      </c>
      <c r="H173" s="36" t="n"/>
      <c r="I173" s="36" t="inlineStr">
        <is>
          <t>Yes</t>
        </is>
      </c>
      <c r="J173" s="25" t="inlineStr">
        <is>
          <t>Group Benefits in Nova Scotia: Costs, Rules &amp; Quotes (2026)</t>
        </is>
      </c>
      <c r="K173" s="36">
        <f>LEN(J173)</f>
        <v/>
      </c>
      <c r="L173" s="25" t="inlineStr">
        <is>
          <t>Group Benefits in Nova Scotia: how it works under the NS Superintendent of Insurance, what drives price, instant estimates and advisors licensed in Nova Scotia.</t>
        </is>
      </c>
      <c r="M173" s="36">
        <f>LEN(L173)</f>
        <v/>
      </c>
      <c r="N173" s="25" t="inlineStr">
        <is>
          <t>Group Benefits in Nova Scotia</t>
        </is>
      </c>
      <c r="O173" s="36" t="n"/>
      <c r="P173" s="37" t="n"/>
      <c r="Q173" s="36" t="n"/>
      <c r="R173" s="36" t="inlineStr">
        <is>
          <t>group benefits nova scotia</t>
        </is>
      </c>
      <c r="S173" s="36">
        <f>COUNTIF('Page-Keyword Map'!$A$2:$A$675,B173)</f>
        <v/>
      </c>
      <c r="T173" s="37">
        <f>SUMIF('Page-Keyword Map'!$A$2:$A$675,B173,'Page-Keyword Map'!$H$2:$H$675)</f>
        <v/>
      </c>
      <c r="U173" s="36">
        <f>COUNTIFS('Page-Keyword Map'!$A$2:$A$675,B173,'Page-Keyword Map'!$E$2:$E$675,"Nationwide")</f>
        <v/>
      </c>
      <c r="V173" s="36">
        <f>COUNTIFS('Page-Keyword Map'!$A$2:$A$675,B173,'Page-Keyword Map'!$E$2:$E$675,"Provincial")</f>
        <v/>
      </c>
      <c r="W173" s="36">
        <f>COUNTIFS('Page-Keyword Map'!$A$2:$A$675,B173,'Page-Keyword Map'!$E$2:$E$675,"City")</f>
        <v/>
      </c>
      <c r="X173" s="36">
        <f>IF(O173="","",IF(ISNUMBER(SEARCH(O173,J173)),"Yes","No"))</f>
        <v/>
      </c>
      <c r="Y173" s="36" t="n">
        <v>0.7</v>
      </c>
      <c r="Z173" s="36" t="inlineStr">
        <is>
          <t>sitemap-provinces.xml</t>
        </is>
      </c>
      <c r="AA173" s="36" t="inlineStr">
        <is>
          <t>Live – indexable</t>
        </is>
      </c>
      <c r="AB173" s="38" t="n"/>
      <c r="AC173" s="38" t="n"/>
    </row>
    <row r="174" ht="23.85" customHeight="1" s="22">
      <c r="A174" s="36" t="inlineStr">
        <is>
          <t>P0173</t>
        </is>
      </c>
      <c r="B174" s="36" t="inlineStr">
        <is>
          <t>https://instasure.ca/group-benefits/nunavut/</t>
        </is>
      </c>
      <c r="C174" s="36" t="inlineStr">
        <is>
          <t>Product × province</t>
        </is>
      </c>
      <c r="D174" s="36" t="inlineStr">
        <is>
          <t>Group benefits</t>
        </is>
      </c>
      <c r="E174" s="36" t="inlineStr">
        <is>
          <t>Group Benefits</t>
        </is>
      </c>
      <c r="F174" s="36" t="n"/>
      <c r="G174" s="36" t="inlineStr">
        <is>
          <t>Nunavut</t>
        </is>
      </c>
      <c r="H174" s="36" t="n"/>
      <c r="I174" s="36" t="inlineStr">
        <is>
          <t>Yes</t>
        </is>
      </c>
      <c r="J174" s="25" t="inlineStr">
        <is>
          <t>Group Benefits in Nunavut: Costs, Rules &amp; Quotes (2026)</t>
        </is>
      </c>
      <c r="K174" s="36">
        <f>LEN(J174)</f>
        <v/>
      </c>
      <c r="L174" s="25" t="inlineStr">
        <is>
          <t>Group Benefits in Nunavut: how it works under the Nunavut Superintendent, what drives price, instant estimates and a waitlist for licensed advice in Nunavut.</t>
        </is>
      </c>
      <c r="M174" s="36">
        <f>LEN(L174)</f>
        <v/>
      </c>
      <c r="N174" s="25" t="inlineStr">
        <is>
          <t>Group Benefits in Nunavut</t>
        </is>
      </c>
      <c r="O174" s="36" t="n"/>
      <c r="P174" s="37" t="n"/>
      <c r="Q174" s="36" t="n"/>
      <c r="R174" s="36" t="inlineStr">
        <is>
          <t>group benefits nunavut</t>
        </is>
      </c>
      <c r="S174" s="36">
        <f>COUNTIF('Page-Keyword Map'!$A$2:$A$675,B174)</f>
        <v/>
      </c>
      <c r="T174" s="37">
        <f>SUMIF('Page-Keyword Map'!$A$2:$A$675,B174,'Page-Keyword Map'!$H$2:$H$675)</f>
        <v/>
      </c>
      <c r="U174" s="36">
        <f>COUNTIFS('Page-Keyword Map'!$A$2:$A$675,B174,'Page-Keyword Map'!$E$2:$E$675,"Nationwide")</f>
        <v/>
      </c>
      <c r="V174" s="36">
        <f>COUNTIFS('Page-Keyword Map'!$A$2:$A$675,B174,'Page-Keyword Map'!$E$2:$E$675,"Provincial")</f>
        <v/>
      </c>
      <c r="W174" s="36">
        <f>COUNTIFS('Page-Keyword Map'!$A$2:$A$675,B174,'Page-Keyword Map'!$E$2:$E$675,"City")</f>
        <v/>
      </c>
      <c r="X174" s="36">
        <f>IF(O174="","",IF(ISNUMBER(SEARCH(O174,J174)),"Yes","No"))</f>
        <v/>
      </c>
      <c r="Y174" s="36" t="n">
        <v>0.7</v>
      </c>
      <c r="Z174" s="36" t="inlineStr">
        <is>
          <t>sitemap-provinces.xml</t>
        </is>
      </c>
      <c r="AA174" s="36" t="inlineStr">
        <is>
          <t>Live – indexable</t>
        </is>
      </c>
      <c r="AB174" s="38" t="n"/>
      <c r="AC174" s="38" t="n"/>
    </row>
    <row r="175" ht="23.85" customHeight="1" s="22">
      <c r="A175" s="36" t="inlineStr">
        <is>
          <t>P0174</t>
        </is>
      </c>
      <c r="B175" s="36" t="inlineStr">
        <is>
          <t>https://instasure.ca/group-benefits/ontario/</t>
        </is>
      </c>
      <c r="C175" s="36" t="inlineStr">
        <is>
          <t>Product × province</t>
        </is>
      </c>
      <c r="D175" s="36" t="inlineStr">
        <is>
          <t>Group benefits</t>
        </is>
      </c>
      <c r="E175" s="36" t="inlineStr">
        <is>
          <t>Group Benefits</t>
        </is>
      </c>
      <c r="F175" s="36" t="n"/>
      <c r="G175" s="36" t="inlineStr">
        <is>
          <t>Ontario</t>
        </is>
      </c>
      <c r="H175" s="36" t="n"/>
      <c r="I175" s="36" t="inlineStr">
        <is>
          <t>Yes</t>
        </is>
      </c>
      <c r="J175" s="25" t="inlineStr">
        <is>
          <t>Group Benefits in Ontario: Costs, Rules &amp; Quotes (2026)</t>
        </is>
      </c>
      <c r="K175" s="36">
        <f>LEN(J175)</f>
        <v/>
      </c>
      <c r="L175" s="25" t="inlineStr">
        <is>
          <t>Group Benefits in Ontario: how it works under FSRA, what drives price, instant estimates and advisors licensed in Ontario.</t>
        </is>
      </c>
      <c r="M175" s="36">
        <f>LEN(L175)</f>
        <v/>
      </c>
      <c r="N175" s="25" t="inlineStr">
        <is>
          <t>Group Benefits in Ontario</t>
        </is>
      </c>
      <c r="O175" s="36" t="inlineStr">
        <is>
          <t>group benefits ontario</t>
        </is>
      </c>
      <c r="P175" s="37" t="n">
        <v>150</v>
      </c>
      <c r="Q175" s="36" t="inlineStr">
        <is>
          <t>Provincial</t>
        </is>
      </c>
      <c r="R175" s="36" t="n"/>
      <c r="S175" s="36">
        <f>COUNTIF('Page-Keyword Map'!$A$2:$A$675,B175)</f>
        <v/>
      </c>
      <c r="T175" s="37">
        <f>SUMIF('Page-Keyword Map'!$A$2:$A$675,B175,'Page-Keyword Map'!$H$2:$H$675)</f>
        <v/>
      </c>
      <c r="U175" s="36">
        <f>COUNTIFS('Page-Keyword Map'!$A$2:$A$675,B175,'Page-Keyword Map'!$E$2:$E$675,"Nationwide")</f>
        <v/>
      </c>
      <c r="V175" s="36">
        <f>COUNTIFS('Page-Keyword Map'!$A$2:$A$675,B175,'Page-Keyword Map'!$E$2:$E$675,"Provincial")</f>
        <v/>
      </c>
      <c r="W175" s="36">
        <f>COUNTIFS('Page-Keyword Map'!$A$2:$A$675,B175,'Page-Keyword Map'!$E$2:$E$675,"City")</f>
        <v/>
      </c>
      <c r="X175" s="36">
        <f>IF(O175="","",IF(ISNUMBER(SEARCH(O175,J175)),"Yes","No"))</f>
        <v/>
      </c>
      <c r="Y175" s="36" t="n">
        <v>0.7</v>
      </c>
      <c r="Z175" s="36" t="inlineStr">
        <is>
          <t>sitemap-provinces.xml</t>
        </is>
      </c>
      <c r="AA175" s="36" t="inlineStr">
        <is>
          <t>Live – indexable</t>
        </is>
      </c>
      <c r="AB175" s="38" t="n"/>
      <c r="AC175" s="38" t="n"/>
    </row>
    <row r="176" ht="23.85" customHeight="1" s="22">
      <c r="A176" s="36" t="inlineStr">
        <is>
          <t>P0175</t>
        </is>
      </c>
      <c r="B176" s="36" t="inlineStr">
        <is>
          <t>https://instasure.ca/group-benefits/prince-edward-island/</t>
        </is>
      </c>
      <c r="C176" s="36" t="inlineStr">
        <is>
          <t>Product × province</t>
        </is>
      </c>
      <c r="D176" s="36" t="inlineStr">
        <is>
          <t>Group benefits</t>
        </is>
      </c>
      <c r="E176" s="36" t="inlineStr">
        <is>
          <t>Group Benefits</t>
        </is>
      </c>
      <c r="F176" s="36" t="n"/>
      <c r="G176" s="36" t="inlineStr">
        <is>
          <t>Prince Edward Island</t>
        </is>
      </c>
      <c r="H176" s="36" t="n"/>
      <c r="I176" s="36" t="inlineStr">
        <is>
          <t>Yes</t>
        </is>
      </c>
      <c r="J176" s="25" t="inlineStr">
        <is>
          <t>Group Benefits in Prince Edward Island: Costs, Rules &amp; Quotes (2026)</t>
        </is>
      </c>
      <c r="K176" s="36">
        <f>LEN(J176)</f>
        <v/>
      </c>
      <c r="L176" s="25" t="inlineStr">
        <is>
          <t>Group Benefits in Prince Edward Island: how it works under the PEI Superintendent, what drives price, instant estimates and advisors licensed in Prince Edward…</t>
        </is>
      </c>
      <c r="M176" s="36">
        <f>LEN(L176)</f>
        <v/>
      </c>
      <c r="N176" s="25" t="inlineStr">
        <is>
          <t>Group Benefits in Prince Edward Island</t>
        </is>
      </c>
      <c r="O176" s="36" t="n"/>
      <c r="P176" s="37" t="n"/>
      <c r="Q176" s="36" t="n"/>
      <c r="R176" s="36" t="inlineStr">
        <is>
          <t>group benefits prince edward island</t>
        </is>
      </c>
      <c r="S176" s="36">
        <f>COUNTIF('Page-Keyword Map'!$A$2:$A$675,B176)</f>
        <v/>
      </c>
      <c r="T176" s="37">
        <f>SUMIF('Page-Keyword Map'!$A$2:$A$675,B176,'Page-Keyword Map'!$H$2:$H$675)</f>
        <v/>
      </c>
      <c r="U176" s="36">
        <f>COUNTIFS('Page-Keyword Map'!$A$2:$A$675,B176,'Page-Keyword Map'!$E$2:$E$675,"Nationwide")</f>
        <v/>
      </c>
      <c r="V176" s="36">
        <f>COUNTIFS('Page-Keyword Map'!$A$2:$A$675,B176,'Page-Keyword Map'!$E$2:$E$675,"Provincial")</f>
        <v/>
      </c>
      <c r="W176" s="36">
        <f>COUNTIFS('Page-Keyword Map'!$A$2:$A$675,B176,'Page-Keyword Map'!$E$2:$E$675,"City")</f>
        <v/>
      </c>
      <c r="X176" s="36">
        <f>IF(O176="","",IF(ISNUMBER(SEARCH(O176,J176)),"Yes","No"))</f>
        <v/>
      </c>
      <c r="Y176" s="36" t="n">
        <v>0.7</v>
      </c>
      <c r="Z176" s="36" t="inlineStr">
        <is>
          <t>sitemap-provinces.xml</t>
        </is>
      </c>
      <c r="AA176" s="36" t="inlineStr">
        <is>
          <t>Live – indexable</t>
        </is>
      </c>
      <c r="AB176" s="38" t="n"/>
      <c r="AC176" s="38" t="n"/>
    </row>
    <row r="177" ht="23.85" customHeight="1" s="22">
      <c r="A177" s="36" t="inlineStr">
        <is>
          <t>P0176</t>
        </is>
      </c>
      <c r="B177" s="36" t="inlineStr">
        <is>
          <t>https://instasure.ca/group-benefits/quebec/</t>
        </is>
      </c>
      <c r="C177" s="36" t="inlineStr">
        <is>
          <t>Product × province</t>
        </is>
      </c>
      <c r="D177" s="36" t="inlineStr">
        <is>
          <t>Group benefits</t>
        </is>
      </c>
      <c r="E177" s="36" t="inlineStr">
        <is>
          <t>Group Benefits</t>
        </is>
      </c>
      <c r="F177" s="36" t="n"/>
      <c r="G177" s="36" t="inlineStr">
        <is>
          <t>Quebec</t>
        </is>
      </c>
      <c r="H177" s="36" t="n"/>
      <c r="I177" s="36" t="inlineStr">
        <is>
          <t>Yes</t>
        </is>
      </c>
      <c r="J177" s="25" t="inlineStr">
        <is>
          <t>Group Benefits in Quebec: Costs, Rules &amp; Quotes (2026)</t>
        </is>
      </c>
      <c r="K177" s="36">
        <f>LEN(J177)</f>
        <v/>
      </c>
      <c r="L177" s="25" t="inlineStr">
        <is>
          <t>Group Benefits in Quebec: how it works under AMF, what drives price, instant estimates and a waitlist for licensed advice in Quebec.</t>
        </is>
      </c>
      <c r="M177" s="36">
        <f>LEN(L177)</f>
        <v/>
      </c>
      <c r="N177" s="25" t="inlineStr">
        <is>
          <t>Group Benefits in Quebec</t>
        </is>
      </c>
      <c r="O177" s="36" t="inlineStr">
        <is>
          <t>group benefits quebec</t>
        </is>
      </c>
      <c r="P177" s="37" t="n">
        <v>26</v>
      </c>
      <c r="Q177" s="36" t="inlineStr">
        <is>
          <t>Provincial</t>
        </is>
      </c>
      <c r="R177" s="36" t="n"/>
      <c r="S177" s="36">
        <f>COUNTIF('Page-Keyword Map'!$A$2:$A$675,B177)</f>
        <v/>
      </c>
      <c r="T177" s="37">
        <f>SUMIF('Page-Keyword Map'!$A$2:$A$675,B177,'Page-Keyword Map'!$H$2:$H$675)</f>
        <v/>
      </c>
      <c r="U177" s="36">
        <f>COUNTIFS('Page-Keyword Map'!$A$2:$A$675,B177,'Page-Keyword Map'!$E$2:$E$675,"Nationwide")</f>
        <v/>
      </c>
      <c r="V177" s="36">
        <f>COUNTIFS('Page-Keyword Map'!$A$2:$A$675,B177,'Page-Keyword Map'!$E$2:$E$675,"Provincial")</f>
        <v/>
      </c>
      <c r="W177" s="36">
        <f>COUNTIFS('Page-Keyword Map'!$A$2:$A$675,B177,'Page-Keyword Map'!$E$2:$E$675,"City")</f>
        <v/>
      </c>
      <c r="X177" s="36">
        <f>IF(O177="","",IF(ISNUMBER(SEARCH(O177,J177)),"Yes","No"))</f>
        <v/>
      </c>
      <c r="Y177" s="36" t="n">
        <v>0.7</v>
      </c>
      <c r="Z177" s="36" t="inlineStr">
        <is>
          <t>sitemap-provinces.xml</t>
        </is>
      </c>
      <c r="AA177" s="36" t="inlineStr">
        <is>
          <t>Live – indexable</t>
        </is>
      </c>
      <c r="AB177" s="38" t="n"/>
      <c r="AC177" s="38" t="n"/>
    </row>
    <row r="178" ht="23.85" customHeight="1" s="22">
      <c r="A178" s="36" t="inlineStr">
        <is>
          <t>P0177</t>
        </is>
      </c>
      <c r="B178" s="36" t="inlineStr">
        <is>
          <t>https://instasure.ca/group-benefits/saskatchewan/</t>
        </is>
      </c>
      <c r="C178" s="36" t="inlineStr">
        <is>
          <t>Product × province</t>
        </is>
      </c>
      <c r="D178" s="36" t="inlineStr">
        <is>
          <t>Group benefits</t>
        </is>
      </c>
      <c r="E178" s="36" t="inlineStr">
        <is>
          <t>Group Benefits</t>
        </is>
      </c>
      <c r="F178" s="36" t="n"/>
      <c r="G178" s="36" t="inlineStr">
        <is>
          <t>Saskatchewan</t>
        </is>
      </c>
      <c r="H178" s="36" t="n"/>
      <c r="I178" s="36" t="inlineStr">
        <is>
          <t>Yes</t>
        </is>
      </c>
      <c r="J178" s="25" t="inlineStr">
        <is>
          <t>Group Benefits in Saskatchewan: Costs, Rules &amp; Quotes (2026)</t>
        </is>
      </c>
      <c r="K178" s="36">
        <f>LEN(J178)</f>
        <v/>
      </c>
      <c r="L178" s="25" t="inlineStr">
        <is>
          <t>Group Benefits in Saskatchewan: how it works under FCAA, what drives price, instant estimates and advisors licensed in Saskatchewan.</t>
        </is>
      </c>
      <c r="M178" s="36">
        <f>LEN(L178)</f>
        <v/>
      </c>
      <c r="N178" s="25" t="inlineStr">
        <is>
          <t>Group Benefits in Saskatchewan</t>
        </is>
      </c>
      <c r="O178" s="36" t="n"/>
      <c r="P178" s="37" t="n"/>
      <c r="Q178" s="36" t="n"/>
      <c r="R178" s="36" t="inlineStr">
        <is>
          <t>group benefits saskatchewan</t>
        </is>
      </c>
      <c r="S178" s="36">
        <f>COUNTIF('Page-Keyword Map'!$A$2:$A$675,B178)</f>
        <v/>
      </c>
      <c r="T178" s="37">
        <f>SUMIF('Page-Keyword Map'!$A$2:$A$675,B178,'Page-Keyword Map'!$H$2:$H$675)</f>
        <v/>
      </c>
      <c r="U178" s="36">
        <f>COUNTIFS('Page-Keyword Map'!$A$2:$A$675,B178,'Page-Keyword Map'!$E$2:$E$675,"Nationwide")</f>
        <v/>
      </c>
      <c r="V178" s="36">
        <f>COUNTIFS('Page-Keyword Map'!$A$2:$A$675,B178,'Page-Keyword Map'!$E$2:$E$675,"Provincial")</f>
        <v/>
      </c>
      <c r="W178" s="36">
        <f>COUNTIFS('Page-Keyword Map'!$A$2:$A$675,B178,'Page-Keyword Map'!$E$2:$E$675,"City")</f>
        <v/>
      </c>
      <c r="X178" s="36">
        <f>IF(O178="","",IF(ISNUMBER(SEARCH(O178,J178)),"Yes","No"))</f>
        <v/>
      </c>
      <c r="Y178" s="36" t="n">
        <v>0.7</v>
      </c>
      <c r="Z178" s="36" t="inlineStr">
        <is>
          <t>sitemap-provinces.xml</t>
        </is>
      </c>
      <c r="AA178" s="36" t="inlineStr">
        <is>
          <t>Live – indexable</t>
        </is>
      </c>
      <c r="AB178" s="38" t="n"/>
      <c r="AC178" s="38" t="n"/>
    </row>
    <row r="179" ht="23.85" customHeight="1" s="22">
      <c r="A179" s="36" t="inlineStr">
        <is>
          <t>P0178</t>
        </is>
      </c>
      <c r="B179" s="36" t="inlineStr">
        <is>
          <t>https://instasure.ca/group-benefits/yukon/</t>
        </is>
      </c>
      <c r="C179" s="36" t="inlineStr">
        <is>
          <t>Product × province</t>
        </is>
      </c>
      <c r="D179" s="36" t="inlineStr">
        <is>
          <t>Group benefits</t>
        </is>
      </c>
      <c r="E179" s="36" t="inlineStr">
        <is>
          <t>Group Benefits</t>
        </is>
      </c>
      <c r="F179" s="36" t="n"/>
      <c r="G179" s="36" t="inlineStr">
        <is>
          <t>Yukon</t>
        </is>
      </c>
      <c r="H179" s="36" t="n"/>
      <c r="I179" s="36" t="inlineStr">
        <is>
          <t>Yes</t>
        </is>
      </c>
      <c r="J179" s="25" t="inlineStr">
        <is>
          <t>Group Benefits in Yukon: Costs, Rules &amp; Quotes (2026)</t>
        </is>
      </c>
      <c r="K179" s="36">
        <f>LEN(J179)</f>
        <v/>
      </c>
      <c r="L179" s="25" t="inlineStr">
        <is>
          <t>Group Benefits in Yukon: how it works under the Yukon Superintendent, what drives price, instant estimates and a waitlist for licensed advice in Yukon.</t>
        </is>
      </c>
      <c r="M179" s="36">
        <f>LEN(L179)</f>
        <v/>
      </c>
      <c r="N179" s="25" t="inlineStr">
        <is>
          <t>Group Benefits in Yukon</t>
        </is>
      </c>
      <c r="O179" s="36" t="n"/>
      <c r="P179" s="37" t="n"/>
      <c r="Q179" s="36" t="n"/>
      <c r="R179" s="36" t="inlineStr">
        <is>
          <t>group benefits yukon</t>
        </is>
      </c>
      <c r="S179" s="36">
        <f>COUNTIF('Page-Keyword Map'!$A$2:$A$675,B179)</f>
        <v/>
      </c>
      <c r="T179" s="37">
        <f>SUMIF('Page-Keyword Map'!$A$2:$A$675,B179,'Page-Keyword Map'!$H$2:$H$675)</f>
        <v/>
      </c>
      <c r="U179" s="36">
        <f>COUNTIFS('Page-Keyword Map'!$A$2:$A$675,B179,'Page-Keyword Map'!$E$2:$E$675,"Nationwide")</f>
        <v/>
      </c>
      <c r="V179" s="36">
        <f>COUNTIFS('Page-Keyword Map'!$A$2:$A$675,B179,'Page-Keyword Map'!$E$2:$E$675,"Provincial")</f>
        <v/>
      </c>
      <c r="W179" s="36">
        <f>COUNTIFS('Page-Keyword Map'!$A$2:$A$675,B179,'Page-Keyword Map'!$E$2:$E$675,"City")</f>
        <v/>
      </c>
      <c r="X179" s="36">
        <f>IF(O179="","",IF(ISNUMBER(SEARCH(O179,J179)),"Yes","No"))</f>
        <v/>
      </c>
      <c r="Y179" s="36" t="n">
        <v>0.7</v>
      </c>
      <c r="Z179" s="36" t="inlineStr">
        <is>
          <t>sitemap-provinces.xml</t>
        </is>
      </c>
      <c r="AA179" s="36" t="inlineStr">
        <is>
          <t>Live – indexable</t>
        </is>
      </c>
      <c r="AB179" s="38" t="n"/>
      <c r="AC179" s="38" t="n"/>
    </row>
    <row r="180" ht="23.85" customHeight="1" s="22">
      <c r="A180" s="36" t="inlineStr">
        <is>
          <t>P0179</t>
        </is>
      </c>
      <c r="B180" s="36" t="inlineStr">
        <is>
          <t>https://instasure.ca/health-dental-insurance/alberta/</t>
        </is>
      </c>
      <c r="C180" s="36" t="inlineStr">
        <is>
          <t>Product × province</t>
        </is>
      </c>
      <c r="D180" s="36" t="inlineStr">
        <is>
          <t>Health &amp; dental insurance</t>
        </is>
      </c>
      <c r="E180" s="36" t="inlineStr">
        <is>
          <t>Health &amp; Dental Insurance</t>
        </is>
      </c>
      <c r="F180" s="36" t="n"/>
      <c r="G180" s="36" t="inlineStr">
        <is>
          <t>Alberta</t>
        </is>
      </c>
      <c r="H180" s="36" t="n"/>
      <c r="I180" s="36" t="inlineStr">
        <is>
          <t>Yes</t>
        </is>
      </c>
      <c r="J180" s="25" t="inlineStr">
        <is>
          <t>Health &amp; Dental Insurance in Alberta: Costs, Rules &amp; Quotes (2026)</t>
        </is>
      </c>
      <c r="K180" s="36">
        <f>LEN(J180)</f>
        <v/>
      </c>
      <c r="L180" s="25" t="inlineStr">
        <is>
          <t>Health &amp; Dental Insurance in Alberta: how it works under the Superintendent of Insurance, what drives price, instant estimates and advisors licensed in Alberta.</t>
        </is>
      </c>
      <c r="M180" s="36">
        <f>LEN(L180)</f>
        <v/>
      </c>
      <c r="N180" s="25" t="inlineStr">
        <is>
          <t>Health &amp; Dental Insurance in Alberta</t>
        </is>
      </c>
      <c r="O180" s="36" t="inlineStr">
        <is>
          <t>health insurance alberta</t>
        </is>
      </c>
      <c r="P180" s="37" t="n">
        <v>410</v>
      </c>
      <c r="Q180" s="36" t="inlineStr">
        <is>
          <t>Provincial</t>
        </is>
      </c>
      <c r="R180" s="36" t="n"/>
      <c r="S180" s="36">
        <f>COUNTIF('Page-Keyword Map'!$A$2:$A$675,B180)</f>
        <v/>
      </c>
      <c r="T180" s="37">
        <f>SUMIF('Page-Keyword Map'!$A$2:$A$675,B180,'Page-Keyword Map'!$H$2:$H$675)</f>
        <v/>
      </c>
      <c r="U180" s="36">
        <f>COUNTIFS('Page-Keyword Map'!$A$2:$A$675,B180,'Page-Keyword Map'!$E$2:$E$675,"Nationwide")</f>
        <v/>
      </c>
      <c r="V180" s="36">
        <f>COUNTIFS('Page-Keyword Map'!$A$2:$A$675,B180,'Page-Keyword Map'!$E$2:$E$675,"Provincial")</f>
        <v/>
      </c>
      <c r="W180" s="36">
        <f>COUNTIFS('Page-Keyword Map'!$A$2:$A$675,B180,'Page-Keyword Map'!$E$2:$E$675,"City")</f>
        <v/>
      </c>
      <c r="X180" s="36">
        <f>IF(O180="","",IF(ISNUMBER(SEARCH(O180,J180)),"Yes","No"))</f>
        <v/>
      </c>
      <c r="Y180" s="36" t="n">
        <v>0.7</v>
      </c>
      <c r="Z180" s="36" t="inlineStr">
        <is>
          <t>sitemap-provinces.xml</t>
        </is>
      </c>
      <c r="AA180" s="36" t="inlineStr">
        <is>
          <t>Live – indexable</t>
        </is>
      </c>
      <c r="AB180" s="38" t="n"/>
      <c r="AC180" s="38" t="n"/>
    </row>
    <row r="181" ht="23.85" customHeight="1" s="22">
      <c r="A181" s="36" t="inlineStr">
        <is>
          <t>P0180</t>
        </is>
      </c>
      <c r="B181" s="36" t="inlineStr">
        <is>
          <t>https://instasure.ca/health-dental-insurance/british-columbia/</t>
        </is>
      </c>
      <c r="C181" s="36" t="inlineStr">
        <is>
          <t>Product × province</t>
        </is>
      </c>
      <c r="D181" s="36" t="inlineStr">
        <is>
          <t>Health &amp; dental insurance</t>
        </is>
      </c>
      <c r="E181" s="36" t="inlineStr">
        <is>
          <t>Health &amp; Dental Insurance</t>
        </is>
      </c>
      <c r="F181" s="36" t="n"/>
      <c r="G181" s="36" t="inlineStr">
        <is>
          <t>British Columbia</t>
        </is>
      </c>
      <c r="H181" s="36" t="n"/>
      <c r="I181" s="36" t="inlineStr">
        <is>
          <t>Yes</t>
        </is>
      </c>
      <c r="J181" s="25" t="inlineStr">
        <is>
          <t>Health &amp; Dental Insurance in British Columbia: Costs, Rules &amp; Quotes (2026)</t>
        </is>
      </c>
      <c r="K181" s="36">
        <f>LEN(J181)</f>
        <v/>
      </c>
      <c r="L181" s="25" t="inlineStr">
        <is>
          <t>Health &amp; Dental Insurance in British Columbia: how it works under BCFSA, what drives price, instant estimates and advisors licensed in British Columbia.</t>
        </is>
      </c>
      <c r="M181" s="36">
        <f>LEN(L181)</f>
        <v/>
      </c>
      <c r="N181" s="25" t="inlineStr">
        <is>
          <t>Health &amp; Dental Insurance in British Columbia</t>
        </is>
      </c>
      <c r="O181" s="36" t="inlineStr">
        <is>
          <t>health insurance bc</t>
        </is>
      </c>
      <c r="P181" s="37" t="n">
        <v>470</v>
      </c>
      <c r="Q181" s="36" t="inlineStr">
        <is>
          <t>Provincial</t>
        </is>
      </c>
      <c r="R181" s="36" t="n"/>
      <c r="S181" s="36">
        <f>COUNTIF('Page-Keyword Map'!$A$2:$A$675,B181)</f>
        <v/>
      </c>
      <c r="T181" s="37">
        <f>SUMIF('Page-Keyword Map'!$A$2:$A$675,B181,'Page-Keyword Map'!$H$2:$H$675)</f>
        <v/>
      </c>
      <c r="U181" s="36">
        <f>COUNTIFS('Page-Keyword Map'!$A$2:$A$675,B181,'Page-Keyword Map'!$E$2:$E$675,"Nationwide")</f>
        <v/>
      </c>
      <c r="V181" s="36">
        <f>COUNTIFS('Page-Keyword Map'!$A$2:$A$675,B181,'Page-Keyword Map'!$E$2:$E$675,"Provincial")</f>
        <v/>
      </c>
      <c r="W181" s="36">
        <f>COUNTIFS('Page-Keyword Map'!$A$2:$A$675,B181,'Page-Keyword Map'!$E$2:$E$675,"City")</f>
        <v/>
      </c>
      <c r="X181" s="36">
        <f>IF(O181="","",IF(ISNUMBER(SEARCH(O181,J181)),"Yes","No"))</f>
        <v/>
      </c>
      <c r="Y181" s="36" t="n">
        <v>0.7</v>
      </c>
      <c r="Z181" s="36" t="inlineStr">
        <is>
          <t>sitemap-provinces.xml</t>
        </is>
      </c>
      <c r="AA181" s="36" t="inlineStr">
        <is>
          <t>Live – indexable</t>
        </is>
      </c>
      <c r="AB181" s="38" t="n"/>
      <c r="AC181" s="38" t="n"/>
    </row>
    <row r="182" ht="23.85" customHeight="1" s="22">
      <c r="A182" s="36" t="inlineStr">
        <is>
          <t>P0181</t>
        </is>
      </c>
      <c r="B182" s="36" t="inlineStr">
        <is>
          <t>https://instasure.ca/health-dental-insurance/manitoba/</t>
        </is>
      </c>
      <c r="C182" s="36" t="inlineStr">
        <is>
          <t>Product × province</t>
        </is>
      </c>
      <c r="D182" s="36" t="inlineStr">
        <is>
          <t>Health &amp; dental insurance</t>
        </is>
      </c>
      <c r="E182" s="36" t="inlineStr">
        <is>
          <t>Health &amp; Dental Insurance</t>
        </is>
      </c>
      <c r="F182" s="36" t="n"/>
      <c r="G182" s="36" t="inlineStr">
        <is>
          <t>Manitoba</t>
        </is>
      </c>
      <c r="H182" s="36" t="n"/>
      <c r="I182" s="36" t="inlineStr">
        <is>
          <t>Yes</t>
        </is>
      </c>
      <c r="J182" s="25" t="inlineStr">
        <is>
          <t>Health &amp; Dental Insurance in Manitoba: Costs, Rules &amp; Quotes (2026)</t>
        </is>
      </c>
      <c r="K182" s="36">
        <f>LEN(J182)</f>
        <v/>
      </c>
      <c r="L182" s="25" t="inlineStr">
        <is>
          <t>Health &amp; Dental Insurance in Manitoba: how it works under FIRB, what drives price, instant estimates and advisors licensed in Manitoba.</t>
        </is>
      </c>
      <c r="M182" s="36">
        <f>LEN(L182)</f>
        <v/>
      </c>
      <c r="N182" s="25" t="inlineStr">
        <is>
          <t>Health &amp; Dental Insurance in Manitoba</t>
        </is>
      </c>
      <c r="O182" s="36" t="inlineStr">
        <is>
          <t>health insurance manitoba</t>
        </is>
      </c>
      <c r="P182" s="37" t="n">
        <v>140</v>
      </c>
      <c r="Q182" s="36" t="inlineStr">
        <is>
          <t>Provincial</t>
        </is>
      </c>
      <c r="R182" s="36" t="n"/>
      <c r="S182" s="36">
        <f>COUNTIF('Page-Keyword Map'!$A$2:$A$675,B182)</f>
        <v/>
      </c>
      <c r="T182" s="37">
        <f>SUMIF('Page-Keyword Map'!$A$2:$A$675,B182,'Page-Keyword Map'!$H$2:$H$675)</f>
        <v/>
      </c>
      <c r="U182" s="36">
        <f>COUNTIFS('Page-Keyword Map'!$A$2:$A$675,B182,'Page-Keyword Map'!$E$2:$E$675,"Nationwide")</f>
        <v/>
      </c>
      <c r="V182" s="36">
        <f>COUNTIFS('Page-Keyword Map'!$A$2:$A$675,B182,'Page-Keyword Map'!$E$2:$E$675,"Provincial")</f>
        <v/>
      </c>
      <c r="W182" s="36">
        <f>COUNTIFS('Page-Keyword Map'!$A$2:$A$675,B182,'Page-Keyword Map'!$E$2:$E$675,"City")</f>
        <v/>
      </c>
      <c r="X182" s="36">
        <f>IF(O182="","",IF(ISNUMBER(SEARCH(O182,J182)),"Yes","No"))</f>
        <v/>
      </c>
      <c r="Y182" s="36" t="n">
        <v>0.7</v>
      </c>
      <c r="Z182" s="36" t="inlineStr">
        <is>
          <t>sitemap-provinces.xml</t>
        </is>
      </c>
      <c r="AA182" s="36" t="inlineStr">
        <is>
          <t>Live – indexable</t>
        </is>
      </c>
      <c r="AB182" s="38" t="n"/>
      <c r="AC182" s="38" t="n"/>
    </row>
    <row r="183" ht="23.85" customHeight="1" s="22">
      <c r="A183" s="36" t="inlineStr">
        <is>
          <t>P0182</t>
        </is>
      </c>
      <c r="B183" s="36" t="inlineStr">
        <is>
          <t>https://instasure.ca/health-dental-insurance/new-brunswick/</t>
        </is>
      </c>
      <c r="C183" s="36" t="inlineStr">
        <is>
          <t>Product × province</t>
        </is>
      </c>
      <c r="D183" s="36" t="inlineStr">
        <is>
          <t>Health &amp; dental insurance</t>
        </is>
      </c>
      <c r="E183" s="36" t="inlineStr">
        <is>
          <t>Health &amp; Dental Insurance</t>
        </is>
      </c>
      <c r="F183" s="36" t="n"/>
      <c r="G183" s="36" t="inlineStr">
        <is>
          <t>New Brunswick</t>
        </is>
      </c>
      <c r="H183" s="36" t="n"/>
      <c r="I183" s="36" t="inlineStr">
        <is>
          <t>Yes</t>
        </is>
      </c>
      <c r="J183" s="25" t="inlineStr">
        <is>
          <t>Health &amp; Dental Insurance in New Brunswick: Costs, Rules &amp; Quotes (2026)</t>
        </is>
      </c>
      <c r="K183" s="36">
        <f>LEN(J183)</f>
        <v/>
      </c>
      <c r="L183" s="25" t="inlineStr">
        <is>
          <t>Health &amp; Dental Insurance in New Brunswick: how it works under FCNB, what drives price, instant estimates and advisors licensed in New Brunswick.</t>
        </is>
      </c>
      <c r="M183" s="36">
        <f>LEN(L183)</f>
        <v/>
      </c>
      <c r="N183" s="25" t="inlineStr">
        <is>
          <t>Health &amp; Dental Insurance in New Brunswick</t>
        </is>
      </c>
      <c r="O183" s="36" t="inlineStr">
        <is>
          <t>health insurance new brunswick</t>
        </is>
      </c>
      <c r="P183" s="37" t="n">
        <v>88</v>
      </c>
      <c r="Q183" s="36" t="inlineStr">
        <is>
          <t>Provincial</t>
        </is>
      </c>
      <c r="R183" s="36" t="n"/>
      <c r="S183" s="36">
        <f>COUNTIF('Page-Keyword Map'!$A$2:$A$675,B183)</f>
        <v/>
      </c>
      <c r="T183" s="37">
        <f>SUMIF('Page-Keyword Map'!$A$2:$A$675,B183,'Page-Keyword Map'!$H$2:$H$675)</f>
        <v/>
      </c>
      <c r="U183" s="36">
        <f>COUNTIFS('Page-Keyword Map'!$A$2:$A$675,B183,'Page-Keyword Map'!$E$2:$E$675,"Nationwide")</f>
        <v/>
      </c>
      <c r="V183" s="36">
        <f>COUNTIFS('Page-Keyword Map'!$A$2:$A$675,B183,'Page-Keyword Map'!$E$2:$E$675,"Provincial")</f>
        <v/>
      </c>
      <c r="W183" s="36">
        <f>COUNTIFS('Page-Keyword Map'!$A$2:$A$675,B183,'Page-Keyword Map'!$E$2:$E$675,"City")</f>
        <v/>
      </c>
      <c r="X183" s="36">
        <f>IF(O183="","",IF(ISNUMBER(SEARCH(O183,J183)),"Yes","No"))</f>
        <v/>
      </c>
      <c r="Y183" s="36" t="n">
        <v>0.7</v>
      </c>
      <c r="Z183" s="36" t="inlineStr">
        <is>
          <t>sitemap-provinces.xml</t>
        </is>
      </c>
      <c r="AA183" s="36" t="inlineStr">
        <is>
          <t>Live – indexable</t>
        </is>
      </c>
      <c r="AB183" s="38" t="n"/>
      <c r="AC183" s="38" t="n"/>
    </row>
    <row r="184" ht="23.85" customHeight="1" s="22">
      <c r="A184" s="36" t="inlineStr">
        <is>
          <t>P0183</t>
        </is>
      </c>
      <c r="B184" s="36" t="inlineStr">
        <is>
          <t>https://instasure.ca/health-dental-insurance/newfoundland-and-labrador/</t>
        </is>
      </c>
      <c r="C184" s="36" t="inlineStr">
        <is>
          <t>Product × province</t>
        </is>
      </c>
      <c r="D184" s="36" t="inlineStr">
        <is>
          <t>Health &amp; dental insurance</t>
        </is>
      </c>
      <c r="E184" s="36" t="inlineStr">
        <is>
          <t>Health &amp; Dental Insurance</t>
        </is>
      </c>
      <c r="F184" s="36" t="n"/>
      <c r="G184" s="36" t="inlineStr">
        <is>
          <t>Newfoundland and Labrador</t>
        </is>
      </c>
      <c r="H184" s="36" t="n"/>
      <c r="I184" s="36" t="inlineStr">
        <is>
          <t>Yes</t>
        </is>
      </c>
      <c r="J184" s="25" t="inlineStr">
        <is>
          <t>Health &amp; Dental Insurance in Newfoundland and Labrador: Costs, Rules &amp; Quotes (2026)</t>
        </is>
      </c>
      <c r="K184" s="36">
        <f>LEN(J184)</f>
        <v/>
      </c>
      <c r="L184" s="25" t="inlineStr">
        <is>
          <t>Health &amp; Dental Insurance in Newfoundland and Labrador: how it works under Service NL, what drives price, instant estimates and advisors licensed in Newfoundland…</t>
        </is>
      </c>
      <c r="M184" s="36">
        <f>LEN(L184)</f>
        <v/>
      </c>
      <c r="N184" s="25" t="inlineStr">
        <is>
          <t>Health &amp; Dental Insurance in Newfoundland and Labrador</t>
        </is>
      </c>
      <c r="O184" s="36" t="inlineStr">
        <is>
          <t>health insurance newfoundland</t>
        </is>
      </c>
      <c r="P184" s="37" t="n">
        <v>60</v>
      </c>
      <c r="Q184" s="36" t="inlineStr">
        <is>
          <t>Provincial</t>
        </is>
      </c>
      <c r="R184" s="36" t="n"/>
      <c r="S184" s="36">
        <f>COUNTIF('Page-Keyword Map'!$A$2:$A$675,B184)</f>
        <v/>
      </c>
      <c r="T184" s="37">
        <f>SUMIF('Page-Keyword Map'!$A$2:$A$675,B184,'Page-Keyword Map'!$H$2:$H$675)</f>
        <v/>
      </c>
      <c r="U184" s="36">
        <f>COUNTIFS('Page-Keyword Map'!$A$2:$A$675,B184,'Page-Keyword Map'!$E$2:$E$675,"Nationwide")</f>
        <v/>
      </c>
      <c r="V184" s="36">
        <f>COUNTIFS('Page-Keyword Map'!$A$2:$A$675,B184,'Page-Keyword Map'!$E$2:$E$675,"Provincial")</f>
        <v/>
      </c>
      <c r="W184" s="36">
        <f>COUNTIFS('Page-Keyword Map'!$A$2:$A$675,B184,'Page-Keyword Map'!$E$2:$E$675,"City")</f>
        <v/>
      </c>
      <c r="X184" s="36">
        <f>IF(O184="","",IF(ISNUMBER(SEARCH(O184,J184)),"Yes","No"))</f>
        <v/>
      </c>
      <c r="Y184" s="36" t="n">
        <v>0.7</v>
      </c>
      <c r="Z184" s="36" t="inlineStr">
        <is>
          <t>sitemap-provinces.xml</t>
        </is>
      </c>
      <c r="AA184" s="36" t="inlineStr">
        <is>
          <t>Live – indexable</t>
        </is>
      </c>
      <c r="AB184" s="38" t="n"/>
      <c r="AC184" s="38" t="n"/>
    </row>
    <row r="185" ht="23.85" customHeight="1" s="22">
      <c r="A185" s="36" t="inlineStr">
        <is>
          <t>P0184</t>
        </is>
      </c>
      <c r="B185" s="36" t="inlineStr">
        <is>
          <t>https://instasure.ca/health-dental-insurance/northwest-territories/</t>
        </is>
      </c>
      <c r="C185" s="36" t="inlineStr">
        <is>
          <t>Product × province</t>
        </is>
      </c>
      <c r="D185" s="36" t="inlineStr">
        <is>
          <t>Health &amp; dental insurance</t>
        </is>
      </c>
      <c r="E185" s="36" t="inlineStr">
        <is>
          <t>Health &amp; Dental Insurance</t>
        </is>
      </c>
      <c r="F185" s="36" t="n"/>
      <c r="G185" s="36" t="inlineStr">
        <is>
          <t>Northwest Territories</t>
        </is>
      </c>
      <c r="H185" s="36" t="n"/>
      <c r="I185" s="36" t="inlineStr">
        <is>
          <t>Yes</t>
        </is>
      </c>
      <c r="J185" s="25" t="inlineStr">
        <is>
          <t>Health &amp; Dental Insurance in Northwest Territories: Costs, Rules &amp; Quotes (2026)</t>
        </is>
      </c>
      <c r="K185" s="36">
        <f>LEN(J185)</f>
        <v/>
      </c>
      <c r="L185" s="25" t="inlineStr">
        <is>
          <t>Health &amp; Dental Insurance in Northwest Territories: how it works under the NWT Superintendent, what drives price, instant estimates and a waitlist for licensed…</t>
        </is>
      </c>
      <c r="M185" s="36">
        <f>LEN(L185)</f>
        <v/>
      </c>
      <c r="N185" s="25" t="inlineStr">
        <is>
          <t>Health &amp; Dental Insurance in Northwest Territories</t>
        </is>
      </c>
      <c r="O185" s="36" t="n"/>
      <c r="P185" s="37" t="n"/>
      <c r="Q185" s="36" t="n"/>
      <c r="R185" s="36" t="inlineStr">
        <is>
          <t>health &amp; dental insurance northwest territories</t>
        </is>
      </c>
      <c r="S185" s="36">
        <f>COUNTIF('Page-Keyword Map'!$A$2:$A$675,B185)</f>
        <v/>
      </c>
      <c r="T185" s="37">
        <f>SUMIF('Page-Keyword Map'!$A$2:$A$675,B185,'Page-Keyword Map'!$H$2:$H$675)</f>
        <v/>
      </c>
      <c r="U185" s="36">
        <f>COUNTIFS('Page-Keyword Map'!$A$2:$A$675,B185,'Page-Keyword Map'!$E$2:$E$675,"Nationwide")</f>
        <v/>
      </c>
      <c r="V185" s="36">
        <f>COUNTIFS('Page-Keyword Map'!$A$2:$A$675,B185,'Page-Keyword Map'!$E$2:$E$675,"Provincial")</f>
        <v/>
      </c>
      <c r="W185" s="36">
        <f>COUNTIFS('Page-Keyword Map'!$A$2:$A$675,B185,'Page-Keyword Map'!$E$2:$E$675,"City")</f>
        <v/>
      </c>
      <c r="X185" s="36">
        <f>IF(O185="","",IF(ISNUMBER(SEARCH(O185,J185)),"Yes","No"))</f>
        <v/>
      </c>
      <c r="Y185" s="36" t="n">
        <v>0.7</v>
      </c>
      <c r="Z185" s="36" t="inlineStr">
        <is>
          <t>sitemap-provinces.xml</t>
        </is>
      </c>
      <c r="AA185" s="36" t="inlineStr">
        <is>
          <t>Live – indexable</t>
        </is>
      </c>
      <c r="AB185" s="38" t="n"/>
      <c r="AC185" s="38" t="n"/>
    </row>
    <row r="186" ht="23.85" customHeight="1" s="22">
      <c r="A186" s="36" t="inlineStr">
        <is>
          <t>P0185</t>
        </is>
      </c>
      <c r="B186" s="36" t="inlineStr">
        <is>
          <t>https://instasure.ca/health-dental-insurance/nova-scotia/</t>
        </is>
      </c>
      <c r="C186" s="36" t="inlineStr">
        <is>
          <t>Product × province</t>
        </is>
      </c>
      <c r="D186" s="36" t="inlineStr">
        <is>
          <t>Health &amp; dental insurance</t>
        </is>
      </c>
      <c r="E186" s="36" t="inlineStr">
        <is>
          <t>Health &amp; Dental Insurance</t>
        </is>
      </c>
      <c r="F186" s="36" t="n"/>
      <c r="G186" s="36" t="inlineStr">
        <is>
          <t>Nova Scotia</t>
        </is>
      </c>
      <c r="H186" s="36" t="n"/>
      <c r="I186" s="36" t="inlineStr">
        <is>
          <t>Yes</t>
        </is>
      </c>
      <c r="J186" s="25" t="inlineStr">
        <is>
          <t>Health &amp; Dental Insurance in Nova Scotia: Costs, Rules &amp; Quotes (2026)</t>
        </is>
      </c>
      <c r="K186" s="36">
        <f>LEN(J186)</f>
        <v/>
      </c>
      <c r="L186" s="25" t="inlineStr">
        <is>
          <t>Health &amp; Dental Insurance in Nova Scotia: how it works under the NS Superintendent of Insurance, what drives price, instant estimates and advisors licensed in Nova…</t>
        </is>
      </c>
      <c r="M186" s="36">
        <f>LEN(L186)</f>
        <v/>
      </c>
      <c r="N186" s="25" t="inlineStr">
        <is>
          <t>Health &amp; Dental Insurance in Nova Scotia</t>
        </is>
      </c>
      <c r="O186" s="36" t="inlineStr">
        <is>
          <t>health insurance nova scotia</t>
        </is>
      </c>
      <c r="P186" s="37" t="n">
        <v>110</v>
      </c>
      <c r="Q186" s="36" t="inlineStr">
        <is>
          <t>Provincial</t>
        </is>
      </c>
      <c r="R186" s="36" t="n"/>
      <c r="S186" s="36">
        <f>COUNTIF('Page-Keyword Map'!$A$2:$A$675,B186)</f>
        <v/>
      </c>
      <c r="T186" s="37">
        <f>SUMIF('Page-Keyword Map'!$A$2:$A$675,B186,'Page-Keyword Map'!$H$2:$H$675)</f>
        <v/>
      </c>
      <c r="U186" s="36">
        <f>COUNTIFS('Page-Keyword Map'!$A$2:$A$675,B186,'Page-Keyword Map'!$E$2:$E$675,"Nationwide")</f>
        <v/>
      </c>
      <c r="V186" s="36">
        <f>COUNTIFS('Page-Keyword Map'!$A$2:$A$675,B186,'Page-Keyword Map'!$E$2:$E$675,"Provincial")</f>
        <v/>
      </c>
      <c r="W186" s="36">
        <f>COUNTIFS('Page-Keyword Map'!$A$2:$A$675,B186,'Page-Keyword Map'!$E$2:$E$675,"City")</f>
        <v/>
      </c>
      <c r="X186" s="36">
        <f>IF(O186="","",IF(ISNUMBER(SEARCH(O186,J186)),"Yes","No"))</f>
        <v/>
      </c>
      <c r="Y186" s="36" t="n">
        <v>0.7</v>
      </c>
      <c r="Z186" s="36" t="inlineStr">
        <is>
          <t>sitemap-provinces.xml</t>
        </is>
      </c>
      <c r="AA186" s="36" t="inlineStr">
        <is>
          <t>Live – indexable</t>
        </is>
      </c>
      <c r="AB186" s="38" t="n"/>
      <c r="AC186" s="38" t="n"/>
    </row>
    <row r="187" ht="23.85" customHeight="1" s="22">
      <c r="A187" s="36" t="inlineStr">
        <is>
          <t>P0186</t>
        </is>
      </c>
      <c r="B187" s="36" t="inlineStr">
        <is>
          <t>https://instasure.ca/health-dental-insurance/nunavut/</t>
        </is>
      </c>
      <c r="C187" s="36" t="inlineStr">
        <is>
          <t>Product × province</t>
        </is>
      </c>
      <c r="D187" s="36" t="inlineStr">
        <is>
          <t>Health &amp; dental insurance</t>
        </is>
      </c>
      <c r="E187" s="36" t="inlineStr">
        <is>
          <t>Health &amp; Dental Insurance</t>
        </is>
      </c>
      <c r="F187" s="36" t="n"/>
      <c r="G187" s="36" t="inlineStr">
        <is>
          <t>Nunavut</t>
        </is>
      </c>
      <c r="H187" s="36" t="n"/>
      <c r="I187" s="36" t="inlineStr">
        <is>
          <t>Yes</t>
        </is>
      </c>
      <c r="J187" s="25" t="inlineStr">
        <is>
          <t>Health &amp; Dental Insurance in Nunavut: Costs, Rules &amp; Quotes (2026)</t>
        </is>
      </c>
      <c r="K187" s="36">
        <f>LEN(J187)</f>
        <v/>
      </c>
      <c r="L187" s="25" t="inlineStr">
        <is>
          <t>Health &amp; Dental Insurance in Nunavut: how it works under the Nunavut Superintendent, what drives price, instant estimates and a waitlist for licensed advice in…</t>
        </is>
      </c>
      <c r="M187" s="36">
        <f>LEN(L187)</f>
        <v/>
      </c>
      <c r="N187" s="25" t="inlineStr">
        <is>
          <t>Health &amp; Dental Insurance in Nunavut</t>
        </is>
      </c>
      <c r="O187" s="36" t="n"/>
      <c r="P187" s="37" t="n"/>
      <c r="Q187" s="36" t="n"/>
      <c r="R187" s="36" t="inlineStr">
        <is>
          <t>health &amp; dental insurance nunavut</t>
        </is>
      </c>
      <c r="S187" s="36">
        <f>COUNTIF('Page-Keyword Map'!$A$2:$A$675,B187)</f>
        <v/>
      </c>
      <c r="T187" s="37">
        <f>SUMIF('Page-Keyword Map'!$A$2:$A$675,B187,'Page-Keyword Map'!$H$2:$H$675)</f>
        <v/>
      </c>
      <c r="U187" s="36">
        <f>COUNTIFS('Page-Keyword Map'!$A$2:$A$675,B187,'Page-Keyword Map'!$E$2:$E$675,"Nationwide")</f>
        <v/>
      </c>
      <c r="V187" s="36">
        <f>COUNTIFS('Page-Keyword Map'!$A$2:$A$675,B187,'Page-Keyword Map'!$E$2:$E$675,"Provincial")</f>
        <v/>
      </c>
      <c r="W187" s="36">
        <f>COUNTIFS('Page-Keyword Map'!$A$2:$A$675,B187,'Page-Keyword Map'!$E$2:$E$675,"City")</f>
        <v/>
      </c>
      <c r="X187" s="36">
        <f>IF(O187="","",IF(ISNUMBER(SEARCH(O187,J187)),"Yes","No"))</f>
        <v/>
      </c>
      <c r="Y187" s="36" t="n">
        <v>0.7</v>
      </c>
      <c r="Z187" s="36" t="inlineStr">
        <is>
          <t>sitemap-provinces.xml</t>
        </is>
      </c>
      <c r="AA187" s="36" t="inlineStr">
        <is>
          <t>Live – indexable</t>
        </is>
      </c>
      <c r="AB187" s="38" t="n"/>
      <c r="AC187" s="38" t="n"/>
    </row>
    <row r="188" ht="23.85" customHeight="1" s="22">
      <c r="A188" s="36" t="inlineStr">
        <is>
          <t>P0187</t>
        </is>
      </c>
      <c r="B188" s="36" t="inlineStr">
        <is>
          <t>https://instasure.ca/health-dental-insurance/ontario/</t>
        </is>
      </c>
      <c r="C188" s="36" t="inlineStr">
        <is>
          <t>Product × province</t>
        </is>
      </c>
      <c r="D188" s="36" t="inlineStr">
        <is>
          <t>Health &amp; dental insurance</t>
        </is>
      </c>
      <c r="E188" s="36" t="inlineStr">
        <is>
          <t>Health &amp; Dental Insurance</t>
        </is>
      </c>
      <c r="F188" s="36" t="n"/>
      <c r="G188" s="36" t="inlineStr">
        <is>
          <t>Ontario</t>
        </is>
      </c>
      <c r="H188" s="36" t="n"/>
      <c r="I188" s="36" t="inlineStr">
        <is>
          <t>Yes</t>
        </is>
      </c>
      <c r="J188" s="25" t="inlineStr">
        <is>
          <t>Health &amp; Dental Insurance in Ontario: Costs, Rules &amp; Quotes (2026)</t>
        </is>
      </c>
      <c r="K188" s="36">
        <f>LEN(J188)</f>
        <v/>
      </c>
      <c r="L188" s="25" t="inlineStr">
        <is>
          <t>Health &amp; Dental Insurance in Ontario: how it works under FSRA, what drives price, instant estimates and advisors licensed in Ontario.</t>
        </is>
      </c>
      <c r="M188" s="36">
        <f>LEN(L188)</f>
        <v/>
      </c>
      <c r="N188" s="25" t="inlineStr">
        <is>
          <t>Health &amp; Dental Insurance in Ontario</t>
        </is>
      </c>
      <c r="O188" s="36" t="inlineStr">
        <is>
          <t>health insurance ontario</t>
        </is>
      </c>
      <c r="P188" s="37" t="n">
        <v>1300</v>
      </c>
      <c r="Q188" s="36" t="inlineStr">
        <is>
          <t>Provincial</t>
        </is>
      </c>
      <c r="R188" s="36" t="n"/>
      <c r="S188" s="36">
        <f>COUNTIF('Page-Keyword Map'!$A$2:$A$675,B188)</f>
        <v/>
      </c>
      <c r="T188" s="37">
        <f>SUMIF('Page-Keyword Map'!$A$2:$A$675,B188,'Page-Keyword Map'!$H$2:$H$675)</f>
        <v/>
      </c>
      <c r="U188" s="36">
        <f>COUNTIFS('Page-Keyword Map'!$A$2:$A$675,B188,'Page-Keyword Map'!$E$2:$E$675,"Nationwide")</f>
        <v/>
      </c>
      <c r="V188" s="36">
        <f>COUNTIFS('Page-Keyword Map'!$A$2:$A$675,B188,'Page-Keyword Map'!$E$2:$E$675,"Provincial")</f>
        <v/>
      </c>
      <c r="W188" s="36">
        <f>COUNTIFS('Page-Keyword Map'!$A$2:$A$675,B188,'Page-Keyword Map'!$E$2:$E$675,"City")</f>
        <v/>
      </c>
      <c r="X188" s="36">
        <f>IF(O188="","",IF(ISNUMBER(SEARCH(O188,J188)),"Yes","No"))</f>
        <v/>
      </c>
      <c r="Y188" s="36" t="n">
        <v>0.7</v>
      </c>
      <c r="Z188" s="36" t="inlineStr">
        <is>
          <t>sitemap-provinces.xml</t>
        </is>
      </c>
      <c r="AA188" s="36" t="inlineStr">
        <is>
          <t>Live – indexable</t>
        </is>
      </c>
      <c r="AB188" s="38" t="n"/>
      <c r="AC188" s="38" t="n"/>
    </row>
    <row r="189" ht="23.85" customHeight="1" s="22">
      <c r="A189" s="36" t="inlineStr">
        <is>
          <t>P0188</t>
        </is>
      </c>
      <c r="B189" s="36" t="inlineStr">
        <is>
          <t>https://instasure.ca/health-dental-insurance/prince-edward-island/</t>
        </is>
      </c>
      <c r="C189" s="36" t="inlineStr">
        <is>
          <t>Product × province</t>
        </is>
      </c>
      <c r="D189" s="36" t="inlineStr">
        <is>
          <t>Health &amp; dental insurance</t>
        </is>
      </c>
      <c r="E189" s="36" t="inlineStr">
        <is>
          <t>Health &amp; Dental Insurance</t>
        </is>
      </c>
      <c r="F189" s="36" t="n"/>
      <c r="G189" s="36" t="inlineStr">
        <is>
          <t>Prince Edward Island</t>
        </is>
      </c>
      <c r="H189" s="36" t="n"/>
      <c r="I189" s="36" t="inlineStr">
        <is>
          <t>Yes</t>
        </is>
      </c>
      <c r="J189" s="25" t="inlineStr">
        <is>
          <t>Health &amp; Dental Insurance in Prince Edward Island: Costs, Rules &amp; Quotes (2026)</t>
        </is>
      </c>
      <c r="K189" s="36">
        <f>LEN(J189)</f>
        <v/>
      </c>
      <c r="L189" s="25" t="inlineStr">
        <is>
          <t>Health &amp; Dental Insurance in Prince Edward Island: how it works under the PEI Superintendent, what drives price, instant estimates and advisors licensed in Prince…</t>
        </is>
      </c>
      <c r="M189" s="36">
        <f>LEN(L189)</f>
        <v/>
      </c>
      <c r="N189" s="25" t="inlineStr">
        <is>
          <t>Health &amp; Dental Insurance in Prince Edward Island</t>
        </is>
      </c>
      <c r="O189" s="36" t="inlineStr">
        <is>
          <t>health insurance pei</t>
        </is>
      </c>
      <c r="P189" s="37" t="n">
        <v>20</v>
      </c>
      <c r="Q189" s="36" t="inlineStr">
        <is>
          <t>Provincial</t>
        </is>
      </c>
      <c r="R189" s="36" t="n"/>
      <c r="S189" s="36">
        <f>COUNTIF('Page-Keyword Map'!$A$2:$A$675,B189)</f>
        <v/>
      </c>
      <c r="T189" s="37">
        <f>SUMIF('Page-Keyword Map'!$A$2:$A$675,B189,'Page-Keyword Map'!$H$2:$H$675)</f>
        <v/>
      </c>
      <c r="U189" s="36">
        <f>COUNTIFS('Page-Keyword Map'!$A$2:$A$675,B189,'Page-Keyword Map'!$E$2:$E$675,"Nationwide")</f>
        <v/>
      </c>
      <c r="V189" s="36">
        <f>COUNTIFS('Page-Keyword Map'!$A$2:$A$675,B189,'Page-Keyword Map'!$E$2:$E$675,"Provincial")</f>
        <v/>
      </c>
      <c r="W189" s="36">
        <f>COUNTIFS('Page-Keyword Map'!$A$2:$A$675,B189,'Page-Keyword Map'!$E$2:$E$675,"City")</f>
        <v/>
      </c>
      <c r="X189" s="36">
        <f>IF(O189="","",IF(ISNUMBER(SEARCH(O189,J189)),"Yes","No"))</f>
        <v/>
      </c>
      <c r="Y189" s="36" t="n">
        <v>0.7</v>
      </c>
      <c r="Z189" s="36" t="inlineStr">
        <is>
          <t>sitemap-provinces.xml</t>
        </is>
      </c>
      <c r="AA189" s="36" t="inlineStr">
        <is>
          <t>Live – indexable</t>
        </is>
      </c>
      <c r="AB189" s="38" t="n"/>
      <c r="AC189" s="38" t="n"/>
    </row>
    <row r="190" ht="23.85" customHeight="1" s="22">
      <c r="A190" s="36" t="inlineStr">
        <is>
          <t>P0189</t>
        </is>
      </c>
      <c r="B190" s="36" t="inlineStr">
        <is>
          <t>https://instasure.ca/health-dental-insurance/quebec/</t>
        </is>
      </c>
      <c r="C190" s="36" t="inlineStr">
        <is>
          <t>Product × province</t>
        </is>
      </c>
      <c r="D190" s="36" t="inlineStr">
        <is>
          <t>Health &amp; dental insurance</t>
        </is>
      </c>
      <c r="E190" s="36" t="inlineStr">
        <is>
          <t>Health &amp; Dental Insurance</t>
        </is>
      </c>
      <c r="F190" s="36" t="n"/>
      <c r="G190" s="36" t="inlineStr">
        <is>
          <t>Quebec</t>
        </is>
      </c>
      <c r="H190" s="36" t="n"/>
      <c r="I190" s="36" t="inlineStr">
        <is>
          <t>Yes</t>
        </is>
      </c>
      <c r="J190" s="25" t="inlineStr">
        <is>
          <t>Health &amp; Dental Insurance in Quebec: Costs, Rules &amp; Quotes (2026)</t>
        </is>
      </c>
      <c r="K190" s="36">
        <f>LEN(J190)</f>
        <v/>
      </c>
      <c r="L190" s="25" t="inlineStr">
        <is>
          <t>Health &amp; Dental Insurance in Quebec: how it works under AMF, what drives price, instant estimates and a waitlist for licensed advice in Quebec.</t>
        </is>
      </c>
      <c r="M190" s="36">
        <f>LEN(L190)</f>
        <v/>
      </c>
      <c r="N190" s="25" t="inlineStr">
        <is>
          <t>Health &amp; Dental Insurance in Quebec</t>
        </is>
      </c>
      <c r="O190" s="36" t="inlineStr">
        <is>
          <t>health insurance quebec</t>
        </is>
      </c>
      <c r="P190" s="37" t="n">
        <v>240</v>
      </c>
      <c r="Q190" s="36" t="inlineStr">
        <is>
          <t>Provincial</t>
        </is>
      </c>
      <c r="R190" s="36" t="n"/>
      <c r="S190" s="36">
        <f>COUNTIF('Page-Keyword Map'!$A$2:$A$675,B190)</f>
        <v/>
      </c>
      <c r="T190" s="37">
        <f>SUMIF('Page-Keyword Map'!$A$2:$A$675,B190,'Page-Keyword Map'!$H$2:$H$675)</f>
        <v/>
      </c>
      <c r="U190" s="36">
        <f>COUNTIFS('Page-Keyword Map'!$A$2:$A$675,B190,'Page-Keyword Map'!$E$2:$E$675,"Nationwide")</f>
        <v/>
      </c>
      <c r="V190" s="36">
        <f>COUNTIFS('Page-Keyword Map'!$A$2:$A$675,B190,'Page-Keyword Map'!$E$2:$E$675,"Provincial")</f>
        <v/>
      </c>
      <c r="W190" s="36">
        <f>COUNTIFS('Page-Keyword Map'!$A$2:$A$675,B190,'Page-Keyword Map'!$E$2:$E$675,"City")</f>
        <v/>
      </c>
      <c r="X190" s="36">
        <f>IF(O190="","",IF(ISNUMBER(SEARCH(O190,J190)),"Yes","No"))</f>
        <v/>
      </c>
      <c r="Y190" s="36" t="n">
        <v>0.7</v>
      </c>
      <c r="Z190" s="36" t="inlineStr">
        <is>
          <t>sitemap-provinces.xml</t>
        </is>
      </c>
      <c r="AA190" s="36" t="inlineStr">
        <is>
          <t>Live – indexable</t>
        </is>
      </c>
      <c r="AB190" s="38" t="n"/>
      <c r="AC190" s="38" t="n"/>
    </row>
    <row r="191" ht="23.85" customHeight="1" s="22">
      <c r="A191" s="36" t="inlineStr">
        <is>
          <t>P0190</t>
        </is>
      </c>
      <c r="B191" s="36" t="inlineStr">
        <is>
          <t>https://instasure.ca/health-dental-insurance/saskatchewan/</t>
        </is>
      </c>
      <c r="C191" s="36" t="inlineStr">
        <is>
          <t>Product × province</t>
        </is>
      </c>
      <c r="D191" s="36" t="inlineStr">
        <is>
          <t>Health &amp; dental insurance</t>
        </is>
      </c>
      <c r="E191" s="36" t="inlineStr">
        <is>
          <t>Health &amp; Dental Insurance</t>
        </is>
      </c>
      <c r="F191" s="36" t="n"/>
      <c r="G191" s="36" t="inlineStr">
        <is>
          <t>Saskatchewan</t>
        </is>
      </c>
      <c r="H191" s="36" t="n"/>
      <c r="I191" s="36" t="inlineStr">
        <is>
          <t>Yes</t>
        </is>
      </c>
      <c r="J191" s="25" t="inlineStr">
        <is>
          <t>Health &amp; Dental Insurance in Saskatchewan: Costs, Rules &amp; Quotes (2026)</t>
        </is>
      </c>
      <c r="K191" s="36">
        <f>LEN(J191)</f>
        <v/>
      </c>
      <c r="L191" s="25" t="inlineStr">
        <is>
          <t>Health &amp; Dental Insurance in Saskatchewan: how it works under FCAA, what drives price, instant estimates and advisors licensed in Saskatchewan.</t>
        </is>
      </c>
      <c r="M191" s="36">
        <f>LEN(L191)</f>
        <v/>
      </c>
      <c r="N191" s="25" t="inlineStr">
        <is>
          <t>Health &amp; Dental Insurance in Saskatchewan</t>
        </is>
      </c>
      <c r="O191" s="36" t="inlineStr">
        <is>
          <t>health insurance saskatchewan</t>
        </is>
      </c>
      <c r="P191" s="37" t="n">
        <v>120</v>
      </c>
      <c r="Q191" s="36" t="inlineStr">
        <is>
          <t>Provincial</t>
        </is>
      </c>
      <c r="R191" s="36" t="n"/>
      <c r="S191" s="36">
        <f>COUNTIF('Page-Keyword Map'!$A$2:$A$675,B191)</f>
        <v/>
      </c>
      <c r="T191" s="37">
        <f>SUMIF('Page-Keyword Map'!$A$2:$A$675,B191,'Page-Keyword Map'!$H$2:$H$675)</f>
        <v/>
      </c>
      <c r="U191" s="36">
        <f>COUNTIFS('Page-Keyword Map'!$A$2:$A$675,B191,'Page-Keyword Map'!$E$2:$E$675,"Nationwide")</f>
        <v/>
      </c>
      <c r="V191" s="36">
        <f>COUNTIFS('Page-Keyword Map'!$A$2:$A$675,B191,'Page-Keyword Map'!$E$2:$E$675,"Provincial")</f>
        <v/>
      </c>
      <c r="W191" s="36">
        <f>COUNTIFS('Page-Keyword Map'!$A$2:$A$675,B191,'Page-Keyword Map'!$E$2:$E$675,"City")</f>
        <v/>
      </c>
      <c r="X191" s="36">
        <f>IF(O191="","",IF(ISNUMBER(SEARCH(O191,J191)),"Yes","No"))</f>
        <v/>
      </c>
      <c r="Y191" s="36" t="n">
        <v>0.7</v>
      </c>
      <c r="Z191" s="36" t="inlineStr">
        <is>
          <t>sitemap-provinces.xml</t>
        </is>
      </c>
      <c r="AA191" s="36" t="inlineStr">
        <is>
          <t>Live – indexable</t>
        </is>
      </c>
      <c r="AB191" s="38" t="n"/>
      <c r="AC191" s="38" t="n"/>
    </row>
    <row r="192" ht="23.85" customHeight="1" s="22">
      <c r="A192" s="36" t="inlineStr">
        <is>
          <t>P0191</t>
        </is>
      </c>
      <c r="B192" s="36" t="inlineStr">
        <is>
          <t>https://instasure.ca/health-dental-insurance/yukon/</t>
        </is>
      </c>
      <c r="C192" s="36" t="inlineStr">
        <is>
          <t>Product × province</t>
        </is>
      </c>
      <c r="D192" s="36" t="inlineStr">
        <is>
          <t>Health &amp; dental insurance</t>
        </is>
      </c>
      <c r="E192" s="36" t="inlineStr">
        <is>
          <t>Health &amp; Dental Insurance</t>
        </is>
      </c>
      <c r="F192" s="36" t="n"/>
      <c r="G192" s="36" t="inlineStr">
        <is>
          <t>Yukon</t>
        </is>
      </c>
      <c r="H192" s="36" t="n"/>
      <c r="I192" s="36" t="inlineStr">
        <is>
          <t>Yes</t>
        </is>
      </c>
      <c r="J192" s="25" t="inlineStr">
        <is>
          <t>Health &amp; Dental Insurance in Yukon: Costs, Rules &amp; Quotes (2026)</t>
        </is>
      </c>
      <c r="K192" s="36">
        <f>LEN(J192)</f>
        <v/>
      </c>
      <c r="L192" s="25" t="inlineStr">
        <is>
          <t>Health &amp; Dental Insurance in Yukon: how it works under the Yukon Superintendent, what drives price, instant estimates and a waitlist for licensed advice in Yukon.</t>
        </is>
      </c>
      <c r="M192" s="36">
        <f>LEN(L192)</f>
        <v/>
      </c>
      <c r="N192" s="25" t="inlineStr">
        <is>
          <t>Health &amp; Dental Insurance in Yukon</t>
        </is>
      </c>
      <c r="O192" s="36" t="n"/>
      <c r="P192" s="37" t="n"/>
      <c r="Q192" s="36" t="n"/>
      <c r="R192" s="36" t="inlineStr">
        <is>
          <t>health &amp; dental insurance yukon</t>
        </is>
      </c>
      <c r="S192" s="36">
        <f>COUNTIF('Page-Keyword Map'!$A$2:$A$675,B192)</f>
        <v/>
      </c>
      <c r="T192" s="37">
        <f>SUMIF('Page-Keyword Map'!$A$2:$A$675,B192,'Page-Keyword Map'!$H$2:$H$675)</f>
        <v/>
      </c>
      <c r="U192" s="36">
        <f>COUNTIFS('Page-Keyword Map'!$A$2:$A$675,B192,'Page-Keyword Map'!$E$2:$E$675,"Nationwide")</f>
        <v/>
      </c>
      <c r="V192" s="36">
        <f>COUNTIFS('Page-Keyword Map'!$A$2:$A$675,B192,'Page-Keyword Map'!$E$2:$E$675,"Provincial")</f>
        <v/>
      </c>
      <c r="W192" s="36">
        <f>COUNTIFS('Page-Keyword Map'!$A$2:$A$675,B192,'Page-Keyword Map'!$E$2:$E$675,"City")</f>
        <v/>
      </c>
      <c r="X192" s="36">
        <f>IF(O192="","",IF(ISNUMBER(SEARCH(O192,J192)),"Yes","No"))</f>
        <v/>
      </c>
      <c r="Y192" s="36" t="n">
        <v>0.7</v>
      </c>
      <c r="Z192" s="36" t="inlineStr">
        <is>
          <t>sitemap-provinces.xml</t>
        </is>
      </c>
      <c r="AA192" s="36" t="inlineStr">
        <is>
          <t>Live – indexable</t>
        </is>
      </c>
      <c r="AB192" s="38" t="n"/>
      <c r="AC192" s="38" t="n"/>
    </row>
    <row r="193" ht="23.85" customHeight="1" s="22">
      <c r="A193" s="36" t="inlineStr">
        <is>
          <t>P0192</t>
        </is>
      </c>
      <c r="B193" s="36" t="inlineStr">
        <is>
          <t>https://instasure.ca/home-insurance/alberta/</t>
        </is>
      </c>
      <c r="C193" s="36" t="inlineStr">
        <is>
          <t>Product × province</t>
        </is>
      </c>
      <c r="D193" s="36" t="inlineStr">
        <is>
          <t>Home insurance</t>
        </is>
      </c>
      <c r="E193" s="36" t="inlineStr">
        <is>
          <t>Home Insurance</t>
        </is>
      </c>
      <c r="F193" s="36" t="n"/>
      <c r="G193" s="36" t="inlineStr">
        <is>
          <t>Alberta</t>
        </is>
      </c>
      <c r="H193" s="36" t="n"/>
      <c r="I193" s="36" t="inlineStr">
        <is>
          <t>Yes</t>
        </is>
      </c>
      <c r="J193" s="25" t="inlineStr">
        <is>
          <t>Home Insurance in Alberta: Costs, Rules &amp; Quotes (2026)</t>
        </is>
      </c>
      <c r="K193" s="36">
        <f>LEN(J193)</f>
        <v/>
      </c>
      <c r="L193" s="25" t="inlineStr">
        <is>
          <t>Home Insurance in Alberta: how it works under the Superintendent of Insurance, what drives price, instant estimates and advisors licensed in Alberta.</t>
        </is>
      </c>
      <c r="M193" s="36">
        <f>LEN(L193)</f>
        <v/>
      </c>
      <c r="N193" s="25" t="inlineStr">
        <is>
          <t>Home Insurance in Alberta</t>
        </is>
      </c>
      <c r="O193" s="36" t="inlineStr">
        <is>
          <t>home insurance alberta</t>
        </is>
      </c>
      <c r="P193" s="37" t="n">
        <v>900</v>
      </c>
      <c r="Q193" s="36" t="inlineStr">
        <is>
          <t>Provincial</t>
        </is>
      </c>
      <c r="R193" s="36" t="n"/>
      <c r="S193" s="36">
        <f>COUNTIF('Page-Keyword Map'!$A$2:$A$675,B193)</f>
        <v/>
      </c>
      <c r="T193" s="37">
        <f>SUMIF('Page-Keyword Map'!$A$2:$A$675,B193,'Page-Keyword Map'!$H$2:$H$675)</f>
        <v/>
      </c>
      <c r="U193" s="36">
        <f>COUNTIFS('Page-Keyword Map'!$A$2:$A$675,B193,'Page-Keyword Map'!$E$2:$E$675,"Nationwide")</f>
        <v/>
      </c>
      <c r="V193" s="36">
        <f>COUNTIFS('Page-Keyword Map'!$A$2:$A$675,B193,'Page-Keyword Map'!$E$2:$E$675,"Provincial")</f>
        <v/>
      </c>
      <c r="W193" s="36">
        <f>COUNTIFS('Page-Keyword Map'!$A$2:$A$675,B193,'Page-Keyword Map'!$E$2:$E$675,"City")</f>
        <v/>
      </c>
      <c r="X193" s="36">
        <f>IF(O193="","",IF(ISNUMBER(SEARCH(O193,J193)),"Yes","No"))</f>
        <v/>
      </c>
      <c r="Y193" s="36" t="n">
        <v>0.7</v>
      </c>
      <c r="Z193" s="36" t="inlineStr">
        <is>
          <t>sitemap-provinces.xml</t>
        </is>
      </c>
      <c r="AA193" s="36" t="inlineStr">
        <is>
          <t>Live – indexable</t>
        </is>
      </c>
      <c r="AB193" s="38" t="n"/>
      <c r="AC193" s="38" t="n"/>
    </row>
    <row r="194" ht="23.85" customHeight="1" s="22">
      <c r="A194" s="36" t="inlineStr">
        <is>
          <t>P0193</t>
        </is>
      </c>
      <c r="B194" s="36" t="inlineStr">
        <is>
          <t>https://instasure.ca/home-insurance/british-columbia/</t>
        </is>
      </c>
      <c r="C194" s="36" t="inlineStr">
        <is>
          <t>Product × province</t>
        </is>
      </c>
      <c r="D194" s="36" t="inlineStr">
        <is>
          <t>Home insurance</t>
        </is>
      </c>
      <c r="E194" s="36" t="inlineStr">
        <is>
          <t>Home Insurance</t>
        </is>
      </c>
      <c r="F194" s="36" t="n"/>
      <c r="G194" s="36" t="inlineStr">
        <is>
          <t>British Columbia</t>
        </is>
      </c>
      <c r="H194" s="36" t="n"/>
      <c r="I194" s="36" t="inlineStr">
        <is>
          <t>Yes</t>
        </is>
      </c>
      <c r="J194" s="25" t="inlineStr">
        <is>
          <t>Home Insurance in British Columbia: Costs, Rules &amp; Quotes (2026)</t>
        </is>
      </c>
      <c r="K194" s="36">
        <f>LEN(J194)</f>
        <v/>
      </c>
      <c r="L194" s="25" t="inlineStr">
        <is>
          <t>Home Insurance in British Columbia: how it works under BCFSA, what drives price, instant estimates and advisors licensed in British Columbia.</t>
        </is>
      </c>
      <c r="M194" s="36">
        <f>LEN(L194)</f>
        <v/>
      </c>
      <c r="N194" s="25" t="inlineStr">
        <is>
          <t>Home Insurance in British Columbia</t>
        </is>
      </c>
      <c r="O194" s="36" t="inlineStr">
        <is>
          <t>home insurance bc</t>
        </is>
      </c>
      <c r="P194" s="37" t="n">
        <v>1000</v>
      </c>
      <c r="Q194" s="36" t="inlineStr">
        <is>
          <t>Provincial</t>
        </is>
      </c>
      <c r="R194" s="36" t="n"/>
      <c r="S194" s="36">
        <f>COUNTIF('Page-Keyword Map'!$A$2:$A$675,B194)</f>
        <v/>
      </c>
      <c r="T194" s="37">
        <f>SUMIF('Page-Keyword Map'!$A$2:$A$675,B194,'Page-Keyword Map'!$H$2:$H$675)</f>
        <v/>
      </c>
      <c r="U194" s="36">
        <f>COUNTIFS('Page-Keyword Map'!$A$2:$A$675,B194,'Page-Keyword Map'!$E$2:$E$675,"Nationwide")</f>
        <v/>
      </c>
      <c r="V194" s="36">
        <f>COUNTIFS('Page-Keyword Map'!$A$2:$A$675,B194,'Page-Keyword Map'!$E$2:$E$675,"Provincial")</f>
        <v/>
      </c>
      <c r="W194" s="36">
        <f>COUNTIFS('Page-Keyword Map'!$A$2:$A$675,B194,'Page-Keyword Map'!$E$2:$E$675,"City")</f>
        <v/>
      </c>
      <c r="X194" s="36">
        <f>IF(O194="","",IF(ISNUMBER(SEARCH(O194,J194)),"Yes","No"))</f>
        <v/>
      </c>
      <c r="Y194" s="36" t="n">
        <v>0.7</v>
      </c>
      <c r="Z194" s="36" t="inlineStr">
        <is>
          <t>sitemap-provinces.xml</t>
        </is>
      </c>
      <c r="AA194" s="36" t="inlineStr">
        <is>
          <t>Live – indexable</t>
        </is>
      </c>
      <c r="AB194" s="38" t="n"/>
      <c r="AC194" s="38" t="n"/>
    </row>
    <row r="195" ht="23.85" customHeight="1" s="22">
      <c r="A195" s="36" t="inlineStr">
        <is>
          <t>P0194</t>
        </is>
      </c>
      <c r="B195" s="36" t="inlineStr">
        <is>
          <t>https://instasure.ca/home-insurance/manitoba/</t>
        </is>
      </c>
      <c r="C195" s="36" t="inlineStr">
        <is>
          <t>Product × province</t>
        </is>
      </c>
      <c r="D195" s="36" t="inlineStr">
        <is>
          <t>Home insurance</t>
        </is>
      </c>
      <c r="E195" s="36" t="inlineStr">
        <is>
          <t>Home Insurance</t>
        </is>
      </c>
      <c r="F195" s="36" t="n"/>
      <c r="G195" s="36" t="inlineStr">
        <is>
          <t>Manitoba</t>
        </is>
      </c>
      <c r="H195" s="36" t="n"/>
      <c r="I195" s="36" t="inlineStr">
        <is>
          <t>Yes</t>
        </is>
      </c>
      <c r="J195" s="25" t="inlineStr">
        <is>
          <t>Home Insurance in Manitoba: Costs, Rules &amp; Quotes (2026)</t>
        </is>
      </c>
      <c r="K195" s="36">
        <f>LEN(J195)</f>
        <v/>
      </c>
      <c r="L195" s="25" t="inlineStr">
        <is>
          <t>Home Insurance in Manitoba: how it works under FIRB, what drives price, instant estimates and advisors licensed in Manitoba.</t>
        </is>
      </c>
      <c r="M195" s="36">
        <f>LEN(L195)</f>
        <v/>
      </c>
      <c r="N195" s="25" t="inlineStr">
        <is>
          <t>Home Insurance in Manitoba</t>
        </is>
      </c>
      <c r="O195" s="36" t="inlineStr">
        <is>
          <t>home insurance manitoba</t>
        </is>
      </c>
      <c r="P195" s="37" t="n">
        <v>320</v>
      </c>
      <c r="Q195" s="36" t="inlineStr">
        <is>
          <t>Provincial</t>
        </is>
      </c>
      <c r="R195" s="36" t="n"/>
      <c r="S195" s="36">
        <f>COUNTIF('Page-Keyword Map'!$A$2:$A$675,B195)</f>
        <v/>
      </c>
      <c r="T195" s="37">
        <f>SUMIF('Page-Keyword Map'!$A$2:$A$675,B195,'Page-Keyword Map'!$H$2:$H$675)</f>
        <v/>
      </c>
      <c r="U195" s="36">
        <f>COUNTIFS('Page-Keyword Map'!$A$2:$A$675,B195,'Page-Keyword Map'!$E$2:$E$675,"Nationwide")</f>
        <v/>
      </c>
      <c r="V195" s="36">
        <f>COUNTIFS('Page-Keyword Map'!$A$2:$A$675,B195,'Page-Keyword Map'!$E$2:$E$675,"Provincial")</f>
        <v/>
      </c>
      <c r="W195" s="36">
        <f>COUNTIFS('Page-Keyword Map'!$A$2:$A$675,B195,'Page-Keyword Map'!$E$2:$E$675,"City")</f>
        <v/>
      </c>
      <c r="X195" s="36">
        <f>IF(O195="","",IF(ISNUMBER(SEARCH(O195,J195)),"Yes","No"))</f>
        <v/>
      </c>
      <c r="Y195" s="36" t="n">
        <v>0.7</v>
      </c>
      <c r="Z195" s="36" t="inlineStr">
        <is>
          <t>sitemap-provinces.xml</t>
        </is>
      </c>
      <c r="AA195" s="36" t="inlineStr">
        <is>
          <t>Live – indexable</t>
        </is>
      </c>
      <c r="AB195" s="38" t="n"/>
      <c r="AC195" s="38" t="n"/>
    </row>
    <row r="196" ht="23.85" customHeight="1" s="22">
      <c r="A196" s="36" t="inlineStr">
        <is>
          <t>P0195</t>
        </is>
      </c>
      <c r="B196" s="36" t="inlineStr">
        <is>
          <t>https://instasure.ca/home-insurance/new-brunswick/</t>
        </is>
      </c>
      <c r="C196" s="36" t="inlineStr">
        <is>
          <t>Product × province</t>
        </is>
      </c>
      <c r="D196" s="36" t="inlineStr">
        <is>
          <t>Home insurance</t>
        </is>
      </c>
      <c r="E196" s="36" t="inlineStr">
        <is>
          <t>Home Insurance</t>
        </is>
      </c>
      <c r="F196" s="36" t="n"/>
      <c r="G196" s="36" t="inlineStr">
        <is>
          <t>New Brunswick</t>
        </is>
      </c>
      <c r="H196" s="36" t="n"/>
      <c r="I196" s="36" t="inlineStr">
        <is>
          <t>Yes</t>
        </is>
      </c>
      <c r="J196" s="25" t="inlineStr">
        <is>
          <t>Home Insurance in New Brunswick: Costs, Rules &amp; Quotes (2026)</t>
        </is>
      </c>
      <c r="K196" s="36">
        <f>LEN(J196)</f>
        <v/>
      </c>
      <c r="L196" s="25" t="inlineStr">
        <is>
          <t>Home Insurance in New Brunswick: how it works under FCNB, what drives price, instant estimates and advisors licensed in New Brunswick.</t>
        </is>
      </c>
      <c r="M196" s="36">
        <f>LEN(L196)</f>
        <v/>
      </c>
      <c r="N196" s="25" t="inlineStr">
        <is>
          <t>Home Insurance in New Brunswick</t>
        </is>
      </c>
      <c r="O196" s="36" t="inlineStr">
        <is>
          <t>home insurance new brunswick</t>
        </is>
      </c>
      <c r="P196" s="37" t="n">
        <v>190</v>
      </c>
      <c r="Q196" s="36" t="inlineStr">
        <is>
          <t>Provincial</t>
        </is>
      </c>
      <c r="R196" s="36" t="n"/>
      <c r="S196" s="36">
        <f>COUNTIF('Page-Keyword Map'!$A$2:$A$675,B196)</f>
        <v/>
      </c>
      <c r="T196" s="37">
        <f>SUMIF('Page-Keyword Map'!$A$2:$A$675,B196,'Page-Keyword Map'!$H$2:$H$675)</f>
        <v/>
      </c>
      <c r="U196" s="36">
        <f>COUNTIFS('Page-Keyword Map'!$A$2:$A$675,B196,'Page-Keyword Map'!$E$2:$E$675,"Nationwide")</f>
        <v/>
      </c>
      <c r="V196" s="36">
        <f>COUNTIFS('Page-Keyword Map'!$A$2:$A$675,B196,'Page-Keyword Map'!$E$2:$E$675,"Provincial")</f>
        <v/>
      </c>
      <c r="W196" s="36">
        <f>COUNTIFS('Page-Keyword Map'!$A$2:$A$675,B196,'Page-Keyword Map'!$E$2:$E$675,"City")</f>
        <v/>
      </c>
      <c r="X196" s="36">
        <f>IF(O196="","",IF(ISNUMBER(SEARCH(O196,J196)),"Yes","No"))</f>
        <v/>
      </c>
      <c r="Y196" s="36" t="n">
        <v>0.7</v>
      </c>
      <c r="Z196" s="36" t="inlineStr">
        <is>
          <t>sitemap-provinces.xml</t>
        </is>
      </c>
      <c r="AA196" s="36" t="inlineStr">
        <is>
          <t>Live – indexable</t>
        </is>
      </c>
      <c r="AB196" s="38" t="n"/>
      <c r="AC196" s="38" t="n"/>
    </row>
    <row r="197" ht="23.85" customHeight="1" s="22">
      <c r="A197" s="36" t="inlineStr">
        <is>
          <t>P0196</t>
        </is>
      </c>
      <c r="B197" s="36" t="inlineStr">
        <is>
          <t>https://instasure.ca/home-insurance/newfoundland-and-labrador/</t>
        </is>
      </c>
      <c r="C197" s="36" t="inlineStr">
        <is>
          <t>Product × province</t>
        </is>
      </c>
      <c r="D197" s="36" t="inlineStr">
        <is>
          <t>Home insurance</t>
        </is>
      </c>
      <c r="E197" s="36" t="inlineStr">
        <is>
          <t>Home Insurance</t>
        </is>
      </c>
      <c r="F197" s="36" t="n"/>
      <c r="G197" s="36" t="inlineStr">
        <is>
          <t>Newfoundland and Labrador</t>
        </is>
      </c>
      <c r="H197" s="36" t="n"/>
      <c r="I197" s="36" t="inlineStr">
        <is>
          <t>Yes</t>
        </is>
      </c>
      <c r="J197" s="25" t="inlineStr">
        <is>
          <t>Home Insurance in Newfoundland and Labrador: Costs, Rules &amp; Quotes (2026)</t>
        </is>
      </c>
      <c r="K197" s="36">
        <f>LEN(J197)</f>
        <v/>
      </c>
      <c r="L197" s="25" t="inlineStr">
        <is>
          <t>Home Insurance in Newfoundland and Labrador: how it works under Service NL, what drives price, instant estimates and advisors licensed in Newfoundland and Labrador.</t>
        </is>
      </c>
      <c r="M197" s="36">
        <f>LEN(L197)</f>
        <v/>
      </c>
      <c r="N197" s="25" t="inlineStr">
        <is>
          <t>Home Insurance in Newfoundland and Labrador</t>
        </is>
      </c>
      <c r="O197" s="36" t="inlineStr">
        <is>
          <t>home insurance newfoundland</t>
        </is>
      </c>
      <c r="P197" s="37" t="n">
        <v>130</v>
      </c>
      <c r="Q197" s="36" t="inlineStr">
        <is>
          <t>Provincial</t>
        </is>
      </c>
      <c r="R197" s="36" t="n"/>
      <c r="S197" s="36">
        <f>COUNTIF('Page-Keyword Map'!$A$2:$A$675,B197)</f>
        <v/>
      </c>
      <c r="T197" s="37">
        <f>SUMIF('Page-Keyword Map'!$A$2:$A$675,B197,'Page-Keyword Map'!$H$2:$H$675)</f>
        <v/>
      </c>
      <c r="U197" s="36">
        <f>COUNTIFS('Page-Keyword Map'!$A$2:$A$675,B197,'Page-Keyword Map'!$E$2:$E$675,"Nationwide")</f>
        <v/>
      </c>
      <c r="V197" s="36">
        <f>COUNTIFS('Page-Keyword Map'!$A$2:$A$675,B197,'Page-Keyword Map'!$E$2:$E$675,"Provincial")</f>
        <v/>
      </c>
      <c r="W197" s="36">
        <f>COUNTIFS('Page-Keyword Map'!$A$2:$A$675,B197,'Page-Keyword Map'!$E$2:$E$675,"City")</f>
        <v/>
      </c>
      <c r="X197" s="36">
        <f>IF(O197="","",IF(ISNUMBER(SEARCH(O197,J197)),"Yes","No"))</f>
        <v/>
      </c>
      <c r="Y197" s="36" t="n">
        <v>0.7</v>
      </c>
      <c r="Z197" s="36" t="inlineStr">
        <is>
          <t>sitemap-provinces.xml</t>
        </is>
      </c>
      <c r="AA197" s="36" t="inlineStr">
        <is>
          <t>Live – indexable</t>
        </is>
      </c>
      <c r="AB197" s="38" t="n"/>
      <c r="AC197" s="38" t="n"/>
    </row>
    <row r="198" ht="23.85" customHeight="1" s="22">
      <c r="A198" s="36" t="inlineStr">
        <is>
          <t>P0197</t>
        </is>
      </c>
      <c r="B198" s="36" t="inlineStr">
        <is>
          <t>https://instasure.ca/home-insurance/northwest-territories/</t>
        </is>
      </c>
      <c r="C198" s="36" t="inlineStr">
        <is>
          <t>Product × province</t>
        </is>
      </c>
      <c r="D198" s="36" t="inlineStr">
        <is>
          <t>Home insurance</t>
        </is>
      </c>
      <c r="E198" s="36" t="inlineStr">
        <is>
          <t>Home Insurance</t>
        </is>
      </c>
      <c r="F198" s="36" t="n"/>
      <c r="G198" s="36" t="inlineStr">
        <is>
          <t>Northwest Territories</t>
        </is>
      </c>
      <c r="H198" s="36" t="n"/>
      <c r="I198" s="36" t="inlineStr">
        <is>
          <t>Yes</t>
        </is>
      </c>
      <c r="J198" s="25" t="inlineStr">
        <is>
          <t>Home Insurance in Northwest Territories: Costs, Rules &amp; Quotes (2026)</t>
        </is>
      </c>
      <c r="K198" s="36">
        <f>LEN(J198)</f>
        <v/>
      </c>
      <c r="L198" s="25" t="inlineStr">
        <is>
          <t>Home Insurance in Northwest Territories: how it works under the NWT Superintendent, what drives price, instant estimates and a waitlist for licensed advice in…</t>
        </is>
      </c>
      <c r="M198" s="36">
        <f>LEN(L198)</f>
        <v/>
      </c>
      <c r="N198" s="25" t="inlineStr">
        <is>
          <t>Home Insurance in Northwest Territories</t>
        </is>
      </c>
      <c r="O198" s="36" t="n"/>
      <c r="P198" s="37" t="n"/>
      <c r="Q198" s="36" t="n"/>
      <c r="R198" s="36" t="inlineStr">
        <is>
          <t>home insurance northwest territories</t>
        </is>
      </c>
      <c r="S198" s="36">
        <f>COUNTIF('Page-Keyword Map'!$A$2:$A$675,B198)</f>
        <v/>
      </c>
      <c r="T198" s="37">
        <f>SUMIF('Page-Keyword Map'!$A$2:$A$675,B198,'Page-Keyword Map'!$H$2:$H$675)</f>
        <v/>
      </c>
      <c r="U198" s="36">
        <f>COUNTIFS('Page-Keyword Map'!$A$2:$A$675,B198,'Page-Keyword Map'!$E$2:$E$675,"Nationwide")</f>
        <v/>
      </c>
      <c r="V198" s="36">
        <f>COUNTIFS('Page-Keyword Map'!$A$2:$A$675,B198,'Page-Keyword Map'!$E$2:$E$675,"Provincial")</f>
        <v/>
      </c>
      <c r="W198" s="36">
        <f>COUNTIFS('Page-Keyword Map'!$A$2:$A$675,B198,'Page-Keyword Map'!$E$2:$E$675,"City")</f>
        <v/>
      </c>
      <c r="X198" s="36">
        <f>IF(O198="","",IF(ISNUMBER(SEARCH(O198,J198)),"Yes","No"))</f>
        <v/>
      </c>
      <c r="Y198" s="36" t="n">
        <v>0.7</v>
      </c>
      <c r="Z198" s="36" t="inlineStr">
        <is>
          <t>sitemap-provinces.xml</t>
        </is>
      </c>
      <c r="AA198" s="36" t="inlineStr">
        <is>
          <t>Live – indexable</t>
        </is>
      </c>
      <c r="AB198" s="38" t="n"/>
      <c r="AC198" s="38" t="n"/>
    </row>
    <row r="199" ht="23.85" customHeight="1" s="22">
      <c r="A199" s="36" t="inlineStr">
        <is>
          <t>P0198</t>
        </is>
      </c>
      <c r="B199" s="36" t="inlineStr">
        <is>
          <t>https://instasure.ca/home-insurance/nova-scotia/</t>
        </is>
      </c>
      <c r="C199" s="36" t="inlineStr">
        <is>
          <t>Product × province</t>
        </is>
      </c>
      <c r="D199" s="36" t="inlineStr">
        <is>
          <t>Home insurance</t>
        </is>
      </c>
      <c r="E199" s="36" t="inlineStr">
        <is>
          <t>Home Insurance</t>
        </is>
      </c>
      <c r="F199" s="36" t="n"/>
      <c r="G199" s="36" t="inlineStr">
        <is>
          <t>Nova Scotia</t>
        </is>
      </c>
      <c r="H199" s="36" t="n"/>
      <c r="I199" s="36" t="inlineStr">
        <is>
          <t>Yes</t>
        </is>
      </c>
      <c r="J199" s="25" t="inlineStr">
        <is>
          <t>Home Insurance in Nova Scotia: Costs, Rules &amp; Quotes (2026)</t>
        </is>
      </c>
      <c r="K199" s="36">
        <f>LEN(J199)</f>
        <v/>
      </c>
      <c r="L199" s="25" t="inlineStr">
        <is>
          <t>Home Insurance in Nova Scotia: how it works under the NS Superintendent of Insurance, what drives price, instant estimates and advisors licensed in Nova Scotia.</t>
        </is>
      </c>
      <c r="M199" s="36">
        <f>LEN(L199)</f>
        <v/>
      </c>
      <c r="N199" s="25" t="inlineStr">
        <is>
          <t>Home Insurance in Nova Scotia</t>
        </is>
      </c>
      <c r="O199" s="36" t="inlineStr">
        <is>
          <t>home insurance nova scotia</t>
        </is>
      </c>
      <c r="P199" s="37" t="n">
        <v>240</v>
      </c>
      <c r="Q199" s="36" t="inlineStr">
        <is>
          <t>Provincial</t>
        </is>
      </c>
      <c r="R199" s="36" t="n"/>
      <c r="S199" s="36">
        <f>COUNTIF('Page-Keyword Map'!$A$2:$A$675,B199)</f>
        <v/>
      </c>
      <c r="T199" s="37">
        <f>SUMIF('Page-Keyword Map'!$A$2:$A$675,B199,'Page-Keyword Map'!$H$2:$H$675)</f>
        <v/>
      </c>
      <c r="U199" s="36">
        <f>COUNTIFS('Page-Keyword Map'!$A$2:$A$675,B199,'Page-Keyword Map'!$E$2:$E$675,"Nationwide")</f>
        <v/>
      </c>
      <c r="V199" s="36">
        <f>COUNTIFS('Page-Keyword Map'!$A$2:$A$675,B199,'Page-Keyword Map'!$E$2:$E$675,"Provincial")</f>
        <v/>
      </c>
      <c r="W199" s="36">
        <f>COUNTIFS('Page-Keyword Map'!$A$2:$A$675,B199,'Page-Keyword Map'!$E$2:$E$675,"City")</f>
        <v/>
      </c>
      <c r="X199" s="36">
        <f>IF(O199="","",IF(ISNUMBER(SEARCH(O199,J199)),"Yes","No"))</f>
        <v/>
      </c>
      <c r="Y199" s="36" t="n">
        <v>0.7</v>
      </c>
      <c r="Z199" s="36" t="inlineStr">
        <is>
          <t>sitemap-provinces.xml</t>
        </is>
      </c>
      <c r="AA199" s="36" t="inlineStr">
        <is>
          <t>Live – indexable</t>
        </is>
      </c>
      <c r="AB199" s="38" t="n"/>
      <c r="AC199" s="38" t="n"/>
    </row>
    <row r="200" ht="23.85" customHeight="1" s="22">
      <c r="A200" s="36" t="inlineStr">
        <is>
          <t>P0199</t>
        </is>
      </c>
      <c r="B200" s="36" t="inlineStr">
        <is>
          <t>https://instasure.ca/home-insurance/nunavut/</t>
        </is>
      </c>
      <c r="C200" s="36" t="inlineStr">
        <is>
          <t>Product × province</t>
        </is>
      </c>
      <c r="D200" s="36" t="inlineStr">
        <is>
          <t>Home insurance</t>
        </is>
      </c>
      <c r="E200" s="36" t="inlineStr">
        <is>
          <t>Home Insurance</t>
        </is>
      </c>
      <c r="F200" s="36" t="n"/>
      <c r="G200" s="36" t="inlineStr">
        <is>
          <t>Nunavut</t>
        </is>
      </c>
      <c r="H200" s="36" t="n"/>
      <c r="I200" s="36" t="inlineStr">
        <is>
          <t>Yes</t>
        </is>
      </c>
      <c r="J200" s="25" t="inlineStr">
        <is>
          <t>Home Insurance in Nunavut: Costs, Rules &amp; Quotes (2026)</t>
        </is>
      </c>
      <c r="K200" s="36">
        <f>LEN(J200)</f>
        <v/>
      </c>
      <c r="L200" s="25" t="inlineStr">
        <is>
          <t>Home Insurance in Nunavut: how it works under the Nunavut Superintendent, what drives price, instant estimates and a waitlist for licensed advice in Nunavut.</t>
        </is>
      </c>
      <c r="M200" s="36">
        <f>LEN(L200)</f>
        <v/>
      </c>
      <c r="N200" s="25" t="inlineStr">
        <is>
          <t>Home Insurance in Nunavut</t>
        </is>
      </c>
      <c r="O200" s="36" t="n"/>
      <c r="P200" s="37" t="n"/>
      <c r="Q200" s="36" t="n"/>
      <c r="R200" s="36" t="inlineStr">
        <is>
          <t>home insurance nunavut</t>
        </is>
      </c>
      <c r="S200" s="36">
        <f>COUNTIF('Page-Keyword Map'!$A$2:$A$675,B200)</f>
        <v/>
      </c>
      <c r="T200" s="37">
        <f>SUMIF('Page-Keyword Map'!$A$2:$A$675,B200,'Page-Keyword Map'!$H$2:$H$675)</f>
        <v/>
      </c>
      <c r="U200" s="36">
        <f>COUNTIFS('Page-Keyword Map'!$A$2:$A$675,B200,'Page-Keyword Map'!$E$2:$E$675,"Nationwide")</f>
        <v/>
      </c>
      <c r="V200" s="36">
        <f>COUNTIFS('Page-Keyword Map'!$A$2:$A$675,B200,'Page-Keyword Map'!$E$2:$E$675,"Provincial")</f>
        <v/>
      </c>
      <c r="W200" s="36">
        <f>COUNTIFS('Page-Keyword Map'!$A$2:$A$675,B200,'Page-Keyword Map'!$E$2:$E$675,"City")</f>
        <v/>
      </c>
      <c r="X200" s="36">
        <f>IF(O200="","",IF(ISNUMBER(SEARCH(O200,J200)),"Yes","No"))</f>
        <v/>
      </c>
      <c r="Y200" s="36" t="n">
        <v>0.7</v>
      </c>
      <c r="Z200" s="36" t="inlineStr">
        <is>
          <t>sitemap-provinces.xml</t>
        </is>
      </c>
      <c r="AA200" s="36" t="inlineStr">
        <is>
          <t>Live – indexable</t>
        </is>
      </c>
      <c r="AB200" s="38" t="n"/>
      <c r="AC200" s="38" t="n"/>
    </row>
    <row r="201" ht="23.85" customHeight="1" s="22">
      <c r="A201" s="36" t="inlineStr">
        <is>
          <t>P0200</t>
        </is>
      </c>
      <c r="B201" s="36" t="inlineStr">
        <is>
          <t>https://instasure.ca/home-insurance/ontario/</t>
        </is>
      </c>
      <c r="C201" s="36" t="inlineStr">
        <is>
          <t>Product × province</t>
        </is>
      </c>
      <c r="D201" s="36" t="inlineStr">
        <is>
          <t>Home insurance</t>
        </is>
      </c>
      <c r="E201" s="36" t="inlineStr">
        <is>
          <t>Home Insurance</t>
        </is>
      </c>
      <c r="F201" s="36" t="n"/>
      <c r="G201" s="36" t="inlineStr">
        <is>
          <t>Ontario</t>
        </is>
      </c>
      <c r="H201" s="36" t="n"/>
      <c r="I201" s="36" t="inlineStr">
        <is>
          <t>Yes</t>
        </is>
      </c>
      <c r="J201" s="25" t="inlineStr">
        <is>
          <t>Home Insurance in Ontario: Costs, Rules &amp; Quotes (2026)</t>
        </is>
      </c>
      <c r="K201" s="36">
        <f>LEN(J201)</f>
        <v/>
      </c>
      <c r="L201" s="25" t="inlineStr">
        <is>
          <t>Home Insurance in Ontario: how it works under FSRA, what drives price, instant estimates and advisors licensed in Ontario.</t>
        </is>
      </c>
      <c r="M201" s="36">
        <f>LEN(L201)</f>
        <v/>
      </c>
      <c r="N201" s="25" t="inlineStr">
        <is>
          <t>Home Insurance in Ontario</t>
        </is>
      </c>
      <c r="O201" s="36" t="inlineStr">
        <is>
          <t>home insurance ontario</t>
        </is>
      </c>
      <c r="P201" s="37" t="n">
        <v>3000</v>
      </c>
      <c r="Q201" s="36" t="inlineStr">
        <is>
          <t>Provincial</t>
        </is>
      </c>
      <c r="R201" s="36" t="n"/>
      <c r="S201" s="36">
        <f>COUNTIF('Page-Keyword Map'!$A$2:$A$675,B201)</f>
        <v/>
      </c>
      <c r="T201" s="37">
        <f>SUMIF('Page-Keyword Map'!$A$2:$A$675,B201,'Page-Keyword Map'!$H$2:$H$675)</f>
        <v/>
      </c>
      <c r="U201" s="36">
        <f>COUNTIFS('Page-Keyword Map'!$A$2:$A$675,B201,'Page-Keyword Map'!$E$2:$E$675,"Nationwide")</f>
        <v/>
      </c>
      <c r="V201" s="36">
        <f>COUNTIFS('Page-Keyword Map'!$A$2:$A$675,B201,'Page-Keyword Map'!$E$2:$E$675,"Provincial")</f>
        <v/>
      </c>
      <c r="W201" s="36">
        <f>COUNTIFS('Page-Keyword Map'!$A$2:$A$675,B201,'Page-Keyword Map'!$E$2:$E$675,"City")</f>
        <v/>
      </c>
      <c r="X201" s="36">
        <f>IF(O201="","",IF(ISNUMBER(SEARCH(O201,J201)),"Yes","No"))</f>
        <v/>
      </c>
      <c r="Y201" s="36" t="n">
        <v>0.7</v>
      </c>
      <c r="Z201" s="36" t="inlineStr">
        <is>
          <t>sitemap-provinces.xml</t>
        </is>
      </c>
      <c r="AA201" s="36" t="inlineStr">
        <is>
          <t>Live – indexable</t>
        </is>
      </c>
      <c r="AB201" s="38" t="n"/>
      <c r="AC201" s="38" t="n"/>
    </row>
    <row r="202" ht="23.85" customHeight="1" s="22">
      <c r="A202" s="36" t="inlineStr">
        <is>
          <t>P0201</t>
        </is>
      </c>
      <c r="B202" s="36" t="inlineStr">
        <is>
          <t>https://instasure.ca/home-insurance/prince-edward-island/</t>
        </is>
      </c>
      <c r="C202" s="36" t="inlineStr">
        <is>
          <t>Product × province</t>
        </is>
      </c>
      <c r="D202" s="36" t="inlineStr">
        <is>
          <t>Home insurance</t>
        </is>
      </c>
      <c r="E202" s="36" t="inlineStr">
        <is>
          <t>Home Insurance</t>
        </is>
      </c>
      <c r="F202" s="36" t="n"/>
      <c r="G202" s="36" t="inlineStr">
        <is>
          <t>Prince Edward Island</t>
        </is>
      </c>
      <c r="H202" s="36" t="n"/>
      <c r="I202" s="36" t="inlineStr">
        <is>
          <t>Yes</t>
        </is>
      </c>
      <c r="J202" s="25" t="inlineStr">
        <is>
          <t>Home Insurance in Prince Edward Island: Costs, Rules &amp; Quotes (2026)</t>
        </is>
      </c>
      <c r="K202" s="36">
        <f>LEN(J202)</f>
        <v/>
      </c>
      <c r="L202" s="25" t="inlineStr">
        <is>
          <t>Home Insurance in Prince Edward Island: how it works under the PEI Superintendent, what drives price, instant estimates and advisors licensed in Prince Edward…</t>
        </is>
      </c>
      <c r="M202" s="36">
        <f>LEN(L202)</f>
        <v/>
      </c>
      <c r="N202" s="25" t="inlineStr">
        <is>
          <t>Home Insurance in Prince Edward Island</t>
        </is>
      </c>
      <c r="O202" s="36" t="inlineStr">
        <is>
          <t>home insurance pei</t>
        </is>
      </c>
      <c r="P202" s="37" t="n">
        <v>46</v>
      </c>
      <c r="Q202" s="36" t="inlineStr">
        <is>
          <t>Provincial</t>
        </is>
      </c>
      <c r="R202" s="36" t="n"/>
      <c r="S202" s="36">
        <f>COUNTIF('Page-Keyword Map'!$A$2:$A$675,B202)</f>
        <v/>
      </c>
      <c r="T202" s="37">
        <f>SUMIF('Page-Keyword Map'!$A$2:$A$675,B202,'Page-Keyword Map'!$H$2:$H$675)</f>
        <v/>
      </c>
      <c r="U202" s="36">
        <f>COUNTIFS('Page-Keyword Map'!$A$2:$A$675,B202,'Page-Keyword Map'!$E$2:$E$675,"Nationwide")</f>
        <v/>
      </c>
      <c r="V202" s="36">
        <f>COUNTIFS('Page-Keyword Map'!$A$2:$A$675,B202,'Page-Keyword Map'!$E$2:$E$675,"Provincial")</f>
        <v/>
      </c>
      <c r="W202" s="36">
        <f>COUNTIFS('Page-Keyword Map'!$A$2:$A$675,B202,'Page-Keyword Map'!$E$2:$E$675,"City")</f>
        <v/>
      </c>
      <c r="X202" s="36">
        <f>IF(O202="","",IF(ISNUMBER(SEARCH(O202,J202)),"Yes","No"))</f>
        <v/>
      </c>
      <c r="Y202" s="36" t="n">
        <v>0.7</v>
      </c>
      <c r="Z202" s="36" t="inlineStr">
        <is>
          <t>sitemap-provinces.xml</t>
        </is>
      </c>
      <c r="AA202" s="36" t="inlineStr">
        <is>
          <t>Live – indexable</t>
        </is>
      </c>
      <c r="AB202" s="38" t="n"/>
      <c r="AC202" s="38" t="n"/>
    </row>
    <row r="203" ht="23.85" customHeight="1" s="22">
      <c r="A203" s="36" t="inlineStr">
        <is>
          <t>P0202</t>
        </is>
      </c>
      <c r="B203" s="36" t="inlineStr">
        <is>
          <t>https://instasure.ca/home-insurance/quebec/</t>
        </is>
      </c>
      <c r="C203" s="36" t="inlineStr">
        <is>
          <t>Product × province</t>
        </is>
      </c>
      <c r="D203" s="36" t="inlineStr">
        <is>
          <t>Home insurance</t>
        </is>
      </c>
      <c r="E203" s="36" t="inlineStr">
        <is>
          <t>Home Insurance</t>
        </is>
      </c>
      <c r="F203" s="36" t="n"/>
      <c r="G203" s="36" t="inlineStr">
        <is>
          <t>Quebec</t>
        </is>
      </c>
      <c r="H203" s="36" t="n"/>
      <c r="I203" s="36" t="inlineStr">
        <is>
          <t>Yes</t>
        </is>
      </c>
      <c r="J203" s="25" t="inlineStr">
        <is>
          <t>Home Insurance in Quebec: Costs, Rules &amp; Quotes (2026)</t>
        </is>
      </c>
      <c r="K203" s="36">
        <f>LEN(J203)</f>
        <v/>
      </c>
      <c r="L203" s="25" t="inlineStr">
        <is>
          <t>Home Insurance in Quebec: how it works under AMF, what drives price, instant estimates and a waitlist for licensed advice in Quebec.</t>
        </is>
      </c>
      <c r="M203" s="36">
        <f>LEN(L203)</f>
        <v/>
      </c>
      <c r="N203" s="25" t="inlineStr">
        <is>
          <t>Home Insurance in Quebec</t>
        </is>
      </c>
      <c r="O203" s="36" t="inlineStr">
        <is>
          <t>home insurance quebec</t>
        </is>
      </c>
      <c r="P203" s="37" t="n">
        <v>520</v>
      </c>
      <c r="Q203" s="36" t="inlineStr">
        <is>
          <t>Provincial</t>
        </is>
      </c>
      <c r="R203" s="36" t="n"/>
      <c r="S203" s="36">
        <f>COUNTIF('Page-Keyword Map'!$A$2:$A$675,B203)</f>
        <v/>
      </c>
      <c r="T203" s="37">
        <f>SUMIF('Page-Keyword Map'!$A$2:$A$675,B203,'Page-Keyword Map'!$H$2:$H$675)</f>
        <v/>
      </c>
      <c r="U203" s="36">
        <f>COUNTIFS('Page-Keyword Map'!$A$2:$A$675,B203,'Page-Keyword Map'!$E$2:$E$675,"Nationwide")</f>
        <v/>
      </c>
      <c r="V203" s="36">
        <f>COUNTIFS('Page-Keyword Map'!$A$2:$A$675,B203,'Page-Keyword Map'!$E$2:$E$675,"Provincial")</f>
        <v/>
      </c>
      <c r="W203" s="36">
        <f>COUNTIFS('Page-Keyword Map'!$A$2:$A$675,B203,'Page-Keyword Map'!$E$2:$E$675,"City")</f>
        <v/>
      </c>
      <c r="X203" s="36">
        <f>IF(O203="","",IF(ISNUMBER(SEARCH(O203,J203)),"Yes","No"))</f>
        <v/>
      </c>
      <c r="Y203" s="36" t="n">
        <v>0.7</v>
      </c>
      <c r="Z203" s="36" t="inlineStr">
        <is>
          <t>sitemap-provinces.xml</t>
        </is>
      </c>
      <c r="AA203" s="36" t="inlineStr">
        <is>
          <t>Live – indexable</t>
        </is>
      </c>
      <c r="AB203" s="38" t="n"/>
      <c r="AC203" s="38" t="n"/>
    </row>
    <row r="204" ht="23.85" customHeight="1" s="22">
      <c r="A204" s="36" t="inlineStr">
        <is>
          <t>P0203</t>
        </is>
      </c>
      <c r="B204" s="36" t="inlineStr">
        <is>
          <t>https://instasure.ca/home-insurance/saskatchewan/</t>
        </is>
      </c>
      <c r="C204" s="36" t="inlineStr">
        <is>
          <t>Product × province</t>
        </is>
      </c>
      <c r="D204" s="36" t="inlineStr">
        <is>
          <t>Home insurance</t>
        </is>
      </c>
      <c r="E204" s="36" t="inlineStr">
        <is>
          <t>Home Insurance</t>
        </is>
      </c>
      <c r="F204" s="36" t="n"/>
      <c r="G204" s="36" t="inlineStr">
        <is>
          <t>Saskatchewan</t>
        </is>
      </c>
      <c r="H204" s="36" t="n"/>
      <c r="I204" s="36" t="inlineStr">
        <is>
          <t>Yes</t>
        </is>
      </c>
      <c r="J204" s="25" t="inlineStr">
        <is>
          <t>Home Insurance in Saskatchewan: Costs, Rules &amp; Quotes (2026)</t>
        </is>
      </c>
      <c r="K204" s="36">
        <f>LEN(J204)</f>
        <v/>
      </c>
      <c r="L204" s="25" t="inlineStr">
        <is>
          <t>Home Insurance in Saskatchewan: how it works under FCAA, what drives price, instant estimates and advisors licensed in Saskatchewan.</t>
        </is>
      </c>
      <c r="M204" s="36">
        <f>LEN(L204)</f>
        <v/>
      </c>
      <c r="N204" s="25" t="inlineStr">
        <is>
          <t>Home Insurance in Saskatchewan</t>
        </is>
      </c>
      <c r="O204" s="36" t="inlineStr">
        <is>
          <t>home insurance saskatchewan</t>
        </is>
      </c>
      <c r="P204" s="37" t="n">
        <v>270</v>
      </c>
      <c r="Q204" s="36" t="inlineStr">
        <is>
          <t>Provincial</t>
        </is>
      </c>
      <c r="R204" s="36" t="n"/>
      <c r="S204" s="36">
        <f>COUNTIF('Page-Keyword Map'!$A$2:$A$675,B204)</f>
        <v/>
      </c>
      <c r="T204" s="37">
        <f>SUMIF('Page-Keyword Map'!$A$2:$A$675,B204,'Page-Keyword Map'!$H$2:$H$675)</f>
        <v/>
      </c>
      <c r="U204" s="36">
        <f>COUNTIFS('Page-Keyword Map'!$A$2:$A$675,B204,'Page-Keyword Map'!$E$2:$E$675,"Nationwide")</f>
        <v/>
      </c>
      <c r="V204" s="36">
        <f>COUNTIFS('Page-Keyword Map'!$A$2:$A$675,B204,'Page-Keyword Map'!$E$2:$E$675,"Provincial")</f>
        <v/>
      </c>
      <c r="W204" s="36">
        <f>COUNTIFS('Page-Keyword Map'!$A$2:$A$675,B204,'Page-Keyword Map'!$E$2:$E$675,"City")</f>
        <v/>
      </c>
      <c r="X204" s="36">
        <f>IF(O204="","",IF(ISNUMBER(SEARCH(O204,J204)),"Yes","No"))</f>
        <v/>
      </c>
      <c r="Y204" s="36" t="n">
        <v>0.7</v>
      </c>
      <c r="Z204" s="36" t="inlineStr">
        <is>
          <t>sitemap-provinces.xml</t>
        </is>
      </c>
      <c r="AA204" s="36" t="inlineStr">
        <is>
          <t>Live – indexable</t>
        </is>
      </c>
      <c r="AB204" s="38" t="n"/>
      <c r="AC204" s="38" t="n"/>
    </row>
    <row r="205" ht="23.85" customHeight="1" s="22">
      <c r="A205" s="36" t="inlineStr">
        <is>
          <t>P0204</t>
        </is>
      </c>
      <c r="B205" s="36" t="inlineStr">
        <is>
          <t>https://instasure.ca/home-insurance/yukon/</t>
        </is>
      </c>
      <c r="C205" s="36" t="inlineStr">
        <is>
          <t>Product × province</t>
        </is>
      </c>
      <c r="D205" s="36" t="inlineStr">
        <is>
          <t>Home insurance</t>
        </is>
      </c>
      <c r="E205" s="36" t="inlineStr">
        <is>
          <t>Home Insurance</t>
        </is>
      </c>
      <c r="F205" s="36" t="n"/>
      <c r="G205" s="36" t="inlineStr">
        <is>
          <t>Yukon</t>
        </is>
      </c>
      <c r="H205" s="36" t="n"/>
      <c r="I205" s="36" t="inlineStr">
        <is>
          <t>Yes</t>
        </is>
      </c>
      <c r="J205" s="25" t="inlineStr">
        <is>
          <t>Home Insurance in Yukon: Costs, Rules &amp; Quotes (2026)</t>
        </is>
      </c>
      <c r="K205" s="36">
        <f>LEN(J205)</f>
        <v/>
      </c>
      <c r="L205" s="25" t="inlineStr">
        <is>
          <t>Home Insurance in Yukon: how it works under the Yukon Superintendent, what drives price, instant estimates and a waitlist for licensed advice in Yukon.</t>
        </is>
      </c>
      <c r="M205" s="36">
        <f>LEN(L205)</f>
        <v/>
      </c>
      <c r="N205" s="25" t="inlineStr">
        <is>
          <t>Home Insurance in Yukon</t>
        </is>
      </c>
      <c r="O205" s="36" t="n"/>
      <c r="P205" s="37" t="n"/>
      <c r="Q205" s="36" t="n"/>
      <c r="R205" s="36" t="inlineStr">
        <is>
          <t>home insurance yukon</t>
        </is>
      </c>
      <c r="S205" s="36">
        <f>COUNTIF('Page-Keyword Map'!$A$2:$A$675,B205)</f>
        <v/>
      </c>
      <c r="T205" s="37">
        <f>SUMIF('Page-Keyword Map'!$A$2:$A$675,B205,'Page-Keyword Map'!$H$2:$H$675)</f>
        <v/>
      </c>
      <c r="U205" s="36">
        <f>COUNTIFS('Page-Keyword Map'!$A$2:$A$675,B205,'Page-Keyword Map'!$E$2:$E$675,"Nationwide")</f>
        <v/>
      </c>
      <c r="V205" s="36">
        <f>COUNTIFS('Page-Keyword Map'!$A$2:$A$675,B205,'Page-Keyword Map'!$E$2:$E$675,"Provincial")</f>
        <v/>
      </c>
      <c r="W205" s="36">
        <f>COUNTIFS('Page-Keyword Map'!$A$2:$A$675,B205,'Page-Keyword Map'!$E$2:$E$675,"City")</f>
        <v/>
      </c>
      <c r="X205" s="36">
        <f>IF(O205="","",IF(ISNUMBER(SEARCH(O205,J205)),"Yes","No"))</f>
        <v/>
      </c>
      <c r="Y205" s="36" t="n">
        <v>0.7</v>
      </c>
      <c r="Z205" s="36" t="inlineStr">
        <is>
          <t>sitemap-provinces.xml</t>
        </is>
      </c>
      <c r="AA205" s="36" t="inlineStr">
        <is>
          <t>Live – indexable</t>
        </is>
      </c>
      <c r="AB205" s="38" t="n"/>
      <c r="AC205" s="38" t="n"/>
    </row>
    <row r="206" ht="23.85" customHeight="1" s="22">
      <c r="A206" s="36" t="inlineStr">
        <is>
          <t>P0205</t>
        </is>
      </c>
      <c r="B206" s="36" t="inlineStr">
        <is>
          <t>https://instasure.ca/life-insurance/alberta/</t>
        </is>
      </c>
      <c r="C206" s="36" t="inlineStr">
        <is>
          <t>Product × province</t>
        </is>
      </c>
      <c r="D206" s="36" t="inlineStr">
        <is>
          <t>Life insurance</t>
        </is>
      </c>
      <c r="E206" s="36" t="inlineStr">
        <is>
          <t>Life Insurance</t>
        </is>
      </c>
      <c r="F206" s="36" t="n"/>
      <c r="G206" s="36" t="inlineStr">
        <is>
          <t>Alberta</t>
        </is>
      </c>
      <c r="H206" s="36" t="n"/>
      <c r="I206" s="36" t="inlineStr">
        <is>
          <t>Yes</t>
        </is>
      </c>
      <c r="J206" s="25" t="inlineStr">
        <is>
          <t>Life Insurance in Alberta: Costs, Rules &amp; Quotes (2026)</t>
        </is>
      </c>
      <c r="K206" s="36">
        <f>LEN(J206)</f>
        <v/>
      </c>
      <c r="L206" s="25" t="inlineStr">
        <is>
          <t>Life Insurance in Alberta: how it works under the Superintendent of Insurance, what drives price, instant estimates and advisors licensed in Alberta.</t>
        </is>
      </c>
      <c r="M206" s="36">
        <f>LEN(L206)</f>
        <v/>
      </c>
      <c r="N206" s="25" t="inlineStr">
        <is>
          <t>Life Insurance in Alberta</t>
        </is>
      </c>
      <c r="O206" s="36" t="inlineStr">
        <is>
          <t>life insurance alberta</t>
        </is>
      </c>
      <c r="P206" s="37" t="n">
        <v>280</v>
      </c>
      <c r="Q206" s="36" t="inlineStr">
        <is>
          <t>Provincial</t>
        </is>
      </c>
      <c r="R206" s="36" t="n"/>
      <c r="S206" s="36">
        <f>COUNTIF('Page-Keyword Map'!$A$2:$A$675,B206)</f>
        <v/>
      </c>
      <c r="T206" s="37">
        <f>SUMIF('Page-Keyword Map'!$A$2:$A$675,B206,'Page-Keyword Map'!$H$2:$H$675)</f>
        <v/>
      </c>
      <c r="U206" s="36">
        <f>COUNTIFS('Page-Keyword Map'!$A$2:$A$675,B206,'Page-Keyword Map'!$E$2:$E$675,"Nationwide")</f>
        <v/>
      </c>
      <c r="V206" s="36">
        <f>COUNTIFS('Page-Keyword Map'!$A$2:$A$675,B206,'Page-Keyword Map'!$E$2:$E$675,"Provincial")</f>
        <v/>
      </c>
      <c r="W206" s="36">
        <f>COUNTIFS('Page-Keyword Map'!$A$2:$A$675,B206,'Page-Keyword Map'!$E$2:$E$675,"City")</f>
        <v/>
      </c>
      <c r="X206" s="36">
        <f>IF(O206="","",IF(ISNUMBER(SEARCH(O206,J206)),"Yes","No"))</f>
        <v/>
      </c>
      <c r="Y206" s="36" t="n">
        <v>0.7</v>
      </c>
      <c r="Z206" s="36" t="inlineStr">
        <is>
          <t>sitemap-provinces.xml</t>
        </is>
      </c>
      <c r="AA206" s="36" t="inlineStr">
        <is>
          <t>Live – indexable</t>
        </is>
      </c>
      <c r="AB206" s="38" t="n"/>
      <c r="AC206" s="38" t="n"/>
    </row>
    <row r="207" ht="23.85" customHeight="1" s="22">
      <c r="A207" s="36" t="inlineStr">
        <is>
          <t>P0206</t>
        </is>
      </c>
      <c r="B207" s="36" t="inlineStr">
        <is>
          <t>https://instasure.ca/life-insurance/british-columbia/</t>
        </is>
      </c>
      <c r="C207" s="36" t="inlineStr">
        <is>
          <t>Product × province</t>
        </is>
      </c>
      <c r="D207" s="36" t="inlineStr">
        <is>
          <t>Life insurance</t>
        </is>
      </c>
      <c r="E207" s="36" t="inlineStr">
        <is>
          <t>Life Insurance</t>
        </is>
      </c>
      <c r="F207" s="36" t="n"/>
      <c r="G207" s="36" t="inlineStr">
        <is>
          <t>British Columbia</t>
        </is>
      </c>
      <c r="H207" s="36" t="n"/>
      <c r="I207" s="36" t="inlineStr">
        <is>
          <t>Yes</t>
        </is>
      </c>
      <c r="J207" s="25" t="inlineStr">
        <is>
          <t>Life Insurance in British Columbia: Costs, Rules &amp; Quotes (2026)</t>
        </is>
      </c>
      <c r="K207" s="36">
        <f>LEN(J207)</f>
        <v/>
      </c>
      <c r="L207" s="25" t="inlineStr">
        <is>
          <t>Life Insurance in British Columbia: how it works under BCFSA, what drives price, instant estimates and advisors licensed in British Columbia.</t>
        </is>
      </c>
      <c r="M207" s="36">
        <f>LEN(L207)</f>
        <v/>
      </c>
      <c r="N207" s="25" t="inlineStr">
        <is>
          <t>Life Insurance in British Columbia</t>
        </is>
      </c>
      <c r="O207" s="36" t="inlineStr">
        <is>
          <t>life insurance bc</t>
        </is>
      </c>
      <c r="P207" s="37" t="n">
        <v>320</v>
      </c>
      <c r="Q207" s="36" t="inlineStr">
        <is>
          <t>Provincial</t>
        </is>
      </c>
      <c r="R207" s="36" t="n"/>
      <c r="S207" s="36">
        <f>COUNTIF('Page-Keyword Map'!$A$2:$A$675,B207)</f>
        <v/>
      </c>
      <c r="T207" s="37">
        <f>SUMIF('Page-Keyword Map'!$A$2:$A$675,B207,'Page-Keyword Map'!$H$2:$H$675)</f>
        <v/>
      </c>
      <c r="U207" s="36">
        <f>COUNTIFS('Page-Keyword Map'!$A$2:$A$675,B207,'Page-Keyword Map'!$E$2:$E$675,"Nationwide")</f>
        <v/>
      </c>
      <c r="V207" s="36">
        <f>COUNTIFS('Page-Keyword Map'!$A$2:$A$675,B207,'Page-Keyword Map'!$E$2:$E$675,"Provincial")</f>
        <v/>
      </c>
      <c r="W207" s="36">
        <f>COUNTIFS('Page-Keyword Map'!$A$2:$A$675,B207,'Page-Keyword Map'!$E$2:$E$675,"City")</f>
        <v/>
      </c>
      <c r="X207" s="36">
        <f>IF(O207="","",IF(ISNUMBER(SEARCH(O207,J207)),"Yes","No"))</f>
        <v/>
      </c>
      <c r="Y207" s="36" t="n">
        <v>0.7</v>
      </c>
      <c r="Z207" s="36" t="inlineStr">
        <is>
          <t>sitemap-provinces.xml</t>
        </is>
      </c>
      <c r="AA207" s="36" t="inlineStr">
        <is>
          <t>Live – indexable</t>
        </is>
      </c>
      <c r="AB207" s="38" t="n"/>
      <c r="AC207" s="38" t="n"/>
    </row>
    <row r="208" ht="23.85" customHeight="1" s="22">
      <c r="A208" s="36" t="inlineStr">
        <is>
          <t>P0207</t>
        </is>
      </c>
      <c r="B208" s="36" t="inlineStr">
        <is>
          <t>https://instasure.ca/life-insurance/manitoba/</t>
        </is>
      </c>
      <c r="C208" s="36" t="inlineStr">
        <is>
          <t>Product × province</t>
        </is>
      </c>
      <c r="D208" s="36" t="inlineStr">
        <is>
          <t>Life insurance</t>
        </is>
      </c>
      <c r="E208" s="36" t="inlineStr">
        <is>
          <t>Life Insurance</t>
        </is>
      </c>
      <c r="F208" s="36" t="n"/>
      <c r="G208" s="36" t="inlineStr">
        <is>
          <t>Manitoba</t>
        </is>
      </c>
      <c r="H208" s="36" t="n"/>
      <c r="I208" s="36" t="inlineStr">
        <is>
          <t>Yes</t>
        </is>
      </c>
      <c r="J208" s="25" t="inlineStr">
        <is>
          <t>Life Insurance in Manitoba: Costs, Rules &amp; Quotes (2026)</t>
        </is>
      </c>
      <c r="K208" s="36">
        <f>LEN(J208)</f>
        <v/>
      </c>
      <c r="L208" s="25" t="inlineStr">
        <is>
          <t>Life Insurance in Manitoba: how it works under FIRB, what drives price, instant estimates and advisors licensed in Manitoba.</t>
        </is>
      </c>
      <c r="M208" s="36">
        <f>LEN(L208)</f>
        <v/>
      </c>
      <c r="N208" s="25" t="inlineStr">
        <is>
          <t>Life Insurance in Manitoba</t>
        </is>
      </c>
      <c r="O208" s="36" t="inlineStr">
        <is>
          <t>life insurance manitoba</t>
        </is>
      </c>
      <c r="P208" s="37" t="n">
        <v>98</v>
      </c>
      <c r="Q208" s="36" t="inlineStr">
        <is>
          <t>Provincial</t>
        </is>
      </c>
      <c r="R208" s="36" t="n"/>
      <c r="S208" s="36">
        <f>COUNTIF('Page-Keyword Map'!$A$2:$A$675,B208)</f>
        <v/>
      </c>
      <c r="T208" s="37">
        <f>SUMIF('Page-Keyword Map'!$A$2:$A$675,B208,'Page-Keyword Map'!$H$2:$H$675)</f>
        <v/>
      </c>
      <c r="U208" s="36">
        <f>COUNTIFS('Page-Keyword Map'!$A$2:$A$675,B208,'Page-Keyword Map'!$E$2:$E$675,"Nationwide")</f>
        <v/>
      </c>
      <c r="V208" s="36">
        <f>COUNTIFS('Page-Keyword Map'!$A$2:$A$675,B208,'Page-Keyword Map'!$E$2:$E$675,"Provincial")</f>
        <v/>
      </c>
      <c r="W208" s="36">
        <f>COUNTIFS('Page-Keyword Map'!$A$2:$A$675,B208,'Page-Keyword Map'!$E$2:$E$675,"City")</f>
        <v/>
      </c>
      <c r="X208" s="36">
        <f>IF(O208="","",IF(ISNUMBER(SEARCH(O208,J208)),"Yes","No"))</f>
        <v/>
      </c>
      <c r="Y208" s="36" t="n">
        <v>0.7</v>
      </c>
      <c r="Z208" s="36" t="inlineStr">
        <is>
          <t>sitemap-provinces.xml</t>
        </is>
      </c>
      <c r="AA208" s="36" t="inlineStr">
        <is>
          <t>Live – indexable</t>
        </is>
      </c>
      <c r="AB208" s="38" t="n"/>
      <c r="AC208" s="38" t="n"/>
    </row>
    <row r="209" ht="23.85" customHeight="1" s="22">
      <c r="A209" s="36" t="inlineStr">
        <is>
          <t>P0208</t>
        </is>
      </c>
      <c r="B209" s="36" t="inlineStr">
        <is>
          <t>https://instasure.ca/life-insurance/new-brunswick/</t>
        </is>
      </c>
      <c r="C209" s="36" t="inlineStr">
        <is>
          <t>Product × province</t>
        </is>
      </c>
      <c r="D209" s="36" t="inlineStr">
        <is>
          <t>Life insurance</t>
        </is>
      </c>
      <c r="E209" s="36" t="inlineStr">
        <is>
          <t>Life Insurance</t>
        </is>
      </c>
      <c r="F209" s="36" t="n"/>
      <c r="G209" s="36" t="inlineStr">
        <is>
          <t>New Brunswick</t>
        </is>
      </c>
      <c r="H209" s="36" t="n"/>
      <c r="I209" s="36" t="inlineStr">
        <is>
          <t>Yes</t>
        </is>
      </c>
      <c r="J209" s="25" t="inlineStr">
        <is>
          <t>Life Insurance in New Brunswick: Costs, Rules &amp; Quotes (2026)</t>
        </is>
      </c>
      <c r="K209" s="36">
        <f>LEN(J209)</f>
        <v/>
      </c>
      <c r="L209" s="25" t="inlineStr">
        <is>
          <t>Life Insurance in New Brunswick: how it works under FCNB, what drives price, instant estimates and advisors licensed in New Brunswick.</t>
        </is>
      </c>
      <c r="M209" s="36">
        <f>LEN(L209)</f>
        <v/>
      </c>
      <c r="N209" s="25" t="inlineStr">
        <is>
          <t>Life Insurance in New Brunswick</t>
        </is>
      </c>
      <c r="O209" s="36" t="inlineStr">
        <is>
          <t>life insurance new brunswick</t>
        </is>
      </c>
      <c r="P209" s="37" t="n">
        <v>60</v>
      </c>
      <c r="Q209" s="36" t="inlineStr">
        <is>
          <t>Provincial</t>
        </is>
      </c>
      <c r="R209" s="36" t="n"/>
      <c r="S209" s="36">
        <f>COUNTIF('Page-Keyword Map'!$A$2:$A$675,B209)</f>
        <v/>
      </c>
      <c r="T209" s="37">
        <f>SUMIF('Page-Keyword Map'!$A$2:$A$675,B209,'Page-Keyword Map'!$H$2:$H$675)</f>
        <v/>
      </c>
      <c r="U209" s="36">
        <f>COUNTIFS('Page-Keyword Map'!$A$2:$A$675,B209,'Page-Keyword Map'!$E$2:$E$675,"Nationwide")</f>
        <v/>
      </c>
      <c r="V209" s="36">
        <f>COUNTIFS('Page-Keyword Map'!$A$2:$A$675,B209,'Page-Keyword Map'!$E$2:$E$675,"Provincial")</f>
        <v/>
      </c>
      <c r="W209" s="36">
        <f>COUNTIFS('Page-Keyword Map'!$A$2:$A$675,B209,'Page-Keyword Map'!$E$2:$E$675,"City")</f>
        <v/>
      </c>
      <c r="X209" s="36">
        <f>IF(O209="","",IF(ISNUMBER(SEARCH(O209,J209)),"Yes","No"))</f>
        <v/>
      </c>
      <c r="Y209" s="36" t="n">
        <v>0.7</v>
      </c>
      <c r="Z209" s="36" t="inlineStr">
        <is>
          <t>sitemap-provinces.xml</t>
        </is>
      </c>
      <c r="AA209" s="36" t="inlineStr">
        <is>
          <t>Live – indexable</t>
        </is>
      </c>
      <c r="AB209" s="38" t="n"/>
      <c r="AC209" s="38" t="n"/>
    </row>
    <row r="210" ht="23.85" customHeight="1" s="22">
      <c r="A210" s="36" t="inlineStr">
        <is>
          <t>P0209</t>
        </is>
      </c>
      <c r="B210" s="36" t="inlineStr">
        <is>
          <t>https://instasure.ca/life-insurance/newfoundland-and-labrador/</t>
        </is>
      </c>
      <c r="C210" s="36" t="inlineStr">
        <is>
          <t>Product × province</t>
        </is>
      </c>
      <c r="D210" s="36" t="inlineStr">
        <is>
          <t>Life insurance</t>
        </is>
      </c>
      <c r="E210" s="36" t="inlineStr">
        <is>
          <t>Life Insurance</t>
        </is>
      </c>
      <c r="F210" s="36" t="n"/>
      <c r="G210" s="36" t="inlineStr">
        <is>
          <t>Newfoundland and Labrador</t>
        </is>
      </c>
      <c r="H210" s="36" t="n"/>
      <c r="I210" s="36" t="inlineStr">
        <is>
          <t>Yes</t>
        </is>
      </c>
      <c r="J210" s="25" t="inlineStr">
        <is>
          <t>Life Insurance in Newfoundland and Labrador: Costs, Rules &amp; Quotes (2026)</t>
        </is>
      </c>
      <c r="K210" s="36">
        <f>LEN(J210)</f>
        <v/>
      </c>
      <c r="L210" s="25" t="inlineStr">
        <is>
          <t>Life Insurance in Newfoundland and Labrador: how it works under Service NL, what drives price, instant estimates and advisors licensed in Newfoundland and Labrador.</t>
        </is>
      </c>
      <c r="M210" s="36">
        <f>LEN(L210)</f>
        <v/>
      </c>
      <c r="N210" s="25" t="inlineStr">
        <is>
          <t>Life Insurance in Newfoundland and Labrador</t>
        </is>
      </c>
      <c r="O210" s="36" t="inlineStr">
        <is>
          <t>life insurance newfoundland</t>
        </is>
      </c>
      <c r="P210" s="37" t="n">
        <v>41</v>
      </c>
      <c r="Q210" s="36" t="inlineStr">
        <is>
          <t>Provincial</t>
        </is>
      </c>
      <c r="R210" s="36" t="n"/>
      <c r="S210" s="36">
        <f>COUNTIF('Page-Keyword Map'!$A$2:$A$675,B210)</f>
        <v/>
      </c>
      <c r="T210" s="37">
        <f>SUMIF('Page-Keyword Map'!$A$2:$A$675,B210,'Page-Keyword Map'!$H$2:$H$675)</f>
        <v/>
      </c>
      <c r="U210" s="36">
        <f>COUNTIFS('Page-Keyword Map'!$A$2:$A$675,B210,'Page-Keyword Map'!$E$2:$E$675,"Nationwide")</f>
        <v/>
      </c>
      <c r="V210" s="36">
        <f>COUNTIFS('Page-Keyword Map'!$A$2:$A$675,B210,'Page-Keyword Map'!$E$2:$E$675,"Provincial")</f>
        <v/>
      </c>
      <c r="W210" s="36">
        <f>COUNTIFS('Page-Keyword Map'!$A$2:$A$675,B210,'Page-Keyword Map'!$E$2:$E$675,"City")</f>
        <v/>
      </c>
      <c r="X210" s="36">
        <f>IF(O210="","",IF(ISNUMBER(SEARCH(O210,J210)),"Yes","No"))</f>
        <v/>
      </c>
      <c r="Y210" s="36" t="n">
        <v>0.7</v>
      </c>
      <c r="Z210" s="36" t="inlineStr">
        <is>
          <t>sitemap-provinces.xml</t>
        </is>
      </c>
      <c r="AA210" s="36" t="inlineStr">
        <is>
          <t>Live – indexable</t>
        </is>
      </c>
      <c r="AB210" s="38" t="n"/>
      <c r="AC210" s="38" t="n"/>
    </row>
    <row r="211" ht="23.85" customHeight="1" s="22">
      <c r="A211" s="36" t="inlineStr">
        <is>
          <t>P0210</t>
        </is>
      </c>
      <c r="B211" s="36" t="inlineStr">
        <is>
          <t>https://instasure.ca/life-insurance/northwest-territories/</t>
        </is>
      </c>
      <c r="C211" s="36" t="inlineStr">
        <is>
          <t>Product × province</t>
        </is>
      </c>
      <c r="D211" s="36" t="inlineStr">
        <is>
          <t>Life insurance</t>
        </is>
      </c>
      <c r="E211" s="36" t="inlineStr">
        <is>
          <t>Life Insurance</t>
        </is>
      </c>
      <c r="F211" s="36" t="n"/>
      <c r="G211" s="36" t="inlineStr">
        <is>
          <t>Northwest Territories</t>
        </is>
      </c>
      <c r="H211" s="36" t="n"/>
      <c r="I211" s="36" t="inlineStr">
        <is>
          <t>Yes</t>
        </is>
      </c>
      <c r="J211" s="25" t="inlineStr">
        <is>
          <t>Life Insurance in Northwest Territories: Costs, Rules &amp; Quotes (2026)</t>
        </is>
      </c>
      <c r="K211" s="36">
        <f>LEN(J211)</f>
        <v/>
      </c>
      <c r="L211" s="25" t="inlineStr">
        <is>
          <t>Life Insurance in Northwest Territories: how it works under the NWT Superintendent, what drives price, instant estimates and a waitlist for licensed advice in…</t>
        </is>
      </c>
      <c r="M211" s="36">
        <f>LEN(L211)</f>
        <v/>
      </c>
      <c r="N211" s="25" t="inlineStr">
        <is>
          <t>Life Insurance in Northwest Territories</t>
        </is>
      </c>
      <c r="O211" s="36" t="n"/>
      <c r="P211" s="37" t="n"/>
      <c r="Q211" s="36" t="n"/>
      <c r="R211" s="36" t="inlineStr">
        <is>
          <t>life insurance northwest territories</t>
        </is>
      </c>
      <c r="S211" s="36">
        <f>COUNTIF('Page-Keyword Map'!$A$2:$A$675,B211)</f>
        <v/>
      </c>
      <c r="T211" s="37">
        <f>SUMIF('Page-Keyword Map'!$A$2:$A$675,B211,'Page-Keyword Map'!$H$2:$H$675)</f>
        <v/>
      </c>
      <c r="U211" s="36">
        <f>COUNTIFS('Page-Keyword Map'!$A$2:$A$675,B211,'Page-Keyword Map'!$E$2:$E$675,"Nationwide")</f>
        <v/>
      </c>
      <c r="V211" s="36">
        <f>COUNTIFS('Page-Keyword Map'!$A$2:$A$675,B211,'Page-Keyword Map'!$E$2:$E$675,"Provincial")</f>
        <v/>
      </c>
      <c r="W211" s="36">
        <f>COUNTIFS('Page-Keyword Map'!$A$2:$A$675,B211,'Page-Keyword Map'!$E$2:$E$675,"City")</f>
        <v/>
      </c>
      <c r="X211" s="36">
        <f>IF(O211="","",IF(ISNUMBER(SEARCH(O211,J211)),"Yes","No"))</f>
        <v/>
      </c>
      <c r="Y211" s="36" t="n">
        <v>0.7</v>
      </c>
      <c r="Z211" s="36" t="inlineStr">
        <is>
          <t>sitemap-provinces.xml</t>
        </is>
      </c>
      <c r="AA211" s="36" t="inlineStr">
        <is>
          <t>Live – indexable</t>
        </is>
      </c>
      <c r="AB211" s="38" t="n"/>
      <c r="AC211" s="38" t="n"/>
    </row>
    <row r="212" ht="23.85" customHeight="1" s="22">
      <c r="A212" s="36" t="inlineStr">
        <is>
          <t>P0211</t>
        </is>
      </c>
      <c r="B212" s="36" t="inlineStr">
        <is>
          <t>https://instasure.ca/life-insurance/nova-scotia/</t>
        </is>
      </c>
      <c r="C212" s="36" t="inlineStr">
        <is>
          <t>Product × province</t>
        </is>
      </c>
      <c r="D212" s="36" t="inlineStr">
        <is>
          <t>Life insurance</t>
        </is>
      </c>
      <c r="E212" s="36" t="inlineStr">
        <is>
          <t>Life Insurance</t>
        </is>
      </c>
      <c r="F212" s="36" t="n"/>
      <c r="G212" s="36" t="inlineStr">
        <is>
          <t>Nova Scotia</t>
        </is>
      </c>
      <c r="H212" s="36" t="n"/>
      <c r="I212" s="36" t="inlineStr">
        <is>
          <t>Yes</t>
        </is>
      </c>
      <c r="J212" s="25" t="inlineStr">
        <is>
          <t>Life Insurance in Nova Scotia: Costs, Rules &amp; Quotes (2026)</t>
        </is>
      </c>
      <c r="K212" s="36">
        <f>LEN(J212)</f>
        <v/>
      </c>
      <c r="L212" s="25" t="inlineStr">
        <is>
          <t>Life Insurance in Nova Scotia: how it works under the NS Superintendent of Insurance, what drives price, instant estimates and advisors licensed in Nova Scotia.</t>
        </is>
      </c>
      <c r="M212" s="36">
        <f>LEN(L212)</f>
        <v/>
      </c>
      <c r="N212" s="25" t="inlineStr">
        <is>
          <t>Life Insurance in Nova Scotia</t>
        </is>
      </c>
      <c r="O212" s="36" t="inlineStr">
        <is>
          <t>life insurance nova scotia</t>
        </is>
      </c>
      <c r="P212" s="37" t="n">
        <v>73</v>
      </c>
      <c r="Q212" s="36" t="inlineStr">
        <is>
          <t>Provincial</t>
        </is>
      </c>
      <c r="R212" s="36" t="n"/>
      <c r="S212" s="36">
        <f>COUNTIF('Page-Keyword Map'!$A$2:$A$675,B212)</f>
        <v/>
      </c>
      <c r="T212" s="37">
        <f>SUMIF('Page-Keyword Map'!$A$2:$A$675,B212,'Page-Keyword Map'!$H$2:$H$675)</f>
        <v/>
      </c>
      <c r="U212" s="36">
        <f>COUNTIFS('Page-Keyword Map'!$A$2:$A$675,B212,'Page-Keyword Map'!$E$2:$E$675,"Nationwide")</f>
        <v/>
      </c>
      <c r="V212" s="36">
        <f>COUNTIFS('Page-Keyword Map'!$A$2:$A$675,B212,'Page-Keyword Map'!$E$2:$E$675,"Provincial")</f>
        <v/>
      </c>
      <c r="W212" s="36">
        <f>COUNTIFS('Page-Keyword Map'!$A$2:$A$675,B212,'Page-Keyword Map'!$E$2:$E$675,"City")</f>
        <v/>
      </c>
      <c r="X212" s="36">
        <f>IF(O212="","",IF(ISNUMBER(SEARCH(O212,J212)),"Yes","No"))</f>
        <v/>
      </c>
      <c r="Y212" s="36" t="n">
        <v>0.7</v>
      </c>
      <c r="Z212" s="36" t="inlineStr">
        <is>
          <t>sitemap-provinces.xml</t>
        </is>
      </c>
      <c r="AA212" s="36" t="inlineStr">
        <is>
          <t>Live – indexable</t>
        </is>
      </c>
      <c r="AB212" s="38" t="n"/>
      <c r="AC212" s="38" t="n"/>
    </row>
    <row r="213" ht="23.85" customHeight="1" s="22">
      <c r="A213" s="36" t="inlineStr">
        <is>
          <t>P0212</t>
        </is>
      </c>
      <c r="B213" s="36" t="inlineStr">
        <is>
          <t>https://instasure.ca/life-insurance/nunavut/</t>
        </is>
      </c>
      <c r="C213" s="36" t="inlineStr">
        <is>
          <t>Product × province</t>
        </is>
      </c>
      <c r="D213" s="36" t="inlineStr">
        <is>
          <t>Life insurance</t>
        </is>
      </c>
      <c r="E213" s="36" t="inlineStr">
        <is>
          <t>Life Insurance</t>
        </is>
      </c>
      <c r="F213" s="36" t="n"/>
      <c r="G213" s="36" t="inlineStr">
        <is>
          <t>Nunavut</t>
        </is>
      </c>
      <c r="H213" s="36" t="n"/>
      <c r="I213" s="36" t="inlineStr">
        <is>
          <t>Yes</t>
        </is>
      </c>
      <c r="J213" s="25" t="inlineStr">
        <is>
          <t>Life Insurance in Nunavut: Costs, Rules &amp; Quotes (2026)</t>
        </is>
      </c>
      <c r="K213" s="36">
        <f>LEN(J213)</f>
        <v/>
      </c>
      <c r="L213" s="25" t="inlineStr">
        <is>
          <t>Life Insurance in Nunavut: how it works under the Nunavut Superintendent, what drives price, instant estimates and a waitlist for licensed advice in Nunavut.</t>
        </is>
      </c>
      <c r="M213" s="36">
        <f>LEN(L213)</f>
        <v/>
      </c>
      <c r="N213" s="25" t="inlineStr">
        <is>
          <t>Life Insurance in Nunavut</t>
        </is>
      </c>
      <c r="O213" s="36" t="n"/>
      <c r="P213" s="37" t="n"/>
      <c r="Q213" s="36" t="n"/>
      <c r="R213" s="36" t="inlineStr">
        <is>
          <t>life insurance nunavut</t>
        </is>
      </c>
      <c r="S213" s="36">
        <f>COUNTIF('Page-Keyword Map'!$A$2:$A$675,B213)</f>
        <v/>
      </c>
      <c r="T213" s="37">
        <f>SUMIF('Page-Keyword Map'!$A$2:$A$675,B213,'Page-Keyword Map'!$H$2:$H$675)</f>
        <v/>
      </c>
      <c r="U213" s="36">
        <f>COUNTIFS('Page-Keyword Map'!$A$2:$A$675,B213,'Page-Keyword Map'!$E$2:$E$675,"Nationwide")</f>
        <v/>
      </c>
      <c r="V213" s="36">
        <f>COUNTIFS('Page-Keyword Map'!$A$2:$A$675,B213,'Page-Keyword Map'!$E$2:$E$675,"Provincial")</f>
        <v/>
      </c>
      <c r="W213" s="36">
        <f>COUNTIFS('Page-Keyword Map'!$A$2:$A$675,B213,'Page-Keyword Map'!$E$2:$E$675,"City")</f>
        <v/>
      </c>
      <c r="X213" s="36">
        <f>IF(O213="","",IF(ISNUMBER(SEARCH(O213,J213)),"Yes","No"))</f>
        <v/>
      </c>
      <c r="Y213" s="36" t="n">
        <v>0.7</v>
      </c>
      <c r="Z213" s="36" t="inlineStr">
        <is>
          <t>sitemap-provinces.xml</t>
        </is>
      </c>
      <c r="AA213" s="36" t="inlineStr">
        <is>
          <t>Live – indexable</t>
        </is>
      </c>
      <c r="AB213" s="38" t="n"/>
      <c r="AC213" s="38" t="n"/>
    </row>
    <row r="214" ht="23.85" customHeight="1" s="22">
      <c r="A214" s="36" t="inlineStr">
        <is>
          <t>P0213</t>
        </is>
      </c>
      <c r="B214" s="36" t="inlineStr">
        <is>
          <t>https://instasure.ca/life-insurance/ontario/</t>
        </is>
      </c>
      <c r="C214" s="36" t="inlineStr">
        <is>
          <t>Product × province</t>
        </is>
      </c>
      <c r="D214" s="36" t="inlineStr">
        <is>
          <t>Life insurance</t>
        </is>
      </c>
      <c r="E214" s="36" t="inlineStr">
        <is>
          <t>Life Insurance</t>
        </is>
      </c>
      <c r="F214" s="36" t="n"/>
      <c r="G214" s="36" t="inlineStr">
        <is>
          <t>Ontario</t>
        </is>
      </c>
      <c r="H214" s="36" t="n"/>
      <c r="I214" s="36" t="inlineStr">
        <is>
          <t>Yes</t>
        </is>
      </c>
      <c r="J214" s="25" t="inlineStr">
        <is>
          <t>Life Insurance in Ontario: Costs, Rules &amp; Quotes (2026)</t>
        </is>
      </c>
      <c r="K214" s="36">
        <f>LEN(J214)</f>
        <v/>
      </c>
      <c r="L214" s="25" t="inlineStr">
        <is>
          <t>Life Insurance in Ontario: how it works under FSRA, what drives price, instant estimates and advisors licensed in Ontario.</t>
        </is>
      </c>
      <c r="M214" s="36">
        <f>LEN(L214)</f>
        <v/>
      </c>
      <c r="N214" s="25" t="inlineStr">
        <is>
          <t>Life Insurance in Ontario</t>
        </is>
      </c>
      <c r="O214" s="36" t="inlineStr">
        <is>
          <t>life insurance ontario</t>
        </is>
      </c>
      <c r="P214" s="37" t="n">
        <v>910</v>
      </c>
      <c r="Q214" s="36" t="inlineStr">
        <is>
          <t>Provincial</t>
        </is>
      </c>
      <c r="R214" s="36" t="n"/>
      <c r="S214" s="36">
        <f>COUNTIF('Page-Keyword Map'!$A$2:$A$675,B214)</f>
        <v/>
      </c>
      <c r="T214" s="37">
        <f>SUMIF('Page-Keyword Map'!$A$2:$A$675,B214,'Page-Keyword Map'!$H$2:$H$675)</f>
        <v/>
      </c>
      <c r="U214" s="36">
        <f>COUNTIFS('Page-Keyword Map'!$A$2:$A$675,B214,'Page-Keyword Map'!$E$2:$E$675,"Nationwide")</f>
        <v/>
      </c>
      <c r="V214" s="36">
        <f>COUNTIFS('Page-Keyword Map'!$A$2:$A$675,B214,'Page-Keyword Map'!$E$2:$E$675,"Provincial")</f>
        <v/>
      </c>
      <c r="W214" s="36">
        <f>COUNTIFS('Page-Keyword Map'!$A$2:$A$675,B214,'Page-Keyword Map'!$E$2:$E$675,"City")</f>
        <v/>
      </c>
      <c r="X214" s="36">
        <f>IF(O214="","",IF(ISNUMBER(SEARCH(O214,J214)),"Yes","No"))</f>
        <v/>
      </c>
      <c r="Y214" s="36" t="n">
        <v>0.7</v>
      </c>
      <c r="Z214" s="36" t="inlineStr">
        <is>
          <t>sitemap-provinces.xml</t>
        </is>
      </c>
      <c r="AA214" s="36" t="inlineStr">
        <is>
          <t>Live – indexable</t>
        </is>
      </c>
      <c r="AB214" s="38" t="n"/>
      <c r="AC214" s="38" t="n"/>
    </row>
    <row r="215" ht="23.85" customHeight="1" s="22">
      <c r="A215" s="36" t="inlineStr">
        <is>
          <t>P0214</t>
        </is>
      </c>
      <c r="B215" s="36" t="inlineStr">
        <is>
          <t>https://instasure.ca/life-insurance/prince-edward-island/</t>
        </is>
      </c>
      <c r="C215" s="36" t="inlineStr">
        <is>
          <t>Product × province</t>
        </is>
      </c>
      <c r="D215" s="36" t="inlineStr">
        <is>
          <t>Life insurance</t>
        </is>
      </c>
      <c r="E215" s="36" t="inlineStr">
        <is>
          <t>Life Insurance</t>
        </is>
      </c>
      <c r="F215" s="36" t="n"/>
      <c r="G215" s="36" t="inlineStr">
        <is>
          <t>Prince Edward Island</t>
        </is>
      </c>
      <c r="H215" s="36" t="n"/>
      <c r="I215" s="36" t="inlineStr">
        <is>
          <t>Yes</t>
        </is>
      </c>
      <c r="J215" s="25" t="inlineStr">
        <is>
          <t>Life Insurance in Prince Edward Island: Costs, Rules &amp; Quotes (2026)</t>
        </is>
      </c>
      <c r="K215" s="36">
        <f>LEN(J215)</f>
        <v/>
      </c>
      <c r="L215" s="25" t="inlineStr">
        <is>
          <t>Life Insurance in Prince Edward Island: how it works under the PEI Superintendent, what drives price, instant estimates and advisors licensed in Prince Edward…</t>
        </is>
      </c>
      <c r="M215" s="36">
        <f>LEN(L215)</f>
        <v/>
      </c>
      <c r="N215" s="25" t="inlineStr">
        <is>
          <t>Life Insurance in Prince Edward Island</t>
        </is>
      </c>
      <c r="O215" s="36" t="n"/>
      <c r="P215" s="37" t="n"/>
      <c r="Q215" s="36" t="n"/>
      <c r="R215" s="36" t="inlineStr">
        <is>
          <t>life insurance prince edward island</t>
        </is>
      </c>
      <c r="S215" s="36">
        <f>COUNTIF('Page-Keyword Map'!$A$2:$A$675,B215)</f>
        <v/>
      </c>
      <c r="T215" s="37">
        <f>SUMIF('Page-Keyword Map'!$A$2:$A$675,B215,'Page-Keyword Map'!$H$2:$H$675)</f>
        <v/>
      </c>
      <c r="U215" s="36">
        <f>COUNTIFS('Page-Keyword Map'!$A$2:$A$675,B215,'Page-Keyword Map'!$E$2:$E$675,"Nationwide")</f>
        <v/>
      </c>
      <c r="V215" s="36">
        <f>COUNTIFS('Page-Keyword Map'!$A$2:$A$675,B215,'Page-Keyword Map'!$E$2:$E$675,"Provincial")</f>
        <v/>
      </c>
      <c r="W215" s="36">
        <f>COUNTIFS('Page-Keyword Map'!$A$2:$A$675,B215,'Page-Keyword Map'!$E$2:$E$675,"City")</f>
        <v/>
      </c>
      <c r="X215" s="36">
        <f>IF(O215="","",IF(ISNUMBER(SEARCH(O215,J215)),"Yes","No"))</f>
        <v/>
      </c>
      <c r="Y215" s="36" t="n">
        <v>0.7</v>
      </c>
      <c r="Z215" s="36" t="inlineStr">
        <is>
          <t>sitemap-provinces.xml</t>
        </is>
      </c>
      <c r="AA215" s="36" t="inlineStr">
        <is>
          <t>Live – indexable</t>
        </is>
      </c>
      <c r="AB215" s="38" t="n"/>
      <c r="AC215" s="38" t="n"/>
    </row>
    <row r="216" ht="23.85" customHeight="1" s="22">
      <c r="A216" s="36" t="inlineStr">
        <is>
          <t>P0215</t>
        </is>
      </c>
      <c r="B216" s="36" t="inlineStr">
        <is>
          <t>https://instasure.ca/life-insurance/quebec/</t>
        </is>
      </c>
      <c r="C216" s="36" t="inlineStr">
        <is>
          <t>Product × province</t>
        </is>
      </c>
      <c r="D216" s="36" t="inlineStr">
        <is>
          <t>Life insurance</t>
        </is>
      </c>
      <c r="E216" s="36" t="inlineStr">
        <is>
          <t>Life Insurance</t>
        </is>
      </c>
      <c r="F216" s="36" t="n"/>
      <c r="G216" s="36" t="inlineStr">
        <is>
          <t>Quebec</t>
        </is>
      </c>
      <c r="H216" s="36" t="n"/>
      <c r="I216" s="36" t="inlineStr">
        <is>
          <t>Yes</t>
        </is>
      </c>
      <c r="J216" s="25" t="inlineStr">
        <is>
          <t>Life Insurance in Quebec: Costs, Rules &amp; Quotes (2026)</t>
        </is>
      </c>
      <c r="K216" s="36">
        <f>LEN(J216)</f>
        <v/>
      </c>
      <c r="L216" s="25" t="inlineStr">
        <is>
          <t>Life Insurance in Quebec: how it works under AMF, what drives price, instant estimates and a waitlist for licensed advice in Quebec.</t>
        </is>
      </c>
      <c r="M216" s="36">
        <f>LEN(L216)</f>
        <v/>
      </c>
      <c r="N216" s="25" t="inlineStr">
        <is>
          <t>Life Insurance in Quebec</t>
        </is>
      </c>
      <c r="O216" s="36" t="inlineStr">
        <is>
          <t>life insurance quebec</t>
        </is>
      </c>
      <c r="P216" s="37" t="n">
        <v>160</v>
      </c>
      <c r="Q216" s="36" t="inlineStr">
        <is>
          <t>Provincial</t>
        </is>
      </c>
      <c r="R216" s="36" t="n"/>
      <c r="S216" s="36">
        <f>COUNTIF('Page-Keyword Map'!$A$2:$A$675,B216)</f>
        <v/>
      </c>
      <c r="T216" s="37">
        <f>SUMIF('Page-Keyword Map'!$A$2:$A$675,B216,'Page-Keyword Map'!$H$2:$H$675)</f>
        <v/>
      </c>
      <c r="U216" s="36">
        <f>COUNTIFS('Page-Keyword Map'!$A$2:$A$675,B216,'Page-Keyword Map'!$E$2:$E$675,"Nationwide")</f>
        <v/>
      </c>
      <c r="V216" s="36">
        <f>COUNTIFS('Page-Keyword Map'!$A$2:$A$675,B216,'Page-Keyword Map'!$E$2:$E$675,"Provincial")</f>
        <v/>
      </c>
      <c r="W216" s="36">
        <f>COUNTIFS('Page-Keyword Map'!$A$2:$A$675,B216,'Page-Keyword Map'!$E$2:$E$675,"City")</f>
        <v/>
      </c>
      <c r="X216" s="36">
        <f>IF(O216="","",IF(ISNUMBER(SEARCH(O216,J216)),"Yes","No"))</f>
        <v/>
      </c>
      <c r="Y216" s="36" t="n">
        <v>0.7</v>
      </c>
      <c r="Z216" s="36" t="inlineStr">
        <is>
          <t>sitemap-provinces.xml</t>
        </is>
      </c>
      <c r="AA216" s="36" t="inlineStr">
        <is>
          <t>Live – indexable</t>
        </is>
      </c>
      <c r="AB216" s="38" t="n"/>
      <c r="AC216" s="38" t="n"/>
    </row>
    <row r="217" ht="23.85" customHeight="1" s="22">
      <c r="A217" s="36" t="inlineStr">
        <is>
          <t>P0216</t>
        </is>
      </c>
      <c r="B217" s="36" t="inlineStr">
        <is>
          <t>https://instasure.ca/life-insurance/saskatchewan/</t>
        </is>
      </c>
      <c r="C217" s="36" t="inlineStr">
        <is>
          <t>Product × province</t>
        </is>
      </c>
      <c r="D217" s="36" t="inlineStr">
        <is>
          <t>Life insurance</t>
        </is>
      </c>
      <c r="E217" s="36" t="inlineStr">
        <is>
          <t>Life Insurance</t>
        </is>
      </c>
      <c r="F217" s="36" t="n"/>
      <c r="G217" s="36" t="inlineStr">
        <is>
          <t>Saskatchewan</t>
        </is>
      </c>
      <c r="H217" s="36" t="n"/>
      <c r="I217" s="36" t="inlineStr">
        <is>
          <t>Yes</t>
        </is>
      </c>
      <c r="J217" s="25" t="inlineStr">
        <is>
          <t>Life Insurance in Saskatchewan: Costs, Rules &amp; Quotes (2026)</t>
        </is>
      </c>
      <c r="K217" s="36">
        <f>LEN(J217)</f>
        <v/>
      </c>
      <c r="L217" s="25" t="inlineStr">
        <is>
          <t>Life Insurance in Saskatchewan: how it works under FCAA, what drives price, instant estimates and advisors licensed in Saskatchewan.</t>
        </is>
      </c>
      <c r="M217" s="36">
        <f>LEN(L217)</f>
        <v/>
      </c>
      <c r="N217" s="25" t="inlineStr">
        <is>
          <t>Life Insurance in Saskatchewan</t>
        </is>
      </c>
      <c r="O217" s="36" t="inlineStr">
        <is>
          <t>life insurance saskatchewan</t>
        </is>
      </c>
      <c r="P217" s="37" t="n">
        <v>84</v>
      </c>
      <c r="Q217" s="36" t="inlineStr">
        <is>
          <t>Provincial</t>
        </is>
      </c>
      <c r="R217" s="36" t="n"/>
      <c r="S217" s="36">
        <f>COUNTIF('Page-Keyword Map'!$A$2:$A$675,B217)</f>
        <v/>
      </c>
      <c r="T217" s="37">
        <f>SUMIF('Page-Keyword Map'!$A$2:$A$675,B217,'Page-Keyword Map'!$H$2:$H$675)</f>
        <v/>
      </c>
      <c r="U217" s="36">
        <f>COUNTIFS('Page-Keyword Map'!$A$2:$A$675,B217,'Page-Keyword Map'!$E$2:$E$675,"Nationwide")</f>
        <v/>
      </c>
      <c r="V217" s="36">
        <f>COUNTIFS('Page-Keyword Map'!$A$2:$A$675,B217,'Page-Keyword Map'!$E$2:$E$675,"Provincial")</f>
        <v/>
      </c>
      <c r="W217" s="36">
        <f>COUNTIFS('Page-Keyword Map'!$A$2:$A$675,B217,'Page-Keyword Map'!$E$2:$E$675,"City")</f>
        <v/>
      </c>
      <c r="X217" s="36">
        <f>IF(O217="","",IF(ISNUMBER(SEARCH(O217,J217)),"Yes","No"))</f>
        <v/>
      </c>
      <c r="Y217" s="36" t="n">
        <v>0.7</v>
      </c>
      <c r="Z217" s="36" t="inlineStr">
        <is>
          <t>sitemap-provinces.xml</t>
        </is>
      </c>
      <c r="AA217" s="36" t="inlineStr">
        <is>
          <t>Live – indexable</t>
        </is>
      </c>
      <c r="AB217" s="38" t="n"/>
      <c r="AC217" s="38" t="n"/>
    </row>
    <row r="218" ht="23.85" customHeight="1" s="22">
      <c r="A218" s="36" t="inlineStr">
        <is>
          <t>P0217</t>
        </is>
      </c>
      <c r="B218" s="36" t="inlineStr">
        <is>
          <t>https://instasure.ca/life-insurance/yukon/</t>
        </is>
      </c>
      <c r="C218" s="36" t="inlineStr">
        <is>
          <t>Product × province</t>
        </is>
      </c>
      <c r="D218" s="36" t="inlineStr">
        <is>
          <t>Life insurance</t>
        </is>
      </c>
      <c r="E218" s="36" t="inlineStr">
        <is>
          <t>Life Insurance</t>
        </is>
      </c>
      <c r="F218" s="36" t="n"/>
      <c r="G218" s="36" t="inlineStr">
        <is>
          <t>Yukon</t>
        </is>
      </c>
      <c r="H218" s="36" t="n"/>
      <c r="I218" s="36" t="inlineStr">
        <is>
          <t>Yes</t>
        </is>
      </c>
      <c r="J218" s="25" t="inlineStr">
        <is>
          <t>Life Insurance in Yukon: Costs, Rules &amp; Quotes (2026)</t>
        </is>
      </c>
      <c r="K218" s="36">
        <f>LEN(J218)</f>
        <v/>
      </c>
      <c r="L218" s="25" t="inlineStr">
        <is>
          <t>Life Insurance in Yukon: how it works under the Yukon Superintendent, what drives price, instant estimates and a waitlist for licensed advice in Yukon.</t>
        </is>
      </c>
      <c r="M218" s="36">
        <f>LEN(L218)</f>
        <v/>
      </c>
      <c r="N218" s="25" t="inlineStr">
        <is>
          <t>Life Insurance in Yukon</t>
        </is>
      </c>
      <c r="O218" s="36" t="n"/>
      <c r="P218" s="37" t="n"/>
      <c r="Q218" s="36" t="n"/>
      <c r="R218" s="36" t="inlineStr">
        <is>
          <t>life insurance yukon</t>
        </is>
      </c>
      <c r="S218" s="36">
        <f>COUNTIF('Page-Keyword Map'!$A$2:$A$675,B218)</f>
        <v/>
      </c>
      <c r="T218" s="37">
        <f>SUMIF('Page-Keyword Map'!$A$2:$A$675,B218,'Page-Keyword Map'!$H$2:$H$675)</f>
        <v/>
      </c>
      <c r="U218" s="36">
        <f>COUNTIFS('Page-Keyword Map'!$A$2:$A$675,B218,'Page-Keyword Map'!$E$2:$E$675,"Nationwide")</f>
        <v/>
      </c>
      <c r="V218" s="36">
        <f>COUNTIFS('Page-Keyword Map'!$A$2:$A$675,B218,'Page-Keyword Map'!$E$2:$E$675,"Provincial")</f>
        <v/>
      </c>
      <c r="W218" s="36">
        <f>COUNTIFS('Page-Keyword Map'!$A$2:$A$675,B218,'Page-Keyword Map'!$E$2:$E$675,"City")</f>
        <v/>
      </c>
      <c r="X218" s="36">
        <f>IF(O218="","",IF(ISNUMBER(SEARCH(O218,J218)),"Yes","No"))</f>
        <v/>
      </c>
      <c r="Y218" s="36" t="n">
        <v>0.7</v>
      </c>
      <c r="Z218" s="36" t="inlineStr">
        <is>
          <t>sitemap-provinces.xml</t>
        </is>
      </c>
      <c r="AA218" s="36" t="inlineStr">
        <is>
          <t>Live – indexable</t>
        </is>
      </c>
      <c r="AB218" s="38" t="n"/>
      <c r="AC218" s="38" t="n"/>
    </row>
    <row r="219" ht="23.85" customHeight="1" s="22">
      <c r="A219" s="36" t="inlineStr">
        <is>
          <t>P0218</t>
        </is>
      </c>
      <c r="B219" s="36" t="inlineStr">
        <is>
          <t>https://instasure.ca/mortgage-life-insurance/alberta/</t>
        </is>
      </c>
      <c r="C219" s="36" t="inlineStr">
        <is>
          <t>Product × province</t>
        </is>
      </c>
      <c r="D219" s="36" t="inlineStr">
        <is>
          <t>Mortgage protection</t>
        </is>
      </c>
      <c r="E219" s="36" t="inlineStr">
        <is>
          <t>Mortgage Life Insurance</t>
        </is>
      </c>
      <c r="F219" s="36" t="n"/>
      <c r="G219" s="36" t="inlineStr">
        <is>
          <t>Alberta</t>
        </is>
      </c>
      <c r="H219" s="36" t="n"/>
      <c r="I219" s="36" t="inlineStr">
        <is>
          <t>Yes</t>
        </is>
      </c>
      <c r="J219" s="25" t="inlineStr">
        <is>
          <t>Mortgage Life Insurance in Alberta: Costs, Rules &amp; Quotes (2026)</t>
        </is>
      </c>
      <c r="K219" s="36">
        <f>LEN(J219)</f>
        <v/>
      </c>
      <c r="L219" s="25" t="inlineStr">
        <is>
          <t>Mortgage Life Insurance in Alberta: how it works under the Superintendent of Insurance, what drives price, instant estimates and advisors licensed in Alberta.</t>
        </is>
      </c>
      <c r="M219" s="36">
        <f>LEN(L219)</f>
        <v/>
      </c>
      <c r="N219" s="25" t="inlineStr">
        <is>
          <t>Mortgage Life Insurance in Alberta</t>
        </is>
      </c>
      <c r="O219" s="36" t="inlineStr">
        <is>
          <t>mortgage life insurance alberta</t>
        </is>
      </c>
      <c r="P219" s="37" t="n">
        <v>52</v>
      </c>
      <c r="Q219" s="36" t="inlineStr">
        <is>
          <t>Provincial</t>
        </is>
      </c>
      <c r="R219" s="36" t="n"/>
      <c r="S219" s="36">
        <f>COUNTIF('Page-Keyword Map'!$A$2:$A$675,B219)</f>
        <v/>
      </c>
      <c r="T219" s="37">
        <f>SUMIF('Page-Keyword Map'!$A$2:$A$675,B219,'Page-Keyword Map'!$H$2:$H$675)</f>
        <v/>
      </c>
      <c r="U219" s="36">
        <f>COUNTIFS('Page-Keyword Map'!$A$2:$A$675,B219,'Page-Keyword Map'!$E$2:$E$675,"Nationwide")</f>
        <v/>
      </c>
      <c r="V219" s="36">
        <f>COUNTIFS('Page-Keyword Map'!$A$2:$A$675,B219,'Page-Keyword Map'!$E$2:$E$675,"Provincial")</f>
        <v/>
      </c>
      <c r="W219" s="36">
        <f>COUNTIFS('Page-Keyword Map'!$A$2:$A$675,B219,'Page-Keyword Map'!$E$2:$E$675,"City")</f>
        <v/>
      </c>
      <c r="X219" s="36">
        <f>IF(O219="","",IF(ISNUMBER(SEARCH(O219,J219)),"Yes","No"))</f>
        <v/>
      </c>
      <c r="Y219" s="36" t="n">
        <v>0.7</v>
      </c>
      <c r="Z219" s="36" t="inlineStr">
        <is>
          <t>sitemap-provinces.xml</t>
        </is>
      </c>
      <c r="AA219" s="36" t="inlineStr">
        <is>
          <t>Live – indexable</t>
        </is>
      </c>
      <c r="AB219" s="38" t="n"/>
      <c r="AC219" s="38" t="n"/>
    </row>
    <row r="220" ht="23.85" customHeight="1" s="22">
      <c r="A220" s="36" t="inlineStr">
        <is>
          <t>P0219</t>
        </is>
      </c>
      <c r="B220" s="36" t="inlineStr">
        <is>
          <t>https://instasure.ca/mortgage-life-insurance/british-columbia/</t>
        </is>
      </c>
      <c r="C220" s="36" t="inlineStr">
        <is>
          <t>Product × province</t>
        </is>
      </c>
      <c r="D220" s="36" t="inlineStr">
        <is>
          <t>Mortgage protection</t>
        </is>
      </c>
      <c r="E220" s="36" t="inlineStr">
        <is>
          <t>Mortgage Life Insurance</t>
        </is>
      </c>
      <c r="F220" s="36" t="n"/>
      <c r="G220" s="36" t="inlineStr">
        <is>
          <t>British Columbia</t>
        </is>
      </c>
      <c r="H220" s="36" t="n"/>
      <c r="I220" s="36" t="inlineStr">
        <is>
          <t>Yes</t>
        </is>
      </c>
      <c r="J220" s="25" t="inlineStr">
        <is>
          <t>Mortgage Life Insurance in British Columbia: Costs, Rules &amp; Quotes (2026)</t>
        </is>
      </c>
      <c r="K220" s="36">
        <f>LEN(J220)</f>
        <v/>
      </c>
      <c r="L220" s="25" t="inlineStr">
        <is>
          <t>Mortgage Life Insurance in British Columbia: how it works under BCFSA, what drives price, instant estimates and advisors licensed in British Columbia.</t>
        </is>
      </c>
      <c r="M220" s="36">
        <f>LEN(L220)</f>
        <v/>
      </c>
      <c r="N220" s="25" t="inlineStr">
        <is>
          <t>Mortgage Life Insurance in British Columbia</t>
        </is>
      </c>
      <c r="O220" s="36" t="inlineStr">
        <is>
          <t>mortgage life insurance bc</t>
        </is>
      </c>
      <c r="P220" s="37" t="n">
        <v>60</v>
      </c>
      <c r="Q220" s="36" t="inlineStr">
        <is>
          <t>Provincial</t>
        </is>
      </c>
      <c r="R220" s="36" t="n"/>
      <c r="S220" s="36">
        <f>COUNTIF('Page-Keyword Map'!$A$2:$A$675,B220)</f>
        <v/>
      </c>
      <c r="T220" s="37">
        <f>SUMIF('Page-Keyword Map'!$A$2:$A$675,B220,'Page-Keyword Map'!$H$2:$H$675)</f>
        <v/>
      </c>
      <c r="U220" s="36">
        <f>COUNTIFS('Page-Keyword Map'!$A$2:$A$675,B220,'Page-Keyword Map'!$E$2:$E$675,"Nationwide")</f>
        <v/>
      </c>
      <c r="V220" s="36">
        <f>COUNTIFS('Page-Keyword Map'!$A$2:$A$675,B220,'Page-Keyword Map'!$E$2:$E$675,"Provincial")</f>
        <v/>
      </c>
      <c r="W220" s="36">
        <f>COUNTIFS('Page-Keyword Map'!$A$2:$A$675,B220,'Page-Keyword Map'!$E$2:$E$675,"City")</f>
        <v/>
      </c>
      <c r="X220" s="36">
        <f>IF(O220="","",IF(ISNUMBER(SEARCH(O220,J220)),"Yes","No"))</f>
        <v/>
      </c>
      <c r="Y220" s="36" t="n">
        <v>0.7</v>
      </c>
      <c r="Z220" s="36" t="inlineStr">
        <is>
          <t>sitemap-provinces.xml</t>
        </is>
      </c>
      <c r="AA220" s="36" t="inlineStr">
        <is>
          <t>Live – indexable</t>
        </is>
      </c>
      <c r="AB220" s="38" t="n"/>
      <c r="AC220" s="38" t="n"/>
    </row>
    <row r="221" ht="23.85" customHeight="1" s="22">
      <c r="A221" s="36" t="inlineStr">
        <is>
          <t>P0220</t>
        </is>
      </c>
      <c r="B221" s="36" t="inlineStr">
        <is>
          <t>https://instasure.ca/mortgage-life-insurance/manitoba/</t>
        </is>
      </c>
      <c r="C221" s="36" t="inlineStr">
        <is>
          <t>Product × province</t>
        </is>
      </c>
      <c r="D221" s="36" t="inlineStr">
        <is>
          <t>Mortgage protection</t>
        </is>
      </c>
      <c r="E221" s="36" t="inlineStr">
        <is>
          <t>Mortgage Life Insurance</t>
        </is>
      </c>
      <c r="F221" s="36" t="n"/>
      <c r="G221" s="36" t="inlineStr">
        <is>
          <t>Manitoba</t>
        </is>
      </c>
      <c r="H221" s="36" t="n"/>
      <c r="I221" s="36" t="inlineStr">
        <is>
          <t>Yes</t>
        </is>
      </c>
      <c r="J221" s="25" t="inlineStr">
        <is>
          <t>Mortgage Life Insurance in Manitoba: Costs, Rules &amp; Quotes (2026)</t>
        </is>
      </c>
      <c r="K221" s="36">
        <f>LEN(J221)</f>
        <v/>
      </c>
      <c r="L221" s="25" t="inlineStr">
        <is>
          <t>Mortgage Life Insurance in Manitoba: how it works under FIRB, what drives price, instant estimates and advisors licensed in Manitoba.</t>
        </is>
      </c>
      <c r="M221" s="36">
        <f>LEN(L221)</f>
        <v/>
      </c>
      <c r="N221" s="25" t="inlineStr">
        <is>
          <t>Mortgage Life Insurance in Manitoba</t>
        </is>
      </c>
      <c r="O221" s="36" t="n"/>
      <c r="P221" s="37" t="n"/>
      <c r="Q221" s="36" t="n"/>
      <c r="R221" s="36" t="inlineStr">
        <is>
          <t>mortgage life insurance manitoba</t>
        </is>
      </c>
      <c r="S221" s="36">
        <f>COUNTIF('Page-Keyword Map'!$A$2:$A$675,B221)</f>
        <v/>
      </c>
      <c r="T221" s="37">
        <f>SUMIF('Page-Keyword Map'!$A$2:$A$675,B221,'Page-Keyword Map'!$H$2:$H$675)</f>
        <v/>
      </c>
      <c r="U221" s="36">
        <f>COUNTIFS('Page-Keyword Map'!$A$2:$A$675,B221,'Page-Keyword Map'!$E$2:$E$675,"Nationwide")</f>
        <v/>
      </c>
      <c r="V221" s="36">
        <f>COUNTIFS('Page-Keyword Map'!$A$2:$A$675,B221,'Page-Keyword Map'!$E$2:$E$675,"Provincial")</f>
        <v/>
      </c>
      <c r="W221" s="36">
        <f>COUNTIFS('Page-Keyword Map'!$A$2:$A$675,B221,'Page-Keyword Map'!$E$2:$E$675,"City")</f>
        <v/>
      </c>
      <c r="X221" s="36">
        <f>IF(O221="","",IF(ISNUMBER(SEARCH(O221,J221)),"Yes","No"))</f>
        <v/>
      </c>
      <c r="Y221" s="36" t="n">
        <v>0.7</v>
      </c>
      <c r="Z221" s="36" t="inlineStr">
        <is>
          <t>sitemap-provinces.xml</t>
        </is>
      </c>
      <c r="AA221" s="36" t="inlineStr">
        <is>
          <t>Live – indexable</t>
        </is>
      </c>
      <c r="AB221" s="38" t="n"/>
      <c r="AC221" s="38" t="n"/>
    </row>
    <row r="222" ht="23.85" customHeight="1" s="22">
      <c r="A222" s="36" t="inlineStr">
        <is>
          <t>P0221</t>
        </is>
      </c>
      <c r="B222" s="36" t="inlineStr">
        <is>
          <t>https://instasure.ca/mortgage-life-insurance/new-brunswick/</t>
        </is>
      </c>
      <c r="C222" s="36" t="inlineStr">
        <is>
          <t>Product × province</t>
        </is>
      </c>
      <c r="D222" s="36" t="inlineStr">
        <is>
          <t>Mortgage protection</t>
        </is>
      </c>
      <c r="E222" s="36" t="inlineStr">
        <is>
          <t>Mortgage Life Insurance</t>
        </is>
      </c>
      <c r="F222" s="36" t="n"/>
      <c r="G222" s="36" t="inlineStr">
        <is>
          <t>New Brunswick</t>
        </is>
      </c>
      <c r="H222" s="36" t="n"/>
      <c r="I222" s="36" t="inlineStr">
        <is>
          <t>Yes</t>
        </is>
      </c>
      <c r="J222" s="25" t="inlineStr">
        <is>
          <t>Mortgage Life Insurance in New Brunswick: Costs, Rules &amp; Quotes (2026)</t>
        </is>
      </c>
      <c r="K222" s="36">
        <f>LEN(J222)</f>
        <v/>
      </c>
      <c r="L222" s="25" t="inlineStr">
        <is>
          <t>Mortgage Life Insurance in New Brunswick: how it works under FCNB, what drives price, instant estimates and advisors licensed in New Brunswick.</t>
        </is>
      </c>
      <c r="M222" s="36">
        <f>LEN(L222)</f>
        <v/>
      </c>
      <c r="N222" s="25" t="inlineStr">
        <is>
          <t>Mortgage Life Insurance in New Brunswick</t>
        </is>
      </c>
      <c r="O222" s="36" t="n"/>
      <c r="P222" s="37" t="n"/>
      <c r="Q222" s="36" t="n"/>
      <c r="R222" s="36" t="inlineStr">
        <is>
          <t>mortgage life insurance new brunswick</t>
        </is>
      </c>
      <c r="S222" s="36">
        <f>COUNTIF('Page-Keyword Map'!$A$2:$A$675,B222)</f>
        <v/>
      </c>
      <c r="T222" s="37">
        <f>SUMIF('Page-Keyword Map'!$A$2:$A$675,B222,'Page-Keyword Map'!$H$2:$H$675)</f>
        <v/>
      </c>
      <c r="U222" s="36">
        <f>COUNTIFS('Page-Keyword Map'!$A$2:$A$675,B222,'Page-Keyword Map'!$E$2:$E$675,"Nationwide")</f>
        <v/>
      </c>
      <c r="V222" s="36">
        <f>COUNTIFS('Page-Keyword Map'!$A$2:$A$675,B222,'Page-Keyword Map'!$E$2:$E$675,"Provincial")</f>
        <v/>
      </c>
      <c r="W222" s="36">
        <f>COUNTIFS('Page-Keyword Map'!$A$2:$A$675,B222,'Page-Keyword Map'!$E$2:$E$675,"City")</f>
        <v/>
      </c>
      <c r="X222" s="36">
        <f>IF(O222="","",IF(ISNUMBER(SEARCH(O222,J222)),"Yes","No"))</f>
        <v/>
      </c>
      <c r="Y222" s="36" t="n">
        <v>0.7</v>
      </c>
      <c r="Z222" s="36" t="inlineStr">
        <is>
          <t>sitemap-provinces.xml</t>
        </is>
      </c>
      <c r="AA222" s="36" t="inlineStr">
        <is>
          <t>Live – indexable</t>
        </is>
      </c>
      <c r="AB222" s="38" t="n"/>
      <c r="AC222" s="38" t="n"/>
    </row>
    <row r="223" ht="23.85" customHeight="1" s="22">
      <c r="A223" s="36" t="inlineStr">
        <is>
          <t>P0222</t>
        </is>
      </c>
      <c r="B223" s="36" t="inlineStr">
        <is>
          <t>https://instasure.ca/mortgage-life-insurance/newfoundland-and-labrador/</t>
        </is>
      </c>
      <c r="C223" s="36" t="inlineStr">
        <is>
          <t>Product × province</t>
        </is>
      </c>
      <c r="D223" s="36" t="inlineStr">
        <is>
          <t>Mortgage protection</t>
        </is>
      </c>
      <c r="E223" s="36" t="inlineStr">
        <is>
          <t>Mortgage Life Insurance</t>
        </is>
      </c>
      <c r="F223" s="36" t="n"/>
      <c r="G223" s="36" t="inlineStr">
        <is>
          <t>Newfoundland and Labrador</t>
        </is>
      </c>
      <c r="H223" s="36" t="n"/>
      <c r="I223" s="36" t="inlineStr">
        <is>
          <t>Yes</t>
        </is>
      </c>
      <c r="J223" s="25" t="inlineStr">
        <is>
          <t>Mortgage Life Insurance in Newfoundland and Labrador: Costs, Rules &amp; Quotes (2026)</t>
        </is>
      </c>
      <c r="K223" s="36">
        <f>LEN(J223)</f>
        <v/>
      </c>
      <c r="L223" s="25" t="inlineStr">
        <is>
          <t>Mortgage Life Insurance in Newfoundland and Labrador: how it works under Service NL, what drives price, instant estimates and advisors licensed in Newfoundland and…</t>
        </is>
      </c>
      <c r="M223" s="36">
        <f>LEN(L223)</f>
        <v/>
      </c>
      <c r="N223" s="25" t="inlineStr">
        <is>
          <t>Mortgage Life Insurance in Newfoundland and Labrador</t>
        </is>
      </c>
      <c r="O223" s="36" t="n"/>
      <c r="P223" s="37" t="n"/>
      <c r="Q223" s="36" t="n"/>
      <c r="R223" s="36" t="inlineStr">
        <is>
          <t>mortgage life insurance newfoundland and labrador</t>
        </is>
      </c>
      <c r="S223" s="36">
        <f>COUNTIF('Page-Keyword Map'!$A$2:$A$675,B223)</f>
        <v/>
      </c>
      <c r="T223" s="37">
        <f>SUMIF('Page-Keyword Map'!$A$2:$A$675,B223,'Page-Keyword Map'!$H$2:$H$675)</f>
        <v/>
      </c>
      <c r="U223" s="36">
        <f>COUNTIFS('Page-Keyword Map'!$A$2:$A$675,B223,'Page-Keyword Map'!$E$2:$E$675,"Nationwide")</f>
        <v/>
      </c>
      <c r="V223" s="36">
        <f>COUNTIFS('Page-Keyword Map'!$A$2:$A$675,B223,'Page-Keyword Map'!$E$2:$E$675,"Provincial")</f>
        <v/>
      </c>
      <c r="W223" s="36">
        <f>COUNTIFS('Page-Keyword Map'!$A$2:$A$675,B223,'Page-Keyword Map'!$E$2:$E$675,"City")</f>
        <v/>
      </c>
      <c r="X223" s="36">
        <f>IF(O223="","",IF(ISNUMBER(SEARCH(O223,J223)),"Yes","No"))</f>
        <v/>
      </c>
      <c r="Y223" s="36" t="n">
        <v>0.7</v>
      </c>
      <c r="Z223" s="36" t="inlineStr">
        <is>
          <t>sitemap-provinces.xml</t>
        </is>
      </c>
      <c r="AA223" s="36" t="inlineStr">
        <is>
          <t>Live – indexable</t>
        </is>
      </c>
      <c r="AB223" s="38" t="n"/>
      <c r="AC223" s="38" t="n"/>
    </row>
    <row r="224" ht="23.85" customHeight="1" s="22">
      <c r="A224" s="36" t="inlineStr">
        <is>
          <t>P0223</t>
        </is>
      </c>
      <c r="B224" s="36" t="inlineStr">
        <is>
          <t>https://instasure.ca/mortgage-life-insurance/northwest-territories/</t>
        </is>
      </c>
      <c r="C224" s="36" t="inlineStr">
        <is>
          <t>Product × province</t>
        </is>
      </c>
      <c r="D224" s="36" t="inlineStr">
        <is>
          <t>Mortgage protection</t>
        </is>
      </c>
      <c r="E224" s="36" t="inlineStr">
        <is>
          <t>Mortgage Life Insurance</t>
        </is>
      </c>
      <c r="F224" s="36" t="n"/>
      <c r="G224" s="36" t="inlineStr">
        <is>
          <t>Northwest Territories</t>
        </is>
      </c>
      <c r="H224" s="36" t="n"/>
      <c r="I224" s="36" t="inlineStr">
        <is>
          <t>Yes</t>
        </is>
      </c>
      <c r="J224" s="25" t="inlineStr">
        <is>
          <t>Mortgage Life Insurance in Northwest Territories: Costs, Rules &amp; Quotes (2026)</t>
        </is>
      </c>
      <c r="K224" s="36">
        <f>LEN(J224)</f>
        <v/>
      </c>
      <c r="L224" s="25" t="inlineStr">
        <is>
          <t>Mortgage Life Insurance in Northwest Territories: how it works under the NWT Superintendent, what drives price, instant estimates and a waitlist for licensed…</t>
        </is>
      </c>
      <c r="M224" s="36">
        <f>LEN(L224)</f>
        <v/>
      </c>
      <c r="N224" s="25" t="inlineStr">
        <is>
          <t>Mortgage Life Insurance in Northwest Territories</t>
        </is>
      </c>
      <c r="O224" s="36" t="n"/>
      <c r="P224" s="37" t="n"/>
      <c r="Q224" s="36" t="n"/>
      <c r="R224" s="36" t="inlineStr">
        <is>
          <t>mortgage life insurance northwest territories</t>
        </is>
      </c>
      <c r="S224" s="36">
        <f>COUNTIF('Page-Keyword Map'!$A$2:$A$675,B224)</f>
        <v/>
      </c>
      <c r="T224" s="37">
        <f>SUMIF('Page-Keyword Map'!$A$2:$A$675,B224,'Page-Keyword Map'!$H$2:$H$675)</f>
        <v/>
      </c>
      <c r="U224" s="36">
        <f>COUNTIFS('Page-Keyword Map'!$A$2:$A$675,B224,'Page-Keyword Map'!$E$2:$E$675,"Nationwide")</f>
        <v/>
      </c>
      <c r="V224" s="36">
        <f>COUNTIFS('Page-Keyword Map'!$A$2:$A$675,B224,'Page-Keyword Map'!$E$2:$E$675,"Provincial")</f>
        <v/>
      </c>
      <c r="W224" s="36">
        <f>COUNTIFS('Page-Keyword Map'!$A$2:$A$675,B224,'Page-Keyword Map'!$E$2:$E$675,"City")</f>
        <v/>
      </c>
      <c r="X224" s="36">
        <f>IF(O224="","",IF(ISNUMBER(SEARCH(O224,J224)),"Yes","No"))</f>
        <v/>
      </c>
      <c r="Y224" s="36" t="n">
        <v>0.7</v>
      </c>
      <c r="Z224" s="36" t="inlineStr">
        <is>
          <t>sitemap-provinces.xml</t>
        </is>
      </c>
      <c r="AA224" s="36" t="inlineStr">
        <is>
          <t>Live – indexable</t>
        </is>
      </c>
      <c r="AB224" s="38" t="n"/>
      <c r="AC224" s="38" t="n"/>
    </row>
    <row r="225" ht="23.85" customHeight="1" s="22">
      <c r="A225" s="36" t="inlineStr">
        <is>
          <t>P0224</t>
        </is>
      </c>
      <c r="B225" s="36" t="inlineStr">
        <is>
          <t>https://instasure.ca/mortgage-life-insurance/nova-scotia/</t>
        </is>
      </c>
      <c r="C225" s="36" t="inlineStr">
        <is>
          <t>Product × province</t>
        </is>
      </c>
      <c r="D225" s="36" t="inlineStr">
        <is>
          <t>Mortgage protection</t>
        </is>
      </c>
      <c r="E225" s="36" t="inlineStr">
        <is>
          <t>Mortgage Life Insurance</t>
        </is>
      </c>
      <c r="F225" s="36" t="n"/>
      <c r="G225" s="36" t="inlineStr">
        <is>
          <t>Nova Scotia</t>
        </is>
      </c>
      <c r="H225" s="36" t="n"/>
      <c r="I225" s="36" t="inlineStr">
        <is>
          <t>Yes</t>
        </is>
      </c>
      <c r="J225" s="25" t="inlineStr">
        <is>
          <t>Mortgage Life Insurance in Nova Scotia: Costs, Rules &amp; Quotes (2026)</t>
        </is>
      </c>
      <c r="K225" s="36">
        <f>LEN(J225)</f>
        <v/>
      </c>
      <c r="L225" s="25" t="inlineStr">
        <is>
          <t>Mortgage Life Insurance in Nova Scotia: how it works under the NS Superintendent of Insurance, what drives price, instant estimates and advisors licensed in Nova…</t>
        </is>
      </c>
      <c r="M225" s="36">
        <f>LEN(L225)</f>
        <v/>
      </c>
      <c r="N225" s="25" t="inlineStr">
        <is>
          <t>Mortgage Life Insurance in Nova Scotia</t>
        </is>
      </c>
      <c r="O225" s="36" t="n"/>
      <c r="P225" s="37" t="n"/>
      <c r="Q225" s="36" t="n"/>
      <c r="R225" s="36" t="inlineStr">
        <is>
          <t>mortgage life insurance nova scotia</t>
        </is>
      </c>
      <c r="S225" s="36">
        <f>COUNTIF('Page-Keyword Map'!$A$2:$A$675,B225)</f>
        <v/>
      </c>
      <c r="T225" s="37">
        <f>SUMIF('Page-Keyword Map'!$A$2:$A$675,B225,'Page-Keyword Map'!$H$2:$H$675)</f>
        <v/>
      </c>
      <c r="U225" s="36">
        <f>COUNTIFS('Page-Keyword Map'!$A$2:$A$675,B225,'Page-Keyword Map'!$E$2:$E$675,"Nationwide")</f>
        <v/>
      </c>
      <c r="V225" s="36">
        <f>COUNTIFS('Page-Keyword Map'!$A$2:$A$675,B225,'Page-Keyword Map'!$E$2:$E$675,"Provincial")</f>
        <v/>
      </c>
      <c r="W225" s="36">
        <f>COUNTIFS('Page-Keyword Map'!$A$2:$A$675,B225,'Page-Keyword Map'!$E$2:$E$675,"City")</f>
        <v/>
      </c>
      <c r="X225" s="36">
        <f>IF(O225="","",IF(ISNUMBER(SEARCH(O225,J225)),"Yes","No"))</f>
        <v/>
      </c>
      <c r="Y225" s="36" t="n">
        <v>0.7</v>
      </c>
      <c r="Z225" s="36" t="inlineStr">
        <is>
          <t>sitemap-provinces.xml</t>
        </is>
      </c>
      <c r="AA225" s="36" t="inlineStr">
        <is>
          <t>Live – indexable</t>
        </is>
      </c>
      <c r="AB225" s="38" t="n"/>
      <c r="AC225" s="38" t="n"/>
    </row>
    <row r="226" ht="23.85" customHeight="1" s="22">
      <c r="A226" s="36" t="inlineStr">
        <is>
          <t>P0225</t>
        </is>
      </c>
      <c r="B226" s="36" t="inlineStr">
        <is>
          <t>https://instasure.ca/mortgage-life-insurance/nunavut/</t>
        </is>
      </c>
      <c r="C226" s="36" t="inlineStr">
        <is>
          <t>Product × province</t>
        </is>
      </c>
      <c r="D226" s="36" t="inlineStr">
        <is>
          <t>Mortgage protection</t>
        </is>
      </c>
      <c r="E226" s="36" t="inlineStr">
        <is>
          <t>Mortgage Life Insurance</t>
        </is>
      </c>
      <c r="F226" s="36" t="n"/>
      <c r="G226" s="36" t="inlineStr">
        <is>
          <t>Nunavut</t>
        </is>
      </c>
      <c r="H226" s="36" t="n"/>
      <c r="I226" s="36" t="inlineStr">
        <is>
          <t>Yes</t>
        </is>
      </c>
      <c r="J226" s="25" t="inlineStr">
        <is>
          <t>Mortgage Life Insurance in Nunavut: Costs, Rules &amp; Quotes (2026)</t>
        </is>
      </c>
      <c r="K226" s="36">
        <f>LEN(J226)</f>
        <v/>
      </c>
      <c r="L226" s="25" t="inlineStr">
        <is>
          <t>Mortgage Life Insurance in Nunavut: how it works under the Nunavut Superintendent, what drives price, instant estimates and a waitlist for licensed advice in…</t>
        </is>
      </c>
      <c r="M226" s="36">
        <f>LEN(L226)</f>
        <v/>
      </c>
      <c r="N226" s="25" t="inlineStr">
        <is>
          <t>Mortgage Life Insurance in Nunavut</t>
        </is>
      </c>
      <c r="O226" s="36" t="n"/>
      <c r="P226" s="37" t="n"/>
      <c r="Q226" s="36" t="n"/>
      <c r="R226" s="36" t="inlineStr">
        <is>
          <t>mortgage life insurance nunavut</t>
        </is>
      </c>
      <c r="S226" s="36">
        <f>COUNTIF('Page-Keyword Map'!$A$2:$A$675,B226)</f>
        <v/>
      </c>
      <c r="T226" s="37">
        <f>SUMIF('Page-Keyword Map'!$A$2:$A$675,B226,'Page-Keyword Map'!$H$2:$H$675)</f>
        <v/>
      </c>
      <c r="U226" s="36">
        <f>COUNTIFS('Page-Keyword Map'!$A$2:$A$675,B226,'Page-Keyword Map'!$E$2:$E$675,"Nationwide")</f>
        <v/>
      </c>
      <c r="V226" s="36">
        <f>COUNTIFS('Page-Keyword Map'!$A$2:$A$675,B226,'Page-Keyword Map'!$E$2:$E$675,"Provincial")</f>
        <v/>
      </c>
      <c r="W226" s="36">
        <f>COUNTIFS('Page-Keyword Map'!$A$2:$A$675,B226,'Page-Keyword Map'!$E$2:$E$675,"City")</f>
        <v/>
      </c>
      <c r="X226" s="36">
        <f>IF(O226="","",IF(ISNUMBER(SEARCH(O226,J226)),"Yes","No"))</f>
        <v/>
      </c>
      <c r="Y226" s="36" t="n">
        <v>0.7</v>
      </c>
      <c r="Z226" s="36" t="inlineStr">
        <is>
          <t>sitemap-provinces.xml</t>
        </is>
      </c>
      <c r="AA226" s="36" t="inlineStr">
        <is>
          <t>Live – indexable</t>
        </is>
      </c>
      <c r="AB226" s="38" t="n"/>
      <c r="AC226" s="38" t="n"/>
    </row>
    <row r="227" ht="23.85" customHeight="1" s="22">
      <c r="A227" s="36" t="inlineStr">
        <is>
          <t>P0226</t>
        </is>
      </c>
      <c r="B227" s="36" t="inlineStr">
        <is>
          <t>https://instasure.ca/mortgage-life-insurance/ontario/</t>
        </is>
      </c>
      <c r="C227" s="36" t="inlineStr">
        <is>
          <t>Product × province</t>
        </is>
      </c>
      <c r="D227" s="36" t="inlineStr">
        <is>
          <t>Mortgage protection</t>
        </is>
      </c>
      <c r="E227" s="36" t="inlineStr">
        <is>
          <t>Mortgage Life Insurance</t>
        </is>
      </c>
      <c r="F227" s="36" t="n"/>
      <c r="G227" s="36" t="inlineStr">
        <is>
          <t>Ontario</t>
        </is>
      </c>
      <c r="H227" s="36" t="n"/>
      <c r="I227" s="36" t="inlineStr">
        <is>
          <t>Yes</t>
        </is>
      </c>
      <c r="J227" s="25" t="inlineStr">
        <is>
          <t>Mortgage Life Insurance in Ontario: Costs, Rules &amp; Quotes (2026)</t>
        </is>
      </c>
      <c r="K227" s="36">
        <f>LEN(J227)</f>
        <v/>
      </c>
      <c r="L227" s="25" t="inlineStr">
        <is>
          <t>Mortgage Life Insurance in Ontario: how it works under FSRA, what drives price, instant estimates and advisors licensed in Ontario.</t>
        </is>
      </c>
      <c r="M227" s="36">
        <f>LEN(L227)</f>
        <v/>
      </c>
      <c r="N227" s="25" t="inlineStr">
        <is>
          <t>Mortgage Life Insurance in Ontario</t>
        </is>
      </c>
      <c r="O227" s="36" t="inlineStr">
        <is>
          <t>mortgage life insurance ontario</t>
        </is>
      </c>
      <c r="P227" s="37" t="n">
        <v>170</v>
      </c>
      <c r="Q227" s="36" t="inlineStr">
        <is>
          <t>Provincial</t>
        </is>
      </c>
      <c r="R227" s="36" t="n"/>
      <c r="S227" s="36">
        <f>COUNTIF('Page-Keyword Map'!$A$2:$A$675,B227)</f>
        <v/>
      </c>
      <c r="T227" s="37">
        <f>SUMIF('Page-Keyword Map'!$A$2:$A$675,B227,'Page-Keyword Map'!$H$2:$H$675)</f>
        <v/>
      </c>
      <c r="U227" s="36">
        <f>COUNTIFS('Page-Keyword Map'!$A$2:$A$675,B227,'Page-Keyword Map'!$E$2:$E$675,"Nationwide")</f>
        <v/>
      </c>
      <c r="V227" s="36">
        <f>COUNTIFS('Page-Keyword Map'!$A$2:$A$675,B227,'Page-Keyword Map'!$E$2:$E$675,"Provincial")</f>
        <v/>
      </c>
      <c r="W227" s="36">
        <f>COUNTIFS('Page-Keyword Map'!$A$2:$A$675,B227,'Page-Keyword Map'!$E$2:$E$675,"City")</f>
        <v/>
      </c>
      <c r="X227" s="36">
        <f>IF(O227="","",IF(ISNUMBER(SEARCH(O227,J227)),"Yes","No"))</f>
        <v/>
      </c>
      <c r="Y227" s="36" t="n">
        <v>0.7</v>
      </c>
      <c r="Z227" s="36" t="inlineStr">
        <is>
          <t>sitemap-provinces.xml</t>
        </is>
      </c>
      <c r="AA227" s="36" t="inlineStr">
        <is>
          <t>Live – indexable</t>
        </is>
      </c>
      <c r="AB227" s="38" t="n"/>
      <c r="AC227" s="38" t="n"/>
    </row>
    <row r="228" ht="23.85" customHeight="1" s="22">
      <c r="A228" s="36" t="inlineStr">
        <is>
          <t>P0227</t>
        </is>
      </c>
      <c r="B228" s="36" t="inlineStr">
        <is>
          <t>https://instasure.ca/mortgage-life-insurance/prince-edward-island/</t>
        </is>
      </c>
      <c r="C228" s="36" t="inlineStr">
        <is>
          <t>Product × province</t>
        </is>
      </c>
      <c r="D228" s="36" t="inlineStr">
        <is>
          <t>Mortgage protection</t>
        </is>
      </c>
      <c r="E228" s="36" t="inlineStr">
        <is>
          <t>Mortgage Life Insurance</t>
        </is>
      </c>
      <c r="F228" s="36" t="n"/>
      <c r="G228" s="36" t="inlineStr">
        <is>
          <t>Prince Edward Island</t>
        </is>
      </c>
      <c r="H228" s="36" t="n"/>
      <c r="I228" s="36" t="inlineStr">
        <is>
          <t>Yes</t>
        </is>
      </c>
      <c r="J228" s="25" t="inlineStr">
        <is>
          <t>Mortgage Life Insurance in Prince Edward Island: Costs, Rules &amp; Quotes (2026)</t>
        </is>
      </c>
      <c r="K228" s="36">
        <f>LEN(J228)</f>
        <v/>
      </c>
      <c r="L228" s="25" t="inlineStr">
        <is>
          <t>Mortgage Life Insurance in Prince Edward Island: how it works under the PEI Superintendent, what drives price, instant estimates and advisors licensed in Prince…</t>
        </is>
      </c>
      <c r="M228" s="36">
        <f>LEN(L228)</f>
        <v/>
      </c>
      <c r="N228" s="25" t="inlineStr">
        <is>
          <t>Mortgage Life Insurance in Prince Edward Island</t>
        </is>
      </c>
      <c r="O228" s="36" t="n"/>
      <c r="P228" s="37" t="n"/>
      <c r="Q228" s="36" t="n"/>
      <c r="R228" s="36" t="inlineStr">
        <is>
          <t>mortgage life insurance prince edward island</t>
        </is>
      </c>
      <c r="S228" s="36">
        <f>COUNTIF('Page-Keyword Map'!$A$2:$A$675,B228)</f>
        <v/>
      </c>
      <c r="T228" s="37">
        <f>SUMIF('Page-Keyword Map'!$A$2:$A$675,B228,'Page-Keyword Map'!$H$2:$H$675)</f>
        <v/>
      </c>
      <c r="U228" s="36">
        <f>COUNTIFS('Page-Keyword Map'!$A$2:$A$675,B228,'Page-Keyword Map'!$E$2:$E$675,"Nationwide")</f>
        <v/>
      </c>
      <c r="V228" s="36">
        <f>COUNTIFS('Page-Keyword Map'!$A$2:$A$675,B228,'Page-Keyword Map'!$E$2:$E$675,"Provincial")</f>
        <v/>
      </c>
      <c r="W228" s="36">
        <f>COUNTIFS('Page-Keyword Map'!$A$2:$A$675,B228,'Page-Keyword Map'!$E$2:$E$675,"City")</f>
        <v/>
      </c>
      <c r="X228" s="36">
        <f>IF(O228="","",IF(ISNUMBER(SEARCH(O228,J228)),"Yes","No"))</f>
        <v/>
      </c>
      <c r="Y228" s="36" t="n">
        <v>0.7</v>
      </c>
      <c r="Z228" s="36" t="inlineStr">
        <is>
          <t>sitemap-provinces.xml</t>
        </is>
      </c>
      <c r="AA228" s="36" t="inlineStr">
        <is>
          <t>Live – indexable</t>
        </is>
      </c>
      <c r="AB228" s="38" t="n"/>
      <c r="AC228" s="38" t="n"/>
    </row>
    <row r="229" ht="23.85" customHeight="1" s="22">
      <c r="A229" s="36" t="inlineStr">
        <is>
          <t>P0228</t>
        </is>
      </c>
      <c r="B229" s="36" t="inlineStr">
        <is>
          <t>https://instasure.ca/mortgage-life-insurance/quebec/</t>
        </is>
      </c>
      <c r="C229" s="36" t="inlineStr">
        <is>
          <t>Product × province</t>
        </is>
      </c>
      <c r="D229" s="36" t="inlineStr">
        <is>
          <t>Mortgage protection</t>
        </is>
      </c>
      <c r="E229" s="36" t="inlineStr">
        <is>
          <t>Mortgage Life Insurance</t>
        </is>
      </c>
      <c r="F229" s="36" t="n"/>
      <c r="G229" s="36" t="inlineStr">
        <is>
          <t>Quebec</t>
        </is>
      </c>
      <c r="H229" s="36" t="n"/>
      <c r="I229" s="36" t="inlineStr">
        <is>
          <t>Yes</t>
        </is>
      </c>
      <c r="J229" s="25" t="inlineStr">
        <is>
          <t>Mortgage Life Insurance in Quebec: Costs, Rules &amp; Quotes (2026)</t>
        </is>
      </c>
      <c r="K229" s="36">
        <f>LEN(J229)</f>
        <v/>
      </c>
      <c r="L229" s="25" t="inlineStr">
        <is>
          <t>Mortgage Life Insurance in Quebec: how it works under AMF, what drives price, instant estimates and a waitlist for licensed advice in Quebec.</t>
        </is>
      </c>
      <c r="M229" s="36">
        <f>LEN(L229)</f>
        <v/>
      </c>
      <c r="N229" s="25" t="inlineStr">
        <is>
          <t>Mortgage Life Insurance in Quebec</t>
        </is>
      </c>
      <c r="O229" s="36" t="inlineStr">
        <is>
          <t>mortgage life insurance quebec</t>
        </is>
      </c>
      <c r="P229" s="37" t="n">
        <v>30</v>
      </c>
      <c r="Q229" s="36" t="inlineStr">
        <is>
          <t>Provincial</t>
        </is>
      </c>
      <c r="R229" s="36" t="n"/>
      <c r="S229" s="36">
        <f>COUNTIF('Page-Keyword Map'!$A$2:$A$675,B229)</f>
        <v/>
      </c>
      <c r="T229" s="37">
        <f>SUMIF('Page-Keyword Map'!$A$2:$A$675,B229,'Page-Keyword Map'!$H$2:$H$675)</f>
        <v/>
      </c>
      <c r="U229" s="36">
        <f>COUNTIFS('Page-Keyword Map'!$A$2:$A$675,B229,'Page-Keyword Map'!$E$2:$E$675,"Nationwide")</f>
        <v/>
      </c>
      <c r="V229" s="36">
        <f>COUNTIFS('Page-Keyword Map'!$A$2:$A$675,B229,'Page-Keyword Map'!$E$2:$E$675,"Provincial")</f>
        <v/>
      </c>
      <c r="W229" s="36">
        <f>COUNTIFS('Page-Keyword Map'!$A$2:$A$675,B229,'Page-Keyword Map'!$E$2:$E$675,"City")</f>
        <v/>
      </c>
      <c r="X229" s="36">
        <f>IF(O229="","",IF(ISNUMBER(SEARCH(O229,J229)),"Yes","No"))</f>
        <v/>
      </c>
      <c r="Y229" s="36" t="n">
        <v>0.7</v>
      </c>
      <c r="Z229" s="36" t="inlineStr">
        <is>
          <t>sitemap-provinces.xml</t>
        </is>
      </c>
      <c r="AA229" s="36" t="inlineStr">
        <is>
          <t>Live – indexable</t>
        </is>
      </c>
      <c r="AB229" s="38" t="n"/>
      <c r="AC229" s="38" t="n"/>
    </row>
    <row r="230" ht="23.85" customHeight="1" s="22">
      <c r="A230" s="36" t="inlineStr">
        <is>
          <t>P0229</t>
        </is>
      </c>
      <c r="B230" s="36" t="inlineStr">
        <is>
          <t>https://instasure.ca/mortgage-life-insurance/saskatchewan/</t>
        </is>
      </c>
      <c r="C230" s="36" t="inlineStr">
        <is>
          <t>Product × province</t>
        </is>
      </c>
      <c r="D230" s="36" t="inlineStr">
        <is>
          <t>Mortgage protection</t>
        </is>
      </c>
      <c r="E230" s="36" t="inlineStr">
        <is>
          <t>Mortgage Life Insurance</t>
        </is>
      </c>
      <c r="F230" s="36" t="n"/>
      <c r="G230" s="36" t="inlineStr">
        <is>
          <t>Saskatchewan</t>
        </is>
      </c>
      <c r="H230" s="36" t="n"/>
      <c r="I230" s="36" t="inlineStr">
        <is>
          <t>Yes</t>
        </is>
      </c>
      <c r="J230" s="25" t="inlineStr">
        <is>
          <t>Mortgage Life Insurance in Saskatchewan: Costs, Rules &amp; Quotes (2026)</t>
        </is>
      </c>
      <c r="K230" s="36">
        <f>LEN(J230)</f>
        <v/>
      </c>
      <c r="L230" s="25" t="inlineStr">
        <is>
          <t>Mortgage Life Insurance in Saskatchewan: how it works under FCAA, what drives price, instant estimates and advisors licensed in Saskatchewan.</t>
        </is>
      </c>
      <c r="M230" s="36">
        <f>LEN(L230)</f>
        <v/>
      </c>
      <c r="N230" s="25" t="inlineStr">
        <is>
          <t>Mortgage Life Insurance in Saskatchewan</t>
        </is>
      </c>
      <c r="O230" s="36" t="n"/>
      <c r="P230" s="37" t="n"/>
      <c r="Q230" s="36" t="n"/>
      <c r="R230" s="36" t="inlineStr">
        <is>
          <t>mortgage life insurance saskatchewan</t>
        </is>
      </c>
      <c r="S230" s="36">
        <f>COUNTIF('Page-Keyword Map'!$A$2:$A$675,B230)</f>
        <v/>
      </c>
      <c r="T230" s="37">
        <f>SUMIF('Page-Keyword Map'!$A$2:$A$675,B230,'Page-Keyword Map'!$H$2:$H$675)</f>
        <v/>
      </c>
      <c r="U230" s="36">
        <f>COUNTIFS('Page-Keyword Map'!$A$2:$A$675,B230,'Page-Keyword Map'!$E$2:$E$675,"Nationwide")</f>
        <v/>
      </c>
      <c r="V230" s="36">
        <f>COUNTIFS('Page-Keyword Map'!$A$2:$A$675,B230,'Page-Keyword Map'!$E$2:$E$675,"Provincial")</f>
        <v/>
      </c>
      <c r="W230" s="36">
        <f>COUNTIFS('Page-Keyword Map'!$A$2:$A$675,B230,'Page-Keyword Map'!$E$2:$E$675,"City")</f>
        <v/>
      </c>
      <c r="X230" s="36">
        <f>IF(O230="","",IF(ISNUMBER(SEARCH(O230,J230)),"Yes","No"))</f>
        <v/>
      </c>
      <c r="Y230" s="36" t="n">
        <v>0.7</v>
      </c>
      <c r="Z230" s="36" t="inlineStr">
        <is>
          <t>sitemap-provinces.xml</t>
        </is>
      </c>
      <c r="AA230" s="36" t="inlineStr">
        <is>
          <t>Live – indexable</t>
        </is>
      </c>
      <c r="AB230" s="38" t="n"/>
      <c r="AC230" s="38" t="n"/>
    </row>
    <row r="231" ht="23.85" customHeight="1" s="22">
      <c r="A231" s="36" t="inlineStr">
        <is>
          <t>P0230</t>
        </is>
      </c>
      <c r="B231" s="36" t="inlineStr">
        <is>
          <t>https://instasure.ca/mortgage-life-insurance/yukon/</t>
        </is>
      </c>
      <c r="C231" s="36" t="inlineStr">
        <is>
          <t>Product × province</t>
        </is>
      </c>
      <c r="D231" s="36" t="inlineStr">
        <is>
          <t>Mortgage protection</t>
        </is>
      </c>
      <c r="E231" s="36" t="inlineStr">
        <is>
          <t>Mortgage Life Insurance</t>
        </is>
      </c>
      <c r="F231" s="36" t="n"/>
      <c r="G231" s="36" t="inlineStr">
        <is>
          <t>Yukon</t>
        </is>
      </c>
      <c r="H231" s="36" t="n"/>
      <c r="I231" s="36" t="inlineStr">
        <is>
          <t>Yes</t>
        </is>
      </c>
      <c r="J231" s="25" t="inlineStr">
        <is>
          <t>Mortgage Life Insurance in Yukon: Costs, Rules &amp; Quotes (2026)</t>
        </is>
      </c>
      <c r="K231" s="36">
        <f>LEN(J231)</f>
        <v/>
      </c>
      <c r="L231" s="25" t="inlineStr">
        <is>
          <t>Mortgage Life Insurance in Yukon: how it works under the Yukon Superintendent, what drives price, instant estimates and a waitlist for licensed advice in Yukon.</t>
        </is>
      </c>
      <c r="M231" s="36">
        <f>LEN(L231)</f>
        <v/>
      </c>
      <c r="N231" s="25" t="inlineStr">
        <is>
          <t>Mortgage Life Insurance in Yukon</t>
        </is>
      </c>
      <c r="O231" s="36" t="n"/>
      <c r="P231" s="37" t="n"/>
      <c r="Q231" s="36" t="n"/>
      <c r="R231" s="36" t="inlineStr">
        <is>
          <t>mortgage life insurance yukon</t>
        </is>
      </c>
      <c r="S231" s="36">
        <f>COUNTIF('Page-Keyword Map'!$A$2:$A$675,B231)</f>
        <v/>
      </c>
      <c r="T231" s="37">
        <f>SUMIF('Page-Keyword Map'!$A$2:$A$675,B231,'Page-Keyword Map'!$H$2:$H$675)</f>
        <v/>
      </c>
      <c r="U231" s="36">
        <f>COUNTIFS('Page-Keyword Map'!$A$2:$A$675,B231,'Page-Keyword Map'!$E$2:$E$675,"Nationwide")</f>
        <v/>
      </c>
      <c r="V231" s="36">
        <f>COUNTIFS('Page-Keyword Map'!$A$2:$A$675,B231,'Page-Keyword Map'!$E$2:$E$675,"Provincial")</f>
        <v/>
      </c>
      <c r="W231" s="36">
        <f>COUNTIFS('Page-Keyword Map'!$A$2:$A$675,B231,'Page-Keyword Map'!$E$2:$E$675,"City")</f>
        <v/>
      </c>
      <c r="X231" s="36">
        <f>IF(O231="","",IF(ISNUMBER(SEARCH(O231,J231)),"Yes","No"))</f>
        <v/>
      </c>
      <c r="Y231" s="36" t="n">
        <v>0.7</v>
      </c>
      <c r="Z231" s="36" t="inlineStr">
        <is>
          <t>sitemap-provinces.xml</t>
        </is>
      </c>
      <c r="AA231" s="36" t="inlineStr">
        <is>
          <t>Live – indexable</t>
        </is>
      </c>
      <c r="AB231" s="38" t="n"/>
      <c r="AC231" s="38" t="n"/>
    </row>
    <row r="232" ht="23.85" customHeight="1" s="22">
      <c r="A232" s="36" t="inlineStr">
        <is>
          <t>P0231</t>
        </is>
      </c>
      <c r="B232" s="36" t="inlineStr">
        <is>
          <t>https://instasure.ca/no-medical-life-insurance/alberta/</t>
        </is>
      </c>
      <c r="C232" s="36" t="inlineStr">
        <is>
          <t>Product × province</t>
        </is>
      </c>
      <c r="D232" s="36" t="inlineStr">
        <is>
          <t>Life insurance</t>
        </is>
      </c>
      <c r="E232" s="36" t="inlineStr">
        <is>
          <t>No-Medical Life Insurance</t>
        </is>
      </c>
      <c r="F232" s="36" t="n"/>
      <c r="G232" s="36" t="inlineStr">
        <is>
          <t>Alberta</t>
        </is>
      </c>
      <c r="H232" s="36" t="n"/>
      <c r="I232" s="36" t="inlineStr">
        <is>
          <t>Yes</t>
        </is>
      </c>
      <c r="J232" s="25" t="inlineStr">
        <is>
          <t>No-Medical Life Insurance in Alberta: Costs, Rules &amp; Quotes (2026)</t>
        </is>
      </c>
      <c r="K232" s="36">
        <f>LEN(J232)</f>
        <v/>
      </c>
      <c r="L232" s="25" t="inlineStr">
        <is>
          <t>No-Medical Life Insurance in Alberta: how it works under the Superintendent of Insurance, what drives price, instant estimates and advisors licensed in Alberta.</t>
        </is>
      </c>
      <c r="M232" s="36">
        <f>LEN(L232)</f>
        <v/>
      </c>
      <c r="N232" s="25" t="inlineStr">
        <is>
          <t>No-Medical Life Insurance in Alberta</t>
        </is>
      </c>
      <c r="O232" s="36" t="n"/>
      <c r="P232" s="37" t="n"/>
      <c r="Q232" s="36" t="n"/>
      <c r="R232" s="36" t="inlineStr">
        <is>
          <t>no-medical life insurance alberta</t>
        </is>
      </c>
      <c r="S232" s="36">
        <f>COUNTIF('Page-Keyword Map'!$A$2:$A$675,B232)</f>
        <v/>
      </c>
      <c r="T232" s="37">
        <f>SUMIF('Page-Keyword Map'!$A$2:$A$675,B232,'Page-Keyword Map'!$H$2:$H$675)</f>
        <v/>
      </c>
      <c r="U232" s="36">
        <f>COUNTIFS('Page-Keyword Map'!$A$2:$A$675,B232,'Page-Keyword Map'!$E$2:$E$675,"Nationwide")</f>
        <v/>
      </c>
      <c r="V232" s="36">
        <f>COUNTIFS('Page-Keyword Map'!$A$2:$A$675,B232,'Page-Keyword Map'!$E$2:$E$675,"Provincial")</f>
        <v/>
      </c>
      <c r="W232" s="36">
        <f>COUNTIFS('Page-Keyword Map'!$A$2:$A$675,B232,'Page-Keyword Map'!$E$2:$E$675,"City")</f>
        <v/>
      </c>
      <c r="X232" s="36">
        <f>IF(O232="","",IF(ISNUMBER(SEARCH(O232,J232)),"Yes","No"))</f>
        <v/>
      </c>
      <c r="Y232" s="36" t="n">
        <v>0.7</v>
      </c>
      <c r="Z232" s="36" t="inlineStr">
        <is>
          <t>sitemap-provinces.xml</t>
        </is>
      </c>
      <c r="AA232" s="36" t="inlineStr">
        <is>
          <t>Live – indexable</t>
        </is>
      </c>
      <c r="AB232" s="38" t="n"/>
      <c r="AC232" s="38" t="n"/>
    </row>
    <row r="233" ht="23.85" customHeight="1" s="22">
      <c r="A233" s="36" t="inlineStr">
        <is>
          <t>P0232</t>
        </is>
      </c>
      <c r="B233" s="36" t="inlineStr">
        <is>
          <t>https://instasure.ca/no-medical-life-insurance/british-columbia/</t>
        </is>
      </c>
      <c r="C233" s="36" t="inlineStr">
        <is>
          <t>Product × province</t>
        </is>
      </c>
      <c r="D233" s="36" t="inlineStr">
        <is>
          <t>Life insurance</t>
        </is>
      </c>
      <c r="E233" s="36" t="inlineStr">
        <is>
          <t>No-Medical Life Insurance</t>
        </is>
      </c>
      <c r="F233" s="36" t="n"/>
      <c r="G233" s="36" t="inlineStr">
        <is>
          <t>British Columbia</t>
        </is>
      </c>
      <c r="H233" s="36" t="n"/>
      <c r="I233" s="36" t="inlineStr">
        <is>
          <t>Yes</t>
        </is>
      </c>
      <c r="J233" s="25" t="inlineStr">
        <is>
          <t>No-Medical Life Insurance in British Columbia: Costs, Rules &amp; Quotes (2026)</t>
        </is>
      </c>
      <c r="K233" s="36">
        <f>LEN(J233)</f>
        <v/>
      </c>
      <c r="L233" s="25" t="inlineStr">
        <is>
          <t>No-Medical Life Insurance in British Columbia: how it works under BCFSA, what drives price, instant estimates and advisors licensed in British Columbia.</t>
        </is>
      </c>
      <c r="M233" s="36">
        <f>LEN(L233)</f>
        <v/>
      </c>
      <c r="N233" s="25" t="inlineStr">
        <is>
          <t>No-Medical Life Insurance in British Columbia</t>
        </is>
      </c>
      <c r="O233" s="36" t="n"/>
      <c r="P233" s="37" t="n"/>
      <c r="Q233" s="36" t="n"/>
      <c r="R233" s="36" t="inlineStr">
        <is>
          <t>no-medical life insurance british columbia</t>
        </is>
      </c>
      <c r="S233" s="36">
        <f>COUNTIF('Page-Keyword Map'!$A$2:$A$675,B233)</f>
        <v/>
      </c>
      <c r="T233" s="37">
        <f>SUMIF('Page-Keyword Map'!$A$2:$A$675,B233,'Page-Keyword Map'!$H$2:$H$675)</f>
        <v/>
      </c>
      <c r="U233" s="36">
        <f>COUNTIFS('Page-Keyword Map'!$A$2:$A$675,B233,'Page-Keyword Map'!$E$2:$E$675,"Nationwide")</f>
        <v/>
      </c>
      <c r="V233" s="36">
        <f>COUNTIFS('Page-Keyword Map'!$A$2:$A$675,B233,'Page-Keyword Map'!$E$2:$E$675,"Provincial")</f>
        <v/>
      </c>
      <c r="W233" s="36">
        <f>COUNTIFS('Page-Keyword Map'!$A$2:$A$675,B233,'Page-Keyword Map'!$E$2:$E$675,"City")</f>
        <v/>
      </c>
      <c r="X233" s="36">
        <f>IF(O233="","",IF(ISNUMBER(SEARCH(O233,J233)),"Yes","No"))</f>
        <v/>
      </c>
      <c r="Y233" s="36" t="n">
        <v>0.7</v>
      </c>
      <c r="Z233" s="36" t="inlineStr">
        <is>
          <t>sitemap-provinces.xml</t>
        </is>
      </c>
      <c r="AA233" s="36" t="inlineStr">
        <is>
          <t>Live – indexable</t>
        </is>
      </c>
      <c r="AB233" s="38" t="n"/>
      <c r="AC233" s="38" t="n"/>
    </row>
    <row r="234" ht="23.85" customHeight="1" s="22">
      <c r="A234" s="36" t="inlineStr">
        <is>
          <t>P0233</t>
        </is>
      </c>
      <c r="B234" s="36" t="inlineStr">
        <is>
          <t>https://instasure.ca/no-medical-life-insurance/manitoba/</t>
        </is>
      </c>
      <c r="C234" s="36" t="inlineStr">
        <is>
          <t>Product × province</t>
        </is>
      </c>
      <c r="D234" s="36" t="inlineStr">
        <is>
          <t>Life insurance</t>
        </is>
      </c>
      <c r="E234" s="36" t="inlineStr">
        <is>
          <t>No-Medical Life Insurance</t>
        </is>
      </c>
      <c r="F234" s="36" t="n"/>
      <c r="G234" s="36" t="inlineStr">
        <is>
          <t>Manitoba</t>
        </is>
      </c>
      <c r="H234" s="36" t="n"/>
      <c r="I234" s="36" t="inlineStr">
        <is>
          <t>Yes</t>
        </is>
      </c>
      <c r="J234" s="25" t="inlineStr">
        <is>
          <t>No-Medical Life Insurance in Manitoba: Costs, Rules &amp; Quotes (2026)</t>
        </is>
      </c>
      <c r="K234" s="36">
        <f>LEN(J234)</f>
        <v/>
      </c>
      <c r="L234" s="25" t="inlineStr">
        <is>
          <t>No-Medical Life Insurance in Manitoba: how it works under FIRB, what drives price, instant estimates and advisors licensed in Manitoba.</t>
        </is>
      </c>
      <c r="M234" s="36">
        <f>LEN(L234)</f>
        <v/>
      </c>
      <c r="N234" s="25" t="inlineStr">
        <is>
          <t>No-Medical Life Insurance in Manitoba</t>
        </is>
      </c>
      <c r="O234" s="36" t="n"/>
      <c r="P234" s="37" t="n"/>
      <c r="Q234" s="36" t="n"/>
      <c r="R234" s="36" t="inlineStr">
        <is>
          <t>no-medical life insurance manitoba</t>
        </is>
      </c>
      <c r="S234" s="36">
        <f>COUNTIF('Page-Keyword Map'!$A$2:$A$675,B234)</f>
        <v/>
      </c>
      <c r="T234" s="37">
        <f>SUMIF('Page-Keyword Map'!$A$2:$A$675,B234,'Page-Keyword Map'!$H$2:$H$675)</f>
        <v/>
      </c>
      <c r="U234" s="36">
        <f>COUNTIFS('Page-Keyword Map'!$A$2:$A$675,B234,'Page-Keyword Map'!$E$2:$E$675,"Nationwide")</f>
        <v/>
      </c>
      <c r="V234" s="36">
        <f>COUNTIFS('Page-Keyword Map'!$A$2:$A$675,B234,'Page-Keyword Map'!$E$2:$E$675,"Provincial")</f>
        <v/>
      </c>
      <c r="W234" s="36">
        <f>COUNTIFS('Page-Keyword Map'!$A$2:$A$675,B234,'Page-Keyword Map'!$E$2:$E$675,"City")</f>
        <v/>
      </c>
      <c r="X234" s="36">
        <f>IF(O234="","",IF(ISNUMBER(SEARCH(O234,J234)),"Yes","No"))</f>
        <v/>
      </c>
      <c r="Y234" s="36" t="n">
        <v>0.7</v>
      </c>
      <c r="Z234" s="36" t="inlineStr">
        <is>
          <t>sitemap-provinces.xml</t>
        </is>
      </c>
      <c r="AA234" s="36" t="inlineStr">
        <is>
          <t>Live – indexable</t>
        </is>
      </c>
      <c r="AB234" s="38" t="n"/>
      <c r="AC234" s="38" t="n"/>
    </row>
    <row r="235" ht="23.85" customHeight="1" s="22">
      <c r="A235" s="36" t="inlineStr">
        <is>
          <t>P0234</t>
        </is>
      </c>
      <c r="B235" s="36" t="inlineStr">
        <is>
          <t>https://instasure.ca/no-medical-life-insurance/new-brunswick/</t>
        </is>
      </c>
      <c r="C235" s="36" t="inlineStr">
        <is>
          <t>Product × province</t>
        </is>
      </c>
      <c r="D235" s="36" t="inlineStr">
        <is>
          <t>Life insurance</t>
        </is>
      </c>
      <c r="E235" s="36" t="inlineStr">
        <is>
          <t>No-Medical Life Insurance</t>
        </is>
      </c>
      <c r="F235" s="36" t="n"/>
      <c r="G235" s="36" t="inlineStr">
        <is>
          <t>New Brunswick</t>
        </is>
      </c>
      <c r="H235" s="36" t="n"/>
      <c r="I235" s="36" t="inlineStr">
        <is>
          <t>Yes</t>
        </is>
      </c>
      <c r="J235" s="25" t="inlineStr">
        <is>
          <t>No-Medical Life Insurance in New Brunswick: Costs, Rules &amp; Quotes (2026)</t>
        </is>
      </c>
      <c r="K235" s="36">
        <f>LEN(J235)</f>
        <v/>
      </c>
      <c r="L235" s="25" t="inlineStr">
        <is>
          <t>No-Medical Life Insurance in New Brunswick: how it works under FCNB, what drives price, instant estimates and advisors licensed in New Brunswick.</t>
        </is>
      </c>
      <c r="M235" s="36">
        <f>LEN(L235)</f>
        <v/>
      </c>
      <c r="N235" s="25" t="inlineStr">
        <is>
          <t>No-Medical Life Insurance in New Brunswick</t>
        </is>
      </c>
      <c r="O235" s="36" t="n"/>
      <c r="P235" s="37" t="n"/>
      <c r="Q235" s="36" t="n"/>
      <c r="R235" s="36" t="inlineStr">
        <is>
          <t>no-medical life insurance new brunswick</t>
        </is>
      </c>
      <c r="S235" s="36">
        <f>COUNTIF('Page-Keyword Map'!$A$2:$A$675,B235)</f>
        <v/>
      </c>
      <c r="T235" s="37">
        <f>SUMIF('Page-Keyword Map'!$A$2:$A$675,B235,'Page-Keyword Map'!$H$2:$H$675)</f>
        <v/>
      </c>
      <c r="U235" s="36">
        <f>COUNTIFS('Page-Keyword Map'!$A$2:$A$675,B235,'Page-Keyword Map'!$E$2:$E$675,"Nationwide")</f>
        <v/>
      </c>
      <c r="V235" s="36">
        <f>COUNTIFS('Page-Keyword Map'!$A$2:$A$675,B235,'Page-Keyword Map'!$E$2:$E$675,"Provincial")</f>
        <v/>
      </c>
      <c r="W235" s="36">
        <f>COUNTIFS('Page-Keyword Map'!$A$2:$A$675,B235,'Page-Keyword Map'!$E$2:$E$675,"City")</f>
        <v/>
      </c>
      <c r="X235" s="36">
        <f>IF(O235="","",IF(ISNUMBER(SEARCH(O235,J235)),"Yes","No"))</f>
        <v/>
      </c>
      <c r="Y235" s="36" t="n">
        <v>0.7</v>
      </c>
      <c r="Z235" s="36" t="inlineStr">
        <is>
          <t>sitemap-provinces.xml</t>
        </is>
      </c>
      <c r="AA235" s="36" t="inlineStr">
        <is>
          <t>Live – indexable</t>
        </is>
      </c>
      <c r="AB235" s="38" t="n"/>
      <c r="AC235" s="38" t="n"/>
    </row>
    <row r="236" ht="23.85" customHeight="1" s="22">
      <c r="A236" s="36" t="inlineStr">
        <is>
          <t>P0235</t>
        </is>
      </c>
      <c r="B236" s="36" t="inlineStr">
        <is>
          <t>https://instasure.ca/no-medical-life-insurance/newfoundland-and-labrador/</t>
        </is>
      </c>
      <c r="C236" s="36" t="inlineStr">
        <is>
          <t>Product × province</t>
        </is>
      </c>
      <c r="D236" s="36" t="inlineStr">
        <is>
          <t>Life insurance</t>
        </is>
      </c>
      <c r="E236" s="36" t="inlineStr">
        <is>
          <t>No-Medical Life Insurance</t>
        </is>
      </c>
      <c r="F236" s="36" t="n"/>
      <c r="G236" s="36" t="inlineStr">
        <is>
          <t>Newfoundland and Labrador</t>
        </is>
      </c>
      <c r="H236" s="36" t="n"/>
      <c r="I236" s="36" t="inlineStr">
        <is>
          <t>Yes</t>
        </is>
      </c>
      <c r="J236" s="25" t="inlineStr">
        <is>
          <t>No-Medical Life Insurance in Newfoundland and Labrador: Costs, Rules &amp; Quotes (2026)</t>
        </is>
      </c>
      <c r="K236" s="36">
        <f>LEN(J236)</f>
        <v/>
      </c>
      <c r="L236" s="25" t="inlineStr">
        <is>
          <t>No-Medical Life Insurance in Newfoundland and Labrador: how it works under Service NL, what drives price, instant estimates and advisors licensed in Newfoundland…</t>
        </is>
      </c>
      <c r="M236" s="36">
        <f>LEN(L236)</f>
        <v/>
      </c>
      <c r="N236" s="25" t="inlineStr">
        <is>
          <t>No-Medical Life Insurance in Newfoundland and Labrador</t>
        </is>
      </c>
      <c r="O236" s="36" t="n"/>
      <c r="P236" s="37" t="n"/>
      <c r="Q236" s="36" t="n"/>
      <c r="R236" s="36" t="inlineStr">
        <is>
          <t>no-medical life insurance newfoundland and labrador</t>
        </is>
      </c>
      <c r="S236" s="36">
        <f>COUNTIF('Page-Keyword Map'!$A$2:$A$675,B236)</f>
        <v/>
      </c>
      <c r="T236" s="37">
        <f>SUMIF('Page-Keyword Map'!$A$2:$A$675,B236,'Page-Keyword Map'!$H$2:$H$675)</f>
        <v/>
      </c>
      <c r="U236" s="36">
        <f>COUNTIFS('Page-Keyword Map'!$A$2:$A$675,B236,'Page-Keyword Map'!$E$2:$E$675,"Nationwide")</f>
        <v/>
      </c>
      <c r="V236" s="36">
        <f>COUNTIFS('Page-Keyword Map'!$A$2:$A$675,B236,'Page-Keyword Map'!$E$2:$E$675,"Provincial")</f>
        <v/>
      </c>
      <c r="W236" s="36">
        <f>COUNTIFS('Page-Keyword Map'!$A$2:$A$675,B236,'Page-Keyword Map'!$E$2:$E$675,"City")</f>
        <v/>
      </c>
      <c r="X236" s="36">
        <f>IF(O236="","",IF(ISNUMBER(SEARCH(O236,J236)),"Yes","No"))</f>
        <v/>
      </c>
      <c r="Y236" s="36" t="n">
        <v>0.7</v>
      </c>
      <c r="Z236" s="36" t="inlineStr">
        <is>
          <t>sitemap-provinces.xml</t>
        </is>
      </c>
      <c r="AA236" s="36" t="inlineStr">
        <is>
          <t>Live – indexable</t>
        </is>
      </c>
      <c r="AB236" s="38" t="n"/>
      <c r="AC236" s="38" t="n"/>
    </row>
    <row r="237" ht="23.85" customHeight="1" s="22">
      <c r="A237" s="36" t="inlineStr">
        <is>
          <t>P0236</t>
        </is>
      </c>
      <c r="B237" s="36" t="inlineStr">
        <is>
          <t>https://instasure.ca/no-medical-life-insurance/northwest-territories/</t>
        </is>
      </c>
      <c r="C237" s="36" t="inlineStr">
        <is>
          <t>Product × province</t>
        </is>
      </c>
      <c r="D237" s="36" t="inlineStr">
        <is>
          <t>Life insurance</t>
        </is>
      </c>
      <c r="E237" s="36" t="inlineStr">
        <is>
          <t>No-Medical Life Insurance</t>
        </is>
      </c>
      <c r="F237" s="36" t="n"/>
      <c r="G237" s="36" t="inlineStr">
        <is>
          <t>Northwest Territories</t>
        </is>
      </c>
      <c r="H237" s="36" t="n"/>
      <c r="I237" s="36" t="inlineStr">
        <is>
          <t>Yes</t>
        </is>
      </c>
      <c r="J237" s="25" t="inlineStr">
        <is>
          <t>No-Medical Life Insurance in Northwest Territories: Costs, Rules &amp; Quotes (2026)</t>
        </is>
      </c>
      <c r="K237" s="36">
        <f>LEN(J237)</f>
        <v/>
      </c>
      <c r="L237" s="25" t="inlineStr">
        <is>
          <t>No-Medical Life Insurance in Northwest Territories: how it works under the NWT Superintendent, what drives price, instant estimates and a waitlist for licensed…</t>
        </is>
      </c>
      <c r="M237" s="36">
        <f>LEN(L237)</f>
        <v/>
      </c>
      <c r="N237" s="25" t="inlineStr">
        <is>
          <t>No-Medical Life Insurance in Northwest Territories</t>
        </is>
      </c>
      <c r="O237" s="36" t="n"/>
      <c r="P237" s="37" t="n"/>
      <c r="Q237" s="36" t="n"/>
      <c r="R237" s="36" t="inlineStr">
        <is>
          <t>no-medical life insurance northwest territories</t>
        </is>
      </c>
      <c r="S237" s="36">
        <f>COUNTIF('Page-Keyword Map'!$A$2:$A$675,B237)</f>
        <v/>
      </c>
      <c r="T237" s="37">
        <f>SUMIF('Page-Keyword Map'!$A$2:$A$675,B237,'Page-Keyword Map'!$H$2:$H$675)</f>
        <v/>
      </c>
      <c r="U237" s="36">
        <f>COUNTIFS('Page-Keyword Map'!$A$2:$A$675,B237,'Page-Keyword Map'!$E$2:$E$675,"Nationwide")</f>
        <v/>
      </c>
      <c r="V237" s="36">
        <f>COUNTIFS('Page-Keyword Map'!$A$2:$A$675,B237,'Page-Keyword Map'!$E$2:$E$675,"Provincial")</f>
        <v/>
      </c>
      <c r="W237" s="36">
        <f>COUNTIFS('Page-Keyword Map'!$A$2:$A$675,B237,'Page-Keyword Map'!$E$2:$E$675,"City")</f>
        <v/>
      </c>
      <c r="X237" s="36">
        <f>IF(O237="","",IF(ISNUMBER(SEARCH(O237,J237)),"Yes","No"))</f>
        <v/>
      </c>
      <c r="Y237" s="36" t="n">
        <v>0.7</v>
      </c>
      <c r="Z237" s="36" t="inlineStr">
        <is>
          <t>sitemap-provinces.xml</t>
        </is>
      </c>
      <c r="AA237" s="36" t="inlineStr">
        <is>
          <t>Live – indexable</t>
        </is>
      </c>
      <c r="AB237" s="38" t="n"/>
      <c r="AC237" s="38" t="n"/>
    </row>
    <row r="238" ht="23.85" customHeight="1" s="22">
      <c r="A238" s="36" t="inlineStr">
        <is>
          <t>P0237</t>
        </is>
      </c>
      <c r="B238" s="36" t="inlineStr">
        <is>
          <t>https://instasure.ca/no-medical-life-insurance/nova-scotia/</t>
        </is>
      </c>
      <c r="C238" s="36" t="inlineStr">
        <is>
          <t>Product × province</t>
        </is>
      </c>
      <c r="D238" s="36" t="inlineStr">
        <is>
          <t>Life insurance</t>
        </is>
      </c>
      <c r="E238" s="36" t="inlineStr">
        <is>
          <t>No-Medical Life Insurance</t>
        </is>
      </c>
      <c r="F238" s="36" t="n"/>
      <c r="G238" s="36" t="inlineStr">
        <is>
          <t>Nova Scotia</t>
        </is>
      </c>
      <c r="H238" s="36" t="n"/>
      <c r="I238" s="36" t="inlineStr">
        <is>
          <t>Yes</t>
        </is>
      </c>
      <c r="J238" s="25" t="inlineStr">
        <is>
          <t>No-Medical Life Insurance in Nova Scotia: Costs, Rules &amp; Quotes (2026)</t>
        </is>
      </c>
      <c r="K238" s="36">
        <f>LEN(J238)</f>
        <v/>
      </c>
      <c r="L238" s="25" t="inlineStr">
        <is>
          <t>No-Medical Life Insurance in Nova Scotia: how it works under the NS Superintendent of Insurance, what drives price, instant estimates and advisors licensed in Nova…</t>
        </is>
      </c>
      <c r="M238" s="36">
        <f>LEN(L238)</f>
        <v/>
      </c>
      <c r="N238" s="25" t="inlineStr">
        <is>
          <t>No-Medical Life Insurance in Nova Scotia</t>
        </is>
      </c>
      <c r="O238" s="36" t="n"/>
      <c r="P238" s="37" t="n"/>
      <c r="Q238" s="36" t="n"/>
      <c r="R238" s="36" t="inlineStr">
        <is>
          <t>no-medical life insurance nova scotia</t>
        </is>
      </c>
      <c r="S238" s="36">
        <f>COUNTIF('Page-Keyword Map'!$A$2:$A$675,B238)</f>
        <v/>
      </c>
      <c r="T238" s="37">
        <f>SUMIF('Page-Keyword Map'!$A$2:$A$675,B238,'Page-Keyword Map'!$H$2:$H$675)</f>
        <v/>
      </c>
      <c r="U238" s="36">
        <f>COUNTIFS('Page-Keyword Map'!$A$2:$A$675,B238,'Page-Keyword Map'!$E$2:$E$675,"Nationwide")</f>
        <v/>
      </c>
      <c r="V238" s="36">
        <f>COUNTIFS('Page-Keyword Map'!$A$2:$A$675,B238,'Page-Keyword Map'!$E$2:$E$675,"Provincial")</f>
        <v/>
      </c>
      <c r="W238" s="36">
        <f>COUNTIFS('Page-Keyword Map'!$A$2:$A$675,B238,'Page-Keyword Map'!$E$2:$E$675,"City")</f>
        <v/>
      </c>
      <c r="X238" s="36">
        <f>IF(O238="","",IF(ISNUMBER(SEARCH(O238,J238)),"Yes","No"))</f>
        <v/>
      </c>
      <c r="Y238" s="36" t="n">
        <v>0.7</v>
      </c>
      <c r="Z238" s="36" t="inlineStr">
        <is>
          <t>sitemap-provinces.xml</t>
        </is>
      </c>
      <c r="AA238" s="36" t="inlineStr">
        <is>
          <t>Live – indexable</t>
        </is>
      </c>
      <c r="AB238" s="38" t="n"/>
      <c r="AC238" s="38" t="n"/>
    </row>
    <row r="239" ht="23.85" customHeight="1" s="22">
      <c r="A239" s="36" t="inlineStr">
        <is>
          <t>P0238</t>
        </is>
      </c>
      <c r="B239" s="36" t="inlineStr">
        <is>
          <t>https://instasure.ca/no-medical-life-insurance/nunavut/</t>
        </is>
      </c>
      <c r="C239" s="36" t="inlineStr">
        <is>
          <t>Product × province</t>
        </is>
      </c>
      <c r="D239" s="36" t="inlineStr">
        <is>
          <t>Life insurance</t>
        </is>
      </c>
      <c r="E239" s="36" t="inlineStr">
        <is>
          <t>No-Medical Life Insurance</t>
        </is>
      </c>
      <c r="F239" s="36" t="n"/>
      <c r="G239" s="36" t="inlineStr">
        <is>
          <t>Nunavut</t>
        </is>
      </c>
      <c r="H239" s="36" t="n"/>
      <c r="I239" s="36" t="inlineStr">
        <is>
          <t>Yes</t>
        </is>
      </c>
      <c r="J239" s="25" t="inlineStr">
        <is>
          <t>No-Medical Life Insurance in Nunavut: Costs, Rules &amp; Quotes (2026)</t>
        </is>
      </c>
      <c r="K239" s="36">
        <f>LEN(J239)</f>
        <v/>
      </c>
      <c r="L239" s="25" t="inlineStr">
        <is>
          <t>No-Medical Life Insurance in Nunavut: how it works under the Nunavut Superintendent, what drives price, instant estimates and a waitlist for licensed advice in…</t>
        </is>
      </c>
      <c r="M239" s="36">
        <f>LEN(L239)</f>
        <v/>
      </c>
      <c r="N239" s="25" t="inlineStr">
        <is>
          <t>No-Medical Life Insurance in Nunavut</t>
        </is>
      </c>
      <c r="O239" s="36" t="n"/>
      <c r="P239" s="37" t="n"/>
      <c r="Q239" s="36" t="n"/>
      <c r="R239" s="36" t="inlineStr">
        <is>
          <t>no-medical life insurance nunavut</t>
        </is>
      </c>
      <c r="S239" s="36">
        <f>COUNTIF('Page-Keyword Map'!$A$2:$A$675,B239)</f>
        <v/>
      </c>
      <c r="T239" s="37">
        <f>SUMIF('Page-Keyword Map'!$A$2:$A$675,B239,'Page-Keyword Map'!$H$2:$H$675)</f>
        <v/>
      </c>
      <c r="U239" s="36">
        <f>COUNTIFS('Page-Keyword Map'!$A$2:$A$675,B239,'Page-Keyword Map'!$E$2:$E$675,"Nationwide")</f>
        <v/>
      </c>
      <c r="V239" s="36">
        <f>COUNTIFS('Page-Keyword Map'!$A$2:$A$675,B239,'Page-Keyword Map'!$E$2:$E$675,"Provincial")</f>
        <v/>
      </c>
      <c r="W239" s="36">
        <f>COUNTIFS('Page-Keyword Map'!$A$2:$A$675,B239,'Page-Keyword Map'!$E$2:$E$675,"City")</f>
        <v/>
      </c>
      <c r="X239" s="36">
        <f>IF(O239="","",IF(ISNUMBER(SEARCH(O239,J239)),"Yes","No"))</f>
        <v/>
      </c>
      <c r="Y239" s="36" t="n">
        <v>0.7</v>
      </c>
      <c r="Z239" s="36" t="inlineStr">
        <is>
          <t>sitemap-provinces.xml</t>
        </is>
      </c>
      <c r="AA239" s="36" t="inlineStr">
        <is>
          <t>Live – indexable</t>
        </is>
      </c>
      <c r="AB239" s="38" t="n"/>
      <c r="AC239" s="38" t="n"/>
    </row>
    <row r="240" ht="23.85" customHeight="1" s="22">
      <c r="A240" s="36" t="inlineStr">
        <is>
          <t>P0239</t>
        </is>
      </c>
      <c r="B240" s="36" t="inlineStr">
        <is>
          <t>https://instasure.ca/no-medical-life-insurance/ontario/</t>
        </is>
      </c>
      <c r="C240" s="36" t="inlineStr">
        <is>
          <t>Product × province</t>
        </is>
      </c>
      <c r="D240" s="36" t="inlineStr">
        <is>
          <t>Life insurance</t>
        </is>
      </c>
      <c r="E240" s="36" t="inlineStr">
        <is>
          <t>No-Medical Life Insurance</t>
        </is>
      </c>
      <c r="F240" s="36" t="n"/>
      <c r="G240" s="36" t="inlineStr">
        <is>
          <t>Ontario</t>
        </is>
      </c>
      <c r="H240" s="36" t="n"/>
      <c r="I240" s="36" t="inlineStr">
        <is>
          <t>Yes</t>
        </is>
      </c>
      <c r="J240" s="25" t="inlineStr">
        <is>
          <t>No-Medical Life Insurance in Ontario: Costs, Rules &amp; Quotes (2026)</t>
        </is>
      </c>
      <c r="K240" s="36">
        <f>LEN(J240)</f>
        <v/>
      </c>
      <c r="L240" s="25" t="inlineStr">
        <is>
          <t>No-Medical Life Insurance in Ontario: how it works under FSRA, what drives price, instant estimates and advisors licensed in Ontario.</t>
        </is>
      </c>
      <c r="M240" s="36">
        <f>LEN(L240)</f>
        <v/>
      </c>
      <c r="N240" s="25" t="inlineStr">
        <is>
          <t>No-Medical Life Insurance in Ontario</t>
        </is>
      </c>
      <c r="O240" s="36" t="n"/>
      <c r="P240" s="37" t="n"/>
      <c r="Q240" s="36" t="n"/>
      <c r="R240" s="36" t="inlineStr">
        <is>
          <t>no-medical life insurance ontario</t>
        </is>
      </c>
      <c r="S240" s="36">
        <f>COUNTIF('Page-Keyword Map'!$A$2:$A$675,B240)</f>
        <v/>
      </c>
      <c r="T240" s="37">
        <f>SUMIF('Page-Keyword Map'!$A$2:$A$675,B240,'Page-Keyword Map'!$H$2:$H$675)</f>
        <v/>
      </c>
      <c r="U240" s="36">
        <f>COUNTIFS('Page-Keyword Map'!$A$2:$A$675,B240,'Page-Keyword Map'!$E$2:$E$675,"Nationwide")</f>
        <v/>
      </c>
      <c r="V240" s="36">
        <f>COUNTIFS('Page-Keyword Map'!$A$2:$A$675,B240,'Page-Keyword Map'!$E$2:$E$675,"Provincial")</f>
        <v/>
      </c>
      <c r="W240" s="36">
        <f>COUNTIFS('Page-Keyword Map'!$A$2:$A$675,B240,'Page-Keyword Map'!$E$2:$E$675,"City")</f>
        <v/>
      </c>
      <c r="X240" s="36">
        <f>IF(O240="","",IF(ISNUMBER(SEARCH(O240,J240)),"Yes","No"))</f>
        <v/>
      </c>
      <c r="Y240" s="36" t="n">
        <v>0.7</v>
      </c>
      <c r="Z240" s="36" t="inlineStr">
        <is>
          <t>sitemap-provinces.xml</t>
        </is>
      </c>
      <c r="AA240" s="36" t="inlineStr">
        <is>
          <t>Live – indexable</t>
        </is>
      </c>
      <c r="AB240" s="38" t="n"/>
      <c r="AC240" s="38" t="n"/>
    </row>
    <row r="241" ht="23.85" customHeight="1" s="22">
      <c r="A241" s="36" t="inlineStr">
        <is>
          <t>P0240</t>
        </is>
      </c>
      <c r="B241" s="36" t="inlineStr">
        <is>
          <t>https://instasure.ca/no-medical-life-insurance/prince-edward-island/</t>
        </is>
      </c>
      <c r="C241" s="36" t="inlineStr">
        <is>
          <t>Product × province</t>
        </is>
      </c>
      <c r="D241" s="36" t="inlineStr">
        <is>
          <t>Life insurance</t>
        </is>
      </c>
      <c r="E241" s="36" t="inlineStr">
        <is>
          <t>No-Medical Life Insurance</t>
        </is>
      </c>
      <c r="F241" s="36" t="n"/>
      <c r="G241" s="36" t="inlineStr">
        <is>
          <t>Prince Edward Island</t>
        </is>
      </c>
      <c r="H241" s="36" t="n"/>
      <c r="I241" s="36" t="inlineStr">
        <is>
          <t>Yes</t>
        </is>
      </c>
      <c r="J241" s="25" t="inlineStr">
        <is>
          <t>No-Medical Life Insurance in Prince Edward Island: Costs, Rules &amp; Quotes (2026)</t>
        </is>
      </c>
      <c r="K241" s="36">
        <f>LEN(J241)</f>
        <v/>
      </c>
      <c r="L241" s="25" t="inlineStr">
        <is>
          <t>No-Medical Life Insurance in Prince Edward Island: how it works under the PEI Superintendent, what drives price, instant estimates and advisors licensed in Prince…</t>
        </is>
      </c>
      <c r="M241" s="36">
        <f>LEN(L241)</f>
        <v/>
      </c>
      <c r="N241" s="25" t="inlineStr">
        <is>
          <t>No-Medical Life Insurance in Prince Edward Island</t>
        </is>
      </c>
      <c r="O241" s="36" t="n"/>
      <c r="P241" s="37" t="n"/>
      <c r="Q241" s="36" t="n"/>
      <c r="R241" s="36" t="inlineStr">
        <is>
          <t>no-medical life insurance prince edward island</t>
        </is>
      </c>
      <c r="S241" s="36">
        <f>COUNTIF('Page-Keyword Map'!$A$2:$A$675,B241)</f>
        <v/>
      </c>
      <c r="T241" s="37">
        <f>SUMIF('Page-Keyword Map'!$A$2:$A$675,B241,'Page-Keyword Map'!$H$2:$H$675)</f>
        <v/>
      </c>
      <c r="U241" s="36">
        <f>COUNTIFS('Page-Keyword Map'!$A$2:$A$675,B241,'Page-Keyword Map'!$E$2:$E$675,"Nationwide")</f>
        <v/>
      </c>
      <c r="V241" s="36">
        <f>COUNTIFS('Page-Keyword Map'!$A$2:$A$675,B241,'Page-Keyword Map'!$E$2:$E$675,"Provincial")</f>
        <v/>
      </c>
      <c r="W241" s="36">
        <f>COUNTIFS('Page-Keyword Map'!$A$2:$A$675,B241,'Page-Keyword Map'!$E$2:$E$675,"City")</f>
        <v/>
      </c>
      <c r="X241" s="36">
        <f>IF(O241="","",IF(ISNUMBER(SEARCH(O241,J241)),"Yes","No"))</f>
        <v/>
      </c>
      <c r="Y241" s="36" t="n">
        <v>0.7</v>
      </c>
      <c r="Z241" s="36" t="inlineStr">
        <is>
          <t>sitemap-provinces.xml</t>
        </is>
      </c>
      <c r="AA241" s="36" t="inlineStr">
        <is>
          <t>Live – indexable</t>
        </is>
      </c>
      <c r="AB241" s="38" t="n"/>
      <c r="AC241" s="38" t="n"/>
    </row>
    <row r="242" ht="23.85" customHeight="1" s="22">
      <c r="A242" s="36" t="inlineStr">
        <is>
          <t>P0241</t>
        </is>
      </c>
      <c r="B242" s="36" t="inlineStr">
        <is>
          <t>https://instasure.ca/no-medical-life-insurance/quebec/</t>
        </is>
      </c>
      <c r="C242" s="36" t="inlineStr">
        <is>
          <t>Product × province</t>
        </is>
      </c>
      <c r="D242" s="36" t="inlineStr">
        <is>
          <t>Life insurance</t>
        </is>
      </c>
      <c r="E242" s="36" t="inlineStr">
        <is>
          <t>No-Medical Life Insurance</t>
        </is>
      </c>
      <c r="F242" s="36" t="n"/>
      <c r="G242" s="36" t="inlineStr">
        <is>
          <t>Quebec</t>
        </is>
      </c>
      <c r="H242" s="36" t="n"/>
      <c r="I242" s="36" t="inlineStr">
        <is>
          <t>Yes</t>
        </is>
      </c>
      <c r="J242" s="25" t="inlineStr">
        <is>
          <t>No-Medical Life Insurance in Quebec: Costs, Rules &amp; Quotes (2026)</t>
        </is>
      </c>
      <c r="K242" s="36">
        <f>LEN(J242)</f>
        <v/>
      </c>
      <c r="L242" s="25" t="inlineStr">
        <is>
          <t>No-Medical Life Insurance in Quebec: how it works under AMF, what drives price, instant estimates and a waitlist for licensed advice in Quebec.</t>
        </is>
      </c>
      <c r="M242" s="36">
        <f>LEN(L242)</f>
        <v/>
      </c>
      <c r="N242" s="25" t="inlineStr">
        <is>
          <t>No-Medical Life Insurance in Quebec</t>
        </is>
      </c>
      <c r="O242" s="36" t="n"/>
      <c r="P242" s="37" t="n"/>
      <c r="Q242" s="36" t="n"/>
      <c r="R242" s="36" t="inlineStr">
        <is>
          <t>no-medical life insurance quebec</t>
        </is>
      </c>
      <c r="S242" s="36">
        <f>COUNTIF('Page-Keyword Map'!$A$2:$A$675,B242)</f>
        <v/>
      </c>
      <c r="T242" s="37">
        <f>SUMIF('Page-Keyword Map'!$A$2:$A$675,B242,'Page-Keyword Map'!$H$2:$H$675)</f>
        <v/>
      </c>
      <c r="U242" s="36">
        <f>COUNTIFS('Page-Keyword Map'!$A$2:$A$675,B242,'Page-Keyword Map'!$E$2:$E$675,"Nationwide")</f>
        <v/>
      </c>
      <c r="V242" s="36">
        <f>COUNTIFS('Page-Keyword Map'!$A$2:$A$675,B242,'Page-Keyword Map'!$E$2:$E$675,"Provincial")</f>
        <v/>
      </c>
      <c r="W242" s="36">
        <f>COUNTIFS('Page-Keyword Map'!$A$2:$A$675,B242,'Page-Keyword Map'!$E$2:$E$675,"City")</f>
        <v/>
      </c>
      <c r="X242" s="36">
        <f>IF(O242="","",IF(ISNUMBER(SEARCH(O242,J242)),"Yes","No"))</f>
        <v/>
      </c>
      <c r="Y242" s="36" t="n">
        <v>0.7</v>
      </c>
      <c r="Z242" s="36" t="inlineStr">
        <is>
          <t>sitemap-provinces.xml</t>
        </is>
      </c>
      <c r="AA242" s="36" t="inlineStr">
        <is>
          <t>Live – indexable</t>
        </is>
      </c>
      <c r="AB242" s="38" t="n"/>
      <c r="AC242" s="38" t="n"/>
    </row>
    <row r="243" ht="23.85" customHeight="1" s="22">
      <c r="A243" s="36" t="inlineStr">
        <is>
          <t>P0242</t>
        </is>
      </c>
      <c r="B243" s="36" t="inlineStr">
        <is>
          <t>https://instasure.ca/no-medical-life-insurance/saskatchewan/</t>
        </is>
      </c>
      <c r="C243" s="36" t="inlineStr">
        <is>
          <t>Product × province</t>
        </is>
      </c>
      <c r="D243" s="36" t="inlineStr">
        <is>
          <t>Life insurance</t>
        </is>
      </c>
      <c r="E243" s="36" t="inlineStr">
        <is>
          <t>No-Medical Life Insurance</t>
        </is>
      </c>
      <c r="F243" s="36" t="n"/>
      <c r="G243" s="36" t="inlineStr">
        <is>
          <t>Saskatchewan</t>
        </is>
      </c>
      <c r="H243" s="36" t="n"/>
      <c r="I243" s="36" t="inlineStr">
        <is>
          <t>Yes</t>
        </is>
      </c>
      <c r="J243" s="25" t="inlineStr">
        <is>
          <t>No-Medical Life Insurance in Saskatchewan: Costs, Rules &amp; Quotes (2026)</t>
        </is>
      </c>
      <c r="K243" s="36">
        <f>LEN(J243)</f>
        <v/>
      </c>
      <c r="L243" s="25" t="inlineStr">
        <is>
          <t>No-Medical Life Insurance in Saskatchewan: how it works under FCAA, what drives price, instant estimates and advisors licensed in Saskatchewan.</t>
        </is>
      </c>
      <c r="M243" s="36">
        <f>LEN(L243)</f>
        <v/>
      </c>
      <c r="N243" s="25" t="inlineStr">
        <is>
          <t>No-Medical Life Insurance in Saskatchewan</t>
        </is>
      </c>
      <c r="O243" s="36" t="n"/>
      <c r="P243" s="37" t="n"/>
      <c r="Q243" s="36" t="n"/>
      <c r="R243" s="36" t="inlineStr">
        <is>
          <t>no-medical life insurance saskatchewan</t>
        </is>
      </c>
      <c r="S243" s="36">
        <f>COUNTIF('Page-Keyword Map'!$A$2:$A$675,B243)</f>
        <v/>
      </c>
      <c r="T243" s="37">
        <f>SUMIF('Page-Keyword Map'!$A$2:$A$675,B243,'Page-Keyword Map'!$H$2:$H$675)</f>
        <v/>
      </c>
      <c r="U243" s="36">
        <f>COUNTIFS('Page-Keyword Map'!$A$2:$A$675,B243,'Page-Keyword Map'!$E$2:$E$675,"Nationwide")</f>
        <v/>
      </c>
      <c r="V243" s="36">
        <f>COUNTIFS('Page-Keyword Map'!$A$2:$A$675,B243,'Page-Keyword Map'!$E$2:$E$675,"Provincial")</f>
        <v/>
      </c>
      <c r="W243" s="36">
        <f>COUNTIFS('Page-Keyword Map'!$A$2:$A$675,B243,'Page-Keyword Map'!$E$2:$E$675,"City")</f>
        <v/>
      </c>
      <c r="X243" s="36">
        <f>IF(O243="","",IF(ISNUMBER(SEARCH(O243,J243)),"Yes","No"))</f>
        <v/>
      </c>
      <c r="Y243" s="36" t="n">
        <v>0.7</v>
      </c>
      <c r="Z243" s="36" t="inlineStr">
        <is>
          <t>sitemap-provinces.xml</t>
        </is>
      </c>
      <c r="AA243" s="36" t="inlineStr">
        <is>
          <t>Live – indexable</t>
        </is>
      </c>
      <c r="AB243" s="38" t="n"/>
      <c r="AC243" s="38" t="n"/>
    </row>
    <row r="244" ht="23.85" customHeight="1" s="22">
      <c r="A244" s="36" t="inlineStr">
        <is>
          <t>P0243</t>
        </is>
      </c>
      <c r="B244" s="36" t="inlineStr">
        <is>
          <t>https://instasure.ca/no-medical-life-insurance/yukon/</t>
        </is>
      </c>
      <c r="C244" s="36" t="inlineStr">
        <is>
          <t>Product × province</t>
        </is>
      </c>
      <c r="D244" s="36" t="inlineStr">
        <is>
          <t>Life insurance</t>
        </is>
      </c>
      <c r="E244" s="36" t="inlineStr">
        <is>
          <t>No-Medical Life Insurance</t>
        </is>
      </c>
      <c r="F244" s="36" t="n"/>
      <c r="G244" s="36" t="inlineStr">
        <is>
          <t>Yukon</t>
        </is>
      </c>
      <c r="H244" s="36" t="n"/>
      <c r="I244" s="36" t="inlineStr">
        <is>
          <t>Yes</t>
        </is>
      </c>
      <c r="J244" s="25" t="inlineStr">
        <is>
          <t>No-Medical Life Insurance in Yukon: Costs, Rules &amp; Quotes (2026)</t>
        </is>
      </c>
      <c r="K244" s="36">
        <f>LEN(J244)</f>
        <v/>
      </c>
      <c r="L244" s="25" t="inlineStr">
        <is>
          <t>No-Medical Life Insurance in Yukon: how it works under the Yukon Superintendent, what drives price, instant estimates and a waitlist for licensed advice in Yukon.</t>
        </is>
      </c>
      <c r="M244" s="36">
        <f>LEN(L244)</f>
        <v/>
      </c>
      <c r="N244" s="25" t="inlineStr">
        <is>
          <t>No-Medical Life Insurance in Yukon</t>
        </is>
      </c>
      <c r="O244" s="36" t="n"/>
      <c r="P244" s="37" t="n"/>
      <c r="Q244" s="36" t="n"/>
      <c r="R244" s="36" t="inlineStr">
        <is>
          <t>no-medical life insurance yukon</t>
        </is>
      </c>
      <c r="S244" s="36">
        <f>COUNTIF('Page-Keyword Map'!$A$2:$A$675,B244)</f>
        <v/>
      </c>
      <c r="T244" s="37">
        <f>SUMIF('Page-Keyword Map'!$A$2:$A$675,B244,'Page-Keyword Map'!$H$2:$H$675)</f>
        <v/>
      </c>
      <c r="U244" s="36">
        <f>COUNTIFS('Page-Keyword Map'!$A$2:$A$675,B244,'Page-Keyword Map'!$E$2:$E$675,"Nationwide")</f>
        <v/>
      </c>
      <c r="V244" s="36">
        <f>COUNTIFS('Page-Keyword Map'!$A$2:$A$675,B244,'Page-Keyword Map'!$E$2:$E$675,"Provincial")</f>
        <v/>
      </c>
      <c r="W244" s="36">
        <f>COUNTIFS('Page-Keyword Map'!$A$2:$A$675,B244,'Page-Keyword Map'!$E$2:$E$675,"City")</f>
        <v/>
      </c>
      <c r="X244" s="36">
        <f>IF(O244="","",IF(ISNUMBER(SEARCH(O244,J244)),"Yes","No"))</f>
        <v/>
      </c>
      <c r="Y244" s="36" t="n">
        <v>0.7</v>
      </c>
      <c r="Z244" s="36" t="inlineStr">
        <is>
          <t>sitemap-provinces.xml</t>
        </is>
      </c>
      <c r="AA244" s="36" t="inlineStr">
        <is>
          <t>Live – indexable</t>
        </is>
      </c>
      <c r="AB244" s="38" t="n"/>
      <c r="AC244" s="38" t="n"/>
    </row>
    <row r="245" ht="23.85" customHeight="1" s="22">
      <c r="A245" s="36" t="inlineStr">
        <is>
          <t>P0244</t>
        </is>
      </c>
      <c r="B245" s="36" t="inlineStr">
        <is>
          <t>https://instasure.ca/professional-liability-insurance/alberta/</t>
        </is>
      </c>
      <c r="C245" s="36" t="inlineStr">
        <is>
          <t>Product × province</t>
        </is>
      </c>
      <c r="D245" s="36" t="inlineStr">
        <is>
          <t>Professional liability (E&amp;O)</t>
        </is>
      </c>
      <c r="E245" s="36" t="inlineStr">
        <is>
          <t>Professional Liability (E&amp;O) Insurance</t>
        </is>
      </c>
      <c r="F245" s="36" t="n"/>
      <c r="G245" s="36" t="inlineStr">
        <is>
          <t>Alberta</t>
        </is>
      </c>
      <c r="H245" s="36" t="n"/>
      <c r="I245" s="36" t="inlineStr">
        <is>
          <t>Yes</t>
        </is>
      </c>
      <c r="J245" s="25" t="inlineStr">
        <is>
          <t>Professional Liability (E&amp;O) Insurance in Alberta: Costs, Rules &amp; Quotes (2026)</t>
        </is>
      </c>
      <c r="K245" s="36">
        <f>LEN(J245)</f>
        <v/>
      </c>
      <c r="L245" s="25" t="inlineStr">
        <is>
          <t>Professional Liability (E&amp;O) Insurance in Alberta: how it works under the Superintendent of Insurance, what drives price, instant estimates and advisors licensed…</t>
        </is>
      </c>
      <c r="M245" s="36">
        <f>LEN(L245)</f>
        <v/>
      </c>
      <c r="N245" s="25" t="inlineStr">
        <is>
          <t>Professional Liability (E&amp;O) Insurance in Alberta</t>
        </is>
      </c>
      <c r="O245" s="36" t="n"/>
      <c r="P245" s="37" t="n"/>
      <c r="Q245" s="36" t="n"/>
      <c r="R245" s="36" t="inlineStr">
        <is>
          <t>professional liability insurance alberta</t>
        </is>
      </c>
      <c r="S245" s="36">
        <f>COUNTIF('Page-Keyword Map'!$A$2:$A$675,B245)</f>
        <v/>
      </c>
      <c r="T245" s="37">
        <f>SUMIF('Page-Keyword Map'!$A$2:$A$675,B245,'Page-Keyword Map'!$H$2:$H$675)</f>
        <v/>
      </c>
      <c r="U245" s="36">
        <f>COUNTIFS('Page-Keyword Map'!$A$2:$A$675,B245,'Page-Keyword Map'!$E$2:$E$675,"Nationwide")</f>
        <v/>
      </c>
      <c r="V245" s="36">
        <f>COUNTIFS('Page-Keyword Map'!$A$2:$A$675,B245,'Page-Keyword Map'!$E$2:$E$675,"Provincial")</f>
        <v/>
      </c>
      <c r="W245" s="36">
        <f>COUNTIFS('Page-Keyword Map'!$A$2:$A$675,B245,'Page-Keyword Map'!$E$2:$E$675,"City")</f>
        <v/>
      </c>
      <c r="X245" s="36">
        <f>IF(O245="","",IF(ISNUMBER(SEARCH(O245,J245)),"Yes","No"))</f>
        <v/>
      </c>
      <c r="Y245" s="36" t="n">
        <v>0.7</v>
      </c>
      <c r="Z245" s="36" t="inlineStr">
        <is>
          <t>sitemap-provinces.xml</t>
        </is>
      </c>
      <c r="AA245" s="36" t="inlineStr">
        <is>
          <t>Live – indexable</t>
        </is>
      </c>
      <c r="AB245" s="38" t="n"/>
      <c r="AC245" s="38" t="n"/>
    </row>
    <row r="246" ht="23.85" customHeight="1" s="22">
      <c r="A246" s="36" t="inlineStr">
        <is>
          <t>P0245</t>
        </is>
      </c>
      <c r="B246" s="36" t="inlineStr">
        <is>
          <t>https://instasure.ca/professional-liability-insurance/british-columbia/</t>
        </is>
      </c>
      <c r="C246" s="36" t="inlineStr">
        <is>
          <t>Product × province</t>
        </is>
      </c>
      <c r="D246" s="36" t="inlineStr">
        <is>
          <t>Professional liability (E&amp;O)</t>
        </is>
      </c>
      <c r="E246" s="36" t="inlineStr">
        <is>
          <t>Professional Liability (E&amp;O) Insurance</t>
        </is>
      </c>
      <c r="F246" s="36" t="n"/>
      <c r="G246" s="36" t="inlineStr">
        <is>
          <t>British Columbia</t>
        </is>
      </c>
      <c r="H246" s="36" t="n"/>
      <c r="I246" s="36" t="inlineStr">
        <is>
          <t>Yes</t>
        </is>
      </c>
      <c r="J246" s="25" t="inlineStr">
        <is>
          <t>Professional Liability (E&amp;O) Insurance in British Columbia: Costs, Rules &amp; Quotes (2026)</t>
        </is>
      </c>
      <c r="K246" s="36">
        <f>LEN(J246)</f>
        <v/>
      </c>
      <c r="L246" s="25" t="inlineStr">
        <is>
          <t>Professional Liability (E&amp;O) Insurance in British Columbia: how it works under BCFSA, what drives price, instant estimates and advisors licensed in British Columbia.</t>
        </is>
      </c>
      <c r="M246" s="36">
        <f>LEN(L246)</f>
        <v/>
      </c>
      <c r="N246" s="25" t="inlineStr">
        <is>
          <t>Professional Liability (E&amp;O) Insurance in British Columbia</t>
        </is>
      </c>
      <c r="O246" s="36" t="n"/>
      <c r="P246" s="37" t="n"/>
      <c r="Q246" s="36" t="n"/>
      <c r="R246" s="36" t="inlineStr">
        <is>
          <t>professional liability insurance british columbia</t>
        </is>
      </c>
      <c r="S246" s="36">
        <f>COUNTIF('Page-Keyword Map'!$A$2:$A$675,B246)</f>
        <v/>
      </c>
      <c r="T246" s="37">
        <f>SUMIF('Page-Keyword Map'!$A$2:$A$675,B246,'Page-Keyword Map'!$H$2:$H$675)</f>
        <v/>
      </c>
      <c r="U246" s="36">
        <f>COUNTIFS('Page-Keyword Map'!$A$2:$A$675,B246,'Page-Keyword Map'!$E$2:$E$675,"Nationwide")</f>
        <v/>
      </c>
      <c r="V246" s="36">
        <f>COUNTIFS('Page-Keyword Map'!$A$2:$A$675,B246,'Page-Keyword Map'!$E$2:$E$675,"Provincial")</f>
        <v/>
      </c>
      <c r="W246" s="36">
        <f>COUNTIFS('Page-Keyword Map'!$A$2:$A$675,B246,'Page-Keyword Map'!$E$2:$E$675,"City")</f>
        <v/>
      </c>
      <c r="X246" s="36">
        <f>IF(O246="","",IF(ISNUMBER(SEARCH(O246,J246)),"Yes","No"))</f>
        <v/>
      </c>
      <c r="Y246" s="36" t="n">
        <v>0.7</v>
      </c>
      <c r="Z246" s="36" t="inlineStr">
        <is>
          <t>sitemap-provinces.xml</t>
        </is>
      </c>
      <c r="AA246" s="36" t="inlineStr">
        <is>
          <t>Live – indexable</t>
        </is>
      </c>
      <c r="AB246" s="38" t="n"/>
      <c r="AC246" s="38" t="n"/>
    </row>
    <row r="247" ht="23.85" customHeight="1" s="22">
      <c r="A247" s="36" t="inlineStr">
        <is>
          <t>P0246</t>
        </is>
      </c>
      <c r="B247" s="36" t="inlineStr">
        <is>
          <t>https://instasure.ca/professional-liability-insurance/manitoba/</t>
        </is>
      </c>
      <c r="C247" s="36" t="inlineStr">
        <is>
          <t>Product × province</t>
        </is>
      </c>
      <c r="D247" s="36" t="inlineStr">
        <is>
          <t>Professional liability (E&amp;O)</t>
        </is>
      </c>
      <c r="E247" s="36" t="inlineStr">
        <is>
          <t>Professional Liability (E&amp;O) Insurance</t>
        </is>
      </c>
      <c r="F247" s="36" t="n"/>
      <c r="G247" s="36" t="inlineStr">
        <is>
          <t>Manitoba</t>
        </is>
      </c>
      <c r="H247" s="36" t="n"/>
      <c r="I247" s="36" t="inlineStr">
        <is>
          <t>Yes</t>
        </is>
      </c>
      <c r="J247" s="25" t="inlineStr">
        <is>
          <t>Professional Liability (E&amp;O) Insurance in Manitoba: Costs, Rules &amp; Quotes (2026)</t>
        </is>
      </c>
      <c r="K247" s="36">
        <f>LEN(J247)</f>
        <v/>
      </c>
      <c r="L247" s="25" t="inlineStr">
        <is>
          <t>Professional Liability (E&amp;O) Insurance in Manitoba: how it works under FIRB, what drives price, instant estimates and advisors licensed in Manitoba.</t>
        </is>
      </c>
      <c r="M247" s="36">
        <f>LEN(L247)</f>
        <v/>
      </c>
      <c r="N247" s="25" t="inlineStr">
        <is>
          <t>Professional Liability (E&amp;O) Insurance in Manitoba</t>
        </is>
      </c>
      <c r="O247" s="36" t="n"/>
      <c r="P247" s="37" t="n"/>
      <c r="Q247" s="36" t="n"/>
      <c r="R247" s="36" t="inlineStr">
        <is>
          <t>professional liability insurance manitoba</t>
        </is>
      </c>
      <c r="S247" s="36">
        <f>COUNTIF('Page-Keyword Map'!$A$2:$A$675,B247)</f>
        <v/>
      </c>
      <c r="T247" s="37">
        <f>SUMIF('Page-Keyword Map'!$A$2:$A$675,B247,'Page-Keyword Map'!$H$2:$H$675)</f>
        <v/>
      </c>
      <c r="U247" s="36">
        <f>COUNTIFS('Page-Keyword Map'!$A$2:$A$675,B247,'Page-Keyword Map'!$E$2:$E$675,"Nationwide")</f>
        <v/>
      </c>
      <c r="V247" s="36">
        <f>COUNTIFS('Page-Keyword Map'!$A$2:$A$675,B247,'Page-Keyword Map'!$E$2:$E$675,"Provincial")</f>
        <v/>
      </c>
      <c r="W247" s="36">
        <f>COUNTIFS('Page-Keyword Map'!$A$2:$A$675,B247,'Page-Keyword Map'!$E$2:$E$675,"City")</f>
        <v/>
      </c>
      <c r="X247" s="36">
        <f>IF(O247="","",IF(ISNUMBER(SEARCH(O247,J247)),"Yes","No"))</f>
        <v/>
      </c>
      <c r="Y247" s="36" t="n">
        <v>0.7</v>
      </c>
      <c r="Z247" s="36" t="inlineStr">
        <is>
          <t>sitemap-provinces.xml</t>
        </is>
      </c>
      <c r="AA247" s="36" t="inlineStr">
        <is>
          <t>Live – indexable</t>
        </is>
      </c>
      <c r="AB247" s="38" t="n"/>
      <c r="AC247" s="38" t="n"/>
    </row>
    <row r="248" ht="23.85" customHeight="1" s="22">
      <c r="A248" s="36" t="inlineStr">
        <is>
          <t>P0247</t>
        </is>
      </c>
      <c r="B248" s="36" t="inlineStr">
        <is>
          <t>https://instasure.ca/professional-liability-insurance/new-brunswick/</t>
        </is>
      </c>
      <c r="C248" s="36" t="inlineStr">
        <is>
          <t>Product × province</t>
        </is>
      </c>
      <c r="D248" s="36" t="inlineStr">
        <is>
          <t>Professional liability (E&amp;O)</t>
        </is>
      </c>
      <c r="E248" s="36" t="inlineStr">
        <is>
          <t>Professional Liability (E&amp;O) Insurance</t>
        </is>
      </c>
      <c r="F248" s="36" t="n"/>
      <c r="G248" s="36" t="inlineStr">
        <is>
          <t>New Brunswick</t>
        </is>
      </c>
      <c r="H248" s="36" t="n"/>
      <c r="I248" s="36" t="inlineStr">
        <is>
          <t>Yes</t>
        </is>
      </c>
      <c r="J248" s="25" t="inlineStr">
        <is>
          <t>Professional Liability (E&amp;O) Insurance in New Brunswick: Costs, Rules &amp; Quotes (2026)</t>
        </is>
      </c>
      <c r="K248" s="36">
        <f>LEN(J248)</f>
        <v/>
      </c>
      <c r="L248" s="25" t="inlineStr">
        <is>
          <t>Professional Liability (E&amp;O) Insurance in New Brunswick: how it works under FCNB, what drives price, instant estimates and advisors licensed in New Brunswick.</t>
        </is>
      </c>
      <c r="M248" s="36">
        <f>LEN(L248)</f>
        <v/>
      </c>
      <c r="N248" s="25" t="inlineStr">
        <is>
          <t>Professional Liability (E&amp;O) Insurance in New Brunswick</t>
        </is>
      </c>
      <c r="O248" s="36" t="n"/>
      <c r="P248" s="37" t="n"/>
      <c r="Q248" s="36" t="n"/>
      <c r="R248" s="36" t="inlineStr">
        <is>
          <t>professional liability insurance new brunswick</t>
        </is>
      </c>
      <c r="S248" s="36">
        <f>COUNTIF('Page-Keyword Map'!$A$2:$A$675,B248)</f>
        <v/>
      </c>
      <c r="T248" s="37">
        <f>SUMIF('Page-Keyword Map'!$A$2:$A$675,B248,'Page-Keyword Map'!$H$2:$H$675)</f>
        <v/>
      </c>
      <c r="U248" s="36">
        <f>COUNTIFS('Page-Keyword Map'!$A$2:$A$675,B248,'Page-Keyword Map'!$E$2:$E$675,"Nationwide")</f>
        <v/>
      </c>
      <c r="V248" s="36">
        <f>COUNTIFS('Page-Keyword Map'!$A$2:$A$675,B248,'Page-Keyword Map'!$E$2:$E$675,"Provincial")</f>
        <v/>
      </c>
      <c r="W248" s="36">
        <f>COUNTIFS('Page-Keyword Map'!$A$2:$A$675,B248,'Page-Keyword Map'!$E$2:$E$675,"City")</f>
        <v/>
      </c>
      <c r="X248" s="36">
        <f>IF(O248="","",IF(ISNUMBER(SEARCH(O248,J248)),"Yes","No"))</f>
        <v/>
      </c>
      <c r="Y248" s="36" t="n">
        <v>0.7</v>
      </c>
      <c r="Z248" s="36" t="inlineStr">
        <is>
          <t>sitemap-provinces.xml</t>
        </is>
      </c>
      <c r="AA248" s="36" t="inlineStr">
        <is>
          <t>Live – indexable</t>
        </is>
      </c>
      <c r="AB248" s="38" t="n"/>
      <c r="AC248" s="38" t="n"/>
    </row>
    <row r="249" ht="23.85" customHeight="1" s="22">
      <c r="A249" s="36" t="inlineStr">
        <is>
          <t>P0248</t>
        </is>
      </c>
      <c r="B249" s="36" t="inlineStr">
        <is>
          <t>https://instasure.ca/professional-liability-insurance/newfoundland-and-labrador/</t>
        </is>
      </c>
      <c r="C249" s="36" t="inlineStr">
        <is>
          <t>Product × province</t>
        </is>
      </c>
      <c r="D249" s="36" t="inlineStr">
        <is>
          <t>Professional liability (E&amp;O)</t>
        </is>
      </c>
      <c r="E249" s="36" t="inlineStr">
        <is>
          <t>Professional Liability (E&amp;O) Insurance</t>
        </is>
      </c>
      <c r="F249" s="36" t="n"/>
      <c r="G249" s="36" t="inlineStr">
        <is>
          <t>Newfoundland and Labrador</t>
        </is>
      </c>
      <c r="H249" s="36" t="n"/>
      <c r="I249" s="36" t="inlineStr">
        <is>
          <t>Yes</t>
        </is>
      </c>
      <c r="J249" s="25" t="inlineStr">
        <is>
          <t>Professional Liability (E&amp;O) Insurance in Newfoundland and Labrador: Costs, Rules &amp; Quotes (2026)</t>
        </is>
      </c>
      <c r="K249" s="36">
        <f>LEN(J249)</f>
        <v/>
      </c>
      <c r="L249" s="25" t="inlineStr">
        <is>
          <t>Professional Liability (E&amp;O) Insurance in Newfoundland and Labrador: how it works under Service NL, what drives price, instant estimates and advisors licensed in…</t>
        </is>
      </c>
      <c r="M249" s="36">
        <f>LEN(L249)</f>
        <v/>
      </c>
      <c r="N249" s="25" t="inlineStr">
        <is>
          <t>Professional Liability (E&amp;O) Insurance in Newfoundland and Labrador</t>
        </is>
      </c>
      <c r="O249" s="36" t="n"/>
      <c r="P249" s="37" t="n"/>
      <c r="Q249" s="36" t="n"/>
      <c r="R249" s="36" t="inlineStr">
        <is>
          <t>professional liability insurance newfoundland and labrador</t>
        </is>
      </c>
      <c r="S249" s="36">
        <f>COUNTIF('Page-Keyword Map'!$A$2:$A$675,B249)</f>
        <v/>
      </c>
      <c r="T249" s="37">
        <f>SUMIF('Page-Keyword Map'!$A$2:$A$675,B249,'Page-Keyword Map'!$H$2:$H$675)</f>
        <v/>
      </c>
      <c r="U249" s="36">
        <f>COUNTIFS('Page-Keyword Map'!$A$2:$A$675,B249,'Page-Keyword Map'!$E$2:$E$675,"Nationwide")</f>
        <v/>
      </c>
      <c r="V249" s="36">
        <f>COUNTIFS('Page-Keyword Map'!$A$2:$A$675,B249,'Page-Keyword Map'!$E$2:$E$675,"Provincial")</f>
        <v/>
      </c>
      <c r="W249" s="36">
        <f>COUNTIFS('Page-Keyword Map'!$A$2:$A$675,B249,'Page-Keyword Map'!$E$2:$E$675,"City")</f>
        <v/>
      </c>
      <c r="X249" s="36">
        <f>IF(O249="","",IF(ISNUMBER(SEARCH(O249,J249)),"Yes","No"))</f>
        <v/>
      </c>
      <c r="Y249" s="36" t="n">
        <v>0.7</v>
      </c>
      <c r="Z249" s="36" t="inlineStr">
        <is>
          <t>sitemap-provinces.xml</t>
        </is>
      </c>
      <c r="AA249" s="36" t="inlineStr">
        <is>
          <t>Live – indexable</t>
        </is>
      </c>
      <c r="AB249" s="38" t="n"/>
      <c r="AC249" s="38" t="n"/>
    </row>
    <row r="250" ht="23.85" customHeight="1" s="22">
      <c r="A250" s="36" t="inlineStr">
        <is>
          <t>P0249</t>
        </is>
      </c>
      <c r="B250" s="36" t="inlineStr">
        <is>
          <t>https://instasure.ca/professional-liability-insurance/northwest-territories/</t>
        </is>
      </c>
      <c r="C250" s="36" t="inlineStr">
        <is>
          <t>Product × province</t>
        </is>
      </c>
      <c r="D250" s="36" t="inlineStr">
        <is>
          <t>Professional liability (E&amp;O)</t>
        </is>
      </c>
      <c r="E250" s="36" t="inlineStr">
        <is>
          <t>Professional Liability (E&amp;O) Insurance</t>
        </is>
      </c>
      <c r="F250" s="36" t="n"/>
      <c r="G250" s="36" t="inlineStr">
        <is>
          <t>Northwest Territories</t>
        </is>
      </c>
      <c r="H250" s="36" t="n"/>
      <c r="I250" s="36" t="inlineStr">
        <is>
          <t>Yes</t>
        </is>
      </c>
      <c r="J250" s="25" t="inlineStr">
        <is>
          <t>Professional Liability (E&amp;O) Insurance in Northwest Territories: Costs, Rules &amp; Quotes (2026)</t>
        </is>
      </c>
      <c r="K250" s="36">
        <f>LEN(J250)</f>
        <v/>
      </c>
      <c r="L250" s="25" t="inlineStr">
        <is>
          <t>Professional Liability (E&amp;O) Insurance in Northwest Territories: how it works under the NWT Superintendent, what drives price, instant estimates and a waitlist for…</t>
        </is>
      </c>
      <c r="M250" s="36">
        <f>LEN(L250)</f>
        <v/>
      </c>
      <c r="N250" s="25" t="inlineStr">
        <is>
          <t>Professional Liability (E&amp;O) Insurance in Northwest Territories</t>
        </is>
      </c>
      <c r="O250" s="36" t="n"/>
      <c r="P250" s="37" t="n"/>
      <c r="Q250" s="36" t="n"/>
      <c r="R250" s="36" t="inlineStr">
        <is>
          <t>professional liability insurance northwest territories</t>
        </is>
      </c>
      <c r="S250" s="36">
        <f>COUNTIF('Page-Keyword Map'!$A$2:$A$675,B250)</f>
        <v/>
      </c>
      <c r="T250" s="37">
        <f>SUMIF('Page-Keyword Map'!$A$2:$A$675,B250,'Page-Keyword Map'!$H$2:$H$675)</f>
        <v/>
      </c>
      <c r="U250" s="36">
        <f>COUNTIFS('Page-Keyword Map'!$A$2:$A$675,B250,'Page-Keyword Map'!$E$2:$E$675,"Nationwide")</f>
        <v/>
      </c>
      <c r="V250" s="36">
        <f>COUNTIFS('Page-Keyword Map'!$A$2:$A$675,B250,'Page-Keyword Map'!$E$2:$E$675,"Provincial")</f>
        <v/>
      </c>
      <c r="W250" s="36">
        <f>COUNTIFS('Page-Keyword Map'!$A$2:$A$675,B250,'Page-Keyword Map'!$E$2:$E$675,"City")</f>
        <v/>
      </c>
      <c r="X250" s="36">
        <f>IF(O250="","",IF(ISNUMBER(SEARCH(O250,J250)),"Yes","No"))</f>
        <v/>
      </c>
      <c r="Y250" s="36" t="n">
        <v>0.7</v>
      </c>
      <c r="Z250" s="36" t="inlineStr">
        <is>
          <t>sitemap-provinces.xml</t>
        </is>
      </c>
      <c r="AA250" s="36" t="inlineStr">
        <is>
          <t>Live – indexable</t>
        </is>
      </c>
      <c r="AB250" s="38" t="n"/>
      <c r="AC250" s="38" t="n"/>
    </row>
    <row r="251" ht="23.85" customHeight="1" s="22">
      <c r="A251" s="36" t="inlineStr">
        <is>
          <t>P0250</t>
        </is>
      </c>
      <c r="B251" s="36" t="inlineStr">
        <is>
          <t>https://instasure.ca/professional-liability-insurance/nova-scotia/</t>
        </is>
      </c>
      <c r="C251" s="36" t="inlineStr">
        <is>
          <t>Product × province</t>
        </is>
      </c>
      <c r="D251" s="36" t="inlineStr">
        <is>
          <t>Professional liability (E&amp;O)</t>
        </is>
      </c>
      <c r="E251" s="36" t="inlineStr">
        <is>
          <t>Professional Liability (E&amp;O) Insurance</t>
        </is>
      </c>
      <c r="F251" s="36" t="n"/>
      <c r="G251" s="36" t="inlineStr">
        <is>
          <t>Nova Scotia</t>
        </is>
      </c>
      <c r="H251" s="36" t="n"/>
      <c r="I251" s="36" t="inlineStr">
        <is>
          <t>Yes</t>
        </is>
      </c>
      <c r="J251" s="25" t="inlineStr">
        <is>
          <t>Professional Liability (E&amp;O) Insurance in Nova Scotia: Costs, Rules &amp; Quotes (2026)</t>
        </is>
      </c>
      <c r="K251" s="36">
        <f>LEN(J251)</f>
        <v/>
      </c>
      <c r="L251" s="25" t="inlineStr">
        <is>
          <t>Professional Liability (E&amp;O) Insurance in Nova Scotia: how it works under the NS Superintendent of Insurance, what drives price, instant estimates and advisors…</t>
        </is>
      </c>
      <c r="M251" s="36">
        <f>LEN(L251)</f>
        <v/>
      </c>
      <c r="N251" s="25" t="inlineStr">
        <is>
          <t>Professional Liability (E&amp;O) Insurance in Nova Scotia</t>
        </is>
      </c>
      <c r="O251" s="36" t="n"/>
      <c r="P251" s="37" t="n"/>
      <c r="Q251" s="36" t="n"/>
      <c r="R251" s="36" t="inlineStr">
        <is>
          <t>professional liability insurance nova scotia</t>
        </is>
      </c>
      <c r="S251" s="36">
        <f>COUNTIF('Page-Keyword Map'!$A$2:$A$675,B251)</f>
        <v/>
      </c>
      <c r="T251" s="37">
        <f>SUMIF('Page-Keyword Map'!$A$2:$A$675,B251,'Page-Keyword Map'!$H$2:$H$675)</f>
        <v/>
      </c>
      <c r="U251" s="36">
        <f>COUNTIFS('Page-Keyword Map'!$A$2:$A$675,B251,'Page-Keyword Map'!$E$2:$E$675,"Nationwide")</f>
        <v/>
      </c>
      <c r="V251" s="36">
        <f>COUNTIFS('Page-Keyword Map'!$A$2:$A$675,B251,'Page-Keyword Map'!$E$2:$E$675,"Provincial")</f>
        <v/>
      </c>
      <c r="W251" s="36">
        <f>COUNTIFS('Page-Keyword Map'!$A$2:$A$675,B251,'Page-Keyword Map'!$E$2:$E$675,"City")</f>
        <v/>
      </c>
      <c r="X251" s="36">
        <f>IF(O251="","",IF(ISNUMBER(SEARCH(O251,J251)),"Yes","No"))</f>
        <v/>
      </c>
      <c r="Y251" s="36" t="n">
        <v>0.7</v>
      </c>
      <c r="Z251" s="36" t="inlineStr">
        <is>
          <t>sitemap-provinces.xml</t>
        </is>
      </c>
      <c r="AA251" s="36" t="inlineStr">
        <is>
          <t>Live – indexable</t>
        </is>
      </c>
      <c r="AB251" s="38" t="n"/>
      <c r="AC251" s="38" t="n"/>
    </row>
    <row r="252" ht="23.85" customHeight="1" s="22">
      <c r="A252" s="36" t="inlineStr">
        <is>
          <t>P0251</t>
        </is>
      </c>
      <c r="B252" s="36" t="inlineStr">
        <is>
          <t>https://instasure.ca/professional-liability-insurance/nunavut/</t>
        </is>
      </c>
      <c r="C252" s="36" t="inlineStr">
        <is>
          <t>Product × province</t>
        </is>
      </c>
      <c r="D252" s="36" t="inlineStr">
        <is>
          <t>Professional liability (E&amp;O)</t>
        </is>
      </c>
      <c r="E252" s="36" t="inlineStr">
        <is>
          <t>Professional Liability (E&amp;O) Insurance</t>
        </is>
      </c>
      <c r="F252" s="36" t="n"/>
      <c r="G252" s="36" t="inlineStr">
        <is>
          <t>Nunavut</t>
        </is>
      </c>
      <c r="H252" s="36" t="n"/>
      <c r="I252" s="36" t="inlineStr">
        <is>
          <t>Yes</t>
        </is>
      </c>
      <c r="J252" s="25" t="inlineStr">
        <is>
          <t>Professional Liability (E&amp;O) Insurance in Nunavut: Costs, Rules &amp; Quotes (2026)</t>
        </is>
      </c>
      <c r="K252" s="36">
        <f>LEN(J252)</f>
        <v/>
      </c>
      <c r="L252" s="25" t="inlineStr">
        <is>
          <t>Professional Liability (E&amp;O) Insurance in Nunavut: how it works under the Nunavut Superintendent, what drives price, instant estimates and a waitlist for licensed…</t>
        </is>
      </c>
      <c r="M252" s="36">
        <f>LEN(L252)</f>
        <v/>
      </c>
      <c r="N252" s="25" t="inlineStr">
        <is>
          <t>Professional Liability (E&amp;O) Insurance in Nunavut</t>
        </is>
      </c>
      <c r="O252" s="36" t="n"/>
      <c r="P252" s="37" t="n"/>
      <c r="Q252" s="36" t="n"/>
      <c r="R252" s="36" t="inlineStr">
        <is>
          <t>professional liability insurance nunavut</t>
        </is>
      </c>
      <c r="S252" s="36">
        <f>COUNTIF('Page-Keyword Map'!$A$2:$A$675,B252)</f>
        <v/>
      </c>
      <c r="T252" s="37">
        <f>SUMIF('Page-Keyword Map'!$A$2:$A$675,B252,'Page-Keyword Map'!$H$2:$H$675)</f>
        <v/>
      </c>
      <c r="U252" s="36">
        <f>COUNTIFS('Page-Keyword Map'!$A$2:$A$675,B252,'Page-Keyword Map'!$E$2:$E$675,"Nationwide")</f>
        <v/>
      </c>
      <c r="V252" s="36">
        <f>COUNTIFS('Page-Keyword Map'!$A$2:$A$675,B252,'Page-Keyword Map'!$E$2:$E$675,"Provincial")</f>
        <v/>
      </c>
      <c r="W252" s="36">
        <f>COUNTIFS('Page-Keyword Map'!$A$2:$A$675,B252,'Page-Keyword Map'!$E$2:$E$675,"City")</f>
        <v/>
      </c>
      <c r="X252" s="36">
        <f>IF(O252="","",IF(ISNUMBER(SEARCH(O252,J252)),"Yes","No"))</f>
        <v/>
      </c>
      <c r="Y252" s="36" t="n">
        <v>0.7</v>
      </c>
      <c r="Z252" s="36" t="inlineStr">
        <is>
          <t>sitemap-provinces.xml</t>
        </is>
      </c>
      <c r="AA252" s="36" t="inlineStr">
        <is>
          <t>Live – indexable</t>
        </is>
      </c>
      <c r="AB252" s="38" t="n"/>
      <c r="AC252" s="38" t="n"/>
    </row>
    <row r="253" ht="23.85" customHeight="1" s="22">
      <c r="A253" s="36" t="inlineStr">
        <is>
          <t>P0252</t>
        </is>
      </c>
      <c r="B253" s="36" t="inlineStr">
        <is>
          <t>https://instasure.ca/professional-liability-insurance/ontario/</t>
        </is>
      </c>
      <c r="C253" s="36" t="inlineStr">
        <is>
          <t>Product × province</t>
        </is>
      </c>
      <c r="D253" s="36" t="inlineStr">
        <is>
          <t>Professional liability (E&amp;O)</t>
        </is>
      </c>
      <c r="E253" s="36" t="inlineStr">
        <is>
          <t>Professional Liability (E&amp;O) Insurance</t>
        </is>
      </c>
      <c r="F253" s="36" t="n"/>
      <c r="G253" s="36" t="inlineStr">
        <is>
          <t>Ontario</t>
        </is>
      </c>
      <c r="H253" s="36" t="n"/>
      <c r="I253" s="36" t="inlineStr">
        <is>
          <t>Yes</t>
        </is>
      </c>
      <c r="J253" s="25" t="inlineStr">
        <is>
          <t>Professional Liability (E&amp;O) Insurance in Ontario: Costs, Rules &amp; Quotes (2026)</t>
        </is>
      </c>
      <c r="K253" s="36">
        <f>LEN(J253)</f>
        <v/>
      </c>
      <c r="L253" s="25" t="inlineStr">
        <is>
          <t>Professional Liability (E&amp;O) Insurance in Ontario: how it works under FSRA, what drives price, instant estimates and advisors licensed in Ontario.</t>
        </is>
      </c>
      <c r="M253" s="36">
        <f>LEN(L253)</f>
        <v/>
      </c>
      <c r="N253" s="25" t="inlineStr">
        <is>
          <t>Professional Liability (E&amp;O) Insurance in Ontario</t>
        </is>
      </c>
      <c r="O253" s="36" t="n"/>
      <c r="P253" s="37" t="n"/>
      <c r="Q253" s="36" t="n"/>
      <c r="R253" s="36" t="inlineStr">
        <is>
          <t>professional liability insurance ontario</t>
        </is>
      </c>
      <c r="S253" s="36">
        <f>COUNTIF('Page-Keyword Map'!$A$2:$A$675,B253)</f>
        <v/>
      </c>
      <c r="T253" s="37">
        <f>SUMIF('Page-Keyword Map'!$A$2:$A$675,B253,'Page-Keyword Map'!$H$2:$H$675)</f>
        <v/>
      </c>
      <c r="U253" s="36">
        <f>COUNTIFS('Page-Keyword Map'!$A$2:$A$675,B253,'Page-Keyword Map'!$E$2:$E$675,"Nationwide")</f>
        <v/>
      </c>
      <c r="V253" s="36">
        <f>COUNTIFS('Page-Keyword Map'!$A$2:$A$675,B253,'Page-Keyword Map'!$E$2:$E$675,"Provincial")</f>
        <v/>
      </c>
      <c r="W253" s="36">
        <f>COUNTIFS('Page-Keyword Map'!$A$2:$A$675,B253,'Page-Keyword Map'!$E$2:$E$675,"City")</f>
        <v/>
      </c>
      <c r="X253" s="36">
        <f>IF(O253="","",IF(ISNUMBER(SEARCH(O253,J253)),"Yes","No"))</f>
        <v/>
      </c>
      <c r="Y253" s="36" t="n">
        <v>0.7</v>
      </c>
      <c r="Z253" s="36" t="inlineStr">
        <is>
          <t>sitemap-provinces.xml</t>
        </is>
      </c>
      <c r="AA253" s="36" t="inlineStr">
        <is>
          <t>Live – indexable</t>
        </is>
      </c>
      <c r="AB253" s="38" t="n"/>
      <c r="AC253" s="38" t="n"/>
    </row>
    <row r="254" ht="23.85" customHeight="1" s="22">
      <c r="A254" s="36" t="inlineStr">
        <is>
          <t>P0253</t>
        </is>
      </c>
      <c r="B254" s="36" t="inlineStr">
        <is>
          <t>https://instasure.ca/professional-liability-insurance/prince-edward-island/</t>
        </is>
      </c>
      <c r="C254" s="36" t="inlineStr">
        <is>
          <t>Product × province</t>
        </is>
      </c>
      <c r="D254" s="36" t="inlineStr">
        <is>
          <t>Professional liability (E&amp;O)</t>
        </is>
      </c>
      <c r="E254" s="36" t="inlineStr">
        <is>
          <t>Professional Liability (E&amp;O) Insurance</t>
        </is>
      </c>
      <c r="F254" s="36" t="n"/>
      <c r="G254" s="36" t="inlineStr">
        <is>
          <t>Prince Edward Island</t>
        </is>
      </c>
      <c r="H254" s="36" t="n"/>
      <c r="I254" s="36" t="inlineStr">
        <is>
          <t>Yes</t>
        </is>
      </c>
      <c r="J254" s="25" t="inlineStr">
        <is>
          <t>Professional Liability (E&amp;O) Insurance in Prince Edward Island: Costs, Rules &amp; Quotes (2026)</t>
        </is>
      </c>
      <c r="K254" s="36">
        <f>LEN(J254)</f>
        <v/>
      </c>
      <c r="L254" s="25" t="inlineStr">
        <is>
          <t>Professional Liability (E&amp;O) Insurance in Prince Edward Island: how it works under the PEI Superintendent, what drives price, instant estimates and advisors…</t>
        </is>
      </c>
      <c r="M254" s="36">
        <f>LEN(L254)</f>
        <v/>
      </c>
      <c r="N254" s="25" t="inlineStr">
        <is>
          <t>Professional Liability (E&amp;O) Insurance in Prince Edward Island</t>
        </is>
      </c>
      <c r="O254" s="36" t="n"/>
      <c r="P254" s="37" t="n"/>
      <c r="Q254" s="36" t="n"/>
      <c r="R254" s="36" t="inlineStr">
        <is>
          <t>professional liability insurance prince edward island</t>
        </is>
      </c>
      <c r="S254" s="36">
        <f>COUNTIF('Page-Keyword Map'!$A$2:$A$675,B254)</f>
        <v/>
      </c>
      <c r="T254" s="37">
        <f>SUMIF('Page-Keyword Map'!$A$2:$A$675,B254,'Page-Keyword Map'!$H$2:$H$675)</f>
        <v/>
      </c>
      <c r="U254" s="36">
        <f>COUNTIFS('Page-Keyword Map'!$A$2:$A$675,B254,'Page-Keyword Map'!$E$2:$E$675,"Nationwide")</f>
        <v/>
      </c>
      <c r="V254" s="36">
        <f>COUNTIFS('Page-Keyword Map'!$A$2:$A$675,B254,'Page-Keyword Map'!$E$2:$E$675,"Provincial")</f>
        <v/>
      </c>
      <c r="W254" s="36">
        <f>COUNTIFS('Page-Keyword Map'!$A$2:$A$675,B254,'Page-Keyword Map'!$E$2:$E$675,"City")</f>
        <v/>
      </c>
      <c r="X254" s="36">
        <f>IF(O254="","",IF(ISNUMBER(SEARCH(O254,J254)),"Yes","No"))</f>
        <v/>
      </c>
      <c r="Y254" s="36" t="n">
        <v>0.7</v>
      </c>
      <c r="Z254" s="36" t="inlineStr">
        <is>
          <t>sitemap-provinces.xml</t>
        </is>
      </c>
      <c r="AA254" s="36" t="inlineStr">
        <is>
          <t>Live – indexable</t>
        </is>
      </c>
      <c r="AB254" s="38" t="n"/>
      <c r="AC254" s="38" t="n"/>
    </row>
    <row r="255" ht="23.85" customHeight="1" s="22">
      <c r="A255" s="36" t="inlineStr">
        <is>
          <t>P0254</t>
        </is>
      </c>
      <c r="B255" s="36" t="inlineStr">
        <is>
          <t>https://instasure.ca/professional-liability-insurance/quebec/</t>
        </is>
      </c>
      <c r="C255" s="36" t="inlineStr">
        <is>
          <t>Product × province</t>
        </is>
      </c>
      <c r="D255" s="36" t="inlineStr">
        <is>
          <t>Professional liability (E&amp;O)</t>
        </is>
      </c>
      <c r="E255" s="36" t="inlineStr">
        <is>
          <t>Professional Liability (E&amp;O) Insurance</t>
        </is>
      </c>
      <c r="F255" s="36" t="n"/>
      <c r="G255" s="36" t="inlineStr">
        <is>
          <t>Quebec</t>
        </is>
      </c>
      <c r="H255" s="36" t="n"/>
      <c r="I255" s="36" t="inlineStr">
        <is>
          <t>Yes</t>
        </is>
      </c>
      <c r="J255" s="25" t="inlineStr">
        <is>
          <t>Professional Liability (E&amp;O) Insurance in Quebec: Costs, Rules &amp; Quotes (2026)</t>
        </is>
      </c>
      <c r="K255" s="36">
        <f>LEN(J255)</f>
        <v/>
      </c>
      <c r="L255" s="25" t="inlineStr">
        <is>
          <t>Professional Liability (E&amp;O) Insurance in Quebec: how it works under AMF, what drives price, instant estimates and a waitlist for licensed advice in Quebec.</t>
        </is>
      </c>
      <c r="M255" s="36">
        <f>LEN(L255)</f>
        <v/>
      </c>
      <c r="N255" s="25" t="inlineStr">
        <is>
          <t>Professional Liability (E&amp;O) Insurance in Quebec</t>
        </is>
      </c>
      <c r="O255" s="36" t="n"/>
      <c r="P255" s="37" t="n"/>
      <c r="Q255" s="36" t="n"/>
      <c r="R255" s="36" t="inlineStr">
        <is>
          <t>professional liability insurance quebec</t>
        </is>
      </c>
      <c r="S255" s="36">
        <f>COUNTIF('Page-Keyword Map'!$A$2:$A$675,B255)</f>
        <v/>
      </c>
      <c r="T255" s="37">
        <f>SUMIF('Page-Keyword Map'!$A$2:$A$675,B255,'Page-Keyword Map'!$H$2:$H$675)</f>
        <v/>
      </c>
      <c r="U255" s="36">
        <f>COUNTIFS('Page-Keyword Map'!$A$2:$A$675,B255,'Page-Keyword Map'!$E$2:$E$675,"Nationwide")</f>
        <v/>
      </c>
      <c r="V255" s="36">
        <f>COUNTIFS('Page-Keyword Map'!$A$2:$A$675,B255,'Page-Keyword Map'!$E$2:$E$675,"Provincial")</f>
        <v/>
      </c>
      <c r="W255" s="36">
        <f>COUNTIFS('Page-Keyword Map'!$A$2:$A$675,B255,'Page-Keyword Map'!$E$2:$E$675,"City")</f>
        <v/>
      </c>
      <c r="X255" s="36">
        <f>IF(O255="","",IF(ISNUMBER(SEARCH(O255,J255)),"Yes","No"))</f>
        <v/>
      </c>
      <c r="Y255" s="36" t="n">
        <v>0.7</v>
      </c>
      <c r="Z255" s="36" t="inlineStr">
        <is>
          <t>sitemap-provinces.xml</t>
        </is>
      </c>
      <c r="AA255" s="36" t="inlineStr">
        <is>
          <t>Live – indexable</t>
        </is>
      </c>
      <c r="AB255" s="38" t="n"/>
      <c r="AC255" s="38" t="n"/>
    </row>
    <row r="256" ht="23.85" customHeight="1" s="22">
      <c r="A256" s="36" t="inlineStr">
        <is>
          <t>P0255</t>
        </is>
      </c>
      <c r="B256" s="36" t="inlineStr">
        <is>
          <t>https://instasure.ca/professional-liability-insurance/saskatchewan/</t>
        </is>
      </c>
      <c r="C256" s="36" t="inlineStr">
        <is>
          <t>Product × province</t>
        </is>
      </c>
      <c r="D256" s="36" t="inlineStr">
        <is>
          <t>Professional liability (E&amp;O)</t>
        </is>
      </c>
      <c r="E256" s="36" t="inlineStr">
        <is>
          <t>Professional Liability (E&amp;O) Insurance</t>
        </is>
      </c>
      <c r="F256" s="36" t="n"/>
      <c r="G256" s="36" t="inlineStr">
        <is>
          <t>Saskatchewan</t>
        </is>
      </c>
      <c r="H256" s="36" t="n"/>
      <c r="I256" s="36" t="inlineStr">
        <is>
          <t>Yes</t>
        </is>
      </c>
      <c r="J256" s="25" t="inlineStr">
        <is>
          <t>Professional Liability (E&amp;O) Insurance in Saskatchewan: Costs, Rules &amp; Quotes (2026)</t>
        </is>
      </c>
      <c r="K256" s="36">
        <f>LEN(J256)</f>
        <v/>
      </c>
      <c r="L256" s="25" t="inlineStr">
        <is>
          <t>Professional Liability (E&amp;O) Insurance in Saskatchewan: how it works under FCAA, what drives price, instant estimates and advisors licensed in Saskatchewan.</t>
        </is>
      </c>
      <c r="M256" s="36">
        <f>LEN(L256)</f>
        <v/>
      </c>
      <c r="N256" s="25" t="inlineStr">
        <is>
          <t>Professional Liability (E&amp;O) Insurance in Saskatchewan</t>
        </is>
      </c>
      <c r="O256" s="36" t="n"/>
      <c r="P256" s="37" t="n"/>
      <c r="Q256" s="36" t="n"/>
      <c r="R256" s="36" t="inlineStr">
        <is>
          <t>professional liability insurance saskatchewan</t>
        </is>
      </c>
      <c r="S256" s="36">
        <f>COUNTIF('Page-Keyword Map'!$A$2:$A$675,B256)</f>
        <v/>
      </c>
      <c r="T256" s="37">
        <f>SUMIF('Page-Keyword Map'!$A$2:$A$675,B256,'Page-Keyword Map'!$H$2:$H$675)</f>
        <v/>
      </c>
      <c r="U256" s="36">
        <f>COUNTIFS('Page-Keyword Map'!$A$2:$A$675,B256,'Page-Keyword Map'!$E$2:$E$675,"Nationwide")</f>
        <v/>
      </c>
      <c r="V256" s="36">
        <f>COUNTIFS('Page-Keyword Map'!$A$2:$A$675,B256,'Page-Keyword Map'!$E$2:$E$675,"Provincial")</f>
        <v/>
      </c>
      <c r="W256" s="36">
        <f>COUNTIFS('Page-Keyword Map'!$A$2:$A$675,B256,'Page-Keyword Map'!$E$2:$E$675,"City")</f>
        <v/>
      </c>
      <c r="X256" s="36">
        <f>IF(O256="","",IF(ISNUMBER(SEARCH(O256,J256)),"Yes","No"))</f>
        <v/>
      </c>
      <c r="Y256" s="36" t="n">
        <v>0.7</v>
      </c>
      <c r="Z256" s="36" t="inlineStr">
        <is>
          <t>sitemap-provinces.xml</t>
        </is>
      </c>
      <c r="AA256" s="36" t="inlineStr">
        <is>
          <t>Live – indexable</t>
        </is>
      </c>
      <c r="AB256" s="38" t="n"/>
      <c r="AC256" s="38" t="n"/>
    </row>
    <row r="257" ht="23.85" customHeight="1" s="22">
      <c r="A257" s="36" t="inlineStr">
        <is>
          <t>P0256</t>
        </is>
      </c>
      <c r="B257" s="36" t="inlineStr">
        <is>
          <t>https://instasure.ca/professional-liability-insurance/yukon/</t>
        </is>
      </c>
      <c r="C257" s="36" t="inlineStr">
        <is>
          <t>Product × province</t>
        </is>
      </c>
      <c r="D257" s="36" t="inlineStr">
        <is>
          <t>Professional liability (E&amp;O)</t>
        </is>
      </c>
      <c r="E257" s="36" t="inlineStr">
        <is>
          <t>Professional Liability (E&amp;O) Insurance</t>
        </is>
      </c>
      <c r="F257" s="36" t="n"/>
      <c r="G257" s="36" t="inlineStr">
        <is>
          <t>Yukon</t>
        </is>
      </c>
      <c r="H257" s="36" t="n"/>
      <c r="I257" s="36" t="inlineStr">
        <is>
          <t>Yes</t>
        </is>
      </c>
      <c r="J257" s="25" t="inlineStr">
        <is>
          <t>Professional Liability (E&amp;O) Insurance in Yukon: Costs, Rules &amp; Quotes (2026)</t>
        </is>
      </c>
      <c r="K257" s="36">
        <f>LEN(J257)</f>
        <v/>
      </c>
      <c r="L257" s="25" t="inlineStr">
        <is>
          <t>Professional Liability (E&amp;O) Insurance in Yukon: how it works under the Yukon Superintendent, what drives price, instant estimates and a waitlist for licensed…</t>
        </is>
      </c>
      <c r="M257" s="36">
        <f>LEN(L257)</f>
        <v/>
      </c>
      <c r="N257" s="25" t="inlineStr">
        <is>
          <t>Professional Liability (E&amp;O) Insurance in Yukon</t>
        </is>
      </c>
      <c r="O257" s="36" t="n"/>
      <c r="P257" s="37" t="n"/>
      <c r="Q257" s="36" t="n"/>
      <c r="R257" s="36" t="inlineStr">
        <is>
          <t>professional liability insurance yukon</t>
        </is>
      </c>
      <c r="S257" s="36">
        <f>COUNTIF('Page-Keyword Map'!$A$2:$A$675,B257)</f>
        <v/>
      </c>
      <c r="T257" s="37">
        <f>SUMIF('Page-Keyword Map'!$A$2:$A$675,B257,'Page-Keyword Map'!$H$2:$H$675)</f>
        <v/>
      </c>
      <c r="U257" s="36">
        <f>COUNTIFS('Page-Keyword Map'!$A$2:$A$675,B257,'Page-Keyword Map'!$E$2:$E$675,"Nationwide")</f>
        <v/>
      </c>
      <c r="V257" s="36">
        <f>COUNTIFS('Page-Keyword Map'!$A$2:$A$675,B257,'Page-Keyword Map'!$E$2:$E$675,"Provincial")</f>
        <v/>
      </c>
      <c r="W257" s="36">
        <f>COUNTIFS('Page-Keyword Map'!$A$2:$A$675,B257,'Page-Keyword Map'!$E$2:$E$675,"City")</f>
        <v/>
      </c>
      <c r="X257" s="36">
        <f>IF(O257="","",IF(ISNUMBER(SEARCH(O257,J257)),"Yes","No"))</f>
        <v/>
      </c>
      <c r="Y257" s="36" t="n">
        <v>0.7</v>
      </c>
      <c r="Z257" s="36" t="inlineStr">
        <is>
          <t>sitemap-provinces.xml</t>
        </is>
      </c>
      <c r="AA257" s="36" t="inlineStr">
        <is>
          <t>Live – indexable</t>
        </is>
      </c>
      <c r="AB257" s="38" t="n"/>
      <c r="AC257" s="38" t="n"/>
    </row>
    <row r="258" ht="23.85" customHeight="1" s="22">
      <c r="A258" s="36" t="inlineStr">
        <is>
          <t>P0257</t>
        </is>
      </c>
      <c r="B258" s="36" t="inlineStr">
        <is>
          <t>https://instasure.ca/super-visa-insurance/alberta/</t>
        </is>
      </c>
      <c r="C258" s="36" t="inlineStr">
        <is>
          <t>Product × province</t>
        </is>
      </c>
      <c r="D258" s="36" t="inlineStr">
        <is>
          <t>Super Visa &amp; visitors insurance</t>
        </is>
      </c>
      <c r="E258" s="36" t="inlineStr">
        <is>
          <t>Super Visa Insurance</t>
        </is>
      </c>
      <c r="F258" s="36" t="n"/>
      <c r="G258" s="36" t="inlineStr">
        <is>
          <t>Alberta</t>
        </is>
      </c>
      <c r="H258" s="36" t="n"/>
      <c r="I258" s="36" t="inlineStr">
        <is>
          <t>Yes</t>
        </is>
      </c>
      <c r="J258" s="25" t="inlineStr">
        <is>
          <t>Super Visa Insurance in Alberta: Costs, Rules &amp; Quotes (2026)</t>
        </is>
      </c>
      <c r="K258" s="36">
        <f>LEN(J258)</f>
        <v/>
      </c>
      <c r="L258" s="25" t="inlineStr">
        <is>
          <t>Super Visa Insurance in Alberta: how it works under the Superintendent of Insurance, what drives price, instant estimates and advisors licensed in Alberta.</t>
        </is>
      </c>
      <c r="M258" s="36">
        <f>LEN(L258)</f>
        <v/>
      </c>
      <c r="N258" s="25" t="inlineStr">
        <is>
          <t>Super Visa Insurance in Alberta</t>
        </is>
      </c>
      <c r="O258" s="36" t="inlineStr">
        <is>
          <t>super visa insurance alberta</t>
        </is>
      </c>
      <c r="P258" s="37" t="n">
        <v>170</v>
      </c>
      <c r="Q258" s="36" t="inlineStr">
        <is>
          <t>Provincial</t>
        </is>
      </c>
      <c r="R258" s="36" t="n"/>
      <c r="S258" s="36">
        <f>COUNTIF('Page-Keyword Map'!$A$2:$A$675,B258)</f>
        <v/>
      </c>
      <c r="T258" s="37">
        <f>SUMIF('Page-Keyword Map'!$A$2:$A$675,B258,'Page-Keyword Map'!$H$2:$H$675)</f>
        <v/>
      </c>
      <c r="U258" s="36">
        <f>COUNTIFS('Page-Keyword Map'!$A$2:$A$675,B258,'Page-Keyword Map'!$E$2:$E$675,"Nationwide")</f>
        <v/>
      </c>
      <c r="V258" s="36">
        <f>COUNTIFS('Page-Keyword Map'!$A$2:$A$675,B258,'Page-Keyword Map'!$E$2:$E$675,"Provincial")</f>
        <v/>
      </c>
      <c r="W258" s="36">
        <f>COUNTIFS('Page-Keyword Map'!$A$2:$A$675,B258,'Page-Keyword Map'!$E$2:$E$675,"City")</f>
        <v/>
      </c>
      <c r="X258" s="36">
        <f>IF(O258="","",IF(ISNUMBER(SEARCH(O258,J258)),"Yes","No"))</f>
        <v/>
      </c>
      <c r="Y258" s="36" t="n">
        <v>0.7</v>
      </c>
      <c r="Z258" s="36" t="inlineStr">
        <is>
          <t>sitemap-provinces.xml</t>
        </is>
      </c>
      <c r="AA258" s="36" t="inlineStr">
        <is>
          <t>Live – indexable</t>
        </is>
      </c>
      <c r="AB258" s="38" t="n"/>
      <c r="AC258" s="38" t="n"/>
    </row>
    <row r="259" ht="23.85" customHeight="1" s="22">
      <c r="A259" s="36" t="inlineStr">
        <is>
          <t>P0258</t>
        </is>
      </c>
      <c r="B259" s="36" t="inlineStr">
        <is>
          <t>https://instasure.ca/super-visa-insurance/british-columbia/</t>
        </is>
      </c>
      <c r="C259" s="36" t="inlineStr">
        <is>
          <t>Product × province</t>
        </is>
      </c>
      <c r="D259" s="36" t="inlineStr">
        <is>
          <t>Super Visa &amp; visitors insurance</t>
        </is>
      </c>
      <c r="E259" s="36" t="inlineStr">
        <is>
          <t>Super Visa Insurance</t>
        </is>
      </c>
      <c r="F259" s="36" t="n"/>
      <c r="G259" s="36" t="inlineStr">
        <is>
          <t>British Columbia</t>
        </is>
      </c>
      <c r="H259" s="36" t="n"/>
      <c r="I259" s="36" t="inlineStr">
        <is>
          <t>Yes</t>
        </is>
      </c>
      <c r="J259" s="25" t="inlineStr">
        <is>
          <t>Super Visa Insurance in British Columbia: Costs, Rules &amp; Quotes (2026)</t>
        </is>
      </c>
      <c r="K259" s="36">
        <f>LEN(J259)</f>
        <v/>
      </c>
      <c r="L259" s="25" t="inlineStr">
        <is>
          <t>Super Visa Insurance in British Columbia: how it works under BCFSA, what drives price, instant estimates and advisors licensed in British Columbia.</t>
        </is>
      </c>
      <c r="M259" s="36">
        <f>LEN(L259)</f>
        <v/>
      </c>
      <c r="N259" s="25" t="inlineStr">
        <is>
          <t>Super Visa Insurance in British Columbia</t>
        </is>
      </c>
      <c r="O259" s="36" t="inlineStr">
        <is>
          <t>super visa insurance bc</t>
        </is>
      </c>
      <c r="P259" s="37" t="n">
        <v>190</v>
      </c>
      <c r="Q259" s="36" t="inlineStr">
        <is>
          <t>Provincial</t>
        </is>
      </c>
      <c r="R259" s="36" t="n"/>
      <c r="S259" s="36">
        <f>COUNTIF('Page-Keyword Map'!$A$2:$A$675,B259)</f>
        <v/>
      </c>
      <c r="T259" s="37">
        <f>SUMIF('Page-Keyword Map'!$A$2:$A$675,B259,'Page-Keyword Map'!$H$2:$H$675)</f>
        <v/>
      </c>
      <c r="U259" s="36">
        <f>COUNTIFS('Page-Keyword Map'!$A$2:$A$675,B259,'Page-Keyword Map'!$E$2:$E$675,"Nationwide")</f>
        <v/>
      </c>
      <c r="V259" s="36">
        <f>COUNTIFS('Page-Keyword Map'!$A$2:$A$675,B259,'Page-Keyword Map'!$E$2:$E$675,"Provincial")</f>
        <v/>
      </c>
      <c r="W259" s="36">
        <f>COUNTIFS('Page-Keyword Map'!$A$2:$A$675,B259,'Page-Keyword Map'!$E$2:$E$675,"City")</f>
        <v/>
      </c>
      <c r="X259" s="36">
        <f>IF(O259="","",IF(ISNUMBER(SEARCH(O259,J259)),"Yes","No"))</f>
        <v/>
      </c>
      <c r="Y259" s="36" t="n">
        <v>0.7</v>
      </c>
      <c r="Z259" s="36" t="inlineStr">
        <is>
          <t>sitemap-provinces.xml</t>
        </is>
      </c>
      <c r="AA259" s="36" t="inlineStr">
        <is>
          <t>Live – indexable</t>
        </is>
      </c>
      <c r="AB259" s="38" t="n"/>
      <c r="AC259" s="38" t="n"/>
    </row>
    <row r="260" ht="23.85" customHeight="1" s="22">
      <c r="A260" s="36" t="inlineStr">
        <is>
          <t>P0259</t>
        </is>
      </c>
      <c r="B260" s="36" t="inlineStr">
        <is>
          <t>https://instasure.ca/super-visa-insurance/manitoba/</t>
        </is>
      </c>
      <c r="C260" s="36" t="inlineStr">
        <is>
          <t>Product × province</t>
        </is>
      </c>
      <c r="D260" s="36" t="inlineStr">
        <is>
          <t>Super Visa &amp; visitors insurance</t>
        </is>
      </c>
      <c r="E260" s="36" t="inlineStr">
        <is>
          <t>Super Visa Insurance</t>
        </is>
      </c>
      <c r="F260" s="36" t="n"/>
      <c r="G260" s="36" t="inlineStr">
        <is>
          <t>Manitoba</t>
        </is>
      </c>
      <c r="H260" s="36" t="n"/>
      <c r="I260" s="36" t="inlineStr">
        <is>
          <t>Yes</t>
        </is>
      </c>
      <c r="J260" s="25" t="inlineStr">
        <is>
          <t>Super Visa Insurance in Manitoba: Costs, Rules &amp; Quotes (2026)</t>
        </is>
      </c>
      <c r="K260" s="36">
        <f>LEN(J260)</f>
        <v/>
      </c>
      <c r="L260" s="25" t="inlineStr">
        <is>
          <t>Super Visa Insurance in Manitoba: how it works under FIRB, what drives price, instant estimates and advisors licensed in Manitoba.</t>
        </is>
      </c>
      <c r="M260" s="36">
        <f>LEN(L260)</f>
        <v/>
      </c>
      <c r="N260" s="25" t="inlineStr">
        <is>
          <t>Super Visa Insurance in Manitoba</t>
        </is>
      </c>
      <c r="O260" s="36" t="inlineStr">
        <is>
          <t>super visa insurance manitoba</t>
        </is>
      </c>
      <c r="P260" s="37" t="n">
        <v>59</v>
      </c>
      <c r="Q260" s="36" t="inlineStr">
        <is>
          <t>Provincial</t>
        </is>
      </c>
      <c r="R260" s="36" t="n"/>
      <c r="S260" s="36">
        <f>COUNTIF('Page-Keyword Map'!$A$2:$A$675,B260)</f>
        <v/>
      </c>
      <c r="T260" s="37">
        <f>SUMIF('Page-Keyword Map'!$A$2:$A$675,B260,'Page-Keyword Map'!$H$2:$H$675)</f>
        <v/>
      </c>
      <c r="U260" s="36">
        <f>COUNTIFS('Page-Keyword Map'!$A$2:$A$675,B260,'Page-Keyword Map'!$E$2:$E$675,"Nationwide")</f>
        <v/>
      </c>
      <c r="V260" s="36">
        <f>COUNTIFS('Page-Keyword Map'!$A$2:$A$675,B260,'Page-Keyword Map'!$E$2:$E$675,"Provincial")</f>
        <v/>
      </c>
      <c r="W260" s="36">
        <f>COUNTIFS('Page-Keyword Map'!$A$2:$A$675,B260,'Page-Keyword Map'!$E$2:$E$675,"City")</f>
        <v/>
      </c>
      <c r="X260" s="36">
        <f>IF(O260="","",IF(ISNUMBER(SEARCH(O260,J260)),"Yes","No"))</f>
        <v/>
      </c>
      <c r="Y260" s="36" t="n">
        <v>0.7</v>
      </c>
      <c r="Z260" s="36" t="inlineStr">
        <is>
          <t>sitemap-provinces.xml</t>
        </is>
      </c>
      <c r="AA260" s="36" t="inlineStr">
        <is>
          <t>Live – indexable</t>
        </is>
      </c>
      <c r="AB260" s="38" t="n"/>
      <c r="AC260" s="38" t="n"/>
    </row>
    <row r="261" ht="23.85" customHeight="1" s="22">
      <c r="A261" s="36" t="inlineStr">
        <is>
          <t>P0260</t>
        </is>
      </c>
      <c r="B261" s="36" t="inlineStr">
        <is>
          <t>https://instasure.ca/super-visa-insurance/new-brunswick/</t>
        </is>
      </c>
      <c r="C261" s="36" t="inlineStr">
        <is>
          <t>Product × province</t>
        </is>
      </c>
      <c r="D261" s="36" t="inlineStr">
        <is>
          <t>Super Visa &amp; visitors insurance</t>
        </is>
      </c>
      <c r="E261" s="36" t="inlineStr">
        <is>
          <t>Super Visa Insurance</t>
        </is>
      </c>
      <c r="F261" s="36" t="n"/>
      <c r="G261" s="36" t="inlineStr">
        <is>
          <t>New Brunswick</t>
        </is>
      </c>
      <c r="H261" s="36" t="n"/>
      <c r="I261" s="36" t="inlineStr">
        <is>
          <t>Yes</t>
        </is>
      </c>
      <c r="J261" s="25" t="inlineStr">
        <is>
          <t>Super Visa Insurance in New Brunswick: Costs, Rules &amp; Quotes (2026)</t>
        </is>
      </c>
      <c r="K261" s="36">
        <f>LEN(J261)</f>
        <v/>
      </c>
      <c r="L261" s="25" t="inlineStr">
        <is>
          <t>Super Visa Insurance in New Brunswick: how it works under FCNB, what drives price, instant estimates and advisors licensed in New Brunswick.</t>
        </is>
      </c>
      <c r="M261" s="36">
        <f>LEN(L261)</f>
        <v/>
      </c>
      <c r="N261" s="25" t="inlineStr">
        <is>
          <t>Super Visa Insurance in New Brunswick</t>
        </is>
      </c>
      <c r="O261" s="36" t="inlineStr">
        <is>
          <t>super visa insurance new brunswick</t>
        </is>
      </c>
      <c r="P261" s="37" t="n">
        <v>36</v>
      </c>
      <c r="Q261" s="36" t="inlineStr">
        <is>
          <t>Provincial</t>
        </is>
      </c>
      <c r="R261" s="36" t="n"/>
      <c r="S261" s="36">
        <f>COUNTIF('Page-Keyword Map'!$A$2:$A$675,B261)</f>
        <v/>
      </c>
      <c r="T261" s="37">
        <f>SUMIF('Page-Keyword Map'!$A$2:$A$675,B261,'Page-Keyword Map'!$H$2:$H$675)</f>
        <v/>
      </c>
      <c r="U261" s="36">
        <f>COUNTIFS('Page-Keyword Map'!$A$2:$A$675,B261,'Page-Keyword Map'!$E$2:$E$675,"Nationwide")</f>
        <v/>
      </c>
      <c r="V261" s="36">
        <f>COUNTIFS('Page-Keyword Map'!$A$2:$A$675,B261,'Page-Keyword Map'!$E$2:$E$675,"Provincial")</f>
        <v/>
      </c>
      <c r="W261" s="36">
        <f>COUNTIFS('Page-Keyword Map'!$A$2:$A$675,B261,'Page-Keyword Map'!$E$2:$E$675,"City")</f>
        <v/>
      </c>
      <c r="X261" s="36">
        <f>IF(O261="","",IF(ISNUMBER(SEARCH(O261,J261)),"Yes","No"))</f>
        <v/>
      </c>
      <c r="Y261" s="36" t="n">
        <v>0.7</v>
      </c>
      <c r="Z261" s="36" t="inlineStr">
        <is>
          <t>sitemap-provinces.xml</t>
        </is>
      </c>
      <c r="AA261" s="36" t="inlineStr">
        <is>
          <t>Live – indexable</t>
        </is>
      </c>
      <c r="AB261" s="38" t="n"/>
      <c r="AC261" s="38" t="n"/>
    </row>
    <row r="262" ht="23.85" customHeight="1" s="22">
      <c r="A262" s="36" t="inlineStr">
        <is>
          <t>P0261</t>
        </is>
      </c>
      <c r="B262" s="36" t="inlineStr">
        <is>
          <t>https://instasure.ca/super-visa-insurance/newfoundland-and-labrador/</t>
        </is>
      </c>
      <c r="C262" s="36" t="inlineStr">
        <is>
          <t>Product × province</t>
        </is>
      </c>
      <c r="D262" s="36" t="inlineStr">
        <is>
          <t>Super Visa &amp; visitors insurance</t>
        </is>
      </c>
      <c r="E262" s="36" t="inlineStr">
        <is>
          <t>Super Visa Insurance</t>
        </is>
      </c>
      <c r="F262" s="36" t="n"/>
      <c r="G262" s="36" t="inlineStr">
        <is>
          <t>Newfoundland and Labrador</t>
        </is>
      </c>
      <c r="H262" s="36" t="n"/>
      <c r="I262" s="36" t="inlineStr">
        <is>
          <t>Yes</t>
        </is>
      </c>
      <c r="J262" s="25" t="inlineStr">
        <is>
          <t>Super Visa Insurance in Newfoundland and Labrador: Costs, Rules &amp; Quotes (2026)</t>
        </is>
      </c>
      <c r="K262" s="36">
        <f>LEN(J262)</f>
        <v/>
      </c>
      <c r="L262" s="25" t="inlineStr">
        <is>
          <t>Super Visa Insurance in Newfoundland and Labrador: how it works under Service NL, what drives price, instant estimates and advisors licensed in Newfoundland and…</t>
        </is>
      </c>
      <c r="M262" s="36">
        <f>LEN(L262)</f>
        <v/>
      </c>
      <c r="N262" s="25" t="inlineStr">
        <is>
          <t>Super Visa Insurance in Newfoundland and Labrador</t>
        </is>
      </c>
      <c r="O262" s="36" t="inlineStr">
        <is>
          <t>super visa insurance newfoundland</t>
        </is>
      </c>
      <c r="P262" s="37" t="n">
        <v>25</v>
      </c>
      <c r="Q262" s="36" t="inlineStr">
        <is>
          <t>Provincial</t>
        </is>
      </c>
      <c r="R262" s="36" t="n"/>
      <c r="S262" s="36">
        <f>COUNTIF('Page-Keyword Map'!$A$2:$A$675,B262)</f>
        <v/>
      </c>
      <c r="T262" s="37">
        <f>SUMIF('Page-Keyword Map'!$A$2:$A$675,B262,'Page-Keyword Map'!$H$2:$H$675)</f>
        <v/>
      </c>
      <c r="U262" s="36">
        <f>COUNTIFS('Page-Keyword Map'!$A$2:$A$675,B262,'Page-Keyword Map'!$E$2:$E$675,"Nationwide")</f>
        <v/>
      </c>
      <c r="V262" s="36">
        <f>COUNTIFS('Page-Keyword Map'!$A$2:$A$675,B262,'Page-Keyword Map'!$E$2:$E$675,"Provincial")</f>
        <v/>
      </c>
      <c r="W262" s="36">
        <f>COUNTIFS('Page-Keyword Map'!$A$2:$A$675,B262,'Page-Keyword Map'!$E$2:$E$675,"City")</f>
        <v/>
      </c>
      <c r="X262" s="36">
        <f>IF(O262="","",IF(ISNUMBER(SEARCH(O262,J262)),"Yes","No"))</f>
        <v/>
      </c>
      <c r="Y262" s="36" t="n">
        <v>0.7</v>
      </c>
      <c r="Z262" s="36" t="inlineStr">
        <is>
          <t>sitemap-provinces.xml</t>
        </is>
      </c>
      <c r="AA262" s="36" t="inlineStr">
        <is>
          <t>Live – indexable</t>
        </is>
      </c>
      <c r="AB262" s="38" t="n"/>
      <c r="AC262" s="38" t="n"/>
    </row>
    <row r="263" ht="23.85" customHeight="1" s="22">
      <c r="A263" s="36" t="inlineStr">
        <is>
          <t>P0262</t>
        </is>
      </c>
      <c r="B263" s="36" t="inlineStr">
        <is>
          <t>https://instasure.ca/super-visa-insurance/northwest-territories/</t>
        </is>
      </c>
      <c r="C263" s="36" t="inlineStr">
        <is>
          <t>Product × province</t>
        </is>
      </c>
      <c r="D263" s="36" t="inlineStr">
        <is>
          <t>Super Visa &amp; visitors insurance</t>
        </is>
      </c>
      <c r="E263" s="36" t="inlineStr">
        <is>
          <t>Super Visa Insurance</t>
        </is>
      </c>
      <c r="F263" s="36" t="n"/>
      <c r="G263" s="36" t="inlineStr">
        <is>
          <t>Northwest Territories</t>
        </is>
      </c>
      <c r="H263" s="36" t="n"/>
      <c r="I263" s="36" t="inlineStr">
        <is>
          <t>Yes</t>
        </is>
      </c>
      <c r="J263" s="25" t="inlineStr">
        <is>
          <t>Super Visa Insurance in Northwest Territories: Costs, Rules &amp; Quotes (2026)</t>
        </is>
      </c>
      <c r="K263" s="36">
        <f>LEN(J263)</f>
        <v/>
      </c>
      <c r="L263" s="25" t="inlineStr">
        <is>
          <t>Super Visa Insurance in Northwest Territories: how it works under the NWT Superintendent, what drives price, instant estimates and a waitlist for licensed advice…</t>
        </is>
      </c>
      <c r="M263" s="36">
        <f>LEN(L263)</f>
        <v/>
      </c>
      <c r="N263" s="25" t="inlineStr">
        <is>
          <t>Super Visa Insurance in Northwest Territories</t>
        </is>
      </c>
      <c r="O263" s="36" t="n"/>
      <c r="P263" s="37" t="n"/>
      <c r="Q263" s="36" t="n"/>
      <c r="R263" s="36" t="inlineStr">
        <is>
          <t>super visa insurance northwest territories</t>
        </is>
      </c>
      <c r="S263" s="36">
        <f>COUNTIF('Page-Keyword Map'!$A$2:$A$675,B263)</f>
        <v/>
      </c>
      <c r="T263" s="37">
        <f>SUMIF('Page-Keyword Map'!$A$2:$A$675,B263,'Page-Keyword Map'!$H$2:$H$675)</f>
        <v/>
      </c>
      <c r="U263" s="36">
        <f>COUNTIFS('Page-Keyword Map'!$A$2:$A$675,B263,'Page-Keyword Map'!$E$2:$E$675,"Nationwide")</f>
        <v/>
      </c>
      <c r="V263" s="36">
        <f>COUNTIFS('Page-Keyword Map'!$A$2:$A$675,B263,'Page-Keyword Map'!$E$2:$E$675,"Provincial")</f>
        <v/>
      </c>
      <c r="W263" s="36">
        <f>COUNTIFS('Page-Keyword Map'!$A$2:$A$675,B263,'Page-Keyword Map'!$E$2:$E$675,"City")</f>
        <v/>
      </c>
      <c r="X263" s="36">
        <f>IF(O263="","",IF(ISNUMBER(SEARCH(O263,J263)),"Yes","No"))</f>
        <v/>
      </c>
      <c r="Y263" s="36" t="n">
        <v>0.7</v>
      </c>
      <c r="Z263" s="36" t="inlineStr">
        <is>
          <t>sitemap-provinces.xml</t>
        </is>
      </c>
      <c r="AA263" s="36" t="inlineStr">
        <is>
          <t>Live – indexable</t>
        </is>
      </c>
      <c r="AB263" s="38" t="n"/>
      <c r="AC263" s="38" t="n"/>
    </row>
    <row r="264" ht="23.85" customHeight="1" s="22">
      <c r="A264" s="36" t="inlineStr">
        <is>
          <t>P0263</t>
        </is>
      </c>
      <c r="B264" s="36" t="inlineStr">
        <is>
          <t>https://instasure.ca/super-visa-insurance/nova-scotia/</t>
        </is>
      </c>
      <c r="C264" s="36" t="inlineStr">
        <is>
          <t>Product × province</t>
        </is>
      </c>
      <c r="D264" s="36" t="inlineStr">
        <is>
          <t>Super Visa &amp; visitors insurance</t>
        </is>
      </c>
      <c r="E264" s="36" t="inlineStr">
        <is>
          <t>Super Visa Insurance</t>
        </is>
      </c>
      <c r="F264" s="36" t="n"/>
      <c r="G264" s="36" t="inlineStr">
        <is>
          <t>Nova Scotia</t>
        </is>
      </c>
      <c r="H264" s="36" t="n"/>
      <c r="I264" s="36" t="inlineStr">
        <is>
          <t>Yes</t>
        </is>
      </c>
      <c r="J264" s="25" t="inlineStr">
        <is>
          <t>Super Visa Insurance in Nova Scotia: Costs, Rules &amp; Quotes (2026)</t>
        </is>
      </c>
      <c r="K264" s="36">
        <f>LEN(J264)</f>
        <v/>
      </c>
      <c r="L264" s="25" t="inlineStr">
        <is>
          <t>Super Visa Insurance in Nova Scotia: how it works under the NS Superintendent of Insurance, what drives price, instant estimates and advisors licensed in Nova…</t>
        </is>
      </c>
      <c r="M264" s="36">
        <f>LEN(L264)</f>
        <v/>
      </c>
      <c r="N264" s="25" t="inlineStr">
        <is>
          <t>Super Visa Insurance in Nova Scotia</t>
        </is>
      </c>
      <c r="O264" s="36" t="inlineStr">
        <is>
          <t>super visa insurance nova scotia</t>
        </is>
      </c>
      <c r="P264" s="37" t="n">
        <v>44</v>
      </c>
      <c r="Q264" s="36" t="inlineStr">
        <is>
          <t>Provincial</t>
        </is>
      </c>
      <c r="R264" s="36" t="n"/>
      <c r="S264" s="36">
        <f>COUNTIF('Page-Keyword Map'!$A$2:$A$675,B264)</f>
        <v/>
      </c>
      <c r="T264" s="37">
        <f>SUMIF('Page-Keyword Map'!$A$2:$A$675,B264,'Page-Keyword Map'!$H$2:$H$675)</f>
        <v/>
      </c>
      <c r="U264" s="36">
        <f>COUNTIFS('Page-Keyword Map'!$A$2:$A$675,B264,'Page-Keyword Map'!$E$2:$E$675,"Nationwide")</f>
        <v/>
      </c>
      <c r="V264" s="36">
        <f>COUNTIFS('Page-Keyword Map'!$A$2:$A$675,B264,'Page-Keyword Map'!$E$2:$E$675,"Provincial")</f>
        <v/>
      </c>
      <c r="W264" s="36">
        <f>COUNTIFS('Page-Keyword Map'!$A$2:$A$675,B264,'Page-Keyword Map'!$E$2:$E$675,"City")</f>
        <v/>
      </c>
      <c r="X264" s="36">
        <f>IF(O264="","",IF(ISNUMBER(SEARCH(O264,J264)),"Yes","No"))</f>
        <v/>
      </c>
      <c r="Y264" s="36" t="n">
        <v>0.7</v>
      </c>
      <c r="Z264" s="36" t="inlineStr">
        <is>
          <t>sitemap-provinces.xml</t>
        </is>
      </c>
      <c r="AA264" s="36" t="inlineStr">
        <is>
          <t>Live – indexable</t>
        </is>
      </c>
      <c r="AB264" s="38" t="n"/>
      <c r="AC264" s="38" t="n"/>
    </row>
    <row r="265" ht="23.85" customHeight="1" s="22">
      <c r="A265" s="36" t="inlineStr">
        <is>
          <t>P0264</t>
        </is>
      </c>
      <c r="B265" s="36" t="inlineStr">
        <is>
          <t>https://instasure.ca/super-visa-insurance/nunavut/</t>
        </is>
      </c>
      <c r="C265" s="36" t="inlineStr">
        <is>
          <t>Product × province</t>
        </is>
      </c>
      <c r="D265" s="36" t="inlineStr">
        <is>
          <t>Super Visa &amp; visitors insurance</t>
        </is>
      </c>
      <c r="E265" s="36" t="inlineStr">
        <is>
          <t>Super Visa Insurance</t>
        </is>
      </c>
      <c r="F265" s="36" t="n"/>
      <c r="G265" s="36" t="inlineStr">
        <is>
          <t>Nunavut</t>
        </is>
      </c>
      <c r="H265" s="36" t="n"/>
      <c r="I265" s="36" t="inlineStr">
        <is>
          <t>Yes</t>
        </is>
      </c>
      <c r="J265" s="25" t="inlineStr">
        <is>
          <t>Super Visa Insurance in Nunavut: Costs, Rules &amp; Quotes (2026)</t>
        </is>
      </c>
      <c r="K265" s="36">
        <f>LEN(J265)</f>
        <v/>
      </c>
      <c r="L265" s="25" t="inlineStr">
        <is>
          <t>Super Visa Insurance in Nunavut: how it works under the Nunavut Superintendent, what drives price, instant estimates and a waitlist for licensed advice in Nunavut.</t>
        </is>
      </c>
      <c r="M265" s="36">
        <f>LEN(L265)</f>
        <v/>
      </c>
      <c r="N265" s="25" t="inlineStr">
        <is>
          <t>Super Visa Insurance in Nunavut</t>
        </is>
      </c>
      <c r="O265" s="36" t="n"/>
      <c r="P265" s="37" t="n"/>
      <c r="Q265" s="36" t="n"/>
      <c r="R265" s="36" t="inlineStr">
        <is>
          <t>super visa insurance nunavut</t>
        </is>
      </c>
      <c r="S265" s="36">
        <f>COUNTIF('Page-Keyword Map'!$A$2:$A$675,B265)</f>
        <v/>
      </c>
      <c r="T265" s="37">
        <f>SUMIF('Page-Keyword Map'!$A$2:$A$675,B265,'Page-Keyword Map'!$H$2:$H$675)</f>
        <v/>
      </c>
      <c r="U265" s="36">
        <f>COUNTIFS('Page-Keyword Map'!$A$2:$A$675,B265,'Page-Keyword Map'!$E$2:$E$675,"Nationwide")</f>
        <v/>
      </c>
      <c r="V265" s="36">
        <f>COUNTIFS('Page-Keyword Map'!$A$2:$A$675,B265,'Page-Keyword Map'!$E$2:$E$675,"Provincial")</f>
        <v/>
      </c>
      <c r="W265" s="36">
        <f>COUNTIFS('Page-Keyword Map'!$A$2:$A$675,B265,'Page-Keyword Map'!$E$2:$E$675,"City")</f>
        <v/>
      </c>
      <c r="X265" s="36">
        <f>IF(O265="","",IF(ISNUMBER(SEARCH(O265,J265)),"Yes","No"))</f>
        <v/>
      </c>
      <c r="Y265" s="36" t="n">
        <v>0.7</v>
      </c>
      <c r="Z265" s="36" t="inlineStr">
        <is>
          <t>sitemap-provinces.xml</t>
        </is>
      </c>
      <c r="AA265" s="36" t="inlineStr">
        <is>
          <t>Live – indexable</t>
        </is>
      </c>
      <c r="AB265" s="38" t="n"/>
      <c r="AC265" s="38" t="n"/>
    </row>
    <row r="266" ht="23.85" customHeight="1" s="22">
      <c r="A266" s="36" t="inlineStr">
        <is>
          <t>P0265</t>
        </is>
      </c>
      <c r="B266" s="36" t="inlineStr">
        <is>
          <t>https://instasure.ca/super-visa-insurance/ontario/</t>
        </is>
      </c>
      <c r="C266" s="36" t="inlineStr">
        <is>
          <t>Product × province</t>
        </is>
      </c>
      <c r="D266" s="36" t="inlineStr">
        <is>
          <t>Super Visa &amp; visitors insurance</t>
        </is>
      </c>
      <c r="E266" s="36" t="inlineStr">
        <is>
          <t>Super Visa Insurance</t>
        </is>
      </c>
      <c r="F266" s="36" t="n"/>
      <c r="G266" s="36" t="inlineStr">
        <is>
          <t>Ontario</t>
        </is>
      </c>
      <c r="H266" s="36" t="n"/>
      <c r="I266" s="36" t="inlineStr">
        <is>
          <t>Yes</t>
        </is>
      </c>
      <c r="J266" s="25" t="inlineStr">
        <is>
          <t>Super Visa Insurance in Ontario: Costs, Rules &amp; Quotes (2026)</t>
        </is>
      </c>
      <c r="K266" s="36">
        <f>LEN(J266)</f>
        <v/>
      </c>
      <c r="L266" s="25" t="inlineStr">
        <is>
          <t>Super Visa Insurance in Ontario: how it works under FSRA, what drives price, instant estimates and advisors licensed in Ontario.</t>
        </is>
      </c>
      <c r="M266" s="36">
        <f>LEN(L266)</f>
        <v/>
      </c>
      <c r="N266" s="25" t="inlineStr">
        <is>
          <t>Super Visa Insurance in Ontario</t>
        </is>
      </c>
      <c r="O266" s="36" t="inlineStr">
        <is>
          <t>super visa insurance ontario</t>
        </is>
      </c>
      <c r="P266" s="37" t="n">
        <v>550</v>
      </c>
      <c r="Q266" s="36" t="inlineStr">
        <is>
          <t>Provincial</t>
        </is>
      </c>
      <c r="R266" s="36" t="n"/>
      <c r="S266" s="36">
        <f>COUNTIF('Page-Keyword Map'!$A$2:$A$675,B266)</f>
        <v/>
      </c>
      <c r="T266" s="37">
        <f>SUMIF('Page-Keyword Map'!$A$2:$A$675,B266,'Page-Keyword Map'!$H$2:$H$675)</f>
        <v/>
      </c>
      <c r="U266" s="36">
        <f>COUNTIFS('Page-Keyword Map'!$A$2:$A$675,B266,'Page-Keyword Map'!$E$2:$E$675,"Nationwide")</f>
        <v/>
      </c>
      <c r="V266" s="36">
        <f>COUNTIFS('Page-Keyword Map'!$A$2:$A$675,B266,'Page-Keyword Map'!$E$2:$E$675,"Provincial")</f>
        <v/>
      </c>
      <c r="W266" s="36">
        <f>COUNTIFS('Page-Keyword Map'!$A$2:$A$675,B266,'Page-Keyword Map'!$E$2:$E$675,"City")</f>
        <v/>
      </c>
      <c r="X266" s="36">
        <f>IF(O266="","",IF(ISNUMBER(SEARCH(O266,J266)),"Yes","No"))</f>
        <v/>
      </c>
      <c r="Y266" s="36" t="n">
        <v>0.7</v>
      </c>
      <c r="Z266" s="36" t="inlineStr">
        <is>
          <t>sitemap-provinces.xml</t>
        </is>
      </c>
      <c r="AA266" s="36" t="inlineStr">
        <is>
          <t>Live – indexable</t>
        </is>
      </c>
      <c r="AB266" s="38" t="n"/>
      <c r="AC266" s="38" t="n"/>
    </row>
    <row r="267" ht="23.85" customHeight="1" s="22">
      <c r="A267" s="36" t="inlineStr">
        <is>
          <t>P0266</t>
        </is>
      </c>
      <c r="B267" s="36" t="inlineStr">
        <is>
          <t>https://instasure.ca/super-visa-insurance/prince-edward-island/</t>
        </is>
      </c>
      <c r="C267" s="36" t="inlineStr">
        <is>
          <t>Product × province</t>
        </is>
      </c>
      <c r="D267" s="36" t="inlineStr">
        <is>
          <t>Super Visa &amp; visitors insurance</t>
        </is>
      </c>
      <c r="E267" s="36" t="inlineStr">
        <is>
          <t>Super Visa Insurance</t>
        </is>
      </c>
      <c r="F267" s="36" t="n"/>
      <c r="G267" s="36" t="inlineStr">
        <is>
          <t>Prince Edward Island</t>
        </is>
      </c>
      <c r="H267" s="36" t="n"/>
      <c r="I267" s="36" t="inlineStr">
        <is>
          <t>Yes</t>
        </is>
      </c>
      <c r="J267" s="25" t="inlineStr">
        <is>
          <t>Super Visa Insurance in Prince Edward Island: Costs, Rules &amp; Quotes (2026)</t>
        </is>
      </c>
      <c r="K267" s="36">
        <f>LEN(J267)</f>
        <v/>
      </c>
      <c r="L267" s="25" t="inlineStr">
        <is>
          <t>Super Visa Insurance in Prince Edward Island: how it works under the PEI Superintendent, what drives price, instant estimates and advisors licensed in Prince…</t>
        </is>
      </c>
      <c r="M267" s="36">
        <f>LEN(L267)</f>
        <v/>
      </c>
      <c r="N267" s="25" t="inlineStr">
        <is>
          <t>Super Visa Insurance in Prince Edward Island</t>
        </is>
      </c>
      <c r="O267" s="36" t="n"/>
      <c r="P267" s="37" t="n"/>
      <c r="Q267" s="36" t="n"/>
      <c r="R267" s="36" t="inlineStr">
        <is>
          <t>super visa insurance prince edward island</t>
        </is>
      </c>
      <c r="S267" s="36">
        <f>COUNTIF('Page-Keyword Map'!$A$2:$A$675,B267)</f>
        <v/>
      </c>
      <c r="T267" s="37">
        <f>SUMIF('Page-Keyword Map'!$A$2:$A$675,B267,'Page-Keyword Map'!$H$2:$H$675)</f>
        <v/>
      </c>
      <c r="U267" s="36">
        <f>COUNTIFS('Page-Keyword Map'!$A$2:$A$675,B267,'Page-Keyword Map'!$E$2:$E$675,"Nationwide")</f>
        <v/>
      </c>
      <c r="V267" s="36">
        <f>COUNTIFS('Page-Keyword Map'!$A$2:$A$675,B267,'Page-Keyword Map'!$E$2:$E$675,"Provincial")</f>
        <v/>
      </c>
      <c r="W267" s="36">
        <f>COUNTIFS('Page-Keyword Map'!$A$2:$A$675,B267,'Page-Keyword Map'!$E$2:$E$675,"City")</f>
        <v/>
      </c>
      <c r="X267" s="36">
        <f>IF(O267="","",IF(ISNUMBER(SEARCH(O267,J267)),"Yes","No"))</f>
        <v/>
      </c>
      <c r="Y267" s="36" t="n">
        <v>0.7</v>
      </c>
      <c r="Z267" s="36" t="inlineStr">
        <is>
          <t>sitemap-provinces.xml</t>
        </is>
      </c>
      <c r="AA267" s="36" t="inlineStr">
        <is>
          <t>Live – indexable</t>
        </is>
      </c>
      <c r="AB267" s="38" t="n"/>
      <c r="AC267" s="38" t="n"/>
    </row>
    <row r="268" ht="23.85" customHeight="1" s="22">
      <c r="A268" s="36" t="inlineStr">
        <is>
          <t>P0267</t>
        </is>
      </c>
      <c r="B268" s="36" t="inlineStr">
        <is>
          <t>https://instasure.ca/super-visa-insurance/quebec/</t>
        </is>
      </c>
      <c r="C268" s="36" t="inlineStr">
        <is>
          <t>Product × province</t>
        </is>
      </c>
      <c r="D268" s="36" t="inlineStr">
        <is>
          <t>Super Visa &amp; visitors insurance</t>
        </is>
      </c>
      <c r="E268" s="36" t="inlineStr">
        <is>
          <t>Super Visa Insurance</t>
        </is>
      </c>
      <c r="F268" s="36" t="n"/>
      <c r="G268" s="36" t="inlineStr">
        <is>
          <t>Quebec</t>
        </is>
      </c>
      <c r="H268" s="36" t="n"/>
      <c r="I268" s="36" t="inlineStr">
        <is>
          <t>Yes</t>
        </is>
      </c>
      <c r="J268" s="25" t="inlineStr">
        <is>
          <t>Super Visa Insurance in Quebec: Costs, Rules &amp; Quotes (2026)</t>
        </is>
      </c>
      <c r="K268" s="36">
        <f>LEN(J268)</f>
        <v/>
      </c>
      <c r="L268" s="25" t="inlineStr">
        <is>
          <t>Super Visa Insurance in Quebec: how it works under AMF, what drives price, instant estimates and a waitlist for licensed advice in Quebec.</t>
        </is>
      </c>
      <c r="M268" s="36">
        <f>LEN(L268)</f>
        <v/>
      </c>
      <c r="N268" s="25" t="inlineStr">
        <is>
          <t>Super Visa Insurance in Quebec</t>
        </is>
      </c>
      <c r="O268" s="36" t="inlineStr">
        <is>
          <t>super visa insurance quebec</t>
        </is>
      </c>
      <c r="P268" s="37" t="n">
        <v>96</v>
      </c>
      <c r="Q268" s="36" t="inlineStr">
        <is>
          <t>Provincial</t>
        </is>
      </c>
      <c r="R268" s="36" t="n"/>
      <c r="S268" s="36">
        <f>COUNTIF('Page-Keyword Map'!$A$2:$A$675,B268)</f>
        <v/>
      </c>
      <c r="T268" s="37">
        <f>SUMIF('Page-Keyword Map'!$A$2:$A$675,B268,'Page-Keyword Map'!$H$2:$H$675)</f>
        <v/>
      </c>
      <c r="U268" s="36">
        <f>COUNTIFS('Page-Keyword Map'!$A$2:$A$675,B268,'Page-Keyword Map'!$E$2:$E$675,"Nationwide")</f>
        <v/>
      </c>
      <c r="V268" s="36">
        <f>COUNTIFS('Page-Keyword Map'!$A$2:$A$675,B268,'Page-Keyword Map'!$E$2:$E$675,"Provincial")</f>
        <v/>
      </c>
      <c r="W268" s="36">
        <f>COUNTIFS('Page-Keyword Map'!$A$2:$A$675,B268,'Page-Keyword Map'!$E$2:$E$675,"City")</f>
        <v/>
      </c>
      <c r="X268" s="36">
        <f>IF(O268="","",IF(ISNUMBER(SEARCH(O268,J268)),"Yes","No"))</f>
        <v/>
      </c>
      <c r="Y268" s="36" t="n">
        <v>0.7</v>
      </c>
      <c r="Z268" s="36" t="inlineStr">
        <is>
          <t>sitemap-provinces.xml</t>
        </is>
      </c>
      <c r="AA268" s="36" t="inlineStr">
        <is>
          <t>Live – indexable</t>
        </is>
      </c>
      <c r="AB268" s="38" t="n"/>
      <c r="AC268" s="38" t="n"/>
    </row>
    <row r="269" ht="23.85" customHeight="1" s="22">
      <c r="A269" s="36" t="inlineStr">
        <is>
          <t>P0268</t>
        </is>
      </c>
      <c r="B269" s="36" t="inlineStr">
        <is>
          <t>https://instasure.ca/super-visa-insurance/saskatchewan/</t>
        </is>
      </c>
      <c r="C269" s="36" t="inlineStr">
        <is>
          <t>Product × province</t>
        </is>
      </c>
      <c r="D269" s="36" t="inlineStr">
        <is>
          <t>Super Visa &amp; visitors insurance</t>
        </is>
      </c>
      <c r="E269" s="36" t="inlineStr">
        <is>
          <t>Super Visa Insurance</t>
        </is>
      </c>
      <c r="F269" s="36" t="n"/>
      <c r="G269" s="36" t="inlineStr">
        <is>
          <t>Saskatchewan</t>
        </is>
      </c>
      <c r="H269" s="36" t="n"/>
      <c r="I269" s="36" t="inlineStr">
        <is>
          <t>Yes</t>
        </is>
      </c>
      <c r="J269" s="25" t="inlineStr">
        <is>
          <t>Super Visa Insurance in Saskatchewan: Costs, Rules &amp; Quotes (2026)</t>
        </is>
      </c>
      <c r="K269" s="36">
        <f>LEN(J269)</f>
        <v/>
      </c>
      <c r="L269" s="25" t="inlineStr">
        <is>
          <t>Super Visa Insurance in Saskatchewan: how it works under FCAA, what drives price, instant estimates and advisors licensed in Saskatchewan.</t>
        </is>
      </c>
      <c r="M269" s="36">
        <f>LEN(L269)</f>
        <v/>
      </c>
      <c r="N269" s="25" t="inlineStr">
        <is>
          <t>Super Visa Insurance in Saskatchewan</t>
        </is>
      </c>
      <c r="O269" s="36" t="inlineStr">
        <is>
          <t>super visa insurance saskatchewan</t>
        </is>
      </c>
      <c r="P269" s="37" t="n">
        <v>50</v>
      </c>
      <c r="Q269" s="36" t="inlineStr">
        <is>
          <t>Provincial</t>
        </is>
      </c>
      <c r="R269" s="36" t="n"/>
      <c r="S269" s="36">
        <f>COUNTIF('Page-Keyword Map'!$A$2:$A$675,B269)</f>
        <v/>
      </c>
      <c r="T269" s="37">
        <f>SUMIF('Page-Keyword Map'!$A$2:$A$675,B269,'Page-Keyword Map'!$H$2:$H$675)</f>
        <v/>
      </c>
      <c r="U269" s="36">
        <f>COUNTIFS('Page-Keyword Map'!$A$2:$A$675,B269,'Page-Keyword Map'!$E$2:$E$675,"Nationwide")</f>
        <v/>
      </c>
      <c r="V269" s="36">
        <f>COUNTIFS('Page-Keyword Map'!$A$2:$A$675,B269,'Page-Keyword Map'!$E$2:$E$675,"Provincial")</f>
        <v/>
      </c>
      <c r="W269" s="36">
        <f>COUNTIFS('Page-Keyword Map'!$A$2:$A$675,B269,'Page-Keyword Map'!$E$2:$E$675,"City")</f>
        <v/>
      </c>
      <c r="X269" s="36">
        <f>IF(O269="","",IF(ISNUMBER(SEARCH(O269,J269)),"Yes","No"))</f>
        <v/>
      </c>
      <c r="Y269" s="36" t="n">
        <v>0.7</v>
      </c>
      <c r="Z269" s="36" t="inlineStr">
        <is>
          <t>sitemap-provinces.xml</t>
        </is>
      </c>
      <c r="AA269" s="36" t="inlineStr">
        <is>
          <t>Live – indexable</t>
        </is>
      </c>
      <c r="AB269" s="38" t="n"/>
      <c r="AC269" s="38" t="n"/>
    </row>
    <row r="270" ht="23.85" customHeight="1" s="22">
      <c r="A270" s="36" t="inlineStr">
        <is>
          <t>P0269</t>
        </is>
      </c>
      <c r="B270" s="36" t="inlineStr">
        <is>
          <t>https://instasure.ca/super-visa-insurance/yukon/</t>
        </is>
      </c>
      <c r="C270" s="36" t="inlineStr">
        <is>
          <t>Product × province</t>
        </is>
      </c>
      <c r="D270" s="36" t="inlineStr">
        <is>
          <t>Super Visa &amp; visitors insurance</t>
        </is>
      </c>
      <c r="E270" s="36" t="inlineStr">
        <is>
          <t>Super Visa Insurance</t>
        </is>
      </c>
      <c r="F270" s="36" t="n"/>
      <c r="G270" s="36" t="inlineStr">
        <is>
          <t>Yukon</t>
        </is>
      </c>
      <c r="H270" s="36" t="n"/>
      <c r="I270" s="36" t="inlineStr">
        <is>
          <t>Yes</t>
        </is>
      </c>
      <c r="J270" s="25" t="inlineStr">
        <is>
          <t>Super Visa Insurance in Yukon: Costs, Rules &amp; Quotes (2026)</t>
        </is>
      </c>
      <c r="K270" s="36">
        <f>LEN(J270)</f>
        <v/>
      </c>
      <c r="L270" s="25" t="inlineStr">
        <is>
          <t>Super Visa Insurance in Yukon: how it works under the Yukon Superintendent, what drives price, instant estimates and a waitlist for licensed advice in Yukon.</t>
        </is>
      </c>
      <c r="M270" s="36">
        <f>LEN(L270)</f>
        <v/>
      </c>
      <c r="N270" s="25" t="inlineStr">
        <is>
          <t>Super Visa Insurance in Yukon</t>
        </is>
      </c>
      <c r="O270" s="36" t="n"/>
      <c r="P270" s="37" t="n"/>
      <c r="Q270" s="36" t="n"/>
      <c r="R270" s="36" t="inlineStr">
        <is>
          <t>super visa insurance yukon</t>
        </is>
      </c>
      <c r="S270" s="36">
        <f>COUNTIF('Page-Keyword Map'!$A$2:$A$675,B270)</f>
        <v/>
      </c>
      <c r="T270" s="37">
        <f>SUMIF('Page-Keyword Map'!$A$2:$A$675,B270,'Page-Keyword Map'!$H$2:$H$675)</f>
        <v/>
      </c>
      <c r="U270" s="36">
        <f>COUNTIFS('Page-Keyword Map'!$A$2:$A$675,B270,'Page-Keyword Map'!$E$2:$E$675,"Nationwide")</f>
        <v/>
      </c>
      <c r="V270" s="36">
        <f>COUNTIFS('Page-Keyword Map'!$A$2:$A$675,B270,'Page-Keyword Map'!$E$2:$E$675,"Provincial")</f>
        <v/>
      </c>
      <c r="W270" s="36">
        <f>COUNTIFS('Page-Keyword Map'!$A$2:$A$675,B270,'Page-Keyword Map'!$E$2:$E$675,"City")</f>
        <v/>
      </c>
      <c r="X270" s="36">
        <f>IF(O270="","",IF(ISNUMBER(SEARCH(O270,J270)),"Yes","No"))</f>
        <v/>
      </c>
      <c r="Y270" s="36" t="n">
        <v>0.7</v>
      </c>
      <c r="Z270" s="36" t="inlineStr">
        <is>
          <t>sitemap-provinces.xml</t>
        </is>
      </c>
      <c r="AA270" s="36" t="inlineStr">
        <is>
          <t>Live – indexable</t>
        </is>
      </c>
      <c r="AB270" s="38" t="n"/>
      <c r="AC270" s="38" t="n"/>
    </row>
    <row r="271" ht="23.85" customHeight="1" s="22">
      <c r="A271" s="36" t="inlineStr">
        <is>
          <t>P0270</t>
        </is>
      </c>
      <c r="B271" s="36" t="inlineStr">
        <is>
          <t>https://instasure.ca/tenant-insurance/alberta/</t>
        </is>
      </c>
      <c r="C271" s="36" t="inlineStr">
        <is>
          <t>Product × province</t>
        </is>
      </c>
      <c r="D271" s="36" t="inlineStr">
        <is>
          <t>Tenant insurance</t>
        </is>
      </c>
      <c r="E271" s="36" t="inlineStr">
        <is>
          <t>Tenant Insurance</t>
        </is>
      </c>
      <c r="F271" s="36" t="n"/>
      <c r="G271" s="36" t="inlineStr">
        <is>
          <t>Alberta</t>
        </is>
      </c>
      <c r="H271" s="36" t="n"/>
      <c r="I271" s="36" t="inlineStr">
        <is>
          <t>Yes</t>
        </is>
      </c>
      <c r="J271" s="25" t="inlineStr">
        <is>
          <t>Tenant Insurance in Alberta: Costs, Rules &amp; Quotes (2026)</t>
        </is>
      </c>
      <c r="K271" s="36">
        <f>LEN(J271)</f>
        <v/>
      </c>
      <c r="L271" s="25" t="inlineStr">
        <is>
          <t>Tenant Insurance in Alberta: how it works under the Superintendent of Insurance, what drives price, instant estimates and advisors licensed in Alberta.</t>
        </is>
      </c>
      <c r="M271" s="36">
        <f>LEN(L271)</f>
        <v/>
      </c>
      <c r="N271" s="25" t="inlineStr">
        <is>
          <t>Tenant Insurance in Alberta</t>
        </is>
      </c>
      <c r="O271" s="36" t="inlineStr">
        <is>
          <t>tenant insurance alberta</t>
        </is>
      </c>
      <c r="P271" s="37" t="n">
        <v>500</v>
      </c>
      <c r="Q271" s="36" t="inlineStr">
        <is>
          <t>Provincial</t>
        </is>
      </c>
      <c r="R271" s="36" t="n"/>
      <c r="S271" s="36">
        <f>COUNTIF('Page-Keyword Map'!$A$2:$A$675,B271)</f>
        <v/>
      </c>
      <c r="T271" s="37">
        <f>SUMIF('Page-Keyword Map'!$A$2:$A$675,B271,'Page-Keyword Map'!$H$2:$H$675)</f>
        <v/>
      </c>
      <c r="U271" s="36">
        <f>COUNTIFS('Page-Keyword Map'!$A$2:$A$675,B271,'Page-Keyword Map'!$E$2:$E$675,"Nationwide")</f>
        <v/>
      </c>
      <c r="V271" s="36">
        <f>COUNTIFS('Page-Keyword Map'!$A$2:$A$675,B271,'Page-Keyword Map'!$E$2:$E$675,"Provincial")</f>
        <v/>
      </c>
      <c r="W271" s="36">
        <f>COUNTIFS('Page-Keyword Map'!$A$2:$A$675,B271,'Page-Keyword Map'!$E$2:$E$675,"City")</f>
        <v/>
      </c>
      <c r="X271" s="36">
        <f>IF(O271="","",IF(ISNUMBER(SEARCH(O271,J271)),"Yes","No"))</f>
        <v/>
      </c>
      <c r="Y271" s="36" t="n">
        <v>0.7</v>
      </c>
      <c r="Z271" s="36" t="inlineStr">
        <is>
          <t>sitemap-provinces.xml</t>
        </is>
      </c>
      <c r="AA271" s="36" t="inlineStr">
        <is>
          <t>Live – indexable</t>
        </is>
      </c>
      <c r="AB271" s="38" t="n"/>
      <c r="AC271" s="38" t="n"/>
    </row>
    <row r="272" ht="23.85" customHeight="1" s="22">
      <c r="A272" s="36" t="inlineStr">
        <is>
          <t>P0271</t>
        </is>
      </c>
      <c r="B272" s="36" t="inlineStr">
        <is>
          <t>https://instasure.ca/tenant-insurance/british-columbia/</t>
        </is>
      </c>
      <c r="C272" s="36" t="inlineStr">
        <is>
          <t>Product × province</t>
        </is>
      </c>
      <c r="D272" s="36" t="inlineStr">
        <is>
          <t>Tenant insurance</t>
        </is>
      </c>
      <c r="E272" s="36" t="inlineStr">
        <is>
          <t>Tenant Insurance</t>
        </is>
      </c>
      <c r="F272" s="36" t="n"/>
      <c r="G272" s="36" t="inlineStr">
        <is>
          <t>British Columbia</t>
        </is>
      </c>
      <c r="H272" s="36" t="n"/>
      <c r="I272" s="36" t="inlineStr">
        <is>
          <t>Yes</t>
        </is>
      </c>
      <c r="J272" s="25" t="inlineStr">
        <is>
          <t>Tenant Insurance in British Columbia: Costs, Rules &amp; Quotes (2026)</t>
        </is>
      </c>
      <c r="K272" s="36">
        <f>LEN(J272)</f>
        <v/>
      </c>
      <c r="L272" s="25" t="inlineStr">
        <is>
          <t>Tenant Insurance in British Columbia: how it works under BCFSA, what drives price, instant estimates and advisors licensed in British Columbia.</t>
        </is>
      </c>
      <c r="M272" s="36">
        <f>LEN(L272)</f>
        <v/>
      </c>
      <c r="N272" s="25" t="inlineStr">
        <is>
          <t>Tenant Insurance in British Columbia</t>
        </is>
      </c>
      <c r="O272" s="36" t="inlineStr">
        <is>
          <t>tenant insurance bc</t>
        </is>
      </c>
      <c r="P272" s="37" t="n">
        <v>570</v>
      </c>
      <c r="Q272" s="36" t="inlineStr">
        <is>
          <t>Provincial</t>
        </is>
      </c>
      <c r="R272" s="36" t="n"/>
      <c r="S272" s="36">
        <f>COUNTIF('Page-Keyword Map'!$A$2:$A$675,B272)</f>
        <v/>
      </c>
      <c r="T272" s="37">
        <f>SUMIF('Page-Keyword Map'!$A$2:$A$675,B272,'Page-Keyword Map'!$H$2:$H$675)</f>
        <v/>
      </c>
      <c r="U272" s="36">
        <f>COUNTIFS('Page-Keyword Map'!$A$2:$A$675,B272,'Page-Keyword Map'!$E$2:$E$675,"Nationwide")</f>
        <v/>
      </c>
      <c r="V272" s="36">
        <f>COUNTIFS('Page-Keyword Map'!$A$2:$A$675,B272,'Page-Keyword Map'!$E$2:$E$675,"Provincial")</f>
        <v/>
      </c>
      <c r="W272" s="36">
        <f>COUNTIFS('Page-Keyword Map'!$A$2:$A$675,B272,'Page-Keyword Map'!$E$2:$E$675,"City")</f>
        <v/>
      </c>
      <c r="X272" s="36">
        <f>IF(O272="","",IF(ISNUMBER(SEARCH(O272,J272)),"Yes","No"))</f>
        <v/>
      </c>
      <c r="Y272" s="36" t="n">
        <v>0.7</v>
      </c>
      <c r="Z272" s="36" t="inlineStr">
        <is>
          <t>sitemap-provinces.xml</t>
        </is>
      </c>
      <c r="AA272" s="36" t="inlineStr">
        <is>
          <t>Live – indexable</t>
        </is>
      </c>
      <c r="AB272" s="38" t="n"/>
      <c r="AC272" s="38" t="n"/>
    </row>
    <row r="273" ht="23.85" customHeight="1" s="22">
      <c r="A273" s="36" t="inlineStr">
        <is>
          <t>P0272</t>
        </is>
      </c>
      <c r="B273" s="36" t="inlineStr">
        <is>
          <t>https://instasure.ca/tenant-insurance/manitoba/</t>
        </is>
      </c>
      <c r="C273" s="36" t="inlineStr">
        <is>
          <t>Product × province</t>
        </is>
      </c>
      <c r="D273" s="36" t="inlineStr">
        <is>
          <t>Tenant insurance</t>
        </is>
      </c>
      <c r="E273" s="36" t="inlineStr">
        <is>
          <t>Tenant Insurance</t>
        </is>
      </c>
      <c r="F273" s="36" t="n"/>
      <c r="G273" s="36" t="inlineStr">
        <is>
          <t>Manitoba</t>
        </is>
      </c>
      <c r="H273" s="36" t="n"/>
      <c r="I273" s="36" t="inlineStr">
        <is>
          <t>Yes</t>
        </is>
      </c>
      <c r="J273" s="25" t="inlineStr">
        <is>
          <t>Tenant Insurance in Manitoba: Costs, Rules &amp; Quotes (2026)</t>
        </is>
      </c>
      <c r="K273" s="36">
        <f>LEN(J273)</f>
        <v/>
      </c>
      <c r="L273" s="25" t="inlineStr">
        <is>
          <t>Tenant Insurance in Manitoba: how it works under FIRB, what drives price, instant estimates and advisors licensed in Manitoba.</t>
        </is>
      </c>
      <c r="M273" s="36">
        <f>LEN(L273)</f>
        <v/>
      </c>
      <c r="N273" s="25" t="inlineStr">
        <is>
          <t>Tenant Insurance in Manitoba</t>
        </is>
      </c>
      <c r="O273" s="36" t="inlineStr">
        <is>
          <t>tenant insurance manitoba</t>
        </is>
      </c>
      <c r="P273" s="37" t="n">
        <v>180</v>
      </c>
      <c r="Q273" s="36" t="inlineStr">
        <is>
          <t>Provincial</t>
        </is>
      </c>
      <c r="R273" s="36" t="n"/>
      <c r="S273" s="36">
        <f>COUNTIF('Page-Keyword Map'!$A$2:$A$675,B273)</f>
        <v/>
      </c>
      <c r="T273" s="37">
        <f>SUMIF('Page-Keyword Map'!$A$2:$A$675,B273,'Page-Keyword Map'!$H$2:$H$675)</f>
        <v/>
      </c>
      <c r="U273" s="36">
        <f>COUNTIFS('Page-Keyword Map'!$A$2:$A$675,B273,'Page-Keyword Map'!$E$2:$E$675,"Nationwide")</f>
        <v/>
      </c>
      <c r="V273" s="36">
        <f>COUNTIFS('Page-Keyword Map'!$A$2:$A$675,B273,'Page-Keyword Map'!$E$2:$E$675,"Provincial")</f>
        <v/>
      </c>
      <c r="W273" s="36">
        <f>COUNTIFS('Page-Keyword Map'!$A$2:$A$675,B273,'Page-Keyword Map'!$E$2:$E$675,"City")</f>
        <v/>
      </c>
      <c r="X273" s="36">
        <f>IF(O273="","",IF(ISNUMBER(SEARCH(O273,J273)),"Yes","No"))</f>
        <v/>
      </c>
      <c r="Y273" s="36" t="n">
        <v>0.7</v>
      </c>
      <c r="Z273" s="36" t="inlineStr">
        <is>
          <t>sitemap-provinces.xml</t>
        </is>
      </c>
      <c r="AA273" s="36" t="inlineStr">
        <is>
          <t>Live – indexable</t>
        </is>
      </c>
      <c r="AB273" s="38" t="n"/>
      <c r="AC273" s="38" t="n"/>
    </row>
    <row r="274" ht="23.85" customHeight="1" s="22">
      <c r="A274" s="36" t="inlineStr">
        <is>
          <t>P0273</t>
        </is>
      </c>
      <c r="B274" s="36" t="inlineStr">
        <is>
          <t>https://instasure.ca/tenant-insurance/new-brunswick/</t>
        </is>
      </c>
      <c r="C274" s="36" t="inlineStr">
        <is>
          <t>Product × province</t>
        </is>
      </c>
      <c r="D274" s="36" t="inlineStr">
        <is>
          <t>Tenant insurance</t>
        </is>
      </c>
      <c r="E274" s="36" t="inlineStr">
        <is>
          <t>Tenant Insurance</t>
        </is>
      </c>
      <c r="F274" s="36" t="n"/>
      <c r="G274" s="36" t="inlineStr">
        <is>
          <t>New Brunswick</t>
        </is>
      </c>
      <c r="H274" s="36" t="n"/>
      <c r="I274" s="36" t="inlineStr">
        <is>
          <t>Yes</t>
        </is>
      </c>
      <c r="J274" s="25" t="inlineStr">
        <is>
          <t>Tenant Insurance in New Brunswick: Costs, Rules &amp; Quotes (2026)</t>
        </is>
      </c>
      <c r="K274" s="36">
        <f>LEN(J274)</f>
        <v/>
      </c>
      <c r="L274" s="25" t="inlineStr">
        <is>
          <t>Tenant Insurance in New Brunswick: how it works under FCNB, what drives price, instant estimates and advisors licensed in New Brunswick.</t>
        </is>
      </c>
      <c r="M274" s="36">
        <f>LEN(L274)</f>
        <v/>
      </c>
      <c r="N274" s="25" t="inlineStr">
        <is>
          <t>Tenant Insurance in New Brunswick</t>
        </is>
      </c>
      <c r="O274" s="36" t="inlineStr">
        <is>
          <t>tenant insurance new brunswick</t>
        </is>
      </c>
      <c r="P274" s="37" t="n">
        <v>110</v>
      </c>
      <c r="Q274" s="36" t="inlineStr">
        <is>
          <t>Provincial</t>
        </is>
      </c>
      <c r="R274" s="36" t="n"/>
      <c r="S274" s="36">
        <f>COUNTIF('Page-Keyword Map'!$A$2:$A$675,B274)</f>
        <v/>
      </c>
      <c r="T274" s="37">
        <f>SUMIF('Page-Keyword Map'!$A$2:$A$675,B274,'Page-Keyword Map'!$H$2:$H$675)</f>
        <v/>
      </c>
      <c r="U274" s="36">
        <f>COUNTIFS('Page-Keyword Map'!$A$2:$A$675,B274,'Page-Keyword Map'!$E$2:$E$675,"Nationwide")</f>
        <v/>
      </c>
      <c r="V274" s="36">
        <f>COUNTIFS('Page-Keyword Map'!$A$2:$A$675,B274,'Page-Keyword Map'!$E$2:$E$675,"Provincial")</f>
        <v/>
      </c>
      <c r="W274" s="36">
        <f>COUNTIFS('Page-Keyword Map'!$A$2:$A$675,B274,'Page-Keyword Map'!$E$2:$E$675,"City")</f>
        <v/>
      </c>
      <c r="X274" s="36">
        <f>IF(O274="","",IF(ISNUMBER(SEARCH(O274,J274)),"Yes","No"))</f>
        <v/>
      </c>
      <c r="Y274" s="36" t="n">
        <v>0.7</v>
      </c>
      <c r="Z274" s="36" t="inlineStr">
        <is>
          <t>sitemap-provinces.xml</t>
        </is>
      </c>
      <c r="AA274" s="36" t="inlineStr">
        <is>
          <t>Live – indexable</t>
        </is>
      </c>
      <c r="AB274" s="38" t="n"/>
      <c r="AC274" s="38" t="n"/>
    </row>
    <row r="275" ht="23.85" customHeight="1" s="22">
      <c r="A275" s="36" t="inlineStr">
        <is>
          <t>P0274</t>
        </is>
      </c>
      <c r="B275" s="36" t="inlineStr">
        <is>
          <t>https://instasure.ca/tenant-insurance/newfoundland-and-labrador/</t>
        </is>
      </c>
      <c r="C275" s="36" t="inlineStr">
        <is>
          <t>Product × province</t>
        </is>
      </c>
      <c r="D275" s="36" t="inlineStr">
        <is>
          <t>Tenant insurance</t>
        </is>
      </c>
      <c r="E275" s="36" t="inlineStr">
        <is>
          <t>Tenant Insurance</t>
        </is>
      </c>
      <c r="F275" s="36" t="n"/>
      <c r="G275" s="36" t="inlineStr">
        <is>
          <t>Newfoundland and Labrador</t>
        </is>
      </c>
      <c r="H275" s="36" t="n"/>
      <c r="I275" s="36" t="inlineStr">
        <is>
          <t>Yes</t>
        </is>
      </c>
      <c r="J275" s="25" t="inlineStr">
        <is>
          <t>Tenant Insurance in Newfoundland and Labrador: Costs, Rules &amp; Quotes (2026)</t>
        </is>
      </c>
      <c r="K275" s="36">
        <f>LEN(J275)</f>
        <v/>
      </c>
      <c r="L275" s="25" t="inlineStr">
        <is>
          <t>Tenant Insurance in Newfoundland and Labrador: how it works under Service NL, what drives price, instant estimates and advisors licensed in Newfoundland and…</t>
        </is>
      </c>
      <c r="M275" s="36">
        <f>LEN(L275)</f>
        <v/>
      </c>
      <c r="N275" s="25" t="inlineStr">
        <is>
          <t>Tenant Insurance in Newfoundland and Labrador</t>
        </is>
      </c>
      <c r="O275" s="36" t="inlineStr">
        <is>
          <t>tenant insurance newfoundland</t>
        </is>
      </c>
      <c r="P275" s="37" t="n">
        <v>74</v>
      </c>
      <c r="Q275" s="36" t="inlineStr">
        <is>
          <t>Provincial</t>
        </is>
      </c>
      <c r="R275" s="36" t="n"/>
      <c r="S275" s="36">
        <f>COUNTIF('Page-Keyword Map'!$A$2:$A$675,B275)</f>
        <v/>
      </c>
      <c r="T275" s="37">
        <f>SUMIF('Page-Keyword Map'!$A$2:$A$675,B275,'Page-Keyword Map'!$H$2:$H$675)</f>
        <v/>
      </c>
      <c r="U275" s="36">
        <f>COUNTIFS('Page-Keyword Map'!$A$2:$A$675,B275,'Page-Keyword Map'!$E$2:$E$675,"Nationwide")</f>
        <v/>
      </c>
      <c r="V275" s="36">
        <f>COUNTIFS('Page-Keyword Map'!$A$2:$A$675,B275,'Page-Keyword Map'!$E$2:$E$675,"Provincial")</f>
        <v/>
      </c>
      <c r="W275" s="36">
        <f>COUNTIFS('Page-Keyword Map'!$A$2:$A$675,B275,'Page-Keyword Map'!$E$2:$E$675,"City")</f>
        <v/>
      </c>
      <c r="X275" s="36">
        <f>IF(O275="","",IF(ISNUMBER(SEARCH(O275,J275)),"Yes","No"))</f>
        <v/>
      </c>
      <c r="Y275" s="36" t="n">
        <v>0.7</v>
      </c>
      <c r="Z275" s="36" t="inlineStr">
        <is>
          <t>sitemap-provinces.xml</t>
        </is>
      </c>
      <c r="AA275" s="36" t="inlineStr">
        <is>
          <t>Live – indexable</t>
        </is>
      </c>
      <c r="AB275" s="38" t="n"/>
      <c r="AC275" s="38" t="n"/>
    </row>
    <row r="276" ht="23.85" customHeight="1" s="22">
      <c r="A276" s="36" t="inlineStr">
        <is>
          <t>P0275</t>
        </is>
      </c>
      <c r="B276" s="36" t="inlineStr">
        <is>
          <t>https://instasure.ca/tenant-insurance/northwest-territories/</t>
        </is>
      </c>
      <c r="C276" s="36" t="inlineStr">
        <is>
          <t>Product × province</t>
        </is>
      </c>
      <c r="D276" s="36" t="inlineStr">
        <is>
          <t>Tenant insurance</t>
        </is>
      </c>
      <c r="E276" s="36" t="inlineStr">
        <is>
          <t>Tenant Insurance</t>
        </is>
      </c>
      <c r="F276" s="36" t="n"/>
      <c r="G276" s="36" t="inlineStr">
        <is>
          <t>Northwest Territories</t>
        </is>
      </c>
      <c r="H276" s="36" t="n"/>
      <c r="I276" s="36" t="inlineStr">
        <is>
          <t>Yes</t>
        </is>
      </c>
      <c r="J276" s="25" t="inlineStr">
        <is>
          <t>Tenant Insurance in Northwest Territories: Costs, Rules &amp; Quotes (2026)</t>
        </is>
      </c>
      <c r="K276" s="36">
        <f>LEN(J276)</f>
        <v/>
      </c>
      <c r="L276" s="25" t="inlineStr">
        <is>
          <t>Tenant Insurance in Northwest Territories: how it works under the NWT Superintendent, what drives price, instant estimates and a waitlist for licensed advice in…</t>
        </is>
      </c>
      <c r="M276" s="36">
        <f>LEN(L276)</f>
        <v/>
      </c>
      <c r="N276" s="25" t="inlineStr">
        <is>
          <t>Tenant Insurance in Northwest Territories</t>
        </is>
      </c>
      <c r="O276" s="36" t="n"/>
      <c r="P276" s="37" t="n"/>
      <c r="Q276" s="36" t="n"/>
      <c r="R276" s="36" t="inlineStr">
        <is>
          <t>tenant insurance northwest territories</t>
        </is>
      </c>
      <c r="S276" s="36">
        <f>COUNTIF('Page-Keyword Map'!$A$2:$A$675,B276)</f>
        <v/>
      </c>
      <c r="T276" s="37">
        <f>SUMIF('Page-Keyword Map'!$A$2:$A$675,B276,'Page-Keyword Map'!$H$2:$H$675)</f>
        <v/>
      </c>
      <c r="U276" s="36">
        <f>COUNTIFS('Page-Keyword Map'!$A$2:$A$675,B276,'Page-Keyword Map'!$E$2:$E$675,"Nationwide")</f>
        <v/>
      </c>
      <c r="V276" s="36">
        <f>COUNTIFS('Page-Keyword Map'!$A$2:$A$675,B276,'Page-Keyword Map'!$E$2:$E$675,"Provincial")</f>
        <v/>
      </c>
      <c r="W276" s="36">
        <f>COUNTIFS('Page-Keyword Map'!$A$2:$A$675,B276,'Page-Keyword Map'!$E$2:$E$675,"City")</f>
        <v/>
      </c>
      <c r="X276" s="36">
        <f>IF(O276="","",IF(ISNUMBER(SEARCH(O276,J276)),"Yes","No"))</f>
        <v/>
      </c>
      <c r="Y276" s="36" t="n">
        <v>0.7</v>
      </c>
      <c r="Z276" s="36" t="inlineStr">
        <is>
          <t>sitemap-provinces.xml</t>
        </is>
      </c>
      <c r="AA276" s="36" t="inlineStr">
        <is>
          <t>Live – indexable</t>
        </is>
      </c>
      <c r="AB276" s="38" t="n"/>
      <c r="AC276" s="38" t="n"/>
    </row>
    <row r="277" ht="23.85" customHeight="1" s="22">
      <c r="A277" s="36" t="inlineStr">
        <is>
          <t>P0276</t>
        </is>
      </c>
      <c r="B277" s="36" t="inlineStr">
        <is>
          <t>https://instasure.ca/tenant-insurance/nova-scotia/</t>
        </is>
      </c>
      <c r="C277" s="36" t="inlineStr">
        <is>
          <t>Product × province</t>
        </is>
      </c>
      <c r="D277" s="36" t="inlineStr">
        <is>
          <t>Tenant insurance</t>
        </is>
      </c>
      <c r="E277" s="36" t="inlineStr">
        <is>
          <t>Tenant Insurance</t>
        </is>
      </c>
      <c r="F277" s="36" t="n"/>
      <c r="G277" s="36" t="inlineStr">
        <is>
          <t>Nova Scotia</t>
        </is>
      </c>
      <c r="H277" s="36" t="n"/>
      <c r="I277" s="36" t="inlineStr">
        <is>
          <t>Yes</t>
        </is>
      </c>
      <c r="J277" s="25" t="inlineStr">
        <is>
          <t>Tenant Insurance in Nova Scotia: Costs, Rules &amp; Quotes (2026)</t>
        </is>
      </c>
      <c r="K277" s="36">
        <f>LEN(J277)</f>
        <v/>
      </c>
      <c r="L277" s="25" t="inlineStr">
        <is>
          <t>Tenant Insurance in Nova Scotia: how it works under the NS Superintendent of Insurance, what drives price, instant estimates and advisors licensed in Nova Scotia.</t>
        </is>
      </c>
      <c r="M277" s="36">
        <f>LEN(L277)</f>
        <v/>
      </c>
      <c r="N277" s="25" t="inlineStr">
        <is>
          <t>Tenant Insurance in Nova Scotia</t>
        </is>
      </c>
      <c r="O277" s="36" t="inlineStr">
        <is>
          <t>tenant insurance nova scotia</t>
        </is>
      </c>
      <c r="P277" s="37" t="n">
        <v>130</v>
      </c>
      <c r="Q277" s="36" t="inlineStr">
        <is>
          <t>Provincial</t>
        </is>
      </c>
      <c r="R277" s="36" t="n"/>
      <c r="S277" s="36">
        <f>COUNTIF('Page-Keyword Map'!$A$2:$A$675,B277)</f>
        <v/>
      </c>
      <c r="T277" s="37">
        <f>SUMIF('Page-Keyword Map'!$A$2:$A$675,B277,'Page-Keyword Map'!$H$2:$H$675)</f>
        <v/>
      </c>
      <c r="U277" s="36">
        <f>COUNTIFS('Page-Keyword Map'!$A$2:$A$675,B277,'Page-Keyword Map'!$E$2:$E$675,"Nationwide")</f>
        <v/>
      </c>
      <c r="V277" s="36">
        <f>COUNTIFS('Page-Keyword Map'!$A$2:$A$675,B277,'Page-Keyword Map'!$E$2:$E$675,"Provincial")</f>
        <v/>
      </c>
      <c r="W277" s="36">
        <f>COUNTIFS('Page-Keyword Map'!$A$2:$A$675,B277,'Page-Keyword Map'!$E$2:$E$675,"City")</f>
        <v/>
      </c>
      <c r="X277" s="36">
        <f>IF(O277="","",IF(ISNUMBER(SEARCH(O277,J277)),"Yes","No"))</f>
        <v/>
      </c>
      <c r="Y277" s="36" t="n">
        <v>0.7</v>
      </c>
      <c r="Z277" s="36" t="inlineStr">
        <is>
          <t>sitemap-provinces.xml</t>
        </is>
      </c>
      <c r="AA277" s="36" t="inlineStr">
        <is>
          <t>Live – indexable</t>
        </is>
      </c>
      <c r="AB277" s="38" t="n"/>
      <c r="AC277" s="38" t="n"/>
    </row>
    <row r="278" ht="23.85" customHeight="1" s="22">
      <c r="A278" s="36" t="inlineStr">
        <is>
          <t>P0277</t>
        </is>
      </c>
      <c r="B278" s="36" t="inlineStr">
        <is>
          <t>https://instasure.ca/tenant-insurance/nunavut/</t>
        </is>
      </c>
      <c r="C278" s="36" t="inlineStr">
        <is>
          <t>Product × province</t>
        </is>
      </c>
      <c r="D278" s="36" t="inlineStr">
        <is>
          <t>Tenant insurance</t>
        </is>
      </c>
      <c r="E278" s="36" t="inlineStr">
        <is>
          <t>Tenant Insurance</t>
        </is>
      </c>
      <c r="F278" s="36" t="n"/>
      <c r="G278" s="36" t="inlineStr">
        <is>
          <t>Nunavut</t>
        </is>
      </c>
      <c r="H278" s="36" t="n"/>
      <c r="I278" s="36" t="inlineStr">
        <is>
          <t>Yes</t>
        </is>
      </c>
      <c r="J278" s="25" t="inlineStr">
        <is>
          <t>Tenant Insurance in Nunavut: Costs, Rules &amp; Quotes (2026)</t>
        </is>
      </c>
      <c r="K278" s="36">
        <f>LEN(J278)</f>
        <v/>
      </c>
      <c r="L278" s="25" t="inlineStr">
        <is>
          <t>Tenant Insurance in Nunavut: how it works under the Nunavut Superintendent, what drives price, instant estimates and a waitlist for licensed advice in Nunavut.</t>
        </is>
      </c>
      <c r="M278" s="36">
        <f>LEN(L278)</f>
        <v/>
      </c>
      <c r="N278" s="25" t="inlineStr">
        <is>
          <t>Tenant Insurance in Nunavut</t>
        </is>
      </c>
      <c r="O278" s="36" t="n"/>
      <c r="P278" s="37" t="n"/>
      <c r="Q278" s="36" t="n"/>
      <c r="R278" s="36" t="inlineStr">
        <is>
          <t>tenant insurance nunavut</t>
        </is>
      </c>
      <c r="S278" s="36">
        <f>COUNTIF('Page-Keyword Map'!$A$2:$A$675,B278)</f>
        <v/>
      </c>
      <c r="T278" s="37">
        <f>SUMIF('Page-Keyword Map'!$A$2:$A$675,B278,'Page-Keyword Map'!$H$2:$H$675)</f>
        <v/>
      </c>
      <c r="U278" s="36">
        <f>COUNTIFS('Page-Keyword Map'!$A$2:$A$675,B278,'Page-Keyword Map'!$E$2:$E$675,"Nationwide")</f>
        <v/>
      </c>
      <c r="V278" s="36">
        <f>COUNTIFS('Page-Keyword Map'!$A$2:$A$675,B278,'Page-Keyword Map'!$E$2:$E$675,"Provincial")</f>
        <v/>
      </c>
      <c r="W278" s="36">
        <f>COUNTIFS('Page-Keyword Map'!$A$2:$A$675,B278,'Page-Keyword Map'!$E$2:$E$675,"City")</f>
        <v/>
      </c>
      <c r="X278" s="36">
        <f>IF(O278="","",IF(ISNUMBER(SEARCH(O278,J278)),"Yes","No"))</f>
        <v/>
      </c>
      <c r="Y278" s="36" t="n">
        <v>0.7</v>
      </c>
      <c r="Z278" s="36" t="inlineStr">
        <is>
          <t>sitemap-provinces.xml</t>
        </is>
      </c>
      <c r="AA278" s="36" t="inlineStr">
        <is>
          <t>Live – indexable</t>
        </is>
      </c>
      <c r="AB278" s="38" t="n"/>
      <c r="AC278" s="38" t="n"/>
    </row>
    <row r="279" ht="23.85" customHeight="1" s="22">
      <c r="A279" s="36" t="inlineStr">
        <is>
          <t>P0278</t>
        </is>
      </c>
      <c r="B279" s="36" t="inlineStr">
        <is>
          <t>https://instasure.ca/tenant-insurance/ontario/</t>
        </is>
      </c>
      <c r="C279" s="36" t="inlineStr">
        <is>
          <t>Product × province</t>
        </is>
      </c>
      <c r="D279" s="36" t="inlineStr">
        <is>
          <t>Tenant insurance</t>
        </is>
      </c>
      <c r="E279" s="36" t="inlineStr">
        <is>
          <t>Tenant Insurance</t>
        </is>
      </c>
      <c r="F279" s="36" t="n"/>
      <c r="G279" s="36" t="inlineStr">
        <is>
          <t>Ontario</t>
        </is>
      </c>
      <c r="H279" s="36" t="n"/>
      <c r="I279" s="36" t="inlineStr">
        <is>
          <t>Yes</t>
        </is>
      </c>
      <c r="J279" s="25" t="inlineStr">
        <is>
          <t>Tenant Insurance in Ontario: Costs, Rules &amp; Quotes (2026)</t>
        </is>
      </c>
      <c r="K279" s="36">
        <f>LEN(J279)</f>
        <v/>
      </c>
      <c r="L279" s="25" t="inlineStr">
        <is>
          <t>Tenant Insurance in Ontario: how it works under FSRA, what drives price, instant estimates and advisors licensed in Ontario.</t>
        </is>
      </c>
      <c r="M279" s="36">
        <f>LEN(L279)</f>
        <v/>
      </c>
      <c r="N279" s="25" t="inlineStr">
        <is>
          <t>Tenant Insurance in Ontario</t>
        </is>
      </c>
      <c r="O279" s="36" t="inlineStr">
        <is>
          <t>tenant insurance ontario</t>
        </is>
      </c>
      <c r="P279" s="37" t="n">
        <v>1600</v>
      </c>
      <c r="Q279" s="36" t="inlineStr">
        <is>
          <t>Provincial</t>
        </is>
      </c>
      <c r="R279" s="36" t="n"/>
      <c r="S279" s="36">
        <f>COUNTIF('Page-Keyword Map'!$A$2:$A$675,B279)</f>
        <v/>
      </c>
      <c r="T279" s="37">
        <f>SUMIF('Page-Keyword Map'!$A$2:$A$675,B279,'Page-Keyword Map'!$H$2:$H$675)</f>
        <v/>
      </c>
      <c r="U279" s="36">
        <f>COUNTIFS('Page-Keyword Map'!$A$2:$A$675,B279,'Page-Keyword Map'!$E$2:$E$675,"Nationwide")</f>
        <v/>
      </c>
      <c r="V279" s="36">
        <f>COUNTIFS('Page-Keyword Map'!$A$2:$A$675,B279,'Page-Keyword Map'!$E$2:$E$675,"Provincial")</f>
        <v/>
      </c>
      <c r="W279" s="36">
        <f>COUNTIFS('Page-Keyword Map'!$A$2:$A$675,B279,'Page-Keyword Map'!$E$2:$E$675,"City")</f>
        <v/>
      </c>
      <c r="X279" s="36">
        <f>IF(O279="","",IF(ISNUMBER(SEARCH(O279,J279)),"Yes","No"))</f>
        <v/>
      </c>
      <c r="Y279" s="36" t="n">
        <v>0.7</v>
      </c>
      <c r="Z279" s="36" t="inlineStr">
        <is>
          <t>sitemap-provinces.xml</t>
        </is>
      </c>
      <c r="AA279" s="36" t="inlineStr">
        <is>
          <t>Live – indexable</t>
        </is>
      </c>
      <c r="AB279" s="38" t="n"/>
      <c r="AC279" s="38" t="n"/>
    </row>
    <row r="280" ht="23.85" customHeight="1" s="22">
      <c r="A280" s="36" t="inlineStr">
        <is>
          <t>P0279</t>
        </is>
      </c>
      <c r="B280" s="36" t="inlineStr">
        <is>
          <t>https://instasure.ca/tenant-insurance/prince-edward-island/</t>
        </is>
      </c>
      <c r="C280" s="36" t="inlineStr">
        <is>
          <t>Product × province</t>
        </is>
      </c>
      <c r="D280" s="36" t="inlineStr">
        <is>
          <t>Tenant insurance</t>
        </is>
      </c>
      <c r="E280" s="36" t="inlineStr">
        <is>
          <t>Tenant Insurance</t>
        </is>
      </c>
      <c r="F280" s="36" t="n"/>
      <c r="G280" s="36" t="inlineStr">
        <is>
          <t>Prince Edward Island</t>
        </is>
      </c>
      <c r="H280" s="36" t="n"/>
      <c r="I280" s="36" t="inlineStr">
        <is>
          <t>Yes</t>
        </is>
      </c>
      <c r="J280" s="25" t="inlineStr">
        <is>
          <t>Tenant Insurance in Prince Edward Island: Costs, Rules &amp; Quotes (2026)</t>
        </is>
      </c>
      <c r="K280" s="36">
        <f>LEN(J280)</f>
        <v/>
      </c>
      <c r="L280" s="25" t="inlineStr">
        <is>
          <t>Tenant Insurance in Prince Edward Island: how it works under the PEI Superintendent, what drives price, instant estimates and advisors licensed in Prince Edward…</t>
        </is>
      </c>
      <c r="M280" s="36">
        <f>LEN(L280)</f>
        <v/>
      </c>
      <c r="N280" s="25" t="inlineStr">
        <is>
          <t>Tenant Insurance in Prince Edward Island</t>
        </is>
      </c>
      <c r="O280" s="36" t="inlineStr">
        <is>
          <t>tenant insurance pei</t>
        </is>
      </c>
      <c r="P280" s="37" t="n">
        <v>25</v>
      </c>
      <c r="Q280" s="36" t="inlineStr">
        <is>
          <t>Provincial</t>
        </is>
      </c>
      <c r="R280" s="36" t="n"/>
      <c r="S280" s="36">
        <f>COUNTIF('Page-Keyword Map'!$A$2:$A$675,B280)</f>
        <v/>
      </c>
      <c r="T280" s="37">
        <f>SUMIF('Page-Keyword Map'!$A$2:$A$675,B280,'Page-Keyword Map'!$H$2:$H$675)</f>
        <v/>
      </c>
      <c r="U280" s="36">
        <f>COUNTIFS('Page-Keyword Map'!$A$2:$A$675,B280,'Page-Keyword Map'!$E$2:$E$675,"Nationwide")</f>
        <v/>
      </c>
      <c r="V280" s="36">
        <f>COUNTIFS('Page-Keyword Map'!$A$2:$A$675,B280,'Page-Keyword Map'!$E$2:$E$675,"Provincial")</f>
        <v/>
      </c>
      <c r="W280" s="36">
        <f>COUNTIFS('Page-Keyword Map'!$A$2:$A$675,B280,'Page-Keyword Map'!$E$2:$E$675,"City")</f>
        <v/>
      </c>
      <c r="X280" s="36">
        <f>IF(O280="","",IF(ISNUMBER(SEARCH(O280,J280)),"Yes","No"))</f>
        <v/>
      </c>
      <c r="Y280" s="36" t="n">
        <v>0.7</v>
      </c>
      <c r="Z280" s="36" t="inlineStr">
        <is>
          <t>sitemap-provinces.xml</t>
        </is>
      </c>
      <c r="AA280" s="36" t="inlineStr">
        <is>
          <t>Live – indexable</t>
        </is>
      </c>
      <c r="AB280" s="38" t="n"/>
      <c r="AC280" s="38" t="n"/>
    </row>
    <row r="281" ht="23.85" customHeight="1" s="22">
      <c r="A281" s="36" t="inlineStr">
        <is>
          <t>P0280</t>
        </is>
      </c>
      <c r="B281" s="36" t="inlineStr">
        <is>
          <t>https://instasure.ca/tenant-insurance/quebec/</t>
        </is>
      </c>
      <c r="C281" s="36" t="inlineStr">
        <is>
          <t>Product × province</t>
        </is>
      </c>
      <c r="D281" s="36" t="inlineStr">
        <is>
          <t>Tenant insurance</t>
        </is>
      </c>
      <c r="E281" s="36" t="inlineStr">
        <is>
          <t>Tenant Insurance</t>
        </is>
      </c>
      <c r="F281" s="36" t="n"/>
      <c r="G281" s="36" t="inlineStr">
        <is>
          <t>Quebec</t>
        </is>
      </c>
      <c r="H281" s="36" t="n"/>
      <c r="I281" s="36" t="inlineStr">
        <is>
          <t>Yes</t>
        </is>
      </c>
      <c r="J281" s="25" t="inlineStr">
        <is>
          <t>Tenant Insurance in Quebec: Costs, Rules &amp; Quotes (2026)</t>
        </is>
      </c>
      <c r="K281" s="36">
        <f>LEN(J281)</f>
        <v/>
      </c>
      <c r="L281" s="25" t="inlineStr">
        <is>
          <t>Tenant Insurance in Quebec: how it works under AMF, what drives price, instant estimates and a waitlist for licensed advice in Quebec.</t>
        </is>
      </c>
      <c r="M281" s="36">
        <f>LEN(L281)</f>
        <v/>
      </c>
      <c r="N281" s="25" t="inlineStr">
        <is>
          <t>Tenant Insurance in Quebec</t>
        </is>
      </c>
      <c r="O281" s="36" t="inlineStr">
        <is>
          <t>tenant insurance quebec</t>
        </is>
      </c>
      <c r="P281" s="37" t="n">
        <v>290</v>
      </c>
      <c r="Q281" s="36" t="inlineStr">
        <is>
          <t>Provincial</t>
        </is>
      </c>
      <c r="R281" s="36" t="n"/>
      <c r="S281" s="36">
        <f>COUNTIF('Page-Keyword Map'!$A$2:$A$675,B281)</f>
        <v/>
      </c>
      <c r="T281" s="37">
        <f>SUMIF('Page-Keyword Map'!$A$2:$A$675,B281,'Page-Keyword Map'!$H$2:$H$675)</f>
        <v/>
      </c>
      <c r="U281" s="36">
        <f>COUNTIFS('Page-Keyword Map'!$A$2:$A$675,B281,'Page-Keyword Map'!$E$2:$E$675,"Nationwide")</f>
        <v/>
      </c>
      <c r="V281" s="36">
        <f>COUNTIFS('Page-Keyword Map'!$A$2:$A$675,B281,'Page-Keyword Map'!$E$2:$E$675,"Provincial")</f>
        <v/>
      </c>
      <c r="W281" s="36">
        <f>COUNTIFS('Page-Keyword Map'!$A$2:$A$675,B281,'Page-Keyword Map'!$E$2:$E$675,"City")</f>
        <v/>
      </c>
      <c r="X281" s="36">
        <f>IF(O281="","",IF(ISNUMBER(SEARCH(O281,J281)),"Yes","No"))</f>
        <v/>
      </c>
      <c r="Y281" s="36" t="n">
        <v>0.7</v>
      </c>
      <c r="Z281" s="36" t="inlineStr">
        <is>
          <t>sitemap-provinces.xml</t>
        </is>
      </c>
      <c r="AA281" s="36" t="inlineStr">
        <is>
          <t>Live – indexable</t>
        </is>
      </c>
      <c r="AB281" s="38" t="n"/>
      <c r="AC281" s="38" t="n"/>
    </row>
    <row r="282" ht="23.85" customHeight="1" s="22">
      <c r="A282" s="36" t="inlineStr">
        <is>
          <t>P0281</t>
        </is>
      </c>
      <c r="B282" s="36" t="inlineStr">
        <is>
          <t>https://instasure.ca/tenant-insurance/saskatchewan/</t>
        </is>
      </c>
      <c r="C282" s="36" t="inlineStr">
        <is>
          <t>Product × province</t>
        </is>
      </c>
      <c r="D282" s="36" t="inlineStr">
        <is>
          <t>Tenant insurance</t>
        </is>
      </c>
      <c r="E282" s="36" t="inlineStr">
        <is>
          <t>Tenant Insurance</t>
        </is>
      </c>
      <c r="F282" s="36" t="n"/>
      <c r="G282" s="36" t="inlineStr">
        <is>
          <t>Saskatchewan</t>
        </is>
      </c>
      <c r="H282" s="36" t="n"/>
      <c r="I282" s="36" t="inlineStr">
        <is>
          <t>Yes</t>
        </is>
      </c>
      <c r="J282" s="25" t="inlineStr">
        <is>
          <t>Tenant Insurance in Saskatchewan: Costs, Rules &amp; Quotes (2026)</t>
        </is>
      </c>
      <c r="K282" s="36">
        <f>LEN(J282)</f>
        <v/>
      </c>
      <c r="L282" s="25" t="inlineStr">
        <is>
          <t>Tenant Insurance in Saskatchewan: how it works under FCAA, what drives price, instant estimates and advisors licensed in Saskatchewan.</t>
        </is>
      </c>
      <c r="M282" s="36">
        <f>LEN(L282)</f>
        <v/>
      </c>
      <c r="N282" s="25" t="inlineStr">
        <is>
          <t>Tenant Insurance in Saskatchewan</t>
        </is>
      </c>
      <c r="O282" s="36" t="inlineStr">
        <is>
          <t>tenant insurance saskatchewan</t>
        </is>
      </c>
      <c r="P282" s="37" t="n">
        <v>150</v>
      </c>
      <c r="Q282" s="36" t="inlineStr">
        <is>
          <t>Provincial</t>
        </is>
      </c>
      <c r="R282" s="36" t="n"/>
      <c r="S282" s="36">
        <f>COUNTIF('Page-Keyword Map'!$A$2:$A$675,B282)</f>
        <v/>
      </c>
      <c r="T282" s="37">
        <f>SUMIF('Page-Keyword Map'!$A$2:$A$675,B282,'Page-Keyword Map'!$H$2:$H$675)</f>
        <v/>
      </c>
      <c r="U282" s="36">
        <f>COUNTIFS('Page-Keyword Map'!$A$2:$A$675,B282,'Page-Keyword Map'!$E$2:$E$675,"Nationwide")</f>
        <v/>
      </c>
      <c r="V282" s="36">
        <f>COUNTIFS('Page-Keyword Map'!$A$2:$A$675,B282,'Page-Keyword Map'!$E$2:$E$675,"Provincial")</f>
        <v/>
      </c>
      <c r="W282" s="36">
        <f>COUNTIFS('Page-Keyword Map'!$A$2:$A$675,B282,'Page-Keyword Map'!$E$2:$E$675,"City")</f>
        <v/>
      </c>
      <c r="X282" s="36">
        <f>IF(O282="","",IF(ISNUMBER(SEARCH(O282,J282)),"Yes","No"))</f>
        <v/>
      </c>
      <c r="Y282" s="36" t="n">
        <v>0.7</v>
      </c>
      <c r="Z282" s="36" t="inlineStr">
        <is>
          <t>sitemap-provinces.xml</t>
        </is>
      </c>
      <c r="AA282" s="36" t="inlineStr">
        <is>
          <t>Live – indexable</t>
        </is>
      </c>
      <c r="AB282" s="38" t="n"/>
      <c r="AC282" s="38" t="n"/>
    </row>
    <row r="283" ht="23.85" customHeight="1" s="22">
      <c r="A283" s="36" t="inlineStr">
        <is>
          <t>P0282</t>
        </is>
      </c>
      <c r="B283" s="36" t="inlineStr">
        <is>
          <t>https://instasure.ca/tenant-insurance/yukon/</t>
        </is>
      </c>
      <c r="C283" s="36" t="inlineStr">
        <is>
          <t>Product × province</t>
        </is>
      </c>
      <c r="D283" s="36" t="inlineStr">
        <is>
          <t>Tenant insurance</t>
        </is>
      </c>
      <c r="E283" s="36" t="inlineStr">
        <is>
          <t>Tenant Insurance</t>
        </is>
      </c>
      <c r="F283" s="36" t="n"/>
      <c r="G283" s="36" t="inlineStr">
        <is>
          <t>Yukon</t>
        </is>
      </c>
      <c r="H283" s="36" t="n"/>
      <c r="I283" s="36" t="inlineStr">
        <is>
          <t>Yes</t>
        </is>
      </c>
      <c r="J283" s="25" t="inlineStr">
        <is>
          <t>Tenant Insurance in Yukon: Costs, Rules &amp; Quotes (2026)</t>
        </is>
      </c>
      <c r="K283" s="36">
        <f>LEN(J283)</f>
        <v/>
      </c>
      <c r="L283" s="25" t="inlineStr">
        <is>
          <t>Tenant Insurance in Yukon: how it works under the Yukon Superintendent, what drives price, instant estimates and a waitlist for licensed advice in Yukon.</t>
        </is>
      </c>
      <c r="M283" s="36">
        <f>LEN(L283)</f>
        <v/>
      </c>
      <c r="N283" s="25" t="inlineStr">
        <is>
          <t>Tenant Insurance in Yukon</t>
        </is>
      </c>
      <c r="O283" s="36" t="n"/>
      <c r="P283" s="37" t="n"/>
      <c r="Q283" s="36" t="n"/>
      <c r="R283" s="36" t="inlineStr">
        <is>
          <t>tenant insurance yukon</t>
        </is>
      </c>
      <c r="S283" s="36">
        <f>COUNTIF('Page-Keyword Map'!$A$2:$A$675,B283)</f>
        <v/>
      </c>
      <c r="T283" s="37">
        <f>SUMIF('Page-Keyword Map'!$A$2:$A$675,B283,'Page-Keyword Map'!$H$2:$H$675)</f>
        <v/>
      </c>
      <c r="U283" s="36">
        <f>COUNTIFS('Page-Keyword Map'!$A$2:$A$675,B283,'Page-Keyword Map'!$E$2:$E$675,"Nationwide")</f>
        <v/>
      </c>
      <c r="V283" s="36">
        <f>COUNTIFS('Page-Keyword Map'!$A$2:$A$675,B283,'Page-Keyword Map'!$E$2:$E$675,"Provincial")</f>
        <v/>
      </c>
      <c r="W283" s="36">
        <f>COUNTIFS('Page-Keyword Map'!$A$2:$A$675,B283,'Page-Keyword Map'!$E$2:$E$675,"City")</f>
        <v/>
      </c>
      <c r="X283" s="36">
        <f>IF(O283="","",IF(ISNUMBER(SEARCH(O283,J283)),"Yes","No"))</f>
        <v/>
      </c>
      <c r="Y283" s="36" t="n">
        <v>0.7</v>
      </c>
      <c r="Z283" s="36" t="inlineStr">
        <is>
          <t>sitemap-provinces.xml</t>
        </is>
      </c>
      <c r="AA283" s="36" t="inlineStr">
        <is>
          <t>Live – indexable</t>
        </is>
      </c>
      <c r="AB283" s="38" t="n"/>
      <c r="AC283" s="38" t="n"/>
    </row>
    <row r="284" ht="23.85" customHeight="1" s="22">
      <c r="A284" s="36" t="inlineStr">
        <is>
          <t>P0283</t>
        </is>
      </c>
      <c r="B284" s="36" t="inlineStr">
        <is>
          <t>https://instasure.ca/term-life-insurance/alberta/</t>
        </is>
      </c>
      <c r="C284" s="36" t="inlineStr">
        <is>
          <t>Product × province</t>
        </is>
      </c>
      <c r="D284" s="36" t="inlineStr">
        <is>
          <t>Life insurance</t>
        </is>
      </c>
      <c r="E284" s="36" t="inlineStr">
        <is>
          <t>Term Life Insurance</t>
        </is>
      </c>
      <c r="F284" s="36" t="n"/>
      <c r="G284" s="36" t="inlineStr">
        <is>
          <t>Alberta</t>
        </is>
      </c>
      <c r="H284" s="36" t="n"/>
      <c r="I284" s="36" t="inlineStr">
        <is>
          <t>Yes</t>
        </is>
      </c>
      <c r="J284" s="25" t="inlineStr">
        <is>
          <t>Term Life Insurance in Alberta: Costs, Rules &amp; Quotes (2026)</t>
        </is>
      </c>
      <c r="K284" s="36">
        <f>LEN(J284)</f>
        <v/>
      </c>
      <c r="L284" s="25" t="inlineStr">
        <is>
          <t>Term Life Insurance in Alberta: how it works under the Superintendent of Insurance, what drives price, instant estimates and advisors licensed in Alberta.</t>
        </is>
      </c>
      <c r="M284" s="36">
        <f>LEN(L284)</f>
        <v/>
      </c>
      <c r="N284" s="25" t="inlineStr">
        <is>
          <t>Term Life Insurance in Alberta</t>
        </is>
      </c>
      <c r="O284" s="36" t="inlineStr">
        <is>
          <t>term life insurance alberta</t>
        </is>
      </c>
      <c r="P284" s="37" t="n">
        <v>74</v>
      </c>
      <c r="Q284" s="36" t="inlineStr">
        <is>
          <t>Provincial</t>
        </is>
      </c>
      <c r="R284" s="36" t="n"/>
      <c r="S284" s="36">
        <f>COUNTIF('Page-Keyword Map'!$A$2:$A$675,B284)</f>
        <v/>
      </c>
      <c r="T284" s="37">
        <f>SUMIF('Page-Keyword Map'!$A$2:$A$675,B284,'Page-Keyword Map'!$H$2:$H$675)</f>
        <v/>
      </c>
      <c r="U284" s="36">
        <f>COUNTIFS('Page-Keyword Map'!$A$2:$A$675,B284,'Page-Keyword Map'!$E$2:$E$675,"Nationwide")</f>
        <v/>
      </c>
      <c r="V284" s="36">
        <f>COUNTIFS('Page-Keyword Map'!$A$2:$A$675,B284,'Page-Keyword Map'!$E$2:$E$675,"Provincial")</f>
        <v/>
      </c>
      <c r="W284" s="36">
        <f>COUNTIFS('Page-Keyword Map'!$A$2:$A$675,B284,'Page-Keyword Map'!$E$2:$E$675,"City")</f>
        <v/>
      </c>
      <c r="X284" s="36">
        <f>IF(O284="","",IF(ISNUMBER(SEARCH(O284,J284)),"Yes","No"))</f>
        <v/>
      </c>
      <c r="Y284" s="36" t="n">
        <v>0.7</v>
      </c>
      <c r="Z284" s="36" t="inlineStr">
        <is>
          <t>sitemap-provinces.xml</t>
        </is>
      </c>
      <c r="AA284" s="36" t="inlineStr">
        <is>
          <t>Live – indexable</t>
        </is>
      </c>
      <c r="AB284" s="38" t="n"/>
      <c r="AC284" s="38" t="n"/>
    </row>
    <row r="285" ht="23.85" customHeight="1" s="22">
      <c r="A285" s="36" t="inlineStr">
        <is>
          <t>P0284</t>
        </is>
      </c>
      <c r="B285" s="36" t="inlineStr">
        <is>
          <t>https://instasure.ca/term-life-insurance/british-columbia/</t>
        </is>
      </c>
      <c r="C285" s="36" t="inlineStr">
        <is>
          <t>Product × province</t>
        </is>
      </c>
      <c r="D285" s="36" t="inlineStr">
        <is>
          <t>Life insurance</t>
        </is>
      </c>
      <c r="E285" s="36" t="inlineStr">
        <is>
          <t>Term Life Insurance</t>
        </is>
      </c>
      <c r="F285" s="36" t="n"/>
      <c r="G285" s="36" t="inlineStr">
        <is>
          <t>British Columbia</t>
        </is>
      </c>
      <c r="H285" s="36" t="n"/>
      <c r="I285" s="36" t="inlineStr">
        <is>
          <t>Yes</t>
        </is>
      </c>
      <c r="J285" s="25" t="inlineStr">
        <is>
          <t>Term Life Insurance in British Columbia: Costs, Rules &amp; Quotes (2026)</t>
        </is>
      </c>
      <c r="K285" s="36">
        <f>LEN(J285)</f>
        <v/>
      </c>
      <c r="L285" s="25" t="inlineStr">
        <is>
          <t>Term Life Insurance in British Columbia: how it works under BCFSA, what drives price, instant estimates and advisors licensed in British Columbia.</t>
        </is>
      </c>
      <c r="M285" s="36">
        <f>LEN(L285)</f>
        <v/>
      </c>
      <c r="N285" s="25" t="inlineStr">
        <is>
          <t>Term Life Insurance in British Columbia</t>
        </is>
      </c>
      <c r="O285" s="36" t="inlineStr">
        <is>
          <t>term life insurance bc</t>
        </is>
      </c>
      <c r="P285" s="37" t="n">
        <v>85</v>
      </c>
      <c r="Q285" s="36" t="inlineStr">
        <is>
          <t>Provincial</t>
        </is>
      </c>
      <c r="R285" s="36" t="n"/>
      <c r="S285" s="36">
        <f>COUNTIF('Page-Keyword Map'!$A$2:$A$675,B285)</f>
        <v/>
      </c>
      <c r="T285" s="37">
        <f>SUMIF('Page-Keyword Map'!$A$2:$A$675,B285,'Page-Keyword Map'!$H$2:$H$675)</f>
        <v/>
      </c>
      <c r="U285" s="36">
        <f>COUNTIFS('Page-Keyword Map'!$A$2:$A$675,B285,'Page-Keyword Map'!$E$2:$E$675,"Nationwide")</f>
        <v/>
      </c>
      <c r="V285" s="36">
        <f>COUNTIFS('Page-Keyword Map'!$A$2:$A$675,B285,'Page-Keyword Map'!$E$2:$E$675,"Provincial")</f>
        <v/>
      </c>
      <c r="W285" s="36">
        <f>COUNTIFS('Page-Keyword Map'!$A$2:$A$675,B285,'Page-Keyword Map'!$E$2:$E$675,"City")</f>
        <v/>
      </c>
      <c r="X285" s="36">
        <f>IF(O285="","",IF(ISNUMBER(SEARCH(O285,J285)),"Yes","No"))</f>
        <v/>
      </c>
      <c r="Y285" s="36" t="n">
        <v>0.7</v>
      </c>
      <c r="Z285" s="36" t="inlineStr">
        <is>
          <t>sitemap-provinces.xml</t>
        </is>
      </c>
      <c r="AA285" s="36" t="inlineStr">
        <is>
          <t>Live – indexable</t>
        </is>
      </c>
      <c r="AB285" s="38" t="n"/>
      <c r="AC285" s="38" t="n"/>
    </row>
    <row r="286" ht="23.85" customHeight="1" s="22">
      <c r="A286" s="36" t="inlineStr">
        <is>
          <t>P0285</t>
        </is>
      </c>
      <c r="B286" s="36" t="inlineStr">
        <is>
          <t>https://instasure.ca/term-life-insurance/manitoba/</t>
        </is>
      </c>
      <c r="C286" s="36" t="inlineStr">
        <is>
          <t>Product × province</t>
        </is>
      </c>
      <c r="D286" s="36" t="inlineStr">
        <is>
          <t>Life insurance</t>
        </is>
      </c>
      <c r="E286" s="36" t="inlineStr">
        <is>
          <t>Term Life Insurance</t>
        </is>
      </c>
      <c r="F286" s="36" t="n"/>
      <c r="G286" s="36" t="inlineStr">
        <is>
          <t>Manitoba</t>
        </is>
      </c>
      <c r="H286" s="36" t="n"/>
      <c r="I286" s="36" t="inlineStr">
        <is>
          <t>Yes</t>
        </is>
      </c>
      <c r="J286" s="25" t="inlineStr">
        <is>
          <t>Term Life Insurance in Manitoba: Costs, Rules &amp; Quotes (2026)</t>
        </is>
      </c>
      <c r="K286" s="36">
        <f>LEN(J286)</f>
        <v/>
      </c>
      <c r="L286" s="25" t="inlineStr">
        <is>
          <t>Term Life Insurance in Manitoba: how it works under FIRB, what drives price, instant estimates and advisors licensed in Manitoba.</t>
        </is>
      </c>
      <c r="M286" s="36">
        <f>LEN(L286)</f>
        <v/>
      </c>
      <c r="N286" s="25" t="inlineStr">
        <is>
          <t>Term Life Insurance in Manitoba</t>
        </is>
      </c>
      <c r="O286" s="36" t="inlineStr">
        <is>
          <t>term life insurance manitoba</t>
        </is>
      </c>
      <c r="P286" s="37" t="n">
        <v>26</v>
      </c>
      <c r="Q286" s="36" t="inlineStr">
        <is>
          <t>Provincial</t>
        </is>
      </c>
      <c r="R286" s="36" t="n"/>
      <c r="S286" s="36">
        <f>COUNTIF('Page-Keyword Map'!$A$2:$A$675,B286)</f>
        <v/>
      </c>
      <c r="T286" s="37">
        <f>SUMIF('Page-Keyword Map'!$A$2:$A$675,B286,'Page-Keyword Map'!$H$2:$H$675)</f>
        <v/>
      </c>
      <c r="U286" s="36">
        <f>COUNTIFS('Page-Keyword Map'!$A$2:$A$675,B286,'Page-Keyword Map'!$E$2:$E$675,"Nationwide")</f>
        <v/>
      </c>
      <c r="V286" s="36">
        <f>COUNTIFS('Page-Keyword Map'!$A$2:$A$675,B286,'Page-Keyword Map'!$E$2:$E$675,"Provincial")</f>
        <v/>
      </c>
      <c r="W286" s="36">
        <f>COUNTIFS('Page-Keyword Map'!$A$2:$A$675,B286,'Page-Keyword Map'!$E$2:$E$675,"City")</f>
        <v/>
      </c>
      <c r="X286" s="36">
        <f>IF(O286="","",IF(ISNUMBER(SEARCH(O286,J286)),"Yes","No"))</f>
        <v/>
      </c>
      <c r="Y286" s="36" t="n">
        <v>0.7</v>
      </c>
      <c r="Z286" s="36" t="inlineStr">
        <is>
          <t>sitemap-provinces.xml</t>
        </is>
      </c>
      <c r="AA286" s="36" t="inlineStr">
        <is>
          <t>Live – indexable</t>
        </is>
      </c>
      <c r="AB286" s="38" t="n"/>
      <c r="AC286" s="38" t="n"/>
    </row>
    <row r="287" ht="23.85" customHeight="1" s="22">
      <c r="A287" s="36" t="inlineStr">
        <is>
          <t>P0286</t>
        </is>
      </c>
      <c r="B287" s="36" t="inlineStr">
        <is>
          <t>https://instasure.ca/term-life-insurance/new-brunswick/</t>
        </is>
      </c>
      <c r="C287" s="36" t="inlineStr">
        <is>
          <t>Product × province</t>
        </is>
      </c>
      <c r="D287" s="36" t="inlineStr">
        <is>
          <t>Life insurance</t>
        </is>
      </c>
      <c r="E287" s="36" t="inlineStr">
        <is>
          <t>Term Life Insurance</t>
        </is>
      </c>
      <c r="F287" s="36" t="n"/>
      <c r="G287" s="36" t="inlineStr">
        <is>
          <t>New Brunswick</t>
        </is>
      </c>
      <c r="H287" s="36" t="n"/>
      <c r="I287" s="36" t="inlineStr">
        <is>
          <t>Yes</t>
        </is>
      </c>
      <c r="J287" s="25" t="inlineStr">
        <is>
          <t>Term Life Insurance in New Brunswick: Costs, Rules &amp; Quotes (2026)</t>
        </is>
      </c>
      <c r="K287" s="36">
        <f>LEN(J287)</f>
        <v/>
      </c>
      <c r="L287" s="25" t="inlineStr">
        <is>
          <t>Term Life Insurance in New Brunswick: how it works under FCNB, what drives price, instant estimates and advisors licensed in New Brunswick.</t>
        </is>
      </c>
      <c r="M287" s="36">
        <f>LEN(L287)</f>
        <v/>
      </c>
      <c r="N287" s="25" t="inlineStr">
        <is>
          <t>Term Life Insurance in New Brunswick</t>
        </is>
      </c>
      <c r="O287" s="36" t="n"/>
      <c r="P287" s="37" t="n"/>
      <c r="Q287" s="36" t="n"/>
      <c r="R287" s="36" t="inlineStr">
        <is>
          <t>term life insurance new brunswick</t>
        </is>
      </c>
      <c r="S287" s="36">
        <f>COUNTIF('Page-Keyword Map'!$A$2:$A$675,B287)</f>
        <v/>
      </c>
      <c r="T287" s="37">
        <f>SUMIF('Page-Keyword Map'!$A$2:$A$675,B287,'Page-Keyword Map'!$H$2:$H$675)</f>
        <v/>
      </c>
      <c r="U287" s="36">
        <f>COUNTIFS('Page-Keyword Map'!$A$2:$A$675,B287,'Page-Keyword Map'!$E$2:$E$675,"Nationwide")</f>
        <v/>
      </c>
      <c r="V287" s="36">
        <f>COUNTIFS('Page-Keyword Map'!$A$2:$A$675,B287,'Page-Keyword Map'!$E$2:$E$675,"Provincial")</f>
        <v/>
      </c>
      <c r="W287" s="36">
        <f>COUNTIFS('Page-Keyword Map'!$A$2:$A$675,B287,'Page-Keyword Map'!$E$2:$E$675,"City")</f>
        <v/>
      </c>
      <c r="X287" s="36">
        <f>IF(O287="","",IF(ISNUMBER(SEARCH(O287,J287)),"Yes","No"))</f>
        <v/>
      </c>
      <c r="Y287" s="36" t="n">
        <v>0.7</v>
      </c>
      <c r="Z287" s="36" t="inlineStr">
        <is>
          <t>sitemap-provinces.xml</t>
        </is>
      </c>
      <c r="AA287" s="36" t="inlineStr">
        <is>
          <t>Live – indexable</t>
        </is>
      </c>
      <c r="AB287" s="38" t="n"/>
      <c r="AC287" s="38" t="n"/>
    </row>
    <row r="288" ht="23.85" customHeight="1" s="22">
      <c r="A288" s="36" t="inlineStr">
        <is>
          <t>P0287</t>
        </is>
      </c>
      <c r="B288" s="36" t="inlineStr">
        <is>
          <t>https://instasure.ca/term-life-insurance/newfoundland-and-labrador/</t>
        </is>
      </c>
      <c r="C288" s="36" t="inlineStr">
        <is>
          <t>Product × province</t>
        </is>
      </c>
      <c r="D288" s="36" t="inlineStr">
        <is>
          <t>Life insurance</t>
        </is>
      </c>
      <c r="E288" s="36" t="inlineStr">
        <is>
          <t>Term Life Insurance</t>
        </is>
      </c>
      <c r="F288" s="36" t="n"/>
      <c r="G288" s="36" t="inlineStr">
        <is>
          <t>Newfoundland and Labrador</t>
        </is>
      </c>
      <c r="H288" s="36" t="n"/>
      <c r="I288" s="36" t="inlineStr">
        <is>
          <t>Yes</t>
        </is>
      </c>
      <c r="J288" s="25" t="inlineStr">
        <is>
          <t>Term Life Insurance in Newfoundland and Labrador: Costs, Rules &amp; Quotes (2026)</t>
        </is>
      </c>
      <c r="K288" s="36">
        <f>LEN(J288)</f>
        <v/>
      </c>
      <c r="L288" s="25" t="inlineStr">
        <is>
          <t>Term Life Insurance in Newfoundland and Labrador: how it works under Service NL, what drives price, instant estimates and advisors licensed in Newfoundland and…</t>
        </is>
      </c>
      <c r="M288" s="36">
        <f>LEN(L288)</f>
        <v/>
      </c>
      <c r="N288" s="25" t="inlineStr">
        <is>
          <t>Term Life Insurance in Newfoundland and Labrador</t>
        </is>
      </c>
      <c r="O288" s="36" t="n"/>
      <c r="P288" s="37" t="n"/>
      <c r="Q288" s="36" t="n"/>
      <c r="R288" s="36" t="inlineStr">
        <is>
          <t>term life insurance newfoundland and labrador</t>
        </is>
      </c>
      <c r="S288" s="36">
        <f>COUNTIF('Page-Keyword Map'!$A$2:$A$675,B288)</f>
        <v/>
      </c>
      <c r="T288" s="37">
        <f>SUMIF('Page-Keyword Map'!$A$2:$A$675,B288,'Page-Keyword Map'!$H$2:$H$675)</f>
        <v/>
      </c>
      <c r="U288" s="36">
        <f>COUNTIFS('Page-Keyword Map'!$A$2:$A$675,B288,'Page-Keyword Map'!$E$2:$E$675,"Nationwide")</f>
        <v/>
      </c>
      <c r="V288" s="36">
        <f>COUNTIFS('Page-Keyword Map'!$A$2:$A$675,B288,'Page-Keyword Map'!$E$2:$E$675,"Provincial")</f>
        <v/>
      </c>
      <c r="W288" s="36">
        <f>COUNTIFS('Page-Keyword Map'!$A$2:$A$675,B288,'Page-Keyword Map'!$E$2:$E$675,"City")</f>
        <v/>
      </c>
      <c r="X288" s="36">
        <f>IF(O288="","",IF(ISNUMBER(SEARCH(O288,J288)),"Yes","No"))</f>
        <v/>
      </c>
      <c r="Y288" s="36" t="n">
        <v>0.7</v>
      </c>
      <c r="Z288" s="36" t="inlineStr">
        <is>
          <t>sitemap-provinces.xml</t>
        </is>
      </c>
      <c r="AA288" s="36" t="inlineStr">
        <is>
          <t>Live – indexable</t>
        </is>
      </c>
      <c r="AB288" s="38" t="n"/>
      <c r="AC288" s="38" t="n"/>
    </row>
    <row r="289" ht="23.85" customHeight="1" s="22">
      <c r="A289" s="36" t="inlineStr">
        <is>
          <t>P0288</t>
        </is>
      </c>
      <c r="B289" s="36" t="inlineStr">
        <is>
          <t>https://instasure.ca/term-life-insurance/northwest-territories/</t>
        </is>
      </c>
      <c r="C289" s="36" t="inlineStr">
        <is>
          <t>Product × province</t>
        </is>
      </c>
      <c r="D289" s="36" t="inlineStr">
        <is>
          <t>Life insurance</t>
        </is>
      </c>
      <c r="E289" s="36" t="inlineStr">
        <is>
          <t>Term Life Insurance</t>
        </is>
      </c>
      <c r="F289" s="36" t="n"/>
      <c r="G289" s="36" t="inlineStr">
        <is>
          <t>Northwest Territories</t>
        </is>
      </c>
      <c r="H289" s="36" t="n"/>
      <c r="I289" s="36" t="inlineStr">
        <is>
          <t>Yes</t>
        </is>
      </c>
      <c r="J289" s="25" t="inlineStr">
        <is>
          <t>Term Life Insurance in Northwest Territories: Costs, Rules &amp; Quotes (2026)</t>
        </is>
      </c>
      <c r="K289" s="36">
        <f>LEN(J289)</f>
        <v/>
      </c>
      <c r="L289" s="25" t="inlineStr">
        <is>
          <t>Term Life Insurance in Northwest Territories: how it works under the NWT Superintendent, what drives price, instant estimates and a waitlist for licensed advice in…</t>
        </is>
      </c>
      <c r="M289" s="36">
        <f>LEN(L289)</f>
        <v/>
      </c>
      <c r="N289" s="25" t="inlineStr">
        <is>
          <t>Term Life Insurance in Northwest Territories</t>
        </is>
      </c>
      <c r="O289" s="36" t="n"/>
      <c r="P289" s="37" t="n"/>
      <c r="Q289" s="36" t="n"/>
      <c r="R289" s="36" t="inlineStr">
        <is>
          <t>term life insurance northwest territories</t>
        </is>
      </c>
      <c r="S289" s="36">
        <f>COUNTIF('Page-Keyword Map'!$A$2:$A$675,B289)</f>
        <v/>
      </c>
      <c r="T289" s="37">
        <f>SUMIF('Page-Keyword Map'!$A$2:$A$675,B289,'Page-Keyword Map'!$H$2:$H$675)</f>
        <v/>
      </c>
      <c r="U289" s="36">
        <f>COUNTIFS('Page-Keyword Map'!$A$2:$A$675,B289,'Page-Keyword Map'!$E$2:$E$675,"Nationwide")</f>
        <v/>
      </c>
      <c r="V289" s="36">
        <f>COUNTIFS('Page-Keyword Map'!$A$2:$A$675,B289,'Page-Keyword Map'!$E$2:$E$675,"Provincial")</f>
        <v/>
      </c>
      <c r="W289" s="36">
        <f>COUNTIFS('Page-Keyword Map'!$A$2:$A$675,B289,'Page-Keyword Map'!$E$2:$E$675,"City")</f>
        <v/>
      </c>
      <c r="X289" s="36">
        <f>IF(O289="","",IF(ISNUMBER(SEARCH(O289,J289)),"Yes","No"))</f>
        <v/>
      </c>
      <c r="Y289" s="36" t="n">
        <v>0.7</v>
      </c>
      <c r="Z289" s="36" t="inlineStr">
        <is>
          <t>sitemap-provinces.xml</t>
        </is>
      </c>
      <c r="AA289" s="36" t="inlineStr">
        <is>
          <t>Live – indexable</t>
        </is>
      </c>
      <c r="AB289" s="38" t="n"/>
      <c r="AC289" s="38" t="n"/>
    </row>
    <row r="290" ht="23.85" customHeight="1" s="22">
      <c r="A290" s="36" t="inlineStr">
        <is>
          <t>P0289</t>
        </is>
      </c>
      <c r="B290" s="36" t="inlineStr">
        <is>
          <t>https://instasure.ca/term-life-insurance/nova-scotia/</t>
        </is>
      </c>
      <c r="C290" s="36" t="inlineStr">
        <is>
          <t>Product × province</t>
        </is>
      </c>
      <c r="D290" s="36" t="inlineStr">
        <is>
          <t>Life insurance</t>
        </is>
      </c>
      <c r="E290" s="36" t="inlineStr">
        <is>
          <t>Term Life Insurance</t>
        </is>
      </c>
      <c r="F290" s="36" t="n"/>
      <c r="G290" s="36" t="inlineStr">
        <is>
          <t>Nova Scotia</t>
        </is>
      </c>
      <c r="H290" s="36" t="n"/>
      <c r="I290" s="36" t="inlineStr">
        <is>
          <t>Yes</t>
        </is>
      </c>
      <c r="J290" s="25" t="inlineStr">
        <is>
          <t>Term Life Insurance in Nova Scotia: Costs, Rules &amp; Quotes (2026)</t>
        </is>
      </c>
      <c r="K290" s="36">
        <f>LEN(J290)</f>
        <v/>
      </c>
      <c r="L290" s="25" t="inlineStr">
        <is>
          <t>Term Life Insurance in Nova Scotia: how it works under the NS Superintendent of Insurance, what drives price, instant estimates and advisors licensed in Nova Scotia.</t>
        </is>
      </c>
      <c r="M290" s="36">
        <f>LEN(L290)</f>
        <v/>
      </c>
      <c r="N290" s="25" t="inlineStr">
        <is>
          <t>Term Life Insurance in Nova Scotia</t>
        </is>
      </c>
      <c r="O290" s="36" t="n"/>
      <c r="P290" s="37" t="n"/>
      <c r="Q290" s="36" t="n"/>
      <c r="R290" s="36" t="inlineStr">
        <is>
          <t>term life insurance nova scotia</t>
        </is>
      </c>
      <c r="S290" s="36">
        <f>COUNTIF('Page-Keyword Map'!$A$2:$A$675,B290)</f>
        <v/>
      </c>
      <c r="T290" s="37">
        <f>SUMIF('Page-Keyword Map'!$A$2:$A$675,B290,'Page-Keyword Map'!$H$2:$H$675)</f>
        <v/>
      </c>
      <c r="U290" s="36">
        <f>COUNTIFS('Page-Keyword Map'!$A$2:$A$675,B290,'Page-Keyword Map'!$E$2:$E$675,"Nationwide")</f>
        <v/>
      </c>
      <c r="V290" s="36">
        <f>COUNTIFS('Page-Keyword Map'!$A$2:$A$675,B290,'Page-Keyword Map'!$E$2:$E$675,"Provincial")</f>
        <v/>
      </c>
      <c r="W290" s="36">
        <f>COUNTIFS('Page-Keyword Map'!$A$2:$A$675,B290,'Page-Keyword Map'!$E$2:$E$675,"City")</f>
        <v/>
      </c>
      <c r="X290" s="36">
        <f>IF(O290="","",IF(ISNUMBER(SEARCH(O290,J290)),"Yes","No"))</f>
        <v/>
      </c>
      <c r="Y290" s="36" t="n">
        <v>0.7</v>
      </c>
      <c r="Z290" s="36" t="inlineStr">
        <is>
          <t>sitemap-provinces.xml</t>
        </is>
      </c>
      <c r="AA290" s="36" t="inlineStr">
        <is>
          <t>Live – indexable</t>
        </is>
      </c>
      <c r="AB290" s="38" t="n"/>
      <c r="AC290" s="38" t="n"/>
    </row>
    <row r="291" ht="23.85" customHeight="1" s="22">
      <c r="A291" s="36" t="inlineStr">
        <is>
          <t>P0290</t>
        </is>
      </c>
      <c r="B291" s="36" t="inlineStr">
        <is>
          <t>https://instasure.ca/term-life-insurance/nunavut/</t>
        </is>
      </c>
      <c r="C291" s="36" t="inlineStr">
        <is>
          <t>Product × province</t>
        </is>
      </c>
      <c r="D291" s="36" t="inlineStr">
        <is>
          <t>Life insurance</t>
        </is>
      </c>
      <c r="E291" s="36" t="inlineStr">
        <is>
          <t>Term Life Insurance</t>
        </is>
      </c>
      <c r="F291" s="36" t="n"/>
      <c r="G291" s="36" t="inlineStr">
        <is>
          <t>Nunavut</t>
        </is>
      </c>
      <c r="H291" s="36" t="n"/>
      <c r="I291" s="36" t="inlineStr">
        <is>
          <t>Yes</t>
        </is>
      </c>
      <c r="J291" s="25" t="inlineStr">
        <is>
          <t>Term Life Insurance in Nunavut: Costs, Rules &amp; Quotes (2026)</t>
        </is>
      </c>
      <c r="K291" s="36">
        <f>LEN(J291)</f>
        <v/>
      </c>
      <c r="L291" s="25" t="inlineStr">
        <is>
          <t>Term Life Insurance in Nunavut: how it works under the Nunavut Superintendent, what drives price, instant estimates and a waitlist for licensed advice in Nunavut.</t>
        </is>
      </c>
      <c r="M291" s="36">
        <f>LEN(L291)</f>
        <v/>
      </c>
      <c r="N291" s="25" t="inlineStr">
        <is>
          <t>Term Life Insurance in Nunavut</t>
        </is>
      </c>
      <c r="O291" s="36" t="n"/>
      <c r="P291" s="37" t="n"/>
      <c r="Q291" s="36" t="n"/>
      <c r="R291" s="36" t="inlineStr">
        <is>
          <t>term life insurance nunavut</t>
        </is>
      </c>
      <c r="S291" s="36">
        <f>COUNTIF('Page-Keyword Map'!$A$2:$A$675,B291)</f>
        <v/>
      </c>
      <c r="T291" s="37">
        <f>SUMIF('Page-Keyword Map'!$A$2:$A$675,B291,'Page-Keyword Map'!$H$2:$H$675)</f>
        <v/>
      </c>
      <c r="U291" s="36">
        <f>COUNTIFS('Page-Keyword Map'!$A$2:$A$675,B291,'Page-Keyword Map'!$E$2:$E$675,"Nationwide")</f>
        <v/>
      </c>
      <c r="V291" s="36">
        <f>COUNTIFS('Page-Keyword Map'!$A$2:$A$675,B291,'Page-Keyword Map'!$E$2:$E$675,"Provincial")</f>
        <v/>
      </c>
      <c r="W291" s="36">
        <f>COUNTIFS('Page-Keyword Map'!$A$2:$A$675,B291,'Page-Keyword Map'!$E$2:$E$675,"City")</f>
        <v/>
      </c>
      <c r="X291" s="36">
        <f>IF(O291="","",IF(ISNUMBER(SEARCH(O291,J291)),"Yes","No"))</f>
        <v/>
      </c>
      <c r="Y291" s="36" t="n">
        <v>0.7</v>
      </c>
      <c r="Z291" s="36" t="inlineStr">
        <is>
          <t>sitemap-provinces.xml</t>
        </is>
      </c>
      <c r="AA291" s="36" t="inlineStr">
        <is>
          <t>Live – indexable</t>
        </is>
      </c>
      <c r="AB291" s="38" t="n"/>
      <c r="AC291" s="38" t="n"/>
    </row>
    <row r="292" ht="23.85" customHeight="1" s="22">
      <c r="A292" s="36" t="inlineStr">
        <is>
          <t>P0291</t>
        </is>
      </c>
      <c r="B292" s="36" t="inlineStr">
        <is>
          <t>https://instasure.ca/term-life-insurance/ontario/</t>
        </is>
      </c>
      <c r="C292" s="36" t="inlineStr">
        <is>
          <t>Product × province</t>
        </is>
      </c>
      <c r="D292" s="36" t="inlineStr">
        <is>
          <t>Life insurance</t>
        </is>
      </c>
      <c r="E292" s="36" t="inlineStr">
        <is>
          <t>Term Life Insurance</t>
        </is>
      </c>
      <c r="F292" s="36" t="n"/>
      <c r="G292" s="36" t="inlineStr">
        <is>
          <t>Ontario</t>
        </is>
      </c>
      <c r="H292" s="36" t="n"/>
      <c r="I292" s="36" t="inlineStr">
        <is>
          <t>Yes</t>
        </is>
      </c>
      <c r="J292" s="25" t="inlineStr">
        <is>
          <t>Term Life Insurance in Ontario: Costs, Rules &amp; Quotes (2026)</t>
        </is>
      </c>
      <c r="K292" s="36">
        <f>LEN(J292)</f>
        <v/>
      </c>
      <c r="L292" s="25" t="inlineStr">
        <is>
          <t>Term Life Insurance in Ontario: how it works under FSRA, what drives price, instant estimates and advisors licensed in Ontario.</t>
        </is>
      </c>
      <c r="M292" s="36">
        <f>LEN(L292)</f>
        <v/>
      </c>
      <c r="N292" s="25" t="inlineStr">
        <is>
          <t>Term Life Insurance in Ontario</t>
        </is>
      </c>
      <c r="O292" s="36" t="inlineStr">
        <is>
          <t>term life insurance ontario</t>
        </is>
      </c>
      <c r="P292" s="37" t="n">
        <v>240</v>
      </c>
      <c r="Q292" s="36" t="inlineStr">
        <is>
          <t>Provincial</t>
        </is>
      </c>
      <c r="R292" s="36" t="n"/>
      <c r="S292" s="36">
        <f>COUNTIF('Page-Keyword Map'!$A$2:$A$675,B292)</f>
        <v/>
      </c>
      <c r="T292" s="37">
        <f>SUMIF('Page-Keyword Map'!$A$2:$A$675,B292,'Page-Keyword Map'!$H$2:$H$675)</f>
        <v/>
      </c>
      <c r="U292" s="36">
        <f>COUNTIFS('Page-Keyword Map'!$A$2:$A$675,B292,'Page-Keyword Map'!$E$2:$E$675,"Nationwide")</f>
        <v/>
      </c>
      <c r="V292" s="36">
        <f>COUNTIFS('Page-Keyword Map'!$A$2:$A$675,B292,'Page-Keyword Map'!$E$2:$E$675,"Provincial")</f>
        <v/>
      </c>
      <c r="W292" s="36">
        <f>COUNTIFS('Page-Keyword Map'!$A$2:$A$675,B292,'Page-Keyword Map'!$E$2:$E$675,"City")</f>
        <v/>
      </c>
      <c r="X292" s="36">
        <f>IF(O292="","",IF(ISNUMBER(SEARCH(O292,J292)),"Yes","No"))</f>
        <v/>
      </c>
      <c r="Y292" s="36" t="n">
        <v>0.7</v>
      </c>
      <c r="Z292" s="36" t="inlineStr">
        <is>
          <t>sitemap-provinces.xml</t>
        </is>
      </c>
      <c r="AA292" s="36" t="inlineStr">
        <is>
          <t>Live – indexable</t>
        </is>
      </c>
      <c r="AB292" s="38" t="n"/>
      <c r="AC292" s="38" t="n"/>
    </row>
    <row r="293" ht="23.85" customHeight="1" s="22">
      <c r="A293" s="36" t="inlineStr">
        <is>
          <t>P0292</t>
        </is>
      </c>
      <c r="B293" s="36" t="inlineStr">
        <is>
          <t>https://instasure.ca/term-life-insurance/prince-edward-island/</t>
        </is>
      </c>
      <c r="C293" s="36" t="inlineStr">
        <is>
          <t>Product × province</t>
        </is>
      </c>
      <c r="D293" s="36" t="inlineStr">
        <is>
          <t>Life insurance</t>
        </is>
      </c>
      <c r="E293" s="36" t="inlineStr">
        <is>
          <t>Term Life Insurance</t>
        </is>
      </c>
      <c r="F293" s="36" t="n"/>
      <c r="G293" s="36" t="inlineStr">
        <is>
          <t>Prince Edward Island</t>
        </is>
      </c>
      <c r="H293" s="36" t="n"/>
      <c r="I293" s="36" t="inlineStr">
        <is>
          <t>Yes</t>
        </is>
      </c>
      <c r="J293" s="25" t="inlineStr">
        <is>
          <t>Term Life Insurance in Prince Edward Island: Costs, Rules &amp; Quotes (2026)</t>
        </is>
      </c>
      <c r="K293" s="36">
        <f>LEN(J293)</f>
        <v/>
      </c>
      <c r="L293" s="25" t="inlineStr">
        <is>
          <t>Term Life Insurance in Prince Edward Island: how it works under the PEI Superintendent, what drives price, instant estimates and advisors licensed in Prince Edward…</t>
        </is>
      </c>
      <c r="M293" s="36">
        <f>LEN(L293)</f>
        <v/>
      </c>
      <c r="N293" s="25" t="inlineStr">
        <is>
          <t>Term Life Insurance in Prince Edward Island</t>
        </is>
      </c>
      <c r="O293" s="36" t="n"/>
      <c r="P293" s="37" t="n"/>
      <c r="Q293" s="36" t="n"/>
      <c r="R293" s="36" t="inlineStr">
        <is>
          <t>term life insurance prince edward island</t>
        </is>
      </c>
      <c r="S293" s="36">
        <f>COUNTIF('Page-Keyword Map'!$A$2:$A$675,B293)</f>
        <v/>
      </c>
      <c r="T293" s="37">
        <f>SUMIF('Page-Keyword Map'!$A$2:$A$675,B293,'Page-Keyword Map'!$H$2:$H$675)</f>
        <v/>
      </c>
      <c r="U293" s="36">
        <f>COUNTIFS('Page-Keyword Map'!$A$2:$A$675,B293,'Page-Keyword Map'!$E$2:$E$675,"Nationwide")</f>
        <v/>
      </c>
      <c r="V293" s="36">
        <f>COUNTIFS('Page-Keyword Map'!$A$2:$A$675,B293,'Page-Keyword Map'!$E$2:$E$675,"Provincial")</f>
        <v/>
      </c>
      <c r="W293" s="36">
        <f>COUNTIFS('Page-Keyword Map'!$A$2:$A$675,B293,'Page-Keyword Map'!$E$2:$E$675,"City")</f>
        <v/>
      </c>
      <c r="X293" s="36">
        <f>IF(O293="","",IF(ISNUMBER(SEARCH(O293,J293)),"Yes","No"))</f>
        <v/>
      </c>
      <c r="Y293" s="36" t="n">
        <v>0.7</v>
      </c>
      <c r="Z293" s="36" t="inlineStr">
        <is>
          <t>sitemap-provinces.xml</t>
        </is>
      </c>
      <c r="AA293" s="36" t="inlineStr">
        <is>
          <t>Live – indexable</t>
        </is>
      </c>
      <c r="AB293" s="38" t="n"/>
      <c r="AC293" s="38" t="n"/>
    </row>
    <row r="294" ht="23.85" customHeight="1" s="22">
      <c r="A294" s="36" t="inlineStr">
        <is>
          <t>P0293</t>
        </is>
      </c>
      <c r="B294" s="36" t="inlineStr">
        <is>
          <t>https://instasure.ca/term-life-insurance/quebec/</t>
        </is>
      </c>
      <c r="C294" s="36" t="inlineStr">
        <is>
          <t>Product × province</t>
        </is>
      </c>
      <c r="D294" s="36" t="inlineStr">
        <is>
          <t>Life insurance</t>
        </is>
      </c>
      <c r="E294" s="36" t="inlineStr">
        <is>
          <t>Term Life Insurance</t>
        </is>
      </c>
      <c r="F294" s="36" t="n"/>
      <c r="G294" s="36" t="inlineStr">
        <is>
          <t>Quebec</t>
        </is>
      </c>
      <c r="H294" s="36" t="n"/>
      <c r="I294" s="36" t="inlineStr">
        <is>
          <t>Yes</t>
        </is>
      </c>
      <c r="J294" s="25" t="inlineStr">
        <is>
          <t>Term Life Insurance in Quebec: Costs, Rules &amp; Quotes (2026)</t>
        </is>
      </c>
      <c r="K294" s="36">
        <f>LEN(J294)</f>
        <v/>
      </c>
      <c r="L294" s="25" t="inlineStr">
        <is>
          <t>Term Life Insurance in Quebec: how it works under AMF, what drives price, instant estimates and a waitlist for licensed advice in Quebec.</t>
        </is>
      </c>
      <c r="M294" s="36">
        <f>LEN(L294)</f>
        <v/>
      </c>
      <c r="N294" s="25" t="inlineStr">
        <is>
          <t>Term Life Insurance in Quebec</t>
        </is>
      </c>
      <c r="O294" s="36" t="inlineStr">
        <is>
          <t>term life insurance quebec</t>
        </is>
      </c>
      <c r="P294" s="37" t="n">
        <v>43</v>
      </c>
      <c r="Q294" s="36" t="inlineStr">
        <is>
          <t>Provincial</t>
        </is>
      </c>
      <c r="R294" s="36" t="n"/>
      <c r="S294" s="36">
        <f>COUNTIF('Page-Keyword Map'!$A$2:$A$675,B294)</f>
        <v/>
      </c>
      <c r="T294" s="37">
        <f>SUMIF('Page-Keyword Map'!$A$2:$A$675,B294,'Page-Keyword Map'!$H$2:$H$675)</f>
        <v/>
      </c>
      <c r="U294" s="36">
        <f>COUNTIFS('Page-Keyword Map'!$A$2:$A$675,B294,'Page-Keyword Map'!$E$2:$E$675,"Nationwide")</f>
        <v/>
      </c>
      <c r="V294" s="36">
        <f>COUNTIFS('Page-Keyword Map'!$A$2:$A$675,B294,'Page-Keyword Map'!$E$2:$E$675,"Provincial")</f>
        <v/>
      </c>
      <c r="W294" s="36">
        <f>COUNTIFS('Page-Keyword Map'!$A$2:$A$675,B294,'Page-Keyword Map'!$E$2:$E$675,"City")</f>
        <v/>
      </c>
      <c r="X294" s="36">
        <f>IF(O294="","",IF(ISNUMBER(SEARCH(O294,J294)),"Yes","No"))</f>
        <v/>
      </c>
      <c r="Y294" s="36" t="n">
        <v>0.7</v>
      </c>
      <c r="Z294" s="36" t="inlineStr">
        <is>
          <t>sitemap-provinces.xml</t>
        </is>
      </c>
      <c r="AA294" s="36" t="inlineStr">
        <is>
          <t>Live – indexable</t>
        </is>
      </c>
      <c r="AB294" s="38" t="n"/>
      <c r="AC294" s="38" t="n"/>
    </row>
    <row r="295" ht="23.85" customHeight="1" s="22">
      <c r="A295" s="36" t="inlineStr">
        <is>
          <t>P0294</t>
        </is>
      </c>
      <c r="B295" s="36" t="inlineStr">
        <is>
          <t>https://instasure.ca/term-life-insurance/saskatchewan/</t>
        </is>
      </c>
      <c r="C295" s="36" t="inlineStr">
        <is>
          <t>Product × province</t>
        </is>
      </c>
      <c r="D295" s="36" t="inlineStr">
        <is>
          <t>Life insurance</t>
        </is>
      </c>
      <c r="E295" s="36" t="inlineStr">
        <is>
          <t>Term Life Insurance</t>
        </is>
      </c>
      <c r="F295" s="36" t="n"/>
      <c r="G295" s="36" t="inlineStr">
        <is>
          <t>Saskatchewan</t>
        </is>
      </c>
      <c r="H295" s="36" t="n"/>
      <c r="I295" s="36" t="inlineStr">
        <is>
          <t>Yes</t>
        </is>
      </c>
      <c r="J295" s="25" t="inlineStr">
        <is>
          <t>Term Life Insurance in Saskatchewan: Costs, Rules &amp; Quotes (2026)</t>
        </is>
      </c>
      <c r="K295" s="36">
        <f>LEN(J295)</f>
        <v/>
      </c>
      <c r="L295" s="25" t="inlineStr">
        <is>
          <t>Term Life Insurance in Saskatchewan: how it works under FCAA, what drives price, instant estimates and advisors licensed in Saskatchewan.</t>
        </is>
      </c>
      <c r="M295" s="36">
        <f>LEN(L295)</f>
        <v/>
      </c>
      <c r="N295" s="25" t="inlineStr">
        <is>
          <t>Term Life Insurance in Saskatchewan</t>
        </is>
      </c>
      <c r="O295" s="36" t="inlineStr">
        <is>
          <t>term life insurance saskatchewan</t>
        </is>
      </c>
      <c r="P295" s="37" t="n">
        <v>22</v>
      </c>
      <c r="Q295" s="36" t="inlineStr">
        <is>
          <t>Provincial</t>
        </is>
      </c>
      <c r="R295" s="36" t="n"/>
      <c r="S295" s="36">
        <f>COUNTIF('Page-Keyword Map'!$A$2:$A$675,B295)</f>
        <v/>
      </c>
      <c r="T295" s="37">
        <f>SUMIF('Page-Keyword Map'!$A$2:$A$675,B295,'Page-Keyword Map'!$H$2:$H$675)</f>
        <v/>
      </c>
      <c r="U295" s="36">
        <f>COUNTIFS('Page-Keyword Map'!$A$2:$A$675,B295,'Page-Keyword Map'!$E$2:$E$675,"Nationwide")</f>
        <v/>
      </c>
      <c r="V295" s="36">
        <f>COUNTIFS('Page-Keyword Map'!$A$2:$A$675,B295,'Page-Keyword Map'!$E$2:$E$675,"Provincial")</f>
        <v/>
      </c>
      <c r="W295" s="36">
        <f>COUNTIFS('Page-Keyword Map'!$A$2:$A$675,B295,'Page-Keyword Map'!$E$2:$E$675,"City")</f>
        <v/>
      </c>
      <c r="X295" s="36">
        <f>IF(O295="","",IF(ISNUMBER(SEARCH(O295,J295)),"Yes","No"))</f>
        <v/>
      </c>
      <c r="Y295" s="36" t="n">
        <v>0.7</v>
      </c>
      <c r="Z295" s="36" t="inlineStr">
        <is>
          <t>sitemap-provinces.xml</t>
        </is>
      </c>
      <c r="AA295" s="36" t="inlineStr">
        <is>
          <t>Live – indexable</t>
        </is>
      </c>
      <c r="AB295" s="38" t="n"/>
      <c r="AC295" s="38" t="n"/>
    </row>
    <row r="296" ht="23.85" customHeight="1" s="22">
      <c r="A296" s="36" t="inlineStr">
        <is>
          <t>P0295</t>
        </is>
      </c>
      <c r="B296" s="36" t="inlineStr">
        <is>
          <t>https://instasure.ca/term-life-insurance/yukon/</t>
        </is>
      </c>
      <c r="C296" s="36" t="inlineStr">
        <is>
          <t>Product × province</t>
        </is>
      </c>
      <c r="D296" s="36" t="inlineStr">
        <is>
          <t>Life insurance</t>
        </is>
      </c>
      <c r="E296" s="36" t="inlineStr">
        <is>
          <t>Term Life Insurance</t>
        </is>
      </c>
      <c r="F296" s="36" t="n"/>
      <c r="G296" s="36" t="inlineStr">
        <is>
          <t>Yukon</t>
        </is>
      </c>
      <c r="H296" s="36" t="n"/>
      <c r="I296" s="36" t="inlineStr">
        <is>
          <t>Yes</t>
        </is>
      </c>
      <c r="J296" s="25" t="inlineStr">
        <is>
          <t>Term Life Insurance in Yukon: Costs, Rules &amp; Quotes (2026)</t>
        </is>
      </c>
      <c r="K296" s="36">
        <f>LEN(J296)</f>
        <v/>
      </c>
      <c r="L296" s="25" t="inlineStr">
        <is>
          <t>Term Life Insurance in Yukon: how it works under the Yukon Superintendent, what drives price, instant estimates and a waitlist for licensed advice in Yukon.</t>
        </is>
      </c>
      <c r="M296" s="36">
        <f>LEN(L296)</f>
        <v/>
      </c>
      <c r="N296" s="25" t="inlineStr">
        <is>
          <t>Term Life Insurance in Yukon</t>
        </is>
      </c>
      <c r="O296" s="36" t="n"/>
      <c r="P296" s="37" t="n"/>
      <c r="Q296" s="36" t="n"/>
      <c r="R296" s="36" t="inlineStr">
        <is>
          <t>term life insurance yukon</t>
        </is>
      </c>
      <c r="S296" s="36">
        <f>COUNTIF('Page-Keyword Map'!$A$2:$A$675,B296)</f>
        <v/>
      </c>
      <c r="T296" s="37">
        <f>SUMIF('Page-Keyword Map'!$A$2:$A$675,B296,'Page-Keyword Map'!$H$2:$H$675)</f>
        <v/>
      </c>
      <c r="U296" s="36">
        <f>COUNTIFS('Page-Keyword Map'!$A$2:$A$675,B296,'Page-Keyword Map'!$E$2:$E$675,"Nationwide")</f>
        <v/>
      </c>
      <c r="V296" s="36">
        <f>COUNTIFS('Page-Keyword Map'!$A$2:$A$675,B296,'Page-Keyword Map'!$E$2:$E$675,"Provincial")</f>
        <v/>
      </c>
      <c r="W296" s="36">
        <f>COUNTIFS('Page-Keyword Map'!$A$2:$A$675,B296,'Page-Keyword Map'!$E$2:$E$675,"City")</f>
        <v/>
      </c>
      <c r="X296" s="36">
        <f>IF(O296="","",IF(ISNUMBER(SEARCH(O296,J296)),"Yes","No"))</f>
        <v/>
      </c>
      <c r="Y296" s="36" t="n">
        <v>0.7</v>
      </c>
      <c r="Z296" s="36" t="inlineStr">
        <is>
          <t>sitemap-provinces.xml</t>
        </is>
      </c>
      <c r="AA296" s="36" t="inlineStr">
        <is>
          <t>Live – indexable</t>
        </is>
      </c>
      <c r="AB296" s="38" t="n"/>
      <c r="AC296" s="38" t="n"/>
    </row>
    <row r="297" ht="23.85" customHeight="1" s="22">
      <c r="A297" s="36" t="inlineStr">
        <is>
          <t>P0296</t>
        </is>
      </c>
      <c r="B297" s="36" t="inlineStr">
        <is>
          <t>https://instasure.ca/travel-insurance/alberta/</t>
        </is>
      </c>
      <c r="C297" s="36" t="inlineStr">
        <is>
          <t>Product × province</t>
        </is>
      </c>
      <c r="D297" s="36" t="inlineStr">
        <is>
          <t>Travel insurance</t>
        </is>
      </c>
      <c r="E297" s="36" t="inlineStr">
        <is>
          <t>Travel Insurance</t>
        </is>
      </c>
      <c r="F297" s="36" t="n"/>
      <c r="G297" s="36" t="inlineStr">
        <is>
          <t>Alberta</t>
        </is>
      </c>
      <c r="H297" s="36" t="n"/>
      <c r="I297" s="36" t="inlineStr">
        <is>
          <t>Yes</t>
        </is>
      </c>
      <c r="J297" s="25" t="inlineStr">
        <is>
          <t>Travel Insurance in Alberta: Costs, Rules &amp; Quotes (2026)</t>
        </is>
      </c>
      <c r="K297" s="36">
        <f>LEN(J297)</f>
        <v/>
      </c>
      <c r="L297" s="25" t="inlineStr">
        <is>
          <t>Travel Insurance in Alberta: how it works under the Superintendent of Insurance, what drives price, instant estimates and advisors licensed in Alberta.</t>
        </is>
      </c>
      <c r="M297" s="36">
        <f>LEN(L297)</f>
        <v/>
      </c>
      <c r="N297" s="25" t="inlineStr">
        <is>
          <t>Travel Insurance in Alberta</t>
        </is>
      </c>
      <c r="O297" s="36" t="n"/>
      <c r="P297" s="37" t="n"/>
      <c r="Q297" s="36" t="n"/>
      <c r="R297" s="36" t="inlineStr">
        <is>
          <t>travel insurance alberta</t>
        </is>
      </c>
      <c r="S297" s="36">
        <f>COUNTIF('Page-Keyword Map'!$A$2:$A$675,B297)</f>
        <v/>
      </c>
      <c r="T297" s="37">
        <f>SUMIF('Page-Keyword Map'!$A$2:$A$675,B297,'Page-Keyword Map'!$H$2:$H$675)</f>
        <v/>
      </c>
      <c r="U297" s="36">
        <f>COUNTIFS('Page-Keyword Map'!$A$2:$A$675,B297,'Page-Keyword Map'!$E$2:$E$675,"Nationwide")</f>
        <v/>
      </c>
      <c r="V297" s="36">
        <f>COUNTIFS('Page-Keyword Map'!$A$2:$A$675,B297,'Page-Keyword Map'!$E$2:$E$675,"Provincial")</f>
        <v/>
      </c>
      <c r="W297" s="36">
        <f>COUNTIFS('Page-Keyword Map'!$A$2:$A$675,B297,'Page-Keyword Map'!$E$2:$E$675,"City")</f>
        <v/>
      </c>
      <c r="X297" s="36">
        <f>IF(O297="","",IF(ISNUMBER(SEARCH(O297,J297)),"Yes","No"))</f>
        <v/>
      </c>
      <c r="Y297" s="36" t="n">
        <v>0.7</v>
      </c>
      <c r="Z297" s="36" t="inlineStr">
        <is>
          <t>sitemap-provinces.xml</t>
        </is>
      </c>
      <c r="AA297" s="36" t="inlineStr">
        <is>
          <t>Live – indexable</t>
        </is>
      </c>
      <c r="AB297" s="38" t="n"/>
      <c r="AC297" s="38" t="n"/>
    </row>
    <row r="298" ht="23.85" customHeight="1" s="22">
      <c r="A298" s="36" t="inlineStr">
        <is>
          <t>P0297</t>
        </is>
      </c>
      <c r="B298" s="36" t="inlineStr">
        <is>
          <t>https://instasure.ca/travel-insurance/british-columbia/</t>
        </is>
      </c>
      <c r="C298" s="36" t="inlineStr">
        <is>
          <t>Product × province</t>
        </is>
      </c>
      <c r="D298" s="36" t="inlineStr">
        <is>
          <t>Travel insurance</t>
        </is>
      </c>
      <c r="E298" s="36" t="inlineStr">
        <is>
          <t>Travel Insurance</t>
        </is>
      </c>
      <c r="F298" s="36" t="n"/>
      <c r="G298" s="36" t="inlineStr">
        <is>
          <t>British Columbia</t>
        </is>
      </c>
      <c r="H298" s="36" t="n"/>
      <c r="I298" s="36" t="inlineStr">
        <is>
          <t>Yes</t>
        </is>
      </c>
      <c r="J298" s="25" t="inlineStr">
        <is>
          <t>Travel Insurance in British Columbia: Costs, Rules &amp; Quotes (2026)</t>
        </is>
      </c>
      <c r="K298" s="36">
        <f>LEN(J298)</f>
        <v/>
      </c>
      <c r="L298" s="25" t="inlineStr">
        <is>
          <t>Travel Insurance in British Columbia: how it works under BCFSA, what drives price, instant estimates and advisors licensed in British Columbia.</t>
        </is>
      </c>
      <c r="M298" s="36">
        <f>LEN(L298)</f>
        <v/>
      </c>
      <c r="N298" s="25" t="inlineStr">
        <is>
          <t>Travel Insurance in British Columbia</t>
        </is>
      </c>
      <c r="O298" s="36" t="n"/>
      <c r="P298" s="37" t="n"/>
      <c r="Q298" s="36" t="n"/>
      <c r="R298" s="36" t="inlineStr">
        <is>
          <t>travel insurance british columbia</t>
        </is>
      </c>
      <c r="S298" s="36">
        <f>COUNTIF('Page-Keyword Map'!$A$2:$A$675,B298)</f>
        <v/>
      </c>
      <c r="T298" s="37">
        <f>SUMIF('Page-Keyword Map'!$A$2:$A$675,B298,'Page-Keyword Map'!$H$2:$H$675)</f>
        <v/>
      </c>
      <c r="U298" s="36">
        <f>COUNTIFS('Page-Keyword Map'!$A$2:$A$675,B298,'Page-Keyword Map'!$E$2:$E$675,"Nationwide")</f>
        <v/>
      </c>
      <c r="V298" s="36">
        <f>COUNTIFS('Page-Keyword Map'!$A$2:$A$675,B298,'Page-Keyword Map'!$E$2:$E$675,"Provincial")</f>
        <v/>
      </c>
      <c r="W298" s="36">
        <f>COUNTIFS('Page-Keyword Map'!$A$2:$A$675,B298,'Page-Keyword Map'!$E$2:$E$675,"City")</f>
        <v/>
      </c>
      <c r="X298" s="36">
        <f>IF(O298="","",IF(ISNUMBER(SEARCH(O298,J298)),"Yes","No"))</f>
        <v/>
      </c>
      <c r="Y298" s="36" t="n">
        <v>0.7</v>
      </c>
      <c r="Z298" s="36" t="inlineStr">
        <is>
          <t>sitemap-provinces.xml</t>
        </is>
      </c>
      <c r="AA298" s="36" t="inlineStr">
        <is>
          <t>Live – indexable</t>
        </is>
      </c>
      <c r="AB298" s="38" t="n"/>
      <c r="AC298" s="38" t="n"/>
    </row>
    <row r="299" ht="23.85" customHeight="1" s="22">
      <c r="A299" s="36" t="inlineStr">
        <is>
          <t>P0298</t>
        </is>
      </c>
      <c r="B299" s="36" t="inlineStr">
        <is>
          <t>https://instasure.ca/travel-insurance/manitoba/</t>
        </is>
      </c>
      <c r="C299" s="36" t="inlineStr">
        <is>
          <t>Product × province</t>
        </is>
      </c>
      <c r="D299" s="36" t="inlineStr">
        <is>
          <t>Travel insurance</t>
        </is>
      </c>
      <c r="E299" s="36" t="inlineStr">
        <is>
          <t>Travel Insurance</t>
        </is>
      </c>
      <c r="F299" s="36" t="n"/>
      <c r="G299" s="36" t="inlineStr">
        <is>
          <t>Manitoba</t>
        </is>
      </c>
      <c r="H299" s="36" t="n"/>
      <c r="I299" s="36" t="inlineStr">
        <is>
          <t>Yes</t>
        </is>
      </c>
      <c r="J299" s="25" t="inlineStr">
        <is>
          <t>Travel Insurance in Manitoba: Costs, Rules &amp; Quotes (2026)</t>
        </is>
      </c>
      <c r="K299" s="36">
        <f>LEN(J299)</f>
        <v/>
      </c>
      <c r="L299" s="25" t="inlineStr">
        <is>
          <t>Travel Insurance in Manitoba: how it works under FIRB, what drives price, instant estimates and advisors licensed in Manitoba.</t>
        </is>
      </c>
      <c r="M299" s="36">
        <f>LEN(L299)</f>
        <v/>
      </c>
      <c r="N299" s="25" t="inlineStr">
        <is>
          <t>Travel Insurance in Manitoba</t>
        </is>
      </c>
      <c r="O299" s="36" t="n"/>
      <c r="P299" s="37" t="n"/>
      <c r="Q299" s="36" t="n"/>
      <c r="R299" s="36" t="inlineStr">
        <is>
          <t>travel insurance manitoba</t>
        </is>
      </c>
      <c r="S299" s="36">
        <f>COUNTIF('Page-Keyword Map'!$A$2:$A$675,B299)</f>
        <v/>
      </c>
      <c r="T299" s="37">
        <f>SUMIF('Page-Keyword Map'!$A$2:$A$675,B299,'Page-Keyword Map'!$H$2:$H$675)</f>
        <v/>
      </c>
      <c r="U299" s="36">
        <f>COUNTIFS('Page-Keyword Map'!$A$2:$A$675,B299,'Page-Keyword Map'!$E$2:$E$675,"Nationwide")</f>
        <v/>
      </c>
      <c r="V299" s="36">
        <f>COUNTIFS('Page-Keyword Map'!$A$2:$A$675,B299,'Page-Keyword Map'!$E$2:$E$675,"Provincial")</f>
        <v/>
      </c>
      <c r="W299" s="36">
        <f>COUNTIFS('Page-Keyword Map'!$A$2:$A$675,B299,'Page-Keyword Map'!$E$2:$E$675,"City")</f>
        <v/>
      </c>
      <c r="X299" s="36">
        <f>IF(O299="","",IF(ISNUMBER(SEARCH(O299,J299)),"Yes","No"))</f>
        <v/>
      </c>
      <c r="Y299" s="36" t="n">
        <v>0.7</v>
      </c>
      <c r="Z299" s="36" t="inlineStr">
        <is>
          <t>sitemap-provinces.xml</t>
        </is>
      </c>
      <c r="AA299" s="36" t="inlineStr">
        <is>
          <t>Live – indexable</t>
        </is>
      </c>
      <c r="AB299" s="38" t="n"/>
      <c r="AC299" s="38" t="n"/>
    </row>
    <row r="300" ht="23.85" customHeight="1" s="22">
      <c r="A300" s="36" t="inlineStr">
        <is>
          <t>P0299</t>
        </is>
      </c>
      <c r="B300" s="36" t="inlineStr">
        <is>
          <t>https://instasure.ca/travel-insurance/new-brunswick/</t>
        </is>
      </c>
      <c r="C300" s="36" t="inlineStr">
        <is>
          <t>Product × province</t>
        </is>
      </c>
      <c r="D300" s="36" t="inlineStr">
        <is>
          <t>Travel insurance</t>
        </is>
      </c>
      <c r="E300" s="36" t="inlineStr">
        <is>
          <t>Travel Insurance</t>
        </is>
      </c>
      <c r="F300" s="36" t="n"/>
      <c r="G300" s="36" t="inlineStr">
        <is>
          <t>New Brunswick</t>
        </is>
      </c>
      <c r="H300" s="36" t="n"/>
      <c r="I300" s="36" t="inlineStr">
        <is>
          <t>Yes</t>
        </is>
      </c>
      <c r="J300" s="25" t="inlineStr">
        <is>
          <t>Travel Insurance in New Brunswick: Costs, Rules &amp; Quotes (2026)</t>
        </is>
      </c>
      <c r="K300" s="36">
        <f>LEN(J300)</f>
        <v/>
      </c>
      <c r="L300" s="25" t="inlineStr">
        <is>
          <t>Travel Insurance in New Brunswick: how it works under FCNB, what drives price, instant estimates and advisors licensed in New Brunswick.</t>
        </is>
      </c>
      <c r="M300" s="36">
        <f>LEN(L300)</f>
        <v/>
      </c>
      <c r="N300" s="25" t="inlineStr">
        <is>
          <t>Travel Insurance in New Brunswick</t>
        </is>
      </c>
      <c r="O300" s="36" t="n"/>
      <c r="P300" s="37" t="n"/>
      <c r="Q300" s="36" t="n"/>
      <c r="R300" s="36" t="inlineStr">
        <is>
          <t>travel insurance new brunswick</t>
        </is>
      </c>
      <c r="S300" s="36">
        <f>COUNTIF('Page-Keyword Map'!$A$2:$A$675,B300)</f>
        <v/>
      </c>
      <c r="T300" s="37">
        <f>SUMIF('Page-Keyword Map'!$A$2:$A$675,B300,'Page-Keyword Map'!$H$2:$H$675)</f>
        <v/>
      </c>
      <c r="U300" s="36">
        <f>COUNTIFS('Page-Keyword Map'!$A$2:$A$675,B300,'Page-Keyword Map'!$E$2:$E$675,"Nationwide")</f>
        <v/>
      </c>
      <c r="V300" s="36">
        <f>COUNTIFS('Page-Keyword Map'!$A$2:$A$675,B300,'Page-Keyword Map'!$E$2:$E$675,"Provincial")</f>
        <v/>
      </c>
      <c r="W300" s="36">
        <f>COUNTIFS('Page-Keyword Map'!$A$2:$A$675,B300,'Page-Keyword Map'!$E$2:$E$675,"City")</f>
        <v/>
      </c>
      <c r="X300" s="36">
        <f>IF(O300="","",IF(ISNUMBER(SEARCH(O300,J300)),"Yes","No"))</f>
        <v/>
      </c>
      <c r="Y300" s="36" t="n">
        <v>0.7</v>
      </c>
      <c r="Z300" s="36" t="inlineStr">
        <is>
          <t>sitemap-provinces.xml</t>
        </is>
      </c>
      <c r="AA300" s="36" t="inlineStr">
        <is>
          <t>Live – indexable</t>
        </is>
      </c>
      <c r="AB300" s="38" t="n"/>
      <c r="AC300" s="38" t="n"/>
    </row>
    <row r="301" ht="23.85" customHeight="1" s="22">
      <c r="A301" s="36" t="inlineStr">
        <is>
          <t>P0300</t>
        </is>
      </c>
      <c r="B301" s="36" t="inlineStr">
        <is>
          <t>https://instasure.ca/travel-insurance/newfoundland-and-labrador/</t>
        </is>
      </c>
      <c r="C301" s="36" t="inlineStr">
        <is>
          <t>Product × province</t>
        </is>
      </c>
      <c r="D301" s="36" t="inlineStr">
        <is>
          <t>Travel insurance</t>
        </is>
      </c>
      <c r="E301" s="36" t="inlineStr">
        <is>
          <t>Travel Insurance</t>
        </is>
      </c>
      <c r="F301" s="36" t="n"/>
      <c r="G301" s="36" t="inlineStr">
        <is>
          <t>Newfoundland and Labrador</t>
        </is>
      </c>
      <c r="H301" s="36" t="n"/>
      <c r="I301" s="36" t="inlineStr">
        <is>
          <t>Yes</t>
        </is>
      </c>
      <c r="J301" s="25" t="inlineStr">
        <is>
          <t>Travel Insurance in Newfoundland and Labrador: Costs, Rules &amp; Quotes (2026)</t>
        </is>
      </c>
      <c r="K301" s="36">
        <f>LEN(J301)</f>
        <v/>
      </c>
      <c r="L301" s="25" t="inlineStr">
        <is>
          <t>Travel Insurance in Newfoundland and Labrador: how it works under Service NL, what drives price, instant estimates and advisors licensed in Newfoundland and…</t>
        </is>
      </c>
      <c r="M301" s="36">
        <f>LEN(L301)</f>
        <v/>
      </c>
      <c r="N301" s="25" t="inlineStr">
        <is>
          <t>Travel Insurance in Newfoundland and Labrador</t>
        </is>
      </c>
      <c r="O301" s="36" t="n"/>
      <c r="P301" s="37" t="n"/>
      <c r="Q301" s="36" t="n"/>
      <c r="R301" s="36" t="inlineStr">
        <is>
          <t>travel insurance newfoundland and labrador</t>
        </is>
      </c>
      <c r="S301" s="36">
        <f>COUNTIF('Page-Keyword Map'!$A$2:$A$675,B301)</f>
        <v/>
      </c>
      <c r="T301" s="37">
        <f>SUMIF('Page-Keyword Map'!$A$2:$A$675,B301,'Page-Keyword Map'!$H$2:$H$675)</f>
        <v/>
      </c>
      <c r="U301" s="36">
        <f>COUNTIFS('Page-Keyword Map'!$A$2:$A$675,B301,'Page-Keyword Map'!$E$2:$E$675,"Nationwide")</f>
        <v/>
      </c>
      <c r="V301" s="36">
        <f>COUNTIFS('Page-Keyword Map'!$A$2:$A$675,B301,'Page-Keyword Map'!$E$2:$E$675,"Provincial")</f>
        <v/>
      </c>
      <c r="W301" s="36">
        <f>COUNTIFS('Page-Keyword Map'!$A$2:$A$675,B301,'Page-Keyword Map'!$E$2:$E$675,"City")</f>
        <v/>
      </c>
      <c r="X301" s="36">
        <f>IF(O301="","",IF(ISNUMBER(SEARCH(O301,J301)),"Yes","No"))</f>
        <v/>
      </c>
      <c r="Y301" s="36" t="n">
        <v>0.7</v>
      </c>
      <c r="Z301" s="36" t="inlineStr">
        <is>
          <t>sitemap-provinces.xml</t>
        </is>
      </c>
      <c r="AA301" s="36" t="inlineStr">
        <is>
          <t>Live – indexable</t>
        </is>
      </c>
      <c r="AB301" s="38" t="n"/>
      <c r="AC301" s="38" t="n"/>
    </row>
    <row r="302" ht="23.85" customHeight="1" s="22">
      <c r="A302" s="36" t="inlineStr">
        <is>
          <t>P0301</t>
        </is>
      </c>
      <c r="B302" s="36" t="inlineStr">
        <is>
          <t>https://instasure.ca/travel-insurance/northwest-territories/</t>
        </is>
      </c>
      <c r="C302" s="36" t="inlineStr">
        <is>
          <t>Product × province</t>
        </is>
      </c>
      <c r="D302" s="36" t="inlineStr">
        <is>
          <t>Travel insurance</t>
        </is>
      </c>
      <c r="E302" s="36" t="inlineStr">
        <is>
          <t>Travel Insurance</t>
        </is>
      </c>
      <c r="F302" s="36" t="n"/>
      <c r="G302" s="36" t="inlineStr">
        <is>
          <t>Northwest Territories</t>
        </is>
      </c>
      <c r="H302" s="36" t="n"/>
      <c r="I302" s="36" t="inlineStr">
        <is>
          <t>Yes</t>
        </is>
      </c>
      <c r="J302" s="25" t="inlineStr">
        <is>
          <t>Travel Insurance in Northwest Territories: Costs, Rules &amp; Quotes (2026)</t>
        </is>
      </c>
      <c r="K302" s="36">
        <f>LEN(J302)</f>
        <v/>
      </c>
      <c r="L302" s="25" t="inlineStr">
        <is>
          <t>Travel Insurance in Northwest Territories: how it works under the NWT Superintendent, what drives price, instant estimates and a waitlist for licensed advice in…</t>
        </is>
      </c>
      <c r="M302" s="36">
        <f>LEN(L302)</f>
        <v/>
      </c>
      <c r="N302" s="25" t="inlineStr">
        <is>
          <t>Travel Insurance in Northwest Territories</t>
        </is>
      </c>
      <c r="O302" s="36" t="n"/>
      <c r="P302" s="37" t="n"/>
      <c r="Q302" s="36" t="n"/>
      <c r="R302" s="36" t="inlineStr">
        <is>
          <t>travel insurance northwest territories</t>
        </is>
      </c>
      <c r="S302" s="36">
        <f>COUNTIF('Page-Keyword Map'!$A$2:$A$675,B302)</f>
        <v/>
      </c>
      <c r="T302" s="37">
        <f>SUMIF('Page-Keyword Map'!$A$2:$A$675,B302,'Page-Keyword Map'!$H$2:$H$675)</f>
        <v/>
      </c>
      <c r="U302" s="36">
        <f>COUNTIFS('Page-Keyword Map'!$A$2:$A$675,B302,'Page-Keyword Map'!$E$2:$E$675,"Nationwide")</f>
        <v/>
      </c>
      <c r="V302" s="36">
        <f>COUNTIFS('Page-Keyword Map'!$A$2:$A$675,B302,'Page-Keyword Map'!$E$2:$E$675,"Provincial")</f>
        <v/>
      </c>
      <c r="W302" s="36">
        <f>COUNTIFS('Page-Keyword Map'!$A$2:$A$675,B302,'Page-Keyword Map'!$E$2:$E$675,"City")</f>
        <v/>
      </c>
      <c r="X302" s="36">
        <f>IF(O302="","",IF(ISNUMBER(SEARCH(O302,J302)),"Yes","No"))</f>
        <v/>
      </c>
      <c r="Y302" s="36" t="n">
        <v>0.7</v>
      </c>
      <c r="Z302" s="36" t="inlineStr">
        <is>
          <t>sitemap-provinces.xml</t>
        </is>
      </c>
      <c r="AA302" s="36" t="inlineStr">
        <is>
          <t>Live – indexable</t>
        </is>
      </c>
      <c r="AB302" s="38" t="n"/>
      <c r="AC302" s="38" t="n"/>
    </row>
    <row r="303" ht="23.85" customHeight="1" s="22">
      <c r="A303" s="36" t="inlineStr">
        <is>
          <t>P0302</t>
        </is>
      </c>
      <c r="B303" s="36" t="inlineStr">
        <is>
          <t>https://instasure.ca/travel-insurance/nova-scotia/</t>
        </is>
      </c>
      <c r="C303" s="36" t="inlineStr">
        <is>
          <t>Product × province</t>
        </is>
      </c>
      <c r="D303" s="36" t="inlineStr">
        <is>
          <t>Travel insurance</t>
        </is>
      </c>
      <c r="E303" s="36" t="inlineStr">
        <is>
          <t>Travel Insurance</t>
        </is>
      </c>
      <c r="F303" s="36" t="n"/>
      <c r="G303" s="36" t="inlineStr">
        <is>
          <t>Nova Scotia</t>
        </is>
      </c>
      <c r="H303" s="36" t="n"/>
      <c r="I303" s="36" t="inlineStr">
        <is>
          <t>Yes</t>
        </is>
      </c>
      <c r="J303" s="25" t="inlineStr">
        <is>
          <t>Travel Insurance in Nova Scotia: Costs, Rules &amp; Quotes (2026)</t>
        </is>
      </c>
      <c r="K303" s="36">
        <f>LEN(J303)</f>
        <v/>
      </c>
      <c r="L303" s="25" t="inlineStr">
        <is>
          <t>Travel Insurance in Nova Scotia: how it works under the NS Superintendent of Insurance, what drives price, instant estimates and advisors licensed in Nova Scotia.</t>
        </is>
      </c>
      <c r="M303" s="36">
        <f>LEN(L303)</f>
        <v/>
      </c>
      <c r="N303" s="25" t="inlineStr">
        <is>
          <t>Travel Insurance in Nova Scotia</t>
        </is>
      </c>
      <c r="O303" s="36" t="n"/>
      <c r="P303" s="37" t="n"/>
      <c r="Q303" s="36" t="n"/>
      <c r="R303" s="36" t="inlineStr">
        <is>
          <t>travel insurance nova scotia</t>
        </is>
      </c>
      <c r="S303" s="36">
        <f>COUNTIF('Page-Keyword Map'!$A$2:$A$675,B303)</f>
        <v/>
      </c>
      <c r="T303" s="37">
        <f>SUMIF('Page-Keyword Map'!$A$2:$A$675,B303,'Page-Keyword Map'!$H$2:$H$675)</f>
        <v/>
      </c>
      <c r="U303" s="36">
        <f>COUNTIFS('Page-Keyword Map'!$A$2:$A$675,B303,'Page-Keyword Map'!$E$2:$E$675,"Nationwide")</f>
        <v/>
      </c>
      <c r="V303" s="36">
        <f>COUNTIFS('Page-Keyword Map'!$A$2:$A$675,B303,'Page-Keyword Map'!$E$2:$E$675,"Provincial")</f>
        <v/>
      </c>
      <c r="W303" s="36">
        <f>COUNTIFS('Page-Keyword Map'!$A$2:$A$675,B303,'Page-Keyword Map'!$E$2:$E$675,"City")</f>
        <v/>
      </c>
      <c r="X303" s="36">
        <f>IF(O303="","",IF(ISNUMBER(SEARCH(O303,J303)),"Yes","No"))</f>
        <v/>
      </c>
      <c r="Y303" s="36" t="n">
        <v>0.7</v>
      </c>
      <c r="Z303" s="36" t="inlineStr">
        <is>
          <t>sitemap-provinces.xml</t>
        </is>
      </c>
      <c r="AA303" s="36" t="inlineStr">
        <is>
          <t>Live – indexable</t>
        </is>
      </c>
      <c r="AB303" s="38" t="n"/>
      <c r="AC303" s="38" t="n"/>
    </row>
    <row r="304" ht="23.85" customHeight="1" s="22">
      <c r="A304" s="36" t="inlineStr">
        <is>
          <t>P0303</t>
        </is>
      </c>
      <c r="B304" s="36" t="inlineStr">
        <is>
          <t>https://instasure.ca/travel-insurance/nunavut/</t>
        </is>
      </c>
      <c r="C304" s="36" t="inlineStr">
        <is>
          <t>Product × province</t>
        </is>
      </c>
      <c r="D304" s="36" t="inlineStr">
        <is>
          <t>Travel insurance</t>
        </is>
      </c>
      <c r="E304" s="36" t="inlineStr">
        <is>
          <t>Travel Insurance</t>
        </is>
      </c>
      <c r="F304" s="36" t="n"/>
      <c r="G304" s="36" t="inlineStr">
        <is>
          <t>Nunavut</t>
        </is>
      </c>
      <c r="H304" s="36" t="n"/>
      <c r="I304" s="36" t="inlineStr">
        <is>
          <t>Yes</t>
        </is>
      </c>
      <c r="J304" s="25" t="inlineStr">
        <is>
          <t>Travel Insurance in Nunavut: Costs, Rules &amp; Quotes (2026)</t>
        </is>
      </c>
      <c r="K304" s="36">
        <f>LEN(J304)</f>
        <v/>
      </c>
      <c r="L304" s="25" t="inlineStr">
        <is>
          <t>Travel Insurance in Nunavut: how it works under the Nunavut Superintendent, what drives price, instant estimates and a waitlist for licensed advice in Nunavut.</t>
        </is>
      </c>
      <c r="M304" s="36">
        <f>LEN(L304)</f>
        <v/>
      </c>
      <c r="N304" s="25" t="inlineStr">
        <is>
          <t>Travel Insurance in Nunavut</t>
        </is>
      </c>
      <c r="O304" s="36" t="n"/>
      <c r="P304" s="37" t="n"/>
      <c r="Q304" s="36" t="n"/>
      <c r="R304" s="36" t="inlineStr">
        <is>
          <t>travel insurance nunavut</t>
        </is>
      </c>
      <c r="S304" s="36">
        <f>COUNTIF('Page-Keyword Map'!$A$2:$A$675,B304)</f>
        <v/>
      </c>
      <c r="T304" s="37">
        <f>SUMIF('Page-Keyword Map'!$A$2:$A$675,B304,'Page-Keyword Map'!$H$2:$H$675)</f>
        <v/>
      </c>
      <c r="U304" s="36">
        <f>COUNTIFS('Page-Keyword Map'!$A$2:$A$675,B304,'Page-Keyword Map'!$E$2:$E$675,"Nationwide")</f>
        <v/>
      </c>
      <c r="V304" s="36">
        <f>COUNTIFS('Page-Keyword Map'!$A$2:$A$675,B304,'Page-Keyword Map'!$E$2:$E$675,"Provincial")</f>
        <v/>
      </c>
      <c r="W304" s="36">
        <f>COUNTIFS('Page-Keyword Map'!$A$2:$A$675,B304,'Page-Keyword Map'!$E$2:$E$675,"City")</f>
        <v/>
      </c>
      <c r="X304" s="36">
        <f>IF(O304="","",IF(ISNUMBER(SEARCH(O304,J304)),"Yes","No"))</f>
        <v/>
      </c>
      <c r="Y304" s="36" t="n">
        <v>0.7</v>
      </c>
      <c r="Z304" s="36" t="inlineStr">
        <is>
          <t>sitemap-provinces.xml</t>
        </is>
      </c>
      <c r="AA304" s="36" t="inlineStr">
        <is>
          <t>Live – indexable</t>
        </is>
      </c>
      <c r="AB304" s="38" t="n"/>
      <c r="AC304" s="38" t="n"/>
    </row>
    <row r="305" ht="23.85" customHeight="1" s="22">
      <c r="A305" s="36" t="inlineStr">
        <is>
          <t>P0304</t>
        </is>
      </c>
      <c r="B305" s="36" t="inlineStr">
        <is>
          <t>https://instasure.ca/travel-insurance/ontario/</t>
        </is>
      </c>
      <c r="C305" s="36" t="inlineStr">
        <is>
          <t>Product × province</t>
        </is>
      </c>
      <c r="D305" s="36" t="inlineStr">
        <is>
          <t>Travel insurance</t>
        </is>
      </c>
      <c r="E305" s="36" t="inlineStr">
        <is>
          <t>Travel Insurance</t>
        </is>
      </c>
      <c r="F305" s="36" t="n"/>
      <c r="G305" s="36" t="inlineStr">
        <is>
          <t>Ontario</t>
        </is>
      </c>
      <c r="H305" s="36" t="n"/>
      <c r="I305" s="36" t="inlineStr">
        <is>
          <t>Yes</t>
        </is>
      </c>
      <c r="J305" s="25" t="inlineStr">
        <is>
          <t>Travel Insurance in Ontario: Costs, Rules &amp; Quotes (2026)</t>
        </is>
      </c>
      <c r="K305" s="36">
        <f>LEN(J305)</f>
        <v/>
      </c>
      <c r="L305" s="25" t="inlineStr">
        <is>
          <t>Travel Insurance in Ontario: how it works under FSRA, what drives price, instant estimates and advisors licensed in Ontario.</t>
        </is>
      </c>
      <c r="M305" s="36">
        <f>LEN(L305)</f>
        <v/>
      </c>
      <c r="N305" s="25" t="inlineStr">
        <is>
          <t>Travel Insurance in Ontario</t>
        </is>
      </c>
      <c r="O305" s="36" t="n"/>
      <c r="P305" s="37" t="n"/>
      <c r="Q305" s="36" t="n"/>
      <c r="R305" s="36" t="inlineStr">
        <is>
          <t>travel insurance ontario</t>
        </is>
      </c>
      <c r="S305" s="36">
        <f>COUNTIF('Page-Keyword Map'!$A$2:$A$675,B305)</f>
        <v/>
      </c>
      <c r="T305" s="37">
        <f>SUMIF('Page-Keyword Map'!$A$2:$A$675,B305,'Page-Keyword Map'!$H$2:$H$675)</f>
        <v/>
      </c>
      <c r="U305" s="36">
        <f>COUNTIFS('Page-Keyword Map'!$A$2:$A$675,B305,'Page-Keyword Map'!$E$2:$E$675,"Nationwide")</f>
        <v/>
      </c>
      <c r="V305" s="36">
        <f>COUNTIFS('Page-Keyword Map'!$A$2:$A$675,B305,'Page-Keyword Map'!$E$2:$E$675,"Provincial")</f>
        <v/>
      </c>
      <c r="W305" s="36">
        <f>COUNTIFS('Page-Keyword Map'!$A$2:$A$675,B305,'Page-Keyword Map'!$E$2:$E$675,"City")</f>
        <v/>
      </c>
      <c r="X305" s="36">
        <f>IF(O305="","",IF(ISNUMBER(SEARCH(O305,J305)),"Yes","No"))</f>
        <v/>
      </c>
      <c r="Y305" s="36" t="n">
        <v>0.7</v>
      </c>
      <c r="Z305" s="36" t="inlineStr">
        <is>
          <t>sitemap-provinces.xml</t>
        </is>
      </c>
      <c r="AA305" s="36" t="inlineStr">
        <is>
          <t>Live – indexable</t>
        </is>
      </c>
      <c r="AB305" s="38" t="n"/>
      <c r="AC305" s="38" t="n"/>
    </row>
    <row r="306" ht="23.85" customHeight="1" s="22">
      <c r="A306" s="36" t="inlineStr">
        <is>
          <t>P0305</t>
        </is>
      </c>
      <c r="B306" s="36" t="inlineStr">
        <is>
          <t>https://instasure.ca/travel-insurance/prince-edward-island/</t>
        </is>
      </c>
      <c r="C306" s="36" t="inlineStr">
        <is>
          <t>Product × province</t>
        </is>
      </c>
      <c r="D306" s="36" t="inlineStr">
        <is>
          <t>Travel insurance</t>
        </is>
      </c>
      <c r="E306" s="36" t="inlineStr">
        <is>
          <t>Travel Insurance</t>
        </is>
      </c>
      <c r="F306" s="36" t="n"/>
      <c r="G306" s="36" t="inlineStr">
        <is>
          <t>Prince Edward Island</t>
        </is>
      </c>
      <c r="H306" s="36" t="n"/>
      <c r="I306" s="36" t="inlineStr">
        <is>
          <t>Yes</t>
        </is>
      </c>
      <c r="J306" s="25" t="inlineStr">
        <is>
          <t>Travel Insurance in Prince Edward Island: Costs, Rules &amp; Quotes (2026)</t>
        </is>
      </c>
      <c r="K306" s="36">
        <f>LEN(J306)</f>
        <v/>
      </c>
      <c r="L306" s="25" t="inlineStr">
        <is>
          <t>Travel Insurance in Prince Edward Island: how it works under the PEI Superintendent, what drives price, instant estimates and advisors licensed in Prince Edward…</t>
        </is>
      </c>
      <c r="M306" s="36">
        <f>LEN(L306)</f>
        <v/>
      </c>
      <c r="N306" s="25" t="inlineStr">
        <is>
          <t>Travel Insurance in Prince Edward Island</t>
        </is>
      </c>
      <c r="O306" s="36" t="n"/>
      <c r="P306" s="37" t="n"/>
      <c r="Q306" s="36" t="n"/>
      <c r="R306" s="36" t="inlineStr">
        <is>
          <t>travel insurance prince edward island</t>
        </is>
      </c>
      <c r="S306" s="36">
        <f>COUNTIF('Page-Keyword Map'!$A$2:$A$675,B306)</f>
        <v/>
      </c>
      <c r="T306" s="37">
        <f>SUMIF('Page-Keyword Map'!$A$2:$A$675,B306,'Page-Keyword Map'!$H$2:$H$675)</f>
        <v/>
      </c>
      <c r="U306" s="36">
        <f>COUNTIFS('Page-Keyword Map'!$A$2:$A$675,B306,'Page-Keyword Map'!$E$2:$E$675,"Nationwide")</f>
        <v/>
      </c>
      <c r="V306" s="36">
        <f>COUNTIFS('Page-Keyword Map'!$A$2:$A$675,B306,'Page-Keyword Map'!$E$2:$E$675,"Provincial")</f>
        <v/>
      </c>
      <c r="W306" s="36">
        <f>COUNTIFS('Page-Keyword Map'!$A$2:$A$675,B306,'Page-Keyword Map'!$E$2:$E$675,"City")</f>
        <v/>
      </c>
      <c r="X306" s="36">
        <f>IF(O306="","",IF(ISNUMBER(SEARCH(O306,J306)),"Yes","No"))</f>
        <v/>
      </c>
      <c r="Y306" s="36" t="n">
        <v>0.7</v>
      </c>
      <c r="Z306" s="36" t="inlineStr">
        <is>
          <t>sitemap-provinces.xml</t>
        </is>
      </c>
      <c r="AA306" s="36" t="inlineStr">
        <is>
          <t>Live – indexable</t>
        </is>
      </c>
      <c r="AB306" s="38" t="n"/>
      <c r="AC306" s="38" t="n"/>
    </row>
    <row r="307" ht="23.85" customHeight="1" s="22">
      <c r="A307" s="36" t="inlineStr">
        <is>
          <t>P0306</t>
        </is>
      </c>
      <c r="B307" s="36" t="inlineStr">
        <is>
          <t>https://instasure.ca/travel-insurance/quebec/</t>
        </is>
      </c>
      <c r="C307" s="36" t="inlineStr">
        <is>
          <t>Product × province</t>
        </is>
      </c>
      <c r="D307" s="36" t="inlineStr">
        <is>
          <t>Travel insurance</t>
        </is>
      </c>
      <c r="E307" s="36" t="inlineStr">
        <is>
          <t>Travel Insurance</t>
        </is>
      </c>
      <c r="F307" s="36" t="n"/>
      <c r="G307" s="36" t="inlineStr">
        <is>
          <t>Quebec</t>
        </is>
      </c>
      <c r="H307" s="36" t="n"/>
      <c r="I307" s="36" t="inlineStr">
        <is>
          <t>Yes</t>
        </is>
      </c>
      <c r="J307" s="25" t="inlineStr">
        <is>
          <t>Travel Insurance in Quebec: Costs, Rules &amp; Quotes (2026)</t>
        </is>
      </c>
      <c r="K307" s="36">
        <f>LEN(J307)</f>
        <v/>
      </c>
      <c r="L307" s="25" t="inlineStr">
        <is>
          <t>Travel Insurance in Quebec: how it works under AMF, what drives price, instant estimates and a waitlist for licensed advice in Quebec.</t>
        </is>
      </c>
      <c r="M307" s="36">
        <f>LEN(L307)</f>
        <v/>
      </c>
      <c r="N307" s="25" t="inlineStr">
        <is>
          <t>Travel Insurance in Quebec</t>
        </is>
      </c>
      <c r="O307" s="36" t="n"/>
      <c r="P307" s="37" t="n"/>
      <c r="Q307" s="36" t="n"/>
      <c r="R307" s="36" t="inlineStr">
        <is>
          <t>travel insurance quebec</t>
        </is>
      </c>
      <c r="S307" s="36">
        <f>COUNTIF('Page-Keyword Map'!$A$2:$A$675,B307)</f>
        <v/>
      </c>
      <c r="T307" s="37">
        <f>SUMIF('Page-Keyword Map'!$A$2:$A$675,B307,'Page-Keyword Map'!$H$2:$H$675)</f>
        <v/>
      </c>
      <c r="U307" s="36">
        <f>COUNTIFS('Page-Keyword Map'!$A$2:$A$675,B307,'Page-Keyword Map'!$E$2:$E$675,"Nationwide")</f>
        <v/>
      </c>
      <c r="V307" s="36">
        <f>COUNTIFS('Page-Keyword Map'!$A$2:$A$675,B307,'Page-Keyword Map'!$E$2:$E$675,"Provincial")</f>
        <v/>
      </c>
      <c r="W307" s="36">
        <f>COUNTIFS('Page-Keyword Map'!$A$2:$A$675,B307,'Page-Keyword Map'!$E$2:$E$675,"City")</f>
        <v/>
      </c>
      <c r="X307" s="36">
        <f>IF(O307="","",IF(ISNUMBER(SEARCH(O307,J307)),"Yes","No"))</f>
        <v/>
      </c>
      <c r="Y307" s="36" t="n">
        <v>0.7</v>
      </c>
      <c r="Z307" s="36" t="inlineStr">
        <is>
          <t>sitemap-provinces.xml</t>
        </is>
      </c>
      <c r="AA307" s="36" t="inlineStr">
        <is>
          <t>Live – indexable</t>
        </is>
      </c>
      <c r="AB307" s="38" t="n"/>
      <c r="AC307" s="38" t="n"/>
    </row>
    <row r="308" ht="23.85" customHeight="1" s="22">
      <c r="A308" s="36" t="inlineStr">
        <is>
          <t>P0307</t>
        </is>
      </c>
      <c r="B308" s="36" t="inlineStr">
        <is>
          <t>https://instasure.ca/travel-insurance/saskatchewan/</t>
        </is>
      </c>
      <c r="C308" s="36" t="inlineStr">
        <is>
          <t>Product × province</t>
        </is>
      </c>
      <c r="D308" s="36" t="inlineStr">
        <is>
          <t>Travel insurance</t>
        </is>
      </c>
      <c r="E308" s="36" t="inlineStr">
        <is>
          <t>Travel Insurance</t>
        </is>
      </c>
      <c r="F308" s="36" t="n"/>
      <c r="G308" s="36" t="inlineStr">
        <is>
          <t>Saskatchewan</t>
        </is>
      </c>
      <c r="H308" s="36" t="n"/>
      <c r="I308" s="36" t="inlineStr">
        <is>
          <t>Yes</t>
        </is>
      </c>
      <c r="J308" s="25" t="inlineStr">
        <is>
          <t>Travel Insurance in Saskatchewan: Costs, Rules &amp; Quotes (2026)</t>
        </is>
      </c>
      <c r="K308" s="36">
        <f>LEN(J308)</f>
        <v/>
      </c>
      <c r="L308" s="25" t="inlineStr">
        <is>
          <t>Travel Insurance in Saskatchewan: how it works under FCAA, what drives price, instant estimates and advisors licensed in Saskatchewan.</t>
        </is>
      </c>
      <c r="M308" s="36">
        <f>LEN(L308)</f>
        <v/>
      </c>
      <c r="N308" s="25" t="inlineStr">
        <is>
          <t>Travel Insurance in Saskatchewan</t>
        </is>
      </c>
      <c r="O308" s="36" t="n"/>
      <c r="P308" s="37" t="n"/>
      <c r="Q308" s="36" t="n"/>
      <c r="R308" s="36" t="inlineStr">
        <is>
          <t>travel insurance saskatchewan</t>
        </is>
      </c>
      <c r="S308" s="36">
        <f>COUNTIF('Page-Keyword Map'!$A$2:$A$675,B308)</f>
        <v/>
      </c>
      <c r="T308" s="37">
        <f>SUMIF('Page-Keyword Map'!$A$2:$A$675,B308,'Page-Keyword Map'!$H$2:$H$675)</f>
        <v/>
      </c>
      <c r="U308" s="36">
        <f>COUNTIFS('Page-Keyword Map'!$A$2:$A$675,B308,'Page-Keyword Map'!$E$2:$E$675,"Nationwide")</f>
        <v/>
      </c>
      <c r="V308" s="36">
        <f>COUNTIFS('Page-Keyword Map'!$A$2:$A$675,B308,'Page-Keyword Map'!$E$2:$E$675,"Provincial")</f>
        <v/>
      </c>
      <c r="W308" s="36">
        <f>COUNTIFS('Page-Keyword Map'!$A$2:$A$675,B308,'Page-Keyword Map'!$E$2:$E$675,"City")</f>
        <v/>
      </c>
      <c r="X308" s="36">
        <f>IF(O308="","",IF(ISNUMBER(SEARCH(O308,J308)),"Yes","No"))</f>
        <v/>
      </c>
      <c r="Y308" s="36" t="n">
        <v>0.7</v>
      </c>
      <c r="Z308" s="36" t="inlineStr">
        <is>
          <t>sitemap-provinces.xml</t>
        </is>
      </c>
      <c r="AA308" s="36" t="inlineStr">
        <is>
          <t>Live – indexable</t>
        </is>
      </c>
      <c r="AB308" s="38" t="n"/>
      <c r="AC308" s="38" t="n"/>
    </row>
    <row r="309" ht="23.85" customHeight="1" s="22">
      <c r="A309" s="36" t="inlineStr">
        <is>
          <t>P0308</t>
        </is>
      </c>
      <c r="B309" s="36" t="inlineStr">
        <is>
          <t>https://instasure.ca/travel-insurance/yukon/</t>
        </is>
      </c>
      <c r="C309" s="36" t="inlineStr">
        <is>
          <t>Product × province</t>
        </is>
      </c>
      <c r="D309" s="36" t="inlineStr">
        <is>
          <t>Travel insurance</t>
        </is>
      </c>
      <c r="E309" s="36" t="inlineStr">
        <is>
          <t>Travel Insurance</t>
        </is>
      </c>
      <c r="F309" s="36" t="n"/>
      <c r="G309" s="36" t="inlineStr">
        <is>
          <t>Yukon</t>
        </is>
      </c>
      <c r="H309" s="36" t="n"/>
      <c r="I309" s="36" t="inlineStr">
        <is>
          <t>Yes</t>
        </is>
      </c>
      <c r="J309" s="25" t="inlineStr">
        <is>
          <t>Travel Insurance in Yukon: Costs, Rules &amp; Quotes (2026)</t>
        </is>
      </c>
      <c r="K309" s="36">
        <f>LEN(J309)</f>
        <v/>
      </c>
      <c r="L309" s="25" t="inlineStr">
        <is>
          <t>Travel Insurance in Yukon: how it works under the Yukon Superintendent, what drives price, instant estimates and a waitlist for licensed advice in Yukon.</t>
        </is>
      </c>
      <c r="M309" s="36">
        <f>LEN(L309)</f>
        <v/>
      </c>
      <c r="N309" s="25" t="inlineStr">
        <is>
          <t>Travel Insurance in Yukon</t>
        </is>
      </c>
      <c r="O309" s="36" t="n"/>
      <c r="P309" s="37" t="n"/>
      <c r="Q309" s="36" t="n"/>
      <c r="R309" s="36" t="inlineStr">
        <is>
          <t>travel insurance yukon</t>
        </is>
      </c>
      <c r="S309" s="36">
        <f>COUNTIF('Page-Keyword Map'!$A$2:$A$675,B309)</f>
        <v/>
      </c>
      <c r="T309" s="37">
        <f>SUMIF('Page-Keyword Map'!$A$2:$A$675,B309,'Page-Keyword Map'!$H$2:$H$675)</f>
        <v/>
      </c>
      <c r="U309" s="36">
        <f>COUNTIFS('Page-Keyword Map'!$A$2:$A$675,B309,'Page-Keyword Map'!$E$2:$E$675,"Nationwide")</f>
        <v/>
      </c>
      <c r="V309" s="36">
        <f>COUNTIFS('Page-Keyword Map'!$A$2:$A$675,B309,'Page-Keyword Map'!$E$2:$E$675,"Provincial")</f>
        <v/>
      </c>
      <c r="W309" s="36">
        <f>COUNTIFS('Page-Keyword Map'!$A$2:$A$675,B309,'Page-Keyword Map'!$E$2:$E$675,"City")</f>
        <v/>
      </c>
      <c r="X309" s="36">
        <f>IF(O309="","",IF(ISNUMBER(SEARCH(O309,J309)),"Yes","No"))</f>
        <v/>
      </c>
      <c r="Y309" s="36" t="n">
        <v>0.7</v>
      </c>
      <c r="Z309" s="36" t="inlineStr">
        <is>
          <t>sitemap-provinces.xml</t>
        </is>
      </c>
      <c r="AA309" s="36" t="inlineStr">
        <is>
          <t>Live – indexable</t>
        </is>
      </c>
      <c r="AB309" s="38" t="n"/>
      <c r="AC309" s="38" t="n"/>
    </row>
    <row r="310" ht="23.85" customHeight="1" s="22">
      <c r="A310" s="36" t="inlineStr">
        <is>
          <t>P0309</t>
        </is>
      </c>
      <c r="B310" s="36" t="inlineStr">
        <is>
          <t>https://instasure.ca/whole-life-insurance/alberta/</t>
        </is>
      </c>
      <c r="C310" s="36" t="inlineStr">
        <is>
          <t>Product × province</t>
        </is>
      </c>
      <c r="D310" s="36" t="inlineStr">
        <is>
          <t>Life insurance</t>
        </is>
      </c>
      <c r="E310" s="36" t="inlineStr">
        <is>
          <t>Whole Life Insurance</t>
        </is>
      </c>
      <c r="F310" s="36" t="n"/>
      <c r="G310" s="36" t="inlineStr">
        <is>
          <t>Alberta</t>
        </is>
      </c>
      <c r="H310" s="36" t="n"/>
      <c r="I310" s="36" t="inlineStr">
        <is>
          <t>Yes</t>
        </is>
      </c>
      <c r="J310" s="25" t="inlineStr">
        <is>
          <t>Whole Life Insurance in Alberta: Costs, Rules &amp; Quotes (2026)</t>
        </is>
      </c>
      <c r="K310" s="36">
        <f>LEN(J310)</f>
        <v/>
      </c>
      <c r="L310" s="25" t="inlineStr">
        <is>
          <t>Whole Life Insurance in Alberta: how it works under the Superintendent of Insurance, what drives price, instant estimates and advisors licensed in Alberta.</t>
        </is>
      </c>
      <c r="M310" s="36">
        <f>LEN(L310)</f>
        <v/>
      </c>
      <c r="N310" s="25" t="inlineStr">
        <is>
          <t>Whole Life Insurance in Alberta</t>
        </is>
      </c>
      <c r="O310" s="36" t="n"/>
      <c r="P310" s="37" t="n"/>
      <c r="Q310" s="36" t="n"/>
      <c r="R310" s="36" t="inlineStr">
        <is>
          <t>whole life insurance alberta</t>
        </is>
      </c>
      <c r="S310" s="36">
        <f>COUNTIF('Page-Keyword Map'!$A$2:$A$675,B310)</f>
        <v/>
      </c>
      <c r="T310" s="37">
        <f>SUMIF('Page-Keyword Map'!$A$2:$A$675,B310,'Page-Keyword Map'!$H$2:$H$675)</f>
        <v/>
      </c>
      <c r="U310" s="36">
        <f>COUNTIFS('Page-Keyword Map'!$A$2:$A$675,B310,'Page-Keyword Map'!$E$2:$E$675,"Nationwide")</f>
        <v/>
      </c>
      <c r="V310" s="36">
        <f>COUNTIFS('Page-Keyword Map'!$A$2:$A$675,B310,'Page-Keyword Map'!$E$2:$E$675,"Provincial")</f>
        <v/>
      </c>
      <c r="W310" s="36">
        <f>COUNTIFS('Page-Keyword Map'!$A$2:$A$675,B310,'Page-Keyword Map'!$E$2:$E$675,"City")</f>
        <v/>
      </c>
      <c r="X310" s="36">
        <f>IF(O310="","",IF(ISNUMBER(SEARCH(O310,J310)),"Yes","No"))</f>
        <v/>
      </c>
      <c r="Y310" s="36" t="n">
        <v>0.7</v>
      </c>
      <c r="Z310" s="36" t="inlineStr">
        <is>
          <t>sitemap-provinces.xml</t>
        </is>
      </c>
      <c r="AA310" s="36" t="inlineStr">
        <is>
          <t>Live – indexable</t>
        </is>
      </c>
      <c r="AB310" s="38" t="n"/>
      <c r="AC310" s="38" t="n"/>
    </row>
    <row r="311" ht="23.85" customHeight="1" s="22">
      <c r="A311" s="36" t="inlineStr">
        <is>
          <t>P0310</t>
        </is>
      </c>
      <c r="B311" s="36" t="inlineStr">
        <is>
          <t>https://instasure.ca/whole-life-insurance/british-columbia/</t>
        </is>
      </c>
      <c r="C311" s="36" t="inlineStr">
        <is>
          <t>Product × province</t>
        </is>
      </c>
      <c r="D311" s="36" t="inlineStr">
        <is>
          <t>Life insurance</t>
        </is>
      </c>
      <c r="E311" s="36" t="inlineStr">
        <is>
          <t>Whole Life Insurance</t>
        </is>
      </c>
      <c r="F311" s="36" t="n"/>
      <c r="G311" s="36" t="inlineStr">
        <is>
          <t>British Columbia</t>
        </is>
      </c>
      <c r="H311" s="36" t="n"/>
      <c r="I311" s="36" t="inlineStr">
        <is>
          <t>Yes</t>
        </is>
      </c>
      <c r="J311" s="25" t="inlineStr">
        <is>
          <t>Whole Life Insurance in British Columbia: Costs, Rules &amp; Quotes (2026)</t>
        </is>
      </c>
      <c r="K311" s="36">
        <f>LEN(J311)</f>
        <v/>
      </c>
      <c r="L311" s="25" t="inlineStr">
        <is>
          <t>Whole Life Insurance in British Columbia: how it works under BCFSA, what drives price, instant estimates and advisors licensed in British Columbia.</t>
        </is>
      </c>
      <c r="M311" s="36">
        <f>LEN(L311)</f>
        <v/>
      </c>
      <c r="N311" s="25" t="inlineStr">
        <is>
          <t>Whole Life Insurance in British Columbia</t>
        </is>
      </c>
      <c r="O311" s="36" t="n"/>
      <c r="P311" s="37" t="n"/>
      <c r="Q311" s="36" t="n"/>
      <c r="R311" s="36" t="inlineStr">
        <is>
          <t>whole life insurance british columbia</t>
        </is>
      </c>
      <c r="S311" s="36">
        <f>COUNTIF('Page-Keyword Map'!$A$2:$A$675,B311)</f>
        <v/>
      </c>
      <c r="T311" s="37">
        <f>SUMIF('Page-Keyword Map'!$A$2:$A$675,B311,'Page-Keyword Map'!$H$2:$H$675)</f>
        <v/>
      </c>
      <c r="U311" s="36">
        <f>COUNTIFS('Page-Keyword Map'!$A$2:$A$675,B311,'Page-Keyword Map'!$E$2:$E$675,"Nationwide")</f>
        <v/>
      </c>
      <c r="V311" s="36">
        <f>COUNTIFS('Page-Keyword Map'!$A$2:$A$675,B311,'Page-Keyword Map'!$E$2:$E$675,"Provincial")</f>
        <v/>
      </c>
      <c r="W311" s="36">
        <f>COUNTIFS('Page-Keyword Map'!$A$2:$A$675,B311,'Page-Keyword Map'!$E$2:$E$675,"City")</f>
        <v/>
      </c>
      <c r="X311" s="36">
        <f>IF(O311="","",IF(ISNUMBER(SEARCH(O311,J311)),"Yes","No"))</f>
        <v/>
      </c>
      <c r="Y311" s="36" t="n">
        <v>0.7</v>
      </c>
      <c r="Z311" s="36" t="inlineStr">
        <is>
          <t>sitemap-provinces.xml</t>
        </is>
      </c>
      <c r="AA311" s="36" t="inlineStr">
        <is>
          <t>Live – indexable</t>
        </is>
      </c>
      <c r="AB311" s="38" t="n"/>
      <c r="AC311" s="38" t="n"/>
    </row>
    <row r="312" ht="23.85" customHeight="1" s="22">
      <c r="A312" s="36" t="inlineStr">
        <is>
          <t>P0311</t>
        </is>
      </c>
      <c r="B312" s="36" t="inlineStr">
        <is>
          <t>https://instasure.ca/whole-life-insurance/manitoba/</t>
        </is>
      </c>
      <c r="C312" s="36" t="inlineStr">
        <is>
          <t>Product × province</t>
        </is>
      </c>
      <c r="D312" s="36" t="inlineStr">
        <is>
          <t>Life insurance</t>
        </is>
      </c>
      <c r="E312" s="36" t="inlineStr">
        <is>
          <t>Whole Life Insurance</t>
        </is>
      </c>
      <c r="F312" s="36" t="n"/>
      <c r="G312" s="36" t="inlineStr">
        <is>
          <t>Manitoba</t>
        </is>
      </c>
      <c r="H312" s="36" t="n"/>
      <c r="I312" s="36" t="inlineStr">
        <is>
          <t>Yes</t>
        </is>
      </c>
      <c r="J312" s="25" t="inlineStr">
        <is>
          <t>Whole Life Insurance in Manitoba: Costs, Rules &amp; Quotes (2026)</t>
        </is>
      </c>
      <c r="K312" s="36">
        <f>LEN(J312)</f>
        <v/>
      </c>
      <c r="L312" s="25" t="inlineStr">
        <is>
          <t>Whole Life Insurance in Manitoba: how it works under FIRB, what drives price, instant estimates and advisors licensed in Manitoba.</t>
        </is>
      </c>
      <c r="M312" s="36">
        <f>LEN(L312)</f>
        <v/>
      </c>
      <c r="N312" s="25" t="inlineStr">
        <is>
          <t>Whole Life Insurance in Manitoba</t>
        </is>
      </c>
      <c r="O312" s="36" t="n"/>
      <c r="P312" s="37" t="n"/>
      <c r="Q312" s="36" t="n"/>
      <c r="R312" s="36" t="inlineStr">
        <is>
          <t>whole life insurance manitoba</t>
        </is>
      </c>
      <c r="S312" s="36">
        <f>COUNTIF('Page-Keyword Map'!$A$2:$A$675,B312)</f>
        <v/>
      </c>
      <c r="T312" s="37">
        <f>SUMIF('Page-Keyword Map'!$A$2:$A$675,B312,'Page-Keyword Map'!$H$2:$H$675)</f>
        <v/>
      </c>
      <c r="U312" s="36">
        <f>COUNTIFS('Page-Keyword Map'!$A$2:$A$675,B312,'Page-Keyword Map'!$E$2:$E$675,"Nationwide")</f>
        <v/>
      </c>
      <c r="V312" s="36">
        <f>COUNTIFS('Page-Keyword Map'!$A$2:$A$675,B312,'Page-Keyword Map'!$E$2:$E$675,"Provincial")</f>
        <v/>
      </c>
      <c r="W312" s="36">
        <f>COUNTIFS('Page-Keyword Map'!$A$2:$A$675,B312,'Page-Keyword Map'!$E$2:$E$675,"City")</f>
        <v/>
      </c>
      <c r="X312" s="36">
        <f>IF(O312="","",IF(ISNUMBER(SEARCH(O312,J312)),"Yes","No"))</f>
        <v/>
      </c>
      <c r="Y312" s="36" t="n">
        <v>0.7</v>
      </c>
      <c r="Z312" s="36" t="inlineStr">
        <is>
          <t>sitemap-provinces.xml</t>
        </is>
      </c>
      <c r="AA312" s="36" t="inlineStr">
        <is>
          <t>Live – indexable</t>
        </is>
      </c>
      <c r="AB312" s="38" t="n"/>
      <c r="AC312" s="38" t="n"/>
    </row>
    <row r="313" ht="23.85" customHeight="1" s="22">
      <c r="A313" s="36" t="inlineStr">
        <is>
          <t>P0312</t>
        </is>
      </c>
      <c r="B313" s="36" t="inlineStr">
        <is>
          <t>https://instasure.ca/whole-life-insurance/new-brunswick/</t>
        </is>
      </c>
      <c r="C313" s="36" t="inlineStr">
        <is>
          <t>Product × province</t>
        </is>
      </c>
      <c r="D313" s="36" t="inlineStr">
        <is>
          <t>Life insurance</t>
        </is>
      </c>
      <c r="E313" s="36" t="inlineStr">
        <is>
          <t>Whole Life Insurance</t>
        </is>
      </c>
      <c r="F313" s="36" t="n"/>
      <c r="G313" s="36" t="inlineStr">
        <is>
          <t>New Brunswick</t>
        </is>
      </c>
      <c r="H313" s="36" t="n"/>
      <c r="I313" s="36" t="inlineStr">
        <is>
          <t>Yes</t>
        </is>
      </c>
      <c r="J313" s="25" t="inlineStr">
        <is>
          <t>Whole Life Insurance in New Brunswick: Costs, Rules &amp; Quotes (2026)</t>
        </is>
      </c>
      <c r="K313" s="36">
        <f>LEN(J313)</f>
        <v/>
      </c>
      <c r="L313" s="25" t="inlineStr">
        <is>
          <t>Whole Life Insurance in New Brunswick: how it works under FCNB, what drives price, instant estimates and advisors licensed in New Brunswick.</t>
        </is>
      </c>
      <c r="M313" s="36">
        <f>LEN(L313)</f>
        <v/>
      </c>
      <c r="N313" s="25" t="inlineStr">
        <is>
          <t>Whole Life Insurance in New Brunswick</t>
        </is>
      </c>
      <c r="O313" s="36" t="n"/>
      <c r="P313" s="37" t="n"/>
      <c r="Q313" s="36" t="n"/>
      <c r="R313" s="36" t="inlineStr">
        <is>
          <t>whole life insurance new brunswick</t>
        </is>
      </c>
      <c r="S313" s="36">
        <f>COUNTIF('Page-Keyword Map'!$A$2:$A$675,B313)</f>
        <v/>
      </c>
      <c r="T313" s="37">
        <f>SUMIF('Page-Keyword Map'!$A$2:$A$675,B313,'Page-Keyword Map'!$H$2:$H$675)</f>
        <v/>
      </c>
      <c r="U313" s="36">
        <f>COUNTIFS('Page-Keyword Map'!$A$2:$A$675,B313,'Page-Keyword Map'!$E$2:$E$675,"Nationwide")</f>
        <v/>
      </c>
      <c r="V313" s="36">
        <f>COUNTIFS('Page-Keyword Map'!$A$2:$A$675,B313,'Page-Keyword Map'!$E$2:$E$675,"Provincial")</f>
        <v/>
      </c>
      <c r="W313" s="36">
        <f>COUNTIFS('Page-Keyword Map'!$A$2:$A$675,B313,'Page-Keyword Map'!$E$2:$E$675,"City")</f>
        <v/>
      </c>
      <c r="X313" s="36">
        <f>IF(O313="","",IF(ISNUMBER(SEARCH(O313,J313)),"Yes","No"))</f>
        <v/>
      </c>
      <c r="Y313" s="36" t="n">
        <v>0.7</v>
      </c>
      <c r="Z313" s="36" t="inlineStr">
        <is>
          <t>sitemap-provinces.xml</t>
        </is>
      </c>
      <c r="AA313" s="36" t="inlineStr">
        <is>
          <t>Live – indexable</t>
        </is>
      </c>
      <c r="AB313" s="38" t="n"/>
      <c r="AC313" s="38" t="n"/>
    </row>
    <row r="314" ht="23.85" customHeight="1" s="22">
      <c r="A314" s="36" t="inlineStr">
        <is>
          <t>P0313</t>
        </is>
      </c>
      <c r="B314" s="36" t="inlineStr">
        <is>
          <t>https://instasure.ca/whole-life-insurance/newfoundland-and-labrador/</t>
        </is>
      </c>
      <c r="C314" s="36" t="inlineStr">
        <is>
          <t>Product × province</t>
        </is>
      </c>
      <c r="D314" s="36" t="inlineStr">
        <is>
          <t>Life insurance</t>
        </is>
      </c>
      <c r="E314" s="36" t="inlineStr">
        <is>
          <t>Whole Life Insurance</t>
        </is>
      </c>
      <c r="F314" s="36" t="n"/>
      <c r="G314" s="36" t="inlineStr">
        <is>
          <t>Newfoundland and Labrador</t>
        </is>
      </c>
      <c r="H314" s="36" t="n"/>
      <c r="I314" s="36" t="inlineStr">
        <is>
          <t>Yes</t>
        </is>
      </c>
      <c r="J314" s="25" t="inlineStr">
        <is>
          <t>Whole Life Insurance in Newfoundland and Labrador: Costs, Rules &amp; Quotes (2026)</t>
        </is>
      </c>
      <c r="K314" s="36">
        <f>LEN(J314)</f>
        <v/>
      </c>
      <c r="L314" s="25" t="inlineStr">
        <is>
          <t>Whole Life Insurance in Newfoundland and Labrador: how it works under Service NL, what drives price, instant estimates and advisors licensed in Newfoundland and…</t>
        </is>
      </c>
      <c r="M314" s="36">
        <f>LEN(L314)</f>
        <v/>
      </c>
      <c r="N314" s="25" t="inlineStr">
        <is>
          <t>Whole Life Insurance in Newfoundland and Labrador</t>
        </is>
      </c>
      <c r="O314" s="36" t="n"/>
      <c r="P314" s="37" t="n"/>
      <c r="Q314" s="36" t="n"/>
      <c r="R314" s="36" t="inlineStr">
        <is>
          <t>whole life insurance newfoundland and labrador</t>
        </is>
      </c>
      <c r="S314" s="36">
        <f>COUNTIF('Page-Keyword Map'!$A$2:$A$675,B314)</f>
        <v/>
      </c>
      <c r="T314" s="37">
        <f>SUMIF('Page-Keyword Map'!$A$2:$A$675,B314,'Page-Keyword Map'!$H$2:$H$675)</f>
        <v/>
      </c>
      <c r="U314" s="36">
        <f>COUNTIFS('Page-Keyword Map'!$A$2:$A$675,B314,'Page-Keyword Map'!$E$2:$E$675,"Nationwide")</f>
        <v/>
      </c>
      <c r="V314" s="36">
        <f>COUNTIFS('Page-Keyword Map'!$A$2:$A$675,B314,'Page-Keyword Map'!$E$2:$E$675,"Provincial")</f>
        <v/>
      </c>
      <c r="W314" s="36">
        <f>COUNTIFS('Page-Keyword Map'!$A$2:$A$675,B314,'Page-Keyword Map'!$E$2:$E$675,"City")</f>
        <v/>
      </c>
      <c r="X314" s="36">
        <f>IF(O314="","",IF(ISNUMBER(SEARCH(O314,J314)),"Yes","No"))</f>
        <v/>
      </c>
      <c r="Y314" s="36" t="n">
        <v>0.7</v>
      </c>
      <c r="Z314" s="36" t="inlineStr">
        <is>
          <t>sitemap-provinces.xml</t>
        </is>
      </c>
      <c r="AA314" s="36" t="inlineStr">
        <is>
          <t>Live – indexable</t>
        </is>
      </c>
      <c r="AB314" s="38" t="n"/>
      <c r="AC314" s="38" t="n"/>
    </row>
    <row r="315" ht="23.85" customHeight="1" s="22">
      <c r="A315" s="36" t="inlineStr">
        <is>
          <t>P0314</t>
        </is>
      </c>
      <c r="B315" s="36" t="inlineStr">
        <is>
          <t>https://instasure.ca/whole-life-insurance/northwest-territories/</t>
        </is>
      </c>
      <c r="C315" s="36" t="inlineStr">
        <is>
          <t>Product × province</t>
        </is>
      </c>
      <c r="D315" s="36" t="inlineStr">
        <is>
          <t>Life insurance</t>
        </is>
      </c>
      <c r="E315" s="36" t="inlineStr">
        <is>
          <t>Whole Life Insurance</t>
        </is>
      </c>
      <c r="F315" s="36" t="n"/>
      <c r="G315" s="36" t="inlineStr">
        <is>
          <t>Northwest Territories</t>
        </is>
      </c>
      <c r="H315" s="36" t="n"/>
      <c r="I315" s="36" t="inlineStr">
        <is>
          <t>Yes</t>
        </is>
      </c>
      <c r="J315" s="25" t="inlineStr">
        <is>
          <t>Whole Life Insurance in Northwest Territories: Costs, Rules &amp; Quotes (2026)</t>
        </is>
      </c>
      <c r="K315" s="36">
        <f>LEN(J315)</f>
        <v/>
      </c>
      <c r="L315" s="25" t="inlineStr">
        <is>
          <t>Whole Life Insurance in Northwest Territories: how it works under the NWT Superintendent, what drives price, instant estimates and a waitlist for licensed advice…</t>
        </is>
      </c>
      <c r="M315" s="36">
        <f>LEN(L315)</f>
        <v/>
      </c>
      <c r="N315" s="25" t="inlineStr">
        <is>
          <t>Whole Life Insurance in Northwest Territories</t>
        </is>
      </c>
      <c r="O315" s="36" t="n"/>
      <c r="P315" s="37" t="n"/>
      <c r="Q315" s="36" t="n"/>
      <c r="R315" s="36" t="inlineStr">
        <is>
          <t>whole life insurance northwest territories</t>
        </is>
      </c>
      <c r="S315" s="36">
        <f>COUNTIF('Page-Keyword Map'!$A$2:$A$675,B315)</f>
        <v/>
      </c>
      <c r="T315" s="37">
        <f>SUMIF('Page-Keyword Map'!$A$2:$A$675,B315,'Page-Keyword Map'!$H$2:$H$675)</f>
        <v/>
      </c>
      <c r="U315" s="36">
        <f>COUNTIFS('Page-Keyword Map'!$A$2:$A$675,B315,'Page-Keyword Map'!$E$2:$E$675,"Nationwide")</f>
        <v/>
      </c>
      <c r="V315" s="36">
        <f>COUNTIFS('Page-Keyword Map'!$A$2:$A$675,B315,'Page-Keyword Map'!$E$2:$E$675,"Provincial")</f>
        <v/>
      </c>
      <c r="W315" s="36">
        <f>COUNTIFS('Page-Keyword Map'!$A$2:$A$675,B315,'Page-Keyword Map'!$E$2:$E$675,"City")</f>
        <v/>
      </c>
      <c r="X315" s="36">
        <f>IF(O315="","",IF(ISNUMBER(SEARCH(O315,J315)),"Yes","No"))</f>
        <v/>
      </c>
      <c r="Y315" s="36" t="n">
        <v>0.7</v>
      </c>
      <c r="Z315" s="36" t="inlineStr">
        <is>
          <t>sitemap-provinces.xml</t>
        </is>
      </c>
      <c r="AA315" s="36" t="inlineStr">
        <is>
          <t>Live – indexable</t>
        </is>
      </c>
      <c r="AB315" s="38" t="n"/>
      <c r="AC315" s="38" t="n"/>
    </row>
    <row r="316" ht="23.85" customHeight="1" s="22">
      <c r="A316" s="36" t="inlineStr">
        <is>
          <t>P0315</t>
        </is>
      </c>
      <c r="B316" s="36" t="inlineStr">
        <is>
          <t>https://instasure.ca/whole-life-insurance/nova-scotia/</t>
        </is>
      </c>
      <c r="C316" s="36" t="inlineStr">
        <is>
          <t>Product × province</t>
        </is>
      </c>
      <c r="D316" s="36" t="inlineStr">
        <is>
          <t>Life insurance</t>
        </is>
      </c>
      <c r="E316" s="36" t="inlineStr">
        <is>
          <t>Whole Life Insurance</t>
        </is>
      </c>
      <c r="F316" s="36" t="n"/>
      <c r="G316" s="36" t="inlineStr">
        <is>
          <t>Nova Scotia</t>
        </is>
      </c>
      <c r="H316" s="36" t="n"/>
      <c r="I316" s="36" t="inlineStr">
        <is>
          <t>Yes</t>
        </is>
      </c>
      <c r="J316" s="25" t="inlineStr">
        <is>
          <t>Whole Life Insurance in Nova Scotia: Costs, Rules &amp; Quotes (2026)</t>
        </is>
      </c>
      <c r="K316" s="36">
        <f>LEN(J316)</f>
        <v/>
      </c>
      <c r="L316" s="25" t="inlineStr">
        <is>
          <t>Whole Life Insurance in Nova Scotia: how it works under the NS Superintendent of Insurance, what drives price, instant estimates and advisors licensed in Nova…</t>
        </is>
      </c>
      <c r="M316" s="36">
        <f>LEN(L316)</f>
        <v/>
      </c>
      <c r="N316" s="25" t="inlineStr">
        <is>
          <t>Whole Life Insurance in Nova Scotia</t>
        </is>
      </c>
      <c r="O316" s="36" t="n"/>
      <c r="P316" s="37" t="n"/>
      <c r="Q316" s="36" t="n"/>
      <c r="R316" s="36" t="inlineStr">
        <is>
          <t>whole life insurance nova scotia</t>
        </is>
      </c>
      <c r="S316" s="36">
        <f>COUNTIF('Page-Keyword Map'!$A$2:$A$675,B316)</f>
        <v/>
      </c>
      <c r="T316" s="37">
        <f>SUMIF('Page-Keyword Map'!$A$2:$A$675,B316,'Page-Keyword Map'!$H$2:$H$675)</f>
        <v/>
      </c>
      <c r="U316" s="36">
        <f>COUNTIFS('Page-Keyword Map'!$A$2:$A$675,B316,'Page-Keyword Map'!$E$2:$E$675,"Nationwide")</f>
        <v/>
      </c>
      <c r="V316" s="36">
        <f>COUNTIFS('Page-Keyword Map'!$A$2:$A$675,B316,'Page-Keyword Map'!$E$2:$E$675,"Provincial")</f>
        <v/>
      </c>
      <c r="W316" s="36">
        <f>COUNTIFS('Page-Keyword Map'!$A$2:$A$675,B316,'Page-Keyword Map'!$E$2:$E$675,"City")</f>
        <v/>
      </c>
      <c r="X316" s="36">
        <f>IF(O316="","",IF(ISNUMBER(SEARCH(O316,J316)),"Yes","No"))</f>
        <v/>
      </c>
      <c r="Y316" s="36" t="n">
        <v>0.7</v>
      </c>
      <c r="Z316" s="36" t="inlineStr">
        <is>
          <t>sitemap-provinces.xml</t>
        </is>
      </c>
      <c r="AA316" s="36" t="inlineStr">
        <is>
          <t>Live – indexable</t>
        </is>
      </c>
      <c r="AB316" s="38" t="n"/>
      <c r="AC316" s="38" t="n"/>
    </row>
    <row r="317" ht="23.85" customHeight="1" s="22">
      <c r="A317" s="36" t="inlineStr">
        <is>
          <t>P0316</t>
        </is>
      </c>
      <c r="B317" s="36" t="inlineStr">
        <is>
          <t>https://instasure.ca/whole-life-insurance/nunavut/</t>
        </is>
      </c>
      <c r="C317" s="36" t="inlineStr">
        <is>
          <t>Product × province</t>
        </is>
      </c>
      <c r="D317" s="36" t="inlineStr">
        <is>
          <t>Life insurance</t>
        </is>
      </c>
      <c r="E317" s="36" t="inlineStr">
        <is>
          <t>Whole Life Insurance</t>
        </is>
      </c>
      <c r="F317" s="36" t="n"/>
      <c r="G317" s="36" t="inlineStr">
        <is>
          <t>Nunavut</t>
        </is>
      </c>
      <c r="H317" s="36" t="n"/>
      <c r="I317" s="36" t="inlineStr">
        <is>
          <t>Yes</t>
        </is>
      </c>
      <c r="J317" s="25" t="inlineStr">
        <is>
          <t>Whole Life Insurance in Nunavut: Costs, Rules &amp; Quotes (2026)</t>
        </is>
      </c>
      <c r="K317" s="36">
        <f>LEN(J317)</f>
        <v/>
      </c>
      <c r="L317" s="25" t="inlineStr">
        <is>
          <t>Whole Life Insurance in Nunavut: how it works under the Nunavut Superintendent, what drives price, instant estimates and a waitlist for licensed advice in Nunavut.</t>
        </is>
      </c>
      <c r="M317" s="36">
        <f>LEN(L317)</f>
        <v/>
      </c>
      <c r="N317" s="25" t="inlineStr">
        <is>
          <t>Whole Life Insurance in Nunavut</t>
        </is>
      </c>
      <c r="O317" s="36" t="n"/>
      <c r="P317" s="37" t="n"/>
      <c r="Q317" s="36" t="n"/>
      <c r="R317" s="36" t="inlineStr">
        <is>
          <t>whole life insurance nunavut</t>
        </is>
      </c>
      <c r="S317" s="36">
        <f>COUNTIF('Page-Keyword Map'!$A$2:$A$675,B317)</f>
        <v/>
      </c>
      <c r="T317" s="37">
        <f>SUMIF('Page-Keyword Map'!$A$2:$A$675,B317,'Page-Keyword Map'!$H$2:$H$675)</f>
        <v/>
      </c>
      <c r="U317" s="36">
        <f>COUNTIFS('Page-Keyword Map'!$A$2:$A$675,B317,'Page-Keyword Map'!$E$2:$E$675,"Nationwide")</f>
        <v/>
      </c>
      <c r="V317" s="36">
        <f>COUNTIFS('Page-Keyword Map'!$A$2:$A$675,B317,'Page-Keyword Map'!$E$2:$E$675,"Provincial")</f>
        <v/>
      </c>
      <c r="W317" s="36">
        <f>COUNTIFS('Page-Keyword Map'!$A$2:$A$675,B317,'Page-Keyword Map'!$E$2:$E$675,"City")</f>
        <v/>
      </c>
      <c r="X317" s="36">
        <f>IF(O317="","",IF(ISNUMBER(SEARCH(O317,J317)),"Yes","No"))</f>
        <v/>
      </c>
      <c r="Y317" s="36" t="n">
        <v>0.7</v>
      </c>
      <c r="Z317" s="36" t="inlineStr">
        <is>
          <t>sitemap-provinces.xml</t>
        </is>
      </c>
      <c r="AA317" s="36" t="inlineStr">
        <is>
          <t>Live – indexable</t>
        </is>
      </c>
      <c r="AB317" s="38" t="n"/>
      <c r="AC317" s="38" t="n"/>
    </row>
    <row r="318" ht="23.85" customHeight="1" s="22">
      <c r="A318" s="36" t="inlineStr">
        <is>
          <t>P0317</t>
        </is>
      </c>
      <c r="B318" s="36" t="inlineStr">
        <is>
          <t>https://instasure.ca/whole-life-insurance/ontario/</t>
        </is>
      </c>
      <c r="C318" s="36" t="inlineStr">
        <is>
          <t>Product × province</t>
        </is>
      </c>
      <c r="D318" s="36" t="inlineStr">
        <is>
          <t>Life insurance</t>
        </is>
      </c>
      <c r="E318" s="36" t="inlineStr">
        <is>
          <t>Whole Life Insurance</t>
        </is>
      </c>
      <c r="F318" s="36" t="n"/>
      <c r="G318" s="36" t="inlineStr">
        <is>
          <t>Ontario</t>
        </is>
      </c>
      <c r="H318" s="36" t="n"/>
      <c r="I318" s="36" t="inlineStr">
        <is>
          <t>Yes</t>
        </is>
      </c>
      <c r="J318" s="25" t="inlineStr">
        <is>
          <t>Whole Life Insurance in Ontario: Costs, Rules &amp; Quotes (2026)</t>
        </is>
      </c>
      <c r="K318" s="36">
        <f>LEN(J318)</f>
        <v/>
      </c>
      <c r="L318" s="25" t="inlineStr">
        <is>
          <t>Whole Life Insurance in Ontario: how it works under FSRA, what drives price, instant estimates and advisors licensed in Ontario.</t>
        </is>
      </c>
      <c r="M318" s="36">
        <f>LEN(L318)</f>
        <v/>
      </c>
      <c r="N318" s="25" t="inlineStr">
        <is>
          <t>Whole Life Insurance in Ontario</t>
        </is>
      </c>
      <c r="O318" s="36" t="n"/>
      <c r="P318" s="37" t="n"/>
      <c r="Q318" s="36" t="n"/>
      <c r="R318" s="36" t="inlineStr">
        <is>
          <t>whole life insurance ontario</t>
        </is>
      </c>
      <c r="S318" s="36">
        <f>COUNTIF('Page-Keyword Map'!$A$2:$A$675,B318)</f>
        <v/>
      </c>
      <c r="T318" s="37">
        <f>SUMIF('Page-Keyword Map'!$A$2:$A$675,B318,'Page-Keyword Map'!$H$2:$H$675)</f>
        <v/>
      </c>
      <c r="U318" s="36">
        <f>COUNTIFS('Page-Keyword Map'!$A$2:$A$675,B318,'Page-Keyword Map'!$E$2:$E$675,"Nationwide")</f>
        <v/>
      </c>
      <c r="V318" s="36">
        <f>COUNTIFS('Page-Keyword Map'!$A$2:$A$675,B318,'Page-Keyword Map'!$E$2:$E$675,"Provincial")</f>
        <v/>
      </c>
      <c r="W318" s="36">
        <f>COUNTIFS('Page-Keyword Map'!$A$2:$A$675,B318,'Page-Keyword Map'!$E$2:$E$675,"City")</f>
        <v/>
      </c>
      <c r="X318" s="36">
        <f>IF(O318="","",IF(ISNUMBER(SEARCH(O318,J318)),"Yes","No"))</f>
        <v/>
      </c>
      <c r="Y318" s="36" t="n">
        <v>0.7</v>
      </c>
      <c r="Z318" s="36" t="inlineStr">
        <is>
          <t>sitemap-provinces.xml</t>
        </is>
      </c>
      <c r="AA318" s="36" t="inlineStr">
        <is>
          <t>Live – indexable</t>
        </is>
      </c>
      <c r="AB318" s="38" t="n"/>
      <c r="AC318" s="38" t="n"/>
    </row>
    <row r="319" ht="23.85" customHeight="1" s="22">
      <c r="A319" s="36" t="inlineStr">
        <is>
          <t>P0318</t>
        </is>
      </c>
      <c r="B319" s="36" t="inlineStr">
        <is>
          <t>https://instasure.ca/whole-life-insurance/prince-edward-island/</t>
        </is>
      </c>
      <c r="C319" s="36" t="inlineStr">
        <is>
          <t>Product × province</t>
        </is>
      </c>
      <c r="D319" s="36" t="inlineStr">
        <is>
          <t>Life insurance</t>
        </is>
      </c>
      <c r="E319" s="36" t="inlineStr">
        <is>
          <t>Whole Life Insurance</t>
        </is>
      </c>
      <c r="F319" s="36" t="n"/>
      <c r="G319" s="36" t="inlineStr">
        <is>
          <t>Prince Edward Island</t>
        </is>
      </c>
      <c r="H319" s="36" t="n"/>
      <c r="I319" s="36" t="inlineStr">
        <is>
          <t>Yes</t>
        </is>
      </c>
      <c r="J319" s="25" t="inlineStr">
        <is>
          <t>Whole Life Insurance in Prince Edward Island: Costs, Rules &amp; Quotes (2026)</t>
        </is>
      </c>
      <c r="K319" s="36">
        <f>LEN(J319)</f>
        <v/>
      </c>
      <c r="L319" s="25" t="inlineStr">
        <is>
          <t>Whole Life Insurance in Prince Edward Island: how it works under the PEI Superintendent, what drives price, instant estimates and advisors licensed in Prince…</t>
        </is>
      </c>
      <c r="M319" s="36">
        <f>LEN(L319)</f>
        <v/>
      </c>
      <c r="N319" s="25" t="inlineStr">
        <is>
          <t>Whole Life Insurance in Prince Edward Island</t>
        </is>
      </c>
      <c r="O319" s="36" t="n"/>
      <c r="P319" s="37" t="n"/>
      <c r="Q319" s="36" t="n"/>
      <c r="R319" s="36" t="inlineStr">
        <is>
          <t>whole life insurance prince edward island</t>
        </is>
      </c>
      <c r="S319" s="36">
        <f>COUNTIF('Page-Keyword Map'!$A$2:$A$675,B319)</f>
        <v/>
      </c>
      <c r="T319" s="37">
        <f>SUMIF('Page-Keyword Map'!$A$2:$A$675,B319,'Page-Keyword Map'!$H$2:$H$675)</f>
        <v/>
      </c>
      <c r="U319" s="36">
        <f>COUNTIFS('Page-Keyword Map'!$A$2:$A$675,B319,'Page-Keyword Map'!$E$2:$E$675,"Nationwide")</f>
        <v/>
      </c>
      <c r="V319" s="36">
        <f>COUNTIFS('Page-Keyword Map'!$A$2:$A$675,B319,'Page-Keyword Map'!$E$2:$E$675,"Provincial")</f>
        <v/>
      </c>
      <c r="W319" s="36">
        <f>COUNTIFS('Page-Keyword Map'!$A$2:$A$675,B319,'Page-Keyword Map'!$E$2:$E$675,"City")</f>
        <v/>
      </c>
      <c r="X319" s="36">
        <f>IF(O319="","",IF(ISNUMBER(SEARCH(O319,J319)),"Yes","No"))</f>
        <v/>
      </c>
      <c r="Y319" s="36" t="n">
        <v>0.7</v>
      </c>
      <c r="Z319" s="36" t="inlineStr">
        <is>
          <t>sitemap-provinces.xml</t>
        </is>
      </c>
      <c r="AA319" s="36" t="inlineStr">
        <is>
          <t>Live – indexable</t>
        </is>
      </c>
      <c r="AB319" s="38" t="n"/>
      <c r="AC319" s="38" t="n"/>
    </row>
    <row r="320" ht="23.85" customHeight="1" s="22">
      <c r="A320" s="36" t="inlineStr">
        <is>
          <t>P0319</t>
        </is>
      </c>
      <c r="B320" s="36" t="inlineStr">
        <is>
          <t>https://instasure.ca/whole-life-insurance/quebec/</t>
        </is>
      </c>
      <c r="C320" s="36" t="inlineStr">
        <is>
          <t>Product × province</t>
        </is>
      </c>
      <c r="D320" s="36" t="inlineStr">
        <is>
          <t>Life insurance</t>
        </is>
      </c>
      <c r="E320" s="36" t="inlineStr">
        <is>
          <t>Whole Life Insurance</t>
        </is>
      </c>
      <c r="F320" s="36" t="n"/>
      <c r="G320" s="36" t="inlineStr">
        <is>
          <t>Quebec</t>
        </is>
      </c>
      <c r="H320" s="36" t="n"/>
      <c r="I320" s="36" t="inlineStr">
        <is>
          <t>Yes</t>
        </is>
      </c>
      <c r="J320" s="25" t="inlineStr">
        <is>
          <t>Whole Life Insurance in Quebec: Costs, Rules &amp; Quotes (2026)</t>
        </is>
      </c>
      <c r="K320" s="36">
        <f>LEN(J320)</f>
        <v/>
      </c>
      <c r="L320" s="25" t="inlineStr">
        <is>
          <t>Whole Life Insurance in Quebec: how it works under AMF, what drives price, instant estimates and a waitlist for licensed advice in Quebec.</t>
        </is>
      </c>
      <c r="M320" s="36">
        <f>LEN(L320)</f>
        <v/>
      </c>
      <c r="N320" s="25" t="inlineStr">
        <is>
          <t>Whole Life Insurance in Quebec</t>
        </is>
      </c>
      <c r="O320" s="36" t="n"/>
      <c r="P320" s="37" t="n"/>
      <c r="Q320" s="36" t="n"/>
      <c r="R320" s="36" t="inlineStr">
        <is>
          <t>whole life insurance quebec</t>
        </is>
      </c>
      <c r="S320" s="36">
        <f>COUNTIF('Page-Keyword Map'!$A$2:$A$675,B320)</f>
        <v/>
      </c>
      <c r="T320" s="37">
        <f>SUMIF('Page-Keyword Map'!$A$2:$A$675,B320,'Page-Keyword Map'!$H$2:$H$675)</f>
        <v/>
      </c>
      <c r="U320" s="36">
        <f>COUNTIFS('Page-Keyword Map'!$A$2:$A$675,B320,'Page-Keyword Map'!$E$2:$E$675,"Nationwide")</f>
        <v/>
      </c>
      <c r="V320" s="36">
        <f>COUNTIFS('Page-Keyword Map'!$A$2:$A$675,B320,'Page-Keyword Map'!$E$2:$E$675,"Provincial")</f>
        <v/>
      </c>
      <c r="W320" s="36">
        <f>COUNTIFS('Page-Keyword Map'!$A$2:$A$675,B320,'Page-Keyword Map'!$E$2:$E$675,"City")</f>
        <v/>
      </c>
      <c r="X320" s="36">
        <f>IF(O320="","",IF(ISNUMBER(SEARCH(O320,J320)),"Yes","No"))</f>
        <v/>
      </c>
      <c r="Y320" s="36" t="n">
        <v>0.7</v>
      </c>
      <c r="Z320" s="36" t="inlineStr">
        <is>
          <t>sitemap-provinces.xml</t>
        </is>
      </c>
      <c r="AA320" s="36" t="inlineStr">
        <is>
          <t>Live – indexable</t>
        </is>
      </c>
      <c r="AB320" s="38" t="n"/>
      <c r="AC320" s="38" t="n"/>
    </row>
    <row r="321" ht="23.85" customHeight="1" s="22">
      <c r="A321" s="36" t="inlineStr">
        <is>
          <t>P0320</t>
        </is>
      </c>
      <c r="B321" s="36" t="inlineStr">
        <is>
          <t>https://instasure.ca/whole-life-insurance/saskatchewan/</t>
        </is>
      </c>
      <c r="C321" s="36" t="inlineStr">
        <is>
          <t>Product × province</t>
        </is>
      </c>
      <c r="D321" s="36" t="inlineStr">
        <is>
          <t>Life insurance</t>
        </is>
      </c>
      <c r="E321" s="36" t="inlineStr">
        <is>
          <t>Whole Life Insurance</t>
        </is>
      </c>
      <c r="F321" s="36" t="n"/>
      <c r="G321" s="36" t="inlineStr">
        <is>
          <t>Saskatchewan</t>
        </is>
      </c>
      <c r="H321" s="36" t="n"/>
      <c r="I321" s="36" t="inlineStr">
        <is>
          <t>Yes</t>
        </is>
      </c>
      <c r="J321" s="25" t="inlineStr">
        <is>
          <t>Whole Life Insurance in Saskatchewan: Costs, Rules &amp; Quotes (2026)</t>
        </is>
      </c>
      <c r="K321" s="36">
        <f>LEN(J321)</f>
        <v/>
      </c>
      <c r="L321" s="25" t="inlineStr">
        <is>
          <t>Whole Life Insurance in Saskatchewan: how it works under FCAA, what drives price, instant estimates and advisors licensed in Saskatchewan.</t>
        </is>
      </c>
      <c r="M321" s="36">
        <f>LEN(L321)</f>
        <v/>
      </c>
      <c r="N321" s="25" t="inlineStr">
        <is>
          <t>Whole Life Insurance in Saskatchewan</t>
        </is>
      </c>
      <c r="O321" s="36" t="n"/>
      <c r="P321" s="37" t="n"/>
      <c r="Q321" s="36" t="n"/>
      <c r="R321" s="36" t="inlineStr">
        <is>
          <t>whole life insurance saskatchewan</t>
        </is>
      </c>
      <c r="S321" s="36">
        <f>COUNTIF('Page-Keyword Map'!$A$2:$A$675,B321)</f>
        <v/>
      </c>
      <c r="T321" s="37">
        <f>SUMIF('Page-Keyword Map'!$A$2:$A$675,B321,'Page-Keyword Map'!$H$2:$H$675)</f>
        <v/>
      </c>
      <c r="U321" s="36">
        <f>COUNTIFS('Page-Keyword Map'!$A$2:$A$675,B321,'Page-Keyword Map'!$E$2:$E$675,"Nationwide")</f>
        <v/>
      </c>
      <c r="V321" s="36">
        <f>COUNTIFS('Page-Keyword Map'!$A$2:$A$675,B321,'Page-Keyword Map'!$E$2:$E$675,"Provincial")</f>
        <v/>
      </c>
      <c r="W321" s="36">
        <f>COUNTIFS('Page-Keyword Map'!$A$2:$A$675,B321,'Page-Keyword Map'!$E$2:$E$675,"City")</f>
        <v/>
      </c>
      <c r="X321" s="36">
        <f>IF(O321="","",IF(ISNUMBER(SEARCH(O321,J321)),"Yes","No"))</f>
        <v/>
      </c>
      <c r="Y321" s="36" t="n">
        <v>0.7</v>
      </c>
      <c r="Z321" s="36" t="inlineStr">
        <is>
          <t>sitemap-provinces.xml</t>
        </is>
      </c>
      <c r="AA321" s="36" t="inlineStr">
        <is>
          <t>Live – indexable</t>
        </is>
      </c>
      <c r="AB321" s="38" t="n"/>
      <c r="AC321" s="38" t="n"/>
    </row>
    <row r="322" ht="23.85" customHeight="1" s="22">
      <c r="A322" s="36" t="inlineStr">
        <is>
          <t>P0321</t>
        </is>
      </c>
      <c r="B322" s="36" t="inlineStr">
        <is>
          <t>https://instasure.ca/whole-life-insurance/yukon/</t>
        </is>
      </c>
      <c r="C322" s="36" t="inlineStr">
        <is>
          <t>Product × province</t>
        </is>
      </c>
      <c r="D322" s="36" t="inlineStr">
        <is>
          <t>Life insurance</t>
        </is>
      </c>
      <c r="E322" s="36" t="inlineStr">
        <is>
          <t>Whole Life Insurance</t>
        </is>
      </c>
      <c r="F322" s="36" t="n"/>
      <c r="G322" s="36" t="inlineStr">
        <is>
          <t>Yukon</t>
        </is>
      </c>
      <c r="H322" s="36" t="n"/>
      <c r="I322" s="36" t="inlineStr">
        <is>
          <t>Yes</t>
        </is>
      </c>
      <c r="J322" s="25" t="inlineStr">
        <is>
          <t>Whole Life Insurance in Yukon: Costs, Rules &amp; Quotes (2026)</t>
        </is>
      </c>
      <c r="K322" s="36">
        <f>LEN(J322)</f>
        <v/>
      </c>
      <c r="L322" s="25" t="inlineStr">
        <is>
          <t>Whole Life Insurance in Yukon: how it works under the Yukon Superintendent, what drives price, instant estimates and a waitlist for licensed advice in Yukon.</t>
        </is>
      </c>
      <c r="M322" s="36">
        <f>LEN(L322)</f>
        <v/>
      </c>
      <c r="N322" s="25" t="inlineStr">
        <is>
          <t>Whole Life Insurance in Yukon</t>
        </is>
      </c>
      <c r="O322" s="36" t="n"/>
      <c r="P322" s="37" t="n"/>
      <c r="Q322" s="36" t="n"/>
      <c r="R322" s="36" t="inlineStr">
        <is>
          <t>whole life insurance yukon</t>
        </is>
      </c>
      <c r="S322" s="36">
        <f>COUNTIF('Page-Keyword Map'!$A$2:$A$675,B322)</f>
        <v/>
      </c>
      <c r="T322" s="37">
        <f>SUMIF('Page-Keyword Map'!$A$2:$A$675,B322,'Page-Keyword Map'!$H$2:$H$675)</f>
        <v/>
      </c>
      <c r="U322" s="36">
        <f>COUNTIFS('Page-Keyword Map'!$A$2:$A$675,B322,'Page-Keyword Map'!$E$2:$E$675,"Nationwide")</f>
        <v/>
      </c>
      <c r="V322" s="36">
        <f>COUNTIFS('Page-Keyword Map'!$A$2:$A$675,B322,'Page-Keyword Map'!$E$2:$E$675,"Provincial")</f>
        <v/>
      </c>
      <c r="W322" s="36">
        <f>COUNTIFS('Page-Keyword Map'!$A$2:$A$675,B322,'Page-Keyword Map'!$E$2:$E$675,"City")</f>
        <v/>
      </c>
      <c r="X322" s="36">
        <f>IF(O322="","",IF(ISNUMBER(SEARCH(O322,J322)),"Yes","No"))</f>
        <v/>
      </c>
      <c r="Y322" s="36" t="n">
        <v>0.7</v>
      </c>
      <c r="Z322" s="36" t="inlineStr">
        <is>
          <t>sitemap-provinces.xml</t>
        </is>
      </c>
      <c r="AA322" s="36" t="inlineStr">
        <is>
          <t>Live – indexable</t>
        </is>
      </c>
      <c r="AB322" s="38" t="n"/>
      <c r="AC322" s="38" t="n"/>
    </row>
    <row r="323" ht="23.85" customHeight="1" s="22">
      <c r="A323" s="36" t="inlineStr">
        <is>
          <t>P0322</t>
        </is>
      </c>
      <c r="B323" s="36" t="inlineStr">
        <is>
          <t>https://instasure.ca/business-insurance/alberta/airdrie/</t>
        </is>
      </c>
      <c r="C323" s="36" t="inlineStr">
        <is>
          <t>Product × city</t>
        </is>
      </c>
      <c r="D323" s="36" t="inlineStr">
        <is>
          <t>Business insurance</t>
        </is>
      </c>
      <c r="E323" s="36" t="inlineStr">
        <is>
          <t>Business Insurance</t>
        </is>
      </c>
      <c r="F323" s="36" t="n"/>
      <c r="G323" s="36" t="inlineStr">
        <is>
          <t>Alberta</t>
        </is>
      </c>
      <c r="H323" s="36" t="inlineStr">
        <is>
          <t>Airdrie</t>
        </is>
      </c>
      <c r="I323" s="36" t="inlineStr">
        <is>
          <t>No</t>
        </is>
      </c>
      <c r="J323" s="25" t="inlineStr">
        <is>
          <t>Business Insurance Airdrie, AB: Compare Quotes &amp; Costs (2026)</t>
        </is>
      </c>
      <c r="K323" s="36">
        <f>LEN(J323)</f>
        <v/>
      </c>
      <c r="L323" s="25" t="inlineStr">
        <is>
          <t>Compare business insurance in Airdrie, AB: instant estimate ($35.00–$60.00/mo example), local risk factors and advisors licensed in Alberta.</t>
        </is>
      </c>
      <c r="M323" s="36">
        <f>LEN(L323)</f>
        <v/>
      </c>
      <c r="N323" s="25" t="inlineStr">
        <is>
          <t>Business Insurance in Airdrie, AB</t>
        </is>
      </c>
      <c r="O323" s="36" t="inlineStr">
        <is>
          <t>business insurance airdrie</t>
        </is>
      </c>
      <c r="P323" s="37" t="n">
        <v>32</v>
      </c>
      <c r="Q323" s="36" t="inlineStr">
        <is>
          <t>City</t>
        </is>
      </c>
      <c r="R323" s="36" t="n"/>
      <c r="S323" s="36">
        <f>COUNTIF('Page-Keyword Map'!$A$2:$A$675,B323)</f>
        <v/>
      </c>
      <c r="T323" s="37">
        <f>SUMIF('Page-Keyword Map'!$A$2:$A$675,B323,'Page-Keyword Map'!$H$2:$H$675)</f>
        <v/>
      </c>
      <c r="U323" s="36">
        <f>COUNTIFS('Page-Keyword Map'!$A$2:$A$675,B323,'Page-Keyword Map'!$E$2:$E$675,"Nationwide")</f>
        <v/>
      </c>
      <c r="V323" s="36">
        <f>COUNTIFS('Page-Keyword Map'!$A$2:$A$675,B323,'Page-Keyword Map'!$E$2:$E$675,"Provincial")</f>
        <v/>
      </c>
      <c r="W323" s="36">
        <f>COUNTIFS('Page-Keyword Map'!$A$2:$A$675,B323,'Page-Keyword Map'!$E$2:$E$675,"City")</f>
        <v/>
      </c>
      <c r="X323" s="36">
        <f>IF(O323="","",IF(ISNUMBER(SEARCH(O323,J323)),"Yes","No"))</f>
        <v/>
      </c>
      <c r="Y323" s="36" t="n">
        <v>0.5</v>
      </c>
      <c r="Z323" s="36" t="inlineStr">
        <is>
          <t>(not listed: noindex)</t>
        </is>
      </c>
      <c r="AA323" s="36" t="inlineStr">
        <is>
          <t>Live – noindex (enrich before indexing)</t>
        </is>
      </c>
      <c r="AB323" s="38" t="n"/>
      <c r="AC323" s="38" t="n"/>
    </row>
    <row r="324" ht="23.85" customHeight="1" s="22">
      <c r="A324" s="36" t="inlineStr">
        <is>
          <t>P0323</t>
        </is>
      </c>
      <c r="B324" s="36" t="inlineStr">
        <is>
          <t>https://instasure.ca/business-insurance/alberta/calgary/</t>
        </is>
      </c>
      <c r="C324" s="36" t="inlineStr">
        <is>
          <t>Product × city</t>
        </is>
      </c>
      <c r="D324" s="36" t="inlineStr">
        <is>
          <t>Business insurance</t>
        </is>
      </c>
      <c r="E324" s="36" t="inlineStr">
        <is>
          <t>Business Insurance</t>
        </is>
      </c>
      <c r="F324" s="36" t="n"/>
      <c r="G324" s="36" t="inlineStr">
        <is>
          <t>Alberta</t>
        </is>
      </c>
      <c r="H324" s="36" t="inlineStr">
        <is>
          <t>Calgary</t>
        </is>
      </c>
      <c r="I324" s="36" t="inlineStr">
        <is>
          <t>Yes</t>
        </is>
      </c>
      <c r="J324" s="25" t="inlineStr">
        <is>
          <t>Business Insurance Calgary, AB: Compare Quotes &amp; Costs (2026)</t>
        </is>
      </c>
      <c r="K324" s="36">
        <f>LEN(J324)</f>
        <v/>
      </c>
      <c r="L324" s="25" t="inlineStr">
        <is>
          <t>Compare business insurance in Calgary, AB: instant estimate ($35.00–$60.00/mo example), local risk factors and advisors licensed in Alberta.</t>
        </is>
      </c>
      <c r="M324" s="36">
        <f>LEN(L324)</f>
        <v/>
      </c>
      <c r="N324" s="25" t="inlineStr">
        <is>
          <t>Business Insurance in Calgary, AB</t>
        </is>
      </c>
      <c r="O324" s="36" t="inlineStr">
        <is>
          <t>business insurance calgary</t>
        </is>
      </c>
      <c r="P324" s="37" t="n">
        <v>320</v>
      </c>
      <c r="Q324" s="36" t="inlineStr">
        <is>
          <t>City</t>
        </is>
      </c>
      <c r="R324" s="36" t="n"/>
      <c r="S324" s="36">
        <f>COUNTIF('Page-Keyword Map'!$A$2:$A$675,B324)</f>
        <v/>
      </c>
      <c r="T324" s="37">
        <f>SUMIF('Page-Keyword Map'!$A$2:$A$675,B324,'Page-Keyword Map'!$H$2:$H$675)</f>
        <v/>
      </c>
      <c r="U324" s="36">
        <f>COUNTIFS('Page-Keyword Map'!$A$2:$A$675,B324,'Page-Keyword Map'!$E$2:$E$675,"Nationwide")</f>
        <v/>
      </c>
      <c r="V324" s="36">
        <f>COUNTIFS('Page-Keyword Map'!$A$2:$A$675,B324,'Page-Keyword Map'!$E$2:$E$675,"Provincial")</f>
        <v/>
      </c>
      <c r="W324" s="36">
        <f>COUNTIFS('Page-Keyword Map'!$A$2:$A$675,B324,'Page-Keyword Map'!$E$2:$E$675,"City")</f>
        <v/>
      </c>
      <c r="X324" s="36">
        <f>IF(O324="","",IF(ISNUMBER(SEARCH(O324,J324)),"Yes","No"))</f>
        <v/>
      </c>
      <c r="Y324" s="36" t="n">
        <v>0.7</v>
      </c>
      <c r="Z324" s="36" t="inlineStr">
        <is>
          <t>sitemap-cities.xml</t>
        </is>
      </c>
      <c r="AA324" s="36" t="inlineStr">
        <is>
          <t>Live – indexable</t>
        </is>
      </c>
      <c r="AB324" s="38" t="n"/>
      <c r="AC324" s="38" t="n"/>
    </row>
    <row r="325" ht="23.85" customHeight="1" s="22">
      <c r="A325" s="36" t="inlineStr">
        <is>
          <t>P0324</t>
        </is>
      </c>
      <c r="B325" s="36" t="inlineStr">
        <is>
          <t>https://instasure.ca/business-insurance/alberta/edmonton/</t>
        </is>
      </c>
      <c r="C325" s="36" t="inlineStr">
        <is>
          <t>Product × city</t>
        </is>
      </c>
      <c r="D325" s="36" t="inlineStr">
        <is>
          <t>Business insurance</t>
        </is>
      </c>
      <c r="E325" s="36" t="inlineStr">
        <is>
          <t>Business Insurance</t>
        </is>
      </c>
      <c r="F325" s="36" t="n"/>
      <c r="G325" s="36" t="inlineStr">
        <is>
          <t>Alberta</t>
        </is>
      </c>
      <c r="H325" s="36" t="inlineStr">
        <is>
          <t>Edmonton</t>
        </is>
      </c>
      <c r="I325" s="36" t="inlineStr">
        <is>
          <t>Yes</t>
        </is>
      </c>
      <c r="J325" s="25" t="inlineStr">
        <is>
          <t>Business Insurance Edmonton, AB: Compare Quotes &amp; Costs (2026)</t>
        </is>
      </c>
      <c r="K325" s="36">
        <f>LEN(J325)</f>
        <v/>
      </c>
      <c r="L325" s="25" t="inlineStr">
        <is>
          <t>Compare business insurance in Edmonton, AB: instant estimate ($35.00–$60.00/mo example), local risk factors and advisors licensed in Alberta.</t>
        </is>
      </c>
      <c r="M325" s="36">
        <f>LEN(L325)</f>
        <v/>
      </c>
      <c r="N325" s="25" t="inlineStr">
        <is>
          <t>Business Insurance in Edmonton, AB</t>
        </is>
      </c>
      <c r="O325" s="36" t="inlineStr">
        <is>
          <t>business insurance edmonton</t>
        </is>
      </c>
      <c r="P325" s="37" t="n">
        <v>260</v>
      </c>
      <c r="Q325" s="36" t="inlineStr">
        <is>
          <t>City</t>
        </is>
      </c>
      <c r="R325" s="36" t="n"/>
      <c r="S325" s="36">
        <f>COUNTIF('Page-Keyword Map'!$A$2:$A$675,B325)</f>
        <v/>
      </c>
      <c r="T325" s="37">
        <f>SUMIF('Page-Keyword Map'!$A$2:$A$675,B325,'Page-Keyword Map'!$H$2:$H$675)</f>
        <v/>
      </c>
      <c r="U325" s="36">
        <f>COUNTIFS('Page-Keyword Map'!$A$2:$A$675,B325,'Page-Keyword Map'!$E$2:$E$675,"Nationwide")</f>
        <v/>
      </c>
      <c r="V325" s="36">
        <f>COUNTIFS('Page-Keyword Map'!$A$2:$A$675,B325,'Page-Keyword Map'!$E$2:$E$675,"Provincial")</f>
        <v/>
      </c>
      <c r="W325" s="36">
        <f>COUNTIFS('Page-Keyword Map'!$A$2:$A$675,B325,'Page-Keyword Map'!$E$2:$E$675,"City")</f>
        <v/>
      </c>
      <c r="X325" s="36">
        <f>IF(O325="","",IF(ISNUMBER(SEARCH(O325,J325)),"Yes","No"))</f>
        <v/>
      </c>
      <c r="Y325" s="36" t="n">
        <v>0.7</v>
      </c>
      <c r="Z325" s="36" t="inlineStr">
        <is>
          <t>sitemap-cities.xml</t>
        </is>
      </c>
      <c r="AA325" s="36" t="inlineStr">
        <is>
          <t>Live – indexable</t>
        </is>
      </c>
      <c r="AB325" s="38" t="n"/>
      <c r="AC325" s="38" t="n"/>
    </row>
    <row r="326" ht="23.85" customHeight="1" s="22">
      <c r="A326" s="36" t="inlineStr">
        <is>
          <t>P0325</t>
        </is>
      </c>
      <c r="B326" s="36" t="inlineStr">
        <is>
          <t>https://instasure.ca/business-insurance/alberta/lethbridge/</t>
        </is>
      </c>
      <c r="C326" s="36" t="inlineStr">
        <is>
          <t>Product × city</t>
        </is>
      </c>
      <c r="D326" s="36" t="inlineStr">
        <is>
          <t>Business insurance</t>
        </is>
      </c>
      <c r="E326" s="36" t="inlineStr">
        <is>
          <t>Business Insurance</t>
        </is>
      </c>
      <c r="F326" s="36" t="n"/>
      <c r="G326" s="36" t="inlineStr">
        <is>
          <t>Alberta</t>
        </is>
      </c>
      <c r="H326" s="36" t="inlineStr">
        <is>
          <t>Lethbridge</t>
        </is>
      </c>
      <c r="I326" s="36" t="inlineStr">
        <is>
          <t>No</t>
        </is>
      </c>
      <c r="J326" s="25" t="inlineStr">
        <is>
          <t>Business Insurance Lethbridge, AB: Compare Quotes &amp; Costs (2026)</t>
        </is>
      </c>
      <c r="K326" s="36">
        <f>LEN(J326)</f>
        <v/>
      </c>
      <c r="L326" s="25" t="inlineStr">
        <is>
          <t>Compare business insurance in Lethbridge, AB: instant estimate ($35.00–$60.00/mo example), local risk factors and advisors licensed in Alberta.</t>
        </is>
      </c>
      <c r="M326" s="36">
        <f>LEN(L326)</f>
        <v/>
      </c>
      <c r="N326" s="25" t="inlineStr">
        <is>
          <t>Business Insurance in Lethbridge, AB</t>
        </is>
      </c>
      <c r="O326" s="36" t="inlineStr">
        <is>
          <t>business insurance lethbridge</t>
        </is>
      </c>
      <c r="P326" s="37" t="n">
        <v>41</v>
      </c>
      <c r="Q326" s="36" t="inlineStr">
        <is>
          <t>City</t>
        </is>
      </c>
      <c r="R326" s="36" t="n"/>
      <c r="S326" s="36">
        <f>COUNTIF('Page-Keyword Map'!$A$2:$A$675,B326)</f>
        <v/>
      </c>
      <c r="T326" s="37">
        <f>SUMIF('Page-Keyword Map'!$A$2:$A$675,B326,'Page-Keyword Map'!$H$2:$H$675)</f>
        <v/>
      </c>
      <c r="U326" s="36">
        <f>COUNTIFS('Page-Keyword Map'!$A$2:$A$675,B326,'Page-Keyword Map'!$E$2:$E$675,"Nationwide")</f>
        <v/>
      </c>
      <c r="V326" s="36">
        <f>COUNTIFS('Page-Keyword Map'!$A$2:$A$675,B326,'Page-Keyword Map'!$E$2:$E$675,"Provincial")</f>
        <v/>
      </c>
      <c r="W326" s="36">
        <f>COUNTIFS('Page-Keyword Map'!$A$2:$A$675,B326,'Page-Keyword Map'!$E$2:$E$675,"City")</f>
        <v/>
      </c>
      <c r="X326" s="36">
        <f>IF(O326="","",IF(ISNUMBER(SEARCH(O326,J326)),"Yes","No"))</f>
        <v/>
      </c>
      <c r="Y326" s="36" t="n">
        <v>0.5</v>
      </c>
      <c r="Z326" s="36" t="inlineStr">
        <is>
          <t>(not listed: noindex)</t>
        </is>
      </c>
      <c r="AA326" s="36" t="inlineStr">
        <is>
          <t>Live – noindex (enrich before indexing)</t>
        </is>
      </c>
      <c r="AB326" s="38" t="n"/>
      <c r="AC326" s="38" t="n"/>
    </row>
    <row r="327" ht="23.85" customHeight="1" s="22">
      <c r="A327" s="36" t="inlineStr">
        <is>
          <t>P0326</t>
        </is>
      </c>
      <c r="B327" s="36" t="inlineStr">
        <is>
          <t>https://instasure.ca/business-insurance/alberta/red-deer/</t>
        </is>
      </c>
      <c r="C327" s="36" t="inlineStr">
        <is>
          <t>Product × city</t>
        </is>
      </c>
      <c r="D327" s="36" t="inlineStr">
        <is>
          <t>Business insurance</t>
        </is>
      </c>
      <c r="E327" s="36" t="inlineStr">
        <is>
          <t>Business Insurance</t>
        </is>
      </c>
      <c r="F327" s="36" t="n"/>
      <c r="G327" s="36" t="inlineStr">
        <is>
          <t>Alberta</t>
        </is>
      </c>
      <c r="H327" s="36" t="inlineStr">
        <is>
          <t>Red Deer</t>
        </is>
      </c>
      <c r="I327" s="36" t="inlineStr">
        <is>
          <t>No</t>
        </is>
      </c>
      <c r="J327" s="25" t="inlineStr">
        <is>
          <t>Business Insurance Red Deer, AB: Compare Quotes &amp; Costs (2026)</t>
        </is>
      </c>
      <c r="K327" s="36">
        <f>LEN(J327)</f>
        <v/>
      </c>
      <c r="L327" s="25" t="inlineStr">
        <is>
          <t>Compare business insurance in Red Deer, AB: instant estimate ($35.00–$60.00/mo example), local risk factors and advisors licensed in Alberta.</t>
        </is>
      </c>
      <c r="M327" s="36">
        <f>LEN(L327)</f>
        <v/>
      </c>
      <c r="N327" s="25" t="inlineStr">
        <is>
          <t>Business Insurance in Red Deer, AB</t>
        </is>
      </c>
      <c r="O327" s="36" t="inlineStr">
        <is>
          <t>business insurance red deer</t>
        </is>
      </c>
      <c r="P327" s="37" t="n">
        <v>41</v>
      </c>
      <c r="Q327" s="36" t="inlineStr">
        <is>
          <t>City</t>
        </is>
      </c>
      <c r="R327" s="36" t="n"/>
      <c r="S327" s="36">
        <f>COUNTIF('Page-Keyword Map'!$A$2:$A$675,B327)</f>
        <v/>
      </c>
      <c r="T327" s="37">
        <f>SUMIF('Page-Keyword Map'!$A$2:$A$675,B327,'Page-Keyword Map'!$H$2:$H$675)</f>
        <v/>
      </c>
      <c r="U327" s="36">
        <f>COUNTIFS('Page-Keyword Map'!$A$2:$A$675,B327,'Page-Keyword Map'!$E$2:$E$675,"Nationwide")</f>
        <v/>
      </c>
      <c r="V327" s="36">
        <f>COUNTIFS('Page-Keyword Map'!$A$2:$A$675,B327,'Page-Keyword Map'!$E$2:$E$675,"Provincial")</f>
        <v/>
      </c>
      <c r="W327" s="36">
        <f>COUNTIFS('Page-Keyword Map'!$A$2:$A$675,B327,'Page-Keyword Map'!$E$2:$E$675,"City")</f>
        <v/>
      </c>
      <c r="X327" s="36">
        <f>IF(O327="","",IF(ISNUMBER(SEARCH(O327,J327)),"Yes","No"))</f>
        <v/>
      </c>
      <c r="Y327" s="36" t="n">
        <v>0.5</v>
      </c>
      <c r="Z327" s="36" t="inlineStr">
        <is>
          <t>(not listed: noindex)</t>
        </is>
      </c>
      <c r="AA327" s="36" t="inlineStr">
        <is>
          <t>Live – noindex (enrich before indexing)</t>
        </is>
      </c>
      <c r="AB327" s="38" t="n"/>
      <c r="AC327" s="38" t="n"/>
    </row>
    <row r="328" ht="23.85" customHeight="1" s="22">
      <c r="A328" s="36" t="inlineStr">
        <is>
          <t>P0327</t>
        </is>
      </c>
      <c r="B328" s="36" t="inlineStr">
        <is>
          <t>https://instasure.ca/business-insurance/british-columbia/abbotsford/</t>
        </is>
      </c>
      <c r="C328" s="36" t="inlineStr">
        <is>
          <t>Product × city</t>
        </is>
      </c>
      <c r="D328" s="36" t="inlineStr">
        <is>
          <t>Business insurance</t>
        </is>
      </c>
      <c r="E328" s="36" t="inlineStr">
        <is>
          <t>Business Insurance</t>
        </is>
      </c>
      <c r="F328" s="36" t="n"/>
      <c r="G328" s="36" t="inlineStr">
        <is>
          <t>British Columbia</t>
        </is>
      </c>
      <c r="H328" s="36" t="inlineStr">
        <is>
          <t>Abbotsford</t>
        </is>
      </c>
      <c r="I328" s="36" t="inlineStr">
        <is>
          <t>No</t>
        </is>
      </c>
      <c r="J328" s="25" t="inlineStr">
        <is>
          <t>Business Insurance Abbotsford, BC: Compare Quotes &amp; Costs (2026)</t>
        </is>
      </c>
      <c r="K328" s="36">
        <f>LEN(J328)</f>
        <v/>
      </c>
      <c r="L328" s="25" t="inlineStr">
        <is>
          <t>Compare business insurance in Abbotsford, BC: instant estimate ($35.00–$60.00/mo example), local risk factors and advisors licensed in British Columbia.</t>
        </is>
      </c>
      <c r="M328" s="36">
        <f>LEN(L328)</f>
        <v/>
      </c>
      <c r="N328" s="25" t="inlineStr">
        <is>
          <t>Business Insurance in Abbotsford, BC</t>
        </is>
      </c>
      <c r="O328" s="36" t="inlineStr">
        <is>
          <t>business insurance abbotsford</t>
        </is>
      </c>
      <c r="P328" s="37" t="n">
        <v>58</v>
      </c>
      <c r="Q328" s="36" t="inlineStr">
        <is>
          <t>City</t>
        </is>
      </c>
      <c r="R328" s="36" t="n"/>
      <c r="S328" s="36">
        <f>COUNTIF('Page-Keyword Map'!$A$2:$A$675,B328)</f>
        <v/>
      </c>
      <c r="T328" s="37">
        <f>SUMIF('Page-Keyword Map'!$A$2:$A$675,B328,'Page-Keyword Map'!$H$2:$H$675)</f>
        <v/>
      </c>
      <c r="U328" s="36">
        <f>COUNTIFS('Page-Keyword Map'!$A$2:$A$675,B328,'Page-Keyword Map'!$E$2:$E$675,"Nationwide")</f>
        <v/>
      </c>
      <c r="V328" s="36">
        <f>COUNTIFS('Page-Keyword Map'!$A$2:$A$675,B328,'Page-Keyword Map'!$E$2:$E$675,"Provincial")</f>
        <v/>
      </c>
      <c r="W328" s="36">
        <f>COUNTIFS('Page-Keyword Map'!$A$2:$A$675,B328,'Page-Keyword Map'!$E$2:$E$675,"City")</f>
        <v/>
      </c>
      <c r="X328" s="36">
        <f>IF(O328="","",IF(ISNUMBER(SEARCH(O328,J328)),"Yes","No"))</f>
        <v/>
      </c>
      <c r="Y328" s="36" t="n">
        <v>0.5</v>
      </c>
      <c r="Z328" s="36" t="inlineStr">
        <is>
          <t>(not listed: noindex)</t>
        </is>
      </c>
      <c r="AA328" s="36" t="inlineStr">
        <is>
          <t>Live – noindex (enrich before indexing)</t>
        </is>
      </c>
      <c r="AB328" s="38" t="n"/>
      <c r="AC328" s="38" t="n"/>
    </row>
    <row r="329" ht="23.85" customHeight="1" s="22">
      <c r="A329" s="36" t="inlineStr">
        <is>
          <t>P0328</t>
        </is>
      </c>
      <c r="B329" s="36" t="inlineStr">
        <is>
          <t>https://instasure.ca/business-insurance/british-columbia/burnaby/</t>
        </is>
      </c>
      <c r="C329" s="36" t="inlineStr">
        <is>
          <t>Product × city</t>
        </is>
      </c>
      <c r="D329" s="36" t="inlineStr">
        <is>
          <t>Business insurance</t>
        </is>
      </c>
      <c r="E329" s="36" t="inlineStr">
        <is>
          <t>Business Insurance</t>
        </is>
      </c>
      <c r="F329" s="36" t="n"/>
      <c r="G329" s="36" t="inlineStr">
        <is>
          <t>British Columbia</t>
        </is>
      </c>
      <c r="H329" s="36" t="inlineStr">
        <is>
          <t>Burnaby</t>
        </is>
      </c>
      <c r="I329" s="36" t="inlineStr">
        <is>
          <t>Yes</t>
        </is>
      </c>
      <c r="J329" s="25" t="inlineStr">
        <is>
          <t>Business Insurance Burnaby, BC: Compare Quotes &amp; Costs (2026)</t>
        </is>
      </c>
      <c r="K329" s="36">
        <f>LEN(J329)</f>
        <v/>
      </c>
      <c r="L329" s="25" t="inlineStr">
        <is>
          <t>Compare business insurance in Burnaby, BC: instant estimate ($35.00–$60.00/mo example), local risk factors and advisors licensed in British Columbia.</t>
        </is>
      </c>
      <c r="M329" s="36">
        <f>LEN(L329)</f>
        <v/>
      </c>
      <c r="N329" s="25" t="inlineStr">
        <is>
          <t>Business Insurance in Burnaby, BC</t>
        </is>
      </c>
      <c r="O329" s="36" t="inlineStr">
        <is>
          <t>business insurance burnaby</t>
        </is>
      </c>
      <c r="P329" s="37" t="n">
        <v>86</v>
      </c>
      <c r="Q329" s="36" t="inlineStr">
        <is>
          <t>City</t>
        </is>
      </c>
      <c r="R329" s="36" t="n"/>
      <c r="S329" s="36">
        <f>COUNTIF('Page-Keyword Map'!$A$2:$A$675,B329)</f>
        <v/>
      </c>
      <c r="T329" s="37">
        <f>SUMIF('Page-Keyword Map'!$A$2:$A$675,B329,'Page-Keyword Map'!$H$2:$H$675)</f>
        <v/>
      </c>
      <c r="U329" s="36">
        <f>COUNTIFS('Page-Keyword Map'!$A$2:$A$675,B329,'Page-Keyword Map'!$E$2:$E$675,"Nationwide")</f>
        <v/>
      </c>
      <c r="V329" s="36">
        <f>COUNTIFS('Page-Keyword Map'!$A$2:$A$675,B329,'Page-Keyword Map'!$E$2:$E$675,"Provincial")</f>
        <v/>
      </c>
      <c r="W329" s="36">
        <f>COUNTIFS('Page-Keyword Map'!$A$2:$A$675,B329,'Page-Keyword Map'!$E$2:$E$675,"City")</f>
        <v/>
      </c>
      <c r="X329" s="36">
        <f>IF(O329="","",IF(ISNUMBER(SEARCH(O329,J329)),"Yes","No"))</f>
        <v/>
      </c>
      <c r="Y329" s="36" t="n">
        <v>0.7</v>
      </c>
      <c r="Z329" s="36" t="inlineStr">
        <is>
          <t>sitemap-cities.xml</t>
        </is>
      </c>
      <c r="AA329" s="36" t="inlineStr">
        <is>
          <t>Live – indexable</t>
        </is>
      </c>
      <c r="AB329" s="38" t="n"/>
      <c r="AC329" s="38" t="n"/>
    </row>
    <row r="330" ht="23.85" customHeight="1" s="22">
      <c r="A330" s="36" t="inlineStr">
        <is>
          <t>P0329</t>
        </is>
      </c>
      <c r="B330" s="36" t="inlineStr">
        <is>
          <t>https://instasure.ca/business-insurance/british-columbia/coquitlam/</t>
        </is>
      </c>
      <c r="C330" s="36" t="inlineStr">
        <is>
          <t>Product × city</t>
        </is>
      </c>
      <c r="D330" s="36" t="inlineStr">
        <is>
          <t>Business insurance</t>
        </is>
      </c>
      <c r="E330" s="36" t="inlineStr">
        <is>
          <t>Business Insurance</t>
        </is>
      </c>
      <c r="F330" s="36" t="n"/>
      <c r="G330" s="36" t="inlineStr">
        <is>
          <t>British Columbia</t>
        </is>
      </c>
      <c r="H330" s="36" t="inlineStr">
        <is>
          <t>Coquitlam</t>
        </is>
      </c>
      <c r="I330" s="36" t="inlineStr">
        <is>
          <t>No</t>
        </is>
      </c>
      <c r="J330" s="25" t="inlineStr">
        <is>
          <t>Business Insurance Coquitlam, BC: Compare Quotes &amp; Costs (2026)</t>
        </is>
      </c>
      <c r="K330" s="36">
        <f>LEN(J330)</f>
        <v/>
      </c>
      <c r="L330" s="25" t="inlineStr">
        <is>
          <t>Compare business insurance in Coquitlam, BC: instant estimate ($35.00–$60.00/mo example), local risk factors and advisors licensed in British Columbia.</t>
        </is>
      </c>
      <c r="M330" s="36">
        <f>LEN(L330)</f>
        <v/>
      </c>
      <c r="N330" s="25" t="inlineStr">
        <is>
          <t>Business Insurance in Coquitlam, BC</t>
        </is>
      </c>
      <c r="O330" s="36" t="inlineStr">
        <is>
          <t>business insurance coquitlam</t>
        </is>
      </c>
      <c r="P330" s="37" t="n">
        <v>57</v>
      </c>
      <c r="Q330" s="36" t="inlineStr">
        <is>
          <t>City</t>
        </is>
      </c>
      <c r="R330" s="36" t="n"/>
      <c r="S330" s="36">
        <f>COUNTIF('Page-Keyword Map'!$A$2:$A$675,B330)</f>
        <v/>
      </c>
      <c r="T330" s="37">
        <f>SUMIF('Page-Keyword Map'!$A$2:$A$675,B330,'Page-Keyword Map'!$H$2:$H$675)</f>
        <v/>
      </c>
      <c r="U330" s="36">
        <f>COUNTIFS('Page-Keyword Map'!$A$2:$A$675,B330,'Page-Keyword Map'!$E$2:$E$675,"Nationwide")</f>
        <v/>
      </c>
      <c r="V330" s="36">
        <f>COUNTIFS('Page-Keyword Map'!$A$2:$A$675,B330,'Page-Keyword Map'!$E$2:$E$675,"Provincial")</f>
        <v/>
      </c>
      <c r="W330" s="36">
        <f>COUNTIFS('Page-Keyword Map'!$A$2:$A$675,B330,'Page-Keyword Map'!$E$2:$E$675,"City")</f>
        <v/>
      </c>
      <c r="X330" s="36">
        <f>IF(O330="","",IF(ISNUMBER(SEARCH(O330,J330)),"Yes","No"))</f>
        <v/>
      </c>
      <c r="Y330" s="36" t="n">
        <v>0.5</v>
      </c>
      <c r="Z330" s="36" t="inlineStr">
        <is>
          <t>(not listed: noindex)</t>
        </is>
      </c>
      <c r="AA330" s="36" t="inlineStr">
        <is>
          <t>Live – noindex (enrich before indexing)</t>
        </is>
      </c>
      <c r="AB330" s="38" t="n"/>
      <c r="AC330" s="38" t="n"/>
    </row>
    <row r="331" ht="23.85" customHeight="1" s="22">
      <c r="A331" s="36" t="inlineStr">
        <is>
          <t>P0330</t>
        </is>
      </c>
      <c r="B331" s="36" t="inlineStr">
        <is>
          <t>https://instasure.ca/business-insurance/british-columbia/kelowna/</t>
        </is>
      </c>
      <c r="C331" s="36" t="inlineStr">
        <is>
          <t>Product × city</t>
        </is>
      </c>
      <c r="D331" s="36" t="inlineStr">
        <is>
          <t>Business insurance</t>
        </is>
      </c>
      <c r="E331" s="36" t="inlineStr">
        <is>
          <t>Business Insurance</t>
        </is>
      </c>
      <c r="F331" s="36" t="n"/>
      <c r="G331" s="36" t="inlineStr">
        <is>
          <t>British Columbia</t>
        </is>
      </c>
      <c r="H331" s="36" t="inlineStr">
        <is>
          <t>Kelowna</t>
        </is>
      </c>
      <c r="I331" s="36" t="inlineStr">
        <is>
          <t>Yes</t>
        </is>
      </c>
      <c r="J331" s="25" t="inlineStr">
        <is>
          <t>Business Insurance Kelowna, BC: Compare Quotes &amp; Costs (2026)</t>
        </is>
      </c>
      <c r="K331" s="36">
        <f>LEN(J331)</f>
        <v/>
      </c>
      <c r="L331" s="25" t="inlineStr">
        <is>
          <t>Compare business insurance in Kelowna, BC: instant estimate ($35.00–$60.00/mo example), local risk factors and advisors licensed in British Columbia.</t>
        </is>
      </c>
      <c r="M331" s="36">
        <f>LEN(L331)</f>
        <v/>
      </c>
      <c r="N331" s="25" t="inlineStr">
        <is>
          <t>Business Insurance in Kelowna, BC</t>
        </is>
      </c>
      <c r="O331" s="36" t="inlineStr">
        <is>
          <t>business insurance kelowna</t>
        </is>
      </c>
      <c r="P331" s="37" t="n">
        <v>55</v>
      </c>
      <c r="Q331" s="36" t="inlineStr">
        <is>
          <t>City</t>
        </is>
      </c>
      <c r="R331" s="36" t="n"/>
      <c r="S331" s="36">
        <f>COUNTIF('Page-Keyword Map'!$A$2:$A$675,B331)</f>
        <v/>
      </c>
      <c r="T331" s="37">
        <f>SUMIF('Page-Keyword Map'!$A$2:$A$675,B331,'Page-Keyword Map'!$H$2:$H$675)</f>
        <v/>
      </c>
      <c r="U331" s="36">
        <f>COUNTIFS('Page-Keyword Map'!$A$2:$A$675,B331,'Page-Keyword Map'!$E$2:$E$675,"Nationwide")</f>
        <v/>
      </c>
      <c r="V331" s="36">
        <f>COUNTIFS('Page-Keyword Map'!$A$2:$A$675,B331,'Page-Keyword Map'!$E$2:$E$675,"Provincial")</f>
        <v/>
      </c>
      <c r="W331" s="36">
        <f>COUNTIFS('Page-Keyword Map'!$A$2:$A$675,B331,'Page-Keyword Map'!$E$2:$E$675,"City")</f>
        <v/>
      </c>
      <c r="X331" s="36">
        <f>IF(O331="","",IF(ISNUMBER(SEARCH(O331,J331)),"Yes","No"))</f>
        <v/>
      </c>
      <c r="Y331" s="36" t="n">
        <v>0.7</v>
      </c>
      <c r="Z331" s="36" t="inlineStr">
        <is>
          <t>sitemap-cities.xml</t>
        </is>
      </c>
      <c r="AA331" s="36" t="inlineStr">
        <is>
          <t>Live – indexable</t>
        </is>
      </c>
      <c r="AB331" s="38" t="n"/>
      <c r="AC331" s="38" t="n"/>
    </row>
    <row r="332" ht="23.85" customHeight="1" s="22">
      <c r="A332" s="36" t="inlineStr">
        <is>
          <t>P0331</t>
        </is>
      </c>
      <c r="B332" s="36" t="inlineStr">
        <is>
          <t>https://instasure.ca/business-insurance/british-columbia/langley/</t>
        </is>
      </c>
      <c r="C332" s="36" t="inlineStr">
        <is>
          <t>Product × city</t>
        </is>
      </c>
      <c r="D332" s="36" t="inlineStr">
        <is>
          <t>Business insurance</t>
        </is>
      </c>
      <c r="E332" s="36" t="inlineStr">
        <is>
          <t>Business Insurance</t>
        </is>
      </c>
      <c r="F332" s="36" t="n"/>
      <c r="G332" s="36" t="inlineStr">
        <is>
          <t>British Columbia</t>
        </is>
      </c>
      <c r="H332" s="36" t="inlineStr">
        <is>
          <t>Langley</t>
        </is>
      </c>
      <c r="I332" s="36" t="inlineStr">
        <is>
          <t>No</t>
        </is>
      </c>
      <c r="J332" s="25" t="inlineStr">
        <is>
          <t>Business Insurance Langley, BC: Compare Quotes &amp; Costs (2026)</t>
        </is>
      </c>
      <c r="K332" s="36">
        <f>LEN(J332)</f>
        <v/>
      </c>
      <c r="L332" s="25" t="inlineStr">
        <is>
          <t>Compare business insurance in Langley, BC: instant estimate ($35.00–$60.00/mo example), local risk factors and advisors licensed in British Columbia.</t>
        </is>
      </c>
      <c r="M332" s="36">
        <f>LEN(L332)</f>
        <v/>
      </c>
      <c r="N332" s="25" t="inlineStr">
        <is>
          <t>Business Insurance in Langley, BC</t>
        </is>
      </c>
      <c r="O332" s="36" t="inlineStr">
        <is>
          <t>business insurance langley</t>
        </is>
      </c>
      <c r="P332" s="37" t="n">
        <v>52</v>
      </c>
      <c r="Q332" s="36" t="inlineStr">
        <is>
          <t>City</t>
        </is>
      </c>
      <c r="R332" s="36" t="n"/>
      <c r="S332" s="36">
        <f>COUNTIF('Page-Keyword Map'!$A$2:$A$675,B332)</f>
        <v/>
      </c>
      <c r="T332" s="37">
        <f>SUMIF('Page-Keyword Map'!$A$2:$A$675,B332,'Page-Keyword Map'!$H$2:$H$675)</f>
        <v/>
      </c>
      <c r="U332" s="36">
        <f>COUNTIFS('Page-Keyword Map'!$A$2:$A$675,B332,'Page-Keyword Map'!$E$2:$E$675,"Nationwide")</f>
        <v/>
      </c>
      <c r="V332" s="36">
        <f>COUNTIFS('Page-Keyword Map'!$A$2:$A$675,B332,'Page-Keyword Map'!$E$2:$E$675,"Provincial")</f>
        <v/>
      </c>
      <c r="W332" s="36">
        <f>COUNTIFS('Page-Keyword Map'!$A$2:$A$675,B332,'Page-Keyword Map'!$E$2:$E$675,"City")</f>
        <v/>
      </c>
      <c r="X332" s="36">
        <f>IF(O332="","",IF(ISNUMBER(SEARCH(O332,J332)),"Yes","No"))</f>
        <v/>
      </c>
      <c r="Y332" s="36" t="n">
        <v>0.5</v>
      </c>
      <c r="Z332" s="36" t="inlineStr">
        <is>
          <t>(not listed: noindex)</t>
        </is>
      </c>
      <c r="AA332" s="36" t="inlineStr">
        <is>
          <t>Live – noindex (enrich before indexing)</t>
        </is>
      </c>
      <c r="AB332" s="38" t="n"/>
      <c r="AC332" s="38" t="n"/>
    </row>
    <row r="333" ht="23.85" customHeight="1" s="22">
      <c r="A333" s="36" t="inlineStr">
        <is>
          <t>P0332</t>
        </is>
      </c>
      <c r="B333" s="36" t="inlineStr">
        <is>
          <t>https://instasure.ca/business-insurance/british-columbia/richmond/</t>
        </is>
      </c>
      <c r="C333" s="36" t="inlineStr">
        <is>
          <t>Product × city</t>
        </is>
      </c>
      <c r="D333" s="36" t="inlineStr">
        <is>
          <t>Business insurance</t>
        </is>
      </c>
      <c r="E333" s="36" t="inlineStr">
        <is>
          <t>Business Insurance</t>
        </is>
      </c>
      <c r="F333" s="36" t="n"/>
      <c r="G333" s="36" t="inlineStr">
        <is>
          <t>British Columbia</t>
        </is>
      </c>
      <c r="H333" s="36" t="inlineStr">
        <is>
          <t>Richmond</t>
        </is>
      </c>
      <c r="I333" s="36" t="inlineStr">
        <is>
          <t>No</t>
        </is>
      </c>
      <c r="J333" s="25" t="inlineStr">
        <is>
          <t>Business Insurance Richmond, BC: Compare Quotes &amp; Costs (2026)</t>
        </is>
      </c>
      <c r="K333" s="36">
        <f>LEN(J333)</f>
        <v/>
      </c>
      <c r="L333" s="25" t="inlineStr">
        <is>
          <t>Compare business insurance in Richmond, BC: instant estimate ($35.00–$60.00/mo example), local risk factors and advisors licensed in British Columbia.</t>
        </is>
      </c>
      <c r="M333" s="36">
        <f>LEN(L333)</f>
        <v/>
      </c>
      <c r="N333" s="25" t="inlineStr">
        <is>
          <t>Business Insurance in Richmond, BC</t>
        </is>
      </c>
      <c r="O333" s="36" t="inlineStr">
        <is>
          <t>business insurance richmond bc</t>
        </is>
      </c>
      <c r="P333" s="37" t="n">
        <v>75</v>
      </c>
      <c r="Q333" s="36" t="inlineStr">
        <is>
          <t>City</t>
        </is>
      </c>
      <c r="R333" s="36" t="n"/>
      <c r="S333" s="36">
        <f>COUNTIF('Page-Keyword Map'!$A$2:$A$675,B333)</f>
        <v/>
      </c>
      <c r="T333" s="37">
        <f>SUMIF('Page-Keyword Map'!$A$2:$A$675,B333,'Page-Keyword Map'!$H$2:$H$675)</f>
        <v/>
      </c>
      <c r="U333" s="36">
        <f>COUNTIFS('Page-Keyword Map'!$A$2:$A$675,B333,'Page-Keyword Map'!$E$2:$E$675,"Nationwide")</f>
        <v/>
      </c>
      <c r="V333" s="36">
        <f>COUNTIFS('Page-Keyword Map'!$A$2:$A$675,B333,'Page-Keyword Map'!$E$2:$E$675,"Provincial")</f>
        <v/>
      </c>
      <c r="W333" s="36">
        <f>COUNTIFS('Page-Keyword Map'!$A$2:$A$675,B333,'Page-Keyword Map'!$E$2:$E$675,"City")</f>
        <v/>
      </c>
      <c r="X333" s="36">
        <f>IF(O333="","",IF(ISNUMBER(SEARCH(O333,J333)),"Yes","No"))</f>
        <v/>
      </c>
      <c r="Y333" s="36" t="n">
        <v>0.5</v>
      </c>
      <c r="Z333" s="36" t="inlineStr">
        <is>
          <t>(not listed: noindex)</t>
        </is>
      </c>
      <c r="AA333" s="36" t="inlineStr">
        <is>
          <t>Live – noindex (enrich before indexing)</t>
        </is>
      </c>
      <c r="AB333" s="38" t="n"/>
      <c r="AC333" s="38" t="n"/>
    </row>
    <row r="334" ht="23.85" customHeight="1" s="22">
      <c r="A334" s="36" t="inlineStr">
        <is>
          <t>P0333</t>
        </is>
      </c>
      <c r="B334" s="36" t="inlineStr">
        <is>
          <t>https://instasure.ca/business-insurance/british-columbia/surrey/</t>
        </is>
      </c>
      <c r="C334" s="36" t="inlineStr">
        <is>
          <t>Product × city</t>
        </is>
      </c>
      <c r="D334" s="36" t="inlineStr">
        <is>
          <t>Business insurance</t>
        </is>
      </c>
      <c r="E334" s="36" t="inlineStr">
        <is>
          <t>Business Insurance</t>
        </is>
      </c>
      <c r="F334" s="36" t="n"/>
      <c r="G334" s="36" t="inlineStr">
        <is>
          <t>British Columbia</t>
        </is>
      </c>
      <c r="H334" s="36" t="inlineStr">
        <is>
          <t>Surrey</t>
        </is>
      </c>
      <c r="I334" s="36" t="inlineStr">
        <is>
          <t>Yes</t>
        </is>
      </c>
      <c r="J334" s="25" t="inlineStr">
        <is>
          <t>Business Insurance Surrey, BC: Compare Quotes &amp; Costs (2026)</t>
        </is>
      </c>
      <c r="K334" s="36">
        <f>LEN(J334)</f>
        <v/>
      </c>
      <c r="L334" s="25" t="inlineStr">
        <is>
          <t>Compare business insurance in Surrey, BC: instant estimate ($35.00–$60.00/mo example), local risk factors and advisors licensed in British Columbia.</t>
        </is>
      </c>
      <c r="M334" s="36">
        <f>LEN(L334)</f>
        <v/>
      </c>
      <c r="N334" s="25" t="inlineStr">
        <is>
          <t>Business Insurance in Surrey, BC</t>
        </is>
      </c>
      <c r="O334" s="36" t="inlineStr">
        <is>
          <t>business insurance surrey</t>
        </is>
      </c>
      <c r="P334" s="37" t="n">
        <v>170</v>
      </c>
      <c r="Q334" s="36" t="inlineStr">
        <is>
          <t>City</t>
        </is>
      </c>
      <c r="R334" s="36" t="n"/>
      <c r="S334" s="36">
        <f>COUNTIF('Page-Keyword Map'!$A$2:$A$675,B334)</f>
        <v/>
      </c>
      <c r="T334" s="37">
        <f>SUMIF('Page-Keyword Map'!$A$2:$A$675,B334,'Page-Keyword Map'!$H$2:$H$675)</f>
        <v/>
      </c>
      <c r="U334" s="36">
        <f>COUNTIFS('Page-Keyword Map'!$A$2:$A$675,B334,'Page-Keyword Map'!$E$2:$E$675,"Nationwide")</f>
        <v/>
      </c>
      <c r="V334" s="36">
        <f>COUNTIFS('Page-Keyword Map'!$A$2:$A$675,B334,'Page-Keyword Map'!$E$2:$E$675,"Provincial")</f>
        <v/>
      </c>
      <c r="W334" s="36">
        <f>COUNTIFS('Page-Keyword Map'!$A$2:$A$675,B334,'Page-Keyword Map'!$E$2:$E$675,"City")</f>
        <v/>
      </c>
      <c r="X334" s="36">
        <f>IF(O334="","",IF(ISNUMBER(SEARCH(O334,J334)),"Yes","No"))</f>
        <v/>
      </c>
      <c r="Y334" s="36" t="n">
        <v>0.7</v>
      </c>
      <c r="Z334" s="36" t="inlineStr">
        <is>
          <t>sitemap-cities.xml</t>
        </is>
      </c>
      <c r="AA334" s="36" t="inlineStr">
        <is>
          <t>Live – indexable</t>
        </is>
      </c>
      <c r="AB334" s="38" t="n"/>
      <c r="AC334" s="38" t="n"/>
    </row>
    <row r="335" ht="23.85" customHeight="1" s="22">
      <c r="A335" s="36" t="inlineStr">
        <is>
          <t>P0334</t>
        </is>
      </c>
      <c r="B335" s="36" t="inlineStr">
        <is>
          <t>https://instasure.ca/business-insurance/british-columbia/vancouver/</t>
        </is>
      </c>
      <c r="C335" s="36" t="inlineStr">
        <is>
          <t>Product × city</t>
        </is>
      </c>
      <c r="D335" s="36" t="inlineStr">
        <is>
          <t>Business insurance</t>
        </is>
      </c>
      <c r="E335" s="36" t="inlineStr">
        <is>
          <t>Business Insurance</t>
        </is>
      </c>
      <c r="F335" s="36" t="n"/>
      <c r="G335" s="36" t="inlineStr">
        <is>
          <t>British Columbia</t>
        </is>
      </c>
      <c r="H335" s="36" t="inlineStr">
        <is>
          <t>Vancouver</t>
        </is>
      </c>
      <c r="I335" s="36" t="inlineStr">
        <is>
          <t>Yes</t>
        </is>
      </c>
      <c r="J335" s="25" t="inlineStr">
        <is>
          <t>Business Insurance Vancouver, BC: Compare Quotes &amp; Costs (2026)</t>
        </is>
      </c>
      <c r="K335" s="36">
        <f>LEN(J335)</f>
        <v/>
      </c>
      <c r="L335" s="25" t="inlineStr">
        <is>
          <t>Compare business insurance in Vancouver, BC: instant estimate ($35.00–$60.00/mo example), local risk factors and advisors licensed in British Columbia.</t>
        </is>
      </c>
      <c r="M335" s="36">
        <f>LEN(L335)</f>
        <v/>
      </c>
      <c r="N335" s="25" t="inlineStr">
        <is>
          <t>Business Insurance in Vancouver, BC</t>
        </is>
      </c>
      <c r="O335" s="36" t="inlineStr">
        <is>
          <t>business insurance vancouver</t>
        </is>
      </c>
      <c r="P335" s="37" t="n">
        <v>190</v>
      </c>
      <c r="Q335" s="36" t="inlineStr">
        <is>
          <t>City</t>
        </is>
      </c>
      <c r="R335" s="36" t="n"/>
      <c r="S335" s="36">
        <f>COUNTIF('Page-Keyword Map'!$A$2:$A$675,B335)</f>
        <v/>
      </c>
      <c r="T335" s="37">
        <f>SUMIF('Page-Keyword Map'!$A$2:$A$675,B335,'Page-Keyword Map'!$H$2:$H$675)</f>
        <v/>
      </c>
      <c r="U335" s="36">
        <f>COUNTIFS('Page-Keyword Map'!$A$2:$A$675,B335,'Page-Keyword Map'!$E$2:$E$675,"Nationwide")</f>
        <v/>
      </c>
      <c r="V335" s="36">
        <f>COUNTIFS('Page-Keyword Map'!$A$2:$A$675,B335,'Page-Keyword Map'!$E$2:$E$675,"Provincial")</f>
        <v/>
      </c>
      <c r="W335" s="36">
        <f>COUNTIFS('Page-Keyword Map'!$A$2:$A$675,B335,'Page-Keyword Map'!$E$2:$E$675,"City")</f>
        <v/>
      </c>
      <c r="X335" s="36">
        <f>IF(O335="","",IF(ISNUMBER(SEARCH(O335,J335)),"Yes","No"))</f>
        <v/>
      </c>
      <c r="Y335" s="36" t="n">
        <v>0.7</v>
      </c>
      <c r="Z335" s="36" t="inlineStr">
        <is>
          <t>sitemap-cities.xml</t>
        </is>
      </c>
      <c r="AA335" s="36" t="inlineStr">
        <is>
          <t>Live – indexable</t>
        </is>
      </c>
      <c r="AB335" s="38" t="n"/>
      <c r="AC335" s="38" t="n"/>
    </row>
    <row r="336" ht="23.85" customHeight="1" s="22">
      <c r="A336" s="36" t="inlineStr">
        <is>
          <t>P0335</t>
        </is>
      </c>
      <c r="B336" s="36" t="inlineStr">
        <is>
          <t>https://instasure.ca/business-insurance/british-columbia/victoria/</t>
        </is>
      </c>
      <c r="C336" s="36" t="inlineStr">
        <is>
          <t>Product × city</t>
        </is>
      </c>
      <c r="D336" s="36" t="inlineStr">
        <is>
          <t>Business insurance</t>
        </is>
      </c>
      <c r="E336" s="36" t="inlineStr">
        <is>
          <t>Business Insurance</t>
        </is>
      </c>
      <c r="F336" s="36" t="n"/>
      <c r="G336" s="36" t="inlineStr">
        <is>
          <t>British Columbia</t>
        </is>
      </c>
      <c r="H336" s="36" t="inlineStr">
        <is>
          <t>Victoria</t>
        </is>
      </c>
      <c r="I336" s="36" t="inlineStr">
        <is>
          <t>Yes</t>
        </is>
      </c>
      <c r="J336" s="25" t="inlineStr">
        <is>
          <t>Business Insurance Victoria, BC: Compare Quotes &amp; Costs (2026)</t>
        </is>
      </c>
      <c r="K336" s="36">
        <f>LEN(J336)</f>
        <v/>
      </c>
      <c r="L336" s="25" t="inlineStr">
        <is>
          <t>Compare business insurance in Victoria, BC: instant estimate ($35.00–$60.00/mo example), local risk factors and advisors licensed in British Columbia.</t>
        </is>
      </c>
      <c r="M336" s="36">
        <f>LEN(L336)</f>
        <v/>
      </c>
      <c r="N336" s="25" t="inlineStr">
        <is>
          <t>Business Insurance in Victoria, BC</t>
        </is>
      </c>
      <c r="O336" s="36" t="inlineStr">
        <is>
          <t>business insurance victoria</t>
        </is>
      </c>
      <c r="P336" s="37" t="n">
        <v>39</v>
      </c>
      <c r="Q336" s="36" t="inlineStr">
        <is>
          <t>City</t>
        </is>
      </c>
      <c r="R336" s="36" t="n"/>
      <c r="S336" s="36">
        <f>COUNTIF('Page-Keyword Map'!$A$2:$A$675,B336)</f>
        <v/>
      </c>
      <c r="T336" s="37">
        <f>SUMIF('Page-Keyword Map'!$A$2:$A$675,B336,'Page-Keyword Map'!$H$2:$H$675)</f>
        <v/>
      </c>
      <c r="U336" s="36">
        <f>COUNTIFS('Page-Keyword Map'!$A$2:$A$675,B336,'Page-Keyword Map'!$E$2:$E$675,"Nationwide")</f>
        <v/>
      </c>
      <c r="V336" s="36">
        <f>COUNTIFS('Page-Keyword Map'!$A$2:$A$675,B336,'Page-Keyword Map'!$E$2:$E$675,"Provincial")</f>
        <v/>
      </c>
      <c r="W336" s="36">
        <f>COUNTIFS('Page-Keyword Map'!$A$2:$A$675,B336,'Page-Keyword Map'!$E$2:$E$675,"City")</f>
        <v/>
      </c>
      <c r="X336" s="36">
        <f>IF(O336="","",IF(ISNUMBER(SEARCH(O336,J336)),"Yes","No"))</f>
        <v/>
      </c>
      <c r="Y336" s="36" t="n">
        <v>0.7</v>
      </c>
      <c r="Z336" s="36" t="inlineStr">
        <is>
          <t>sitemap-cities.xml</t>
        </is>
      </c>
      <c r="AA336" s="36" t="inlineStr">
        <is>
          <t>Live – indexable</t>
        </is>
      </c>
      <c r="AB336" s="38" t="n"/>
      <c r="AC336" s="38" t="n"/>
    </row>
    <row r="337" ht="23.85" customHeight="1" s="22">
      <c r="A337" s="36" t="inlineStr">
        <is>
          <t>P0336</t>
        </is>
      </c>
      <c r="B337" s="36" t="inlineStr">
        <is>
          <t>https://instasure.ca/business-insurance/manitoba/brandon/</t>
        </is>
      </c>
      <c r="C337" s="36" t="inlineStr">
        <is>
          <t>Product × city</t>
        </is>
      </c>
      <c r="D337" s="36" t="inlineStr">
        <is>
          <t>Business insurance</t>
        </is>
      </c>
      <c r="E337" s="36" t="inlineStr">
        <is>
          <t>Business Insurance</t>
        </is>
      </c>
      <c r="F337" s="36" t="n"/>
      <c r="G337" s="36" t="inlineStr">
        <is>
          <t>Manitoba</t>
        </is>
      </c>
      <c r="H337" s="36" t="inlineStr">
        <is>
          <t>Brandon</t>
        </is>
      </c>
      <c r="I337" s="36" t="inlineStr">
        <is>
          <t>No</t>
        </is>
      </c>
      <c r="J337" s="25" t="inlineStr">
        <is>
          <t>Business Insurance Brandon, MB: Compare Quotes &amp; Costs (2026)</t>
        </is>
      </c>
      <c r="K337" s="36">
        <f>LEN(J337)</f>
        <v/>
      </c>
      <c r="L337" s="25" t="inlineStr">
        <is>
          <t>Compare business insurance in Brandon, MB: instant estimate ($35.00–$60.00/mo example), local risk factors and advisors licensed in Manitoba.</t>
        </is>
      </c>
      <c r="M337" s="36">
        <f>LEN(L337)</f>
        <v/>
      </c>
      <c r="N337" s="25" t="inlineStr">
        <is>
          <t>Business Insurance in Brandon, MB</t>
        </is>
      </c>
      <c r="O337" s="36" t="inlineStr">
        <is>
          <t>business insurance brandon</t>
        </is>
      </c>
      <c r="P337" s="37" t="n">
        <v>24</v>
      </c>
      <c r="Q337" s="36" t="inlineStr">
        <is>
          <t>City</t>
        </is>
      </c>
      <c r="R337" s="36" t="n"/>
      <c r="S337" s="36">
        <f>COUNTIF('Page-Keyword Map'!$A$2:$A$675,B337)</f>
        <v/>
      </c>
      <c r="T337" s="37">
        <f>SUMIF('Page-Keyword Map'!$A$2:$A$675,B337,'Page-Keyword Map'!$H$2:$H$675)</f>
        <v/>
      </c>
      <c r="U337" s="36">
        <f>COUNTIFS('Page-Keyword Map'!$A$2:$A$675,B337,'Page-Keyword Map'!$E$2:$E$675,"Nationwide")</f>
        <v/>
      </c>
      <c r="V337" s="36">
        <f>COUNTIFS('Page-Keyword Map'!$A$2:$A$675,B337,'Page-Keyword Map'!$E$2:$E$675,"Provincial")</f>
        <v/>
      </c>
      <c r="W337" s="36">
        <f>COUNTIFS('Page-Keyword Map'!$A$2:$A$675,B337,'Page-Keyword Map'!$E$2:$E$675,"City")</f>
        <v/>
      </c>
      <c r="X337" s="36">
        <f>IF(O337="","",IF(ISNUMBER(SEARCH(O337,J337)),"Yes","No"))</f>
        <v/>
      </c>
      <c r="Y337" s="36" t="n">
        <v>0.5</v>
      </c>
      <c r="Z337" s="36" t="inlineStr">
        <is>
          <t>(not listed: noindex)</t>
        </is>
      </c>
      <c r="AA337" s="36" t="inlineStr">
        <is>
          <t>Live – noindex (enrich before indexing)</t>
        </is>
      </c>
      <c r="AB337" s="38" t="n"/>
      <c r="AC337" s="38" t="n"/>
    </row>
    <row r="338" ht="23.85" customHeight="1" s="22">
      <c r="A338" s="36" t="inlineStr">
        <is>
          <t>P0337</t>
        </is>
      </c>
      <c r="B338" s="36" t="inlineStr">
        <is>
          <t>https://instasure.ca/business-insurance/manitoba/winnipeg/</t>
        </is>
      </c>
      <c r="C338" s="36" t="inlineStr">
        <is>
          <t>Product × city</t>
        </is>
      </c>
      <c r="D338" s="36" t="inlineStr">
        <is>
          <t>Business insurance</t>
        </is>
      </c>
      <c r="E338" s="36" t="inlineStr">
        <is>
          <t>Business Insurance</t>
        </is>
      </c>
      <c r="F338" s="36" t="n"/>
      <c r="G338" s="36" t="inlineStr">
        <is>
          <t>Manitoba</t>
        </is>
      </c>
      <c r="H338" s="36" t="inlineStr">
        <is>
          <t>Winnipeg</t>
        </is>
      </c>
      <c r="I338" s="36" t="inlineStr">
        <is>
          <t>Yes</t>
        </is>
      </c>
      <c r="J338" s="25" t="inlineStr">
        <is>
          <t>Business Insurance Winnipeg, MB: Compare Quotes &amp; Costs (2026)</t>
        </is>
      </c>
      <c r="K338" s="36">
        <f>LEN(J338)</f>
        <v/>
      </c>
      <c r="L338" s="25" t="inlineStr">
        <is>
          <t>Compare business insurance in Winnipeg, MB: instant estimate ($35.00–$60.00/mo example), local risk factors and advisors licensed in Manitoba.</t>
        </is>
      </c>
      <c r="M338" s="36">
        <f>LEN(L338)</f>
        <v/>
      </c>
      <c r="N338" s="25" t="inlineStr">
        <is>
          <t>Business Insurance in Winnipeg, MB</t>
        </is>
      </c>
      <c r="O338" s="36" t="inlineStr">
        <is>
          <t>business insurance winnipeg</t>
        </is>
      </c>
      <c r="P338" s="37" t="n">
        <v>210</v>
      </c>
      <c r="Q338" s="36" t="inlineStr">
        <is>
          <t>City</t>
        </is>
      </c>
      <c r="R338" s="36" t="n"/>
      <c r="S338" s="36">
        <f>COUNTIF('Page-Keyword Map'!$A$2:$A$675,B338)</f>
        <v/>
      </c>
      <c r="T338" s="37">
        <f>SUMIF('Page-Keyword Map'!$A$2:$A$675,B338,'Page-Keyword Map'!$H$2:$H$675)</f>
        <v/>
      </c>
      <c r="U338" s="36">
        <f>COUNTIFS('Page-Keyword Map'!$A$2:$A$675,B338,'Page-Keyword Map'!$E$2:$E$675,"Nationwide")</f>
        <v/>
      </c>
      <c r="V338" s="36">
        <f>COUNTIFS('Page-Keyword Map'!$A$2:$A$675,B338,'Page-Keyword Map'!$E$2:$E$675,"Provincial")</f>
        <v/>
      </c>
      <c r="W338" s="36">
        <f>COUNTIFS('Page-Keyword Map'!$A$2:$A$675,B338,'Page-Keyword Map'!$E$2:$E$675,"City")</f>
        <v/>
      </c>
      <c r="X338" s="36">
        <f>IF(O338="","",IF(ISNUMBER(SEARCH(O338,J338)),"Yes","No"))</f>
        <v/>
      </c>
      <c r="Y338" s="36" t="n">
        <v>0.7</v>
      </c>
      <c r="Z338" s="36" t="inlineStr">
        <is>
          <t>sitemap-cities.xml</t>
        </is>
      </c>
      <c r="AA338" s="36" t="inlineStr">
        <is>
          <t>Live – indexable</t>
        </is>
      </c>
      <c r="AB338" s="38" t="n"/>
      <c r="AC338" s="38" t="n"/>
    </row>
    <row r="339" ht="23.85" customHeight="1" s="22">
      <c r="A339" s="36" t="inlineStr">
        <is>
          <t>P0338</t>
        </is>
      </c>
      <c r="B339" s="36" t="inlineStr">
        <is>
          <t>https://instasure.ca/business-insurance/new-brunswick/fredericton/</t>
        </is>
      </c>
      <c r="C339" s="36" t="inlineStr">
        <is>
          <t>Product × city</t>
        </is>
      </c>
      <c r="D339" s="36" t="inlineStr">
        <is>
          <t>Business insurance</t>
        </is>
      </c>
      <c r="E339" s="36" t="inlineStr">
        <is>
          <t>Business Insurance</t>
        </is>
      </c>
      <c r="F339" s="36" t="n"/>
      <c r="G339" s="36" t="inlineStr">
        <is>
          <t>New Brunswick</t>
        </is>
      </c>
      <c r="H339" s="36" t="inlineStr">
        <is>
          <t>Fredericton</t>
        </is>
      </c>
      <c r="I339" s="36" t="inlineStr">
        <is>
          <t>No</t>
        </is>
      </c>
      <c r="J339" s="25" t="inlineStr">
        <is>
          <t>Business Insurance Fredericton, NB: Compare Quotes &amp; Costs (2026)</t>
        </is>
      </c>
      <c r="K339" s="36">
        <f>LEN(J339)</f>
        <v/>
      </c>
      <c r="L339" s="25" t="inlineStr">
        <is>
          <t>Compare business insurance in Fredericton, NB: instant estimate ($35.00–$60.00/mo example), local risk factors and advisors licensed in New Brunswick.</t>
        </is>
      </c>
      <c r="M339" s="36">
        <f>LEN(L339)</f>
        <v/>
      </c>
      <c r="N339" s="25" t="inlineStr">
        <is>
          <t>Business Insurance in Fredericton, NB</t>
        </is>
      </c>
      <c r="O339" s="36" t="inlineStr">
        <is>
          <t>business insurance fredericton</t>
        </is>
      </c>
      <c r="P339" s="37" t="n">
        <v>29</v>
      </c>
      <c r="Q339" s="36" t="inlineStr">
        <is>
          <t>City</t>
        </is>
      </c>
      <c r="R339" s="36" t="n"/>
      <c r="S339" s="36">
        <f>COUNTIF('Page-Keyword Map'!$A$2:$A$675,B339)</f>
        <v/>
      </c>
      <c r="T339" s="37">
        <f>SUMIF('Page-Keyword Map'!$A$2:$A$675,B339,'Page-Keyword Map'!$H$2:$H$675)</f>
        <v/>
      </c>
      <c r="U339" s="36">
        <f>COUNTIFS('Page-Keyword Map'!$A$2:$A$675,B339,'Page-Keyword Map'!$E$2:$E$675,"Nationwide")</f>
        <v/>
      </c>
      <c r="V339" s="36">
        <f>COUNTIFS('Page-Keyword Map'!$A$2:$A$675,B339,'Page-Keyword Map'!$E$2:$E$675,"Provincial")</f>
        <v/>
      </c>
      <c r="W339" s="36">
        <f>COUNTIFS('Page-Keyword Map'!$A$2:$A$675,B339,'Page-Keyword Map'!$E$2:$E$675,"City")</f>
        <v/>
      </c>
      <c r="X339" s="36">
        <f>IF(O339="","",IF(ISNUMBER(SEARCH(O339,J339)),"Yes","No"))</f>
        <v/>
      </c>
      <c r="Y339" s="36" t="n">
        <v>0.5</v>
      </c>
      <c r="Z339" s="36" t="inlineStr">
        <is>
          <t>(not listed: noindex)</t>
        </is>
      </c>
      <c r="AA339" s="36" t="inlineStr">
        <is>
          <t>Live – noindex (enrich before indexing)</t>
        </is>
      </c>
      <c r="AB339" s="38" t="n"/>
      <c r="AC339" s="38" t="n"/>
    </row>
    <row r="340" ht="23.85" customHeight="1" s="22">
      <c r="A340" s="36" t="inlineStr">
        <is>
          <t>P0339</t>
        </is>
      </c>
      <c r="B340" s="36" t="inlineStr">
        <is>
          <t>https://instasure.ca/business-insurance/new-brunswick/moncton/</t>
        </is>
      </c>
      <c r="C340" s="36" t="inlineStr">
        <is>
          <t>Product × city</t>
        </is>
      </c>
      <c r="D340" s="36" t="inlineStr">
        <is>
          <t>Business insurance</t>
        </is>
      </c>
      <c r="E340" s="36" t="inlineStr">
        <is>
          <t>Business Insurance</t>
        </is>
      </c>
      <c r="F340" s="36" t="n"/>
      <c r="G340" s="36" t="inlineStr">
        <is>
          <t>New Brunswick</t>
        </is>
      </c>
      <c r="H340" s="36" t="inlineStr">
        <is>
          <t>Moncton</t>
        </is>
      </c>
      <c r="I340" s="36" t="inlineStr">
        <is>
          <t>No</t>
        </is>
      </c>
      <c r="J340" s="25" t="inlineStr">
        <is>
          <t>Business Insurance Moncton, NB: Compare Quotes &amp; Costs (2026)</t>
        </is>
      </c>
      <c r="K340" s="36">
        <f>LEN(J340)</f>
        <v/>
      </c>
      <c r="L340" s="25" t="inlineStr">
        <is>
          <t>Compare business insurance in Moncton, NB: instant estimate ($35.00–$60.00/mo example), local risk factors and advisors licensed in New Brunswick.</t>
        </is>
      </c>
      <c r="M340" s="36">
        <f>LEN(L340)</f>
        <v/>
      </c>
      <c r="N340" s="25" t="inlineStr">
        <is>
          <t>Business Insurance in Moncton, NB</t>
        </is>
      </c>
      <c r="O340" s="36" t="inlineStr">
        <is>
          <t>business insurance moncton</t>
        </is>
      </c>
      <c r="P340" s="37" t="n">
        <v>34</v>
      </c>
      <c r="Q340" s="36" t="inlineStr">
        <is>
          <t>City</t>
        </is>
      </c>
      <c r="R340" s="36" t="n"/>
      <c r="S340" s="36">
        <f>COUNTIF('Page-Keyword Map'!$A$2:$A$675,B340)</f>
        <v/>
      </c>
      <c r="T340" s="37">
        <f>SUMIF('Page-Keyword Map'!$A$2:$A$675,B340,'Page-Keyword Map'!$H$2:$H$675)</f>
        <v/>
      </c>
      <c r="U340" s="36">
        <f>COUNTIFS('Page-Keyword Map'!$A$2:$A$675,B340,'Page-Keyword Map'!$E$2:$E$675,"Nationwide")</f>
        <v/>
      </c>
      <c r="V340" s="36">
        <f>COUNTIFS('Page-Keyword Map'!$A$2:$A$675,B340,'Page-Keyword Map'!$E$2:$E$675,"Provincial")</f>
        <v/>
      </c>
      <c r="W340" s="36">
        <f>COUNTIFS('Page-Keyword Map'!$A$2:$A$675,B340,'Page-Keyword Map'!$E$2:$E$675,"City")</f>
        <v/>
      </c>
      <c r="X340" s="36">
        <f>IF(O340="","",IF(ISNUMBER(SEARCH(O340,J340)),"Yes","No"))</f>
        <v/>
      </c>
      <c r="Y340" s="36" t="n">
        <v>0.5</v>
      </c>
      <c r="Z340" s="36" t="inlineStr">
        <is>
          <t>(not listed: noindex)</t>
        </is>
      </c>
      <c r="AA340" s="36" t="inlineStr">
        <is>
          <t>Live – noindex (enrich before indexing)</t>
        </is>
      </c>
      <c r="AB340" s="38" t="n"/>
      <c r="AC340" s="38" t="n"/>
    </row>
    <row r="341" ht="23.85" customHeight="1" s="22">
      <c r="A341" s="36" t="inlineStr">
        <is>
          <t>P0340</t>
        </is>
      </c>
      <c r="B341" s="36" t="inlineStr">
        <is>
          <t>https://instasure.ca/business-insurance/new-brunswick/saint-john/</t>
        </is>
      </c>
      <c r="C341" s="36" t="inlineStr">
        <is>
          <t>Product × city</t>
        </is>
      </c>
      <c r="D341" s="36" t="inlineStr">
        <is>
          <t>Business insurance</t>
        </is>
      </c>
      <c r="E341" s="36" t="inlineStr">
        <is>
          <t>Business Insurance</t>
        </is>
      </c>
      <c r="F341" s="36" t="n"/>
      <c r="G341" s="36" t="inlineStr">
        <is>
          <t>New Brunswick</t>
        </is>
      </c>
      <c r="H341" s="36" t="inlineStr">
        <is>
          <t>Saint John</t>
        </is>
      </c>
      <c r="I341" s="36" t="inlineStr">
        <is>
          <t>No</t>
        </is>
      </c>
      <c r="J341" s="25" t="inlineStr">
        <is>
          <t>Business Insurance Saint John, NB: Compare Quotes &amp; Costs (2026)</t>
        </is>
      </c>
      <c r="K341" s="36">
        <f>LEN(J341)</f>
        <v/>
      </c>
      <c r="L341" s="25" t="inlineStr">
        <is>
          <t>Compare business insurance in Saint John, NB: instant estimate ($35.00–$60.00/mo example), local risk factors and advisors licensed in New Brunswick.</t>
        </is>
      </c>
      <c r="M341" s="36">
        <f>LEN(L341)</f>
        <v/>
      </c>
      <c r="N341" s="25" t="inlineStr">
        <is>
          <t>Business Insurance in Saint John, NB</t>
        </is>
      </c>
      <c r="O341" s="36" t="inlineStr">
        <is>
          <t>business insurance saint john</t>
        </is>
      </c>
      <c r="P341" s="37" t="n">
        <v>31</v>
      </c>
      <c r="Q341" s="36" t="inlineStr">
        <is>
          <t>City</t>
        </is>
      </c>
      <c r="R341" s="36" t="n"/>
      <c r="S341" s="36">
        <f>COUNTIF('Page-Keyword Map'!$A$2:$A$675,B341)</f>
        <v/>
      </c>
      <c r="T341" s="37">
        <f>SUMIF('Page-Keyword Map'!$A$2:$A$675,B341,'Page-Keyword Map'!$H$2:$H$675)</f>
        <v/>
      </c>
      <c r="U341" s="36">
        <f>COUNTIFS('Page-Keyword Map'!$A$2:$A$675,B341,'Page-Keyword Map'!$E$2:$E$675,"Nationwide")</f>
        <v/>
      </c>
      <c r="V341" s="36">
        <f>COUNTIFS('Page-Keyword Map'!$A$2:$A$675,B341,'Page-Keyword Map'!$E$2:$E$675,"Provincial")</f>
        <v/>
      </c>
      <c r="W341" s="36">
        <f>COUNTIFS('Page-Keyword Map'!$A$2:$A$675,B341,'Page-Keyword Map'!$E$2:$E$675,"City")</f>
        <v/>
      </c>
      <c r="X341" s="36">
        <f>IF(O341="","",IF(ISNUMBER(SEARCH(O341,J341)),"Yes","No"))</f>
        <v/>
      </c>
      <c r="Y341" s="36" t="n">
        <v>0.5</v>
      </c>
      <c r="Z341" s="36" t="inlineStr">
        <is>
          <t>(not listed: noindex)</t>
        </is>
      </c>
      <c r="AA341" s="36" t="inlineStr">
        <is>
          <t>Live – noindex (enrich before indexing)</t>
        </is>
      </c>
      <c r="AB341" s="38" t="n"/>
      <c r="AC341" s="38" t="n"/>
    </row>
    <row r="342" ht="23.85" customHeight="1" s="22">
      <c r="A342" s="36" t="inlineStr">
        <is>
          <t>P0341</t>
        </is>
      </c>
      <c r="B342" s="36" t="inlineStr">
        <is>
          <t>https://instasure.ca/business-insurance/newfoundland-and-labrador/st-johns/</t>
        </is>
      </c>
      <c r="C342" s="36" t="inlineStr">
        <is>
          <t>Product × city</t>
        </is>
      </c>
      <c r="D342" s="36" t="inlineStr">
        <is>
          <t>Business insurance</t>
        </is>
      </c>
      <c r="E342" s="36" t="inlineStr">
        <is>
          <t>Business Insurance</t>
        </is>
      </c>
      <c r="F342" s="36" t="n"/>
      <c r="G342" s="36" t="inlineStr">
        <is>
          <t>Newfoundland and Labrador</t>
        </is>
      </c>
      <c r="H342" s="36" t="inlineStr">
        <is>
          <t>St. John’s</t>
        </is>
      </c>
      <c r="I342" s="36" t="inlineStr">
        <is>
          <t>Yes</t>
        </is>
      </c>
      <c r="J342" s="25" t="inlineStr">
        <is>
          <t>Business Insurance St. John’s, NL: Compare Quotes &amp; Costs (2026)</t>
        </is>
      </c>
      <c r="K342" s="36">
        <f>LEN(J342)</f>
        <v/>
      </c>
      <c r="L342" s="25" t="inlineStr">
        <is>
          <t>Compare business insurance in St. John’s, NL: instant estimate ($35.00–$60.00/mo example), local risk factors and advisors licensed in Newfoundland and Labrador.</t>
        </is>
      </c>
      <c r="M342" s="36">
        <f>LEN(L342)</f>
        <v/>
      </c>
      <c r="N342" s="25" t="inlineStr">
        <is>
          <t>Business Insurance in St. John’s, NL</t>
        </is>
      </c>
      <c r="O342" s="36" t="inlineStr">
        <is>
          <t>business insurance st johns</t>
        </is>
      </c>
      <c r="P342" s="37" t="n">
        <v>45</v>
      </c>
      <c r="Q342" s="36" t="inlineStr">
        <is>
          <t>City</t>
        </is>
      </c>
      <c r="R342" s="36" t="n"/>
      <c r="S342" s="36">
        <f>COUNTIF('Page-Keyword Map'!$A$2:$A$675,B342)</f>
        <v/>
      </c>
      <c r="T342" s="37">
        <f>SUMIF('Page-Keyword Map'!$A$2:$A$675,B342,'Page-Keyword Map'!$H$2:$H$675)</f>
        <v/>
      </c>
      <c r="U342" s="36">
        <f>COUNTIFS('Page-Keyword Map'!$A$2:$A$675,B342,'Page-Keyword Map'!$E$2:$E$675,"Nationwide")</f>
        <v/>
      </c>
      <c r="V342" s="36">
        <f>COUNTIFS('Page-Keyword Map'!$A$2:$A$675,B342,'Page-Keyword Map'!$E$2:$E$675,"Provincial")</f>
        <v/>
      </c>
      <c r="W342" s="36">
        <f>COUNTIFS('Page-Keyword Map'!$A$2:$A$675,B342,'Page-Keyword Map'!$E$2:$E$675,"City")</f>
        <v/>
      </c>
      <c r="X342" s="36">
        <f>IF(O342="","",IF(ISNUMBER(SEARCH(O342,J342)),"Yes","No"))</f>
        <v/>
      </c>
      <c r="Y342" s="36" t="n">
        <v>0.7</v>
      </c>
      <c r="Z342" s="36" t="inlineStr">
        <is>
          <t>sitemap-cities.xml</t>
        </is>
      </c>
      <c r="AA342" s="36" t="inlineStr">
        <is>
          <t>Live – indexable</t>
        </is>
      </c>
      <c r="AB342" s="38" t="n"/>
      <c r="AC342" s="38" t="n"/>
    </row>
    <row r="343" ht="23.85" customHeight="1" s="22">
      <c r="A343" s="36" t="inlineStr">
        <is>
          <t>P0342</t>
        </is>
      </c>
      <c r="B343" s="36" t="inlineStr">
        <is>
          <t>https://instasure.ca/business-insurance/northwest-territories/yellowknife/</t>
        </is>
      </c>
      <c r="C343" s="36" t="inlineStr">
        <is>
          <t>Product × city</t>
        </is>
      </c>
      <c r="D343" s="36" t="inlineStr">
        <is>
          <t>Business insurance</t>
        </is>
      </c>
      <c r="E343" s="36" t="inlineStr">
        <is>
          <t>Business Insurance</t>
        </is>
      </c>
      <c r="F343" s="36" t="n"/>
      <c r="G343" s="36" t="inlineStr">
        <is>
          <t>Northwest Territories</t>
        </is>
      </c>
      <c r="H343" s="36" t="inlineStr">
        <is>
          <t>Yellowknife</t>
        </is>
      </c>
      <c r="I343" s="36" t="inlineStr">
        <is>
          <t>No</t>
        </is>
      </c>
      <c r="J343" s="25" t="inlineStr">
        <is>
          <t>Business Insurance Yellowknife, NT: Compare Quotes &amp; Costs (2026)</t>
        </is>
      </c>
      <c r="K343" s="36">
        <f>LEN(J343)</f>
        <v/>
      </c>
      <c r="L343" s="25" t="inlineStr">
        <is>
          <t>Compare business insurance in Yellowknife, NT: instant estimate ($35.00–$60.00/mo example), local risk factors and a waitlist for licensed advice in Northwest…</t>
        </is>
      </c>
      <c r="M343" s="36">
        <f>LEN(L343)</f>
        <v/>
      </c>
      <c r="N343" s="25" t="inlineStr">
        <is>
          <t>Business Insurance in Yellowknife, NT</t>
        </is>
      </c>
      <c r="O343" s="36" t="n"/>
      <c r="P343" s="37" t="n"/>
      <c r="Q343" s="36" t="n"/>
      <c r="R343" s="36" t="inlineStr">
        <is>
          <t>business insurance yellowknife</t>
        </is>
      </c>
      <c r="S343" s="36">
        <f>COUNTIF('Page-Keyword Map'!$A$2:$A$675,B343)</f>
        <v/>
      </c>
      <c r="T343" s="37">
        <f>SUMIF('Page-Keyword Map'!$A$2:$A$675,B343,'Page-Keyword Map'!$H$2:$H$675)</f>
        <v/>
      </c>
      <c r="U343" s="36">
        <f>COUNTIFS('Page-Keyword Map'!$A$2:$A$675,B343,'Page-Keyword Map'!$E$2:$E$675,"Nationwide")</f>
        <v/>
      </c>
      <c r="V343" s="36">
        <f>COUNTIFS('Page-Keyword Map'!$A$2:$A$675,B343,'Page-Keyword Map'!$E$2:$E$675,"Provincial")</f>
        <v/>
      </c>
      <c r="W343" s="36">
        <f>COUNTIFS('Page-Keyword Map'!$A$2:$A$675,B343,'Page-Keyword Map'!$E$2:$E$675,"City")</f>
        <v/>
      </c>
      <c r="X343" s="36">
        <f>IF(O343="","",IF(ISNUMBER(SEARCH(O343,J343)),"Yes","No"))</f>
        <v/>
      </c>
      <c r="Y343" s="36" t="n">
        <v>0.5</v>
      </c>
      <c r="Z343" s="36" t="inlineStr">
        <is>
          <t>(not listed: noindex)</t>
        </is>
      </c>
      <c r="AA343" s="36" t="inlineStr">
        <is>
          <t>Live – noindex (enrich before indexing)</t>
        </is>
      </c>
      <c r="AB343" s="38" t="n"/>
      <c r="AC343" s="38" t="n"/>
    </row>
    <row r="344" ht="23.85" customHeight="1" s="22">
      <c r="A344" s="36" t="inlineStr">
        <is>
          <t>P0343</t>
        </is>
      </c>
      <c r="B344" s="36" t="inlineStr">
        <is>
          <t>https://instasure.ca/business-insurance/nova-scotia/halifax/</t>
        </is>
      </c>
      <c r="C344" s="36" t="inlineStr">
        <is>
          <t>Product × city</t>
        </is>
      </c>
      <c r="D344" s="36" t="inlineStr">
        <is>
          <t>Business insurance</t>
        </is>
      </c>
      <c r="E344" s="36" t="inlineStr">
        <is>
          <t>Business Insurance</t>
        </is>
      </c>
      <c r="F344" s="36" t="n"/>
      <c r="G344" s="36" t="inlineStr">
        <is>
          <t>Nova Scotia</t>
        </is>
      </c>
      <c r="H344" s="36" t="inlineStr">
        <is>
          <t>Halifax</t>
        </is>
      </c>
      <c r="I344" s="36" t="inlineStr">
        <is>
          <t>Yes</t>
        </is>
      </c>
      <c r="J344" s="25" t="inlineStr">
        <is>
          <t>Business Insurance Halifax, NS: Compare Quotes &amp; Costs (2026)</t>
        </is>
      </c>
      <c r="K344" s="36">
        <f>LEN(J344)</f>
        <v/>
      </c>
      <c r="L344" s="25" t="inlineStr">
        <is>
          <t>Compare business insurance in Halifax, NS: instant estimate ($35.00–$60.00/mo example), local risk factors and advisors licensed in Nova Scotia.</t>
        </is>
      </c>
      <c r="M344" s="36">
        <f>LEN(L344)</f>
        <v/>
      </c>
      <c r="N344" s="25" t="inlineStr">
        <is>
          <t>Business Insurance in Halifax, NS</t>
        </is>
      </c>
      <c r="O344" s="36" t="inlineStr">
        <is>
          <t>business insurance halifax</t>
        </is>
      </c>
      <c r="P344" s="37" t="n">
        <v>130</v>
      </c>
      <c r="Q344" s="36" t="inlineStr">
        <is>
          <t>City</t>
        </is>
      </c>
      <c r="R344" s="36" t="n"/>
      <c r="S344" s="36">
        <f>COUNTIF('Page-Keyword Map'!$A$2:$A$675,B344)</f>
        <v/>
      </c>
      <c r="T344" s="37">
        <f>SUMIF('Page-Keyword Map'!$A$2:$A$675,B344,'Page-Keyword Map'!$H$2:$H$675)</f>
        <v/>
      </c>
      <c r="U344" s="36">
        <f>COUNTIFS('Page-Keyword Map'!$A$2:$A$675,B344,'Page-Keyword Map'!$E$2:$E$675,"Nationwide")</f>
        <v/>
      </c>
      <c r="V344" s="36">
        <f>COUNTIFS('Page-Keyword Map'!$A$2:$A$675,B344,'Page-Keyword Map'!$E$2:$E$675,"Provincial")</f>
        <v/>
      </c>
      <c r="W344" s="36">
        <f>COUNTIFS('Page-Keyword Map'!$A$2:$A$675,B344,'Page-Keyword Map'!$E$2:$E$675,"City")</f>
        <v/>
      </c>
      <c r="X344" s="36">
        <f>IF(O344="","",IF(ISNUMBER(SEARCH(O344,J344)),"Yes","No"))</f>
        <v/>
      </c>
      <c r="Y344" s="36" t="n">
        <v>0.7</v>
      </c>
      <c r="Z344" s="36" t="inlineStr">
        <is>
          <t>sitemap-cities.xml</t>
        </is>
      </c>
      <c r="AA344" s="36" t="inlineStr">
        <is>
          <t>Live – indexable</t>
        </is>
      </c>
      <c r="AB344" s="38" t="n"/>
      <c r="AC344" s="38" t="n"/>
    </row>
    <row r="345" ht="23.85" customHeight="1" s="22">
      <c r="A345" s="36" t="inlineStr">
        <is>
          <t>P0344</t>
        </is>
      </c>
      <c r="B345" s="36" t="inlineStr">
        <is>
          <t>https://instasure.ca/business-insurance/ontario/ajax/</t>
        </is>
      </c>
      <c r="C345" s="36" t="inlineStr">
        <is>
          <t>Product × city</t>
        </is>
      </c>
      <c r="D345" s="36" t="inlineStr">
        <is>
          <t>Business insurance</t>
        </is>
      </c>
      <c r="E345" s="36" t="inlineStr">
        <is>
          <t>Business Insurance</t>
        </is>
      </c>
      <c r="F345" s="36" t="n"/>
      <c r="G345" s="36" t="inlineStr">
        <is>
          <t>Ontario</t>
        </is>
      </c>
      <c r="H345" s="36" t="inlineStr">
        <is>
          <t>Ajax</t>
        </is>
      </c>
      <c r="I345" s="36" t="inlineStr">
        <is>
          <t>No</t>
        </is>
      </c>
      <c r="J345" s="25" t="inlineStr">
        <is>
          <t>Business Insurance Ajax, ON: Compare Quotes &amp; Costs (2026)</t>
        </is>
      </c>
      <c r="K345" s="36">
        <f>LEN(J345)</f>
        <v/>
      </c>
      <c r="L345" s="25" t="inlineStr">
        <is>
          <t>Compare business insurance in Ajax, ON: instant estimate ($35.00–$60.00/mo example), local risk factors and advisors licensed in Ontario.</t>
        </is>
      </c>
      <c r="M345" s="36">
        <f>LEN(L345)</f>
        <v/>
      </c>
      <c r="N345" s="25" t="inlineStr">
        <is>
          <t>Business Insurance in Ajax, ON</t>
        </is>
      </c>
      <c r="O345" s="36" t="inlineStr">
        <is>
          <t>business insurance ajax</t>
        </is>
      </c>
      <c r="P345" s="37" t="n">
        <v>50</v>
      </c>
      <c r="Q345" s="36" t="inlineStr">
        <is>
          <t>City</t>
        </is>
      </c>
      <c r="R345" s="36" t="n"/>
      <c r="S345" s="36">
        <f>COUNTIF('Page-Keyword Map'!$A$2:$A$675,B345)</f>
        <v/>
      </c>
      <c r="T345" s="37">
        <f>SUMIF('Page-Keyword Map'!$A$2:$A$675,B345,'Page-Keyword Map'!$H$2:$H$675)</f>
        <v/>
      </c>
      <c r="U345" s="36">
        <f>COUNTIFS('Page-Keyword Map'!$A$2:$A$675,B345,'Page-Keyword Map'!$E$2:$E$675,"Nationwide")</f>
        <v/>
      </c>
      <c r="V345" s="36">
        <f>COUNTIFS('Page-Keyword Map'!$A$2:$A$675,B345,'Page-Keyword Map'!$E$2:$E$675,"Provincial")</f>
        <v/>
      </c>
      <c r="W345" s="36">
        <f>COUNTIFS('Page-Keyword Map'!$A$2:$A$675,B345,'Page-Keyword Map'!$E$2:$E$675,"City")</f>
        <v/>
      </c>
      <c r="X345" s="36">
        <f>IF(O345="","",IF(ISNUMBER(SEARCH(O345,J345)),"Yes","No"))</f>
        <v/>
      </c>
      <c r="Y345" s="36" t="n">
        <v>0.5</v>
      </c>
      <c r="Z345" s="36" t="inlineStr">
        <is>
          <t>(not listed: noindex)</t>
        </is>
      </c>
      <c r="AA345" s="36" t="inlineStr">
        <is>
          <t>Live – noindex (enrich before indexing)</t>
        </is>
      </c>
      <c r="AB345" s="38" t="n"/>
      <c r="AC345" s="38" t="n"/>
    </row>
    <row r="346" ht="23.85" customHeight="1" s="22">
      <c r="A346" s="36" t="inlineStr">
        <is>
          <t>P0345</t>
        </is>
      </c>
      <c r="B346" s="36" t="inlineStr">
        <is>
          <t>https://instasure.ca/business-insurance/ontario/barrie/</t>
        </is>
      </c>
      <c r="C346" s="36" t="inlineStr">
        <is>
          <t>Product × city</t>
        </is>
      </c>
      <c r="D346" s="36" t="inlineStr">
        <is>
          <t>Business insurance</t>
        </is>
      </c>
      <c r="E346" s="36" t="inlineStr">
        <is>
          <t>Business Insurance</t>
        </is>
      </c>
      <c r="F346" s="36" t="n"/>
      <c r="G346" s="36" t="inlineStr">
        <is>
          <t>Ontario</t>
        </is>
      </c>
      <c r="H346" s="36" t="inlineStr">
        <is>
          <t>Barrie</t>
        </is>
      </c>
      <c r="I346" s="36" t="inlineStr">
        <is>
          <t>No</t>
        </is>
      </c>
      <c r="J346" s="25" t="inlineStr">
        <is>
          <t>Business Insurance Barrie, ON: Compare Quotes &amp; Costs (2026)</t>
        </is>
      </c>
      <c r="K346" s="36">
        <f>LEN(J346)</f>
        <v/>
      </c>
      <c r="L346" s="25" t="inlineStr">
        <is>
          <t>Compare business insurance in Barrie, ON: instant estimate ($35.00–$60.00/mo example), local risk factors and advisors licensed in Ontario.</t>
        </is>
      </c>
      <c r="M346" s="36">
        <f>LEN(L346)</f>
        <v/>
      </c>
      <c r="N346" s="25" t="inlineStr">
        <is>
          <t>Business Insurance in Barrie, ON</t>
        </is>
      </c>
      <c r="O346" s="36" t="inlineStr">
        <is>
          <t>business insurance barrie</t>
        </is>
      </c>
      <c r="P346" s="37" t="n">
        <v>56</v>
      </c>
      <c r="Q346" s="36" t="inlineStr">
        <is>
          <t>City</t>
        </is>
      </c>
      <c r="R346" s="36" t="n"/>
      <c r="S346" s="36">
        <f>COUNTIF('Page-Keyword Map'!$A$2:$A$675,B346)</f>
        <v/>
      </c>
      <c r="T346" s="37">
        <f>SUMIF('Page-Keyword Map'!$A$2:$A$675,B346,'Page-Keyword Map'!$H$2:$H$675)</f>
        <v/>
      </c>
      <c r="U346" s="36">
        <f>COUNTIFS('Page-Keyword Map'!$A$2:$A$675,B346,'Page-Keyword Map'!$E$2:$E$675,"Nationwide")</f>
        <v/>
      </c>
      <c r="V346" s="36">
        <f>COUNTIFS('Page-Keyword Map'!$A$2:$A$675,B346,'Page-Keyword Map'!$E$2:$E$675,"Provincial")</f>
        <v/>
      </c>
      <c r="W346" s="36">
        <f>COUNTIFS('Page-Keyword Map'!$A$2:$A$675,B346,'Page-Keyword Map'!$E$2:$E$675,"City")</f>
        <v/>
      </c>
      <c r="X346" s="36">
        <f>IF(O346="","",IF(ISNUMBER(SEARCH(O346,J346)),"Yes","No"))</f>
        <v/>
      </c>
      <c r="Y346" s="36" t="n">
        <v>0.5</v>
      </c>
      <c r="Z346" s="36" t="inlineStr">
        <is>
          <t>(not listed: noindex)</t>
        </is>
      </c>
      <c r="AA346" s="36" t="inlineStr">
        <is>
          <t>Live – noindex (enrich before indexing)</t>
        </is>
      </c>
      <c r="AB346" s="38" t="n"/>
      <c r="AC346" s="38" t="n"/>
    </row>
    <row r="347" ht="23.85" customHeight="1" s="22">
      <c r="A347" s="36" t="inlineStr">
        <is>
          <t>P0346</t>
        </is>
      </c>
      <c r="B347" s="36" t="inlineStr">
        <is>
          <t>https://instasure.ca/business-insurance/ontario/brampton/</t>
        </is>
      </c>
      <c r="C347" s="36" t="inlineStr">
        <is>
          <t>Product × city</t>
        </is>
      </c>
      <c r="D347" s="36" t="inlineStr">
        <is>
          <t>Business insurance</t>
        </is>
      </c>
      <c r="E347" s="36" t="inlineStr">
        <is>
          <t>Business Insurance</t>
        </is>
      </c>
      <c r="F347" s="36" t="n"/>
      <c r="G347" s="36" t="inlineStr">
        <is>
          <t>Ontario</t>
        </is>
      </c>
      <c r="H347" s="36" t="inlineStr">
        <is>
          <t>Brampton</t>
        </is>
      </c>
      <c r="I347" s="36" t="inlineStr">
        <is>
          <t>Yes</t>
        </is>
      </c>
      <c r="J347" s="25" t="inlineStr">
        <is>
          <t>Business Insurance Brampton, ON: Compare Quotes &amp; Costs (2026)</t>
        </is>
      </c>
      <c r="K347" s="36">
        <f>LEN(J347)</f>
        <v/>
      </c>
      <c r="L347" s="25" t="inlineStr">
        <is>
          <t>Compare business insurance in Brampton, ON: instant estimate ($35.00–$60.00/mo example), local risk factors and advisors licensed in Ontario.</t>
        </is>
      </c>
      <c r="M347" s="36">
        <f>LEN(L347)</f>
        <v/>
      </c>
      <c r="N347" s="25" t="inlineStr">
        <is>
          <t>Business Insurance in Brampton, ON</t>
        </is>
      </c>
      <c r="O347" s="36" t="inlineStr">
        <is>
          <t>business insurance brampton</t>
        </is>
      </c>
      <c r="P347" s="37" t="n">
        <v>190</v>
      </c>
      <c r="Q347" s="36" t="inlineStr">
        <is>
          <t>City</t>
        </is>
      </c>
      <c r="R347" s="36" t="n"/>
      <c r="S347" s="36">
        <f>COUNTIF('Page-Keyword Map'!$A$2:$A$675,B347)</f>
        <v/>
      </c>
      <c r="T347" s="37">
        <f>SUMIF('Page-Keyword Map'!$A$2:$A$675,B347,'Page-Keyword Map'!$H$2:$H$675)</f>
        <v/>
      </c>
      <c r="U347" s="36">
        <f>COUNTIFS('Page-Keyword Map'!$A$2:$A$675,B347,'Page-Keyword Map'!$E$2:$E$675,"Nationwide")</f>
        <v/>
      </c>
      <c r="V347" s="36">
        <f>COUNTIFS('Page-Keyword Map'!$A$2:$A$675,B347,'Page-Keyword Map'!$E$2:$E$675,"Provincial")</f>
        <v/>
      </c>
      <c r="W347" s="36">
        <f>COUNTIFS('Page-Keyword Map'!$A$2:$A$675,B347,'Page-Keyword Map'!$E$2:$E$675,"City")</f>
        <v/>
      </c>
      <c r="X347" s="36">
        <f>IF(O347="","",IF(ISNUMBER(SEARCH(O347,J347)),"Yes","No"))</f>
        <v/>
      </c>
      <c r="Y347" s="36" t="n">
        <v>0.7</v>
      </c>
      <c r="Z347" s="36" t="inlineStr">
        <is>
          <t>sitemap-cities.xml</t>
        </is>
      </c>
      <c r="AA347" s="36" t="inlineStr">
        <is>
          <t>Live – indexable</t>
        </is>
      </c>
      <c r="AB347" s="38" t="n"/>
      <c r="AC347" s="38" t="n"/>
    </row>
    <row r="348" ht="23.85" customHeight="1" s="22">
      <c r="A348" s="36" t="inlineStr">
        <is>
          <t>P0347</t>
        </is>
      </c>
      <c r="B348" s="36" t="inlineStr">
        <is>
          <t>https://instasure.ca/business-insurance/ontario/burlington/</t>
        </is>
      </c>
      <c r="C348" s="36" t="inlineStr">
        <is>
          <t>Product × city</t>
        </is>
      </c>
      <c r="D348" s="36" t="inlineStr">
        <is>
          <t>Business insurance</t>
        </is>
      </c>
      <c r="E348" s="36" t="inlineStr">
        <is>
          <t>Business Insurance</t>
        </is>
      </c>
      <c r="F348" s="36" t="n"/>
      <c r="G348" s="36" t="inlineStr">
        <is>
          <t>Ontario</t>
        </is>
      </c>
      <c r="H348" s="36" t="inlineStr">
        <is>
          <t>Burlington</t>
        </is>
      </c>
      <c r="I348" s="36" t="inlineStr">
        <is>
          <t>No</t>
        </is>
      </c>
      <c r="J348" s="25" t="inlineStr">
        <is>
          <t>Business Insurance Burlington, ON: Compare Quotes &amp; Costs (2026)</t>
        </is>
      </c>
      <c r="K348" s="36">
        <f>LEN(J348)</f>
        <v/>
      </c>
      <c r="L348" s="25" t="inlineStr">
        <is>
          <t>Compare business insurance in Burlington, ON: instant estimate ($35.00–$60.00/mo example), local risk factors and advisors licensed in Ontario.</t>
        </is>
      </c>
      <c r="M348" s="36">
        <f>LEN(L348)</f>
        <v/>
      </c>
      <c r="N348" s="25" t="inlineStr">
        <is>
          <t>Business Insurance in Burlington, ON</t>
        </is>
      </c>
      <c r="O348" s="36" t="inlineStr">
        <is>
          <t>business insurance burlington</t>
        </is>
      </c>
      <c r="P348" s="37" t="n">
        <v>68</v>
      </c>
      <c r="Q348" s="36" t="inlineStr">
        <is>
          <t>City</t>
        </is>
      </c>
      <c r="R348" s="36" t="n"/>
      <c r="S348" s="36">
        <f>COUNTIF('Page-Keyword Map'!$A$2:$A$675,B348)</f>
        <v/>
      </c>
      <c r="T348" s="37">
        <f>SUMIF('Page-Keyword Map'!$A$2:$A$675,B348,'Page-Keyword Map'!$H$2:$H$675)</f>
        <v/>
      </c>
      <c r="U348" s="36">
        <f>COUNTIFS('Page-Keyword Map'!$A$2:$A$675,B348,'Page-Keyword Map'!$E$2:$E$675,"Nationwide")</f>
        <v/>
      </c>
      <c r="V348" s="36">
        <f>COUNTIFS('Page-Keyword Map'!$A$2:$A$675,B348,'Page-Keyword Map'!$E$2:$E$675,"Provincial")</f>
        <v/>
      </c>
      <c r="W348" s="36">
        <f>COUNTIFS('Page-Keyword Map'!$A$2:$A$675,B348,'Page-Keyword Map'!$E$2:$E$675,"City")</f>
        <v/>
      </c>
      <c r="X348" s="36">
        <f>IF(O348="","",IF(ISNUMBER(SEARCH(O348,J348)),"Yes","No"))</f>
        <v/>
      </c>
      <c r="Y348" s="36" t="n">
        <v>0.5</v>
      </c>
      <c r="Z348" s="36" t="inlineStr">
        <is>
          <t>(not listed: noindex)</t>
        </is>
      </c>
      <c r="AA348" s="36" t="inlineStr">
        <is>
          <t>Live – noindex (enrich before indexing)</t>
        </is>
      </c>
      <c r="AB348" s="38" t="n"/>
      <c r="AC348" s="38" t="n"/>
    </row>
    <row r="349" ht="23.85" customHeight="1" s="22">
      <c r="A349" s="36" t="inlineStr">
        <is>
          <t>P0348</t>
        </is>
      </c>
      <c r="B349" s="36" t="inlineStr">
        <is>
          <t>https://instasure.ca/business-insurance/ontario/cambridge/</t>
        </is>
      </c>
      <c r="C349" s="36" t="inlineStr">
        <is>
          <t>Product × city</t>
        </is>
      </c>
      <c r="D349" s="36" t="inlineStr">
        <is>
          <t>Business insurance</t>
        </is>
      </c>
      <c r="E349" s="36" t="inlineStr">
        <is>
          <t>Business Insurance</t>
        </is>
      </c>
      <c r="F349" s="36" t="n"/>
      <c r="G349" s="36" t="inlineStr">
        <is>
          <t>Ontario</t>
        </is>
      </c>
      <c r="H349" s="36" t="inlineStr">
        <is>
          <t>Cambridge</t>
        </is>
      </c>
      <c r="I349" s="36" t="inlineStr">
        <is>
          <t>No</t>
        </is>
      </c>
      <c r="J349" s="25" t="inlineStr">
        <is>
          <t>Business Insurance Cambridge, ON: Compare Quotes &amp; Costs (2026)</t>
        </is>
      </c>
      <c r="K349" s="36">
        <f>LEN(J349)</f>
        <v/>
      </c>
      <c r="L349" s="25" t="inlineStr">
        <is>
          <t>Compare business insurance in Cambridge, ON: instant estimate ($35.00–$60.00/mo example), local risk factors and advisors licensed in Ontario.</t>
        </is>
      </c>
      <c r="M349" s="36">
        <f>LEN(L349)</f>
        <v/>
      </c>
      <c r="N349" s="25" t="inlineStr">
        <is>
          <t>Business Insurance in Cambridge, ON</t>
        </is>
      </c>
      <c r="O349" s="36" t="inlineStr">
        <is>
          <t>business insurance cambridge</t>
        </is>
      </c>
      <c r="P349" s="37" t="n">
        <v>53</v>
      </c>
      <c r="Q349" s="36" t="inlineStr">
        <is>
          <t>City</t>
        </is>
      </c>
      <c r="R349" s="36" t="n"/>
      <c r="S349" s="36">
        <f>COUNTIF('Page-Keyword Map'!$A$2:$A$675,B349)</f>
        <v/>
      </c>
      <c r="T349" s="37">
        <f>SUMIF('Page-Keyword Map'!$A$2:$A$675,B349,'Page-Keyword Map'!$H$2:$H$675)</f>
        <v/>
      </c>
      <c r="U349" s="36">
        <f>COUNTIFS('Page-Keyword Map'!$A$2:$A$675,B349,'Page-Keyword Map'!$E$2:$E$675,"Nationwide")</f>
        <v/>
      </c>
      <c r="V349" s="36">
        <f>COUNTIFS('Page-Keyword Map'!$A$2:$A$675,B349,'Page-Keyword Map'!$E$2:$E$675,"Provincial")</f>
        <v/>
      </c>
      <c r="W349" s="36">
        <f>COUNTIFS('Page-Keyword Map'!$A$2:$A$675,B349,'Page-Keyword Map'!$E$2:$E$675,"City")</f>
        <v/>
      </c>
      <c r="X349" s="36">
        <f>IF(O349="","",IF(ISNUMBER(SEARCH(O349,J349)),"Yes","No"))</f>
        <v/>
      </c>
      <c r="Y349" s="36" t="n">
        <v>0.5</v>
      </c>
      <c r="Z349" s="36" t="inlineStr">
        <is>
          <t>(not listed: noindex)</t>
        </is>
      </c>
      <c r="AA349" s="36" t="inlineStr">
        <is>
          <t>Live – noindex (enrich before indexing)</t>
        </is>
      </c>
      <c r="AB349" s="38" t="n"/>
      <c r="AC349" s="38" t="n"/>
    </row>
    <row r="350" ht="23.85" customHeight="1" s="22">
      <c r="A350" s="36" t="inlineStr">
        <is>
          <t>P0349</t>
        </is>
      </c>
      <c r="B350" s="36" t="inlineStr">
        <is>
          <t>https://instasure.ca/business-insurance/ontario/guelph/</t>
        </is>
      </c>
      <c r="C350" s="36" t="inlineStr">
        <is>
          <t>Product × city</t>
        </is>
      </c>
      <c r="D350" s="36" t="inlineStr">
        <is>
          <t>Business insurance</t>
        </is>
      </c>
      <c r="E350" s="36" t="inlineStr">
        <is>
          <t>Business Insurance</t>
        </is>
      </c>
      <c r="F350" s="36" t="n"/>
      <c r="G350" s="36" t="inlineStr">
        <is>
          <t>Ontario</t>
        </is>
      </c>
      <c r="H350" s="36" t="inlineStr">
        <is>
          <t>Guelph</t>
        </is>
      </c>
      <c r="I350" s="36" t="inlineStr">
        <is>
          <t>No</t>
        </is>
      </c>
      <c r="J350" s="25" t="inlineStr">
        <is>
          <t>Business Insurance Guelph, ON: Compare Quotes &amp; Costs (2026)</t>
        </is>
      </c>
      <c r="K350" s="36">
        <f>LEN(J350)</f>
        <v/>
      </c>
      <c r="L350" s="25" t="inlineStr">
        <is>
          <t>Compare business insurance in Guelph, ON: instant estimate ($35.00–$60.00/mo example), local risk factors and advisors licensed in Ontario.</t>
        </is>
      </c>
      <c r="M350" s="36">
        <f>LEN(L350)</f>
        <v/>
      </c>
      <c r="N350" s="25" t="inlineStr">
        <is>
          <t>Business Insurance in Guelph, ON</t>
        </is>
      </c>
      <c r="O350" s="36" t="inlineStr">
        <is>
          <t>business insurance guelph</t>
        </is>
      </c>
      <c r="P350" s="37" t="n">
        <v>55</v>
      </c>
      <c r="Q350" s="36" t="inlineStr">
        <is>
          <t>City</t>
        </is>
      </c>
      <c r="R350" s="36" t="n"/>
      <c r="S350" s="36">
        <f>COUNTIF('Page-Keyword Map'!$A$2:$A$675,B350)</f>
        <v/>
      </c>
      <c r="T350" s="37">
        <f>SUMIF('Page-Keyword Map'!$A$2:$A$675,B350,'Page-Keyword Map'!$H$2:$H$675)</f>
        <v/>
      </c>
      <c r="U350" s="36">
        <f>COUNTIFS('Page-Keyword Map'!$A$2:$A$675,B350,'Page-Keyword Map'!$E$2:$E$675,"Nationwide")</f>
        <v/>
      </c>
      <c r="V350" s="36">
        <f>COUNTIFS('Page-Keyword Map'!$A$2:$A$675,B350,'Page-Keyword Map'!$E$2:$E$675,"Provincial")</f>
        <v/>
      </c>
      <c r="W350" s="36">
        <f>COUNTIFS('Page-Keyword Map'!$A$2:$A$675,B350,'Page-Keyword Map'!$E$2:$E$675,"City")</f>
        <v/>
      </c>
      <c r="X350" s="36">
        <f>IF(O350="","",IF(ISNUMBER(SEARCH(O350,J350)),"Yes","No"))</f>
        <v/>
      </c>
      <c r="Y350" s="36" t="n">
        <v>0.5</v>
      </c>
      <c r="Z350" s="36" t="inlineStr">
        <is>
          <t>(not listed: noindex)</t>
        </is>
      </c>
      <c r="AA350" s="36" t="inlineStr">
        <is>
          <t>Live – noindex (enrich before indexing)</t>
        </is>
      </c>
      <c r="AB350" s="38" t="n"/>
      <c r="AC350" s="38" t="n"/>
    </row>
    <row r="351" ht="23.85" customHeight="1" s="22">
      <c r="A351" s="36" t="inlineStr">
        <is>
          <t>P0350</t>
        </is>
      </c>
      <c r="B351" s="36" t="inlineStr">
        <is>
          <t>https://instasure.ca/business-insurance/ontario/hamilton/</t>
        </is>
      </c>
      <c r="C351" s="36" t="inlineStr">
        <is>
          <t>Product × city</t>
        </is>
      </c>
      <c r="D351" s="36" t="inlineStr">
        <is>
          <t>Business insurance</t>
        </is>
      </c>
      <c r="E351" s="36" t="inlineStr">
        <is>
          <t>Business Insurance</t>
        </is>
      </c>
      <c r="F351" s="36" t="n"/>
      <c r="G351" s="36" t="inlineStr">
        <is>
          <t>Ontario</t>
        </is>
      </c>
      <c r="H351" s="36" t="inlineStr">
        <is>
          <t>Hamilton</t>
        </is>
      </c>
      <c r="I351" s="36" t="inlineStr">
        <is>
          <t>Yes</t>
        </is>
      </c>
      <c r="J351" s="25" t="inlineStr">
        <is>
          <t>Business Insurance Hamilton, ON: Compare Quotes &amp; Costs (2026)</t>
        </is>
      </c>
      <c r="K351" s="36">
        <f>LEN(J351)</f>
        <v/>
      </c>
      <c r="L351" s="25" t="inlineStr">
        <is>
          <t>Compare business insurance in Hamilton, ON: instant estimate ($35.00–$60.00/mo example), local risk factors and advisors licensed in Ontario.</t>
        </is>
      </c>
      <c r="M351" s="36">
        <f>LEN(L351)</f>
        <v/>
      </c>
      <c r="N351" s="25" t="inlineStr">
        <is>
          <t>Business Insurance in Hamilton, ON</t>
        </is>
      </c>
      <c r="O351" s="36" t="inlineStr">
        <is>
          <t>business insurance hamilton</t>
        </is>
      </c>
      <c r="P351" s="37" t="n">
        <v>170</v>
      </c>
      <c r="Q351" s="36" t="inlineStr">
        <is>
          <t>City</t>
        </is>
      </c>
      <c r="R351" s="36" t="n"/>
      <c r="S351" s="36">
        <f>COUNTIF('Page-Keyword Map'!$A$2:$A$675,B351)</f>
        <v/>
      </c>
      <c r="T351" s="37">
        <f>SUMIF('Page-Keyword Map'!$A$2:$A$675,B351,'Page-Keyword Map'!$H$2:$H$675)</f>
        <v/>
      </c>
      <c r="U351" s="36">
        <f>COUNTIFS('Page-Keyword Map'!$A$2:$A$675,B351,'Page-Keyword Map'!$E$2:$E$675,"Nationwide")</f>
        <v/>
      </c>
      <c r="V351" s="36">
        <f>COUNTIFS('Page-Keyword Map'!$A$2:$A$675,B351,'Page-Keyword Map'!$E$2:$E$675,"Provincial")</f>
        <v/>
      </c>
      <c r="W351" s="36">
        <f>COUNTIFS('Page-Keyword Map'!$A$2:$A$675,B351,'Page-Keyword Map'!$E$2:$E$675,"City")</f>
        <v/>
      </c>
      <c r="X351" s="36">
        <f>IF(O351="","",IF(ISNUMBER(SEARCH(O351,J351)),"Yes","No"))</f>
        <v/>
      </c>
      <c r="Y351" s="36" t="n">
        <v>0.7</v>
      </c>
      <c r="Z351" s="36" t="inlineStr">
        <is>
          <t>sitemap-cities.xml</t>
        </is>
      </c>
      <c r="AA351" s="36" t="inlineStr">
        <is>
          <t>Live – indexable</t>
        </is>
      </c>
      <c r="AB351" s="38" t="n"/>
      <c r="AC351" s="38" t="n"/>
    </row>
    <row r="352" ht="23.85" customHeight="1" s="22">
      <c r="A352" s="36" t="inlineStr">
        <is>
          <t>P0351</t>
        </is>
      </c>
      <c r="B352" s="36" t="inlineStr">
        <is>
          <t>https://instasure.ca/business-insurance/ontario/kingston/</t>
        </is>
      </c>
      <c r="C352" s="36" t="inlineStr">
        <is>
          <t>Product × city</t>
        </is>
      </c>
      <c r="D352" s="36" t="inlineStr">
        <is>
          <t>Business insurance</t>
        </is>
      </c>
      <c r="E352" s="36" t="inlineStr">
        <is>
          <t>Business Insurance</t>
        </is>
      </c>
      <c r="F352" s="36" t="n"/>
      <c r="G352" s="36" t="inlineStr">
        <is>
          <t>Ontario</t>
        </is>
      </c>
      <c r="H352" s="36" t="inlineStr">
        <is>
          <t>Kingston</t>
        </is>
      </c>
      <c r="I352" s="36" t="inlineStr">
        <is>
          <t>No</t>
        </is>
      </c>
      <c r="J352" s="25" t="inlineStr">
        <is>
          <t>Business Insurance Kingston, ON: Compare Quotes &amp; Costs (2026)</t>
        </is>
      </c>
      <c r="K352" s="36">
        <f>LEN(J352)</f>
        <v/>
      </c>
      <c r="L352" s="25" t="inlineStr">
        <is>
          <t>Compare business insurance in Kingston, ON: instant estimate ($35.00–$60.00/mo example), local risk factors and advisors licensed in Ontario.</t>
        </is>
      </c>
      <c r="M352" s="36">
        <f>LEN(L352)</f>
        <v/>
      </c>
      <c r="N352" s="25" t="inlineStr">
        <is>
          <t>Business Insurance in Kingston, ON</t>
        </is>
      </c>
      <c r="O352" s="36" t="inlineStr">
        <is>
          <t>business insurance kingston</t>
        </is>
      </c>
      <c r="P352" s="37" t="n">
        <v>52</v>
      </c>
      <c r="Q352" s="36" t="inlineStr">
        <is>
          <t>City</t>
        </is>
      </c>
      <c r="R352" s="36" t="n"/>
      <c r="S352" s="36">
        <f>COUNTIF('Page-Keyword Map'!$A$2:$A$675,B352)</f>
        <v/>
      </c>
      <c r="T352" s="37">
        <f>SUMIF('Page-Keyword Map'!$A$2:$A$675,B352,'Page-Keyword Map'!$H$2:$H$675)</f>
        <v/>
      </c>
      <c r="U352" s="36">
        <f>COUNTIFS('Page-Keyword Map'!$A$2:$A$675,B352,'Page-Keyword Map'!$E$2:$E$675,"Nationwide")</f>
        <v/>
      </c>
      <c r="V352" s="36">
        <f>COUNTIFS('Page-Keyword Map'!$A$2:$A$675,B352,'Page-Keyword Map'!$E$2:$E$675,"Provincial")</f>
        <v/>
      </c>
      <c r="W352" s="36">
        <f>COUNTIFS('Page-Keyword Map'!$A$2:$A$675,B352,'Page-Keyword Map'!$E$2:$E$675,"City")</f>
        <v/>
      </c>
      <c r="X352" s="36">
        <f>IF(O352="","",IF(ISNUMBER(SEARCH(O352,J352)),"Yes","No"))</f>
        <v/>
      </c>
      <c r="Y352" s="36" t="n">
        <v>0.5</v>
      </c>
      <c r="Z352" s="36" t="inlineStr">
        <is>
          <t>(not listed: noindex)</t>
        </is>
      </c>
      <c r="AA352" s="36" t="inlineStr">
        <is>
          <t>Live – noindex (enrich before indexing)</t>
        </is>
      </c>
      <c r="AB352" s="38" t="n"/>
      <c r="AC352" s="38" t="n"/>
    </row>
    <row r="353" ht="23.85" customHeight="1" s="22">
      <c r="A353" s="36" t="inlineStr">
        <is>
          <t>P0352</t>
        </is>
      </c>
      <c r="B353" s="36" t="inlineStr">
        <is>
          <t>https://instasure.ca/business-insurance/ontario/kitchener/</t>
        </is>
      </c>
      <c r="C353" s="36" t="inlineStr">
        <is>
          <t>Product × city</t>
        </is>
      </c>
      <c r="D353" s="36" t="inlineStr">
        <is>
          <t>Business insurance</t>
        </is>
      </c>
      <c r="E353" s="36" t="inlineStr">
        <is>
          <t>Business Insurance</t>
        </is>
      </c>
      <c r="F353" s="36" t="n"/>
      <c r="G353" s="36" t="inlineStr">
        <is>
          <t>Ontario</t>
        </is>
      </c>
      <c r="H353" s="36" t="inlineStr">
        <is>
          <t>Kitchener</t>
        </is>
      </c>
      <c r="I353" s="36" t="inlineStr">
        <is>
          <t>Yes</t>
        </is>
      </c>
      <c r="J353" s="25" t="inlineStr">
        <is>
          <t>Business Insurance Kitchener, ON: Compare Quotes &amp; Costs (2026)</t>
        </is>
      </c>
      <c r="K353" s="36">
        <f>LEN(J353)</f>
        <v/>
      </c>
      <c r="L353" s="25" t="inlineStr">
        <is>
          <t>Compare business insurance in Kitchener, ON: instant estimate ($35.00–$60.00/mo example), local risk factors and advisors licensed in Ontario.</t>
        </is>
      </c>
      <c r="M353" s="36">
        <f>LEN(L353)</f>
        <v/>
      </c>
      <c r="N353" s="25" t="inlineStr">
        <is>
          <t>Business Insurance in Kitchener, ON</t>
        </is>
      </c>
      <c r="O353" s="36" t="inlineStr">
        <is>
          <t>business insurance kitchener</t>
        </is>
      </c>
      <c r="P353" s="37" t="n">
        <v>88</v>
      </c>
      <c r="Q353" s="36" t="inlineStr">
        <is>
          <t>City</t>
        </is>
      </c>
      <c r="R353" s="36" t="n"/>
      <c r="S353" s="36">
        <f>COUNTIF('Page-Keyword Map'!$A$2:$A$675,B353)</f>
        <v/>
      </c>
      <c r="T353" s="37">
        <f>SUMIF('Page-Keyword Map'!$A$2:$A$675,B353,'Page-Keyword Map'!$H$2:$H$675)</f>
        <v/>
      </c>
      <c r="U353" s="36">
        <f>COUNTIFS('Page-Keyword Map'!$A$2:$A$675,B353,'Page-Keyword Map'!$E$2:$E$675,"Nationwide")</f>
        <v/>
      </c>
      <c r="V353" s="36">
        <f>COUNTIFS('Page-Keyword Map'!$A$2:$A$675,B353,'Page-Keyword Map'!$E$2:$E$675,"Provincial")</f>
        <v/>
      </c>
      <c r="W353" s="36">
        <f>COUNTIFS('Page-Keyword Map'!$A$2:$A$675,B353,'Page-Keyword Map'!$E$2:$E$675,"City")</f>
        <v/>
      </c>
      <c r="X353" s="36">
        <f>IF(O353="","",IF(ISNUMBER(SEARCH(O353,J353)),"Yes","No"))</f>
        <v/>
      </c>
      <c r="Y353" s="36" t="n">
        <v>0.7</v>
      </c>
      <c r="Z353" s="36" t="inlineStr">
        <is>
          <t>sitemap-cities.xml</t>
        </is>
      </c>
      <c r="AA353" s="36" t="inlineStr">
        <is>
          <t>Live – indexable</t>
        </is>
      </c>
      <c r="AB353" s="38" t="n"/>
      <c r="AC353" s="38" t="n"/>
    </row>
    <row r="354" ht="23.85" customHeight="1" s="22">
      <c r="A354" s="36" t="inlineStr">
        <is>
          <t>P0353</t>
        </is>
      </c>
      <c r="B354" s="36" t="inlineStr">
        <is>
          <t>https://instasure.ca/business-insurance/ontario/london/</t>
        </is>
      </c>
      <c r="C354" s="36" t="inlineStr">
        <is>
          <t>Product × city</t>
        </is>
      </c>
      <c r="D354" s="36" t="inlineStr">
        <is>
          <t>Business insurance</t>
        </is>
      </c>
      <c r="E354" s="36" t="inlineStr">
        <is>
          <t>Business Insurance</t>
        </is>
      </c>
      <c r="F354" s="36" t="n"/>
      <c r="G354" s="36" t="inlineStr">
        <is>
          <t>Ontario</t>
        </is>
      </c>
      <c r="H354" s="36" t="inlineStr">
        <is>
          <t>London</t>
        </is>
      </c>
      <c r="I354" s="36" t="inlineStr">
        <is>
          <t>Yes</t>
        </is>
      </c>
      <c r="J354" s="25" t="inlineStr">
        <is>
          <t>Business Insurance London, ON: Compare Quotes &amp; Costs (2026)</t>
        </is>
      </c>
      <c r="K354" s="36">
        <f>LEN(J354)</f>
        <v/>
      </c>
      <c r="L354" s="25" t="inlineStr">
        <is>
          <t>Compare business insurance in London, ON: instant estimate ($35.00–$60.00/mo example), local risk factors and advisors licensed in Ontario.</t>
        </is>
      </c>
      <c r="M354" s="36">
        <f>LEN(L354)</f>
        <v/>
      </c>
      <c r="N354" s="25" t="inlineStr">
        <is>
          <t>Business Insurance in London, ON</t>
        </is>
      </c>
      <c r="O354" s="36" t="inlineStr">
        <is>
          <t>business insurance london ontario</t>
        </is>
      </c>
      <c r="P354" s="37" t="n">
        <v>130</v>
      </c>
      <c r="Q354" s="36" t="inlineStr">
        <is>
          <t>City</t>
        </is>
      </c>
      <c r="R354" s="36" t="n"/>
      <c r="S354" s="36">
        <f>COUNTIF('Page-Keyword Map'!$A$2:$A$675,B354)</f>
        <v/>
      </c>
      <c r="T354" s="37">
        <f>SUMIF('Page-Keyword Map'!$A$2:$A$675,B354,'Page-Keyword Map'!$H$2:$H$675)</f>
        <v/>
      </c>
      <c r="U354" s="36">
        <f>COUNTIFS('Page-Keyword Map'!$A$2:$A$675,B354,'Page-Keyword Map'!$E$2:$E$675,"Nationwide")</f>
        <v/>
      </c>
      <c r="V354" s="36">
        <f>COUNTIFS('Page-Keyword Map'!$A$2:$A$675,B354,'Page-Keyword Map'!$E$2:$E$675,"Provincial")</f>
        <v/>
      </c>
      <c r="W354" s="36">
        <f>COUNTIFS('Page-Keyword Map'!$A$2:$A$675,B354,'Page-Keyword Map'!$E$2:$E$675,"City")</f>
        <v/>
      </c>
      <c r="X354" s="36">
        <f>IF(O354="","",IF(ISNUMBER(SEARCH(O354,J354)),"Yes","No"))</f>
        <v/>
      </c>
      <c r="Y354" s="36" t="n">
        <v>0.7</v>
      </c>
      <c r="Z354" s="36" t="inlineStr">
        <is>
          <t>sitemap-cities.xml</t>
        </is>
      </c>
      <c r="AA354" s="36" t="inlineStr">
        <is>
          <t>Live – indexable</t>
        </is>
      </c>
      <c r="AB354" s="38" t="n"/>
      <c r="AC354" s="38" t="n"/>
    </row>
    <row r="355" ht="23.85" customHeight="1" s="22">
      <c r="A355" s="36" t="inlineStr">
        <is>
          <t>P0354</t>
        </is>
      </c>
      <c r="B355" s="36" t="inlineStr">
        <is>
          <t>https://instasure.ca/business-insurance/ontario/markham/</t>
        </is>
      </c>
      <c r="C355" s="36" t="inlineStr">
        <is>
          <t>Product × city</t>
        </is>
      </c>
      <c r="D355" s="36" t="inlineStr">
        <is>
          <t>Business insurance</t>
        </is>
      </c>
      <c r="E355" s="36" t="inlineStr">
        <is>
          <t>Business Insurance</t>
        </is>
      </c>
      <c r="F355" s="36" t="n"/>
      <c r="G355" s="36" t="inlineStr">
        <is>
          <t>Ontario</t>
        </is>
      </c>
      <c r="H355" s="36" t="inlineStr">
        <is>
          <t>Markham</t>
        </is>
      </c>
      <c r="I355" s="36" t="inlineStr">
        <is>
          <t>Yes</t>
        </is>
      </c>
      <c r="J355" s="25" t="inlineStr">
        <is>
          <t>Business Insurance Markham, ON: Compare Quotes &amp; Costs (2026)</t>
        </is>
      </c>
      <c r="K355" s="36">
        <f>LEN(J355)</f>
        <v/>
      </c>
      <c r="L355" s="25" t="inlineStr">
        <is>
          <t>Compare business insurance in Markham, ON: instant estimate ($35.00–$60.00/mo example), local risk factors and advisors licensed in Ontario.</t>
        </is>
      </c>
      <c r="M355" s="36">
        <f>LEN(L355)</f>
        <v/>
      </c>
      <c r="N355" s="25" t="inlineStr">
        <is>
          <t>Business Insurance in Markham, ON</t>
        </is>
      </c>
      <c r="O355" s="36" t="inlineStr">
        <is>
          <t>business insurance markham</t>
        </is>
      </c>
      <c r="P355" s="37" t="n">
        <v>110</v>
      </c>
      <c r="Q355" s="36" t="inlineStr">
        <is>
          <t>City</t>
        </is>
      </c>
      <c r="R355" s="36" t="n"/>
      <c r="S355" s="36">
        <f>COUNTIF('Page-Keyword Map'!$A$2:$A$675,B355)</f>
        <v/>
      </c>
      <c r="T355" s="37">
        <f>SUMIF('Page-Keyword Map'!$A$2:$A$675,B355,'Page-Keyword Map'!$H$2:$H$675)</f>
        <v/>
      </c>
      <c r="U355" s="36">
        <f>COUNTIFS('Page-Keyword Map'!$A$2:$A$675,B355,'Page-Keyword Map'!$E$2:$E$675,"Nationwide")</f>
        <v/>
      </c>
      <c r="V355" s="36">
        <f>COUNTIFS('Page-Keyword Map'!$A$2:$A$675,B355,'Page-Keyword Map'!$E$2:$E$675,"Provincial")</f>
        <v/>
      </c>
      <c r="W355" s="36">
        <f>COUNTIFS('Page-Keyword Map'!$A$2:$A$675,B355,'Page-Keyword Map'!$E$2:$E$675,"City")</f>
        <v/>
      </c>
      <c r="X355" s="36">
        <f>IF(O355="","",IF(ISNUMBER(SEARCH(O355,J355)),"Yes","No"))</f>
        <v/>
      </c>
      <c r="Y355" s="36" t="n">
        <v>0.7</v>
      </c>
      <c r="Z355" s="36" t="inlineStr">
        <is>
          <t>sitemap-cities.xml</t>
        </is>
      </c>
      <c r="AA355" s="36" t="inlineStr">
        <is>
          <t>Live – indexable</t>
        </is>
      </c>
      <c r="AB355" s="38" t="n"/>
      <c r="AC355" s="38" t="n"/>
    </row>
    <row r="356" ht="23.85" customHeight="1" s="22">
      <c r="A356" s="36" t="inlineStr">
        <is>
          <t>P0355</t>
        </is>
      </c>
      <c r="B356" s="36" t="inlineStr">
        <is>
          <t>https://instasure.ca/business-insurance/ontario/milton/</t>
        </is>
      </c>
      <c r="C356" s="36" t="inlineStr">
        <is>
          <t>Product × city</t>
        </is>
      </c>
      <c r="D356" s="36" t="inlineStr">
        <is>
          <t>Business insurance</t>
        </is>
      </c>
      <c r="E356" s="36" t="inlineStr">
        <is>
          <t>Business Insurance</t>
        </is>
      </c>
      <c r="F356" s="36" t="n"/>
      <c r="G356" s="36" t="inlineStr">
        <is>
          <t>Ontario</t>
        </is>
      </c>
      <c r="H356" s="36" t="inlineStr">
        <is>
          <t>Milton</t>
        </is>
      </c>
      <c r="I356" s="36" t="inlineStr">
        <is>
          <t>No</t>
        </is>
      </c>
      <c r="J356" s="25" t="inlineStr">
        <is>
          <t>Business Insurance Milton, ON: Compare Quotes &amp; Costs (2026)</t>
        </is>
      </c>
      <c r="K356" s="36">
        <f>LEN(J356)</f>
        <v/>
      </c>
      <c r="L356" s="25" t="inlineStr">
        <is>
          <t>Compare business insurance in Milton, ON: instant estimate ($35.00–$60.00/mo example), local risk factors and advisors licensed in Ontario.</t>
        </is>
      </c>
      <c r="M356" s="36">
        <f>LEN(L356)</f>
        <v/>
      </c>
      <c r="N356" s="25" t="inlineStr">
        <is>
          <t>Business Insurance in Milton, ON</t>
        </is>
      </c>
      <c r="O356" s="36" t="inlineStr">
        <is>
          <t>business insurance milton</t>
        </is>
      </c>
      <c r="P356" s="37" t="n">
        <v>52</v>
      </c>
      <c r="Q356" s="36" t="inlineStr">
        <is>
          <t>City</t>
        </is>
      </c>
      <c r="R356" s="36" t="n"/>
      <c r="S356" s="36">
        <f>COUNTIF('Page-Keyword Map'!$A$2:$A$675,B356)</f>
        <v/>
      </c>
      <c r="T356" s="37">
        <f>SUMIF('Page-Keyword Map'!$A$2:$A$675,B356,'Page-Keyword Map'!$H$2:$H$675)</f>
        <v/>
      </c>
      <c r="U356" s="36">
        <f>COUNTIFS('Page-Keyword Map'!$A$2:$A$675,B356,'Page-Keyword Map'!$E$2:$E$675,"Nationwide")</f>
        <v/>
      </c>
      <c r="V356" s="36">
        <f>COUNTIFS('Page-Keyword Map'!$A$2:$A$675,B356,'Page-Keyword Map'!$E$2:$E$675,"Provincial")</f>
        <v/>
      </c>
      <c r="W356" s="36">
        <f>COUNTIFS('Page-Keyword Map'!$A$2:$A$675,B356,'Page-Keyword Map'!$E$2:$E$675,"City")</f>
        <v/>
      </c>
      <c r="X356" s="36">
        <f>IF(O356="","",IF(ISNUMBER(SEARCH(O356,J356)),"Yes","No"))</f>
        <v/>
      </c>
      <c r="Y356" s="36" t="n">
        <v>0.5</v>
      </c>
      <c r="Z356" s="36" t="inlineStr">
        <is>
          <t>(not listed: noindex)</t>
        </is>
      </c>
      <c r="AA356" s="36" t="inlineStr">
        <is>
          <t>Live – noindex (enrich before indexing)</t>
        </is>
      </c>
      <c r="AB356" s="38" t="n"/>
      <c r="AC356" s="38" t="n"/>
    </row>
    <row r="357" ht="23.85" customHeight="1" s="22">
      <c r="A357" s="36" t="inlineStr">
        <is>
          <t>P0356</t>
        </is>
      </c>
      <c r="B357" s="36" t="inlineStr">
        <is>
          <t>https://instasure.ca/business-insurance/ontario/mississauga/</t>
        </is>
      </c>
      <c r="C357" s="36" t="inlineStr">
        <is>
          <t>Product × city</t>
        </is>
      </c>
      <c r="D357" s="36" t="inlineStr">
        <is>
          <t>Business insurance</t>
        </is>
      </c>
      <c r="E357" s="36" t="inlineStr">
        <is>
          <t>Business Insurance</t>
        </is>
      </c>
      <c r="F357" s="36" t="n"/>
      <c r="G357" s="36" t="inlineStr">
        <is>
          <t>Ontario</t>
        </is>
      </c>
      <c r="H357" s="36" t="inlineStr">
        <is>
          <t>Mississauga</t>
        </is>
      </c>
      <c r="I357" s="36" t="inlineStr">
        <is>
          <t>Yes</t>
        </is>
      </c>
      <c r="J357" s="25" t="inlineStr">
        <is>
          <t>Business Insurance Mississauga, ON: Compare Quotes &amp; Costs (2026)</t>
        </is>
      </c>
      <c r="K357" s="36">
        <f>LEN(J357)</f>
        <v/>
      </c>
      <c r="L357" s="25" t="inlineStr">
        <is>
          <t>Compare business insurance in Mississauga, ON: instant estimate ($35.00–$60.00/mo example), local risk factors and advisors licensed in Ontario.</t>
        </is>
      </c>
      <c r="M357" s="36">
        <f>LEN(L357)</f>
        <v/>
      </c>
      <c r="N357" s="25" t="inlineStr">
        <is>
          <t>Business Insurance in Mississauga, ON</t>
        </is>
      </c>
      <c r="O357" s="36" t="inlineStr">
        <is>
          <t>business insurance mississauga</t>
        </is>
      </c>
      <c r="P357" s="37" t="n">
        <v>200</v>
      </c>
      <c r="Q357" s="36" t="inlineStr">
        <is>
          <t>City</t>
        </is>
      </c>
      <c r="R357" s="36" t="n"/>
      <c r="S357" s="36">
        <f>COUNTIF('Page-Keyword Map'!$A$2:$A$675,B357)</f>
        <v/>
      </c>
      <c r="T357" s="37">
        <f>SUMIF('Page-Keyword Map'!$A$2:$A$675,B357,'Page-Keyword Map'!$H$2:$H$675)</f>
        <v/>
      </c>
      <c r="U357" s="36">
        <f>COUNTIFS('Page-Keyword Map'!$A$2:$A$675,B357,'Page-Keyword Map'!$E$2:$E$675,"Nationwide")</f>
        <v/>
      </c>
      <c r="V357" s="36">
        <f>COUNTIFS('Page-Keyword Map'!$A$2:$A$675,B357,'Page-Keyword Map'!$E$2:$E$675,"Provincial")</f>
        <v/>
      </c>
      <c r="W357" s="36">
        <f>COUNTIFS('Page-Keyword Map'!$A$2:$A$675,B357,'Page-Keyword Map'!$E$2:$E$675,"City")</f>
        <v/>
      </c>
      <c r="X357" s="36">
        <f>IF(O357="","",IF(ISNUMBER(SEARCH(O357,J357)),"Yes","No"))</f>
        <v/>
      </c>
      <c r="Y357" s="36" t="n">
        <v>0.7</v>
      </c>
      <c r="Z357" s="36" t="inlineStr">
        <is>
          <t>sitemap-cities.xml</t>
        </is>
      </c>
      <c r="AA357" s="36" t="inlineStr">
        <is>
          <t>Live – indexable</t>
        </is>
      </c>
      <c r="AB357" s="38" t="n"/>
      <c r="AC357" s="38" t="n"/>
    </row>
    <row r="358" ht="23.85" customHeight="1" s="22">
      <c r="A358" s="36" t="inlineStr">
        <is>
          <t>P0357</t>
        </is>
      </c>
      <c r="B358" s="36" t="inlineStr">
        <is>
          <t>https://instasure.ca/business-insurance/ontario/oakville/</t>
        </is>
      </c>
      <c r="C358" s="36" t="inlineStr">
        <is>
          <t>Product × city</t>
        </is>
      </c>
      <c r="D358" s="36" t="inlineStr">
        <is>
          <t>Business insurance</t>
        </is>
      </c>
      <c r="E358" s="36" t="inlineStr">
        <is>
          <t>Business Insurance</t>
        </is>
      </c>
      <c r="F358" s="36" t="n"/>
      <c r="G358" s="36" t="inlineStr">
        <is>
          <t>Ontario</t>
        </is>
      </c>
      <c r="H358" s="36" t="inlineStr">
        <is>
          <t>Oakville</t>
        </is>
      </c>
      <c r="I358" s="36" t="inlineStr">
        <is>
          <t>No</t>
        </is>
      </c>
      <c r="J358" s="25" t="inlineStr">
        <is>
          <t>Business Insurance Oakville, ON: Compare Quotes &amp; Costs (2026)</t>
        </is>
      </c>
      <c r="K358" s="36">
        <f>LEN(J358)</f>
        <v/>
      </c>
      <c r="L358" s="25" t="inlineStr">
        <is>
          <t>Compare business insurance in Oakville, ON: instant estimate ($35.00–$60.00/mo example), local risk factors and advisors licensed in Ontario.</t>
        </is>
      </c>
      <c r="M358" s="36">
        <f>LEN(L358)</f>
        <v/>
      </c>
      <c r="N358" s="25" t="inlineStr">
        <is>
          <t>Business Insurance in Oakville, ON</t>
        </is>
      </c>
      <c r="O358" s="36" t="inlineStr">
        <is>
          <t>business insurance oakville</t>
        </is>
      </c>
      <c r="P358" s="37" t="n">
        <v>76</v>
      </c>
      <c r="Q358" s="36" t="inlineStr">
        <is>
          <t>City</t>
        </is>
      </c>
      <c r="R358" s="36" t="n"/>
      <c r="S358" s="36">
        <f>COUNTIF('Page-Keyword Map'!$A$2:$A$675,B358)</f>
        <v/>
      </c>
      <c r="T358" s="37">
        <f>SUMIF('Page-Keyword Map'!$A$2:$A$675,B358,'Page-Keyword Map'!$H$2:$H$675)</f>
        <v/>
      </c>
      <c r="U358" s="36">
        <f>COUNTIFS('Page-Keyword Map'!$A$2:$A$675,B358,'Page-Keyword Map'!$E$2:$E$675,"Nationwide")</f>
        <v/>
      </c>
      <c r="V358" s="36">
        <f>COUNTIFS('Page-Keyword Map'!$A$2:$A$675,B358,'Page-Keyword Map'!$E$2:$E$675,"Provincial")</f>
        <v/>
      </c>
      <c r="W358" s="36">
        <f>COUNTIFS('Page-Keyword Map'!$A$2:$A$675,B358,'Page-Keyword Map'!$E$2:$E$675,"City")</f>
        <v/>
      </c>
      <c r="X358" s="36">
        <f>IF(O358="","",IF(ISNUMBER(SEARCH(O358,J358)),"Yes","No"))</f>
        <v/>
      </c>
      <c r="Y358" s="36" t="n">
        <v>0.5</v>
      </c>
      <c r="Z358" s="36" t="inlineStr">
        <is>
          <t>(not listed: noindex)</t>
        </is>
      </c>
      <c r="AA358" s="36" t="inlineStr">
        <is>
          <t>Live – noindex (enrich before indexing)</t>
        </is>
      </c>
      <c r="AB358" s="38" t="n"/>
      <c r="AC358" s="38" t="n"/>
    </row>
    <row r="359" ht="23.85" customHeight="1" s="22">
      <c r="A359" s="36" t="inlineStr">
        <is>
          <t>P0358</t>
        </is>
      </c>
      <c r="B359" s="36" t="inlineStr">
        <is>
          <t>https://instasure.ca/business-insurance/ontario/oshawa/</t>
        </is>
      </c>
      <c r="C359" s="36" t="inlineStr">
        <is>
          <t>Product × city</t>
        </is>
      </c>
      <c r="D359" s="36" t="inlineStr">
        <is>
          <t>Business insurance</t>
        </is>
      </c>
      <c r="E359" s="36" t="inlineStr">
        <is>
          <t>Business Insurance</t>
        </is>
      </c>
      <c r="F359" s="36" t="n"/>
      <c r="G359" s="36" t="inlineStr">
        <is>
          <t>Ontario</t>
        </is>
      </c>
      <c r="H359" s="36" t="inlineStr">
        <is>
          <t>Oshawa</t>
        </is>
      </c>
      <c r="I359" s="36" t="inlineStr">
        <is>
          <t>No</t>
        </is>
      </c>
      <c r="J359" s="25" t="inlineStr">
        <is>
          <t>Business Insurance Oshawa, ON: Compare Quotes &amp; Costs (2026)</t>
        </is>
      </c>
      <c r="K359" s="36">
        <f>LEN(J359)</f>
        <v/>
      </c>
      <c r="L359" s="25" t="inlineStr">
        <is>
          <t>Compare business insurance in Oshawa, ON: instant estimate ($35.00–$60.00/mo example), local risk factors and advisors licensed in Ontario.</t>
        </is>
      </c>
      <c r="M359" s="36">
        <f>LEN(L359)</f>
        <v/>
      </c>
      <c r="N359" s="25" t="inlineStr">
        <is>
          <t>Business Insurance in Oshawa, ON</t>
        </is>
      </c>
      <c r="O359" s="36" t="inlineStr">
        <is>
          <t>business insurance oshawa</t>
        </is>
      </c>
      <c r="P359" s="37" t="n">
        <v>65</v>
      </c>
      <c r="Q359" s="36" t="inlineStr">
        <is>
          <t>City</t>
        </is>
      </c>
      <c r="R359" s="36" t="n"/>
      <c r="S359" s="36">
        <f>COUNTIF('Page-Keyword Map'!$A$2:$A$675,B359)</f>
        <v/>
      </c>
      <c r="T359" s="37">
        <f>SUMIF('Page-Keyword Map'!$A$2:$A$675,B359,'Page-Keyword Map'!$H$2:$H$675)</f>
        <v/>
      </c>
      <c r="U359" s="36">
        <f>COUNTIFS('Page-Keyword Map'!$A$2:$A$675,B359,'Page-Keyword Map'!$E$2:$E$675,"Nationwide")</f>
        <v/>
      </c>
      <c r="V359" s="36">
        <f>COUNTIFS('Page-Keyword Map'!$A$2:$A$675,B359,'Page-Keyword Map'!$E$2:$E$675,"Provincial")</f>
        <v/>
      </c>
      <c r="W359" s="36">
        <f>COUNTIFS('Page-Keyword Map'!$A$2:$A$675,B359,'Page-Keyword Map'!$E$2:$E$675,"City")</f>
        <v/>
      </c>
      <c r="X359" s="36">
        <f>IF(O359="","",IF(ISNUMBER(SEARCH(O359,J359)),"Yes","No"))</f>
        <v/>
      </c>
      <c r="Y359" s="36" t="n">
        <v>0.5</v>
      </c>
      <c r="Z359" s="36" t="inlineStr">
        <is>
          <t>(not listed: noindex)</t>
        </is>
      </c>
      <c r="AA359" s="36" t="inlineStr">
        <is>
          <t>Live – noindex (enrich before indexing)</t>
        </is>
      </c>
      <c r="AB359" s="38" t="n"/>
      <c r="AC359" s="38" t="n"/>
    </row>
    <row r="360" ht="23.85" customHeight="1" s="22">
      <c r="A360" s="36" t="inlineStr">
        <is>
          <t>P0359</t>
        </is>
      </c>
      <c r="B360" s="36" t="inlineStr">
        <is>
          <t>https://instasure.ca/business-insurance/ontario/ottawa/</t>
        </is>
      </c>
      <c r="C360" s="36" t="inlineStr">
        <is>
          <t>Product × city</t>
        </is>
      </c>
      <c r="D360" s="36" t="inlineStr">
        <is>
          <t>Business insurance</t>
        </is>
      </c>
      <c r="E360" s="36" t="inlineStr">
        <is>
          <t>Business Insurance</t>
        </is>
      </c>
      <c r="F360" s="36" t="n"/>
      <c r="G360" s="36" t="inlineStr">
        <is>
          <t>Ontario</t>
        </is>
      </c>
      <c r="H360" s="36" t="inlineStr">
        <is>
          <t>Ottawa</t>
        </is>
      </c>
      <c r="I360" s="36" t="inlineStr">
        <is>
          <t>Yes</t>
        </is>
      </c>
      <c r="J360" s="25" t="inlineStr">
        <is>
          <t>Business Insurance Ottawa, ON: Compare Quotes &amp; Costs (2026)</t>
        </is>
      </c>
      <c r="K360" s="36">
        <f>LEN(J360)</f>
        <v/>
      </c>
      <c r="L360" s="25" t="inlineStr">
        <is>
          <t>Compare business insurance in Ottawa, ON: instant estimate ($35.00–$60.00/mo example), local risk factors and advisors licensed in Ontario.</t>
        </is>
      </c>
      <c r="M360" s="36">
        <f>LEN(L360)</f>
        <v/>
      </c>
      <c r="N360" s="25" t="inlineStr">
        <is>
          <t>Business Insurance in Ottawa, ON</t>
        </is>
      </c>
      <c r="O360" s="36" t="inlineStr">
        <is>
          <t>business insurance ottawa</t>
        </is>
      </c>
      <c r="P360" s="37" t="n">
        <v>260</v>
      </c>
      <c r="Q360" s="36" t="inlineStr">
        <is>
          <t>City</t>
        </is>
      </c>
      <c r="R360" s="36" t="n"/>
      <c r="S360" s="36">
        <f>COUNTIF('Page-Keyword Map'!$A$2:$A$675,B360)</f>
        <v/>
      </c>
      <c r="T360" s="37">
        <f>SUMIF('Page-Keyword Map'!$A$2:$A$675,B360,'Page-Keyword Map'!$H$2:$H$675)</f>
        <v/>
      </c>
      <c r="U360" s="36">
        <f>COUNTIFS('Page-Keyword Map'!$A$2:$A$675,B360,'Page-Keyword Map'!$E$2:$E$675,"Nationwide")</f>
        <v/>
      </c>
      <c r="V360" s="36">
        <f>COUNTIFS('Page-Keyword Map'!$A$2:$A$675,B360,'Page-Keyword Map'!$E$2:$E$675,"Provincial")</f>
        <v/>
      </c>
      <c r="W360" s="36">
        <f>COUNTIFS('Page-Keyword Map'!$A$2:$A$675,B360,'Page-Keyword Map'!$E$2:$E$675,"City")</f>
        <v/>
      </c>
      <c r="X360" s="36">
        <f>IF(O360="","",IF(ISNUMBER(SEARCH(O360,J360)),"Yes","No"))</f>
        <v/>
      </c>
      <c r="Y360" s="36" t="n">
        <v>0.7</v>
      </c>
      <c r="Z360" s="36" t="inlineStr">
        <is>
          <t>sitemap-cities.xml</t>
        </is>
      </c>
      <c r="AA360" s="36" t="inlineStr">
        <is>
          <t>Live – indexable</t>
        </is>
      </c>
      <c r="AB360" s="38" t="n"/>
      <c r="AC360" s="38" t="n"/>
    </row>
    <row r="361" ht="23.85" customHeight="1" s="22">
      <c r="A361" s="36" t="inlineStr">
        <is>
          <t>P0360</t>
        </is>
      </c>
      <c r="B361" s="36" t="inlineStr">
        <is>
          <t>https://instasure.ca/business-insurance/ontario/pickering/</t>
        </is>
      </c>
      <c r="C361" s="36" t="inlineStr">
        <is>
          <t>Product × city</t>
        </is>
      </c>
      <c r="D361" s="36" t="inlineStr">
        <is>
          <t>Business insurance</t>
        </is>
      </c>
      <c r="E361" s="36" t="inlineStr">
        <is>
          <t>Business Insurance</t>
        </is>
      </c>
      <c r="F361" s="36" t="n"/>
      <c r="G361" s="36" t="inlineStr">
        <is>
          <t>Ontario</t>
        </is>
      </c>
      <c r="H361" s="36" t="inlineStr">
        <is>
          <t>Pickering</t>
        </is>
      </c>
      <c r="I361" s="36" t="inlineStr">
        <is>
          <t>No</t>
        </is>
      </c>
      <c r="J361" s="25" t="inlineStr">
        <is>
          <t>Business Insurance Pickering, ON: Compare Quotes &amp; Costs (2026)</t>
        </is>
      </c>
      <c r="K361" s="36">
        <f>LEN(J361)</f>
        <v/>
      </c>
      <c r="L361" s="25" t="inlineStr">
        <is>
          <t>Compare business insurance in Pickering, ON: instant estimate ($35.00–$60.00/mo example), local risk factors and advisors licensed in Ontario.</t>
        </is>
      </c>
      <c r="M361" s="36">
        <f>LEN(L361)</f>
        <v/>
      </c>
      <c r="N361" s="25" t="inlineStr">
        <is>
          <t>Business Insurance in Pickering, ON</t>
        </is>
      </c>
      <c r="O361" s="36" t="inlineStr">
        <is>
          <t>business insurance pickering</t>
        </is>
      </c>
      <c r="P361" s="37" t="n">
        <v>41</v>
      </c>
      <c r="Q361" s="36" t="inlineStr">
        <is>
          <t>City</t>
        </is>
      </c>
      <c r="R361" s="36" t="n"/>
      <c r="S361" s="36">
        <f>COUNTIF('Page-Keyword Map'!$A$2:$A$675,B361)</f>
        <v/>
      </c>
      <c r="T361" s="37">
        <f>SUMIF('Page-Keyword Map'!$A$2:$A$675,B361,'Page-Keyword Map'!$H$2:$H$675)</f>
        <v/>
      </c>
      <c r="U361" s="36">
        <f>COUNTIFS('Page-Keyword Map'!$A$2:$A$675,B361,'Page-Keyword Map'!$E$2:$E$675,"Nationwide")</f>
        <v/>
      </c>
      <c r="V361" s="36">
        <f>COUNTIFS('Page-Keyword Map'!$A$2:$A$675,B361,'Page-Keyword Map'!$E$2:$E$675,"Provincial")</f>
        <v/>
      </c>
      <c r="W361" s="36">
        <f>COUNTIFS('Page-Keyword Map'!$A$2:$A$675,B361,'Page-Keyword Map'!$E$2:$E$675,"City")</f>
        <v/>
      </c>
      <c r="X361" s="36">
        <f>IF(O361="","",IF(ISNUMBER(SEARCH(O361,J361)),"Yes","No"))</f>
        <v/>
      </c>
      <c r="Y361" s="36" t="n">
        <v>0.5</v>
      </c>
      <c r="Z361" s="36" t="inlineStr">
        <is>
          <t>(not listed: noindex)</t>
        </is>
      </c>
      <c r="AA361" s="36" t="inlineStr">
        <is>
          <t>Live – noindex (enrich before indexing)</t>
        </is>
      </c>
      <c r="AB361" s="38" t="n"/>
      <c r="AC361" s="38" t="n"/>
    </row>
    <row r="362" ht="23.85" customHeight="1" s="22">
      <c r="A362" s="36" t="inlineStr">
        <is>
          <t>P0361</t>
        </is>
      </c>
      <c r="B362" s="36" t="inlineStr">
        <is>
          <t>https://instasure.ca/business-insurance/ontario/richmond-hill/</t>
        </is>
      </c>
      <c r="C362" s="36" t="inlineStr">
        <is>
          <t>Product × city</t>
        </is>
      </c>
      <c r="D362" s="36" t="inlineStr">
        <is>
          <t>Business insurance</t>
        </is>
      </c>
      <c r="E362" s="36" t="inlineStr">
        <is>
          <t>Business Insurance</t>
        </is>
      </c>
      <c r="F362" s="36" t="n"/>
      <c r="G362" s="36" t="inlineStr">
        <is>
          <t>Ontario</t>
        </is>
      </c>
      <c r="H362" s="36" t="inlineStr">
        <is>
          <t>Richmond Hill</t>
        </is>
      </c>
      <c r="I362" s="36" t="inlineStr">
        <is>
          <t>No</t>
        </is>
      </c>
      <c r="J362" s="25" t="inlineStr">
        <is>
          <t>Business Insurance Richmond Hill, ON: Compare Quotes &amp; Costs (2026)</t>
        </is>
      </c>
      <c r="K362" s="36">
        <f>LEN(J362)</f>
        <v/>
      </c>
      <c r="L362" s="25" t="inlineStr">
        <is>
          <t>Compare business insurance in Richmond Hill, ON: instant estimate ($35.00–$60.00/mo example), local risk factors and advisors licensed in Ontario.</t>
        </is>
      </c>
      <c r="M362" s="36">
        <f>LEN(L362)</f>
        <v/>
      </c>
      <c r="N362" s="25" t="inlineStr">
        <is>
          <t>Business Insurance in Richmond Hill, ON</t>
        </is>
      </c>
      <c r="O362" s="36" t="inlineStr">
        <is>
          <t>business insurance richmond hill</t>
        </is>
      </c>
      <c r="P362" s="37" t="n">
        <v>72</v>
      </c>
      <c r="Q362" s="36" t="inlineStr">
        <is>
          <t>City</t>
        </is>
      </c>
      <c r="R362" s="36" t="n"/>
      <c r="S362" s="36">
        <f>COUNTIF('Page-Keyword Map'!$A$2:$A$675,B362)</f>
        <v/>
      </c>
      <c r="T362" s="37">
        <f>SUMIF('Page-Keyword Map'!$A$2:$A$675,B362,'Page-Keyword Map'!$H$2:$H$675)</f>
        <v/>
      </c>
      <c r="U362" s="36">
        <f>COUNTIFS('Page-Keyword Map'!$A$2:$A$675,B362,'Page-Keyword Map'!$E$2:$E$675,"Nationwide")</f>
        <v/>
      </c>
      <c r="V362" s="36">
        <f>COUNTIFS('Page-Keyword Map'!$A$2:$A$675,B362,'Page-Keyword Map'!$E$2:$E$675,"Provincial")</f>
        <v/>
      </c>
      <c r="W362" s="36">
        <f>COUNTIFS('Page-Keyword Map'!$A$2:$A$675,B362,'Page-Keyword Map'!$E$2:$E$675,"City")</f>
        <v/>
      </c>
      <c r="X362" s="36">
        <f>IF(O362="","",IF(ISNUMBER(SEARCH(O362,J362)),"Yes","No"))</f>
        <v/>
      </c>
      <c r="Y362" s="36" t="n">
        <v>0.5</v>
      </c>
      <c r="Z362" s="36" t="inlineStr">
        <is>
          <t>(not listed: noindex)</t>
        </is>
      </c>
      <c r="AA362" s="36" t="inlineStr">
        <is>
          <t>Live – noindex (enrich before indexing)</t>
        </is>
      </c>
      <c r="AB362" s="38" t="n"/>
      <c r="AC362" s="38" t="n"/>
    </row>
    <row r="363" ht="23.85" customHeight="1" s="22">
      <c r="A363" s="36" t="inlineStr">
        <is>
          <t>P0362</t>
        </is>
      </c>
      <c r="B363" s="36" t="inlineStr">
        <is>
          <t>https://instasure.ca/business-insurance/ontario/st-catharines/</t>
        </is>
      </c>
      <c r="C363" s="36" t="inlineStr">
        <is>
          <t>Product × city</t>
        </is>
      </c>
      <c r="D363" s="36" t="inlineStr">
        <is>
          <t>Business insurance</t>
        </is>
      </c>
      <c r="E363" s="36" t="inlineStr">
        <is>
          <t>Business Insurance</t>
        </is>
      </c>
      <c r="F363" s="36" t="n"/>
      <c r="G363" s="36" t="inlineStr">
        <is>
          <t>Ontario</t>
        </is>
      </c>
      <c r="H363" s="36" t="inlineStr">
        <is>
          <t>St. Catharines</t>
        </is>
      </c>
      <c r="I363" s="36" t="inlineStr">
        <is>
          <t>No</t>
        </is>
      </c>
      <c r="J363" s="25" t="inlineStr">
        <is>
          <t>Business Insurance St. Catharines, ON: Compare Quotes &amp; Costs (2026)</t>
        </is>
      </c>
      <c r="K363" s="36">
        <f>LEN(J363)</f>
        <v/>
      </c>
      <c r="L363" s="25" t="inlineStr">
        <is>
          <t>Compare business insurance in St. Catharines, ON: instant estimate ($35.00–$60.00/mo example), local risk factors and advisors licensed in Ontario.</t>
        </is>
      </c>
      <c r="M363" s="36">
        <f>LEN(L363)</f>
        <v/>
      </c>
      <c r="N363" s="25" t="inlineStr">
        <is>
          <t>Business Insurance in St. Catharines, ON</t>
        </is>
      </c>
      <c r="O363" s="36" t="inlineStr">
        <is>
          <t>business insurance st catharines</t>
        </is>
      </c>
      <c r="P363" s="37" t="n">
        <v>53</v>
      </c>
      <c r="Q363" s="36" t="inlineStr">
        <is>
          <t>City</t>
        </is>
      </c>
      <c r="R363" s="36" t="n"/>
      <c r="S363" s="36">
        <f>COUNTIF('Page-Keyword Map'!$A$2:$A$675,B363)</f>
        <v/>
      </c>
      <c r="T363" s="37">
        <f>SUMIF('Page-Keyword Map'!$A$2:$A$675,B363,'Page-Keyword Map'!$H$2:$H$675)</f>
        <v/>
      </c>
      <c r="U363" s="36">
        <f>COUNTIFS('Page-Keyword Map'!$A$2:$A$675,B363,'Page-Keyword Map'!$E$2:$E$675,"Nationwide")</f>
        <v/>
      </c>
      <c r="V363" s="36">
        <f>COUNTIFS('Page-Keyword Map'!$A$2:$A$675,B363,'Page-Keyword Map'!$E$2:$E$675,"Provincial")</f>
        <v/>
      </c>
      <c r="W363" s="36">
        <f>COUNTIFS('Page-Keyword Map'!$A$2:$A$675,B363,'Page-Keyword Map'!$E$2:$E$675,"City")</f>
        <v/>
      </c>
      <c r="X363" s="36">
        <f>IF(O363="","",IF(ISNUMBER(SEARCH(O363,J363)),"Yes","No"))</f>
        <v/>
      </c>
      <c r="Y363" s="36" t="n">
        <v>0.5</v>
      </c>
      <c r="Z363" s="36" t="inlineStr">
        <is>
          <t>(not listed: noindex)</t>
        </is>
      </c>
      <c r="AA363" s="36" t="inlineStr">
        <is>
          <t>Live – noindex (enrich before indexing)</t>
        </is>
      </c>
      <c r="AB363" s="38" t="n"/>
      <c r="AC363" s="38" t="n"/>
    </row>
    <row r="364" ht="23.85" customHeight="1" s="22">
      <c r="A364" s="36" t="inlineStr">
        <is>
          <t>P0363</t>
        </is>
      </c>
      <c r="B364" s="36" t="inlineStr">
        <is>
          <t>https://instasure.ca/business-insurance/ontario/sudbury/</t>
        </is>
      </c>
      <c r="C364" s="36" t="inlineStr">
        <is>
          <t>Product × city</t>
        </is>
      </c>
      <c r="D364" s="36" t="inlineStr">
        <is>
          <t>Business insurance</t>
        </is>
      </c>
      <c r="E364" s="36" t="inlineStr">
        <is>
          <t>Business Insurance</t>
        </is>
      </c>
      <c r="F364" s="36" t="n"/>
      <c r="G364" s="36" t="inlineStr">
        <is>
          <t>Ontario</t>
        </is>
      </c>
      <c r="H364" s="36" t="inlineStr">
        <is>
          <t>Sudbury</t>
        </is>
      </c>
      <c r="I364" s="36" t="inlineStr">
        <is>
          <t>No</t>
        </is>
      </c>
      <c r="J364" s="25" t="inlineStr">
        <is>
          <t>Business Insurance Sudbury, ON: Compare Quotes &amp; Costs (2026)</t>
        </is>
      </c>
      <c r="K364" s="36">
        <f>LEN(J364)</f>
        <v/>
      </c>
      <c r="L364" s="25" t="inlineStr">
        <is>
          <t>Compare business insurance in Sudbury, ON: instant estimate ($35.00–$60.00/mo example), local risk factors and advisors licensed in Ontario.</t>
        </is>
      </c>
      <c r="M364" s="36">
        <f>LEN(L364)</f>
        <v/>
      </c>
      <c r="N364" s="25" t="inlineStr">
        <is>
          <t>Business Insurance in Sudbury, ON</t>
        </is>
      </c>
      <c r="O364" s="36" t="inlineStr">
        <is>
          <t>business insurance sudbury</t>
        </is>
      </c>
      <c r="P364" s="37" t="n">
        <v>62</v>
      </c>
      <c r="Q364" s="36" t="inlineStr">
        <is>
          <t>City</t>
        </is>
      </c>
      <c r="R364" s="36" t="n"/>
      <c r="S364" s="36">
        <f>COUNTIF('Page-Keyword Map'!$A$2:$A$675,B364)</f>
        <v/>
      </c>
      <c r="T364" s="37">
        <f>SUMIF('Page-Keyword Map'!$A$2:$A$675,B364,'Page-Keyword Map'!$H$2:$H$675)</f>
        <v/>
      </c>
      <c r="U364" s="36">
        <f>COUNTIFS('Page-Keyword Map'!$A$2:$A$675,B364,'Page-Keyword Map'!$E$2:$E$675,"Nationwide")</f>
        <v/>
      </c>
      <c r="V364" s="36">
        <f>COUNTIFS('Page-Keyword Map'!$A$2:$A$675,B364,'Page-Keyword Map'!$E$2:$E$675,"Provincial")</f>
        <v/>
      </c>
      <c r="W364" s="36">
        <f>COUNTIFS('Page-Keyword Map'!$A$2:$A$675,B364,'Page-Keyword Map'!$E$2:$E$675,"City")</f>
        <v/>
      </c>
      <c r="X364" s="36">
        <f>IF(O364="","",IF(ISNUMBER(SEARCH(O364,J364)),"Yes","No"))</f>
        <v/>
      </c>
      <c r="Y364" s="36" t="n">
        <v>0.5</v>
      </c>
      <c r="Z364" s="36" t="inlineStr">
        <is>
          <t>(not listed: noindex)</t>
        </is>
      </c>
      <c r="AA364" s="36" t="inlineStr">
        <is>
          <t>Live – noindex (enrich before indexing)</t>
        </is>
      </c>
      <c r="AB364" s="38" t="n"/>
      <c r="AC364" s="38" t="n"/>
    </row>
    <row r="365" ht="23.85" customHeight="1" s="22">
      <c r="A365" s="36" t="inlineStr">
        <is>
          <t>P0364</t>
        </is>
      </c>
      <c r="B365" s="36" t="inlineStr">
        <is>
          <t>https://instasure.ca/business-insurance/ontario/thunder-bay/</t>
        </is>
      </c>
      <c r="C365" s="36" t="inlineStr">
        <is>
          <t>Product × city</t>
        </is>
      </c>
      <c r="D365" s="36" t="inlineStr">
        <is>
          <t>Business insurance</t>
        </is>
      </c>
      <c r="E365" s="36" t="inlineStr">
        <is>
          <t>Business Insurance</t>
        </is>
      </c>
      <c r="F365" s="36" t="n"/>
      <c r="G365" s="36" t="inlineStr">
        <is>
          <t>Ontario</t>
        </is>
      </c>
      <c r="H365" s="36" t="inlineStr">
        <is>
          <t>Thunder Bay</t>
        </is>
      </c>
      <c r="I365" s="36" t="inlineStr">
        <is>
          <t>No</t>
        </is>
      </c>
      <c r="J365" s="25" t="inlineStr">
        <is>
          <t>Business Insurance Thunder Bay, ON: Compare Quotes &amp; Costs (2026)</t>
        </is>
      </c>
      <c r="K365" s="36">
        <f>LEN(J365)</f>
        <v/>
      </c>
      <c r="L365" s="25" t="inlineStr">
        <is>
          <t>Compare business insurance in Thunder Bay, ON: instant estimate ($35.00–$60.00/mo example), local risk factors and advisors licensed in Ontario.</t>
        </is>
      </c>
      <c r="M365" s="36">
        <f>LEN(L365)</f>
        <v/>
      </c>
      <c r="N365" s="25" t="inlineStr">
        <is>
          <t>Business Insurance in Thunder Bay, ON</t>
        </is>
      </c>
      <c r="O365" s="36" t="inlineStr">
        <is>
          <t>business insurance thunder bay</t>
        </is>
      </c>
      <c r="P365" s="37" t="n">
        <v>44</v>
      </c>
      <c r="Q365" s="36" t="inlineStr">
        <is>
          <t>City</t>
        </is>
      </c>
      <c r="R365" s="36" t="n"/>
      <c r="S365" s="36">
        <f>COUNTIF('Page-Keyword Map'!$A$2:$A$675,B365)</f>
        <v/>
      </c>
      <c r="T365" s="37">
        <f>SUMIF('Page-Keyword Map'!$A$2:$A$675,B365,'Page-Keyword Map'!$H$2:$H$675)</f>
        <v/>
      </c>
      <c r="U365" s="36">
        <f>COUNTIFS('Page-Keyword Map'!$A$2:$A$675,B365,'Page-Keyword Map'!$E$2:$E$675,"Nationwide")</f>
        <v/>
      </c>
      <c r="V365" s="36">
        <f>COUNTIFS('Page-Keyword Map'!$A$2:$A$675,B365,'Page-Keyword Map'!$E$2:$E$675,"Provincial")</f>
        <v/>
      </c>
      <c r="W365" s="36">
        <f>COUNTIFS('Page-Keyword Map'!$A$2:$A$675,B365,'Page-Keyword Map'!$E$2:$E$675,"City")</f>
        <v/>
      </c>
      <c r="X365" s="36">
        <f>IF(O365="","",IF(ISNUMBER(SEARCH(O365,J365)),"Yes","No"))</f>
        <v/>
      </c>
      <c r="Y365" s="36" t="n">
        <v>0.5</v>
      </c>
      <c r="Z365" s="36" t="inlineStr">
        <is>
          <t>(not listed: noindex)</t>
        </is>
      </c>
      <c r="AA365" s="36" t="inlineStr">
        <is>
          <t>Live – noindex (enrich before indexing)</t>
        </is>
      </c>
      <c r="AB365" s="38" t="n"/>
      <c r="AC365" s="38" t="n"/>
    </row>
    <row r="366" ht="23.85" customHeight="1" s="22">
      <c r="A366" s="36" t="inlineStr">
        <is>
          <t>P0365</t>
        </is>
      </c>
      <c r="B366" s="36" t="inlineStr">
        <is>
          <t>https://instasure.ca/business-insurance/ontario/toronto/</t>
        </is>
      </c>
      <c r="C366" s="36" t="inlineStr">
        <is>
          <t>Product × city</t>
        </is>
      </c>
      <c r="D366" s="36" t="inlineStr">
        <is>
          <t>Business insurance</t>
        </is>
      </c>
      <c r="E366" s="36" t="inlineStr">
        <is>
          <t>Business Insurance</t>
        </is>
      </c>
      <c r="F366" s="36" t="n"/>
      <c r="G366" s="36" t="inlineStr">
        <is>
          <t>Ontario</t>
        </is>
      </c>
      <c r="H366" s="36" t="inlineStr">
        <is>
          <t>Toronto</t>
        </is>
      </c>
      <c r="I366" s="36" t="inlineStr">
        <is>
          <t>Yes</t>
        </is>
      </c>
      <c r="J366" s="25" t="inlineStr">
        <is>
          <t>Business Insurance Toronto, ON: Compare Quotes &amp; Costs (2026)</t>
        </is>
      </c>
      <c r="K366" s="36">
        <f>LEN(J366)</f>
        <v/>
      </c>
      <c r="L366" s="25" t="inlineStr">
        <is>
          <t>Compare business insurance in Toronto, ON: instant estimate ($35.00–$60.00/mo example), local risk factors and advisors licensed in Ontario.</t>
        </is>
      </c>
      <c r="M366" s="36">
        <f>LEN(L366)</f>
        <v/>
      </c>
      <c r="N366" s="25" t="inlineStr">
        <is>
          <t>Business Insurance in Toronto, ON</t>
        </is>
      </c>
      <c r="O366" s="36" t="inlineStr">
        <is>
          <t>business insurance toronto</t>
        </is>
      </c>
      <c r="P366" s="37" t="n">
        <v>590</v>
      </c>
      <c r="Q366" s="36" t="inlineStr">
        <is>
          <t>City</t>
        </is>
      </c>
      <c r="R366" s="36" t="n"/>
      <c r="S366" s="36">
        <f>COUNTIF('Page-Keyword Map'!$A$2:$A$675,B366)</f>
        <v/>
      </c>
      <c r="T366" s="37">
        <f>SUMIF('Page-Keyword Map'!$A$2:$A$675,B366,'Page-Keyword Map'!$H$2:$H$675)</f>
        <v/>
      </c>
      <c r="U366" s="36">
        <f>COUNTIFS('Page-Keyword Map'!$A$2:$A$675,B366,'Page-Keyword Map'!$E$2:$E$675,"Nationwide")</f>
        <v/>
      </c>
      <c r="V366" s="36">
        <f>COUNTIFS('Page-Keyword Map'!$A$2:$A$675,B366,'Page-Keyword Map'!$E$2:$E$675,"Provincial")</f>
        <v/>
      </c>
      <c r="W366" s="36">
        <f>COUNTIFS('Page-Keyword Map'!$A$2:$A$675,B366,'Page-Keyword Map'!$E$2:$E$675,"City")</f>
        <v/>
      </c>
      <c r="X366" s="36">
        <f>IF(O366="","",IF(ISNUMBER(SEARCH(O366,J366)),"Yes","No"))</f>
        <v/>
      </c>
      <c r="Y366" s="36" t="n">
        <v>0.7</v>
      </c>
      <c r="Z366" s="36" t="inlineStr">
        <is>
          <t>sitemap-cities.xml</t>
        </is>
      </c>
      <c r="AA366" s="36" t="inlineStr">
        <is>
          <t>Live – indexable</t>
        </is>
      </c>
      <c r="AB366" s="38" t="n"/>
      <c r="AC366" s="38" t="n"/>
    </row>
    <row r="367" ht="23.85" customHeight="1" s="22">
      <c r="A367" s="36" t="inlineStr">
        <is>
          <t>P0366</t>
        </is>
      </c>
      <c r="B367" s="36" t="inlineStr">
        <is>
          <t>https://instasure.ca/business-insurance/ontario/vaughan/</t>
        </is>
      </c>
      <c r="C367" s="36" t="inlineStr">
        <is>
          <t>Product × city</t>
        </is>
      </c>
      <c r="D367" s="36" t="inlineStr">
        <is>
          <t>Business insurance</t>
        </is>
      </c>
      <c r="E367" s="36" t="inlineStr">
        <is>
          <t>Business Insurance</t>
        </is>
      </c>
      <c r="F367" s="36" t="n"/>
      <c r="G367" s="36" t="inlineStr">
        <is>
          <t>Ontario</t>
        </is>
      </c>
      <c r="H367" s="36" t="inlineStr">
        <is>
          <t>Vaughan</t>
        </is>
      </c>
      <c r="I367" s="36" t="inlineStr">
        <is>
          <t>Yes</t>
        </is>
      </c>
      <c r="J367" s="25" t="inlineStr">
        <is>
          <t>Business Insurance Vaughan, ON: Compare Quotes &amp; Costs (2026)</t>
        </is>
      </c>
      <c r="K367" s="36">
        <f>LEN(J367)</f>
        <v/>
      </c>
      <c r="L367" s="25" t="inlineStr">
        <is>
          <t>Compare business insurance in Vaughan, ON: instant estimate ($35.00–$60.00/mo example), local risk factors and advisors licensed in Ontario.</t>
        </is>
      </c>
      <c r="M367" s="36">
        <f>LEN(L367)</f>
        <v/>
      </c>
      <c r="N367" s="25" t="inlineStr">
        <is>
          <t>Business Insurance in Vaughan, ON</t>
        </is>
      </c>
      <c r="O367" s="36" t="inlineStr">
        <is>
          <t>business insurance vaughan</t>
        </is>
      </c>
      <c r="P367" s="37" t="n">
        <v>110</v>
      </c>
      <c r="Q367" s="36" t="inlineStr">
        <is>
          <t>City</t>
        </is>
      </c>
      <c r="R367" s="36" t="n"/>
      <c r="S367" s="36">
        <f>COUNTIF('Page-Keyword Map'!$A$2:$A$675,B367)</f>
        <v/>
      </c>
      <c r="T367" s="37">
        <f>SUMIF('Page-Keyword Map'!$A$2:$A$675,B367,'Page-Keyword Map'!$H$2:$H$675)</f>
        <v/>
      </c>
      <c r="U367" s="36">
        <f>COUNTIFS('Page-Keyword Map'!$A$2:$A$675,B367,'Page-Keyword Map'!$E$2:$E$675,"Nationwide")</f>
        <v/>
      </c>
      <c r="V367" s="36">
        <f>COUNTIFS('Page-Keyword Map'!$A$2:$A$675,B367,'Page-Keyword Map'!$E$2:$E$675,"Provincial")</f>
        <v/>
      </c>
      <c r="W367" s="36">
        <f>COUNTIFS('Page-Keyword Map'!$A$2:$A$675,B367,'Page-Keyword Map'!$E$2:$E$675,"City")</f>
        <v/>
      </c>
      <c r="X367" s="36">
        <f>IF(O367="","",IF(ISNUMBER(SEARCH(O367,J367)),"Yes","No"))</f>
        <v/>
      </c>
      <c r="Y367" s="36" t="n">
        <v>0.7</v>
      </c>
      <c r="Z367" s="36" t="inlineStr">
        <is>
          <t>sitemap-cities.xml</t>
        </is>
      </c>
      <c r="AA367" s="36" t="inlineStr">
        <is>
          <t>Live – indexable</t>
        </is>
      </c>
      <c r="AB367" s="38" t="n"/>
      <c r="AC367" s="38" t="n"/>
    </row>
    <row r="368" ht="23.85" customHeight="1" s="22">
      <c r="A368" s="36" t="inlineStr">
        <is>
          <t>P0367</t>
        </is>
      </c>
      <c r="B368" s="36" t="inlineStr">
        <is>
          <t>https://instasure.ca/business-insurance/ontario/waterloo/</t>
        </is>
      </c>
      <c r="C368" s="36" t="inlineStr">
        <is>
          <t>Product × city</t>
        </is>
      </c>
      <c r="D368" s="36" t="inlineStr">
        <is>
          <t>Business insurance</t>
        </is>
      </c>
      <c r="E368" s="36" t="inlineStr">
        <is>
          <t>Business Insurance</t>
        </is>
      </c>
      <c r="F368" s="36" t="n"/>
      <c r="G368" s="36" t="inlineStr">
        <is>
          <t>Ontario</t>
        </is>
      </c>
      <c r="H368" s="36" t="inlineStr">
        <is>
          <t>Waterloo</t>
        </is>
      </c>
      <c r="I368" s="36" t="inlineStr">
        <is>
          <t>No</t>
        </is>
      </c>
      <c r="J368" s="25" t="inlineStr">
        <is>
          <t>Business Insurance Waterloo, ON: Compare Quotes &amp; Costs (2026)</t>
        </is>
      </c>
      <c r="K368" s="36">
        <f>LEN(J368)</f>
        <v/>
      </c>
      <c r="L368" s="25" t="inlineStr">
        <is>
          <t>Compare business insurance in Waterloo, ON: instant estimate ($35.00–$60.00/mo example), local risk factors and advisors licensed in Ontario.</t>
        </is>
      </c>
      <c r="M368" s="36">
        <f>LEN(L368)</f>
        <v/>
      </c>
      <c r="N368" s="25" t="inlineStr">
        <is>
          <t>Business Insurance in Waterloo, ON</t>
        </is>
      </c>
      <c r="O368" s="36" t="inlineStr">
        <is>
          <t>business insurance waterloo</t>
        </is>
      </c>
      <c r="P368" s="37" t="n">
        <v>48</v>
      </c>
      <c r="Q368" s="36" t="inlineStr">
        <is>
          <t>City</t>
        </is>
      </c>
      <c r="R368" s="36" t="n"/>
      <c r="S368" s="36">
        <f>COUNTIF('Page-Keyword Map'!$A$2:$A$675,B368)</f>
        <v/>
      </c>
      <c r="T368" s="37">
        <f>SUMIF('Page-Keyword Map'!$A$2:$A$675,B368,'Page-Keyword Map'!$H$2:$H$675)</f>
        <v/>
      </c>
      <c r="U368" s="36">
        <f>COUNTIFS('Page-Keyword Map'!$A$2:$A$675,B368,'Page-Keyword Map'!$E$2:$E$675,"Nationwide")</f>
        <v/>
      </c>
      <c r="V368" s="36">
        <f>COUNTIFS('Page-Keyword Map'!$A$2:$A$675,B368,'Page-Keyword Map'!$E$2:$E$675,"Provincial")</f>
        <v/>
      </c>
      <c r="W368" s="36">
        <f>COUNTIFS('Page-Keyword Map'!$A$2:$A$675,B368,'Page-Keyword Map'!$E$2:$E$675,"City")</f>
        <v/>
      </c>
      <c r="X368" s="36">
        <f>IF(O368="","",IF(ISNUMBER(SEARCH(O368,J368)),"Yes","No"))</f>
        <v/>
      </c>
      <c r="Y368" s="36" t="n">
        <v>0.5</v>
      </c>
      <c r="Z368" s="36" t="inlineStr">
        <is>
          <t>(not listed: noindex)</t>
        </is>
      </c>
      <c r="AA368" s="36" t="inlineStr">
        <is>
          <t>Live – noindex (enrich before indexing)</t>
        </is>
      </c>
      <c r="AB368" s="38" t="n"/>
      <c r="AC368" s="38" t="n"/>
    </row>
    <row r="369" ht="23.85" customHeight="1" s="22">
      <c r="A369" s="36" t="inlineStr">
        <is>
          <t>P0368</t>
        </is>
      </c>
      <c r="B369" s="36" t="inlineStr">
        <is>
          <t>https://instasure.ca/business-insurance/ontario/whitby/</t>
        </is>
      </c>
      <c r="C369" s="36" t="inlineStr">
        <is>
          <t>Product × city</t>
        </is>
      </c>
      <c r="D369" s="36" t="inlineStr">
        <is>
          <t>Business insurance</t>
        </is>
      </c>
      <c r="E369" s="36" t="inlineStr">
        <is>
          <t>Business Insurance</t>
        </is>
      </c>
      <c r="F369" s="36" t="n"/>
      <c r="G369" s="36" t="inlineStr">
        <is>
          <t>Ontario</t>
        </is>
      </c>
      <c r="H369" s="36" t="inlineStr">
        <is>
          <t>Whitby</t>
        </is>
      </c>
      <c r="I369" s="36" t="inlineStr">
        <is>
          <t>No</t>
        </is>
      </c>
      <c r="J369" s="25" t="inlineStr">
        <is>
          <t>Business Insurance Whitby, ON: Compare Quotes &amp; Costs (2026)</t>
        </is>
      </c>
      <c r="K369" s="36">
        <f>LEN(J369)</f>
        <v/>
      </c>
      <c r="L369" s="25" t="inlineStr">
        <is>
          <t>Compare business insurance in Whitby, ON: instant estimate ($35.00–$60.00/mo example), local risk factors and advisors licensed in Ontario.</t>
        </is>
      </c>
      <c r="M369" s="36">
        <f>LEN(L369)</f>
        <v/>
      </c>
      <c r="N369" s="25" t="inlineStr">
        <is>
          <t>Business Insurance in Whitby, ON</t>
        </is>
      </c>
      <c r="O369" s="36" t="inlineStr">
        <is>
          <t>business insurance whitby</t>
        </is>
      </c>
      <c r="P369" s="37" t="n">
        <v>53</v>
      </c>
      <c r="Q369" s="36" t="inlineStr">
        <is>
          <t>City</t>
        </is>
      </c>
      <c r="R369" s="36" t="n"/>
      <c r="S369" s="36">
        <f>COUNTIF('Page-Keyword Map'!$A$2:$A$675,B369)</f>
        <v/>
      </c>
      <c r="T369" s="37">
        <f>SUMIF('Page-Keyword Map'!$A$2:$A$675,B369,'Page-Keyword Map'!$H$2:$H$675)</f>
        <v/>
      </c>
      <c r="U369" s="36">
        <f>COUNTIFS('Page-Keyword Map'!$A$2:$A$675,B369,'Page-Keyword Map'!$E$2:$E$675,"Nationwide")</f>
        <v/>
      </c>
      <c r="V369" s="36">
        <f>COUNTIFS('Page-Keyword Map'!$A$2:$A$675,B369,'Page-Keyword Map'!$E$2:$E$675,"Provincial")</f>
        <v/>
      </c>
      <c r="W369" s="36">
        <f>COUNTIFS('Page-Keyword Map'!$A$2:$A$675,B369,'Page-Keyword Map'!$E$2:$E$675,"City")</f>
        <v/>
      </c>
      <c r="X369" s="36">
        <f>IF(O369="","",IF(ISNUMBER(SEARCH(O369,J369)),"Yes","No"))</f>
        <v/>
      </c>
      <c r="Y369" s="36" t="n">
        <v>0.5</v>
      </c>
      <c r="Z369" s="36" t="inlineStr">
        <is>
          <t>(not listed: noindex)</t>
        </is>
      </c>
      <c r="AA369" s="36" t="inlineStr">
        <is>
          <t>Live – noindex (enrich before indexing)</t>
        </is>
      </c>
      <c r="AB369" s="38" t="n"/>
      <c r="AC369" s="38" t="n"/>
    </row>
    <row r="370" ht="23.85" customHeight="1" s="22">
      <c r="A370" s="36" t="inlineStr">
        <is>
          <t>P0369</t>
        </is>
      </c>
      <c r="B370" s="36" t="inlineStr">
        <is>
          <t>https://instasure.ca/business-insurance/ontario/windsor/</t>
        </is>
      </c>
      <c r="C370" s="36" t="inlineStr">
        <is>
          <t>Product × city</t>
        </is>
      </c>
      <c r="D370" s="36" t="inlineStr">
        <is>
          <t>Business insurance</t>
        </is>
      </c>
      <c r="E370" s="36" t="inlineStr">
        <is>
          <t>Business Insurance</t>
        </is>
      </c>
      <c r="F370" s="36" t="n"/>
      <c r="G370" s="36" t="inlineStr">
        <is>
          <t>Ontario</t>
        </is>
      </c>
      <c r="H370" s="36" t="inlineStr">
        <is>
          <t>Windsor</t>
        </is>
      </c>
      <c r="I370" s="36" t="inlineStr">
        <is>
          <t>Yes</t>
        </is>
      </c>
      <c r="J370" s="25" t="inlineStr">
        <is>
          <t>Business Insurance Windsor, ON: Compare Quotes &amp; Costs (2026)</t>
        </is>
      </c>
      <c r="K370" s="36">
        <f>LEN(J370)</f>
        <v/>
      </c>
      <c r="L370" s="25" t="inlineStr">
        <is>
          <t>Compare business insurance in Windsor, ON: instant estimate ($35.00–$60.00/mo example), local risk factors and advisors licensed in Ontario.</t>
        </is>
      </c>
      <c r="M370" s="36">
        <f>LEN(L370)</f>
        <v/>
      </c>
      <c r="N370" s="25" t="inlineStr">
        <is>
          <t>Business Insurance in Windsor, ON</t>
        </is>
      </c>
      <c r="O370" s="36" t="inlineStr">
        <is>
          <t>business insurance windsor</t>
        </is>
      </c>
      <c r="P370" s="37" t="n">
        <v>80</v>
      </c>
      <c r="Q370" s="36" t="inlineStr">
        <is>
          <t>City</t>
        </is>
      </c>
      <c r="R370" s="36" t="n"/>
      <c r="S370" s="36">
        <f>COUNTIF('Page-Keyword Map'!$A$2:$A$675,B370)</f>
        <v/>
      </c>
      <c r="T370" s="37">
        <f>SUMIF('Page-Keyword Map'!$A$2:$A$675,B370,'Page-Keyword Map'!$H$2:$H$675)</f>
        <v/>
      </c>
      <c r="U370" s="36">
        <f>COUNTIFS('Page-Keyword Map'!$A$2:$A$675,B370,'Page-Keyword Map'!$E$2:$E$675,"Nationwide")</f>
        <v/>
      </c>
      <c r="V370" s="36">
        <f>COUNTIFS('Page-Keyword Map'!$A$2:$A$675,B370,'Page-Keyword Map'!$E$2:$E$675,"Provincial")</f>
        <v/>
      </c>
      <c r="W370" s="36">
        <f>COUNTIFS('Page-Keyword Map'!$A$2:$A$675,B370,'Page-Keyword Map'!$E$2:$E$675,"City")</f>
        <v/>
      </c>
      <c r="X370" s="36">
        <f>IF(O370="","",IF(ISNUMBER(SEARCH(O370,J370)),"Yes","No"))</f>
        <v/>
      </c>
      <c r="Y370" s="36" t="n">
        <v>0.7</v>
      </c>
      <c r="Z370" s="36" t="inlineStr">
        <is>
          <t>sitemap-cities.xml</t>
        </is>
      </c>
      <c r="AA370" s="36" t="inlineStr">
        <is>
          <t>Live – indexable</t>
        </is>
      </c>
      <c r="AB370" s="38" t="n"/>
      <c r="AC370" s="38" t="n"/>
    </row>
    <row r="371" ht="23.85" customHeight="1" s="22">
      <c r="A371" s="36" t="inlineStr">
        <is>
          <t>P0370</t>
        </is>
      </c>
      <c r="B371" s="36" t="inlineStr">
        <is>
          <t>https://instasure.ca/business-insurance/prince-edward-island/charlottetown/</t>
        </is>
      </c>
      <c r="C371" s="36" t="inlineStr">
        <is>
          <t>Product × city</t>
        </is>
      </c>
      <c r="D371" s="36" t="inlineStr">
        <is>
          <t>Business insurance</t>
        </is>
      </c>
      <c r="E371" s="36" t="inlineStr">
        <is>
          <t>Business Insurance</t>
        </is>
      </c>
      <c r="F371" s="36" t="n"/>
      <c r="G371" s="36" t="inlineStr">
        <is>
          <t>Prince Edward Island</t>
        </is>
      </c>
      <c r="H371" s="36" t="inlineStr">
        <is>
          <t>Charlottetown</t>
        </is>
      </c>
      <c r="I371" s="36" t="inlineStr">
        <is>
          <t>No</t>
        </is>
      </c>
      <c r="J371" s="25" t="inlineStr">
        <is>
          <t>Business Insurance Charlottetown, PE: Compare Quotes &amp; Costs (2026)</t>
        </is>
      </c>
      <c r="K371" s="36">
        <f>LEN(J371)</f>
        <v/>
      </c>
      <c r="L371" s="25" t="inlineStr">
        <is>
          <t>Compare business insurance in Charlottetown, PE: instant estimate ($35.00–$60.00/mo example), local risk factors and advisors licensed in Prince Edward Island.</t>
        </is>
      </c>
      <c r="M371" s="36">
        <f>LEN(L371)</f>
        <v/>
      </c>
      <c r="N371" s="25" t="inlineStr">
        <is>
          <t>Business Insurance in Charlottetown, PE</t>
        </is>
      </c>
      <c r="O371" s="36" t="n"/>
      <c r="P371" s="37" t="n"/>
      <c r="Q371" s="36" t="n"/>
      <c r="R371" s="36" t="inlineStr">
        <is>
          <t>business insurance charlottetown</t>
        </is>
      </c>
      <c r="S371" s="36">
        <f>COUNTIF('Page-Keyword Map'!$A$2:$A$675,B371)</f>
        <v/>
      </c>
      <c r="T371" s="37">
        <f>SUMIF('Page-Keyword Map'!$A$2:$A$675,B371,'Page-Keyword Map'!$H$2:$H$675)</f>
        <v/>
      </c>
      <c r="U371" s="36">
        <f>COUNTIFS('Page-Keyword Map'!$A$2:$A$675,B371,'Page-Keyword Map'!$E$2:$E$675,"Nationwide")</f>
        <v/>
      </c>
      <c r="V371" s="36">
        <f>COUNTIFS('Page-Keyword Map'!$A$2:$A$675,B371,'Page-Keyword Map'!$E$2:$E$675,"Provincial")</f>
        <v/>
      </c>
      <c r="W371" s="36">
        <f>COUNTIFS('Page-Keyword Map'!$A$2:$A$675,B371,'Page-Keyword Map'!$E$2:$E$675,"City")</f>
        <v/>
      </c>
      <c r="X371" s="36">
        <f>IF(O371="","",IF(ISNUMBER(SEARCH(O371,J371)),"Yes","No"))</f>
        <v/>
      </c>
      <c r="Y371" s="36" t="n">
        <v>0.5</v>
      </c>
      <c r="Z371" s="36" t="inlineStr">
        <is>
          <t>(not listed: noindex)</t>
        </is>
      </c>
      <c r="AA371" s="36" t="inlineStr">
        <is>
          <t>Live – noindex (enrich before indexing)</t>
        </is>
      </c>
      <c r="AB371" s="38" t="n"/>
      <c r="AC371" s="38" t="n"/>
    </row>
    <row r="372" ht="23.85" customHeight="1" s="22">
      <c r="A372" s="36" t="inlineStr">
        <is>
          <t>P0371</t>
        </is>
      </c>
      <c r="B372" s="36" t="inlineStr">
        <is>
          <t>https://instasure.ca/business-insurance/quebec/gatineau/</t>
        </is>
      </c>
      <c r="C372" s="36" t="inlineStr">
        <is>
          <t>Product × city</t>
        </is>
      </c>
      <c r="D372" s="36" t="inlineStr">
        <is>
          <t>Business insurance</t>
        </is>
      </c>
      <c r="E372" s="36" t="inlineStr">
        <is>
          <t>Business Insurance</t>
        </is>
      </c>
      <c r="F372" s="36" t="n"/>
      <c r="G372" s="36" t="inlineStr">
        <is>
          <t>Quebec</t>
        </is>
      </c>
      <c r="H372" s="36" t="inlineStr">
        <is>
          <t>Gatineau</t>
        </is>
      </c>
      <c r="I372" s="36" t="inlineStr">
        <is>
          <t>No</t>
        </is>
      </c>
      <c r="J372" s="25" t="inlineStr">
        <is>
          <t>Business Insurance Gatineau, QC: Compare Quotes &amp; Costs (2026)</t>
        </is>
      </c>
      <c r="K372" s="36">
        <f>LEN(J372)</f>
        <v/>
      </c>
      <c r="L372" s="25" t="inlineStr">
        <is>
          <t>Compare business insurance in Gatineau, QC: instant estimate ($35.00–$60.00/mo example), local risk factors and a waitlist for licensed advice in Quebec.</t>
        </is>
      </c>
      <c r="M372" s="36">
        <f>LEN(L372)</f>
        <v/>
      </c>
      <c r="N372" s="25" t="inlineStr">
        <is>
          <t>Business Insurance in Gatineau, QC</t>
        </is>
      </c>
      <c r="O372" s="36" t="inlineStr">
        <is>
          <t>business insurance gatineau</t>
        </is>
      </c>
      <c r="P372" s="37" t="n">
        <v>29</v>
      </c>
      <c r="Q372" s="36" t="inlineStr">
        <is>
          <t>City</t>
        </is>
      </c>
      <c r="R372" s="36" t="n"/>
      <c r="S372" s="36">
        <f>COUNTIF('Page-Keyword Map'!$A$2:$A$675,B372)</f>
        <v/>
      </c>
      <c r="T372" s="37">
        <f>SUMIF('Page-Keyword Map'!$A$2:$A$675,B372,'Page-Keyword Map'!$H$2:$H$675)</f>
        <v/>
      </c>
      <c r="U372" s="36">
        <f>COUNTIFS('Page-Keyword Map'!$A$2:$A$675,B372,'Page-Keyword Map'!$E$2:$E$675,"Nationwide")</f>
        <v/>
      </c>
      <c r="V372" s="36">
        <f>COUNTIFS('Page-Keyword Map'!$A$2:$A$675,B372,'Page-Keyword Map'!$E$2:$E$675,"Provincial")</f>
        <v/>
      </c>
      <c r="W372" s="36">
        <f>COUNTIFS('Page-Keyword Map'!$A$2:$A$675,B372,'Page-Keyword Map'!$E$2:$E$675,"City")</f>
        <v/>
      </c>
      <c r="X372" s="36">
        <f>IF(O372="","",IF(ISNUMBER(SEARCH(O372,J372)),"Yes","No"))</f>
        <v/>
      </c>
      <c r="Y372" s="36" t="n">
        <v>0.5</v>
      </c>
      <c r="Z372" s="36" t="inlineStr">
        <is>
          <t>(not listed: noindex)</t>
        </is>
      </c>
      <c r="AA372" s="36" t="inlineStr">
        <is>
          <t>Live – noindex (enrich before indexing)</t>
        </is>
      </c>
      <c r="AB372" s="38" t="n"/>
      <c r="AC372" s="38" t="n"/>
    </row>
    <row r="373" ht="23.85" customHeight="1" s="22">
      <c r="A373" s="36" t="inlineStr">
        <is>
          <t>P0372</t>
        </is>
      </c>
      <c r="B373" s="36" t="inlineStr">
        <is>
          <t>https://instasure.ca/business-insurance/quebec/laval/</t>
        </is>
      </c>
      <c r="C373" s="36" t="inlineStr">
        <is>
          <t>Product × city</t>
        </is>
      </c>
      <c r="D373" s="36" t="inlineStr">
        <is>
          <t>Business insurance</t>
        </is>
      </c>
      <c r="E373" s="36" t="inlineStr">
        <is>
          <t>Business Insurance</t>
        </is>
      </c>
      <c r="F373" s="36" t="n"/>
      <c r="G373" s="36" t="inlineStr">
        <is>
          <t>Quebec</t>
        </is>
      </c>
      <c r="H373" s="36" t="inlineStr">
        <is>
          <t>Laval</t>
        </is>
      </c>
      <c r="I373" s="36" t="inlineStr">
        <is>
          <t>Yes</t>
        </is>
      </c>
      <c r="J373" s="25" t="inlineStr">
        <is>
          <t>Business Insurance Laval, QC: Compare Quotes &amp; Costs (2026)</t>
        </is>
      </c>
      <c r="K373" s="36">
        <f>LEN(J373)</f>
        <v/>
      </c>
      <c r="L373" s="25" t="inlineStr">
        <is>
          <t>Compare business insurance in Laval, QC: instant estimate ($35.00–$60.00/mo example), local risk factors and a waitlist for licensed advice in Quebec.</t>
        </is>
      </c>
      <c r="M373" s="36">
        <f>LEN(L373)</f>
        <v/>
      </c>
      <c r="N373" s="25" t="inlineStr">
        <is>
          <t>Business Insurance in Laval, QC</t>
        </is>
      </c>
      <c r="O373" s="36" t="inlineStr">
        <is>
          <t>business insurance laval</t>
        </is>
      </c>
      <c r="P373" s="37" t="n">
        <v>40</v>
      </c>
      <c r="Q373" s="36" t="inlineStr">
        <is>
          <t>City</t>
        </is>
      </c>
      <c r="R373" s="36" t="n"/>
      <c r="S373" s="36">
        <f>COUNTIF('Page-Keyword Map'!$A$2:$A$675,B373)</f>
        <v/>
      </c>
      <c r="T373" s="37">
        <f>SUMIF('Page-Keyword Map'!$A$2:$A$675,B373,'Page-Keyword Map'!$H$2:$H$675)</f>
        <v/>
      </c>
      <c r="U373" s="36">
        <f>COUNTIFS('Page-Keyword Map'!$A$2:$A$675,B373,'Page-Keyword Map'!$E$2:$E$675,"Nationwide")</f>
        <v/>
      </c>
      <c r="V373" s="36">
        <f>COUNTIFS('Page-Keyword Map'!$A$2:$A$675,B373,'Page-Keyword Map'!$E$2:$E$675,"Provincial")</f>
        <v/>
      </c>
      <c r="W373" s="36">
        <f>COUNTIFS('Page-Keyword Map'!$A$2:$A$675,B373,'Page-Keyword Map'!$E$2:$E$675,"City")</f>
        <v/>
      </c>
      <c r="X373" s="36">
        <f>IF(O373="","",IF(ISNUMBER(SEARCH(O373,J373)),"Yes","No"))</f>
        <v/>
      </c>
      <c r="Y373" s="36" t="n">
        <v>0.7</v>
      </c>
      <c r="Z373" s="36" t="inlineStr">
        <is>
          <t>sitemap-cities.xml</t>
        </is>
      </c>
      <c r="AA373" s="36" t="inlineStr">
        <is>
          <t>Live – indexable</t>
        </is>
      </c>
      <c r="AB373" s="38" t="n"/>
      <c r="AC373" s="38" t="n"/>
    </row>
    <row r="374" ht="23.85" customHeight="1" s="22">
      <c r="A374" s="36" t="inlineStr">
        <is>
          <t>P0373</t>
        </is>
      </c>
      <c r="B374" s="36" t="inlineStr">
        <is>
          <t>https://instasure.ca/business-insurance/quebec/longueuil/</t>
        </is>
      </c>
      <c r="C374" s="36" t="inlineStr">
        <is>
          <t>Product × city</t>
        </is>
      </c>
      <c r="D374" s="36" t="inlineStr">
        <is>
          <t>Business insurance</t>
        </is>
      </c>
      <c r="E374" s="36" t="inlineStr">
        <is>
          <t>Business Insurance</t>
        </is>
      </c>
      <c r="F374" s="36" t="n"/>
      <c r="G374" s="36" t="inlineStr">
        <is>
          <t>Quebec</t>
        </is>
      </c>
      <c r="H374" s="36" t="inlineStr">
        <is>
          <t>Longueuil</t>
        </is>
      </c>
      <c r="I374" s="36" t="inlineStr">
        <is>
          <t>No</t>
        </is>
      </c>
      <c r="J374" s="25" t="inlineStr">
        <is>
          <t>Business Insurance Longueuil, QC: Compare Quotes &amp; Costs (2026)</t>
        </is>
      </c>
      <c r="K374" s="36">
        <f>LEN(J374)</f>
        <v/>
      </c>
      <c r="L374" s="25" t="inlineStr">
        <is>
          <t>Compare business insurance in Longueuil, QC: instant estimate ($35.00–$60.00/mo example), local risk factors and a waitlist for licensed advice in Quebec.</t>
        </is>
      </c>
      <c r="M374" s="36">
        <f>LEN(L374)</f>
        <v/>
      </c>
      <c r="N374" s="25" t="inlineStr">
        <is>
          <t>Business Insurance in Longueuil, QC</t>
        </is>
      </c>
      <c r="O374" s="36" t="inlineStr">
        <is>
          <t>business insurance longueuil</t>
        </is>
      </c>
      <c r="P374" s="37" t="n">
        <v>26</v>
      </c>
      <c r="Q374" s="36" t="inlineStr">
        <is>
          <t>City</t>
        </is>
      </c>
      <c r="R374" s="36" t="n"/>
      <c r="S374" s="36">
        <f>COUNTIF('Page-Keyword Map'!$A$2:$A$675,B374)</f>
        <v/>
      </c>
      <c r="T374" s="37">
        <f>SUMIF('Page-Keyword Map'!$A$2:$A$675,B374,'Page-Keyword Map'!$H$2:$H$675)</f>
        <v/>
      </c>
      <c r="U374" s="36">
        <f>COUNTIFS('Page-Keyword Map'!$A$2:$A$675,B374,'Page-Keyword Map'!$E$2:$E$675,"Nationwide")</f>
        <v/>
      </c>
      <c r="V374" s="36">
        <f>COUNTIFS('Page-Keyword Map'!$A$2:$A$675,B374,'Page-Keyword Map'!$E$2:$E$675,"Provincial")</f>
        <v/>
      </c>
      <c r="W374" s="36">
        <f>COUNTIFS('Page-Keyword Map'!$A$2:$A$675,B374,'Page-Keyword Map'!$E$2:$E$675,"City")</f>
        <v/>
      </c>
      <c r="X374" s="36">
        <f>IF(O374="","",IF(ISNUMBER(SEARCH(O374,J374)),"Yes","No"))</f>
        <v/>
      </c>
      <c r="Y374" s="36" t="n">
        <v>0.5</v>
      </c>
      <c r="Z374" s="36" t="inlineStr">
        <is>
          <t>(not listed: noindex)</t>
        </is>
      </c>
      <c r="AA374" s="36" t="inlineStr">
        <is>
          <t>Live – noindex (enrich before indexing)</t>
        </is>
      </c>
      <c r="AB374" s="38" t="n"/>
      <c r="AC374" s="38" t="n"/>
    </row>
    <row r="375" ht="23.85" customHeight="1" s="22">
      <c r="A375" s="36" t="inlineStr">
        <is>
          <t>P0374</t>
        </is>
      </c>
      <c r="B375" s="36" t="inlineStr">
        <is>
          <t>https://instasure.ca/business-insurance/quebec/montreal/</t>
        </is>
      </c>
      <c r="C375" s="36" t="inlineStr">
        <is>
          <t>Product × city</t>
        </is>
      </c>
      <c r="D375" s="36" t="inlineStr">
        <is>
          <t>Business insurance</t>
        </is>
      </c>
      <c r="E375" s="36" t="inlineStr">
        <is>
          <t>Business Insurance</t>
        </is>
      </c>
      <c r="F375" s="36" t="n"/>
      <c r="G375" s="36" t="inlineStr">
        <is>
          <t>Quebec</t>
        </is>
      </c>
      <c r="H375" s="36" t="inlineStr">
        <is>
          <t>Montreal</t>
        </is>
      </c>
      <c r="I375" s="36" t="inlineStr">
        <is>
          <t>Yes</t>
        </is>
      </c>
      <c r="J375" s="25" t="inlineStr">
        <is>
          <t>Business Insurance Montreal, QC: Compare Quotes &amp; Costs (2026)</t>
        </is>
      </c>
      <c r="K375" s="36">
        <f>LEN(J375)</f>
        <v/>
      </c>
      <c r="L375" s="25" t="inlineStr">
        <is>
          <t>Compare business insurance in Montreal, QC: instant estimate ($35.00–$60.00/mo example), local risk factors and a waitlist for licensed advice in Quebec.</t>
        </is>
      </c>
      <c r="M375" s="36">
        <f>LEN(L375)</f>
        <v/>
      </c>
      <c r="N375" s="25" t="inlineStr">
        <is>
          <t>Business Insurance in Montreal, QC</t>
        </is>
      </c>
      <c r="O375" s="36" t="inlineStr">
        <is>
          <t>business insurance montreal</t>
        </is>
      </c>
      <c r="P375" s="37" t="n">
        <v>120</v>
      </c>
      <c r="Q375" s="36" t="inlineStr">
        <is>
          <t>City</t>
        </is>
      </c>
      <c r="R375" s="36" t="n"/>
      <c r="S375" s="36">
        <f>COUNTIF('Page-Keyword Map'!$A$2:$A$675,B375)</f>
        <v/>
      </c>
      <c r="T375" s="37">
        <f>SUMIF('Page-Keyword Map'!$A$2:$A$675,B375,'Page-Keyword Map'!$H$2:$H$675)</f>
        <v/>
      </c>
      <c r="U375" s="36">
        <f>COUNTIFS('Page-Keyword Map'!$A$2:$A$675,B375,'Page-Keyword Map'!$E$2:$E$675,"Nationwide")</f>
        <v/>
      </c>
      <c r="V375" s="36">
        <f>COUNTIFS('Page-Keyword Map'!$A$2:$A$675,B375,'Page-Keyword Map'!$E$2:$E$675,"Provincial")</f>
        <v/>
      </c>
      <c r="W375" s="36">
        <f>COUNTIFS('Page-Keyword Map'!$A$2:$A$675,B375,'Page-Keyword Map'!$E$2:$E$675,"City")</f>
        <v/>
      </c>
      <c r="X375" s="36">
        <f>IF(O375="","",IF(ISNUMBER(SEARCH(O375,J375)),"Yes","No"))</f>
        <v/>
      </c>
      <c r="Y375" s="36" t="n">
        <v>0.7</v>
      </c>
      <c r="Z375" s="36" t="inlineStr">
        <is>
          <t>sitemap-cities.xml</t>
        </is>
      </c>
      <c r="AA375" s="36" t="inlineStr">
        <is>
          <t>Live – indexable</t>
        </is>
      </c>
      <c r="AB375" s="38" t="n"/>
      <c r="AC375" s="38" t="n"/>
    </row>
    <row r="376" ht="23.85" customHeight="1" s="22">
      <c r="A376" s="36" t="inlineStr">
        <is>
          <t>P0375</t>
        </is>
      </c>
      <c r="B376" s="36" t="inlineStr">
        <is>
          <t>https://instasure.ca/business-insurance/quebec/quebec-city/</t>
        </is>
      </c>
      <c r="C376" s="36" t="inlineStr">
        <is>
          <t>Product × city</t>
        </is>
      </c>
      <c r="D376" s="36" t="inlineStr">
        <is>
          <t>Business insurance</t>
        </is>
      </c>
      <c r="E376" s="36" t="inlineStr">
        <is>
          <t>Business Insurance</t>
        </is>
      </c>
      <c r="F376" s="36" t="n"/>
      <c r="G376" s="36" t="inlineStr">
        <is>
          <t>Quebec</t>
        </is>
      </c>
      <c r="H376" s="36" t="inlineStr">
        <is>
          <t>Quebec City</t>
        </is>
      </c>
      <c r="I376" s="36" t="inlineStr">
        <is>
          <t>Yes</t>
        </is>
      </c>
      <c r="J376" s="25" t="inlineStr">
        <is>
          <t>Business Insurance Quebec City, QC: Compare Quotes &amp; Costs (2026)</t>
        </is>
      </c>
      <c r="K376" s="36">
        <f>LEN(J376)</f>
        <v/>
      </c>
      <c r="L376" s="25" t="inlineStr">
        <is>
          <t>Compare business insurance in Quebec City, QC: instant estimate ($35.00–$60.00/mo example), local risk factors and a waitlist for licensed advice in Quebec.</t>
        </is>
      </c>
      <c r="M376" s="36">
        <f>LEN(L376)</f>
        <v/>
      </c>
      <c r="N376" s="25" t="inlineStr">
        <is>
          <t>Business Insurance in Quebec City, QC</t>
        </is>
      </c>
      <c r="O376" s="36" t="inlineStr">
        <is>
          <t>business insurance quebec city</t>
        </is>
      </c>
      <c r="P376" s="37" t="n">
        <v>48</v>
      </c>
      <c r="Q376" s="36" t="inlineStr">
        <is>
          <t>City</t>
        </is>
      </c>
      <c r="R376" s="36" t="n"/>
      <c r="S376" s="36">
        <f>COUNTIF('Page-Keyword Map'!$A$2:$A$675,B376)</f>
        <v/>
      </c>
      <c r="T376" s="37">
        <f>SUMIF('Page-Keyword Map'!$A$2:$A$675,B376,'Page-Keyword Map'!$H$2:$H$675)</f>
        <v/>
      </c>
      <c r="U376" s="36">
        <f>COUNTIFS('Page-Keyword Map'!$A$2:$A$675,B376,'Page-Keyword Map'!$E$2:$E$675,"Nationwide")</f>
        <v/>
      </c>
      <c r="V376" s="36">
        <f>COUNTIFS('Page-Keyword Map'!$A$2:$A$675,B376,'Page-Keyword Map'!$E$2:$E$675,"Provincial")</f>
        <v/>
      </c>
      <c r="W376" s="36">
        <f>COUNTIFS('Page-Keyword Map'!$A$2:$A$675,B376,'Page-Keyword Map'!$E$2:$E$675,"City")</f>
        <v/>
      </c>
      <c r="X376" s="36">
        <f>IF(O376="","",IF(ISNUMBER(SEARCH(O376,J376)),"Yes","No"))</f>
        <v/>
      </c>
      <c r="Y376" s="36" t="n">
        <v>0.7</v>
      </c>
      <c r="Z376" s="36" t="inlineStr">
        <is>
          <t>sitemap-cities.xml</t>
        </is>
      </c>
      <c r="AA376" s="36" t="inlineStr">
        <is>
          <t>Live – indexable</t>
        </is>
      </c>
      <c r="AB376" s="38" t="n"/>
      <c r="AC376" s="38" t="n"/>
    </row>
    <row r="377" ht="23.85" customHeight="1" s="22">
      <c r="A377" s="36" t="inlineStr">
        <is>
          <t>P0376</t>
        </is>
      </c>
      <c r="B377" s="36" t="inlineStr">
        <is>
          <t>https://instasure.ca/business-insurance/quebec/sherbrooke/</t>
        </is>
      </c>
      <c r="C377" s="36" t="inlineStr">
        <is>
          <t>Product × city</t>
        </is>
      </c>
      <c r="D377" s="36" t="inlineStr">
        <is>
          <t>Business insurance</t>
        </is>
      </c>
      <c r="E377" s="36" t="inlineStr">
        <is>
          <t>Business Insurance</t>
        </is>
      </c>
      <c r="F377" s="36" t="n"/>
      <c r="G377" s="36" t="inlineStr">
        <is>
          <t>Quebec</t>
        </is>
      </c>
      <c r="H377" s="36" t="inlineStr">
        <is>
          <t>Sherbrooke</t>
        </is>
      </c>
      <c r="I377" s="36" t="inlineStr">
        <is>
          <t>No</t>
        </is>
      </c>
      <c r="J377" s="25" t="inlineStr">
        <is>
          <t>Business Insurance Sherbrooke, QC: Compare Quotes &amp; Costs (2026)</t>
        </is>
      </c>
      <c r="K377" s="36">
        <f>LEN(J377)</f>
        <v/>
      </c>
      <c r="L377" s="25" t="inlineStr">
        <is>
          <t>Compare business insurance in Sherbrooke, QC: instant estimate ($35.00–$60.00/mo example), local risk factors and a waitlist for licensed advice in Quebec.</t>
        </is>
      </c>
      <c r="M377" s="36">
        <f>LEN(L377)</f>
        <v/>
      </c>
      <c r="N377" s="25" t="inlineStr">
        <is>
          <t>Business Insurance in Sherbrooke, QC</t>
        </is>
      </c>
      <c r="O377" s="36" t="n"/>
      <c r="P377" s="37" t="n"/>
      <c r="Q377" s="36" t="n"/>
      <c r="R377" s="36" t="inlineStr">
        <is>
          <t>business insurance sherbrooke</t>
        </is>
      </c>
      <c r="S377" s="36">
        <f>COUNTIF('Page-Keyword Map'!$A$2:$A$675,B377)</f>
        <v/>
      </c>
      <c r="T377" s="37">
        <f>SUMIF('Page-Keyword Map'!$A$2:$A$675,B377,'Page-Keyword Map'!$H$2:$H$675)</f>
        <v/>
      </c>
      <c r="U377" s="36">
        <f>COUNTIFS('Page-Keyword Map'!$A$2:$A$675,B377,'Page-Keyword Map'!$E$2:$E$675,"Nationwide")</f>
        <v/>
      </c>
      <c r="V377" s="36">
        <f>COUNTIFS('Page-Keyword Map'!$A$2:$A$675,B377,'Page-Keyword Map'!$E$2:$E$675,"Provincial")</f>
        <v/>
      </c>
      <c r="W377" s="36">
        <f>COUNTIFS('Page-Keyword Map'!$A$2:$A$675,B377,'Page-Keyword Map'!$E$2:$E$675,"City")</f>
        <v/>
      </c>
      <c r="X377" s="36">
        <f>IF(O377="","",IF(ISNUMBER(SEARCH(O377,J377)),"Yes","No"))</f>
        <v/>
      </c>
      <c r="Y377" s="36" t="n">
        <v>0.5</v>
      </c>
      <c r="Z377" s="36" t="inlineStr">
        <is>
          <t>(not listed: noindex)</t>
        </is>
      </c>
      <c r="AA377" s="36" t="inlineStr">
        <is>
          <t>Live – noindex (enrich before indexing)</t>
        </is>
      </c>
      <c r="AB377" s="38" t="n"/>
      <c r="AC377" s="38" t="n"/>
    </row>
    <row r="378" ht="23.85" customHeight="1" s="22">
      <c r="A378" s="36" t="inlineStr">
        <is>
          <t>P0377</t>
        </is>
      </c>
      <c r="B378" s="36" t="inlineStr">
        <is>
          <t>https://instasure.ca/business-insurance/saskatchewan/regina/</t>
        </is>
      </c>
      <c r="C378" s="36" t="inlineStr">
        <is>
          <t>Product × city</t>
        </is>
      </c>
      <c r="D378" s="36" t="inlineStr">
        <is>
          <t>Business insurance</t>
        </is>
      </c>
      <c r="E378" s="36" t="inlineStr">
        <is>
          <t>Business Insurance</t>
        </is>
      </c>
      <c r="F378" s="36" t="n"/>
      <c r="G378" s="36" t="inlineStr">
        <is>
          <t>Saskatchewan</t>
        </is>
      </c>
      <c r="H378" s="36" t="inlineStr">
        <is>
          <t>Regina</t>
        </is>
      </c>
      <c r="I378" s="36" t="inlineStr">
        <is>
          <t>Yes</t>
        </is>
      </c>
      <c r="J378" s="25" t="inlineStr">
        <is>
          <t>Business Insurance Regina, SK: Compare Quotes &amp; Costs (2026)</t>
        </is>
      </c>
      <c r="K378" s="36">
        <f>LEN(J378)</f>
        <v/>
      </c>
      <c r="L378" s="25" t="inlineStr">
        <is>
          <t>Compare business insurance in Regina, SK: instant estimate ($35.00–$60.00/mo example), local risk factors and advisors licensed in Saskatchewan.</t>
        </is>
      </c>
      <c r="M378" s="36">
        <f>LEN(L378)</f>
        <v/>
      </c>
      <c r="N378" s="25" t="inlineStr">
        <is>
          <t>Business Insurance in Regina, SK</t>
        </is>
      </c>
      <c r="O378" s="36" t="inlineStr">
        <is>
          <t>business insurance regina</t>
        </is>
      </c>
      <c r="P378" s="37" t="n">
        <v>79</v>
      </c>
      <c r="Q378" s="36" t="inlineStr">
        <is>
          <t>City</t>
        </is>
      </c>
      <c r="R378" s="36" t="n"/>
      <c r="S378" s="36">
        <f>COUNTIF('Page-Keyword Map'!$A$2:$A$675,B378)</f>
        <v/>
      </c>
      <c r="T378" s="37">
        <f>SUMIF('Page-Keyword Map'!$A$2:$A$675,B378,'Page-Keyword Map'!$H$2:$H$675)</f>
        <v/>
      </c>
      <c r="U378" s="36">
        <f>COUNTIFS('Page-Keyword Map'!$A$2:$A$675,B378,'Page-Keyword Map'!$E$2:$E$675,"Nationwide")</f>
        <v/>
      </c>
      <c r="V378" s="36">
        <f>COUNTIFS('Page-Keyword Map'!$A$2:$A$675,B378,'Page-Keyword Map'!$E$2:$E$675,"Provincial")</f>
        <v/>
      </c>
      <c r="W378" s="36">
        <f>COUNTIFS('Page-Keyword Map'!$A$2:$A$675,B378,'Page-Keyword Map'!$E$2:$E$675,"City")</f>
        <v/>
      </c>
      <c r="X378" s="36">
        <f>IF(O378="","",IF(ISNUMBER(SEARCH(O378,J378)),"Yes","No"))</f>
        <v/>
      </c>
      <c r="Y378" s="36" t="n">
        <v>0.7</v>
      </c>
      <c r="Z378" s="36" t="inlineStr">
        <is>
          <t>sitemap-cities.xml</t>
        </is>
      </c>
      <c r="AA378" s="36" t="inlineStr">
        <is>
          <t>Live – indexable</t>
        </is>
      </c>
      <c r="AB378" s="38" t="n"/>
      <c r="AC378" s="38" t="n"/>
    </row>
    <row r="379" ht="23.85" customHeight="1" s="22">
      <c r="A379" s="36" t="inlineStr">
        <is>
          <t>P0378</t>
        </is>
      </c>
      <c r="B379" s="36" t="inlineStr">
        <is>
          <t>https://instasure.ca/business-insurance/saskatchewan/saskatoon/</t>
        </is>
      </c>
      <c r="C379" s="36" t="inlineStr">
        <is>
          <t>Product × city</t>
        </is>
      </c>
      <c r="D379" s="36" t="inlineStr">
        <is>
          <t>Business insurance</t>
        </is>
      </c>
      <c r="E379" s="36" t="inlineStr">
        <is>
          <t>Business Insurance</t>
        </is>
      </c>
      <c r="F379" s="36" t="n"/>
      <c r="G379" s="36" t="inlineStr">
        <is>
          <t>Saskatchewan</t>
        </is>
      </c>
      <c r="H379" s="36" t="inlineStr">
        <is>
          <t>Saskatoon</t>
        </is>
      </c>
      <c r="I379" s="36" t="inlineStr">
        <is>
          <t>Yes</t>
        </is>
      </c>
      <c r="J379" s="25" t="inlineStr">
        <is>
          <t>Business Insurance Saskatoon, SK: Compare Quotes &amp; Costs (2026)</t>
        </is>
      </c>
      <c r="K379" s="36">
        <f>LEN(J379)</f>
        <v/>
      </c>
      <c r="L379" s="25" t="inlineStr">
        <is>
          <t>Compare business insurance in Saskatoon, SK: instant estimate ($35.00–$60.00/mo example), local risk factors and advisors licensed in Saskatchewan.</t>
        </is>
      </c>
      <c r="M379" s="36">
        <f>LEN(L379)</f>
        <v/>
      </c>
      <c r="N379" s="25" t="inlineStr">
        <is>
          <t>Business Insurance in Saskatoon, SK</t>
        </is>
      </c>
      <c r="O379" s="36" t="inlineStr">
        <is>
          <t>business insurance saskatoon</t>
        </is>
      </c>
      <c r="P379" s="37" t="n">
        <v>90</v>
      </c>
      <c r="Q379" s="36" t="inlineStr">
        <is>
          <t>City</t>
        </is>
      </c>
      <c r="R379" s="36" t="n"/>
      <c r="S379" s="36">
        <f>COUNTIF('Page-Keyword Map'!$A$2:$A$675,B379)</f>
        <v/>
      </c>
      <c r="T379" s="37">
        <f>SUMIF('Page-Keyword Map'!$A$2:$A$675,B379,'Page-Keyword Map'!$H$2:$H$675)</f>
        <v/>
      </c>
      <c r="U379" s="36">
        <f>COUNTIFS('Page-Keyword Map'!$A$2:$A$675,B379,'Page-Keyword Map'!$E$2:$E$675,"Nationwide")</f>
        <v/>
      </c>
      <c r="V379" s="36">
        <f>COUNTIFS('Page-Keyword Map'!$A$2:$A$675,B379,'Page-Keyword Map'!$E$2:$E$675,"Provincial")</f>
        <v/>
      </c>
      <c r="W379" s="36">
        <f>COUNTIFS('Page-Keyword Map'!$A$2:$A$675,B379,'Page-Keyword Map'!$E$2:$E$675,"City")</f>
        <v/>
      </c>
      <c r="X379" s="36">
        <f>IF(O379="","",IF(ISNUMBER(SEARCH(O379,J379)),"Yes","No"))</f>
        <v/>
      </c>
      <c r="Y379" s="36" t="n">
        <v>0.7</v>
      </c>
      <c r="Z379" s="36" t="inlineStr">
        <is>
          <t>sitemap-cities.xml</t>
        </is>
      </c>
      <c r="AA379" s="36" t="inlineStr">
        <is>
          <t>Live – indexable</t>
        </is>
      </c>
      <c r="AB379" s="38" t="n"/>
      <c r="AC379" s="38" t="n"/>
    </row>
    <row r="380" ht="23.85" customHeight="1" s="22">
      <c r="A380" s="36" t="inlineStr">
        <is>
          <t>P0379</t>
        </is>
      </c>
      <c r="B380" s="36" t="inlineStr">
        <is>
          <t>https://instasure.ca/business-insurance/yukon/whitehorse/</t>
        </is>
      </c>
      <c r="C380" s="36" t="inlineStr">
        <is>
          <t>Product × city</t>
        </is>
      </c>
      <c r="D380" s="36" t="inlineStr">
        <is>
          <t>Business insurance</t>
        </is>
      </c>
      <c r="E380" s="36" t="inlineStr">
        <is>
          <t>Business Insurance</t>
        </is>
      </c>
      <c r="F380" s="36" t="n"/>
      <c r="G380" s="36" t="inlineStr">
        <is>
          <t>Yukon</t>
        </is>
      </c>
      <c r="H380" s="36" t="inlineStr">
        <is>
          <t>Whitehorse</t>
        </is>
      </c>
      <c r="I380" s="36" t="inlineStr">
        <is>
          <t>No</t>
        </is>
      </c>
      <c r="J380" s="25" t="inlineStr">
        <is>
          <t>Business Insurance Whitehorse, YT: Compare Quotes &amp; Costs (2026)</t>
        </is>
      </c>
      <c r="K380" s="36">
        <f>LEN(J380)</f>
        <v/>
      </c>
      <c r="L380" s="25" t="inlineStr">
        <is>
          <t>Compare business insurance in Whitehorse, YT: instant estimate ($35.00–$60.00/mo example), local risk factors and a waitlist for licensed advice in Yukon.</t>
        </is>
      </c>
      <c r="M380" s="36">
        <f>LEN(L380)</f>
        <v/>
      </c>
      <c r="N380" s="25" t="inlineStr">
        <is>
          <t>Business Insurance in Whitehorse, YT</t>
        </is>
      </c>
      <c r="O380" s="36" t="n"/>
      <c r="P380" s="37" t="n"/>
      <c r="Q380" s="36" t="n"/>
      <c r="R380" s="36" t="inlineStr">
        <is>
          <t>business insurance whitehorse</t>
        </is>
      </c>
      <c r="S380" s="36">
        <f>COUNTIF('Page-Keyword Map'!$A$2:$A$675,B380)</f>
        <v/>
      </c>
      <c r="T380" s="37">
        <f>SUMIF('Page-Keyword Map'!$A$2:$A$675,B380,'Page-Keyword Map'!$H$2:$H$675)</f>
        <v/>
      </c>
      <c r="U380" s="36">
        <f>COUNTIFS('Page-Keyword Map'!$A$2:$A$675,B380,'Page-Keyword Map'!$E$2:$E$675,"Nationwide")</f>
        <v/>
      </c>
      <c r="V380" s="36">
        <f>COUNTIFS('Page-Keyword Map'!$A$2:$A$675,B380,'Page-Keyword Map'!$E$2:$E$675,"Provincial")</f>
        <v/>
      </c>
      <c r="W380" s="36">
        <f>COUNTIFS('Page-Keyword Map'!$A$2:$A$675,B380,'Page-Keyword Map'!$E$2:$E$675,"City")</f>
        <v/>
      </c>
      <c r="X380" s="36">
        <f>IF(O380="","",IF(ISNUMBER(SEARCH(O380,J380)),"Yes","No"))</f>
        <v/>
      </c>
      <c r="Y380" s="36" t="n">
        <v>0.5</v>
      </c>
      <c r="Z380" s="36" t="inlineStr">
        <is>
          <t>(not listed: noindex)</t>
        </is>
      </c>
      <c r="AA380" s="36" t="inlineStr">
        <is>
          <t>Live – noindex (enrich before indexing)</t>
        </is>
      </c>
      <c r="AB380" s="38" t="n"/>
      <c r="AC380" s="38" t="n"/>
    </row>
    <row r="381" ht="23.85" customHeight="1" s="22">
      <c r="A381" s="36" t="inlineStr">
        <is>
          <t>P0380</t>
        </is>
      </c>
      <c r="B381" s="36" t="inlineStr">
        <is>
          <t>https://instasure.ca/car-insurance/alberta/airdrie/</t>
        </is>
      </c>
      <c r="C381" s="36" t="inlineStr">
        <is>
          <t>Product × city</t>
        </is>
      </c>
      <c r="D381" s="36" t="inlineStr">
        <is>
          <t>Car insurance</t>
        </is>
      </c>
      <c r="E381" s="36" t="inlineStr">
        <is>
          <t>Car Insurance</t>
        </is>
      </c>
      <c r="F381" s="36" t="n"/>
      <c r="G381" s="36" t="inlineStr">
        <is>
          <t>Alberta</t>
        </is>
      </c>
      <c r="H381" s="36" t="inlineStr">
        <is>
          <t>Airdrie</t>
        </is>
      </c>
      <c r="I381" s="36" t="inlineStr">
        <is>
          <t>No</t>
        </is>
      </c>
      <c r="J381" s="25" t="inlineStr">
        <is>
          <t>Car Insurance Airdrie, AB: Compare Quotes &amp; Costs (2026)</t>
        </is>
      </c>
      <c r="K381" s="36">
        <f>LEN(J381)</f>
        <v/>
      </c>
      <c r="L381" s="25" t="inlineStr">
        <is>
          <t>Compare car insurance in Airdrie, AB: instant estimate ($130–$201/mo example), local risk factors and advisors licensed in Alberta.</t>
        </is>
      </c>
      <c r="M381" s="36">
        <f>LEN(L381)</f>
        <v/>
      </c>
      <c r="N381" s="25" t="inlineStr">
        <is>
          <t>Car Insurance in Airdrie, AB</t>
        </is>
      </c>
      <c r="O381" s="36" t="inlineStr">
        <is>
          <t>car insurance airdrie</t>
        </is>
      </c>
      <c r="P381" s="37" t="n">
        <v>260</v>
      </c>
      <c r="Q381" s="36" t="inlineStr">
        <is>
          <t>City</t>
        </is>
      </c>
      <c r="R381" s="36" t="n"/>
      <c r="S381" s="36">
        <f>COUNTIF('Page-Keyword Map'!$A$2:$A$675,B381)</f>
        <v/>
      </c>
      <c r="T381" s="37">
        <f>SUMIF('Page-Keyword Map'!$A$2:$A$675,B381,'Page-Keyword Map'!$H$2:$H$675)</f>
        <v/>
      </c>
      <c r="U381" s="36">
        <f>COUNTIFS('Page-Keyword Map'!$A$2:$A$675,B381,'Page-Keyword Map'!$E$2:$E$675,"Nationwide")</f>
        <v/>
      </c>
      <c r="V381" s="36">
        <f>COUNTIFS('Page-Keyword Map'!$A$2:$A$675,B381,'Page-Keyword Map'!$E$2:$E$675,"Provincial")</f>
        <v/>
      </c>
      <c r="W381" s="36">
        <f>COUNTIFS('Page-Keyword Map'!$A$2:$A$675,B381,'Page-Keyword Map'!$E$2:$E$675,"City")</f>
        <v/>
      </c>
      <c r="X381" s="36">
        <f>IF(O381="","",IF(ISNUMBER(SEARCH(O381,J381)),"Yes","No"))</f>
        <v/>
      </c>
      <c r="Y381" s="36" t="n">
        <v>0.5</v>
      </c>
      <c r="Z381" s="36" t="inlineStr">
        <is>
          <t>(not listed: noindex)</t>
        </is>
      </c>
      <c r="AA381" s="36" t="inlineStr">
        <is>
          <t>Live – noindex (enrich before indexing)</t>
        </is>
      </c>
      <c r="AB381" s="38" t="n"/>
      <c r="AC381" s="38" t="n"/>
    </row>
    <row r="382" ht="23.85" customHeight="1" s="22">
      <c r="A382" s="36" t="inlineStr">
        <is>
          <t>P0381</t>
        </is>
      </c>
      <c r="B382" s="36" t="inlineStr">
        <is>
          <t>https://instasure.ca/car-insurance/alberta/calgary/</t>
        </is>
      </c>
      <c r="C382" s="36" t="inlineStr">
        <is>
          <t>Product × city</t>
        </is>
      </c>
      <c r="D382" s="36" t="inlineStr">
        <is>
          <t>Car insurance</t>
        </is>
      </c>
      <c r="E382" s="36" t="inlineStr">
        <is>
          <t>Car Insurance</t>
        </is>
      </c>
      <c r="F382" s="36" t="n"/>
      <c r="G382" s="36" t="inlineStr">
        <is>
          <t>Alberta</t>
        </is>
      </c>
      <c r="H382" s="36" t="inlineStr">
        <is>
          <t>Calgary</t>
        </is>
      </c>
      <c r="I382" s="36" t="inlineStr">
        <is>
          <t>Yes</t>
        </is>
      </c>
      <c r="J382" s="25" t="inlineStr">
        <is>
          <t>Car Insurance Calgary, AB: Compare Quotes &amp; Costs (2026)</t>
        </is>
      </c>
      <c r="K382" s="36">
        <f>LEN(J382)</f>
        <v/>
      </c>
      <c r="L382" s="25" t="inlineStr">
        <is>
          <t>Compare car insurance in Calgary, AB: instant estimate ($136–$211/mo example), local risk factors and advisors licensed in Alberta.</t>
        </is>
      </c>
      <c r="M382" s="36">
        <f>LEN(L382)</f>
        <v/>
      </c>
      <c r="N382" s="25" t="inlineStr">
        <is>
          <t>Car Insurance in Calgary, AB</t>
        </is>
      </c>
      <c r="O382" s="36" t="inlineStr">
        <is>
          <t>car insurance calgary</t>
        </is>
      </c>
      <c r="P382" s="37" t="n">
        <v>2800</v>
      </c>
      <c r="Q382" s="36" t="inlineStr">
        <is>
          <t>City</t>
        </is>
      </c>
      <c r="R382" s="36" t="n"/>
      <c r="S382" s="36">
        <f>COUNTIF('Page-Keyword Map'!$A$2:$A$675,B382)</f>
        <v/>
      </c>
      <c r="T382" s="37">
        <f>SUMIF('Page-Keyword Map'!$A$2:$A$675,B382,'Page-Keyword Map'!$H$2:$H$675)</f>
        <v/>
      </c>
      <c r="U382" s="36">
        <f>COUNTIFS('Page-Keyword Map'!$A$2:$A$675,B382,'Page-Keyword Map'!$E$2:$E$675,"Nationwide")</f>
        <v/>
      </c>
      <c r="V382" s="36">
        <f>COUNTIFS('Page-Keyword Map'!$A$2:$A$675,B382,'Page-Keyword Map'!$E$2:$E$675,"Provincial")</f>
        <v/>
      </c>
      <c r="W382" s="36">
        <f>COUNTIFS('Page-Keyword Map'!$A$2:$A$675,B382,'Page-Keyword Map'!$E$2:$E$675,"City")</f>
        <v/>
      </c>
      <c r="X382" s="36">
        <f>IF(O382="","",IF(ISNUMBER(SEARCH(O382,J382)),"Yes","No"))</f>
        <v/>
      </c>
      <c r="Y382" s="36" t="n">
        <v>0.7</v>
      </c>
      <c r="Z382" s="36" t="inlineStr">
        <is>
          <t>sitemap-cities.xml</t>
        </is>
      </c>
      <c r="AA382" s="36" t="inlineStr">
        <is>
          <t>Live – indexable</t>
        </is>
      </c>
      <c r="AB382" s="38" t="n"/>
      <c r="AC382" s="38" t="n"/>
    </row>
    <row r="383" ht="23.85" customHeight="1" s="22">
      <c r="A383" s="36" t="inlineStr">
        <is>
          <t>P0382</t>
        </is>
      </c>
      <c r="B383" s="36" t="inlineStr">
        <is>
          <t>https://instasure.ca/car-insurance/alberta/edmonton/</t>
        </is>
      </c>
      <c r="C383" s="36" t="inlineStr">
        <is>
          <t>Product × city</t>
        </is>
      </c>
      <c r="D383" s="36" t="inlineStr">
        <is>
          <t>Car insurance</t>
        </is>
      </c>
      <c r="E383" s="36" t="inlineStr">
        <is>
          <t>Car Insurance</t>
        </is>
      </c>
      <c r="F383" s="36" t="n"/>
      <c r="G383" s="36" t="inlineStr">
        <is>
          <t>Alberta</t>
        </is>
      </c>
      <c r="H383" s="36" t="inlineStr">
        <is>
          <t>Edmonton</t>
        </is>
      </c>
      <c r="I383" s="36" t="inlineStr">
        <is>
          <t>Yes</t>
        </is>
      </c>
      <c r="J383" s="25" t="inlineStr">
        <is>
          <t>Car Insurance Edmonton, AB: Compare Quotes &amp; Costs (2026)</t>
        </is>
      </c>
      <c r="K383" s="36">
        <f>LEN(J383)</f>
        <v/>
      </c>
      <c r="L383" s="25" t="inlineStr">
        <is>
          <t>Compare car insurance in Edmonton, AB: instant estimate ($130–$201/mo example), local risk factors and advisors licensed in Alberta.</t>
        </is>
      </c>
      <c r="M383" s="36">
        <f>LEN(L383)</f>
        <v/>
      </c>
      <c r="N383" s="25" t="inlineStr">
        <is>
          <t>Car Insurance in Edmonton, AB</t>
        </is>
      </c>
      <c r="O383" s="36" t="inlineStr">
        <is>
          <t>car insurance edmonton</t>
        </is>
      </c>
      <c r="P383" s="37" t="n">
        <v>2100</v>
      </c>
      <c r="Q383" s="36" t="inlineStr">
        <is>
          <t>City</t>
        </is>
      </c>
      <c r="R383" s="36" t="n"/>
      <c r="S383" s="36">
        <f>COUNTIF('Page-Keyword Map'!$A$2:$A$675,B383)</f>
        <v/>
      </c>
      <c r="T383" s="37">
        <f>SUMIF('Page-Keyword Map'!$A$2:$A$675,B383,'Page-Keyword Map'!$H$2:$H$675)</f>
        <v/>
      </c>
      <c r="U383" s="36">
        <f>COUNTIFS('Page-Keyword Map'!$A$2:$A$675,B383,'Page-Keyword Map'!$E$2:$E$675,"Nationwide")</f>
        <v/>
      </c>
      <c r="V383" s="36">
        <f>COUNTIFS('Page-Keyword Map'!$A$2:$A$675,B383,'Page-Keyword Map'!$E$2:$E$675,"Provincial")</f>
        <v/>
      </c>
      <c r="W383" s="36">
        <f>COUNTIFS('Page-Keyword Map'!$A$2:$A$675,B383,'Page-Keyword Map'!$E$2:$E$675,"City")</f>
        <v/>
      </c>
      <c r="X383" s="36">
        <f>IF(O383="","",IF(ISNUMBER(SEARCH(O383,J383)),"Yes","No"))</f>
        <v/>
      </c>
      <c r="Y383" s="36" t="n">
        <v>0.7</v>
      </c>
      <c r="Z383" s="36" t="inlineStr">
        <is>
          <t>sitemap-cities.xml</t>
        </is>
      </c>
      <c r="AA383" s="36" t="inlineStr">
        <is>
          <t>Live – indexable</t>
        </is>
      </c>
      <c r="AB383" s="38" t="n"/>
      <c r="AC383" s="38" t="n"/>
    </row>
    <row r="384" ht="23.85" customHeight="1" s="22">
      <c r="A384" s="36" t="inlineStr">
        <is>
          <t>P0383</t>
        </is>
      </c>
      <c r="B384" s="36" t="inlineStr">
        <is>
          <t>https://instasure.ca/car-insurance/alberta/lethbridge/</t>
        </is>
      </c>
      <c r="C384" s="36" t="inlineStr">
        <is>
          <t>Product × city</t>
        </is>
      </c>
      <c r="D384" s="36" t="inlineStr">
        <is>
          <t>Car insurance</t>
        </is>
      </c>
      <c r="E384" s="36" t="inlineStr">
        <is>
          <t>Car Insurance</t>
        </is>
      </c>
      <c r="F384" s="36" t="n"/>
      <c r="G384" s="36" t="inlineStr">
        <is>
          <t>Alberta</t>
        </is>
      </c>
      <c r="H384" s="36" t="inlineStr">
        <is>
          <t>Lethbridge</t>
        </is>
      </c>
      <c r="I384" s="36" t="inlineStr">
        <is>
          <t>Yes</t>
        </is>
      </c>
      <c r="J384" s="25" t="inlineStr">
        <is>
          <t>Car Insurance Lethbridge, AB: Compare Quotes &amp; Costs (2026)</t>
        </is>
      </c>
      <c r="K384" s="36">
        <f>LEN(J384)</f>
        <v/>
      </c>
      <c r="L384" s="25" t="inlineStr">
        <is>
          <t>Compare car insurance in Lethbridge, AB: instant estimate ($117–$181/mo example), local risk factors and advisors licensed in Alberta.</t>
        </is>
      </c>
      <c r="M384" s="36">
        <f>LEN(L384)</f>
        <v/>
      </c>
      <c r="N384" s="25" t="inlineStr">
        <is>
          <t>Car Insurance in Lethbridge, AB</t>
        </is>
      </c>
      <c r="O384" s="36" t="inlineStr">
        <is>
          <t>car insurance lethbridge</t>
        </is>
      </c>
      <c r="P384" s="37" t="n">
        <v>280</v>
      </c>
      <c r="Q384" s="36" t="inlineStr">
        <is>
          <t>City</t>
        </is>
      </c>
      <c r="R384" s="36" t="n"/>
      <c r="S384" s="36">
        <f>COUNTIF('Page-Keyword Map'!$A$2:$A$675,B384)</f>
        <v/>
      </c>
      <c r="T384" s="37">
        <f>SUMIF('Page-Keyword Map'!$A$2:$A$675,B384,'Page-Keyword Map'!$H$2:$H$675)</f>
        <v/>
      </c>
      <c r="U384" s="36">
        <f>COUNTIFS('Page-Keyword Map'!$A$2:$A$675,B384,'Page-Keyword Map'!$E$2:$E$675,"Nationwide")</f>
        <v/>
      </c>
      <c r="V384" s="36">
        <f>COUNTIFS('Page-Keyword Map'!$A$2:$A$675,B384,'Page-Keyword Map'!$E$2:$E$675,"Provincial")</f>
        <v/>
      </c>
      <c r="W384" s="36">
        <f>COUNTIFS('Page-Keyword Map'!$A$2:$A$675,B384,'Page-Keyword Map'!$E$2:$E$675,"City")</f>
        <v/>
      </c>
      <c r="X384" s="36">
        <f>IF(O384="","",IF(ISNUMBER(SEARCH(O384,J384)),"Yes","No"))</f>
        <v/>
      </c>
      <c r="Y384" s="36" t="n">
        <v>0.5</v>
      </c>
      <c r="Z384" s="36" t="inlineStr">
        <is>
          <t>sitemap-cities.xml</t>
        </is>
      </c>
      <c r="AA384" s="36" t="inlineStr">
        <is>
          <t>Live – indexable</t>
        </is>
      </c>
      <c r="AB384" s="38" t="n"/>
      <c r="AC384" s="38" t="n"/>
    </row>
    <row r="385" ht="23.85" customHeight="1" s="22">
      <c r="A385" s="36" t="inlineStr">
        <is>
          <t>P0384</t>
        </is>
      </c>
      <c r="B385" s="36" t="inlineStr">
        <is>
          <t>https://instasure.ca/car-insurance/alberta/red-deer/</t>
        </is>
      </c>
      <c r="C385" s="36" t="inlineStr">
        <is>
          <t>Product × city</t>
        </is>
      </c>
      <c r="D385" s="36" t="inlineStr">
        <is>
          <t>Car insurance</t>
        </is>
      </c>
      <c r="E385" s="36" t="inlineStr">
        <is>
          <t>Car Insurance</t>
        </is>
      </c>
      <c r="F385" s="36" t="n"/>
      <c r="G385" s="36" t="inlineStr">
        <is>
          <t>Alberta</t>
        </is>
      </c>
      <c r="H385" s="36" t="inlineStr">
        <is>
          <t>Red Deer</t>
        </is>
      </c>
      <c r="I385" s="36" t="inlineStr">
        <is>
          <t>Yes</t>
        </is>
      </c>
      <c r="J385" s="25" t="inlineStr">
        <is>
          <t>Car Insurance Red Deer, AB: Compare Quotes &amp; Costs (2026)</t>
        </is>
      </c>
      <c r="K385" s="36">
        <f>LEN(J385)</f>
        <v/>
      </c>
      <c r="L385" s="25" t="inlineStr">
        <is>
          <t>Compare car insurance in Red Deer, AB: instant estimate ($123–$191/mo example), local risk factors and advisors licensed in Alberta.</t>
        </is>
      </c>
      <c r="M385" s="36">
        <f>LEN(L385)</f>
        <v/>
      </c>
      <c r="N385" s="25" t="inlineStr">
        <is>
          <t>Car Insurance in Red Deer, AB</t>
        </is>
      </c>
      <c r="O385" s="36" t="inlineStr">
        <is>
          <t>car insurance red deer</t>
        </is>
      </c>
      <c r="P385" s="37" t="n">
        <v>310</v>
      </c>
      <c r="Q385" s="36" t="inlineStr">
        <is>
          <t>City</t>
        </is>
      </c>
      <c r="R385" s="36" t="n"/>
      <c r="S385" s="36">
        <f>COUNTIF('Page-Keyword Map'!$A$2:$A$675,B385)</f>
        <v/>
      </c>
      <c r="T385" s="37">
        <f>SUMIF('Page-Keyword Map'!$A$2:$A$675,B385,'Page-Keyword Map'!$H$2:$H$675)</f>
        <v/>
      </c>
      <c r="U385" s="36">
        <f>COUNTIFS('Page-Keyword Map'!$A$2:$A$675,B385,'Page-Keyword Map'!$E$2:$E$675,"Nationwide")</f>
        <v/>
      </c>
      <c r="V385" s="36">
        <f>COUNTIFS('Page-Keyword Map'!$A$2:$A$675,B385,'Page-Keyword Map'!$E$2:$E$675,"Provincial")</f>
        <v/>
      </c>
      <c r="W385" s="36">
        <f>COUNTIFS('Page-Keyword Map'!$A$2:$A$675,B385,'Page-Keyword Map'!$E$2:$E$675,"City")</f>
        <v/>
      </c>
      <c r="X385" s="36">
        <f>IF(O385="","",IF(ISNUMBER(SEARCH(O385,J385)),"Yes","No"))</f>
        <v/>
      </c>
      <c r="Y385" s="36" t="n">
        <v>0.5</v>
      </c>
      <c r="Z385" s="36" t="inlineStr">
        <is>
          <t>sitemap-cities.xml</t>
        </is>
      </c>
      <c r="AA385" s="36" t="inlineStr">
        <is>
          <t>Live – indexable</t>
        </is>
      </c>
      <c r="AB385" s="38" t="n"/>
      <c r="AC385" s="38" t="n"/>
    </row>
    <row r="386" ht="23.85" customHeight="1" s="22">
      <c r="A386" s="36" t="inlineStr">
        <is>
          <t>P0385</t>
        </is>
      </c>
      <c r="B386" s="36" t="inlineStr">
        <is>
          <t>https://instasure.ca/car-insurance/british-columbia/abbotsford/</t>
        </is>
      </c>
      <c r="C386" s="36" t="inlineStr">
        <is>
          <t>Product × city</t>
        </is>
      </c>
      <c r="D386" s="36" t="inlineStr">
        <is>
          <t>Car insurance</t>
        </is>
      </c>
      <c r="E386" s="36" t="inlineStr">
        <is>
          <t>Car Insurance</t>
        </is>
      </c>
      <c r="F386" s="36" t="n"/>
      <c r="G386" s="36" t="inlineStr">
        <is>
          <t>British Columbia</t>
        </is>
      </c>
      <c r="H386" s="36" t="inlineStr">
        <is>
          <t>Abbotsford</t>
        </is>
      </c>
      <c r="I386" s="36" t="inlineStr">
        <is>
          <t>Yes</t>
        </is>
      </c>
      <c r="J386" s="25" t="inlineStr">
        <is>
          <t>Car Insurance Abbotsford, BC: Compare Quotes &amp; Costs (2026)</t>
        </is>
      </c>
      <c r="K386" s="36">
        <f>LEN(J386)</f>
        <v/>
      </c>
      <c r="L386" s="25" t="inlineStr">
        <is>
          <t>Compare car insurance in Abbotsford, BC: instant estimate ($117–$182/mo example), local risk factors and advisors licensed in British Columbia.</t>
        </is>
      </c>
      <c r="M386" s="36">
        <f>LEN(L386)</f>
        <v/>
      </c>
      <c r="N386" s="25" t="inlineStr">
        <is>
          <t>Car Insurance in Abbotsford, BC</t>
        </is>
      </c>
      <c r="O386" s="36" t="inlineStr">
        <is>
          <t>car insurance abbotsford</t>
        </is>
      </c>
      <c r="P386" s="37" t="n">
        <v>210</v>
      </c>
      <c r="Q386" s="36" t="inlineStr">
        <is>
          <t>City</t>
        </is>
      </c>
      <c r="R386" s="36" t="n"/>
      <c r="S386" s="36">
        <f>COUNTIF('Page-Keyword Map'!$A$2:$A$675,B386)</f>
        <v/>
      </c>
      <c r="T386" s="37">
        <f>SUMIF('Page-Keyword Map'!$A$2:$A$675,B386,'Page-Keyword Map'!$H$2:$H$675)</f>
        <v/>
      </c>
      <c r="U386" s="36">
        <f>COUNTIFS('Page-Keyword Map'!$A$2:$A$675,B386,'Page-Keyword Map'!$E$2:$E$675,"Nationwide")</f>
        <v/>
      </c>
      <c r="V386" s="36">
        <f>COUNTIFS('Page-Keyword Map'!$A$2:$A$675,B386,'Page-Keyword Map'!$E$2:$E$675,"Provincial")</f>
        <v/>
      </c>
      <c r="W386" s="36">
        <f>COUNTIFS('Page-Keyword Map'!$A$2:$A$675,B386,'Page-Keyword Map'!$E$2:$E$675,"City")</f>
        <v/>
      </c>
      <c r="X386" s="36">
        <f>IF(O386="","",IF(ISNUMBER(SEARCH(O386,J386)),"Yes","No"))</f>
        <v/>
      </c>
      <c r="Y386" s="36" t="n">
        <v>0.5</v>
      </c>
      <c r="Z386" s="36" t="inlineStr">
        <is>
          <t>sitemap-cities.xml</t>
        </is>
      </c>
      <c r="AA386" s="36" t="inlineStr">
        <is>
          <t>Live – indexable</t>
        </is>
      </c>
      <c r="AB386" s="38" t="n"/>
      <c r="AC386" s="38" t="n"/>
    </row>
    <row r="387" ht="23.85" customHeight="1" s="22">
      <c r="A387" s="36" t="inlineStr">
        <is>
          <t>P0386</t>
        </is>
      </c>
      <c r="B387" s="36" t="inlineStr">
        <is>
          <t>https://instasure.ca/car-insurance/british-columbia/burnaby/</t>
        </is>
      </c>
      <c r="C387" s="36" t="inlineStr">
        <is>
          <t>Product × city</t>
        </is>
      </c>
      <c r="D387" s="36" t="inlineStr">
        <is>
          <t>Car insurance</t>
        </is>
      </c>
      <c r="E387" s="36" t="inlineStr">
        <is>
          <t>Car Insurance</t>
        </is>
      </c>
      <c r="F387" s="36" t="n"/>
      <c r="G387" s="36" t="inlineStr">
        <is>
          <t>British Columbia</t>
        </is>
      </c>
      <c r="H387" s="36" t="inlineStr">
        <is>
          <t>Burnaby</t>
        </is>
      </c>
      <c r="I387" s="36" t="inlineStr">
        <is>
          <t>Yes</t>
        </is>
      </c>
      <c r="J387" s="25" t="inlineStr">
        <is>
          <t>Car Insurance Burnaby, BC: Compare Quotes &amp; Costs (2026)</t>
        </is>
      </c>
      <c r="K387" s="36">
        <f>LEN(J387)</f>
        <v/>
      </c>
      <c r="L387" s="25" t="inlineStr">
        <is>
          <t>Compare car insurance in Burnaby, BC: instant estimate ($130–$201/mo example), local risk factors and advisors licensed in British Columbia.</t>
        </is>
      </c>
      <c r="M387" s="36">
        <f>LEN(L387)</f>
        <v/>
      </c>
      <c r="N387" s="25" t="inlineStr">
        <is>
          <t>Car Insurance in Burnaby, BC</t>
        </is>
      </c>
      <c r="O387" s="36" t="inlineStr">
        <is>
          <t>car insurance burnaby</t>
        </is>
      </c>
      <c r="P387" s="37" t="n">
        <v>370</v>
      </c>
      <c r="Q387" s="36" t="inlineStr">
        <is>
          <t>City</t>
        </is>
      </c>
      <c r="R387" s="36" t="n"/>
      <c r="S387" s="36">
        <f>COUNTIF('Page-Keyword Map'!$A$2:$A$675,B387)</f>
        <v/>
      </c>
      <c r="T387" s="37">
        <f>SUMIF('Page-Keyword Map'!$A$2:$A$675,B387,'Page-Keyword Map'!$H$2:$H$675)</f>
        <v/>
      </c>
      <c r="U387" s="36">
        <f>COUNTIFS('Page-Keyword Map'!$A$2:$A$675,B387,'Page-Keyword Map'!$E$2:$E$675,"Nationwide")</f>
        <v/>
      </c>
      <c r="V387" s="36">
        <f>COUNTIFS('Page-Keyword Map'!$A$2:$A$675,B387,'Page-Keyword Map'!$E$2:$E$675,"Provincial")</f>
        <v/>
      </c>
      <c r="W387" s="36">
        <f>COUNTIFS('Page-Keyword Map'!$A$2:$A$675,B387,'Page-Keyword Map'!$E$2:$E$675,"City")</f>
        <v/>
      </c>
      <c r="X387" s="36">
        <f>IF(O387="","",IF(ISNUMBER(SEARCH(O387,J387)),"Yes","No"))</f>
        <v/>
      </c>
      <c r="Y387" s="36" t="n">
        <v>0.7</v>
      </c>
      <c r="Z387" s="36" t="inlineStr">
        <is>
          <t>sitemap-cities.xml</t>
        </is>
      </c>
      <c r="AA387" s="36" t="inlineStr">
        <is>
          <t>Live – indexable</t>
        </is>
      </c>
      <c r="AB387" s="38" t="n"/>
      <c r="AC387" s="38" t="n"/>
    </row>
    <row r="388" ht="23.85" customHeight="1" s="22">
      <c r="A388" s="36" t="inlineStr">
        <is>
          <t>P0387</t>
        </is>
      </c>
      <c r="B388" s="36" t="inlineStr">
        <is>
          <t>https://instasure.ca/car-insurance/british-columbia/coquitlam/</t>
        </is>
      </c>
      <c r="C388" s="36" t="inlineStr">
        <is>
          <t>Product × city</t>
        </is>
      </c>
      <c r="D388" s="36" t="inlineStr">
        <is>
          <t>Car insurance</t>
        </is>
      </c>
      <c r="E388" s="36" t="inlineStr">
        <is>
          <t>Car Insurance</t>
        </is>
      </c>
      <c r="F388" s="36" t="n"/>
      <c r="G388" s="36" t="inlineStr">
        <is>
          <t>British Columbia</t>
        </is>
      </c>
      <c r="H388" s="36" t="inlineStr">
        <is>
          <t>Coquitlam</t>
        </is>
      </c>
      <c r="I388" s="36" t="inlineStr">
        <is>
          <t>Yes</t>
        </is>
      </c>
      <c r="J388" s="25" t="inlineStr">
        <is>
          <t>Car Insurance Coquitlam, BC: Compare Quotes &amp; Costs (2026)</t>
        </is>
      </c>
      <c r="K388" s="36">
        <f>LEN(J388)</f>
        <v/>
      </c>
      <c r="L388" s="25" t="inlineStr">
        <is>
          <t>Compare car insurance in Coquitlam, BC: instant estimate ($124–$191/mo example), local risk factors and advisors licensed in British Columbia.</t>
        </is>
      </c>
      <c r="M388" s="36">
        <f>LEN(L388)</f>
        <v/>
      </c>
      <c r="N388" s="25" t="inlineStr">
        <is>
          <t>Car Insurance in Coquitlam, BC</t>
        </is>
      </c>
      <c r="O388" s="36" t="inlineStr">
        <is>
          <t>car insurance coquitlam</t>
        </is>
      </c>
      <c r="P388" s="37" t="n">
        <v>230</v>
      </c>
      <c r="Q388" s="36" t="inlineStr">
        <is>
          <t>City</t>
        </is>
      </c>
      <c r="R388" s="36" t="n"/>
      <c r="S388" s="36">
        <f>COUNTIF('Page-Keyword Map'!$A$2:$A$675,B388)</f>
        <v/>
      </c>
      <c r="T388" s="37">
        <f>SUMIF('Page-Keyword Map'!$A$2:$A$675,B388,'Page-Keyword Map'!$H$2:$H$675)</f>
        <v/>
      </c>
      <c r="U388" s="36">
        <f>COUNTIFS('Page-Keyword Map'!$A$2:$A$675,B388,'Page-Keyword Map'!$E$2:$E$675,"Nationwide")</f>
        <v/>
      </c>
      <c r="V388" s="36">
        <f>COUNTIFS('Page-Keyword Map'!$A$2:$A$675,B388,'Page-Keyword Map'!$E$2:$E$675,"Provincial")</f>
        <v/>
      </c>
      <c r="W388" s="36">
        <f>COUNTIFS('Page-Keyword Map'!$A$2:$A$675,B388,'Page-Keyword Map'!$E$2:$E$675,"City")</f>
        <v/>
      </c>
      <c r="X388" s="36">
        <f>IF(O388="","",IF(ISNUMBER(SEARCH(O388,J388)),"Yes","No"))</f>
        <v/>
      </c>
      <c r="Y388" s="36" t="n">
        <v>0.5</v>
      </c>
      <c r="Z388" s="36" t="inlineStr">
        <is>
          <t>sitemap-cities.xml</t>
        </is>
      </c>
      <c r="AA388" s="36" t="inlineStr">
        <is>
          <t>Live – indexable</t>
        </is>
      </c>
      <c r="AB388" s="38" t="n"/>
      <c r="AC388" s="38" t="n"/>
    </row>
    <row r="389" ht="23.85" customHeight="1" s="22">
      <c r="A389" s="36" t="inlineStr">
        <is>
          <t>P0388</t>
        </is>
      </c>
      <c r="B389" s="36" t="inlineStr">
        <is>
          <t>https://instasure.ca/car-insurance/british-columbia/kelowna/</t>
        </is>
      </c>
      <c r="C389" s="36" t="inlineStr">
        <is>
          <t>Product × city</t>
        </is>
      </c>
      <c r="D389" s="36" t="inlineStr">
        <is>
          <t>Car insurance</t>
        </is>
      </c>
      <c r="E389" s="36" t="inlineStr">
        <is>
          <t>Car Insurance</t>
        </is>
      </c>
      <c r="F389" s="36" t="n"/>
      <c r="G389" s="36" t="inlineStr">
        <is>
          <t>British Columbia</t>
        </is>
      </c>
      <c r="H389" s="36" t="inlineStr">
        <is>
          <t>Kelowna</t>
        </is>
      </c>
      <c r="I389" s="36" t="inlineStr">
        <is>
          <t>Yes</t>
        </is>
      </c>
      <c r="J389" s="25" t="inlineStr">
        <is>
          <t>Car Insurance Kelowna, BC: Compare Quotes &amp; Costs (2026)</t>
        </is>
      </c>
      <c r="K389" s="36">
        <f>LEN(J389)</f>
        <v/>
      </c>
      <c r="L389" s="25" t="inlineStr">
        <is>
          <t>Compare car insurance in Kelowna, BC: instant estimate ($117–$182/mo example), local risk factors and advisors licensed in British Columbia.</t>
        </is>
      </c>
      <c r="M389" s="36">
        <f>LEN(L389)</f>
        <v/>
      </c>
      <c r="N389" s="25" t="inlineStr">
        <is>
          <t>Car Insurance in Kelowna, BC</t>
        </is>
      </c>
      <c r="O389" s="36" t="inlineStr">
        <is>
          <t>car insurance kelowna</t>
        </is>
      </c>
      <c r="P389" s="37" t="n">
        <v>200</v>
      </c>
      <c r="Q389" s="36" t="inlineStr">
        <is>
          <t>City</t>
        </is>
      </c>
      <c r="R389" s="36" t="n"/>
      <c r="S389" s="36">
        <f>COUNTIF('Page-Keyword Map'!$A$2:$A$675,B389)</f>
        <v/>
      </c>
      <c r="T389" s="37">
        <f>SUMIF('Page-Keyword Map'!$A$2:$A$675,B389,'Page-Keyword Map'!$H$2:$H$675)</f>
        <v/>
      </c>
      <c r="U389" s="36">
        <f>COUNTIFS('Page-Keyword Map'!$A$2:$A$675,B389,'Page-Keyword Map'!$E$2:$E$675,"Nationwide")</f>
        <v/>
      </c>
      <c r="V389" s="36">
        <f>COUNTIFS('Page-Keyword Map'!$A$2:$A$675,B389,'Page-Keyword Map'!$E$2:$E$675,"Provincial")</f>
        <v/>
      </c>
      <c r="W389" s="36">
        <f>COUNTIFS('Page-Keyword Map'!$A$2:$A$675,B389,'Page-Keyword Map'!$E$2:$E$675,"City")</f>
        <v/>
      </c>
      <c r="X389" s="36">
        <f>IF(O389="","",IF(ISNUMBER(SEARCH(O389,J389)),"Yes","No"))</f>
        <v/>
      </c>
      <c r="Y389" s="36" t="n">
        <v>0.7</v>
      </c>
      <c r="Z389" s="36" t="inlineStr">
        <is>
          <t>sitemap-cities.xml</t>
        </is>
      </c>
      <c r="AA389" s="36" t="inlineStr">
        <is>
          <t>Live – indexable</t>
        </is>
      </c>
      <c r="AB389" s="38" t="n"/>
      <c r="AC389" s="38" t="n"/>
    </row>
    <row r="390" ht="23.85" customHeight="1" s="22">
      <c r="A390" s="36" t="inlineStr">
        <is>
          <t>P0389</t>
        </is>
      </c>
      <c r="B390" s="36" t="inlineStr">
        <is>
          <t>https://instasure.ca/car-insurance/british-columbia/langley/</t>
        </is>
      </c>
      <c r="C390" s="36" t="inlineStr">
        <is>
          <t>Product × city</t>
        </is>
      </c>
      <c r="D390" s="36" t="inlineStr">
        <is>
          <t>Car insurance</t>
        </is>
      </c>
      <c r="E390" s="36" t="inlineStr">
        <is>
          <t>Car Insurance</t>
        </is>
      </c>
      <c r="F390" s="36" t="n"/>
      <c r="G390" s="36" t="inlineStr">
        <is>
          <t>British Columbia</t>
        </is>
      </c>
      <c r="H390" s="36" t="inlineStr">
        <is>
          <t>Langley</t>
        </is>
      </c>
      <c r="I390" s="36" t="inlineStr">
        <is>
          <t>No</t>
        </is>
      </c>
      <c r="J390" s="25" t="inlineStr">
        <is>
          <t>Car Insurance Langley, BC: Compare Quotes &amp; Costs (2026)</t>
        </is>
      </c>
      <c r="K390" s="36">
        <f>LEN(J390)</f>
        <v/>
      </c>
      <c r="L390" s="25" t="inlineStr">
        <is>
          <t>Compare car insurance in Langley, BC: instant estimate ($121–$188/mo example), local risk factors and advisors licensed in British Columbia.</t>
        </is>
      </c>
      <c r="M390" s="36">
        <f>LEN(L390)</f>
        <v/>
      </c>
      <c r="N390" s="25" t="inlineStr">
        <is>
          <t>Car Insurance in Langley, BC</t>
        </is>
      </c>
      <c r="O390" s="36" t="inlineStr">
        <is>
          <t>car insurance langley</t>
        </is>
      </c>
      <c r="P390" s="37" t="n">
        <v>200</v>
      </c>
      <c r="Q390" s="36" t="inlineStr">
        <is>
          <t>City</t>
        </is>
      </c>
      <c r="R390" s="36" t="n"/>
      <c r="S390" s="36">
        <f>COUNTIF('Page-Keyword Map'!$A$2:$A$675,B390)</f>
        <v/>
      </c>
      <c r="T390" s="37">
        <f>SUMIF('Page-Keyword Map'!$A$2:$A$675,B390,'Page-Keyword Map'!$H$2:$H$675)</f>
        <v/>
      </c>
      <c r="U390" s="36">
        <f>COUNTIFS('Page-Keyword Map'!$A$2:$A$675,B390,'Page-Keyword Map'!$E$2:$E$675,"Nationwide")</f>
        <v/>
      </c>
      <c r="V390" s="36">
        <f>COUNTIFS('Page-Keyword Map'!$A$2:$A$675,B390,'Page-Keyword Map'!$E$2:$E$675,"Provincial")</f>
        <v/>
      </c>
      <c r="W390" s="36">
        <f>COUNTIFS('Page-Keyword Map'!$A$2:$A$675,B390,'Page-Keyword Map'!$E$2:$E$675,"City")</f>
        <v/>
      </c>
      <c r="X390" s="36">
        <f>IF(O390="","",IF(ISNUMBER(SEARCH(O390,J390)),"Yes","No"))</f>
        <v/>
      </c>
      <c r="Y390" s="36" t="n">
        <v>0.5</v>
      </c>
      <c r="Z390" s="36" t="inlineStr">
        <is>
          <t>(not listed: noindex)</t>
        </is>
      </c>
      <c r="AA390" s="36" t="inlineStr">
        <is>
          <t>Live – noindex (enrich before indexing)</t>
        </is>
      </c>
      <c r="AB390" s="38" t="n"/>
      <c r="AC390" s="38" t="n"/>
    </row>
    <row r="391" ht="23.85" customHeight="1" s="22">
      <c r="A391" s="36" t="inlineStr">
        <is>
          <t>P0390</t>
        </is>
      </c>
      <c r="B391" s="36" t="inlineStr">
        <is>
          <t>https://instasure.ca/car-insurance/british-columbia/richmond/</t>
        </is>
      </c>
      <c r="C391" s="36" t="inlineStr">
        <is>
          <t>Product × city</t>
        </is>
      </c>
      <c r="D391" s="36" t="inlineStr">
        <is>
          <t>Car insurance</t>
        </is>
      </c>
      <c r="E391" s="36" t="inlineStr">
        <is>
          <t>Car Insurance</t>
        </is>
      </c>
      <c r="F391" s="36" t="n"/>
      <c r="G391" s="36" t="inlineStr">
        <is>
          <t>British Columbia</t>
        </is>
      </c>
      <c r="H391" s="36" t="inlineStr">
        <is>
          <t>Richmond</t>
        </is>
      </c>
      <c r="I391" s="36" t="inlineStr">
        <is>
          <t>Yes</t>
        </is>
      </c>
      <c r="J391" s="25" t="inlineStr">
        <is>
          <t>Car Insurance Richmond, BC: Compare Quotes &amp; Costs (2026)</t>
        </is>
      </c>
      <c r="K391" s="36">
        <f>LEN(J391)</f>
        <v/>
      </c>
      <c r="L391" s="25" t="inlineStr">
        <is>
          <t>Compare car insurance in Richmond, BC: instant estimate ($130–$201/mo example), local risk factors and advisors licensed in British Columbia.</t>
        </is>
      </c>
      <c r="M391" s="36">
        <f>LEN(L391)</f>
        <v/>
      </c>
      <c r="N391" s="25" t="inlineStr">
        <is>
          <t>Car Insurance in Richmond, BC</t>
        </is>
      </c>
      <c r="O391" s="36" t="inlineStr">
        <is>
          <t>car insurance richmond bc</t>
        </is>
      </c>
      <c r="P391" s="37" t="n">
        <v>320</v>
      </c>
      <c r="Q391" s="36" t="inlineStr">
        <is>
          <t>City</t>
        </is>
      </c>
      <c r="R391" s="36" t="n"/>
      <c r="S391" s="36">
        <f>COUNTIF('Page-Keyword Map'!$A$2:$A$675,B391)</f>
        <v/>
      </c>
      <c r="T391" s="37">
        <f>SUMIF('Page-Keyword Map'!$A$2:$A$675,B391,'Page-Keyword Map'!$H$2:$H$675)</f>
        <v/>
      </c>
      <c r="U391" s="36">
        <f>COUNTIFS('Page-Keyword Map'!$A$2:$A$675,B391,'Page-Keyword Map'!$E$2:$E$675,"Nationwide")</f>
        <v/>
      </c>
      <c r="V391" s="36">
        <f>COUNTIFS('Page-Keyword Map'!$A$2:$A$675,B391,'Page-Keyword Map'!$E$2:$E$675,"Provincial")</f>
        <v/>
      </c>
      <c r="W391" s="36">
        <f>COUNTIFS('Page-Keyword Map'!$A$2:$A$675,B391,'Page-Keyword Map'!$E$2:$E$675,"City")</f>
        <v/>
      </c>
      <c r="X391" s="36">
        <f>IF(O391="","",IF(ISNUMBER(SEARCH(O391,J391)),"Yes","No"))</f>
        <v/>
      </c>
      <c r="Y391" s="36" t="n">
        <v>0.5</v>
      </c>
      <c r="Z391" s="36" t="inlineStr">
        <is>
          <t>sitemap-cities.xml</t>
        </is>
      </c>
      <c r="AA391" s="36" t="inlineStr">
        <is>
          <t>Live – indexable</t>
        </is>
      </c>
      <c r="AB391" s="38" t="n"/>
      <c r="AC391" s="38" t="n"/>
    </row>
    <row r="392" ht="23.85" customHeight="1" s="22">
      <c r="A392" s="36" t="inlineStr">
        <is>
          <t>P0391</t>
        </is>
      </c>
      <c r="B392" s="36" t="inlineStr">
        <is>
          <t>https://instasure.ca/car-insurance/british-columbia/surrey/</t>
        </is>
      </c>
      <c r="C392" s="36" t="inlineStr">
        <is>
          <t>Product × city</t>
        </is>
      </c>
      <c r="D392" s="36" t="inlineStr">
        <is>
          <t>Car insurance</t>
        </is>
      </c>
      <c r="E392" s="36" t="inlineStr">
        <is>
          <t>Car Insurance</t>
        </is>
      </c>
      <c r="F392" s="36" t="n"/>
      <c r="G392" s="36" t="inlineStr">
        <is>
          <t>British Columbia</t>
        </is>
      </c>
      <c r="H392" s="36" t="inlineStr">
        <is>
          <t>Surrey</t>
        </is>
      </c>
      <c r="I392" s="36" t="inlineStr">
        <is>
          <t>Yes</t>
        </is>
      </c>
      <c r="J392" s="25" t="inlineStr">
        <is>
          <t>Car Insurance Surrey, BC: Compare Quotes &amp; Costs (2026)</t>
        </is>
      </c>
      <c r="K392" s="36">
        <f>LEN(J392)</f>
        <v/>
      </c>
      <c r="L392" s="25" t="inlineStr">
        <is>
          <t>Compare car insurance in Surrey, BC: instant estimate ($130–$201/mo example), local risk factors and advisors licensed in British Columbia.</t>
        </is>
      </c>
      <c r="M392" s="36">
        <f>LEN(L392)</f>
        <v/>
      </c>
      <c r="N392" s="25" t="inlineStr">
        <is>
          <t>Car Insurance in Surrey, BC</t>
        </is>
      </c>
      <c r="O392" s="36" t="inlineStr">
        <is>
          <t>car insurance surrey</t>
        </is>
      </c>
      <c r="P392" s="37" t="n">
        <v>710</v>
      </c>
      <c r="Q392" s="36" t="inlineStr">
        <is>
          <t>City</t>
        </is>
      </c>
      <c r="R392" s="36" t="n"/>
      <c r="S392" s="36">
        <f>COUNTIF('Page-Keyword Map'!$A$2:$A$675,B392)</f>
        <v/>
      </c>
      <c r="T392" s="37">
        <f>SUMIF('Page-Keyword Map'!$A$2:$A$675,B392,'Page-Keyword Map'!$H$2:$H$675)</f>
        <v/>
      </c>
      <c r="U392" s="36">
        <f>COUNTIFS('Page-Keyword Map'!$A$2:$A$675,B392,'Page-Keyword Map'!$E$2:$E$675,"Nationwide")</f>
        <v/>
      </c>
      <c r="V392" s="36">
        <f>COUNTIFS('Page-Keyword Map'!$A$2:$A$675,B392,'Page-Keyword Map'!$E$2:$E$675,"Provincial")</f>
        <v/>
      </c>
      <c r="W392" s="36">
        <f>COUNTIFS('Page-Keyword Map'!$A$2:$A$675,B392,'Page-Keyword Map'!$E$2:$E$675,"City")</f>
        <v/>
      </c>
      <c r="X392" s="36">
        <f>IF(O392="","",IF(ISNUMBER(SEARCH(O392,J392)),"Yes","No"))</f>
        <v/>
      </c>
      <c r="Y392" s="36" t="n">
        <v>0.7</v>
      </c>
      <c r="Z392" s="36" t="inlineStr">
        <is>
          <t>sitemap-cities.xml</t>
        </is>
      </c>
      <c r="AA392" s="36" t="inlineStr">
        <is>
          <t>Live – indexable</t>
        </is>
      </c>
      <c r="AB392" s="38" t="n"/>
      <c r="AC392" s="38" t="n"/>
    </row>
    <row r="393" ht="23.85" customHeight="1" s="22">
      <c r="A393" s="36" t="inlineStr">
        <is>
          <t>P0392</t>
        </is>
      </c>
      <c r="B393" s="36" t="inlineStr">
        <is>
          <t>https://instasure.ca/car-insurance/british-columbia/vancouver/</t>
        </is>
      </c>
      <c r="C393" s="36" t="inlineStr">
        <is>
          <t>Product × city</t>
        </is>
      </c>
      <c r="D393" s="36" t="inlineStr">
        <is>
          <t>Car insurance</t>
        </is>
      </c>
      <c r="E393" s="36" t="inlineStr">
        <is>
          <t>Car Insurance</t>
        </is>
      </c>
      <c r="F393" s="36" t="n"/>
      <c r="G393" s="36" t="inlineStr">
        <is>
          <t>British Columbia</t>
        </is>
      </c>
      <c r="H393" s="36" t="inlineStr">
        <is>
          <t>Vancouver</t>
        </is>
      </c>
      <c r="I393" s="36" t="inlineStr">
        <is>
          <t>Yes</t>
        </is>
      </c>
      <c r="J393" s="25" t="inlineStr">
        <is>
          <t>Car Insurance Vancouver, BC: Compare Quotes &amp; Costs (2026)</t>
        </is>
      </c>
      <c r="K393" s="36">
        <f>LEN(J393)</f>
        <v/>
      </c>
      <c r="L393" s="25" t="inlineStr">
        <is>
          <t>Compare car insurance in Vancouver, BC: instant estimate ($136–$211/mo example), local risk factors and advisors licensed in British Columbia.</t>
        </is>
      </c>
      <c r="M393" s="36">
        <f>LEN(L393)</f>
        <v/>
      </c>
      <c r="N393" s="25" t="inlineStr">
        <is>
          <t>Car Insurance in Vancouver, BC</t>
        </is>
      </c>
      <c r="O393" s="36" t="inlineStr">
        <is>
          <t>car insurance vancouver</t>
        </is>
      </c>
      <c r="P393" s="37" t="n">
        <v>860</v>
      </c>
      <c r="Q393" s="36" t="inlineStr">
        <is>
          <t>City</t>
        </is>
      </c>
      <c r="R393" s="36" t="n"/>
      <c r="S393" s="36">
        <f>COUNTIF('Page-Keyword Map'!$A$2:$A$675,B393)</f>
        <v/>
      </c>
      <c r="T393" s="37">
        <f>SUMIF('Page-Keyword Map'!$A$2:$A$675,B393,'Page-Keyword Map'!$H$2:$H$675)</f>
        <v/>
      </c>
      <c r="U393" s="36">
        <f>COUNTIFS('Page-Keyword Map'!$A$2:$A$675,B393,'Page-Keyword Map'!$E$2:$E$675,"Nationwide")</f>
        <v/>
      </c>
      <c r="V393" s="36">
        <f>COUNTIFS('Page-Keyword Map'!$A$2:$A$675,B393,'Page-Keyword Map'!$E$2:$E$675,"Provincial")</f>
        <v/>
      </c>
      <c r="W393" s="36">
        <f>COUNTIFS('Page-Keyword Map'!$A$2:$A$675,B393,'Page-Keyword Map'!$E$2:$E$675,"City")</f>
        <v/>
      </c>
      <c r="X393" s="36">
        <f>IF(O393="","",IF(ISNUMBER(SEARCH(O393,J393)),"Yes","No"))</f>
        <v/>
      </c>
      <c r="Y393" s="36" t="n">
        <v>0.7</v>
      </c>
      <c r="Z393" s="36" t="inlineStr">
        <is>
          <t>sitemap-cities.xml</t>
        </is>
      </c>
      <c r="AA393" s="36" t="inlineStr">
        <is>
          <t>Live – indexable</t>
        </is>
      </c>
      <c r="AB393" s="38" t="n"/>
      <c r="AC393" s="38" t="n"/>
    </row>
    <row r="394" ht="23.85" customHeight="1" s="22">
      <c r="A394" s="36" t="inlineStr">
        <is>
          <t>P0393</t>
        </is>
      </c>
      <c r="B394" s="36" t="inlineStr">
        <is>
          <t>https://instasure.ca/car-insurance/british-columbia/victoria/</t>
        </is>
      </c>
      <c r="C394" s="36" t="inlineStr">
        <is>
          <t>Product × city</t>
        </is>
      </c>
      <c r="D394" s="36" t="inlineStr">
        <is>
          <t>Car insurance</t>
        </is>
      </c>
      <c r="E394" s="36" t="inlineStr">
        <is>
          <t>Car Insurance</t>
        </is>
      </c>
      <c r="F394" s="36" t="n"/>
      <c r="G394" s="36" t="inlineStr">
        <is>
          <t>British Columbia</t>
        </is>
      </c>
      <c r="H394" s="36" t="inlineStr">
        <is>
          <t>Victoria</t>
        </is>
      </c>
      <c r="I394" s="36" t="inlineStr">
        <is>
          <t>Yes</t>
        </is>
      </c>
      <c r="J394" s="25" t="inlineStr">
        <is>
          <t>Car Insurance Victoria, BC: Compare Quotes &amp; Costs (2026)</t>
        </is>
      </c>
      <c r="K394" s="36">
        <f>LEN(J394)</f>
        <v/>
      </c>
      <c r="L394" s="25" t="inlineStr">
        <is>
          <t>Compare car insurance in Victoria, BC: instant estimate ($111–$172/mo example), local risk factors and advisors licensed in British Columbia.</t>
        </is>
      </c>
      <c r="M394" s="36">
        <f>LEN(L394)</f>
        <v/>
      </c>
      <c r="N394" s="25" t="inlineStr">
        <is>
          <t>Car Insurance in Victoria, BC</t>
        </is>
      </c>
      <c r="O394" s="36" t="inlineStr">
        <is>
          <t>car insurance victoria</t>
        </is>
      </c>
      <c r="P394" s="37" t="n">
        <v>130</v>
      </c>
      <c r="Q394" s="36" t="inlineStr">
        <is>
          <t>City</t>
        </is>
      </c>
      <c r="R394" s="36" t="n"/>
      <c r="S394" s="36">
        <f>COUNTIF('Page-Keyword Map'!$A$2:$A$675,B394)</f>
        <v/>
      </c>
      <c r="T394" s="37">
        <f>SUMIF('Page-Keyword Map'!$A$2:$A$675,B394,'Page-Keyword Map'!$H$2:$H$675)</f>
        <v/>
      </c>
      <c r="U394" s="36">
        <f>COUNTIFS('Page-Keyword Map'!$A$2:$A$675,B394,'Page-Keyword Map'!$E$2:$E$675,"Nationwide")</f>
        <v/>
      </c>
      <c r="V394" s="36">
        <f>COUNTIFS('Page-Keyword Map'!$A$2:$A$675,B394,'Page-Keyword Map'!$E$2:$E$675,"Provincial")</f>
        <v/>
      </c>
      <c r="W394" s="36">
        <f>COUNTIFS('Page-Keyword Map'!$A$2:$A$675,B394,'Page-Keyword Map'!$E$2:$E$675,"City")</f>
        <v/>
      </c>
      <c r="X394" s="36">
        <f>IF(O394="","",IF(ISNUMBER(SEARCH(O394,J394)),"Yes","No"))</f>
        <v/>
      </c>
      <c r="Y394" s="36" t="n">
        <v>0.7</v>
      </c>
      <c r="Z394" s="36" t="inlineStr">
        <is>
          <t>sitemap-cities.xml</t>
        </is>
      </c>
      <c r="AA394" s="36" t="inlineStr">
        <is>
          <t>Live – indexable</t>
        </is>
      </c>
      <c r="AB394" s="38" t="n"/>
      <c r="AC394" s="38" t="n"/>
    </row>
    <row r="395" ht="23.85" customHeight="1" s="22">
      <c r="A395" s="36" t="inlineStr">
        <is>
          <t>P0394</t>
        </is>
      </c>
      <c r="B395" s="36" t="inlineStr">
        <is>
          <t>https://instasure.ca/car-insurance/manitoba/brandon/</t>
        </is>
      </c>
      <c r="C395" s="36" t="inlineStr">
        <is>
          <t>Product × city</t>
        </is>
      </c>
      <c r="D395" s="36" t="inlineStr">
        <is>
          <t>Car insurance</t>
        </is>
      </c>
      <c r="E395" s="36" t="inlineStr">
        <is>
          <t>Car Insurance</t>
        </is>
      </c>
      <c r="F395" s="36" t="n"/>
      <c r="G395" s="36" t="inlineStr">
        <is>
          <t>Manitoba</t>
        </is>
      </c>
      <c r="H395" s="36" t="inlineStr">
        <is>
          <t>Brandon</t>
        </is>
      </c>
      <c r="I395" s="36" t="inlineStr">
        <is>
          <t>No</t>
        </is>
      </c>
      <c r="J395" s="25" t="inlineStr">
        <is>
          <t>Car Insurance Brandon, MB: Compare Quotes &amp; Costs (2026)</t>
        </is>
      </c>
      <c r="K395" s="36">
        <f>LEN(J395)</f>
        <v/>
      </c>
      <c r="L395" s="25" t="inlineStr">
        <is>
          <t>Compare car insurance in Brandon, MB: instant estimate ($81.00–$126/mo example), local risk factors and advisors licensed in Manitoba.</t>
        </is>
      </c>
      <c r="M395" s="36">
        <f>LEN(L395)</f>
        <v/>
      </c>
      <c r="N395" s="25" t="inlineStr">
        <is>
          <t>Car Insurance in Brandon, MB</t>
        </is>
      </c>
      <c r="O395" s="36" t="inlineStr">
        <is>
          <t>car insurance brandon</t>
        </is>
      </c>
      <c r="P395" s="37" t="n">
        <v>89</v>
      </c>
      <c r="Q395" s="36" t="inlineStr">
        <is>
          <t>City</t>
        </is>
      </c>
      <c r="R395" s="36" t="n"/>
      <c r="S395" s="36">
        <f>COUNTIF('Page-Keyword Map'!$A$2:$A$675,B395)</f>
        <v/>
      </c>
      <c r="T395" s="37">
        <f>SUMIF('Page-Keyword Map'!$A$2:$A$675,B395,'Page-Keyword Map'!$H$2:$H$675)</f>
        <v/>
      </c>
      <c r="U395" s="36">
        <f>COUNTIFS('Page-Keyword Map'!$A$2:$A$675,B395,'Page-Keyword Map'!$E$2:$E$675,"Nationwide")</f>
        <v/>
      </c>
      <c r="V395" s="36">
        <f>COUNTIFS('Page-Keyword Map'!$A$2:$A$675,B395,'Page-Keyword Map'!$E$2:$E$675,"Provincial")</f>
        <v/>
      </c>
      <c r="W395" s="36">
        <f>COUNTIFS('Page-Keyword Map'!$A$2:$A$675,B395,'Page-Keyword Map'!$E$2:$E$675,"City")</f>
        <v/>
      </c>
      <c r="X395" s="36">
        <f>IF(O395="","",IF(ISNUMBER(SEARCH(O395,J395)),"Yes","No"))</f>
        <v/>
      </c>
      <c r="Y395" s="36" t="n">
        <v>0.5</v>
      </c>
      <c r="Z395" s="36" t="inlineStr">
        <is>
          <t>(not listed: noindex)</t>
        </is>
      </c>
      <c r="AA395" s="36" t="inlineStr">
        <is>
          <t>Live – noindex (enrich before indexing)</t>
        </is>
      </c>
      <c r="AB395" s="38" t="n"/>
      <c r="AC395" s="38" t="n"/>
    </row>
    <row r="396" ht="23.85" customHeight="1" s="22">
      <c r="A396" s="36" t="inlineStr">
        <is>
          <t>P0395</t>
        </is>
      </c>
      <c r="B396" s="36" t="inlineStr">
        <is>
          <t>https://instasure.ca/car-insurance/manitoba/winnipeg/</t>
        </is>
      </c>
      <c r="C396" s="36" t="inlineStr">
        <is>
          <t>Product × city</t>
        </is>
      </c>
      <c r="D396" s="36" t="inlineStr">
        <is>
          <t>Car insurance</t>
        </is>
      </c>
      <c r="E396" s="36" t="inlineStr">
        <is>
          <t>Car Insurance</t>
        </is>
      </c>
      <c r="F396" s="36" t="n"/>
      <c r="G396" s="36" t="inlineStr">
        <is>
          <t>Manitoba</t>
        </is>
      </c>
      <c r="H396" s="36" t="inlineStr">
        <is>
          <t>Winnipeg</t>
        </is>
      </c>
      <c r="I396" s="36" t="inlineStr">
        <is>
          <t>Yes</t>
        </is>
      </c>
      <c r="J396" s="25" t="inlineStr">
        <is>
          <t>Car Insurance Winnipeg, MB: Compare Quotes &amp; Costs (2026)</t>
        </is>
      </c>
      <c r="K396" s="36">
        <f>LEN(J396)</f>
        <v/>
      </c>
      <c r="L396" s="25" t="inlineStr">
        <is>
          <t>Compare car insurance in Winnipeg, MB: instant estimate ($86.00–$133/mo example), local risk factors and advisors licensed in Manitoba.</t>
        </is>
      </c>
      <c r="M396" s="36">
        <f>LEN(L396)</f>
        <v/>
      </c>
      <c r="N396" s="25" t="inlineStr">
        <is>
          <t>Car Insurance in Winnipeg, MB</t>
        </is>
      </c>
      <c r="O396" s="36" t="inlineStr">
        <is>
          <t>car insurance winnipeg</t>
        </is>
      </c>
      <c r="P396" s="37" t="n">
        <v>820</v>
      </c>
      <c r="Q396" s="36" t="inlineStr">
        <is>
          <t>City</t>
        </is>
      </c>
      <c r="R396" s="36" t="n"/>
      <c r="S396" s="36">
        <f>COUNTIF('Page-Keyword Map'!$A$2:$A$675,B396)</f>
        <v/>
      </c>
      <c r="T396" s="37">
        <f>SUMIF('Page-Keyword Map'!$A$2:$A$675,B396,'Page-Keyword Map'!$H$2:$H$675)</f>
        <v/>
      </c>
      <c r="U396" s="36">
        <f>COUNTIFS('Page-Keyword Map'!$A$2:$A$675,B396,'Page-Keyword Map'!$E$2:$E$675,"Nationwide")</f>
        <v/>
      </c>
      <c r="V396" s="36">
        <f>COUNTIFS('Page-Keyword Map'!$A$2:$A$675,B396,'Page-Keyword Map'!$E$2:$E$675,"Provincial")</f>
        <v/>
      </c>
      <c r="W396" s="36">
        <f>COUNTIFS('Page-Keyword Map'!$A$2:$A$675,B396,'Page-Keyword Map'!$E$2:$E$675,"City")</f>
        <v/>
      </c>
      <c r="X396" s="36">
        <f>IF(O396="","",IF(ISNUMBER(SEARCH(O396,J396)),"Yes","No"))</f>
        <v/>
      </c>
      <c r="Y396" s="36" t="n">
        <v>0.7</v>
      </c>
      <c r="Z396" s="36" t="inlineStr">
        <is>
          <t>sitemap-cities.xml</t>
        </is>
      </c>
      <c r="AA396" s="36" t="inlineStr">
        <is>
          <t>Live – indexable</t>
        </is>
      </c>
      <c r="AB396" s="38" t="n"/>
      <c r="AC396" s="38" t="n"/>
    </row>
    <row r="397" ht="23.85" customHeight="1" s="22">
      <c r="A397" s="36" t="inlineStr">
        <is>
          <t>P0396</t>
        </is>
      </c>
      <c r="B397" s="36" t="inlineStr">
        <is>
          <t>https://instasure.ca/car-insurance/new-brunswick/fredericton/</t>
        </is>
      </c>
      <c r="C397" s="36" t="inlineStr">
        <is>
          <t>Product × city</t>
        </is>
      </c>
      <c r="D397" s="36" t="inlineStr">
        <is>
          <t>Car insurance</t>
        </is>
      </c>
      <c r="E397" s="36" t="inlineStr">
        <is>
          <t>Car Insurance</t>
        </is>
      </c>
      <c r="F397" s="36" t="n"/>
      <c r="G397" s="36" t="inlineStr">
        <is>
          <t>New Brunswick</t>
        </is>
      </c>
      <c r="H397" s="36" t="inlineStr">
        <is>
          <t>Fredericton</t>
        </is>
      </c>
      <c r="I397" s="36" t="inlineStr">
        <is>
          <t>Yes</t>
        </is>
      </c>
      <c r="J397" s="25" t="inlineStr">
        <is>
          <t>Car Insurance Fredericton, NB: Compare Quotes &amp; Costs (2026)</t>
        </is>
      </c>
      <c r="K397" s="36">
        <f>LEN(J397)</f>
        <v/>
      </c>
      <c r="L397" s="25" t="inlineStr">
        <is>
          <t>Compare car insurance in Fredericton, NB: instant estimate ($63.00–$98.00/mo example), local risk factors and advisors licensed in New Brunswick.</t>
        </is>
      </c>
      <c r="M397" s="36">
        <f>LEN(L397)</f>
        <v/>
      </c>
      <c r="N397" s="25" t="inlineStr">
        <is>
          <t>Car Insurance in Fredericton, NB</t>
        </is>
      </c>
      <c r="O397" s="36" t="inlineStr">
        <is>
          <t>car insurance fredericton</t>
        </is>
      </c>
      <c r="P397" s="37" t="n">
        <v>210</v>
      </c>
      <c r="Q397" s="36" t="inlineStr">
        <is>
          <t>City</t>
        </is>
      </c>
      <c r="R397" s="36" t="n"/>
      <c r="S397" s="36">
        <f>COUNTIF('Page-Keyword Map'!$A$2:$A$675,B397)</f>
        <v/>
      </c>
      <c r="T397" s="37">
        <f>SUMIF('Page-Keyword Map'!$A$2:$A$675,B397,'Page-Keyword Map'!$H$2:$H$675)</f>
        <v/>
      </c>
      <c r="U397" s="36">
        <f>COUNTIFS('Page-Keyword Map'!$A$2:$A$675,B397,'Page-Keyword Map'!$E$2:$E$675,"Nationwide")</f>
        <v/>
      </c>
      <c r="V397" s="36">
        <f>COUNTIFS('Page-Keyword Map'!$A$2:$A$675,B397,'Page-Keyword Map'!$E$2:$E$675,"Provincial")</f>
        <v/>
      </c>
      <c r="W397" s="36">
        <f>COUNTIFS('Page-Keyword Map'!$A$2:$A$675,B397,'Page-Keyword Map'!$E$2:$E$675,"City")</f>
        <v/>
      </c>
      <c r="X397" s="36">
        <f>IF(O397="","",IF(ISNUMBER(SEARCH(O397,J397)),"Yes","No"))</f>
        <v/>
      </c>
      <c r="Y397" s="36" t="n">
        <v>0.5</v>
      </c>
      <c r="Z397" s="36" t="inlineStr">
        <is>
          <t>sitemap-cities.xml</t>
        </is>
      </c>
      <c r="AA397" s="36" t="inlineStr">
        <is>
          <t>Live – indexable</t>
        </is>
      </c>
      <c r="AB397" s="38" t="n"/>
      <c r="AC397" s="38" t="n"/>
    </row>
    <row r="398" ht="23.85" customHeight="1" s="22">
      <c r="A398" s="36" t="inlineStr">
        <is>
          <t>P0397</t>
        </is>
      </c>
      <c r="B398" s="36" t="inlineStr">
        <is>
          <t>https://instasure.ca/car-insurance/new-brunswick/moncton/</t>
        </is>
      </c>
      <c r="C398" s="36" t="inlineStr">
        <is>
          <t>Product × city</t>
        </is>
      </c>
      <c r="D398" s="36" t="inlineStr">
        <is>
          <t>Car insurance</t>
        </is>
      </c>
      <c r="E398" s="36" t="inlineStr">
        <is>
          <t>Car Insurance</t>
        </is>
      </c>
      <c r="F398" s="36" t="n"/>
      <c r="G398" s="36" t="inlineStr">
        <is>
          <t>New Brunswick</t>
        </is>
      </c>
      <c r="H398" s="36" t="inlineStr">
        <is>
          <t>Moncton</t>
        </is>
      </c>
      <c r="I398" s="36" t="inlineStr">
        <is>
          <t>Yes</t>
        </is>
      </c>
      <c r="J398" s="25" t="inlineStr">
        <is>
          <t>Car Insurance Moncton, NB: Compare Quotes &amp; Costs (2026)</t>
        </is>
      </c>
      <c r="K398" s="36">
        <f>LEN(J398)</f>
        <v/>
      </c>
      <c r="L398" s="25" t="inlineStr">
        <is>
          <t>Compare car insurance in Moncton, NB: instant estimate ($67.00–$103/mo example), local risk factors and advisors licensed in New Brunswick.</t>
        </is>
      </c>
      <c r="M398" s="36">
        <f>LEN(L398)</f>
        <v/>
      </c>
      <c r="N398" s="25" t="inlineStr">
        <is>
          <t>Car Insurance in Moncton, NB</t>
        </is>
      </c>
      <c r="O398" s="36" t="inlineStr">
        <is>
          <t>car insurance moncton</t>
        </is>
      </c>
      <c r="P398" s="37" t="n">
        <v>270</v>
      </c>
      <c r="Q398" s="36" t="inlineStr">
        <is>
          <t>City</t>
        </is>
      </c>
      <c r="R398" s="36" t="n"/>
      <c r="S398" s="36">
        <f>COUNTIF('Page-Keyword Map'!$A$2:$A$675,B398)</f>
        <v/>
      </c>
      <c r="T398" s="37">
        <f>SUMIF('Page-Keyword Map'!$A$2:$A$675,B398,'Page-Keyword Map'!$H$2:$H$675)</f>
        <v/>
      </c>
      <c r="U398" s="36">
        <f>COUNTIFS('Page-Keyword Map'!$A$2:$A$675,B398,'Page-Keyword Map'!$E$2:$E$675,"Nationwide")</f>
        <v/>
      </c>
      <c r="V398" s="36">
        <f>COUNTIFS('Page-Keyword Map'!$A$2:$A$675,B398,'Page-Keyword Map'!$E$2:$E$675,"Provincial")</f>
        <v/>
      </c>
      <c r="W398" s="36">
        <f>COUNTIFS('Page-Keyword Map'!$A$2:$A$675,B398,'Page-Keyword Map'!$E$2:$E$675,"City")</f>
        <v/>
      </c>
      <c r="X398" s="36">
        <f>IF(O398="","",IF(ISNUMBER(SEARCH(O398,J398)),"Yes","No"))</f>
        <v/>
      </c>
      <c r="Y398" s="36" t="n">
        <v>0.5</v>
      </c>
      <c r="Z398" s="36" t="inlineStr">
        <is>
          <t>sitemap-cities.xml</t>
        </is>
      </c>
      <c r="AA398" s="36" t="inlineStr">
        <is>
          <t>Live – indexable</t>
        </is>
      </c>
      <c r="AB398" s="38" t="n"/>
      <c r="AC398" s="38" t="n"/>
    </row>
    <row r="399" ht="23.85" customHeight="1" s="22">
      <c r="A399" s="36" t="inlineStr">
        <is>
          <t>P0398</t>
        </is>
      </c>
      <c r="B399" s="36" t="inlineStr">
        <is>
          <t>https://instasure.ca/car-insurance/new-brunswick/saint-john/</t>
        </is>
      </c>
      <c r="C399" s="36" t="inlineStr">
        <is>
          <t>Product × city</t>
        </is>
      </c>
      <c r="D399" s="36" t="inlineStr">
        <is>
          <t>Car insurance</t>
        </is>
      </c>
      <c r="E399" s="36" t="inlineStr">
        <is>
          <t>Car Insurance</t>
        </is>
      </c>
      <c r="F399" s="36" t="n"/>
      <c r="G399" s="36" t="inlineStr">
        <is>
          <t>New Brunswick</t>
        </is>
      </c>
      <c r="H399" s="36" t="inlineStr">
        <is>
          <t>Saint John</t>
        </is>
      </c>
      <c r="I399" s="36" t="inlineStr">
        <is>
          <t>Yes</t>
        </is>
      </c>
      <c r="J399" s="25" t="inlineStr">
        <is>
          <t>Car Insurance Saint John, NB: Compare Quotes &amp; Costs (2026)</t>
        </is>
      </c>
      <c r="K399" s="36">
        <f>LEN(J399)</f>
        <v/>
      </c>
      <c r="L399" s="25" t="inlineStr">
        <is>
          <t>Compare car insurance in Saint John, NB: instant estimate ($67.00–$103/mo example), local risk factors and advisors licensed in New Brunswick.</t>
        </is>
      </c>
      <c r="M399" s="36">
        <f>LEN(L399)</f>
        <v/>
      </c>
      <c r="N399" s="25" t="inlineStr">
        <is>
          <t>Car Insurance in Saint John, NB</t>
        </is>
      </c>
      <c r="O399" s="36" t="inlineStr">
        <is>
          <t>car insurance saint john</t>
        </is>
      </c>
      <c r="P399" s="37" t="n">
        <v>250</v>
      </c>
      <c r="Q399" s="36" t="inlineStr">
        <is>
          <t>City</t>
        </is>
      </c>
      <c r="R399" s="36" t="n"/>
      <c r="S399" s="36">
        <f>COUNTIF('Page-Keyword Map'!$A$2:$A$675,B399)</f>
        <v/>
      </c>
      <c r="T399" s="37">
        <f>SUMIF('Page-Keyword Map'!$A$2:$A$675,B399,'Page-Keyword Map'!$H$2:$H$675)</f>
        <v/>
      </c>
      <c r="U399" s="36">
        <f>COUNTIFS('Page-Keyword Map'!$A$2:$A$675,B399,'Page-Keyword Map'!$E$2:$E$675,"Nationwide")</f>
        <v/>
      </c>
      <c r="V399" s="36">
        <f>COUNTIFS('Page-Keyword Map'!$A$2:$A$675,B399,'Page-Keyword Map'!$E$2:$E$675,"Provincial")</f>
        <v/>
      </c>
      <c r="W399" s="36">
        <f>COUNTIFS('Page-Keyword Map'!$A$2:$A$675,B399,'Page-Keyword Map'!$E$2:$E$675,"City")</f>
        <v/>
      </c>
      <c r="X399" s="36">
        <f>IF(O399="","",IF(ISNUMBER(SEARCH(O399,J399)),"Yes","No"))</f>
        <v/>
      </c>
      <c r="Y399" s="36" t="n">
        <v>0.5</v>
      </c>
      <c r="Z399" s="36" t="inlineStr">
        <is>
          <t>sitemap-cities.xml</t>
        </is>
      </c>
      <c r="AA399" s="36" t="inlineStr">
        <is>
          <t>Live – indexable</t>
        </is>
      </c>
      <c r="AB399" s="38" t="n"/>
      <c r="AC399" s="38" t="n"/>
    </row>
    <row r="400" ht="23.85" customHeight="1" s="22">
      <c r="A400" s="36" t="inlineStr">
        <is>
          <t>P0399</t>
        </is>
      </c>
      <c r="B400" s="36" t="inlineStr">
        <is>
          <t>https://instasure.ca/car-insurance/newfoundland-and-labrador/st-johns/</t>
        </is>
      </c>
      <c r="C400" s="36" t="inlineStr">
        <is>
          <t>Product × city</t>
        </is>
      </c>
      <c r="D400" s="36" t="inlineStr">
        <is>
          <t>Car insurance</t>
        </is>
      </c>
      <c r="E400" s="36" t="inlineStr">
        <is>
          <t>Car Insurance</t>
        </is>
      </c>
      <c r="F400" s="36" t="n"/>
      <c r="G400" s="36" t="inlineStr">
        <is>
          <t>Newfoundland and Labrador</t>
        </is>
      </c>
      <c r="H400" s="36" t="inlineStr">
        <is>
          <t>St. John’s</t>
        </is>
      </c>
      <c r="I400" s="36" t="inlineStr">
        <is>
          <t>Yes</t>
        </is>
      </c>
      <c r="J400" s="25" t="inlineStr">
        <is>
          <t>Car Insurance St. John’s, NL: Compare Quotes &amp; Costs (2026)</t>
        </is>
      </c>
      <c r="K400" s="36">
        <f>LEN(J400)</f>
        <v/>
      </c>
      <c r="L400" s="25" t="inlineStr">
        <is>
          <t>Compare car insurance in St. John’s, NL: instant estimate ($86.00–$133/mo example), local risk factors and advisors licensed in Newfoundland and Labrador.</t>
        </is>
      </c>
      <c r="M400" s="36">
        <f>LEN(L400)</f>
        <v/>
      </c>
      <c r="N400" s="25" t="inlineStr">
        <is>
          <t>Car Insurance in St. John’s, NL</t>
        </is>
      </c>
      <c r="O400" s="36" t="inlineStr">
        <is>
          <t>car insurance st johns</t>
        </is>
      </c>
      <c r="P400" s="37" t="n">
        <v>360</v>
      </c>
      <c r="Q400" s="36" t="inlineStr">
        <is>
          <t>City</t>
        </is>
      </c>
      <c r="R400" s="36" t="n"/>
      <c r="S400" s="36">
        <f>COUNTIF('Page-Keyword Map'!$A$2:$A$675,B400)</f>
        <v/>
      </c>
      <c r="T400" s="37">
        <f>SUMIF('Page-Keyword Map'!$A$2:$A$675,B400,'Page-Keyword Map'!$H$2:$H$675)</f>
        <v/>
      </c>
      <c r="U400" s="36">
        <f>COUNTIFS('Page-Keyword Map'!$A$2:$A$675,B400,'Page-Keyword Map'!$E$2:$E$675,"Nationwide")</f>
        <v/>
      </c>
      <c r="V400" s="36">
        <f>COUNTIFS('Page-Keyword Map'!$A$2:$A$675,B400,'Page-Keyword Map'!$E$2:$E$675,"Provincial")</f>
        <v/>
      </c>
      <c r="W400" s="36">
        <f>COUNTIFS('Page-Keyword Map'!$A$2:$A$675,B400,'Page-Keyword Map'!$E$2:$E$675,"City")</f>
        <v/>
      </c>
      <c r="X400" s="36">
        <f>IF(O400="","",IF(ISNUMBER(SEARCH(O400,J400)),"Yes","No"))</f>
        <v/>
      </c>
      <c r="Y400" s="36" t="n">
        <v>0.7</v>
      </c>
      <c r="Z400" s="36" t="inlineStr">
        <is>
          <t>sitemap-cities.xml</t>
        </is>
      </c>
      <c r="AA400" s="36" t="inlineStr">
        <is>
          <t>Live – indexable</t>
        </is>
      </c>
      <c r="AB400" s="38" t="n"/>
      <c r="AC400" s="38" t="n"/>
    </row>
    <row r="401" ht="23.85" customHeight="1" s="22">
      <c r="A401" s="36" t="inlineStr">
        <is>
          <t>P0400</t>
        </is>
      </c>
      <c r="B401" s="36" t="inlineStr">
        <is>
          <t>https://instasure.ca/car-insurance/northwest-territories/yellowknife/</t>
        </is>
      </c>
      <c r="C401" s="36" t="inlineStr">
        <is>
          <t>Product × city</t>
        </is>
      </c>
      <c r="D401" s="36" t="inlineStr">
        <is>
          <t>Car insurance</t>
        </is>
      </c>
      <c r="E401" s="36" t="inlineStr">
        <is>
          <t>Car Insurance</t>
        </is>
      </c>
      <c r="F401" s="36" t="n"/>
      <c r="G401" s="36" t="inlineStr">
        <is>
          <t>Northwest Territories</t>
        </is>
      </c>
      <c r="H401" s="36" t="inlineStr">
        <is>
          <t>Yellowknife</t>
        </is>
      </c>
      <c r="I401" s="36" t="inlineStr">
        <is>
          <t>No</t>
        </is>
      </c>
      <c r="J401" s="25" t="inlineStr">
        <is>
          <t>Car Insurance Yellowknife, NT: Compare Quotes &amp; Costs (2026)</t>
        </is>
      </c>
      <c r="K401" s="36">
        <f>LEN(J401)</f>
        <v/>
      </c>
      <c r="L401" s="25" t="inlineStr">
        <is>
          <t>Compare car insurance in Yellowknife, NT: instant estimate ($82.00–$128/mo example), local risk factors and a waitlist for licensed advice in Northwest Territories.</t>
        </is>
      </c>
      <c r="M401" s="36">
        <f>LEN(L401)</f>
        <v/>
      </c>
      <c r="N401" s="25" t="inlineStr">
        <is>
          <t>Car Insurance in Yellowknife, NT</t>
        </is>
      </c>
      <c r="O401" s="36" t="n"/>
      <c r="P401" s="37" t="n"/>
      <c r="Q401" s="36" t="n"/>
      <c r="R401" s="36" t="inlineStr">
        <is>
          <t>car insurance yellowknife</t>
        </is>
      </c>
      <c r="S401" s="36">
        <f>COUNTIF('Page-Keyword Map'!$A$2:$A$675,B401)</f>
        <v/>
      </c>
      <c r="T401" s="37">
        <f>SUMIF('Page-Keyword Map'!$A$2:$A$675,B401,'Page-Keyword Map'!$H$2:$H$675)</f>
        <v/>
      </c>
      <c r="U401" s="36">
        <f>COUNTIFS('Page-Keyword Map'!$A$2:$A$675,B401,'Page-Keyword Map'!$E$2:$E$675,"Nationwide")</f>
        <v/>
      </c>
      <c r="V401" s="36">
        <f>COUNTIFS('Page-Keyword Map'!$A$2:$A$675,B401,'Page-Keyword Map'!$E$2:$E$675,"Provincial")</f>
        <v/>
      </c>
      <c r="W401" s="36">
        <f>COUNTIFS('Page-Keyword Map'!$A$2:$A$675,B401,'Page-Keyword Map'!$E$2:$E$675,"City")</f>
        <v/>
      </c>
      <c r="X401" s="36">
        <f>IF(O401="","",IF(ISNUMBER(SEARCH(O401,J401)),"Yes","No"))</f>
        <v/>
      </c>
      <c r="Y401" s="36" t="n">
        <v>0.5</v>
      </c>
      <c r="Z401" s="36" t="inlineStr">
        <is>
          <t>(not listed: noindex)</t>
        </is>
      </c>
      <c r="AA401" s="36" t="inlineStr">
        <is>
          <t>Live – noindex (enrich before indexing)</t>
        </is>
      </c>
      <c r="AB401" s="38" t="n"/>
      <c r="AC401" s="38" t="n"/>
    </row>
    <row r="402" ht="23.85" customHeight="1" s="22">
      <c r="A402" s="36" t="inlineStr">
        <is>
          <t>P0401</t>
        </is>
      </c>
      <c r="B402" s="36" t="inlineStr">
        <is>
          <t>https://instasure.ca/car-insurance/nova-scotia/halifax/</t>
        </is>
      </c>
      <c r="C402" s="36" t="inlineStr">
        <is>
          <t>Product × city</t>
        </is>
      </c>
      <c r="D402" s="36" t="inlineStr">
        <is>
          <t>Car insurance</t>
        </is>
      </c>
      <c r="E402" s="36" t="inlineStr">
        <is>
          <t>Car Insurance</t>
        </is>
      </c>
      <c r="F402" s="36" t="n"/>
      <c r="G402" s="36" t="inlineStr">
        <is>
          <t>Nova Scotia</t>
        </is>
      </c>
      <c r="H402" s="36" t="inlineStr">
        <is>
          <t>Halifax</t>
        </is>
      </c>
      <c r="I402" s="36" t="inlineStr">
        <is>
          <t>Yes</t>
        </is>
      </c>
      <c r="J402" s="25" t="inlineStr">
        <is>
          <t>Car Insurance Halifax, NS: Compare Quotes &amp; Costs (2026)</t>
        </is>
      </c>
      <c r="K402" s="36">
        <f>LEN(J402)</f>
        <v/>
      </c>
      <c r="L402" s="25" t="inlineStr">
        <is>
          <t>Compare car insurance in Halifax, NS: instant estimate ($87.00–$135/mo example), local risk factors and advisors licensed in Nova Scotia.</t>
        </is>
      </c>
      <c r="M402" s="36">
        <f>LEN(L402)</f>
        <v/>
      </c>
      <c r="N402" s="25" t="inlineStr">
        <is>
          <t>Car Insurance in Halifax, NS</t>
        </is>
      </c>
      <c r="O402" s="36" t="inlineStr">
        <is>
          <t>car insurance halifax</t>
        </is>
      </c>
      <c r="P402" s="37" t="n">
        <v>1200</v>
      </c>
      <c r="Q402" s="36" t="inlineStr">
        <is>
          <t>City</t>
        </is>
      </c>
      <c r="R402" s="36" t="n"/>
      <c r="S402" s="36">
        <f>COUNTIF('Page-Keyword Map'!$A$2:$A$675,B402)</f>
        <v/>
      </c>
      <c r="T402" s="37">
        <f>SUMIF('Page-Keyword Map'!$A$2:$A$675,B402,'Page-Keyword Map'!$H$2:$H$675)</f>
        <v/>
      </c>
      <c r="U402" s="36">
        <f>COUNTIFS('Page-Keyword Map'!$A$2:$A$675,B402,'Page-Keyword Map'!$E$2:$E$675,"Nationwide")</f>
        <v/>
      </c>
      <c r="V402" s="36">
        <f>COUNTIFS('Page-Keyword Map'!$A$2:$A$675,B402,'Page-Keyword Map'!$E$2:$E$675,"Provincial")</f>
        <v/>
      </c>
      <c r="W402" s="36">
        <f>COUNTIFS('Page-Keyword Map'!$A$2:$A$675,B402,'Page-Keyword Map'!$E$2:$E$675,"City")</f>
        <v/>
      </c>
      <c r="X402" s="36">
        <f>IF(O402="","",IF(ISNUMBER(SEARCH(O402,J402)),"Yes","No"))</f>
        <v/>
      </c>
      <c r="Y402" s="36" t="n">
        <v>0.7</v>
      </c>
      <c r="Z402" s="36" t="inlineStr">
        <is>
          <t>sitemap-cities.xml</t>
        </is>
      </c>
      <c r="AA402" s="36" t="inlineStr">
        <is>
          <t>Live – indexable</t>
        </is>
      </c>
      <c r="AB402" s="38" t="n"/>
      <c r="AC402" s="38" t="n"/>
    </row>
    <row r="403" ht="23.85" customHeight="1" s="22">
      <c r="A403" s="36" t="inlineStr">
        <is>
          <t>P0402</t>
        </is>
      </c>
      <c r="B403" s="36" t="inlineStr">
        <is>
          <t>https://instasure.ca/car-insurance/ontario/ajax/</t>
        </is>
      </c>
      <c r="C403" s="36" t="inlineStr">
        <is>
          <t>Product × city</t>
        </is>
      </c>
      <c r="D403" s="36" t="inlineStr">
        <is>
          <t>Car insurance</t>
        </is>
      </c>
      <c r="E403" s="36" t="inlineStr">
        <is>
          <t>Car Insurance</t>
        </is>
      </c>
      <c r="F403" s="36" t="n"/>
      <c r="G403" s="36" t="inlineStr">
        <is>
          <t>Ontario</t>
        </is>
      </c>
      <c r="H403" s="36" t="inlineStr">
        <is>
          <t>Ajax</t>
        </is>
      </c>
      <c r="I403" s="36" t="inlineStr">
        <is>
          <t>No</t>
        </is>
      </c>
      <c r="J403" s="25" t="inlineStr">
        <is>
          <t>Car Insurance Ajax, ON: Compare Quotes &amp; Costs (2026)</t>
        </is>
      </c>
      <c r="K403" s="36">
        <f>LEN(J403)</f>
        <v/>
      </c>
      <c r="L403" s="25" t="inlineStr">
        <is>
          <t>Compare car insurance in Ajax, ON: instant estimate ($158–$244/mo example), local risk factors and advisors licensed in Ontario.</t>
        </is>
      </c>
      <c r="M403" s="36">
        <f>LEN(L403)</f>
        <v/>
      </c>
      <c r="N403" s="25" t="inlineStr">
        <is>
          <t>Car Insurance in Ajax, ON</t>
        </is>
      </c>
      <c r="O403" s="36" t="inlineStr">
        <is>
          <t>car insurance ajax</t>
        </is>
      </c>
      <c r="P403" s="37" t="n">
        <v>490</v>
      </c>
      <c r="Q403" s="36" t="inlineStr">
        <is>
          <t>City</t>
        </is>
      </c>
      <c r="R403" s="36" t="n"/>
      <c r="S403" s="36">
        <f>COUNTIF('Page-Keyword Map'!$A$2:$A$675,B403)</f>
        <v/>
      </c>
      <c r="T403" s="37">
        <f>SUMIF('Page-Keyword Map'!$A$2:$A$675,B403,'Page-Keyword Map'!$H$2:$H$675)</f>
        <v/>
      </c>
      <c r="U403" s="36">
        <f>COUNTIFS('Page-Keyword Map'!$A$2:$A$675,B403,'Page-Keyword Map'!$E$2:$E$675,"Nationwide")</f>
        <v/>
      </c>
      <c r="V403" s="36">
        <f>COUNTIFS('Page-Keyword Map'!$A$2:$A$675,B403,'Page-Keyword Map'!$E$2:$E$675,"Provincial")</f>
        <v/>
      </c>
      <c r="W403" s="36">
        <f>COUNTIFS('Page-Keyword Map'!$A$2:$A$675,B403,'Page-Keyword Map'!$E$2:$E$675,"City")</f>
        <v/>
      </c>
      <c r="X403" s="36">
        <f>IF(O403="","",IF(ISNUMBER(SEARCH(O403,J403)),"Yes","No"))</f>
        <v/>
      </c>
      <c r="Y403" s="36" t="n">
        <v>0.5</v>
      </c>
      <c r="Z403" s="36" t="inlineStr">
        <is>
          <t>(not listed: noindex)</t>
        </is>
      </c>
      <c r="AA403" s="36" t="inlineStr">
        <is>
          <t>Live – noindex (enrich before indexing)</t>
        </is>
      </c>
      <c r="AB403" s="38" t="n"/>
      <c r="AC403" s="38" t="n"/>
    </row>
    <row r="404" ht="23.85" customHeight="1" s="22">
      <c r="A404" s="36" t="inlineStr">
        <is>
          <t>P0403</t>
        </is>
      </c>
      <c r="B404" s="36" t="inlineStr">
        <is>
          <t>https://instasure.ca/car-insurance/ontario/barrie/</t>
        </is>
      </c>
      <c r="C404" s="36" t="inlineStr">
        <is>
          <t>Product × city</t>
        </is>
      </c>
      <c r="D404" s="36" t="inlineStr">
        <is>
          <t>Car insurance</t>
        </is>
      </c>
      <c r="E404" s="36" t="inlineStr">
        <is>
          <t>Car Insurance</t>
        </is>
      </c>
      <c r="F404" s="36" t="n"/>
      <c r="G404" s="36" t="inlineStr">
        <is>
          <t>Ontario</t>
        </is>
      </c>
      <c r="H404" s="36" t="inlineStr">
        <is>
          <t>Barrie</t>
        </is>
      </c>
      <c r="I404" s="36" t="inlineStr">
        <is>
          <t>Yes</t>
        </is>
      </c>
      <c r="J404" s="25" t="inlineStr">
        <is>
          <t>Car Insurance Barrie, ON: Compare Quotes &amp; Costs (2026)</t>
        </is>
      </c>
      <c r="K404" s="36">
        <f>LEN(J404)</f>
        <v/>
      </c>
      <c r="L404" s="25" t="inlineStr">
        <is>
          <t>Compare car insurance in Barrie, ON: instant estimate ($126–$195/mo example), local risk factors and advisors licensed in Ontario.</t>
        </is>
      </c>
      <c r="M404" s="36">
        <f>LEN(L404)</f>
        <v/>
      </c>
      <c r="N404" s="25" t="inlineStr">
        <is>
          <t>Car Insurance in Barrie, ON</t>
        </is>
      </c>
      <c r="O404" s="36" t="inlineStr">
        <is>
          <t>car insurance barrie</t>
        </is>
      </c>
      <c r="P404" s="37" t="n">
        <v>400</v>
      </c>
      <c r="Q404" s="36" t="inlineStr">
        <is>
          <t>City</t>
        </is>
      </c>
      <c r="R404" s="36" t="n"/>
      <c r="S404" s="36">
        <f>COUNTIF('Page-Keyword Map'!$A$2:$A$675,B404)</f>
        <v/>
      </c>
      <c r="T404" s="37">
        <f>SUMIF('Page-Keyword Map'!$A$2:$A$675,B404,'Page-Keyword Map'!$H$2:$H$675)</f>
        <v/>
      </c>
      <c r="U404" s="36">
        <f>COUNTIFS('Page-Keyword Map'!$A$2:$A$675,B404,'Page-Keyword Map'!$E$2:$E$675,"Nationwide")</f>
        <v/>
      </c>
      <c r="V404" s="36">
        <f>COUNTIFS('Page-Keyword Map'!$A$2:$A$675,B404,'Page-Keyword Map'!$E$2:$E$675,"Provincial")</f>
        <v/>
      </c>
      <c r="W404" s="36">
        <f>COUNTIFS('Page-Keyword Map'!$A$2:$A$675,B404,'Page-Keyword Map'!$E$2:$E$675,"City")</f>
        <v/>
      </c>
      <c r="X404" s="36">
        <f>IF(O404="","",IF(ISNUMBER(SEARCH(O404,J404)),"Yes","No"))</f>
        <v/>
      </c>
      <c r="Y404" s="36" t="n">
        <v>0.5</v>
      </c>
      <c r="Z404" s="36" t="inlineStr">
        <is>
          <t>sitemap-cities.xml</t>
        </is>
      </c>
      <c r="AA404" s="36" t="inlineStr">
        <is>
          <t>Live – indexable</t>
        </is>
      </c>
      <c r="AB404" s="38" t="n"/>
      <c r="AC404" s="38" t="n"/>
    </row>
    <row r="405" ht="23.85" customHeight="1" s="22">
      <c r="A405" s="36" t="inlineStr">
        <is>
          <t>P0404</t>
        </is>
      </c>
      <c r="B405" s="36" t="inlineStr">
        <is>
          <t>https://instasure.ca/car-insurance/ontario/brampton/</t>
        </is>
      </c>
      <c r="C405" s="36" t="inlineStr">
        <is>
          <t>Product × city</t>
        </is>
      </c>
      <c r="D405" s="36" t="inlineStr">
        <is>
          <t>Car insurance</t>
        </is>
      </c>
      <c r="E405" s="36" t="inlineStr">
        <is>
          <t>Car Insurance</t>
        </is>
      </c>
      <c r="F405" s="36" t="n"/>
      <c r="G405" s="36" t="inlineStr">
        <is>
          <t>Ontario</t>
        </is>
      </c>
      <c r="H405" s="36" t="inlineStr">
        <is>
          <t>Brampton</t>
        </is>
      </c>
      <c r="I405" s="36" t="inlineStr">
        <is>
          <t>Yes</t>
        </is>
      </c>
      <c r="J405" s="25" t="inlineStr">
        <is>
          <t>Car Insurance Brampton, ON: Compare Quotes &amp; Costs (2026)</t>
        </is>
      </c>
      <c r="K405" s="36">
        <f>LEN(J405)</f>
        <v/>
      </c>
      <c r="L405" s="25" t="inlineStr">
        <is>
          <t>Compare car insurance in Brampton, ON: instant estimate ($212–$329/mo example), local risk factors and advisors licensed in Ontario.</t>
        </is>
      </c>
      <c r="M405" s="36">
        <f>LEN(L405)</f>
        <v/>
      </c>
      <c r="N405" s="25" t="inlineStr">
        <is>
          <t>Car Insurance in Brampton, ON</t>
        </is>
      </c>
      <c r="O405" s="36" t="inlineStr">
        <is>
          <t>car insurance brampton</t>
        </is>
      </c>
      <c r="P405" s="37" t="n">
        <v>2900</v>
      </c>
      <c r="Q405" s="36" t="inlineStr">
        <is>
          <t>City</t>
        </is>
      </c>
      <c r="R405" s="36" t="n"/>
      <c r="S405" s="36">
        <f>COUNTIF('Page-Keyword Map'!$A$2:$A$675,B405)</f>
        <v/>
      </c>
      <c r="T405" s="37">
        <f>SUMIF('Page-Keyword Map'!$A$2:$A$675,B405,'Page-Keyword Map'!$H$2:$H$675)</f>
        <v/>
      </c>
      <c r="U405" s="36">
        <f>COUNTIFS('Page-Keyword Map'!$A$2:$A$675,B405,'Page-Keyword Map'!$E$2:$E$675,"Nationwide")</f>
        <v/>
      </c>
      <c r="V405" s="36">
        <f>COUNTIFS('Page-Keyword Map'!$A$2:$A$675,B405,'Page-Keyword Map'!$E$2:$E$675,"Provincial")</f>
        <v/>
      </c>
      <c r="W405" s="36">
        <f>COUNTIFS('Page-Keyword Map'!$A$2:$A$675,B405,'Page-Keyword Map'!$E$2:$E$675,"City")</f>
        <v/>
      </c>
      <c r="X405" s="36">
        <f>IF(O405="","",IF(ISNUMBER(SEARCH(O405,J405)),"Yes","No"))</f>
        <v/>
      </c>
      <c r="Y405" s="36" t="n">
        <v>0.7</v>
      </c>
      <c r="Z405" s="36" t="inlineStr">
        <is>
          <t>sitemap-cities.xml</t>
        </is>
      </c>
      <c r="AA405" s="36" t="inlineStr">
        <is>
          <t>Live – indexable</t>
        </is>
      </c>
      <c r="AB405" s="38" t="n"/>
      <c r="AC405" s="38" t="n"/>
    </row>
    <row r="406" ht="23.85" customHeight="1" s="22">
      <c r="A406" s="36" t="inlineStr">
        <is>
          <t>P0405</t>
        </is>
      </c>
      <c r="B406" s="36" t="inlineStr">
        <is>
          <t>https://instasure.ca/car-insurance/ontario/burlington/</t>
        </is>
      </c>
      <c r="C406" s="36" t="inlineStr">
        <is>
          <t>Product × city</t>
        </is>
      </c>
      <c r="D406" s="36" t="inlineStr">
        <is>
          <t>Car insurance</t>
        </is>
      </c>
      <c r="E406" s="36" t="inlineStr">
        <is>
          <t>Car Insurance</t>
        </is>
      </c>
      <c r="F406" s="36" t="n"/>
      <c r="G406" s="36" t="inlineStr">
        <is>
          <t>Ontario</t>
        </is>
      </c>
      <c r="H406" s="36" t="inlineStr">
        <is>
          <t>Burlington</t>
        </is>
      </c>
      <c r="I406" s="36" t="inlineStr">
        <is>
          <t>Yes</t>
        </is>
      </c>
      <c r="J406" s="25" t="inlineStr">
        <is>
          <t>Car Insurance Burlington, ON: Compare Quotes &amp; Costs (2026)</t>
        </is>
      </c>
      <c r="K406" s="36">
        <f>LEN(J406)</f>
        <v/>
      </c>
      <c r="L406" s="25" t="inlineStr">
        <is>
          <t>Compare car insurance in Burlington, ON: instant estimate ($130–$202/mo example), local risk factors and advisors licensed in Ontario.</t>
        </is>
      </c>
      <c r="M406" s="36">
        <f>LEN(L406)</f>
        <v/>
      </c>
      <c r="N406" s="25" t="inlineStr">
        <is>
          <t>Car Insurance in Burlington, ON</t>
        </is>
      </c>
      <c r="O406" s="36" t="inlineStr">
        <is>
          <t>car insurance burlington</t>
        </is>
      </c>
      <c r="P406" s="37" t="n">
        <v>500</v>
      </c>
      <c r="Q406" s="36" t="inlineStr">
        <is>
          <t>City</t>
        </is>
      </c>
      <c r="R406" s="36" t="n"/>
      <c r="S406" s="36">
        <f>COUNTIF('Page-Keyword Map'!$A$2:$A$675,B406)</f>
        <v/>
      </c>
      <c r="T406" s="37">
        <f>SUMIF('Page-Keyword Map'!$A$2:$A$675,B406,'Page-Keyword Map'!$H$2:$H$675)</f>
        <v/>
      </c>
      <c r="U406" s="36">
        <f>COUNTIFS('Page-Keyword Map'!$A$2:$A$675,B406,'Page-Keyword Map'!$E$2:$E$675,"Nationwide")</f>
        <v/>
      </c>
      <c r="V406" s="36">
        <f>COUNTIFS('Page-Keyword Map'!$A$2:$A$675,B406,'Page-Keyword Map'!$E$2:$E$675,"Provincial")</f>
        <v/>
      </c>
      <c r="W406" s="36">
        <f>COUNTIFS('Page-Keyword Map'!$A$2:$A$675,B406,'Page-Keyword Map'!$E$2:$E$675,"City")</f>
        <v/>
      </c>
      <c r="X406" s="36">
        <f>IF(O406="","",IF(ISNUMBER(SEARCH(O406,J406)),"Yes","No"))</f>
        <v/>
      </c>
      <c r="Y406" s="36" t="n">
        <v>0.5</v>
      </c>
      <c r="Z406" s="36" t="inlineStr">
        <is>
          <t>sitemap-cities.xml</t>
        </is>
      </c>
      <c r="AA406" s="36" t="inlineStr">
        <is>
          <t>Live – indexable</t>
        </is>
      </c>
      <c r="AB406" s="38" t="n"/>
      <c r="AC406" s="38" t="n"/>
    </row>
    <row r="407" ht="23.85" customHeight="1" s="22">
      <c r="A407" s="36" t="inlineStr">
        <is>
          <t>P0406</t>
        </is>
      </c>
      <c r="B407" s="36" t="inlineStr">
        <is>
          <t>https://instasure.ca/car-insurance/ontario/cambridge/</t>
        </is>
      </c>
      <c r="C407" s="36" t="inlineStr">
        <is>
          <t>Product × city</t>
        </is>
      </c>
      <c r="D407" s="36" t="inlineStr">
        <is>
          <t>Car insurance</t>
        </is>
      </c>
      <c r="E407" s="36" t="inlineStr">
        <is>
          <t>Car Insurance</t>
        </is>
      </c>
      <c r="F407" s="36" t="n"/>
      <c r="G407" s="36" t="inlineStr">
        <is>
          <t>Ontario</t>
        </is>
      </c>
      <c r="H407" s="36" t="inlineStr">
        <is>
          <t>Cambridge</t>
        </is>
      </c>
      <c r="I407" s="36" t="inlineStr">
        <is>
          <t>No</t>
        </is>
      </c>
      <c r="J407" s="25" t="inlineStr">
        <is>
          <t>Car Insurance Cambridge, ON: Compare Quotes &amp; Costs (2026)</t>
        </is>
      </c>
      <c r="K407" s="36">
        <f>LEN(J407)</f>
        <v/>
      </c>
      <c r="L407" s="25" t="inlineStr">
        <is>
          <t>Compare car insurance in Cambridge, ON: instant estimate ($118–$183/mo example), local risk factors and advisors licensed in Ontario.</t>
        </is>
      </c>
      <c r="M407" s="36">
        <f>LEN(L407)</f>
        <v/>
      </c>
      <c r="N407" s="25" t="inlineStr">
        <is>
          <t>Car Insurance in Cambridge, ON</t>
        </is>
      </c>
      <c r="O407" s="36" t="inlineStr">
        <is>
          <t>car insurance cambridge</t>
        </is>
      </c>
      <c r="P407" s="37" t="n">
        <v>340</v>
      </c>
      <c r="Q407" s="36" t="inlineStr">
        <is>
          <t>City</t>
        </is>
      </c>
      <c r="R407" s="36" t="n"/>
      <c r="S407" s="36">
        <f>COUNTIF('Page-Keyword Map'!$A$2:$A$675,B407)</f>
        <v/>
      </c>
      <c r="T407" s="37">
        <f>SUMIF('Page-Keyword Map'!$A$2:$A$675,B407,'Page-Keyword Map'!$H$2:$H$675)</f>
        <v/>
      </c>
      <c r="U407" s="36">
        <f>COUNTIFS('Page-Keyword Map'!$A$2:$A$675,B407,'Page-Keyword Map'!$E$2:$E$675,"Nationwide")</f>
        <v/>
      </c>
      <c r="V407" s="36">
        <f>COUNTIFS('Page-Keyword Map'!$A$2:$A$675,B407,'Page-Keyword Map'!$E$2:$E$675,"Provincial")</f>
        <v/>
      </c>
      <c r="W407" s="36">
        <f>COUNTIFS('Page-Keyword Map'!$A$2:$A$675,B407,'Page-Keyword Map'!$E$2:$E$675,"City")</f>
        <v/>
      </c>
      <c r="X407" s="36">
        <f>IF(O407="","",IF(ISNUMBER(SEARCH(O407,J407)),"Yes","No"))</f>
        <v/>
      </c>
      <c r="Y407" s="36" t="n">
        <v>0.5</v>
      </c>
      <c r="Z407" s="36" t="inlineStr">
        <is>
          <t>(not listed: noindex)</t>
        </is>
      </c>
      <c r="AA407" s="36" t="inlineStr">
        <is>
          <t>Live – noindex (enrich before indexing)</t>
        </is>
      </c>
      <c r="AB407" s="38" t="n"/>
      <c r="AC407" s="38" t="n"/>
    </row>
    <row r="408" ht="23.85" customHeight="1" s="22">
      <c r="A408" s="36" t="inlineStr">
        <is>
          <t>P0407</t>
        </is>
      </c>
      <c r="B408" s="36" t="inlineStr">
        <is>
          <t>https://instasure.ca/car-insurance/ontario/guelph/</t>
        </is>
      </c>
      <c r="C408" s="36" t="inlineStr">
        <is>
          <t>Product × city</t>
        </is>
      </c>
      <c r="D408" s="36" t="inlineStr">
        <is>
          <t>Car insurance</t>
        </is>
      </c>
      <c r="E408" s="36" t="inlineStr">
        <is>
          <t>Car Insurance</t>
        </is>
      </c>
      <c r="F408" s="36" t="n"/>
      <c r="G408" s="36" t="inlineStr">
        <is>
          <t>Ontario</t>
        </is>
      </c>
      <c r="H408" s="36" t="inlineStr">
        <is>
          <t>Guelph</t>
        </is>
      </c>
      <c r="I408" s="36" t="inlineStr">
        <is>
          <t>Yes</t>
        </is>
      </c>
      <c r="J408" s="25" t="inlineStr">
        <is>
          <t>Car Insurance Guelph, ON: Compare Quotes &amp; Costs (2026)</t>
        </is>
      </c>
      <c r="K408" s="36">
        <f>LEN(J408)</f>
        <v/>
      </c>
      <c r="L408" s="25" t="inlineStr">
        <is>
          <t>Compare car insurance in Guelph, ON: instant estimate ($112–$174/mo example), local risk factors and advisors licensed in Ontario.</t>
        </is>
      </c>
      <c r="M408" s="36">
        <f>LEN(L408)</f>
        <v/>
      </c>
      <c r="N408" s="25" t="inlineStr">
        <is>
          <t>Car Insurance in Guelph, ON</t>
        </is>
      </c>
      <c r="O408" s="36" t="inlineStr">
        <is>
          <t>car insurance guelph</t>
        </is>
      </c>
      <c r="P408" s="37" t="n">
        <v>330</v>
      </c>
      <c r="Q408" s="36" t="inlineStr">
        <is>
          <t>City</t>
        </is>
      </c>
      <c r="R408" s="36" t="n"/>
      <c r="S408" s="36">
        <f>COUNTIF('Page-Keyword Map'!$A$2:$A$675,B408)</f>
        <v/>
      </c>
      <c r="T408" s="37">
        <f>SUMIF('Page-Keyword Map'!$A$2:$A$675,B408,'Page-Keyword Map'!$H$2:$H$675)</f>
        <v/>
      </c>
      <c r="U408" s="36">
        <f>COUNTIFS('Page-Keyword Map'!$A$2:$A$675,B408,'Page-Keyword Map'!$E$2:$E$675,"Nationwide")</f>
        <v/>
      </c>
      <c r="V408" s="36">
        <f>COUNTIFS('Page-Keyword Map'!$A$2:$A$675,B408,'Page-Keyword Map'!$E$2:$E$675,"Provincial")</f>
        <v/>
      </c>
      <c r="W408" s="36">
        <f>COUNTIFS('Page-Keyword Map'!$A$2:$A$675,B408,'Page-Keyword Map'!$E$2:$E$675,"City")</f>
        <v/>
      </c>
      <c r="X408" s="36">
        <f>IF(O408="","",IF(ISNUMBER(SEARCH(O408,J408)),"Yes","No"))</f>
        <v/>
      </c>
      <c r="Y408" s="36" t="n">
        <v>0.5</v>
      </c>
      <c r="Z408" s="36" t="inlineStr">
        <is>
          <t>sitemap-cities.xml</t>
        </is>
      </c>
      <c r="AA408" s="36" t="inlineStr">
        <is>
          <t>Live – indexable</t>
        </is>
      </c>
      <c r="AB408" s="38" t="n"/>
      <c r="AC408" s="38" t="n"/>
    </row>
    <row r="409" ht="23.85" customHeight="1" s="22">
      <c r="A409" s="36" t="inlineStr">
        <is>
          <t>P0408</t>
        </is>
      </c>
      <c r="B409" s="36" t="inlineStr">
        <is>
          <t>https://instasure.ca/car-insurance/ontario/hamilton/</t>
        </is>
      </c>
      <c r="C409" s="36" t="inlineStr">
        <is>
          <t>Product × city</t>
        </is>
      </c>
      <c r="D409" s="36" t="inlineStr">
        <is>
          <t>Car insurance</t>
        </is>
      </c>
      <c r="E409" s="36" t="inlineStr">
        <is>
          <t>Car Insurance</t>
        </is>
      </c>
      <c r="F409" s="36" t="n"/>
      <c r="G409" s="36" t="inlineStr">
        <is>
          <t>Ontario</t>
        </is>
      </c>
      <c r="H409" s="36" t="inlineStr">
        <is>
          <t>Hamilton</t>
        </is>
      </c>
      <c r="I409" s="36" t="inlineStr">
        <is>
          <t>Yes</t>
        </is>
      </c>
      <c r="J409" s="25" t="inlineStr">
        <is>
          <t>Car Insurance Hamilton, ON: Compare Quotes &amp; Costs (2026)</t>
        </is>
      </c>
      <c r="K409" s="36">
        <f>LEN(J409)</f>
        <v/>
      </c>
      <c r="L409" s="25" t="inlineStr">
        <is>
          <t>Compare car insurance in Hamilton, ON: instant estimate ($148–$229/mo example), local risk factors and advisors licensed in Ontario.</t>
        </is>
      </c>
      <c r="M409" s="36">
        <f>LEN(L409)</f>
        <v/>
      </c>
      <c r="N409" s="25" t="inlineStr">
        <is>
          <t>Car Insurance in Hamilton, ON</t>
        </is>
      </c>
      <c r="O409" s="36" t="inlineStr">
        <is>
          <t>car insurance hamilton</t>
        </is>
      </c>
      <c r="P409" s="37" t="n">
        <v>1500</v>
      </c>
      <c r="Q409" s="36" t="inlineStr">
        <is>
          <t>City</t>
        </is>
      </c>
      <c r="R409" s="36" t="n"/>
      <c r="S409" s="36">
        <f>COUNTIF('Page-Keyword Map'!$A$2:$A$675,B409)</f>
        <v/>
      </c>
      <c r="T409" s="37">
        <f>SUMIF('Page-Keyword Map'!$A$2:$A$675,B409,'Page-Keyword Map'!$H$2:$H$675)</f>
        <v/>
      </c>
      <c r="U409" s="36">
        <f>COUNTIFS('Page-Keyword Map'!$A$2:$A$675,B409,'Page-Keyword Map'!$E$2:$E$675,"Nationwide")</f>
        <v/>
      </c>
      <c r="V409" s="36">
        <f>COUNTIFS('Page-Keyword Map'!$A$2:$A$675,B409,'Page-Keyword Map'!$E$2:$E$675,"Provincial")</f>
        <v/>
      </c>
      <c r="W409" s="36">
        <f>COUNTIFS('Page-Keyword Map'!$A$2:$A$675,B409,'Page-Keyword Map'!$E$2:$E$675,"City")</f>
        <v/>
      </c>
      <c r="X409" s="36">
        <f>IF(O409="","",IF(ISNUMBER(SEARCH(O409,J409)),"Yes","No"))</f>
        <v/>
      </c>
      <c r="Y409" s="36" t="n">
        <v>0.7</v>
      </c>
      <c r="Z409" s="36" t="inlineStr">
        <is>
          <t>sitemap-cities.xml</t>
        </is>
      </c>
      <c r="AA409" s="36" t="inlineStr">
        <is>
          <t>Live – indexable</t>
        </is>
      </c>
      <c r="AB409" s="38" t="n"/>
      <c r="AC409" s="38" t="n"/>
    </row>
    <row r="410" ht="23.85" customHeight="1" s="22">
      <c r="A410" s="36" t="inlineStr">
        <is>
          <t>P0409</t>
        </is>
      </c>
      <c r="B410" s="36" t="inlineStr">
        <is>
          <t>https://instasure.ca/car-insurance/ontario/kingston/</t>
        </is>
      </c>
      <c r="C410" s="36" t="inlineStr">
        <is>
          <t>Product × city</t>
        </is>
      </c>
      <c r="D410" s="36" t="inlineStr">
        <is>
          <t>Car insurance</t>
        </is>
      </c>
      <c r="E410" s="36" t="inlineStr">
        <is>
          <t>Car Insurance</t>
        </is>
      </c>
      <c r="F410" s="36" t="n"/>
      <c r="G410" s="36" t="inlineStr">
        <is>
          <t>Ontario</t>
        </is>
      </c>
      <c r="H410" s="36" t="inlineStr">
        <is>
          <t>Kingston</t>
        </is>
      </c>
      <c r="I410" s="36" t="inlineStr">
        <is>
          <t>Yes</t>
        </is>
      </c>
      <c r="J410" s="25" t="inlineStr">
        <is>
          <t>Car Insurance Kingston, ON: Compare Quotes &amp; Costs (2026)</t>
        </is>
      </c>
      <c r="K410" s="36">
        <f>LEN(J410)</f>
        <v/>
      </c>
      <c r="L410" s="25" t="inlineStr">
        <is>
          <t>Compare car insurance in Kingston, ON: instant estimate ($107–$166/mo example), local risk factors and advisors licensed in Ontario.</t>
        </is>
      </c>
      <c r="M410" s="36">
        <f>LEN(L410)</f>
        <v/>
      </c>
      <c r="N410" s="25" t="inlineStr">
        <is>
          <t>Car Insurance in Kingston, ON</t>
        </is>
      </c>
      <c r="O410" s="36" t="inlineStr">
        <is>
          <t>car insurance kingston</t>
        </is>
      </c>
      <c r="P410" s="37" t="n">
        <v>280</v>
      </c>
      <c r="Q410" s="36" t="inlineStr">
        <is>
          <t>City</t>
        </is>
      </c>
      <c r="R410" s="36" t="n"/>
      <c r="S410" s="36">
        <f>COUNTIF('Page-Keyword Map'!$A$2:$A$675,B410)</f>
        <v/>
      </c>
      <c r="T410" s="37">
        <f>SUMIF('Page-Keyword Map'!$A$2:$A$675,B410,'Page-Keyword Map'!$H$2:$H$675)</f>
        <v/>
      </c>
      <c r="U410" s="36">
        <f>COUNTIFS('Page-Keyword Map'!$A$2:$A$675,B410,'Page-Keyword Map'!$E$2:$E$675,"Nationwide")</f>
        <v/>
      </c>
      <c r="V410" s="36">
        <f>COUNTIFS('Page-Keyword Map'!$A$2:$A$675,B410,'Page-Keyword Map'!$E$2:$E$675,"Provincial")</f>
        <v/>
      </c>
      <c r="W410" s="36">
        <f>COUNTIFS('Page-Keyword Map'!$A$2:$A$675,B410,'Page-Keyword Map'!$E$2:$E$675,"City")</f>
        <v/>
      </c>
      <c r="X410" s="36">
        <f>IF(O410="","",IF(ISNUMBER(SEARCH(O410,J410)),"Yes","No"))</f>
        <v/>
      </c>
      <c r="Y410" s="36" t="n">
        <v>0.5</v>
      </c>
      <c r="Z410" s="36" t="inlineStr">
        <is>
          <t>sitemap-cities.xml</t>
        </is>
      </c>
      <c r="AA410" s="36" t="inlineStr">
        <is>
          <t>Live – indexable</t>
        </is>
      </c>
      <c r="AB410" s="38" t="n"/>
      <c r="AC410" s="38" t="n"/>
    </row>
    <row r="411" ht="23.85" customHeight="1" s="22">
      <c r="A411" s="36" t="inlineStr">
        <is>
          <t>P0410</t>
        </is>
      </c>
      <c r="B411" s="36" t="inlineStr">
        <is>
          <t>https://instasure.ca/car-insurance/ontario/kitchener/</t>
        </is>
      </c>
      <c r="C411" s="36" t="inlineStr">
        <is>
          <t>Product × city</t>
        </is>
      </c>
      <c r="D411" s="36" t="inlineStr">
        <is>
          <t>Car insurance</t>
        </is>
      </c>
      <c r="E411" s="36" t="inlineStr">
        <is>
          <t>Car Insurance</t>
        </is>
      </c>
      <c r="F411" s="36" t="n"/>
      <c r="G411" s="36" t="inlineStr">
        <is>
          <t>Ontario</t>
        </is>
      </c>
      <c r="H411" s="36" t="inlineStr">
        <is>
          <t>Kitchener</t>
        </is>
      </c>
      <c r="I411" s="36" t="inlineStr">
        <is>
          <t>Yes</t>
        </is>
      </c>
      <c r="J411" s="25" t="inlineStr">
        <is>
          <t>Car Insurance Kitchener, ON: Compare Quotes &amp; Costs (2026)</t>
        </is>
      </c>
      <c r="K411" s="36">
        <f>LEN(J411)</f>
        <v/>
      </c>
      <c r="L411" s="25" t="inlineStr">
        <is>
          <t>Compare car insurance in Kitchener, ON: instant estimate ($118–$183/mo example), local risk factors and advisors licensed in Ontario.</t>
        </is>
      </c>
      <c r="M411" s="36">
        <f>LEN(L411)</f>
        <v/>
      </c>
      <c r="N411" s="25" t="inlineStr">
        <is>
          <t>Car Insurance in Kitchener, ON</t>
        </is>
      </c>
      <c r="O411" s="36" t="inlineStr">
        <is>
          <t>car insurance kitchener</t>
        </is>
      </c>
      <c r="P411" s="37" t="n">
        <v>560</v>
      </c>
      <c r="Q411" s="36" t="inlineStr">
        <is>
          <t>City</t>
        </is>
      </c>
      <c r="R411" s="36" t="n"/>
      <c r="S411" s="36">
        <f>COUNTIF('Page-Keyword Map'!$A$2:$A$675,B411)</f>
        <v/>
      </c>
      <c r="T411" s="37">
        <f>SUMIF('Page-Keyword Map'!$A$2:$A$675,B411,'Page-Keyword Map'!$H$2:$H$675)</f>
        <v/>
      </c>
      <c r="U411" s="36">
        <f>COUNTIFS('Page-Keyword Map'!$A$2:$A$675,B411,'Page-Keyword Map'!$E$2:$E$675,"Nationwide")</f>
        <v/>
      </c>
      <c r="V411" s="36">
        <f>COUNTIFS('Page-Keyword Map'!$A$2:$A$675,B411,'Page-Keyword Map'!$E$2:$E$675,"Provincial")</f>
        <v/>
      </c>
      <c r="W411" s="36">
        <f>COUNTIFS('Page-Keyword Map'!$A$2:$A$675,B411,'Page-Keyword Map'!$E$2:$E$675,"City")</f>
        <v/>
      </c>
      <c r="X411" s="36">
        <f>IF(O411="","",IF(ISNUMBER(SEARCH(O411,J411)),"Yes","No"))</f>
        <v/>
      </c>
      <c r="Y411" s="36" t="n">
        <v>0.7</v>
      </c>
      <c r="Z411" s="36" t="inlineStr">
        <is>
          <t>sitemap-cities.xml</t>
        </is>
      </c>
      <c r="AA411" s="36" t="inlineStr">
        <is>
          <t>Live – indexable</t>
        </is>
      </c>
      <c r="AB411" s="38" t="n"/>
      <c r="AC411" s="38" t="n"/>
    </row>
    <row r="412" ht="23.85" customHeight="1" s="22">
      <c r="A412" s="36" t="inlineStr">
        <is>
          <t>P0411</t>
        </is>
      </c>
      <c r="B412" s="36" t="inlineStr">
        <is>
          <t>https://instasure.ca/car-insurance/ontario/london/</t>
        </is>
      </c>
      <c r="C412" s="36" t="inlineStr">
        <is>
          <t>Product × city</t>
        </is>
      </c>
      <c r="D412" s="36" t="inlineStr">
        <is>
          <t>Car insurance</t>
        </is>
      </c>
      <c r="E412" s="36" t="inlineStr">
        <is>
          <t>Car Insurance</t>
        </is>
      </c>
      <c r="F412" s="36" t="n"/>
      <c r="G412" s="36" t="inlineStr">
        <is>
          <t>Ontario</t>
        </is>
      </c>
      <c r="H412" s="36" t="inlineStr">
        <is>
          <t>London</t>
        </is>
      </c>
      <c r="I412" s="36" t="inlineStr">
        <is>
          <t>Yes</t>
        </is>
      </c>
      <c r="J412" s="25" t="inlineStr">
        <is>
          <t>Car Insurance London, ON: Compare Quotes &amp; Costs (2026)</t>
        </is>
      </c>
      <c r="K412" s="36">
        <f>LEN(J412)</f>
        <v/>
      </c>
      <c r="L412" s="25" t="inlineStr">
        <is>
          <t>Compare car insurance in London, ON: instant estimate ($118–$183/mo example), local risk factors and advisors licensed in Ontario.</t>
        </is>
      </c>
      <c r="M412" s="36">
        <f>LEN(L412)</f>
        <v/>
      </c>
      <c r="N412" s="25" t="inlineStr">
        <is>
          <t>Car Insurance in London, ON</t>
        </is>
      </c>
      <c r="O412" s="36" t="inlineStr">
        <is>
          <t>car insurance london ontario</t>
        </is>
      </c>
      <c r="P412" s="37" t="n">
        <v>830</v>
      </c>
      <c r="Q412" s="36" t="inlineStr">
        <is>
          <t>City</t>
        </is>
      </c>
      <c r="R412" s="36" t="n"/>
      <c r="S412" s="36">
        <f>COUNTIF('Page-Keyword Map'!$A$2:$A$675,B412)</f>
        <v/>
      </c>
      <c r="T412" s="37">
        <f>SUMIF('Page-Keyword Map'!$A$2:$A$675,B412,'Page-Keyword Map'!$H$2:$H$675)</f>
        <v/>
      </c>
      <c r="U412" s="36">
        <f>COUNTIFS('Page-Keyword Map'!$A$2:$A$675,B412,'Page-Keyword Map'!$E$2:$E$675,"Nationwide")</f>
        <v/>
      </c>
      <c r="V412" s="36">
        <f>COUNTIFS('Page-Keyword Map'!$A$2:$A$675,B412,'Page-Keyword Map'!$E$2:$E$675,"Provincial")</f>
        <v/>
      </c>
      <c r="W412" s="36">
        <f>COUNTIFS('Page-Keyword Map'!$A$2:$A$675,B412,'Page-Keyword Map'!$E$2:$E$675,"City")</f>
        <v/>
      </c>
      <c r="X412" s="36">
        <f>IF(O412="","",IF(ISNUMBER(SEARCH(O412,J412)),"Yes","No"))</f>
        <v/>
      </c>
      <c r="Y412" s="36" t="n">
        <v>0.7</v>
      </c>
      <c r="Z412" s="36" t="inlineStr">
        <is>
          <t>sitemap-cities.xml</t>
        </is>
      </c>
      <c r="AA412" s="36" t="inlineStr">
        <is>
          <t>Live – indexable</t>
        </is>
      </c>
      <c r="AB412" s="38" t="n"/>
      <c r="AC412" s="38" t="n"/>
    </row>
    <row r="413" ht="23.85" customHeight="1" s="22">
      <c r="A413" s="36" t="inlineStr">
        <is>
          <t>P0412</t>
        </is>
      </c>
      <c r="B413" s="36" t="inlineStr">
        <is>
          <t>https://instasure.ca/car-insurance/ontario/markham/</t>
        </is>
      </c>
      <c r="C413" s="36" t="inlineStr">
        <is>
          <t>Product × city</t>
        </is>
      </c>
      <c r="D413" s="36" t="inlineStr">
        <is>
          <t>Car insurance</t>
        </is>
      </c>
      <c r="E413" s="36" t="inlineStr">
        <is>
          <t>Car Insurance</t>
        </is>
      </c>
      <c r="F413" s="36" t="n"/>
      <c r="G413" s="36" t="inlineStr">
        <is>
          <t>Ontario</t>
        </is>
      </c>
      <c r="H413" s="36" t="inlineStr">
        <is>
          <t>Markham</t>
        </is>
      </c>
      <c r="I413" s="36" t="inlineStr">
        <is>
          <t>Yes</t>
        </is>
      </c>
      <c r="J413" s="25" t="inlineStr">
        <is>
          <t>Car Insurance Markham, ON: Compare Quotes &amp; Costs (2026)</t>
        </is>
      </c>
      <c r="K413" s="36">
        <f>LEN(J413)</f>
        <v/>
      </c>
      <c r="L413" s="25" t="inlineStr">
        <is>
          <t>Compare car insurance in Markham, ON: instant estimate ($171–$266/mo example), local risk factors and advisors licensed in Ontario.</t>
        </is>
      </c>
      <c r="M413" s="36">
        <f>LEN(L413)</f>
        <v/>
      </c>
      <c r="N413" s="25" t="inlineStr">
        <is>
          <t>Car Insurance in Markham, ON</t>
        </is>
      </c>
      <c r="O413" s="36" t="inlineStr">
        <is>
          <t>car insurance markham</t>
        </is>
      </c>
      <c r="P413" s="37" t="n">
        <v>1200</v>
      </c>
      <c r="Q413" s="36" t="inlineStr">
        <is>
          <t>City</t>
        </is>
      </c>
      <c r="R413" s="36" t="n"/>
      <c r="S413" s="36">
        <f>COUNTIF('Page-Keyword Map'!$A$2:$A$675,B413)</f>
        <v/>
      </c>
      <c r="T413" s="37">
        <f>SUMIF('Page-Keyword Map'!$A$2:$A$675,B413,'Page-Keyword Map'!$H$2:$H$675)</f>
        <v/>
      </c>
      <c r="U413" s="36">
        <f>COUNTIFS('Page-Keyword Map'!$A$2:$A$675,B413,'Page-Keyword Map'!$E$2:$E$675,"Nationwide")</f>
        <v/>
      </c>
      <c r="V413" s="36">
        <f>COUNTIFS('Page-Keyword Map'!$A$2:$A$675,B413,'Page-Keyword Map'!$E$2:$E$675,"Provincial")</f>
        <v/>
      </c>
      <c r="W413" s="36">
        <f>COUNTIFS('Page-Keyword Map'!$A$2:$A$675,B413,'Page-Keyword Map'!$E$2:$E$675,"City")</f>
        <v/>
      </c>
      <c r="X413" s="36">
        <f>IF(O413="","",IF(ISNUMBER(SEARCH(O413,J413)),"Yes","No"))</f>
        <v/>
      </c>
      <c r="Y413" s="36" t="n">
        <v>0.7</v>
      </c>
      <c r="Z413" s="36" t="inlineStr">
        <is>
          <t>sitemap-cities.xml</t>
        </is>
      </c>
      <c r="AA413" s="36" t="inlineStr">
        <is>
          <t>Live – indexable</t>
        </is>
      </c>
      <c r="AB413" s="38" t="n"/>
      <c r="AC413" s="38" t="n"/>
    </row>
    <row r="414" ht="23.85" customHeight="1" s="22">
      <c r="A414" s="36" t="inlineStr">
        <is>
          <t>P0413</t>
        </is>
      </c>
      <c r="B414" s="36" t="inlineStr">
        <is>
          <t>https://instasure.ca/car-insurance/ontario/milton/</t>
        </is>
      </c>
      <c r="C414" s="36" t="inlineStr">
        <is>
          <t>Product × city</t>
        </is>
      </c>
      <c r="D414" s="36" t="inlineStr">
        <is>
          <t>Car insurance</t>
        </is>
      </c>
      <c r="E414" s="36" t="inlineStr">
        <is>
          <t>Car Insurance</t>
        </is>
      </c>
      <c r="F414" s="36" t="n"/>
      <c r="G414" s="36" t="inlineStr">
        <is>
          <t>Ontario</t>
        </is>
      </c>
      <c r="H414" s="36" t="inlineStr">
        <is>
          <t>Milton</t>
        </is>
      </c>
      <c r="I414" s="36" t="inlineStr">
        <is>
          <t>No</t>
        </is>
      </c>
      <c r="J414" s="25" t="inlineStr">
        <is>
          <t>Car Insurance Milton, ON: Compare Quotes &amp; Costs (2026)</t>
        </is>
      </c>
      <c r="K414" s="36">
        <f>LEN(J414)</f>
        <v/>
      </c>
      <c r="L414" s="25" t="inlineStr">
        <is>
          <t>Compare car insurance in Milton, ON: instant estimate ($144–$223/mo example), local risk factors and advisors licensed in Ontario.</t>
        </is>
      </c>
      <c r="M414" s="36">
        <f>LEN(L414)</f>
        <v/>
      </c>
      <c r="N414" s="25" t="inlineStr">
        <is>
          <t>Car Insurance in Milton, ON</t>
        </is>
      </c>
      <c r="O414" s="36" t="inlineStr">
        <is>
          <t>car insurance milton</t>
        </is>
      </c>
      <c r="P414" s="37" t="n">
        <v>440</v>
      </c>
      <c r="Q414" s="36" t="inlineStr">
        <is>
          <t>City</t>
        </is>
      </c>
      <c r="R414" s="36" t="n"/>
      <c r="S414" s="36">
        <f>COUNTIF('Page-Keyword Map'!$A$2:$A$675,B414)</f>
        <v/>
      </c>
      <c r="T414" s="37">
        <f>SUMIF('Page-Keyword Map'!$A$2:$A$675,B414,'Page-Keyword Map'!$H$2:$H$675)</f>
        <v/>
      </c>
      <c r="U414" s="36">
        <f>COUNTIFS('Page-Keyword Map'!$A$2:$A$675,B414,'Page-Keyword Map'!$E$2:$E$675,"Nationwide")</f>
        <v/>
      </c>
      <c r="V414" s="36">
        <f>COUNTIFS('Page-Keyword Map'!$A$2:$A$675,B414,'Page-Keyword Map'!$E$2:$E$675,"Provincial")</f>
        <v/>
      </c>
      <c r="W414" s="36">
        <f>COUNTIFS('Page-Keyword Map'!$A$2:$A$675,B414,'Page-Keyword Map'!$E$2:$E$675,"City")</f>
        <v/>
      </c>
      <c r="X414" s="36">
        <f>IF(O414="","",IF(ISNUMBER(SEARCH(O414,J414)),"Yes","No"))</f>
        <v/>
      </c>
      <c r="Y414" s="36" t="n">
        <v>0.5</v>
      </c>
      <c r="Z414" s="36" t="inlineStr">
        <is>
          <t>(not listed: noindex)</t>
        </is>
      </c>
      <c r="AA414" s="36" t="inlineStr">
        <is>
          <t>Live – noindex (enrich before indexing)</t>
        </is>
      </c>
      <c r="AB414" s="38" t="n"/>
      <c r="AC414" s="38" t="n"/>
    </row>
    <row r="415" ht="23.85" customHeight="1" s="22">
      <c r="A415" s="36" t="inlineStr">
        <is>
          <t>P0414</t>
        </is>
      </c>
      <c r="B415" s="36" t="inlineStr">
        <is>
          <t>https://instasure.ca/car-insurance/ontario/mississauga/</t>
        </is>
      </c>
      <c r="C415" s="36" t="inlineStr">
        <is>
          <t>Product × city</t>
        </is>
      </c>
      <c r="D415" s="36" t="inlineStr">
        <is>
          <t>Car insurance</t>
        </is>
      </c>
      <c r="E415" s="36" t="inlineStr">
        <is>
          <t>Car Insurance</t>
        </is>
      </c>
      <c r="F415" s="36" t="n"/>
      <c r="G415" s="36" t="inlineStr">
        <is>
          <t>Ontario</t>
        </is>
      </c>
      <c r="H415" s="36" t="inlineStr">
        <is>
          <t>Mississauga</t>
        </is>
      </c>
      <c r="I415" s="36" t="inlineStr">
        <is>
          <t>Yes</t>
        </is>
      </c>
      <c r="J415" s="25" t="inlineStr">
        <is>
          <t>Car Insurance Mississauga, ON: Compare Quotes &amp; Costs (2026)</t>
        </is>
      </c>
      <c r="K415" s="36">
        <f>LEN(J415)</f>
        <v/>
      </c>
      <c r="L415" s="25" t="inlineStr">
        <is>
          <t>Compare car insurance in Mississauga, ON: instant estimate ($181–$280/mo example), local risk factors and advisors licensed in Ontario.</t>
        </is>
      </c>
      <c r="M415" s="36">
        <f>LEN(L415)</f>
        <v/>
      </c>
      <c r="N415" s="25" t="inlineStr">
        <is>
          <t>Car Insurance in Mississauga, ON</t>
        </is>
      </c>
      <c r="O415" s="36" t="inlineStr">
        <is>
          <t>car insurance mississauga</t>
        </is>
      </c>
      <c r="P415" s="37" t="n">
        <v>2400</v>
      </c>
      <c r="Q415" s="36" t="inlineStr">
        <is>
          <t>City</t>
        </is>
      </c>
      <c r="R415" s="36" t="n"/>
      <c r="S415" s="36">
        <f>COUNTIF('Page-Keyword Map'!$A$2:$A$675,B415)</f>
        <v/>
      </c>
      <c r="T415" s="37">
        <f>SUMIF('Page-Keyword Map'!$A$2:$A$675,B415,'Page-Keyword Map'!$H$2:$H$675)</f>
        <v/>
      </c>
      <c r="U415" s="36">
        <f>COUNTIFS('Page-Keyword Map'!$A$2:$A$675,B415,'Page-Keyword Map'!$E$2:$E$675,"Nationwide")</f>
        <v/>
      </c>
      <c r="V415" s="36">
        <f>COUNTIFS('Page-Keyword Map'!$A$2:$A$675,B415,'Page-Keyword Map'!$E$2:$E$675,"Provincial")</f>
        <v/>
      </c>
      <c r="W415" s="36">
        <f>COUNTIFS('Page-Keyword Map'!$A$2:$A$675,B415,'Page-Keyword Map'!$E$2:$E$675,"City")</f>
        <v/>
      </c>
      <c r="X415" s="36">
        <f>IF(O415="","",IF(ISNUMBER(SEARCH(O415,J415)),"Yes","No"))</f>
        <v/>
      </c>
      <c r="Y415" s="36" t="n">
        <v>0.7</v>
      </c>
      <c r="Z415" s="36" t="inlineStr">
        <is>
          <t>sitemap-cities.xml</t>
        </is>
      </c>
      <c r="AA415" s="36" t="inlineStr">
        <is>
          <t>Live – indexable</t>
        </is>
      </c>
      <c r="AB415" s="38" t="n"/>
      <c r="AC415" s="38" t="n"/>
    </row>
    <row r="416" ht="23.85" customHeight="1" s="22">
      <c r="A416" s="36" t="inlineStr">
        <is>
          <t>P0415</t>
        </is>
      </c>
      <c r="B416" s="36" t="inlineStr">
        <is>
          <t>https://instasure.ca/car-insurance/ontario/oakville/</t>
        </is>
      </c>
      <c r="C416" s="36" t="inlineStr">
        <is>
          <t>Product × city</t>
        </is>
      </c>
      <c r="D416" s="36" t="inlineStr">
        <is>
          <t>Car insurance</t>
        </is>
      </c>
      <c r="E416" s="36" t="inlineStr">
        <is>
          <t>Car Insurance</t>
        </is>
      </c>
      <c r="F416" s="36" t="n"/>
      <c r="G416" s="36" t="inlineStr">
        <is>
          <t>Ontario</t>
        </is>
      </c>
      <c r="H416" s="36" t="inlineStr">
        <is>
          <t>Oakville</t>
        </is>
      </c>
      <c r="I416" s="36" t="inlineStr">
        <is>
          <t>Yes</t>
        </is>
      </c>
      <c r="J416" s="25" t="inlineStr">
        <is>
          <t>Car Insurance Oakville, ON: Compare Quotes &amp; Costs (2026)</t>
        </is>
      </c>
      <c r="K416" s="36">
        <f>LEN(J416)</f>
        <v/>
      </c>
      <c r="L416" s="25" t="inlineStr">
        <is>
          <t>Compare car insurance in Oakville, ON: instant estimate ($144–$223/mo example), local risk factors and advisors licensed in Ontario.</t>
        </is>
      </c>
      <c r="M416" s="36">
        <f>LEN(L416)</f>
        <v/>
      </c>
      <c r="N416" s="25" t="inlineStr">
        <is>
          <t>Car Insurance in Oakville, ON</t>
        </is>
      </c>
      <c r="O416" s="36" t="inlineStr">
        <is>
          <t>car insurance oakville</t>
        </is>
      </c>
      <c r="P416" s="37" t="n">
        <v>650</v>
      </c>
      <c r="Q416" s="36" t="inlineStr">
        <is>
          <t>City</t>
        </is>
      </c>
      <c r="R416" s="36" t="n"/>
      <c r="S416" s="36">
        <f>COUNTIF('Page-Keyword Map'!$A$2:$A$675,B416)</f>
        <v/>
      </c>
      <c r="T416" s="37">
        <f>SUMIF('Page-Keyword Map'!$A$2:$A$675,B416,'Page-Keyword Map'!$H$2:$H$675)</f>
        <v/>
      </c>
      <c r="U416" s="36">
        <f>COUNTIFS('Page-Keyword Map'!$A$2:$A$675,B416,'Page-Keyword Map'!$E$2:$E$675,"Nationwide")</f>
        <v/>
      </c>
      <c r="V416" s="36">
        <f>COUNTIFS('Page-Keyword Map'!$A$2:$A$675,B416,'Page-Keyword Map'!$E$2:$E$675,"Provincial")</f>
        <v/>
      </c>
      <c r="W416" s="36">
        <f>COUNTIFS('Page-Keyword Map'!$A$2:$A$675,B416,'Page-Keyword Map'!$E$2:$E$675,"City")</f>
        <v/>
      </c>
      <c r="X416" s="36">
        <f>IF(O416="","",IF(ISNUMBER(SEARCH(O416,J416)),"Yes","No"))</f>
        <v/>
      </c>
      <c r="Y416" s="36" t="n">
        <v>0.5</v>
      </c>
      <c r="Z416" s="36" t="inlineStr">
        <is>
          <t>sitemap-cities.xml</t>
        </is>
      </c>
      <c r="AA416" s="36" t="inlineStr">
        <is>
          <t>Live – indexable</t>
        </is>
      </c>
      <c r="AB416" s="38" t="n"/>
      <c r="AC416" s="38" t="n"/>
    </row>
    <row r="417" ht="23.85" customHeight="1" s="22">
      <c r="A417" s="36" t="inlineStr">
        <is>
          <t>P0416</t>
        </is>
      </c>
      <c r="B417" s="36" t="inlineStr">
        <is>
          <t>https://instasure.ca/car-insurance/ontario/oshawa/</t>
        </is>
      </c>
      <c r="C417" s="36" t="inlineStr">
        <is>
          <t>Product × city</t>
        </is>
      </c>
      <c r="D417" s="36" t="inlineStr">
        <is>
          <t>Car insurance</t>
        </is>
      </c>
      <c r="E417" s="36" t="inlineStr">
        <is>
          <t>Car Insurance</t>
        </is>
      </c>
      <c r="F417" s="36" t="n"/>
      <c r="G417" s="36" t="inlineStr">
        <is>
          <t>Ontario</t>
        </is>
      </c>
      <c r="H417" s="36" t="inlineStr">
        <is>
          <t>Oshawa</t>
        </is>
      </c>
      <c r="I417" s="36" t="inlineStr">
        <is>
          <t>Yes</t>
        </is>
      </c>
      <c r="J417" s="25" t="inlineStr">
        <is>
          <t>Car Insurance Oshawa, ON: Compare Quotes &amp; Costs (2026)</t>
        </is>
      </c>
      <c r="K417" s="36">
        <f>LEN(J417)</f>
        <v/>
      </c>
      <c r="L417" s="25" t="inlineStr">
        <is>
          <t>Compare car insurance in Oshawa, ON: instant estimate ($153–$238/mo example), local risk factors and advisors licensed in Ontario.</t>
        </is>
      </c>
      <c r="M417" s="36">
        <f>LEN(L417)</f>
        <v/>
      </c>
      <c r="N417" s="25" t="inlineStr">
        <is>
          <t>Car Insurance in Oshawa, ON</t>
        </is>
      </c>
      <c r="O417" s="36" t="inlineStr">
        <is>
          <t>car insurance oshawa</t>
        </is>
      </c>
      <c r="P417" s="37" t="n">
        <v>610</v>
      </c>
      <c r="Q417" s="36" t="inlineStr">
        <is>
          <t>City</t>
        </is>
      </c>
      <c r="R417" s="36" t="n"/>
      <c r="S417" s="36">
        <f>COUNTIF('Page-Keyword Map'!$A$2:$A$675,B417)</f>
        <v/>
      </c>
      <c r="T417" s="37">
        <f>SUMIF('Page-Keyword Map'!$A$2:$A$675,B417,'Page-Keyword Map'!$H$2:$H$675)</f>
        <v/>
      </c>
      <c r="U417" s="36">
        <f>COUNTIFS('Page-Keyword Map'!$A$2:$A$675,B417,'Page-Keyword Map'!$E$2:$E$675,"Nationwide")</f>
        <v/>
      </c>
      <c r="V417" s="36">
        <f>COUNTIFS('Page-Keyword Map'!$A$2:$A$675,B417,'Page-Keyword Map'!$E$2:$E$675,"Provincial")</f>
        <v/>
      </c>
      <c r="W417" s="36">
        <f>COUNTIFS('Page-Keyword Map'!$A$2:$A$675,B417,'Page-Keyword Map'!$E$2:$E$675,"City")</f>
        <v/>
      </c>
      <c r="X417" s="36">
        <f>IF(O417="","",IF(ISNUMBER(SEARCH(O417,J417)),"Yes","No"))</f>
        <v/>
      </c>
      <c r="Y417" s="36" t="n">
        <v>0.5</v>
      </c>
      <c r="Z417" s="36" t="inlineStr">
        <is>
          <t>sitemap-cities.xml</t>
        </is>
      </c>
      <c r="AA417" s="36" t="inlineStr">
        <is>
          <t>Live – indexable</t>
        </is>
      </c>
      <c r="AB417" s="38" t="n"/>
      <c r="AC417" s="38" t="n"/>
    </row>
    <row r="418" ht="23.85" customHeight="1" s="22">
      <c r="A418" s="36" t="inlineStr">
        <is>
          <t>P0417</t>
        </is>
      </c>
      <c r="B418" s="36" t="inlineStr">
        <is>
          <t>https://instasure.ca/car-insurance/ontario/ottawa/</t>
        </is>
      </c>
      <c r="C418" s="36" t="inlineStr">
        <is>
          <t>Product × city</t>
        </is>
      </c>
      <c r="D418" s="36" t="inlineStr">
        <is>
          <t>Car insurance</t>
        </is>
      </c>
      <c r="E418" s="36" t="inlineStr">
        <is>
          <t>Car Insurance</t>
        </is>
      </c>
      <c r="F418" s="36" t="n"/>
      <c r="G418" s="36" t="inlineStr">
        <is>
          <t>Ontario</t>
        </is>
      </c>
      <c r="H418" s="36" t="inlineStr">
        <is>
          <t>Ottawa</t>
        </is>
      </c>
      <c r="I418" s="36" t="inlineStr">
        <is>
          <t>Yes</t>
        </is>
      </c>
      <c r="J418" s="25" t="inlineStr">
        <is>
          <t>Car Insurance Ottawa, ON: Compare Quotes &amp; Costs (2026)</t>
        </is>
      </c>
      <c r="K418" s="36">
        <f>LEN(J418)</f>
        <v/>
      </c>
      <c r="L418" s="25" t="inlineStr">
        <is>
          <t>Compare car insurance in Ottawa, ON: instant estimate ($116–$181/mo example), local risk factors and advisors licensed in Ontario.</t>
        </is>
      </c>
      <c r="M418" s="36">
        <f>LEN(L418)</f>
        <v/>
      </c>
      <c r="N418" s="25" t="inlineStr">
        <is>
          <t>Car Insurance in Ottawa, ON</t>
        </is>
      </c>
      <c r="O418" s="36" t="inlineStr">
        <is>
          <t>car insurance ottawa</t>
        </is>
      </c>
      <c r="P418" s="37" t="n">
        <v>1600</v>
      </c>
      <c r="Q418" s="36" t="inlineStr">
        <is>
          <t>City</t>
        </is>
      </c>
      <c r="R418" s="36" t="n"/>
      <c r="S418" s="36">
        <f>COUNTIF('Page-Keyword Map'!$A$2:$A$675,B418)</f>
        <v/>
      </c>
      <c r="T418" s="37">
        <f>SUMIF('Page-Keyword Map'!$A$2:$A$675,B418,'Page-Keyword Map'!$H$2:$H$675)</f>
        <v/>
      </c>
      <c r="U418" s="36">
        <f>COUNTIFS('Page-Keyword Map'!$A$2:$A$675,B418,'Page-Keyword Map'!$E$2:$E$675,"Nationwide")</f>
        <v/>
      </c>
      <c r="V418" s="36">
        <f>COUNTIFS('Page-Keyword Map'!$A$2:$A$675,B418,'Page-Keyword Map'!$E$2:$E$675,"Provincial")</f>
        <v/>
      </c>
      <c r="W418" s="36">
        <f>COUNTIFS('Page-Keyword Map'!$A$2:$A$675,B418,'Page-Keyword Map'!$E$2:$E$675,"City")</f>
        <v/>
      </c>
      <c r="X418" s="36">
        <f>IF(O418="","",IF(ISNUMBER(SEARCH(O418,J418)),"Yes","No"))</f>
        <v/>
      </c>
      <c r="Y418" s="36" t="n">
        <v>0.7</v>
      </c>
      <c r="Z418" s="36" t="inlineStr">
        <is>
          <t>sitemap-cities.xml</t>
        </is>
      </c>
      <c r="AA418" s="36" t="inlineStr">
        <is>
          <t>Live – indexable</t>
        </is>
      </c>
      <c r="AB418" s="38" t="n"/>
      <c r="AC418" s="38" t="n"/>
    </row>
    <row r="419" ht="23.85" customHeight="1" s="22">
      <c r="A419" s="36" t="inlineStr">
        <is>
          <t>P0418</t>
        </is>
      </c>
      <c r="B419" s="36" t="inlineStr">
        <is>
          <t>https://instasure.ca/car-insurance/ontario/pickering/</t>
        </is>
      </c>
      <c r="C419" s="36" t="inlineStr">
        <is>
          <t>Product × city</t>
        </is>
      </c>
      <c r="D419" s="36" t="inlineStr">
        <is>
          <t>Car insurance</t>
        </is>
      </c>
      <c r="E419" s="36" t="inlineStr">
        <is>
          <t>Car Insurance</t>
        </is>
      </c>
      <c r="F419" s="36" t="n"/>
      <c r="G419" s="36" t="inlineStr">
        <is>
          <t>Ontario</t>
        </is>
      </c>
      <c r="H419" s="36" t="inlineStr">
        <is>
          <t>Pickering</t>
        </is>
      </c>
      <c r="I419" s="36" t="inlineStr">
        <is>
          <t>No</t>
        </is>
      </c>
      <c r="J419" s="25" t="inlineStr">
        <is>
          <t>Car Insurance Pickering, ON: Compare Quotes &amp; Costs (2026)</t>
        </is>
      </c>
      <c r="K419" s="36">
        <f>LEN(J419)</f>
        <v/>
      </c>
      <c r="L419" s="25" t="inlineStr">
        <is>
          <t>Compare car insurance in Pickering, ON: instant estimate ($158–$244/mo example), local risk factors and advisors licensed in Ontario.</t>
        </is>
      </c>
      <c r="M419" s="36">
        <f>LEN(L419)</f>
        <v/>
      </c>
      <c r="N419" s="25" t="inlineStr">
        <is>
          <t>Car Insurance in Pickering, ON</t>
        </is>
      </c>
      <c r="O419" s="36" t="inlineStr">
        <is>
          <t>car insurance pickering</t>
        </is>
      </c>
      <c r="P419" s="37" t="n">
        <v>400</v>
      </c>
      <c r="Q419" s="36" t="inlineStr">
        <is>
          <t>City</t>
        </is>
      </c>
      <c r="R419" s="36" t="n"/>
      <c r="S419" s="36">
        <f>COUNTIF('Page-Keyword Map'!$A$2:$A$675,B419)</f>
        <v/>
      </c>
      <c r="T419" s="37">
        <f>SUMIF('Page-Keyword Map'!$A$2:$A$675,B419,'Page-Keyword Map'!$H$2:$H$675)</f>
        <v/>
      </c>
      <c r="U419" s="36">
        <f>COUNTIFS('Page-Keyword Map'!$A$2:$A$675,B419,'Page-Keyword Map'!$E$2:$E$675,"Nationwide")</f>
        <v/>
      </c>
      <c r="V419" s="36">
        <f>COUNTIFS('Page-Keyword Map'!$A$2:$A$675,B419,'Page-Keyword Map'!$E$2:$E$675,"Provincial")</f>
        <v/>
      </c>
      <c r="W419" s="36">
        <f>COUNTIFS('Page-Keyword Map'!$A$2:$A$675,B419,'Page-Keyword Map'!$E$2:$E$675,"City")</f>
        <v/>
      </c>
      <c r="X419" s="36">
        <f>IF(O419="","",IF(ISNUMBER(SEARCH(O419,J419)),"Yes","No"))</f>
        <v/>
      </c>
      <c r="Y419" s="36" t="n">
        <v>0.5</v>
      </c>
      <c r="Z419" s="36" t="inlineStr">
        <is>
          <t>(not listed: noindex)</t>
        </is>
      </c>
      <c r="AA419" s="36" t="inlineStr">
        <is>
          <t>Live – noindex (enrich before indexing)</t>
        </is>
      </c>
      <c r="AB419" s="38" t="n"/>
      <c r="AC419" s="38" t="n"/>
    </row>
    <row r="420" ht="23.85" customHeight="1" s="22">
      <c r="A420" s="36" t="inlineStr">
        <is>
          <t>P0419</t>
        </is>
      </c>
      <c r="B420" s="36" t="inlineStr">
        <is>
          <t>https://instasure.ca/car-insurance/ontario/richmond-hill/</t>
        </is>
      </c>
      <c r="C420" s="36" t="inlineStr">
        <is>
          <t>Product × city</t>
        </is>
      </c>
      <c r="D420" s="36" t="inlineStr">
        <is>
          <t>Car insurance</t>
        </is>
      </c>
      <c r="E420" s="36" t="inlineStr">
        <is>
          <t>Car Insurance</t>
        </is>
      </c>
      <c r="F420" s="36" t="n"/>
      <c r="G420" s="36" t="inlineStr">
        <is>
          <t>Ontario</t>
        </is>
      </c>
      <c r="H420" s="36" t="inlineStr">
        <is>
          <t>Richmond Hill</t>
        </is>
      </c>
      <c r="I420" s="36" t="inlineStr">
        <is>
          <t>Yes</t>
        </is>
      </c>
      <c r="J420" s="25" t="inlineStr">
        <is>
          <t>Car Insurance Richmond Hill, ON: Compare Quotes &amp; Costs (2026)</t>
        </is>
      </c>
      <c r="K420" s="36">
        <f>LEN(J420)</f>
        <v/>
      </c>
      <c r="L420" s="25" t="inlineStr">
        <is>
          <t>Compare car insurance in Richmond Hill, ON: instant estimate ($178–$276/mo example), local risk factors and advisors licensed in Ontario.</t>
        </is>
      </c>
      <c r="M420" s="36">
        <f>LEN(L420)</f>
        <v/>
      </c>
      <c r="N420" s="25" t="inlineStr">
        <is>
          <t>Car Insurance in Richmond Hill, ON</t>
        </is>
      </c>
      <c r="O420" s="36" t="inlineStr">
        <is>
          <t>car insurance richmond hill</t>
        </is>
      </c>
      <c r="P420" s="37" t="n">
        <v>850</v>
      </c>
      <c r="Q420" s="36" t="inlineStr">
        <is>
          <t>City</t>
        </is>
      </c>
      <c r="R420" s="36" t="n"/>
      <c r="S420" s="36">
        <f>COUNTIF('Page-Keyword Map'!$A$2:$A$675,B420)</f>
        <v/>
      </c>
      <c r="T420" s="37">
        <f>SUMIF('Page-Keyword Map'!$A$2:$A$675,B420,'Page-Keyword Map'!$H$2:$H$675)</f>
        <v/>
      </c>
      <c r="U420" s="36">
        <f>COUNTIFS('Page-Keyword Map'!$A$2:$A$675,B420,'Page-Keyword Map'!$E$2:$E$675,"Nationwide")</f>
        <v/>
      </c>
      <c r="V420" s="36">
        <f>COUNTIFS('Page-Keyword Map'!$A$2:$A$675,B420,'Page-Keyword Map'!$E$2:$E$675,"Provincial")</f>
        <v/>
      </c>
      <c r="W420" s="36">
        <f>COUNTIFS('Page-Keyword Map'!$A$2:$A$675,B420,'Page-Keyword Map'!$E$2:$E$675,"City")</f>
        <v/>
      </c>
      <c r="X420" s="36">
        <f>IF(O420="","",IF(ISNUMBER(SEARCH(O420,J420)),"Yes","No"))</f>
        <v/>
      </c>
      <c r="Y420" s="36" t="n">
        <v>0.5</v>
      </c>
      <c r="Z420" s="36" t="inlineStr">
        <is>
          <t>sitemap-cities.xml</t>
        </is>
      </c>
      <c r="AA420" s="36" t="inlineStr">
        <is>
          <t>Live – indexable</t>
        </is>
      </c>
      <c r="AB420" s="38" t="n"/>
      <c r="AC420" s="38" t="n"/>
    </row>
    <row r="421" ht="23.85" customHeight="1" s="22">
      <c r="A421" s="36" t="inlineStr">
        <is>
          <t>P0420</t>
        </is>
      </c>
      <c r="B421" s="36" t="inlineStr">
        <is>
          <t>https://instasure.ca/car-insurance/ontario/st-catharines/</t>
        </is>
      </c>
      <c r="C421" s="36" t="inlineStr">
        <is>
          <t>Product × city</t>
        </is>
      </c>
      <c r="D421" s="36" t="inlineStr">
        <is>
          <t>Car insurance</t>
        </is>
      </c>
      <c r="E421" s="36" t="inlineStr">
        <is>
          <t>Car Insurance</t>
        </is>
      </c>
      <c r="F421" s="36" t="n"/>
      <c r="G421" s="36" t="inlineStr">
        <is>
          <t>Ontario</t>
        </is>
      </c>
      <c r="H421" s="36" t="inlineStr">
        <is>
          <t>St. Catharines</t>
        </is>
      </c>
      <c r="I421" s="36" t="inlineStr">
        <is>
          <t>Yes</t>
        </is>
      </c>
      <c r="J421" s="25" t="inlineStr">
        <is>
          <t>Car Insurance St. Catharines, ON: Compare Quotes &amp; Costs (2026)</t>
        </is>
      </c>
      <c r="K421" s="36">
        <f>LEN(J421)</f>
        <v/>
      </c>
      <c r="L421" s="25" t="inlineStr">
        <is>
          <t>Compare car insurance in St. Catharines, ON: instant estimate ($123–$191/mo example), local risk factors and advisors licensed in Ontario.</t>
        </is>
      </c>
      <c r="M421" s="36">
        <f>LEN(L421)</f>
        <v/>
      </c>
      <c r="N421" s="25" t="inlineStr">
        <is>
          <t>Car Insurance in St. Catharines, ON</t>
        </is>
      </c>
      <c r="O421" s="36" t="inlineStr">
        <is>
          <t>car insurance st catharines</t>
        </is>
      </c>
      <c r="P421" s="37" t="n">
        <v>360</v>
      </c>
      <c r="Q421" s="36" t="inlineStr">
        <is>
          <t>City</t>
        </is>
      </c>
      <c r="R421" s="36" t="n"/>
      <c r="S421" s="36">
        <f>COUNTIF('Page-Keyword Map'!$A$2:$A$675,B421)</f>
        <v/>
      </c>
      <c r="T421" s="37">
        <f>SUMIF('Page-Keyword Map'!$A$2:$A$675,B421,'Page-Keyword Map'!$H$2:$H$675)</f>
        <v/>
      </c>
      <c r="U421" s="36">
        <f>COUNTIFS('Page-Keyword Map'!$A$2:$A$675,B421,'Page-Keyword Map'!$E$2:$E$675,"Nationwide")</f>
        <v/>
      </c>
      <c r="V421" s="36">
        <f>COUNTIFS('Page-Keyword Map'!$A$2:$A$675,B421,'Page-Keyword Map'!$E$2:$E$675,"Provincial")</f>
        <v/>
      </c>
      <c r="W421" s="36">
        <f>COUNTIFS('Page-Keyword Map'!$A$2:$A$675,B421,'Page-Keyword Map'!$E$2:$E$675,"City")</f>
        <v/>
      </c>
      <c r="X421" s="36">
        <f>IF(O421="","",IF(ISNUMBER(SEARCH(O421,J421)),"Yes","No"))</f>
        <v/>
      </c>
      <c r="Y421" s="36" t="n">
        <v>0.5</v>
      </c>
      <c r="Z421" s="36" t="inlineStr">
        <is>
          <t>sitemap-cities.xml</t>
        </is>
      </c>
      <c r="AA421" s="36" t="inlineStr">
        <is>
          <t>Live – indexable</t>
        </is>
      </c>
      <c r="AB421" s="38" t="n"/>
      <c r="AC421" s="38" t="n"/>
    </row>
    <row r="422" ht="23.85" customHeight="1" s="22">
      <c r="A422" s="36" t="inlineStr">
        <is>
          <t>P0421</t>
        </is>
      </c>
      <c r="B422" s="36" t="inlineStr">
        <is>
          <t>https://instasure.ca/car-insurance/ontario/sudbury/</t>
        </is>
      </c>
      <c r="C422" s="36" t="inlineStr">
        <is>
          <t>Product × city</t>
        </is>
      </c>
      <c r="D422" s="36" t="inlineStr">
        <is>
          <t>Car insurance</t>
        </is>
      </c>
      <c r="E422" s="36" t="inlineStr">
        <is>
          <t>Car Insurance</t>
        </is>
      </c>
      <c r="F422" s="36" t="n"/>
      <c r="G422" s="36" t="inlineStr">
        <is>
          <t>Ontario</t>
        </is>
      </c>
      <c r="H422" s="36" t="inlineStr">
        <is>
          <t>Sudbury</t>
        </is>
      </c>
      <c r="I422" s="36" t="inlineStr">
        <is>
          <t>No</t>
        </is>
      </c>
      <c r="J422" s="25" t="inlineStr">
        <is>
          <t>Car Insurance Sudbury, ON: Compare Quotes &amp; Costs (2026)</t>
        </is>
      </c>
      <c r="K422" s="36">
        <f>LEN(J422)</f>
        <v/>
      </c>
      <c r="L422" s="25" t="inlineStr">
        <is>
          <t>Compare car insurance in Sudbury, ON: instant estimate ($107–$166/mo example), local risk factors and advisors licensed in Ontario.</t>
        </is>
      </c>
      <c r="M422" s="36">
        <f>LEN(L422)</f>
        <v/>
      </c>
      <c r="N422" s="25" t="inlineStr">
        <is>
          <t>Car Insurance in Sudbury, ON</t>
        </is>
      </c>
      <c r="O422" s="36" t="inlineStr">
        <is>
          <t>car insurance sudbury</t>
        </is>
      </c>
      <c r="P422" s="37" t="n">
        <v>340</v>
      </c>
      <c r="Q422" s="36" t="inlineStr">
        <is>
          <t>City</t>
        </is>
      </c>
      <c r="R422" s="36" t="n"/>
      <c r="S422" s="36">
        <f>COUNTIF('Page-Keyword Map'!$A$2:$A$675,B422)</f>
        <v/>
      </c>
      <c r="T422" s="37">
        <f>SUMIF('Page-Keyword Map'!$A$2:$A$675,B422,'Page-Keyword Map'!$H$2:$H$675)</f>
        <v/>
      </c>
      <c r="U422" s="36">
        <f>COUNTIFS('Page-Keyword Map'!$A$2:$A$675,B422,'Page-Keyword Map'!$E$2:$E$675,"Nationwide")</f>
        <v/>
      </c>
      <c r="V422" s="36">
        <f>COUNTIFS('Page-Keyword Map'!$A$2:$A$675,B422,'Page-Keyword Map'!$E$2:$E$675,"Provincial")</f>
        <v/>
      </c>
      <c r="W422" s="36">
        <f>COUNTIFS('Page-Keyword Map'!$A$2:$A$675,B422,'Page-Keyword Map'!$E$2:$E$675,"City")</f>
        <v/>
      </c>
      <c r="X422" s="36">
        <f>IF(O422="","",IF(ISNUMBER(SEARCH(O422,J422)),"Yes","No"))</f>
        <v/>
      </c>
      <c r="Y422" s="36" t="n">
        <v>0.5</v>
      </c>
      <c r="Z422" s="36" t="inlineStr">
        <is>
          <t>(not listed: noindex)</t>
        </is>
      </c>
      <c r="AA422" s="36" t="inlineStr">
        <is>
          <t>Live – noindex (enrich before indexing)</t>
        </is>
      </c>
      <c r="AB422" s="38" t="n"/>
      <c r="AC422" s="38" t="n"/>
    </row>
    <row r="423" ht="23.85" customHeight="1" s="22">
      <c r="A423" s="36" t="inlineStr">
        <is>
          <t>P0422</t>
        </is>
      </c>
      <c r="B423" s="36" t="inlineStr">
        <is>
          <t>https://instasure.ca/car-insurance/ontario/thunder-bay/</t>
        </is>
      </c>
      <c r="C423" s="36" t="inlineStr">
        <is>
          <t>Product × city</t>
        </is>
      </c>
      <c r="D423" s="36" t="inlineStr">
        <is>
          <t>Car insurance</t>
        </is>
      </c>
      <c r="E423" s="36" t="inlineStr">
        <is>
          <t>Car Insurance</t>
        </is>
      </c>
      <c r="F423" s="36" t="n"/>
      <c r="G423" s="36" t="inlineStr">
        <is>
          <t>Ontario</t>
        </is>
      </c>
      <c r="H423" s="36" t="inlineStr">
        <is>
          <t>Thunder Bay</t>
        </is>
      </c>
      <c r="I423" s="36" t="inlineStr">
        <is>
          <t>No</t>
        </is>
      </c>
      <c r="J423" s="25" t="inlineStr">
        <is>
          <t>Car Insurance Thunder Bay, ON: Compare Quotes &amp; Costs (2026)</t>
        </is>
      </c>
      <c r="K423" s="36">
        <f>LEN(J423)</f>
        <v/>
      </c>
      <c r="L423" s="25" t="inlineStr">
        <is>
          <t>Compare car insurance in Thunder Bay, ON: instant estimate ($107–$166/mo example), local risk factors and advisors licensed in Ontario.</t>
        </is>
      </c>
      <c r="M423" s="36">
        <f>LEN(L423)</f>
        <v/>
      </c>
      <c r="N423" s="25" t="inlineStr">
        <is>
          <t>Car Insurance in Thunder Bay, ON</t>
        </is>
      </c>
      <c r="O423" s="36" t="inlineStr">
        <is>
          <t>car insurance thunder bay</t>
        </is>
      </c>
      <c r="P423" s="37" t="n">
        <v>240</v>
      </c>
      <c r="Q423" s="36" t="inlineStr">
        <is>
          <t>City</t>
        </is>
      </c>
      <c r="R423" s="36" t="n"/>
      <c r="S423" s="36">
        <f>COUNTIF('Page-Keyword Map'!$A$2:$A$675,B423)</f>
        <v/>
      </c>
      <c r="T423" s="37">
        <f>SUMIF('Page-Keyword Map'!$A$2:$A$675,B423,'Page-Keyword Map'!$H$2:$H$675)</f>
        <v/>
      </c>
      <c r="U423" s="36">
        <f>COUNTIFS('Page-Keyword Map'!$A$2:$A$675,B423,'Page-Keyword Map'!$E$2:$E$675,"Nationwide")</f>
        <v/>
      </c>
      <c r="V423" s="36">
        <f>COUNTIFS('Page-Keyword Map'!$A$2:$A$675,B423,'Page-Keyword Map'!$E$2:$E$675,"Provincial")</f>
        <v/>
      </c>
      <c r="W423" s="36">
        <f>COUNTIFS('Page-Keyword Map'!$A$2:$A$675,B423,'Page-Keyword Map'!$E$2:$E$675,"City")</f>
        <v/>
      </c>
      <c r="X423" s="36">
        <f>IF(O423="","",IF(ISNUMBER(SEARCH(O423,J423)),"Yes","No"))</f>
        <v/>
      </c>
      <c r="Y423" s="36" t="n">
        <v>0.5</v>
      </c>
      <c r="Z423" s="36" t="inlineStr">
        <is>
          <t>(not listed: noindex)</t>
        </is>
      </c>
      <c r="AA423" s="36" t="inlineStr">
        <is>
          <t>Live – noindex (enrich before indexing)</t>
        </is>
      </c>
      <c r="AB423" s="38" t="n"/>
      <c r="AC423" s="38" t="n"/>
    </row>
    <row r="424" ht="23.85" customHeight="1" s="22">
      <c r="A424" s="36" t="inlineStr">
        <is>
          <t>P0423</t>
        </is>
      </c>
      <c r="B424" s="36" t="inlineStr">
        <is>
          <t>https://instasure.ca/car-insurance/ontario/toronto/</t>
        </is>
      </c>
      <c r="C424" s="36" t="inlineStr">
        <is>
          <t>Product × city</t>
        </is>
      </c>
      <c r="D424" s="36" t="inlineStr">
        <is>
          <t>Car insurance</t>
        </is>
      </c>
      <c r="E424" s="36" t="inlineStr">
        <is>
          <t>Car Insurance</t>
        </is>
      </c>
      <c r="F424" s="36" t="n"/>
      <c r="G424" s="36" t="inlineStr">
        <is>
          <t>Ontario</t>
        </is>
      </c>
      <c r="H424" s="36" t="inlineStr">
        <is>
          <t>Toronto</t>
        </is>
      </c>
      <c r="I424" s="36" t="inlineStr">
        <is>
          <t>Yes</t>
        </is>
      </c>
      <c r="J424" s="25" t="inlineStr">
        <is>
          <t>Car Insurance Toronto, ON: Compare Quotes &amp; Costs (2026)</t>
        </is>
      </c>
      <c r="K424" s="36">
        <f>LEN(J424)</f>
        <v/>
      </c>
      <c r="L424" s="25" t="inlineStr">
        <is>
          <t>Compare car insurance in Toronto, ON: instant estimate ($171–$266/mo example), local risk factors and advisors licensed in Ontario.</t>
        </is>
      </c>
      <c r="M424" s="36">
        <f>LEN(L424)</f>
        <v/>
      </c>
      <c r="N424" s="25" t="inlineStr">
        <is>
          <t>Car Insurance in Toronto, ON</t>
        </is>
      </c>
      <c r="O424" s="36" t="inlineStr">
        <is>
          <t>car insurance toronto</t>
        </is>
      </c>
      <c r="P424" s="37" t="n">
        <v>6600</v>
      </c>
      <c r="Q424" s="36" t="inlineStr">
        <is>
          <t>City</t>
        </is>
      </c>
      <c r="R424" s="36" t="n"/>
      <c r="S424" s="36">
        <f>COUNTIF('Page-Keyword Map'!$A$2:$A$675,B424)</f>
        <v/>
      </c>
      <c r="T424" s="37">
        <f>SUMIF('Page-Keyword Map'!$A$2:$A$675,B424,'Page-Keyword Map'!$H$2:$H$675)</f>
        <v/>
      </c>
      <c r="U424" s="36">
        <f>COUNTIFS('Page-Keyword Map'!$A$2:$A$675,B424,'Page-Keyword Map'!$E$2:$E$675,"Nationwide")</f>
        <v/>
      </c>
      <c r="V424" s="36">
        <f>COUNTIFS('Page-Keyword Map'!$A$2:$A$675,B424,'Page-Keyword Map'!$E$2:$E$675,"Provincial")</f>
        <v/>
      </c>
      <c r="W424" s="36">
        <f>COUNTIFS('Page-Keyword Map'!$A$2:$A$675,B424,'Page-Keyword Map'!$E$2:$E$675,"City")</f>
        <v/>
      </c>
      <c r="X424" s="36">
        <f>IF(O424="","",IF(ISNUMBER(SEARCH(O424,J424)),"Yes","No"))</f>
        <v/>
      </c>
      <c r="Y424" s="36" t="n">
        <v>0.7</v>
      </c>
      <c r="Z424" s="36" t="inlineStr">
        <is>
          <t>sitemap-cities.xml</t>
        </is>
      </c>
      <c r="AA424" s="36" t="inlineStr">
        <is>
          <t>Live – indexable</t>
        </is>
      </c>
      <c r="AB424" s="38" t="n"/>
      <c r="AC424" s="38" t="n"/>
    </row>
    <row r="425" ht="23.85" customHeight="1" s="22">
      <c r="A425" s="36" t="inlineStr">
        <is>
          <t>P0424</t>
        </is>
      </c>
      <c r="B425" s="36" t="inlineStr">
        <is>
          <t>https://instasure.ca/car-insurance/ontario/vaughan/</t>
        </is>
      </c>
      <c r="C425" s="36" t="inlineStr">
        <is>
          <t>Product × city</t>
        </is>
      </c>
      <c r="D425" s="36" t="inlineStr">
        <is>
          <t>Car insurance</t>
        </is>
      </c>
      <c r="E425" s="36" t="inlineStr">
        <is>
          <t>Car Insurance</t>
        </is>
      </c>
      <c r="F425" s="36" t="n"/>
      <c r="G425" s="36" t="inlineStr">
        <is>
          <t>Ontario</t>
        </is>
      </c>
      <c r="H425" s="36" t="inlineStr">
        <is>
          <t>Vaughan</t>
        </is>
      </c>
      <c r="I425" s="36" t="inlineStr">
        <is>
          <t>Yes</t>
        </is>
      </c>
      <c r="J425" s="25" t="inlineStr">
        <is>
          <t>Car Insurance Vaughan, ON: Compare Quotes &amp; Costs (2026)</t>
        </is>
      </c>
      <c r="K425" s="36">
        <f>LEN(J425)</f>
        <v/>
      </c>
      <c r="L425" s="25" t="inlineStr">
        <is>
          <t>Compare car insurance in Vaughan, ON: instant estimate ($185–$287/mo example), local risk factors and advisors licensed in Ontario.</t>
        </is>
      </c>
      <c r="M425" s="36">
        <f>LEN(L425)</f>
        <v/>
      </c>
      <c r="N425" s="25" t="inlineStr">
        <is>
          <t>Car Insurance in Vaughan, ON</t>
        </is>
      </c>
      <c r="O425" s="36" t="inlineStr">
        <is>
          <t>car insurance vaughan</t>
        </is>
      </c>
      <c r="P425" s="37" t="n">
        <v>1300</v>
      </c>
      <c r="Q425" s="36" t="inlineStr">
        <is>
          <t>City</t>
        </is>
      </c>
      <c r="R425" s="36" t="n"/>
      <c r="S425" s="36">
        <f>COUNTIF('Page-Keyword Map'!$A$2:$A$675,B425)</f>
        <v/>
      </c>
      <c r="T425" s="37">
        <f>SUMIF('Page-Keyword Map'!$A$2:$A$675,B425,'Page-Keyword Map'!$H$2:$H$675)</f>
        <v/>
      </c>
      <c r="U425" s="36">
        <f>COUNTIFS('Page-Keyword Map'!$A$2:$A$675,B425,'Page-Keyword Map'!$E$2:$E$675,"Nationwide")</f>
        <v/>
      </c>
      <c r="V425" s="36">
        <f>COUNTIFS('Page-Keyword Map'!$A$2:$A$675,B425,'Page-Keyword Map'!$E$2:$E$675,"Provincial")</f>
        <v/>
      </c>
      <c r="W425" s="36">
        <f>COUNTIFS('Page-Keyword Map'!$A$2:$A$675,B425,'Page-Keyword Map'!$E$2:$E$675,"City")</f>
        <v/>
      </c>
      <c r="X425" s="36">
        <f>IF(O425="","",IF(ISNUMBER(SEARCH(O425,J425)),"Yes","No"))</f>
        <v/>
      </c>
      <c r="Y425" s="36" t="n">
        <v>0.7</v>
      </c>
      <c r="Z425" s="36" t="inlineStr">
        <is>
          <t>sitemap-cities.xml</t>
        </is>
      </c>
      <c r="AA425" s="36" t="inlineStr">
        <is>
          <t>Live – indexable</t>
        </is>
      </c>
      <c r="AB425" s="38" t="n"/>
      <c r="AC425" s="38" t="n"/>
    </row>
    <row r="426" ht="23.85" customHeight="1" s="22">
      <c r="A426" s="36" t="inlineStr">
        <is>
          <t>P0425</t>
        </is>
      </c>
      <c r="B426" s="36" t="inlineStr">
        <is>
          <t>https://instasure.ca/car-insurance/ontario/waterloo/</t>
        </is>
      </c>
      <c r="C426" s="36" t="inlineStr">
        <is>
          <t>Product × city</t>
        </is>
      </c>
      <c r="D426" s="36" t="inlineStr">
        <is>
          <t>Car insurance</t>
        </is>
      </c>
      <c r="E426" s="36" t="inlineStr">
        <is>
          <t>Car Insurance</t>
        </is>
      </c>
      <c r="F426" s="36" t="n"/>
      <c r="G426" s="36" t="inlineStr">
        <is>
          <t>Ontario</t>
        </is>
      </c>
      <c r="H426" s="36" t="inlineStr">
        <is>
          <t>Waterloo</t>
        </is>
      </c>
      <c r="I426" s="36" t="inlineStr">
        <is>
          <t>Yes</t>
        </is>
      </c>
      <c r="J426" s="25" t="inlineStr">
        <is>
          <t>Car Insurance Waterloo, ON: Compare Quotes &amp; Costs (2026)</t>
        </is>
      </c>
      <c r="K426" s="36">
        <f>LEN(J426)</f>
        <v/>
      </c>
      <c r="L426" s="25" t="inlineStr">
        <is>
          <t>Compare car insurance in Waterloo, ON: instant estimate ($116–$181/mo example), local risk factors and advisors licensed in Ontario.</t>
        </is>
      </c>
      <c r="M426" s="36">
        <f>LEN(L426)</f>
        <v/>
      </c>
      <c r="N426" s="25" t="inlineStr">
        <is>
          <t>Car Insurance in Waterloo, ON</t>
        </is>
      </c>
      <c r="O426" s="36" t="inlineStr">
        <is>
          <t>car insurance waterloo</t>
        </is>
      </c>
      <c r="P426" s="37" t="n">
        <v>300</v>
      </c>
      <c r="Q426" s="36" t="inlineStr">
        <is>
          <t>City</t>
        </is>
      </c>
      <c r="R426" s="36" t="n"/>
      <c r="S426" s="36">
        <f>COUNTIF('Page-Keyword Map'!$A$2:$A$675,B426)</f>
        <v/>
      </c>
      <c r="T426" s="37">
        <f>SUMIF('Page-Keyword Map'!$A$2:$A$675,B426,'Page-Keyword Map'!$H$2:$H$675)</f>
        <v/>
      </c>
      <c r="U426" s="36">
        <f>COUNTIFS('Page-Keyword Map'!$A$2:$A$675,B426,'Page-Keyword Map'!$E$2:$E$675,"Nationwide")</f>
        <v/>
      </c>
      <c r="V426" s="36">
        <f>COUNTIFS('Page-Keyword Map'!$A$2:$A$675,B426,'Page-Keyword Map'!$E$2:$E$675,"Provincial")</f>
        <v/>
      </c>
      <c r="W426" s="36">
        <f>COUNTIFS('Page-Keyword Map'!$A$2:$A$675,B426,'Page-Keyword Map'!$E$2:$E$675,"City")</f>
        <v/>
      </c>
      <c r="X426" s="36">
        <f>IF(O426="","",IF(ISNUMBER(SEARCH(O426,J426)),"Yes","No"))</f>
        <v/>
      </c>
      <c r="Y426" s="36" t="n">
        <v>0.5</v>
      </c>
      <c r="Z426" s="36" t="inlineStr">
        <is>
          <t>sitemap-cities.xml</t>
        </is>
      </c>
      <c r="AA426" s="36" t="inlineStr">
        <is>
          <t>Live – indexable</t>
        </is>
      </c>
      <c r="AB426" s="38" t="n"/>
      <c r="AC426" s="38" t="n"/>
    </row>
    <row r="427" ht="23.85" customHeight="1" s="22">
      <c r="A427" s="36" t="inlineStr">
        <is>
          <t>P0426</t>
        </is>
      </c>
      <c r="B427" s="36" t="inlineStr">
        <is>
          <t>https://instasure.ca/car-insurance/ontario/whitby/</t>
        </is>
      </c>
      <c r="C427" s="36" t="inlineStr">
        <is>
          <t>Product × city</t>
        </is>
      </c>
      <c r="D427" s="36" t="inlineStr">
        <is>
          <t>Car insurance</t>
        </is>
      </c>
      <c r="E427" s="36" t="inlineStr">
        <is>
          <t>Car Insurance</t>
        </is>
      </c>
      <c r="F427" s="36" t="n"/>
      <c r="G427" s="36" t="inlineStr">
        <is>
          <t>Ontario</t>
        </is>
      </c>
      <c r="H427" s="36" t="inlineStr">
        <is>
          <t>Whitby</t>
        </is>
      </c>
      <c r="I427" s="36" t="inlineStr">
        <is>
          <t>No</t>
        </is>
      </c>
      <c r="J427" s="25" t="inlineStr">
        <is>
          <t>Car Insurance Whitby, ON: Compare Quotes &amp; Costs (2026)</t>
        </is>
      </c>
      <c r="K427" s="36">
        <f>LEN(J427)</f>
        <v/>
      </c>
      <c r="L427" s="25" t="inlineStr">
        <is>
          <t>Compare car insurance in Whitby, ON: instant estimate ($151–$234/mo example), local risk factors and advisors licensed in Ontario.</t>
        </is>
      </c>
      <c r="M427" s="36">
        <f>LEN(L427)</f>
        <v/>
      </c>
      <c r="N427" s="25" t="inlineStr">
        <is>
          <t>Car Insurance in Whitby, ON</t>
        </is>
      </c>
      <c r="O427" s="36" t="inlineStr">
        <is>
          <t>car insurance whitby</t>
        </is>
      </c>
      <c r="P427" s="37" t="n">
        <v>490</v>
      </c>
      <c r="Q427" s="36" t="inlineStr">
        <is>
          <t>City</t>
        </is>
      </c>
      <c r="R427" s="36" t="n"/>
      <c r="S427" s="36">
        <f>COUNTIF('Page-Keyword Map'!$A$2:$A$675,B427)</f>
        <v/>
      </c>
      <c r="T427" s="37">
        <f>SUMIF('Page-Keyword Map'!$A$2:$A$675,B427,'Page-Keyword Map'!$H$2:$H$675)</f>
        <v/>
      </c>
      <c r="U427" s="36">
        <f>COUNTIFS('Page-Keyword Map'!$A$2:$A$675,B427,'Page-Keyword Map'!$E$2:$E$675,"Nationwide")</f>
        <v/>
      </c>
      <c r="V427" s="36">
        <f>COUNTIFS('Page-Keyword Map'!$A$2:$A$675,B427,'Page-Keyword Map'!$E$2:$E$675,"Provincial")</f>
        <v/>
      </c>
      <c r="W427" s="36">
        <f>COUNTIFS('Page-Keyword Map'!$A$2:$A$675,B427,'Page-Keyword Map'!$E$2:$E$675,"City")</f>
        <v/>
      </c>
      <c r="X427" s="36">
        <f>IF(O427="","",IF(ISNUMBER(SEARCH(O427,J427)),"Yes","No"))</f>
        <v/>
      </c>
      <c r="Y427" s="36" t="n">
        <v>0.5</v>
      </c>
      <c r="Z427" s="36" t="inlineStr">
        <is>
          <t>(not listed: noindex)</t>
        </is>
      </c>
      <c r="AA427" s="36" t="inlineStr">
        <is>
          <t>Live – noindex (enrich before indexing)</t>
        </is>
      </c>
      <c r="AB427" s="38" t="n"/>
      <c r="AC427" s="38" t="n"/>
    </row>
    <row r="428" ht="23.85" customHeight="1" s="22">
      <c r="A428" s="36" t="inlineStr">
        <is>
          <t>P0427</t>
        </is>
      </c>
      <c r="B428" s="36" t="inlineStr">
        <is>
          <t>https://instasure.ca/car-insurance/ontario/windsor/</t>
        </is>
      </c>
      <c r="C428" s="36" t="inlineStr">
        <is>
          <t>Product × city</t>
        </is>
      </c>
      <c r="D428" s="36" t="inlineStr">
        <is>
          <t>Car insurance</t>
        </is>
      </c>
      <c r="E428" s="36" t="inlineStr">
        <is>
          <t>Car Insurance</t>
        </is>
      </c>
      <c r="F428" s="36" t="n"/>
      <c r="G428" s="36" t="inlineStr">
        <is>
          <t>Ontario</t>
        </is>
      </c>
      <c r="H428" s="36" t="inlineStr">
        <is>
          <t>Windsor</t>
        </is>
      </c>
      <c r="I428" s="36" t="inlineStr">
        <is>
          <t>Yes</t>
        </is>
      </c>
      <c r="J428" s="25" t="inlineStr">
        <is>
          <t>Car Insurance Windsor, ON: Compare Quotes &amp; Costs (2026)</t>
        </is>
      </c>
      <c r="K428" s="36">
        <f>LEN(J428)</f>
        <v/>
      </c>
      <c r="L428" s="25" t="inlineStr">
        <is>
          <t>Compare car insurance in Windsor, ON: instant estimate ($137–$212/mo example), local risk factors and advisors licensed in Ontario.</t>
        </is>
      </c>
      <c r="M428" s="36">
        <f>LEN(L428)</f>
        <v/>
      </c>
      <c r="N428" s="25" t="inlineStr">
        <is>
          <t>Car Insurance in Windsor, ON</t>
        </is>
      </c>
      <c r="O428" s="36" t="inlineStr">
        <is>
          <t>car insurance windsor</t>
        </is>
      </c>
      <c r="P428" s="37" t="n">
        <v>640</v>
      </c>
      <c r="Q428" s="36" t="inlineStr">
        <is>
          <t>City</t>
        </is>
      </c>
      <c r="R428" s="36" t="n"/>
      <c r="S428" s="36">
        <f>COUNTIF('Page-Keyword Map'!$A$2:$A$675,B428)</f>
        <v/>
      </c>
      <c r="T428" s="37">
        <f>SUMIF('Page-Keyword Map'!$A$2:$A$675,B428,'Page-Keyword Map'!$H$2:$H$675)</f>
        <v/>
      </c>
      <c r="U428" s="36">
        <f>COUNTIFS('Page-Keyword Map'!$A$2:$A$675,B428,'Page-Keyword Map'!$E$2:$E$675,"Nationwide")</f>
        <v/>
      </c>
      <c r="V428" s="36">
        <f>COUNTIFS('Page-Keyword Map'!$A$2:$A$675,B428,'Page-Keyword Map'!$E$2:$E$675,"Provincial")</f>
        <v/>
      </c>
      <c r="W428" s="36">
        <f>COUNTIFS('Page-Keyword Map'!$A$2:$A$675,B428,'Page-Keyword Map'!$E$2:$E$675,"City")</f>
        <v/>
      </c>
      <c r="X428" s="36">
        <f>IF(O428="","",IF(ISNUMBER(SEARCH(O428,J428)),"Yes","No"))</f>
        <v/>
      </c>
      <c r="Y428" s="36" t="n">
        <v>0.7</v>
      </c>
      <c r="Z428" s="36" t="inlineStr">
        <is>
          <t>sitemap-cities.xml</t>
        </is>
      </c>
      <c r="AA428" s="36" t="inlineStr">
        <is>
          <t>Live – indexable</t>
        </is>
      </c>
      <c r="AB428" s="38" t="n"/>
      <c r="AC428" s="38" t="n"/>
    </row>
    <row r="429" ht="23.85" customHeight="1" s="22">
      <c r="A429" s="36" t="inlineStr">
        <is>
          <t>P0428</t>
        </is>
      </c>
      <c r="B429" s="36" t="inlineStr">
        <is>
          <t>https://instasure.ca/car-insurance/prince-edward-island/charlottetown/</t>
        </is>
      </c>
      <c r="C429" s="36" t="inlineStr">
        <is>
          <t>Product × city</t>
        </is>
      </c>
      <c r="D429" s="36" t="inlineStr">
        <is>
          <t>Car insurance</t>
        </is>
      </c>
      <c r="E429" s="36" t="inlineStr">
        <is>
          <t>Car Insurance</t>
        </is>
      </c>
      <c r="F429" s="36" t="n"/>
      <c r="G429" s="36" t="inlineStr">
        <is>
          <t>Prince Edward Island</t>
        </is>
      </c>
      <c r="H429" s="36" t="inlineStr">
        <is>
          <t>Charlottetown</t>
        </is>
      </c>
      <c r="I429" s="36" t="inlineStr">
        <is>
          <t>Yes</t>
        </is>
      </c>
      <c r="J429" s="25" t="inlineStr">
        <is>
          <t>Car Insurance Charlottetown, PE: Compare Quotes &amp; Costs (2026)</t>
        </is>
      </c>
      <c r="K429" s="36">
        <f>LEN(J429)</f>
        <v/>
      </c>
      <c r="L429" s="25" t="inlineStr">
        <is>
          <t>Compare car insurance in Charlottetown, PE: instant estimate ($60.00–$93.00/mo example), local risk factors and advisors licensed in Prince Edward Island.</t>
        </is>
      </c>
      <c r="M429" s="36">
        <f>LEN(L429)</f>
        <v/>
      </c>
      <c r="N429" s="25" t="inlineStr">
        <is>
          <t>Car Insurance in Charlottetown, PE</t>
        </is>
      </c>
      <c r="O429" s="36" t="inlineStr">
        <is>
          <t>car insurance charlottetown</t>
        </is>
      </c>
      <c r="P429" s="37" t="n">
        <v>150</v>
      </c>
      <c r="Q429" s="36" t="inlineStr">
        <is>
          <t>City</t>
        </is>
      </c>
      <c r="R429" s="36" t="n"/>
      <c r="S429" s="36">
        <f>COUNTIF('Page-Keyword Map'!$A$2:$A$675,B429)</f>
        <v/>
      </c>
      <c r="T429" s="37">
        <f>SUMIF('Page-Keyword Map'!$A$2:$A$675,B429,'Page-Keyword Map'!$H$2:$H$675)</f>
        <v/>
      </c>
      <c r="U429" s="36">
        <f>COUNTIFS('Page-Keyword Map'!$A$2:$A$675,B429,'Page-Keyword Map'!$E$2:$E$675,"Nationwide")</f>
        <v/>
      </c>
      <c r="V429" s="36">
        <f>COUNTIFS('Page-Keyword Map'!$A$2:$A$675,B429,'Page-Keyword Map'!$E$2:$E$675,"Provincial")</f>
        <v/>
      </c>
      <c r="W429" s="36">
        <f>COUNTIFS('Page-Keyword Map'!$A$2:$A$675,B429,'Page-Keyword Map'!$E$2:$E$675,"City")</f>
        <v/>
      </c>
      <c r="X429" s="36">
        <f>IF(O429="","",IF(ISNUMBER(SEARCH(O429,J429)),"Yes","No"))</f>
        <v/>
      </c>
      <c r="Y429" s="36" t="n">
        <v>0.5</v>
      </c>
      <c r="Z429" s="36" t="inlineStr">
        <is>
          <t>sitemap-cities.xml</t>
        </is>
      </c>
      <c r="AA429" s="36" t="inlineStr">
        <is>
          <t>Live – indexable</t>
        </is>
      </c>
      <c r="AB429" s="38" t="n"/>
      <c r="AC429" s="38" t="n"/>
    </row>
    <row r="430" ht="23.85" customHeight="1" s="22">
      <c r="A430" s="36" t="inlineStr">
        <is>
          <t>P0429</t>
        </is>
      </c>
      <c r="B430" s="36" t="inlineStr">
        <is>
          <t>https://instasure.ca/car-insurance/quebec/gatineau/</t>
        </is>
      </c>
      <c r="C430" s="36" t="inlineStr">
        <is>
          <t>Product × city</t>
        </is>
      </c>
      <c r="D430" s="36" t="inlineStr">
        <is>
          <t>Car insurance</t>
        </is>
      </c>
      <c r="E430" s="36" t="inlineStr">
        <is>
          <t>Car Insurance</t>
        </is>
      </c>
      <c r="F430" s="36" t="n"/>
      <c r="G430" s="36" t="inlineStr">
        <is>
          <t>Quebec</t>
        </is>
      </c>
      <c r="H430" s="36" t="inlineStr">
        <is>
          <t>Gatineau</t>
        </is>
      </c>
      <c r="I430" s="36" t="inlineStr">
        <is>
          <t>Yes</t>
        </is>
      </c>
      <c r="J430" s="25" t="inlineStr">
        <is>
          <t>Car Insurance Gatineau, QC: Compare Quotes &amp; Costs (2026)</t>
        </is>
      </c>
      <c r="K430" s="36">
        <f>LEN(J430)</f>
        <v/>
      </c>
      <c r="L430" s="25" t="inlineStr">
        <is>
          <t>Compare car insurance in Gatineau, QC: instant estimate ($57.00–$89.00/mo example), local risk factors and a waitlist for licensed advice in Quebec.</t>
        </is>
      </c>
      <c r="M430" s="36">
        <f>LEN(L430)</f>
        <v/>
      </c>
      <c r="N430" s="25" t="inlineStr">
        <is>
          <t>Car Insurance in Gatineau, QC</t>
        </is>
      </c>
      <c r="O430" s="36" t="inlineStr">
        <is>
          <t>car insurance gatineau</t>
        </is>
      </c>
      <c r="P430" s="37" t="n">
        <v>210</v>
      </c>
      <c r="Q430" s="36" t="inlineStr">
        <is>
          <t>City</t>
        </is>
      </c>
      <c r="R430" s="36" t="n"/>
      <c r="S430" s="36">
        <f>COUNTIF('Page-Keyword Map'!$A$2:$A$675,B430)</f>
        <v/>
      </c>
      <c r="T430" s="37">
        <f>SUMIF('Page-Keyword Map'!$A$2:$A$675,B430,'Page-Keyword Map'!$H$2:$H$675)</f>
        <v/>
      </c>
      <c r="U430" s="36">
        <f>COUNTIFS('Page-Keyword Map'!$A$2:$A$675,B430,'Page-Keyword Map'!$E$2:$E$675,"Nationwide")</f>
        <v/>
      </c>
      <c r="V430" s="36">
        <f>COUNTIFS('Page-Keyword Map'!$A$2:$A$675,B430,'Page-Keyword Map'!$E$2:$E$675,"Provincial")</f>
        <v/>
      </c>
      <c r="W430" s="36">
        <f>COUNTIFS('Page-Keyword Map'!$A$2:$A$675,B430,'Page-Keyword Map'!$E$2:$E$675,"City")</f>
        <v/>
      </c>
      <c r="X430" s="36">
        <f>IF(O430="","",IF(ISNUMBER(SEARCH(O430,J430)),"Yes","No"))</f>
        <v/>
      </c>
      <c r="Y430" s="36" t="n">
        <v>0.5</v>
      </c>
      <c r="Z430" s="36" t="inlineStr">
        <is>
          <t>sitemap-cities.xml</t>
        </is>
      </c>
      <c r="AA430" s="36" t="inlineStr">
        <is>
          <t>Live – indexable</t>
        </is>
      </c>
      <c r="AB430" s="38" t="n"/>
      <c r="AC430" s="38" t="n"/>
    </row>
    <row r="431" ht="23.85" customHeight="1" s="22">
      <c r="A431" s="36" t="inlineStr">
        <is>
          <t>P0430</t>
        </is>
      </c>
      <c r="B431" s="36" t="inlineStr">
        <is>
          <t>https://instasure.ca/car-insurance/quebec/laval/</t>
        </is>
      </c>
      <c r="C431" s="36" t="inlineStr">
        <is>
          <t>Product × city</t>
        </is>
      </c>
      <c r="D431" s="36" t="inlineStr">
        <is>
          <t>Car insurance</t>
        </is>
      </c>
      <c r="E431" s="36" t="inlineStr">
        <is>
          <t>Car Insurance</t>
        </is>
      </c>
      <c r="F431" s="36" t="n"/>
      <c r="G431" s="36" t="inlineStr">
        <is>
          <t>Quebec</t>
        </is>
      </c>
      <c r="H431" s="36" t="inlineStr">
        <is>
          <t>Laval</t>
        </is>
      </c>
      <c r="I431" s="36" t="inlineStr">
        <is>
          <t>Yes</t>
        </is>
      </c>
      <c r="J431" s="25" t="inlineStr">
        <is>
          <t>Car Insurance Laval, QC: Compare Quotes &amp; Costs (2026)</t>
        </is>
      </c>
      <c r="K431" s="36">
        <f>LEN(J431)</f>
        <v/>
      </c>
      <c r="L431" s="25" t="inlineStr">
        <is>
          <t>Compare car insurance in Laval, QC: instant estimate ($66.00–$103/mo example), local risk factors and a waitlist for licensed advice in Quebec.</t>
        </is>
      </c>
      <c r="M431" s="36">
        <f>LEN(L431)</f>
        <v/>
      </c>
      <c r="N431" s="25" t="inlineStr">
        <is>
          <t>Car Insurance in Laval, QC</t>
        </is>
      </c>
      <c r="O431" s="36" t="inlineStr">
        <is>
          <t>car insurance laval</t>
        </is>
      </c>
      <c r="P431" s="37" t="n">
        <v>370</v>
      </c>
      <c r="Q431" s="36" t="inlineStr">
        <is>
          <t>City</t>
        </is>
      </c>
      <c r="R431" s="36" t="n"/>
      <c r="S431" s="36">
        <f>COUNTIF('Page-Keyword Map'!$A$2:$A$675,B431)</f>
        <v/>
      </c>
      <c r="T431" s="37">
        <f>SUMIF('Page-Keyword Map'!$A$2:$A$675,B431,'Page-Keyword Map'!$H$2:$H$675)</f>
        <v/>
      </c>
      <c r="U431" s="36">
        <f>COUNTIFS('Page-Keyword Map'!$A$2:$A$675,B431,'Page-Keyword Map'!$E$2:$E$675,"Nationwide")</f>
        <v/>
      </c>
      <c r="V431" s="36">
        <f>COUNTIFS('Page-Keyword Map'!$A$2:$A$675,B431,'Page-Keyword Map'!$E$2:$E$675,"Provincial")</f>
        <v/>
      </c>
      <c r="W431" s="36">
        <f>COUNTIFS('Page-Keyword Map'!$A$2:$A$675,B431,'Page-Keyword Map'!$E$2:$E$675,"City")</f>
        <v/>
      </c>
      <c r="X431" s="36">
        <f>IF(O431="","",IF(ISNUMBER(SEARCH(O431,J431)),"Yes","No"))</f>
        <v/>
      </c>
      <c r="Y431" s="36" t="n">
        <v>0.7</v>
      </c>
      <c r="Z431" s="36" t="inlineStr">
        <is>
          <t>sitemap-cities.xml</t>
        </is>
      </c>
      <c r="AA431" s="36" t="inlineStr">
        <is>
          <t>Live – indexable</t>
        </is>
      </c>
      <c r="AB431" s="38" t="n"/>
      <c r="AC431" s="38" t="n"/>
    </row>
    <row r="432" ht="23.85" customHeight="1" s="22">
      <c r="A432" s="36" t="inlineStr">
        <is>
          <t>P0431</t>
        </is>
      </c>
      <c r="B432" s="36" t="inlineStr">
        <is>
          <t>https://instasure.ca/car-insurance/quebec/longueuil/</t>
        </is>
      </c>
      <c r="C432" s="36" t="inlineStr">
        <is>
          <t>Product × city</t>
        </is>
      </c>
      <c r="D432" s="36" t="inlineStr">
        <is>
          <t>Car insurance</t>
        </is>
      </c>
      <c r="E432" s="36" t="inlineStr">
        <is>
          <t>Car Insurance</t>
        </is>
      </c>
      <c r="F432" s="36" t="n"/>
      <c r="G432" s="36" t="inlineStr">
        <is>
          <t>Quebec</t>
        </is>
      </c>
      <c r="H432" s="36" t="inlineStr">
        <is>
          <t>Longueuil</t>
        </is>
      </c>
      <c r="I432" s="36" t="inlineStr">
        <is>
          <t>Yes</t>
        </is>
      </c>
      <c r="J432" s="25" t="inlineStr">
        <is>
          <t>Car Insurance Longueuil, QC: Compare Quotes &amp; Costs (2026)</t>
        </is>
      </c>
      <c r="K432" s="36">
        <f>LEN(J432)</f>
        <v/>
      </c>
      <c r="L432" s="25" t="inlineStr">
        <is>
          <t>Compare car insurance in Longueuil, QC: instant estimate ($63.00–$98.00/mo example), local risk factors and a waitlist for licensed advice in Quebec.</t>
        </is>
      </c>
      <c r="M432" s="36">
        <f>LEN(L432)</f>
        <v/>
      </c>
      <c r="N432" s="25" t="inlineStr">
        <is>
          <t>Car Insurance in Longueuil, QC</t>
        </is>
      </c>
      <c r="O432" s="36" t="inlineStr">
        <is>
          <t>car insurance longueuil</t>
        </is>
      </c>
      <c r="P432" s="37" t="n">
        <v>220</v>
      </c>
      <c r="Q432" s="36" t="inlineStr">
        <is>
          <t>City</t>
        </is>
      </c>
      <c r="R432" s="36" t="n"/>
      <c r="S432" s="36">
        <f>COUNTIF('Page-Keyword Map'!$A$2:$A$675,B432)</f>
        <v/>
      </c>
      <c r="T432" s="37">
        <f>SUMIF('Page-Keyword Map'!$A$2:$A$675,B432,'Page-Keyword Map'!$H$2:$H$675)</f>
        <v/>
      </c>
      <c r="U432" s="36">
        <f>COUNTIFS('Page-Keyword Map'!$A$2:$A$675,B432,'Page-Keyword Map'!$E$2:$E$675,"Nationwide")</f>
        <v/>
      </c>
      <c r="V432" s="36">
        <f>COUNTIFS('Page-Keyword Map'!$A$2:$A$675,B432,'Page-Keyword Map'!$E$2:$E$675,"Provincial")</f>
        <v/>
      </c>
      <c r="W432" s="36">
        <f>COUNTIFS('Page-Keyword Map'!$A$2:$A$675,B432,'Page-Keyword Map'!$E$2:$E$675,"City")</f>
        <v/>
      </c>
      <c r="X432" s="36">
        <f>IF(O432="","",IF(ISNUMBER(SEARCH(O432,J432)),"Yes","No"))</f>
        <v/>
      </c>
      <c r="Y432" s="36" t="n">
        <v>0.5</v>
      </c>
      <c r="Z432" s="36" t="inlineStr">
        <is>
          <t>sitemap-cities.xml</t>
        </is>
      </c>
      <c r="AA432" s="36" t="inlineStr">
        <is>
          <t>Live – indexable</t>
        </is>
      </c>
      <c r="AB432" s="38" t="n"/>
      <c r="AC432" s="38" t="n"/>
    </row>
    <row r="433" ht="23.85" customHeight="1" s="22">
      <c r="A433" s="36" t="inlineStr">
        <is>
          <t>P0432</t>
        </is>
      </c>
      <c r="B433" s="36" t="inlineStr">
        <is>
          <t>https://instasure.ca/car-insurance/quebec/montreal/</t>
        </is>
      </c>
      <c r="C433" s="36" t="inlineStr">
        <is>
          <t>Product × city</t>
        </is>
      </c>
      <c r="D433" s="36" t="inlineStr">
        <is>
          <t>Car insurance</t>
        </is>
      </c>
      <c r="E433" s="36" t="inlineStr">
        <is>
          <t>Car Insurance</t>
        </is>
      </c>
      <c r="F433" s="36" t="n"/>
      <c r="G433" s="36" t="inlineStr">
        <is>
          <t>Quebec</t>
        </is>
      </c>
      <c r="H433" s="36" t="inlineStr">
        <is>
          <t>Montreal</t>
        </is>
      </c>
      <c r="I433" s="36" t="inlineStr">
        <is>
          <t>Yes</t>
        </is>
      </c>
      <c r="J433" s="25" t="inlineStr">
        <is>
          <t>Car Insurance Montreal, QC: Compare Quotes &amp; Costs (2026)</t>
        </is>
      </c>
      <c r="K433" s="36">
        <f>LEN(J433)</f>
        <v/>
      </c>
      <c r="L433" s="25" t="inlineStr">
        <is>
          <t>Compare car insurance in Montreal, QC: instant estimate ($69.00–$107/mo example), local risk factors and a waitlist for licensed advice in Quebec.</t>
        </is>
      </c>
      <c r="M433" s="36">
        <f>LEN(L433)</f>
        <v/>
      </c>
      <c r="N433" s="25" t="inlineStr">
        <is>
          <t>Car Insurance in Montreal, QC</t>
        </is>
      </c>
      <c r="O433" s="36" t="inlineStr">
        <is>
          <t>car insurance montreal</t>
        </is>
      </c>
      <c r="P433" s="37" t="n">
        <v>1200</v>
      </c>
      <c r="Q433" s="36" t="inlineStr">
        <is>
          <t>City</t>
        </is>
      </c>
      <c r="R433" s="36" t="n"/>
      <c r="S433" s="36">
        <f>COUNTIF('Page-Keyword Map'!$A$2:$A$675,B433)</f>
        <v/>
      </c>
      <c r="T433" s="37">
        <f>SUMIF('Page-Keyword Map'!$A$2:$A$675,B433,'Page-Keyword Map'!$H$2:$H$675)</f>
        <v/>
      </c>
      <c r="U433" s="36">
        <f>COUNTIFS('Page-Keyword Map'!$A$2:$A$675,B433,'Page-Keyword Map'!$E$2:$E$675,"Nationwide")</f>
        <v/>
      </c>
      <c r="V433" s="36">
        <f>COUNTIFS('Page-Keyword Map'!$A$2:$A$675,B433,'Page-Keyword Map'!$E$2:$E$675,"Provincial")</f>
        <v/>
      </c>
      <c r="W433" s="36">
        <f>COUNTIFS('Page-Keyword Map'!$A$2:$A$675,B433,'Page-Keyword Map'!$E$2:$E$675,"City")</f>
        <v/>
      </c>
      <c r="X433" s="36">
        <f>IF(O433="","",IF(ISNUMBER(SEARCH(O433,J433)),"Yes","No"))</f>
        <v/>
      </c>
      <c r="Y433" s="36" t="n">
        <v>0.7</v>
      </c>
      <c r="Z433" s="36" t="inlineStr">
        <is>
          <t>sitemap-cities.xml</t>
        </is>
      </c>
      <c r="AA433" s="36" t="inlineStr">
        <is>
          <t>Live – indexable</t>
        </is>
      </c>
      <c r="AB433" s="38" t="n"/>
      <c r="AC433" s="38" t="n"/>
    </row>
    <row r="434" ht="23.85" customHeight="1" s="22">
      <c r="A434" s="36" t="inlineStr">
        <is>
          <t>P0433</t>
        </is>
      </c>
      <c r="B434" s="36" t="inlineStr">
        <is>
          <t>https://instasure.ca/car-insurance/quebec/quebec-city/</t>
        </is>
      </c>
      <c r="C434" s="36" t="inlineStr">
        <is>
          <t>Product × city</t>
        </is>
      </c>
      <c r="D434" s="36" t="inlineStr">
        <is>
          <t>Car insurance</t>
        </is>
      </c>
      <c r="E434" s="36" t="inlineStr">
        <is>
          <t>Car Insurance</t>
        </is>
      </c>
      <c r="F434" s="36" t="n"/>
      <c r="G434" s="36" t="inlineStr">
        <is>
          <t>Quebec</t>
        </is>
      </c>
      <c r="H434" s="36" t="inlineStr">
        <is>
          <t>Quebec City</t>
        </is>
      </c>
      <c r="I434" s="36" t="inlineStr">
        <is>
          <t>Yes</t>
        </is>
      </c>
      <c r="J434" s="25" t="inlineStr">
        <is>
          <t>Car Insurance Quebec City, QC: Compare Quotes &amp; Costs (2026)</t>
        </is>
      </c>
      <c r="K434" s="36">
        <f>LEN(J434)</f>
        <v/>
      </c>
      <c r="L434" s="25" t="inlineStr">
        <is>
          <t>Compare car insurance in Quebec City, QC: instant estimate ($51.00–$79.00/mo example), local risk factors and a waitlist for licensed advice in Quebec.</t>
        </is>
      </c>
      <c r="M434" s="36">
        <f>LEN(L434)</f>
        <v/>
      </c>
      <c r="N434" s="25" t="inlineStr">
        <is>
          <t>Car Insurance in Quebec City, QC</t>
        </is>
      </c>
      <c r="O434" s="36" t="inlineStr">
        <is>
          <t>car insurance quebec city</t>
        </is>
      </c>
      <c r="P434" s="37" t="n">
        <v>300</v>
      </c>
      <c r="Q434" s="36" t="inlineStr">
        <is>
          <t>City</t>
        </is>
      </c>
      <c r="R434" s="36" t="n"/>
      <c r="S434" s="36">
        <f>COUNTIF('Page-Keyword Map'!$A$2:$A$675,B434)</f>
        <v/>
      </c>
      <c r="T434" s="37">
        <f>SUMIF('Page-Keyword Map'!$A$2:$A$675,B434,'Page-Keyword Map'!$H$2:$H$675)</f>
        <v/>
      </c>
      <c r="U434" s="36">
        <f>COUNTIFS('Page-Keyword Map'!$A$2:$A$675,B434,'Page-Keyword Map'!$E$2:$E$675,"Nationwide")</f>
        <v/>
      </c>
      <c r="V434" s="36">
        <f>COUNTIFS('Page-Keyword Map'!$A$2:$A$675,B434,'Page-Keyword Map'!$E$2:$E$675,"Provincial")</f>
        <v/>
      </c>
      <c r="W434" s="36">
        <f>COUNTIFS('Page-Keyword Map'!$A$2:$A$675,B434,'Page-Keyword Map'!$E$2:$E$675,"City")</f>
        <v/>
      </c>
      <c r="X434" s="36">
        <f>IF(O434="","",IF(ISNUMBER(SEARCH(O434,J434)),"Yes","No"))</f>
        <v/>
      </c>
      <c r="Y434" s="36" t="n">
        <v>0.7</v>
      </c>
      <c r="Z434" s="36" t="inlineStr">
        <is>
          <t>sitemap-cities.xml</t>
        </is>
      </c>
      <c r="AA434" s="36" t="inlineStr">
        <is>
          <t>Live – indexable</t>
        </is>
      </c>
      <c r="AB434" s="38" t="n"/>
      <c r="AC434" s="38" t="n"/>
    </row>
    <row r="435" ht="23.85" customHeight="1" s="22">
      <c r="A435" s="36" t="inlineStr">
        <is>
          <t>P0434</t>
        </is>
      </c>
      <c r="B435" s="36" t="inlineStr">
        <is>
          <t>https://instasure.ca/car-insurance/quebec/sherbrooke/</t>
        </is>
      </c>
      <c r="C435" s="36" t="inlineStr">
        <is>
          <t>Product × city</t>
        </is>
      </c>
      <c r="D435" s="36" t="inlineStr">
        <is>
          <t>Car insurance</t>
        </is>
      </c>
      <c r="E435" s="36" t="inlineStr">
        <is>
          <t>Car Insurance</t>
        </is>
      </c>
      <c r="F435" s="36" t="n"/>
      <c r="G435" s="36" t="inlineStr">
        <is>
          <t>Quebec</t>
        </is>
      </c>
      <c r="H435" s="36" t="inlineStr">
        <is>
          <t>Sherbrooke</t>
        </is>
      </c>
      <c r="I435" s="36" t="inlineStr">
        <is>
          <t>No</t>
        </is>
      </c>
      <c r="J435" s="25" t="inlineStr">
        <is>
          <t>Car Insurance Sherbrooke, QC: Compare Quotes &amp; Costs (2026)</t>
        </is>
      </c>
      <c r="K435" s="36">
        <f>LEN(J435)</f>
        <v/>
      </c>
      <c r="L435" s="25" t="inlineStr">
        <is>
          <t>Compare car insurance in Sherbrooke, QC: instant estimate ($51.00–$79.00/mo example), local risk factors and a waitlist for licensed advice in Quebec.</t>
        </is>
      </c>
      <c r="M435" s="36">
        <f>LEN(L435)</f>
        <v/>
      </c>
      <c r="N435" s="25" t="inlineStr">
        <is>
          <t>Car Insurance in Sherbrooke, QC</t>
        </is>
      </c>
      <c r="O435" s="36" t="inlineStr">
        <is>
          <t>car insurance sherbrooke</t>
        </is>
      </c>
      <c r="P435" s="37" t="n">
        <v>120</v>
      </c>
      <c r="Q435" s="36" t="inlineStr">
        <is>
          <t>City</t>
        </is>
      </c>
      <c r="R435" s="36" t="n"/>
      <c r="S435" s="36">
        <f>COUNTIF('Page-Keyword Map'!$A$2:$A$675,B435)</f>
        <v/>
      </c>
      <c r="T435" s="37">
        <f>SUMIF('Page-Keyword Map'!$A$2:$A$675,B435,'Page-Keyword Map'!$H$2:$H$675)</f>
        <v/>
      </c>
      <c r="U435" s="36">
        <f>COUNTIFS('Page-Keyword Map'!$A$2:$A$675,B435,'Page-Keyword Map'!$E$2:$E$675,"Nationwide")</f>
        <v/>
      </c>
      <c r="V435" s="36">
        <f>COUNTIFS('Page-Keyword Map'!$A$2:$A$675,B435,'Page-Keyword Map'!$E$2:$E$675,"Provincial")</f>
        <v/>
      </c>
      <c r="W435" s="36">
        <f>COUNTIFS('Page-Keyword Map'!$A$2:$A$675,B435,'Page-Keyword Map'!$E$2:$E$675,"City")</f>
        <v/>
      </c>
      <c r="X435" s="36">
        <f>IF(O435="","",IF(ISNUMBER(SEARCH(O435,J435)),"Yes","No"))</f>
        <v/>
      </c>
      <c r="Y435" s="36" t="n">
        <v>0.5</v>
      </c>
      <c r="Z435" s="36" t="inlineStr">
        <is>
          <t>(not listed: noindex)</t>
        </is>
      </c>
      <c r="AA435" s="36" t="inlineStr">
        <is>
          <t>Live – noindex (enrich before indexing)</t>
        </is>
      </c>
      <c r="AB435" s="38" t="n"/>
      <c r="AC435" s="38" t="n"/>
    </row>
    <row r="436" ht="23.85" customHeight="1" s="22">
      <c r="A436" s="36" t="inlineStr">
        <is>
          <t>P0435</t>
        </is>
      </c>
      <c r="B436" s="36" t="inlineStr">
        <is>
          <t>https://instasure.ca/car-insurance/saskatchewan/regina/</t>
        </is>
      </c>
      <c r="C436" s="36" t="inlineStr">
        <is>
          <t>Product × city</t>
        </is>
      </c>
      <c r="D436" s="36" t="inlineStr">
        <is>
          <t>Car insurance</t>
        </is>
      </c>
      <c r="E436" s="36" t="inlineStr">
        <is>
          <t>Car Insurance</t>
        </is>
      </c>
      <c r="F436" s="36" t="n"/>
      <c r="G436" s="36" t="inlineStr">
        <is>
          <t>Saskatchewan</t>
        </is>
      </c>
      <c r="H436" s="36" t="inlineStr">
        <is>
          <t>Regina</t>
        </is>
      </c>
      <c r="I436" s="36" t="inlineStr">
        <is>
          <t>Yes</t>
        </is>
      </c>
      <c r="J436" s="25" t="inlineStr">
        <is>
          <t>Car Insurance Regina, SK: Compare Quotes &amp; Costs (2026)</t>
        </is>
      </c>
      <c r="K436" s="36">
        <f>LEN(J436)</f>
        <v/>
      </c>
      <c r="L436" s="25" t="inlineStr">
        <is>
          <t>Compare car insurance in Regina, SK: instant estimate ($82.00–$128/mo example), local risk factors and advisors licensed in Saskatchewan.</t>
        </is>
      </c>
      <c r="M436" s="36">
        <f>LEN(L436)</f>
        <v/>
      </c>
      <c r="N436" s="25" t="inlineStr">
        <is>
          <t>Car Insurance in Regina, SK</t>
        </is>
      </c>
      <c r="O436" s="36" t="inlineStr">
        <is>
          <t>car insurance regina</t>
        </is>
      </c>
      <c r="P436" s="37" t="n">
        <v>320</v>
      </c>
      <c r="Q436" s="36" t="inlineStr">
        <is>
          <t>City</t>
        </is>
      </c>
      <c r="R436" s="36" t="n"/>
      <c r="S436" s="36">
        <f>COUNTIF('Page-Keyword Map'!$A$2:$A$675,B436)</f>
        <v/>
      </c>
      <c r="T436" s="37">
        <f>SUMIF('Page-Keyword Map'!$A$2:$A$675,B436,'Page-Keyword Map'!$H$2:$H$675)</f>
        <v/>
      </c>
      <c r="U436" s="36">
        <f>COUNTIFS('Page-Keyword Map'!$A$2:$A$675,B436,'Page-Keyword Map'!$E$2:$E$675,"Nationwide")</f>
        <v/>
      </c>
      <c r="V436" s="36">
        <f>COUNTIFS('Page-Keyword Map'!$A$2:$A$675,B436,'Page-Keyword Map'!$E$2:$E$675,"Provincial")</f>
        <v/>
      </c>
      <c r="W436" s="36">
        <f>COUNTIFS('Page-Keyword Map'!$A$2:$A$675,B436,'Page-Keyword Map'!$E$2:$E$675,"City")</f>
        <v/>
      </c>
      <c r="X436" s="36">
        <f>IF(O436="","",IF(ISNUMBER(SEARCH(O436,J436)),"Yes","No"))</f>
        <v/>
      </c>
      <c r="Y436" s="36" t="n">
        <v>0.7</v>
      </c>
      <c r="Z436" s="36" t="inlineStr">
        <is>
          <t>sitemap-cities.xml</t>
        </is>
      </c>
      <c r="AA436" s="36" t="inlineStr">
        <is>
          <t>Live – indexable</t>
        </is>
      </c>
      <c r="AB436" s="38" t="n"/>
      <c r="AC436" s="38" t="n"/>
    </row>
    <row r="437" ht="23.85" customHeight="1" s="22">
      <c r="A437" s="36" t="inlineStr">
        <is>
          <t>P0436</t>
        </is>
      </c>
      <c r="B437" s="36" t="inlineStr">
        <is>
          <t>https://instasure.ca/car-insurance/saskatchewan/saskatoon/</t>
        </is>
      </c>
      <c r="C437" s="36" t="inlineStr">
        <is>
          <t>Product × city</t>
        </is>
      </c>
      <c r="D437" s="36" t="inlineStr">
        <is>
          <t>Car insurance</t>
        </is>
      </c>
      <c r="E437" s="36" t="inlineStr">
        <is>
          <t>Car Insurance</t>
        </is>
      </c>
      <c r="F437" s="36" t="n"/>
      <c r="G437" s="36" t="inlineStr">
        <is>
          <t>Saskatchewan</t>
        </is>
      </c>
      <c r="H437" s="36" t="inlineStr">
        <is>
          <t>Saskatoon</t>
        </is>
      </c>
      <c r="I437" s="36" t="inlineStr">
        <is>
          <t>Yes</t>
        </is>
      </c>
      <c r="J437" s="25" t="inlineStr">
        <is>
          <t>Car Insurance Saskatoon, SK: Compare Quotes &amp; Costs (2026)</t>
        </is>
      </c>
      <c r="K437" s="36">
        <f>LEN(J437)</f>
        <v/>
      </c>
      <c r="L437" s="25" t="inlineStr">
        <is>
          <t>Compare car insurance in Saskatoon, SK: instant estimate ($82.00–$128/mo example), local risk factors and advisors licensed in Saskatchewan.</t>
        </is>
      </c>
      <c r="M437" s="36">
        <f>LEN(L437)</f>
        <v/>
      </c>
      <c r="N437" s="25" t="inlineStr">
        <is>
          <t>Car Insurance in Saskatoon, SK</t>
        </is>
      </c>
      <c r="O437" s="36" t="inlineStr">
        <is>
          <t>car insurance saskatoon</t>
        </is>
      </c>
      <c r="P437" s="37" t="n">
        <v>360</v>
      </c>
      <c r="Q437" s="36" t="inlineStr">
        <is>
          <t>City</t>
        </is>
      </c>
      <c r="R437" s="36" t="n"/>
      <c r="S437" s="36">
        <f>COUNTIF('Page-Keyword Map'!$A$2:$A$675,B437)</f>
        <v/>
      </c>
      <c r="T437" s="37">
        <f>SUMIF('Page-Keyword Map'!$A$2:$A$675,B437,'Page-Keyword Map'!$H$2:$H$675)</f>
        <v/>
      </c>
      <c r="U437" s="36">
        <f>COUNTIFS('Page-Keyword Map'!$A$2:$A$675,B437,'Page-Keyword Map'!$E$2:$E$675,"Nationwide")</f>
        <v/>
      </c>
      <c r="V437" s="36">
        <f>COUNTIFS('Page-Keyword Map'!$A$2:$A$675,B437,'Page-Keyword Map'!$E$2:$E$675,"Provincial")</f>
        <v/>
      </c>
      <c r="W437" s="36">
        <f>COUNTIFS('Page-Keyword Map'!$A$2:$A$675,B437,'Page-Keyword Map'!$E$2:$E$675,"City")</f>
        <v/>
      </c>
      <c r="X437" s="36">
        <f>IF(O437="","",IF(ISNUMBER(SEARCH(O437,J437)),"Yes","No"))</f>
        <v/>
      </c>
      <c r="Y437" s="36" t="n">
        <v>0.7</v>
      </c>
      <c r="Z437" s="36" t="inlineStr">
        <is>
          <t>sitemap-cities.xml</t>
        </is>
      </c>
      <c r="AA437" s="36" t="inlineStr">
        <is>
          <t>Live – indexable</t>
        </is>
      </c>
      <c r="AB437" s="38" t="n"/>
      <c r="AC437" s="38" t="n"/>
    </row>
    <row r="438" ht="23.85" customHeight="1" s="22">
      <c r="A438" s="36" t="inlineStr">
        <is>
          <t>P0437</t>
        </is>
      </c>
      <c r="B438" s="36" t="inlineStr">
        <is>
          <t>https://instasure.ca/car-insurance/yukon/whitehorse/</t>
        </is>
      </c>
      <c r="C438" s="36" t="inlineStr">
        <is>
          <t>Product × city</t>
        </is>
      </c>
      <c r="D438" s="36" t="inlineStr">
        <is>
          <t>Car insurance</t>
        </is>
      </c>
      <c r="E438" s="36" t="inlineStr">
        <is>
          <t>Car Insurance</t>
        </is>
      </c>
      <c r="F438" s="36" t="n"/>
      <c r="G438" s="36" t="inlineStr">
        <is>
          <t>Yukon</t>
        </is>
      </c>
      <c r="H438" s="36" t="inlineStr">
        <is>
          <t>Whitehorse</t>
        </is>
      </c>
      <c r="I438" s="36" t="inlineStr">
        <is>
          <t>No</t>
        </is>
      </c>
      <c r="J438" s="25" t="inlineStr">
        <is>
          <t>Car Insurance Whitehorse, YT: Compare Quotes &amp; Costs (2026)</t>
        </is>
      </c>
      <c r="K438" s="36">
        <f>LEN(J438)</f>
        <v/>
      </c>
      <c r="L438" s="25" t="inlineStr">
        <is>
          <t>Compare car insurance in Whitehorse, YT: instant estimate ($82.00–$128/mo example), local risk factors and a waitlist for licensed advice in Yukon.</t>
        </is>
      </c>
      <c r="M438" s="36">
        <f>LEN(L438)</f>
        <v/>
      </c>
      <c r="N438" s="25" t="inlineStr">
        <is>
          <t>Car Insurance in Whitehorse, YT</t>
        </is>
      </c>
      <c r="O438" s="36" t="n"/>
      <c r="P438" s="37" t="n"/>
      <c r="Q438" s="36" t="n"/>
      <c r="R438" s="36" t="inlineStr">
        <is>
          <t>car insurance whitehorse</t>
        </is>
      </c>
      <c r="S438" s="36">
        <f>COUNTIF('Page-Keyword Map'!$A$2:$A$675,B438)</f>
        <v/>
      </c>
      <c r="T438" s="37">
        <f>SUMIF('Page-Keyword Map'!$A$2:$A$675,B438,'Page-Keyword Map'!$H$2:$H$675)</f>
        <v/>
      </c>
      <c r="U438" s="36">
        <f>COUNTIFS('Page-Keyword Map'!$A$2:$A$675,B438,'Page-Keyword Map'!$E$2:$E$675,"Nationwide")</f>
        <v/>
      </c>
      <c r="V438" s="36">
        <f>COUNTIFS('Page-Keyword Map'!$A$2:$A$675,B438,'Page-Keyword Map'!$E$2:$E$675,"Provincial")</f>
        <v/>
      </c>
      <c r="W438" s="36">
        <f>COUNTIFS('Page-Keyword Map'!$A$2:$A$675,B438,'Page-Keyword Map'!$E$2:$E$675,"City")</f>
        <v/>
      </c>
      <c r="X438" s="36">
        <f>IF(O438="","",IF(ISNUMBER(SEARCH(O438,J438)),"Yes","No"))</f>
        <v/>
      </c>
      <c r="Y438" s="36" t="n">
        <v>0.5</v>
      </c>
      <c r="Z438" s="36" t="inlineStr">
        <is>
          <t>(not listed: noindex)</t>
        </is>
      </c>
      <c r="AA438" s="36" t="inlineStr">
        <is>
          <t>Live – noindex (enrich before indexing)</t>
        </is>
      </c>
      <c r="AB438" s="38" t="n"/>
      <c r="AC438" s="38" t="n"/>
    </row>
    <row r="439" ht="23.85" customHeight="1" s="22">
      <c r="A439" s="36" t="inlineStr">
        <is>
          <t>P0438</t>
        </is>
      </c>
      <c r="B439" s="36" t="inlineStr">
        <is>
          <t>https://instasure.ca/condo-insurance/alberta/airdrie/</t>
        </is>
      </c>
      <c r="C439" s="36" t="inlineStr">
        <is>
          <t>Product × city</t>
        </is>
      </c>
      <c r="D439" s="36" t="inlineStr">
        <is>
          <t>Condo insurance</t>
        </is>
      </c>
      <c r="E439" s="36" t="inlineStr">
        <is>
          <t>Condo Insurance</t>
        </is>
      </c>
      <c r="F439" s="36" t="n"/>
      <c r="G439" s="36" t="inlineStr">
        <is>
          <t>Alberta</t>
        </is>
      </c>
      <c r="H439" s="36" t="inlineStr">
        <is>
          <t>Airdrie</t>
        </is>
      </c>
      <c r="I439" s="36" t="inlineStr">
        <is>
          <t>No</t>
        </is>
      </c>
      <c r="J439" s="25" t="inlineStr">
        <is>
          <t>Condo Insurance Airdrie, AB: Compare Quotes &amp; Costs (2026)</t>
        </is>
      </c>
      <c r="K439" s="36">
        <f>LEN(J439)</f>
        <v/>
      </c>
      <c r="L439" s="25" t="inlineStr">
        <is>
          <t>Compare condo insurance in Airdrie, AB: instant estimate ($26.00–$43.00/mo example), local risk factors and advisors licensed in Alberta.</t>
        </is>
      </c>
      <c r="M439" s="36">
        <f>LEN(L439)</f>
        <v/>
      </c>
      <c r="N439" s="25" t="inlineStr">
        <is>
          <t>Condo Insurance in Airdrie, AB</t>
        </is>
      </c>
      <c r="O439" s="36" t="inlineStr">
        <is>
          <t>condo insurance airdrie</t>
        </is>
      </c>
      <c r="P439" s="37" t="n">
        <v>32</v>
      </c>
      <c r="Q439" s="36" t="inlineStr">
        <is>
          <t>City</t>
        </is>
      </c>
      <c r="R439" s="36" t="n"/>
      <c r="S439" s="36">
        <f>COUNTIF('Page-Keyword Map'!$A$2:$A$675,B439)</f>
        <v/>
      </c>
      <c r="T439" s="37">
        <f>SUMIF('Page-Keyword Map'!$A$2:$A$675,B439,'Page-Keyword Map'!$H$2:$H$675)</f>
        <v/>
      </c>
      <c r="U439" s="36">
        <f>COUNTIFS('Page-Keyword Map'!$A$2:$A$675,B439,'Page-Keyword Map'!$E$2:$E$675,"Nationwide")</f>
        <v/>
      </c>
      <c r="V439" s="36">
        <f>COUNTIFS('Page-Keyword Map'!$A$2:$A$675,B439,'Page-Keyword Map'!$E$2:$E$675,"Provincial")</f>
        <v/>
      </c>
      <c r="W439" s="36">
        <f>COUNTIFS('Page-Keyword Map'!$A$2:$A$675,B439,'Page-Keyword Map'!$E$2:$E$675,"City")</f>
        <v/>
      </c>
      <c r="X439" s="36">
        <f>IF(O439="","",IF(ISNUMBER(SEARCH(O439,J439)),"Yes","No"))</f>
        <v/>
      </c>
      <c r="Y439" s="36" t="n">
        <v>0.5</v>
      </c>
      <c r="Z439" s="36" t="inlineStr">
        <is>
          <t>(not listed: noindex)</t>
        </is>
      </c>
      <c r="AA439" s="36" t="inlineStr">
        <is>
          <t>Live – noindex (enrich before indexing)</t>
        </is>
      </c>
      <c r="AB439" s="38" t="n"/>
      <c r="AC439" s="38" t="n"/>
    </row>
    <row r="440" ht="23.85" customHeight="1" s="22">
      <c r="A440" s="36" t="inlineStr">
        <is>
          <t>P0439</t>
        </is>
      </c>
      <c r="B440" s="36" t="inlineStr">
        <is>
          <t>https://instasure.ca/condo-insurance/alberta/calgary/</t>
        </is>
      </c>
      <c r="C440" s="36" t="inlineStr">
        <is>
          <t>Product × city</t>
        </is>
      </c>
      <c r="D440" s="36" t="inlineStr">
        <is>
          <t>Condo insurance</t>
        </is>
      </c>
      <c r="E440" s="36" t="inlineStr">
        <is>
          <t>Condo Insurance</t>
        </is>
      </c>
      <c r="F440" s="36" t="n"/>
      <c r="G440" s="36" t="inlineStr">
        <is>
          <t>Alberta</t>
        </is>
      </c>
      <c r="H440" s="36" t="inlineStr">
        <is>
          <t>Calgary</t>
        </is>
      </c>
      <c r="I440" s="36" t="inlineStr">
        <is>
          <t>Yes</t>
        </is>
      </c>
      <c r="J440" s="25" t="inlineStr">
        <is>
          <t>Condo Insurance Calgary, AB: Compare Quotes &amp; Costs (2026)</t>
        </is>
      </c>
      <c r="K440" s="36">
        <f>LEN(J440)</f>
        <v/>
      </c>
      <c r="L440" s="25" t="inlineStr">
        <is>
          <t>Compare condo insurance in Calgary, AB: instant estimate ($27.00–$44.00/mo example), local risk factors and advisors licensed in Alberta.</t>
        </is>
      </c>
      <c r="M440" s="36">
        <f>LEN(L440)</f>
        <v/>
      </c>
      <c r="N440" s="25" t="inlineStr">
        <is>
          <t>Condo Insurance in Calgary, AB</t>
        </is>
      </c>
      <c r="O440" s="36" t="inlineStr">
        <is>
          <t>condo insurance calgary</t>
        </is>
      </c>
      <c r="P440" s="37" t="n">
        <v>320</v>
      </c>
      <c r="Q440" s="36" t="inlineStr">
        <is>
          <t>City</t>
        </is>
      </c>
      <c r="R440" s="36" t="n"/>
      <c r="S440" s="36">
        <f>COUNTIF('Page-Keyword Map'!$A$2:$A$675,B440)</f>
        <v/>
      </c>
      <c r="T440" s="37">
        <f>SUMIF('Page-Keyword Map'!$A$2:$A$675,B440,'Page-Keyword Map'!$H$2:$H$675)</f>
        <v/>
      </c>
      <c r="U440" s="36">
        <f>COUNTIFS('Page-Keyword Map'!$A$2:$A$675,B440,'Page-Keyword Map'!$E$2:$E$675,"Nationwide")</f>
        <v/>
      </c>
      <c r="V440" s="36">
        <f>COUNTIFS('Page-Keyword Map'!$A$2:$A$675,B440,'Page-Keyword Map'!$E$2:$E$675,"Provincial")</f>
        <v/>
      </c>
      <c r="W440" s="36">
        <f>COUNTIFS('Page-Keyword Map'!$A$2:$A$675,B440,'Page-Keyword Map'!$E$2:$E$675,"City")</f>
        <v/>
      </c>
      <c r="X440" s="36">
        <f>IF(O440="","",IF(ISNUMBER(SEARCH(O440,J440)),"Yes","No"))</f>
        <v/>
      </c>
      <c r="Y440" s="36" t="n">
        <v>0.7</v>
      </c>
      <c r="Z440" s="36" t="inlineStr">
        <is>
          <t>sitemap-cities.xml</t>
        </is>
      </c>
      <c r="AA440" s="36" t="inlineStr">
        <is>
          <t>Live – indexable</t>
        </is>
      </c>
      <c r="AB440" s="38" t="n"/>
      <c r="AC440" s="38" t="n"/>
    </row>
    <row r="441" ht="23.85" customHeight="1" s="22">
      <c r="A441" s="36" t="inlineStr">
        <is>
          <t>P0440</t>
        </is>
      </c>
      <c r="B441" s="36" t="inlineStr">
        <is>
          <t>https://instasure.ca/condo-insurance/alberta/edmonton/</t>
        </is>
      </c>
      <c r="C441" s="36" t="inlineStr">
        <is>
          <t>Product × city</t>
        </is>
      </c>
      <c r="D441" s="36" t="inlineStr">
        <is>
          <t>Condo insurance</t>
        </is>
      </c>
      <c r="E441" s="36" t="inlineStr">
        <is>
          <t>Condo Insurance</t>
        </is>
      </c>
      <c r="F441" s="36" t="n"/>
      <c r="G441" s="36" t="inlineStr">
        <is>
          <t>Alberta</t>
        </is>
      </c>
      <c r="H441" s="36" t="inlineStr">
        <is>
          <t>Edmonton</t>
        </is>
      </c>
      <c r="I441" s="36" t="inlineStr">
        <is>
          <t>Yes</t>
        </is>
      </c>
      <c r="J441" s="25" t="inlineStr">
        <is>
          <t>Condo Insurance Edmonton, AB: Compare Quotes &amp; Costs (2026)</t>
        </is>
      </c>
      <c r="K441" s="36">
        <f>LEN(J441)</f>
        <v/>
      </c>
      <c r="L441" s="25" t="inlineStr">
        <is>
          <t>Compare condo insurance in Edmonton, AB: instant estimate ($25.00–$41.00/mo example), local risk factors and advisors licensed in Alberta.</t>
        </is>
      </c>
      <c r="M441" s="36">
        <f>LEN(L441)</f>
        <v/>
      </c>
      <c r="N441" s="25" t="inlineStr">
        <is>
          <t>Condo Insurance in Edmonton, AB</t>
        </is>
      </c>
      <c r="O441" s="36" t="inlineStr">
        <is>
          <t>condo insurance edmonton</t>
        </is>
      </c>
      <c r="P441" s="37" t="n">
        <v>260</v>
      </c>
      <c r="Q441" s="36" t="inlineStr">
        <is>
          <t>City</t>
        </is>
      </c>
      <c r="R441" s="36" t="n"/>
      <c r="S441" s="36">
        <f>COUNTIF('Page-Keyword Map'!$A$2:$A$675,B441)</f>
        <v/>
      </c>
      <c r="T441" s="37">
        <f>SUMIF('Page-Keyword Map'!$A$2:$A$675,B441,'Page-Keyword Map'!$H$2:$H$675)</f>
        <v/>
      </c>
      <c r="U441" s="36">
        <f>COUNTIFS('Page-Keyword Map'!$A$2:$A$675,B441,'Page-Keyword Map'!$E$2:$E$675,"Nationwide")</f>
        <v/>
      </c>
      <c r="V441" s="36">
        <f>COUNTIFS('Page-Keyword Map'!$A$2:$A$675,B441,'Page-Keyword Map'!$E$2:$E$675,"Provincial")</f>
        <v/>
      </c>
      <c r="W441" s="36">
        <f>COUNTIFS('Page-Keyword Map'!$A$2:$A$675,B441,'Page-Keyword Map'!$E$2:$E$675,"City")</f>
        <v/>
      </c>
      <c r="X441" s="36">
        <f>IF(O441="","",IF(ISNUMBER(SEARCH(O441,J441)),"Yes","No"))</f>
        <v/>
      </c>
      <c r="Y441" s="36" t="n">
        <v>0.7</v>
      </c>
      <c r="Z441" s="36" t="inlineStr">
        <is>
          <t>sitemap-cities.xml</t>
        </is>
      </c>
      <c r="AA441" s="36" t="inlineStr">
        <is>
          <t>Live – indexable</t>
        </is>
      </c>
      <c r="AB441" s="38" t="n"/>
      <c r="AC441" s="38" t="n"/>
    </row>
    <row r="442" ht="23.85" customHeight="1" s="22">
      <c r="A442" s="36" t="inlineStr">
        <is>
          <t>P0441</t>
        </is>
      </c>
      <c r="B442" s="36" t="inlineStr">
        <is>
          <t>https://instasure.ca/condo-insurance/alberta/lethbridge/</t>
        </is>
      </c>
      <c r="C442" s="36" t="inlineStr">
        <is>
          <t>Product × city</t>
        </is>
      </c>
      <c r="D442" s="36" t="inlineStr">
        <is>
          <t>Condo insurance</t>
        </is>
      </c>
      <c r="E442" s="36" t="inlineStr">
        <is>
          <t>Condo Insurance</t>
        </is>
      </c>
      <c r="F442" s="36" t="n"/>
      <c r="G442" s="36" t="inlineStr">
        <is>
          <t>Alberta</t>
        </is>
      </c>
      <c r="H442" s="36" t="inlineStr">
        <is>
          <t>Lethbridge</t>
        </is>
      </c>
      <c r="I442" s="36" t="inlineStr">
        <is>
          <t>Yes</t>
        </is>
      </c>
      <c r="J442" s="25" t="inlineStr">
        <is>
          <t>Condo Insurance Lethbridge, AB: Compare Quotes &amp; Costs (2026)</t>
        </is>
      </c>
      <c r="K442" s="36">
        <f>LEN(J442)</f>
        <v/>
      </c>
      <c r="L442" s="25" t="inlineStr">
        <is>
          <t>Compare condo insurance in Lethbridge, AB: instant estimate ($25.00–$41.00/mo example), local risk factors and advisors licensed in Alberta.</t>
        </is>
      </c>
      <c r="M442" s="36">
        <f>LEN(L442)</f>
        <v/>
      </c>
      <c r="N442" s="25" t="inlineStr">
        <is>
          <t>Condo Insurance in Lethbridge, AB</t>
        </is>
      </c>
      <c r="O442" s="36" t="inlineStr">
        <is>
          <t>condo insurance lethbridge</t>
        </is>
      </c>
      <c r="P442" s="37" t="n">
        <v>41</v>
      </c>
      <c r="Q442" s="36" t="inlineStr">
        <is>
          <t>City</t>
        </is>
      </c>
      <c r="R442" s="36" t="n"/>
      <c r="S442" s="36">
        <f>COUNTIF('Page-Keyword Map'!$A$2:$A$675,B442)</f>
        <v/>
      </c>
      <c r="T442" s="37">
        <f>SUMIF('Page-Keyword Map'!$A$2:$A$675,B442,'Page-Keyword Map'!$H$2:$H$675)</f>
        <v/>
      </c>
      <c r="U442" s="36">
        <f>COUNTIFS('Page-Keyword Map'!$A$2:$A$675,B442,'Page-Keyword Map'!$E$2:$E$675,"Nationwide")</f>
        <v/>
      </c>
      <c r="V442" s="36">
        <f>COUNTIFS('Page-Keyword Map'!$A$2:$A$675,B442,'Page-Keyword Map'!$E$2:$E$675,"Provincial")</f>
        <v/>
      </c>
      <c r="W442" s="36">
        <f>COUNTIFS('Page-Keyword Map'!$A$2:$A$675,B442,'Page-Keyword Map'!$E$2:$E$675,"City")</f>
        <v/>
      </c>
      <c r="X442" s="36">
        <f>IF(O442="","",IF(ISNUMBER(SEARCH(O442,J442)),"Yes","No"))</f>
        <v/>
      </c>
      <c r="Y442" s="36" t="n">
        <v>0.5</v>
      </c>
      <c r="Z442" s="36" t="inlineStr">
        <is>
          <t>sitemap-cities.xml</t>
        </is>
      </c>
      <c r="AA442" s="36" t="inlineStr">
        <is>
          <t>Live – indexable</t>
        </is>
      </c>
      <c r="AB442" s="38" t="n"/>
      <c r="AC442" s="38" t="n"/>
    </row>
    <row r="443" ht="23.85" customHeight="1" s="22">
      <c r="A443" s="36" t="inlineStr">
        <is>
          <t>P0442</t>
        </is>
      </c>
      <c r="B443" s="36" t="inlineStr">
        <is>
          <t>https://instasure.ca/condo-insurance/alberta/red-deer/</t>
        </is>
      </c>
      <c r="C443" s="36" t="inlineStr">
        <is>
          <t>Product × city</t>
        </is>
      </c>
      <c r="D443" s="36" t="inlineStr">
        <is>
          <t>Condo insurance</t>
        </is>
      </c>
      <c r="E443" s="36" t="inlineStr">
        <is>
          <t>Condo Insurance</t>
        </is>
      </c>
      <c r="F443" s="36" t="n"/>
      <c r="G443" s="36" t="inlineStr">
        <is>
          <t>Alberta</t>
        </is>
      </c>
      <c r="H443" s="36" t="inlineStr">
        <is>
          <t>Red Deer</t>
        </is>
      </c>
      <c r="I443" s="36" t="inlineStr">
        <is>
          <t>Yes</t>
        </is>
      </c>
      <c r="J443" s="25" t="inlineStr">
        <is>
          <t>Condo Insurance Red Deer, AB: Compare Quotes &amp; Costs (2026)</t>
        </is>
      </c>
      <c r="K443" s="36">
        <f>LEN(J443)</f>
        <v/>
      </c>
      <c r="L443" s="25" t="inlineStr">
        <is>
          <t>Compare condo insurance in Red Deer, AB: instant estimate ($26.00–$42.00/mo example), local risk factors and advisors licensed in Alberta.</t>
        </is>
      </c>
      <c r="M443" s="36">
        <f>LEN(L443)</f>
        <v/>
      </c>
      <c r="N443" s="25" t="inlineStr">
        <is>
          <t>Condo Insurance in Red Deer, AB</t>
        </is>
      </c>
      <c r="O443" s="36" t="inlineStr">
        <is>
          <t>condo insurance red deer</t>
        </is>
      </c>
      <c r="P443" s="37" t="n">
        <v>41</v>
      </c>
      <c r="Q443" s="36" t="inlineStr">
        <is>
          <t>City</t>
        </is>
      </c>
      <c r="R443" s="36" t="n"/>
      <c r="S443" s="36">
        <f>COUNTIF('Page-Keyword Map'!$A$2:$A$675,B443)</f>
        <v/>
      </c>
      <c r="T443" s="37">
        <f>SUMIF('Page-Keyword Map'!$A$2:$A$675,B443,'Page-Keyword Map'!$H$2:$H$675)</f>
        <v/>
      </c>
      <c r="U443" s="36">
        <f>COUNTIFS('Page-Keyword Map'!$A$2:$A$675,B443,'Page-Keyword Map'!$E$2:$E$675,"Nationwide")</f>
        <v/>
      </c>
      <c r="V443" s="36">
        <f>COUNTIFS('Page-Keyword Map'!$A$2:$A$675,B443,'Page-Keyword Map'!$E$2:$E$675,"Provincial")</f>
        <v/>
      </c>
      <c r="W443" s="36">
        <f>COUNTIFS('Page-Keyword Map'!$A$2:$A$675,B443,'Page-Keyword Map'!$E$2:$E$675,"City")</f>
        <v/>
      </c>
      <c r="X443" s="36">
        <f>IF(O443="","",IF(ISNUMBER(SEARCH(O443,J443)),"Yes","No"))</f>
        <v/>
      </c>
      <c r="Y443" s="36" t="n">
        <v>0.5</v>
      </c>
      <c r="Z443" s="36" t="inlineStr">
        <is>
          <t>sitemap-cities.xml</t>
        </is>
      </c>
      <c r="AA443" s="36" t="inlineStr">
        <is>
          <t>Live – indexable</t>
        </is>
      </c>
      <c r="AB443" s="38" t="n"/>
      <c r="AC443" s="38" t="n"/>
    </row>
    <row r="444" ht="23.85" customHeight="1" s="22">
      <c r="A444" s="36" t="inlineStr">
        <is>
          <t>P0443</t>
        </is>
      </c>
      <c r="B444" s="36" t="inlineStr">
        <is>
          <t>https://instasure.ca/condo-insurance/british-columbia/abbotsford/</t>
        </is>
      </c>
      <c r="C444" s="36" t="inlineStr">
        <is>
          <t>Product × city</t>
        </is>
      </c>
      <c r="D444" s="36" t="inlineStr">
        <is>
          <t>Condo insurance</t>
        </is>
      </c>
      <c r="E444" s="36" t="inlineStr">
        <is>
          <t>Condo Insurance</t>
        </is>
      </c>
      <c r="F444" s="36" t="n"/>
      <c r="G444" s="36" t="inlineStr">
        <is>
          <t>British Columbia</t>
        </is>
      </c>
      <c r="H444" s="36" t="inlineStr">
        <is>
          <t>Abbotsford</t>
        </is>
      </c>
      <c r="I444" s="36" t="inlineStr">
        <is>
          <t>Yes</t>
        </is>
      </c>
      <c r="J444" s="25" t="inlineStr">
        <is>
          <t>Condo Insurance Abbotsford, BC: Compare Quotes &amp; Costs (2026)</t>
        </is>
      </c>
      <c r="K444" s="36">
        <f>LEN(J444)</f>
        <v/>
      </c>
      <c r="L444" s="25" t="inlineStr">
        <is>
          <t>Compare condo insurance in Abbotsford, BC: instant estimate ($30.00–$48.00/mo example), local risk factors and advisors licensed in British Columbia.</t>
        </is>
      </c>
      <c r="M444" s="36">
        <f>LEN(L444)</f>
        <v/>
      </c>
      <c r="N444" s="25" t="inlineStr">
        <is>
          <t>Condo Insurance in Abbotsford, BC</t>
        </is>
      </c>
      <c r="O444" s="36" t="inlineStr">
        <is>
          <t>condo insurance abbotsford</t>
        </is>
      </c>
      <c r="P444" s="37" t="n">
        <v>58</v>
      </c>
      <c r="Q444" s="36" t="inlineStr">
        <is>
          <t>City</t>
        </is>
      </c>
      <c r="R444" s="36" t="n"/>
      <c r="S444" s="36">
        <f>COUNTIF('Page-Keyword Map'!$A$2:$A$675,B444)</f>
        <v/>
      </c>
      <c r="T444" s="37">
        <f>SUMIF('Page-Keyword Map'!$A$2:$A$675,B444,'Page-Keyword Map'!$H$2:$H$675)</f>
        <v/>
      </c>
      <c r="U444" s="36">
        <f>COUNTIFS('Page-Keyword Map'!$A$2:$A$675,B444,'Page-Keyword Map'!$E$2:$E$675,"Nationwide")</f>
        <v/>
      </c>
      <c r="V444" s="36">
        <f>COUNTIFS('Page-Keyword Map'!$A$2:$A$675,B444,'Page-Keyword Map'!$E$2:$E$675,"Provincial")</f>
        <v/>
      </c>
      <c r="W444" s="36">
        <f>COUNTIFS('Page-Keyword Map'!$A$2:$A$675,B444,'Page-Keyword Map'!$E$2:$E$675,"City")</f>
        <v/>
      </c>
      <c r="X444" s="36">
        <f>IF(O444="","",IF(ISNUMBER(SEARCH(O444,J444)),"Yes","No"))</f>
        <v/>
      </c>
      <c r="Y444" s="36" t="n">
        <v>0.5</v>
      </c>
      <c r="Z444" s="36" t="inlineStr">
        <is>
          <t>sitemap-cities.xml</t>
        </is>
      </c>
      <c r="AA444" s="36" t="inlineStr">
        <is>
          <t>Live – indexable</t>
        </is>
      </c>
      <c r="AB444" s="38" t="n"/>
      <c r="AC444" s="38" t="n"/>
    </row>
    <row r="445" ht="23.85" customHeight="1" s="22">
      <c r="A445" s="36" t="inlineStr">
        <is>
          <t>P0444</t>
        </is>
      </c>
      <c r="B445" s="36" t="inlineStr">
        <is>
          <t>https://instasure.ca/condo-insurance/british-columbia/burnaby/</t>
        </is>
      </c>
      <c r="C445" s="36" t="inlineStr">
        <is>
          <t>Product × city</t>
        </is>
      </c>
      <c r="D445" s="36" t="inlineStr">
        <is>
          <t>Condo insurance</t>
        </is>
      </c>
      <c r="E445" s="36" t="inlineStr">
        <is>
          <t>Condo Insurance</t>
        </is>
      </c>
      <c r="F445" s="36" t="n"/>
      <c r="G445" s="36" t="inlineStr">
        <is>
          <t>British Columbia</t>
        </is>
      </c>
      <c r="H445" s="36" t="inlineStr">
        <is>
          <t>Burnaby</t>
        </is>
      </c>
      <c r="I445" s="36" t="inlineStr">
        <is>
          <t>Yes</t>
        </is>
      </c>
      <c r="J445" s="25" t="inlineStr">
        <is>
          <t>Condo Insurance Burnaby, BC: Compare Quotes &amp; Costs (2026)</t>
        </is>
      </c>
      <c r="K445" s="36">
        <f>LEN(J445)</f>
        <v/>
      </c>
      <c r="L445" s="25" t="inlineStr">
        <is>
          <t>Compare condo insurance in Burnaby, BC: instant estimate ($28.00–$45.00/mo example), local risk factors and advisors licensed in British Columbia.</t>
        </is>
      </c>
      <c r="M445" s="36">
        <f>LEN(L445)</f>
        <v/>
      </c>
      <c r="N445" s="25" t="inlineStr">
        <is>
          <t>Condo Insurance in Burnaby, BC</t>
        </is>
      </c>
      <c r="O445" s="36" t="inlineStr">
        <is>
          <t>condo insurance burnaby</t>
        </is>
      </c>
      <c r="P445" s="37" t="n">
        <v>86</v>
      </c>
      <c r="Q445" s="36" t="inlineStr">
        <is>
          <t>City</t>
        </is>
      </c>
      <c r="R445" s="36" t="n"/>
      <c r="S445" s="36">
        <f>COUNTIF('Page-Keyword Map'!$A$2:$A$675,B445)</f>
        <v/>
      </c>
      <c r="T445" s="37">
        <f>SUMIF('Page-Keyword Map'!$A$2:$A$675,B445,'Page-Keyword Map'!$H$2:$H$675)</f>
        <v/>
      </c>
      <c r="U445" s="36">
        <f>COUNTIFS('Page-Keyword Map'!$A$2:$A$675,B445,'Page-Keyword Map'!$E$2:$E$675,"Nationwide")</f>
        <v/>
      </c>
      <c r="V445" s="36">
        <f>COUNTIFS('Page-Keyword Map'!$A$2:$A$675,B445,'Page-Keyword Map'!$E$2:$E$675,"Provincial")</f>
        <v/>
      </c>
      <c r="W445" s="36">
        <f>COUNTIFS('Page-Keyword Map'!$A$2:$A$675,B445,'Page-Keyword Map'!$E$2:$E$675,"City")</f>
        <v/>
      </c>
      <c r="X445" s="36">
        <f>IF(O445="","",IF(ISNUMBER(SEARCH(O445,J445)),"Yes","No"))</f>
        <v/>
      </c>
      <c r="Y445" s="36" t="n">
        <v>0.7</v>
      </c>
      <c r="Z445" s="36" t="inlineStr">
        <is>
          <t>sitemap-cities.xml</t>
        </is>
      </c>
      <c r="AA445" s="36" t="inlineStr">
        <is>
          <t>Live – indexable</t>
        </is>
      </c>
      <c r="AB445" s="38" t="n"/>
      <c r="AC445" s="38" t="n"/>
    </row>
    <row r="446" ht="23.85" customHeight="1" s="22">
      <c r="A446" s="36" t="inlineStr">
        <is>
          <t>P0445</t>
        </is>
      </c>
      <c r="B446" s="36" t="inlineStr">
        <is>
          <t>https://instasure.ca/condo-insurance/british-columbia/coquitlam/</t>
        </is>
      </c>
      <c r="C446" s="36" t="inlineStr">
        <is>
          <t>Product × city</t>
        </is>
      </c>
      <c r="D446" s="36" t="inlineStr">
        <is>
          <t>Condo insurance</t>
        </is>
      </c>
      <c r="E446" s="36" t="inlineStr">
        <is>
          <t>Condo Insurance</t>
        </is>
      </c>
      <c r="F446" s="36" t="n"/>
      <c r="G446" s="36" t="inlineStr">
        <is>
          <t>British Columbia</t>
        </is>
      </c>
      <c r="H446" s="36" t="inlineStr">
        <is>
          <t>Coquitlam</t>
        </is>
      </c>
      <c r="I446" s="36" t="inlineStr">
        <is>
          <t>Yes</t>
        </is>
      </c>
      <c r="J446" s="25" t="inlineStr">
        <is>
          <t>Condo Insurance Coquitlam, BC: Compare Quotes &amp; Costs (2026)</t>
        </is>
      </c>
      <c r="K446" s="36">
        <f>LEN(J446)</f>
        <v/>
      </c>
      <c r="L446" s="25" t="inlineStr">
        <is>
          <t>Compare condo insurance in Coquitlam, BC: instant estimate ($28.00–$45.00/mo example), local risk factors and advisors licensed in British Columbia.</t>
        </is>
      </c>
      <c r="M446" s="36">
        <f>LEN(L446)</f>
        <v/>
      </c>
      <c r="N446" s="25" t="inlineStr">
        <is>
          <t>Condo Insurance in Coquitlam, BC</t>
        </is>
      </c>
      <c r="O446" s="36" t="inlineStr">
        <is>
          <t>condo insurance coquitlam</t>
        </is>
      </c>
      <c r="P446" s="37" t="n">
        <v>57</v>
      </c>
      <c r="Q446" s="36" t="inlineStr">
        <is>
          <t>City</t>
        </is>
      </c>
      <c r="R446" s="36" t="n"/>
      <c r="S446" s="36">
        <f>COUNTIF('Page-Keyword Map'!$A$2:$A$675,B446)</f>
        <v/>
      </c>
      <c r="T446" s="37">
        <f>SUMIF('Page-Keyword Map'!$A$2:$A$675,B446,'Page-Keyword Map'!$H$2:$H$675)</f>
        <v/>
      </c>
      <c r="U446" s="36">
        <f>COUNTIFS('Page-Keyword Map'!$A$2:$A$675,B446,'Page-Keyword Map'!$E$2:$E$675,"Nationwide")</f>
        <v/>
      </c>
      <c r="V446" s="36">
        <f>COUNTIFS('Page-Keyword Map'!$A$2:$A$675,B446,'Page-Keyword Map'!$E$2:$E$675,"Provincial")</f>
        <v/>
      </c>
      <c r="W446" s="36">
        <f>COUNTIFS('Page-Keyword Map'!$A$2:$A$675,B446,'Page-Keyword Map'!$E$2:$E$675,"City")</f>
        <v/>
      </c>
      <c r="X446" s="36">
        <f>IF(O446="","",IF(ISNUMBER(SEARCH(O446,J446)),"Yes","No"))</f>
        <v/>
      </c>
      <c r="Y446" s="36" t="n">
        <v>0.5</v>
      </c>
      <c r="Z446" s="36" t="inlineStr">
        <is>
          <t>sitemap-cities.xml</t>
        </is>
      </c>
      <c r="AA446" s="36" t="inlineStr">
        <is>
          <t>Live – indexable</t>
        </is>
      </c>
      <c r="AB446" s="38" t="n"/>
      <c r="AC446" s="38" t="n"/>
    </row>
    <row r="447" ht="23.85" customHeight="1" s="22">
      <c r="A447" s="36" t="inlineStr">
        <is>
          <t>P0446</t>
        </is>
      </c>
      <c r="B447" s="36" t="inlineStr">
        <is>
          <t>https://instasure.ca/condo-insurance/british-columbia/kelowna/</t>
        </is>
      </c>
      <c r="C447" s="36" t="inlineStr">
        <is>
          <t>Product × city</t>
        </is>
      </c>
      <c r="D447" s="36" t="inlineStr">
        <is>
          <t>Condo insurance</t>
        </is>
      </c>
      <c r="E447" s="36" t="inlineStr">
        <is>
          <t>Condo Insurance</t>
        </is>
      </c>
      <c r="F447" s="36" t="n"/>
      <c r="G447" s="36" t="inlineStr">
        <is>
          <t>British Columbia</t>
        </is>
      </c>
      <c r="H447" s="36" t="inlineStr">
        <is>
          <t>Kelowna</t>
        </is>
      </c>
      <c r="I447" s="36" t="inlineStr">
        <is>
          <t>Yes</t>
        </is>
      </c>
      <c r="J447" s="25" t="inlineStr">
        <is>
          <t>Condo Insurance Kelowna, BC: Compare Quotes &amp; Costs (2026)</t>
        </is>
      </c>
      <c r="K447" s="36">
        <f>LEN(J447)</f>
        <v/>
      </c>
      <c r="L447" s="25" t="inlineStr">
        <is>
          <t>Compare condo insurance in Kelowna, BC: instant estimate ($28.00–$45.00/mo example), local risk factors and advisors licensed in British Columbia.</t>
        </is>
      </c>
      <c r="M447" s="36">
        <f>LEN(L447)</f>
        <v/>
      </c>
      <c r="N447" s="25" t="inlineStr">
        <is>
          <t>Condo Insurance in Kelowna, BC</t>
        </is>
      </c>
      <c r="O447" s="36" t="inlineStr">
        <is>
          <t>condo insurance kelowna</t>
        </is>
      </c>
      <c r="P447" s="37" t="n">
        <v>55</v>
      </c>
      <c r="Q447" s="36" t="inlineStr">
        <is>
          <t>City</t>
        </is>
      </c>
      <c r="R447" s="36" t="n"/>
      <c r="S447" s="36">
        <f>COUNTIF('Page-Keyword Map'!$A$2:$A$675,B447)</f>
        <v/>
      </c>
      <c r="T447" s="37">
        <f>SUMIF('Page-Keyword Map'!$A$2:$A$675,B447,'Page-Keyword Map'!$H$2:$H$675)</f>
        <v/>
      </c>
      <c r="U447" s="36">
        <f>COUNTIFS('Page-Keyword Map'!$A$2:$A$675,B447,'Page-Keyword Map'!$E$2:$E$675,"Nationwide")</f>
        <v/>
      </c>
      <c r="V447" s="36">
        <f>COUNTIFS('Page-Keyword Map'!$A$2:$A$675,B447,'Page-Keyword Map'!$E$2:$E$675,"Provincial")</f>
        <v/>
      </c>
      <c r="W447" s="36">
        <f>COUNTIFS('Page-Keyword Map'!$A$2:$A$675,B447,'Page-Keyword Map'!$E$2:$E$675,"City")</f>
        <v/>
      </c>
      <c r="X447" s="36">
        <f>IF(O447="","",IF(ISNUMBER(SEARCH(O447,J447)),"Yes","No"))</f>
        <v/>
      </c>
      <c r="Y447" s="36" t="n">
        <v>0.7</v>
      </c>
      <c r="Z447" s="36" t="inlineStr">
        <is>
          <t>sitemap-cities.xml</t>
        </is>
      </c>
      <c r="AA447" s="36" t="inlineStr">
        <is>
          <t>Live – indexable</t>
        </is>
      </c>
      <c r="AB447" s="38" t="n"/>
      <c r="AC447" s="38" t="n"/>
    </row>
    <row r="448" ht="23.85" customHeight="1" s="22">
      <c r="A448" s="36" t="inlineStr">
        <is>
          <t>P0447</t>
        </is>
      </c>
      <c r="B448" s="36" t="inlineStr">
        <is>
          <t>https://instasure.ca/condo-insurance/british-columbia/langley/</t>
        </is>
      </c>
      <c r="C448" s="36" t="inlineStr">
        <is>
          <t>Product × city</t>
        </is>
      </c>
      <c r="D448" s="36" t="inlineStr">
        <is>
          <t>Condo insurance</t>
        </is>
      </c>
      <c r="E448" s="36" t="inlineStr">
        <is>
          <t>Condo Insurance</t>
        </is>
      </c>
      <c r="F448" s="36" t="n"/>
      <c r="G448" s="36" t="inlineStr">
        <is>
          <t>British Columbia</t>
        </is>
      </c>
      <c r="H448" s="36" t="inlineStr">
        <is>
          <t>Langley</t>
        </is>
      </c>
      <c r="I448" s="36" t="inlineStr">
        <is>
          <t>No</t>
        </is>
      </c>
      <c r="J448" s="25" t="inlineStr">
        <is>
          <t>Condo Insurance Langley, BC: Compare Quotes &amp; Costs (2026)</t>
        </is>
      </c>
      <c r="K448" s="36">
        <f>LEN(J448)</f>
        <v/>
      </c>
      <c r="L448" s="25" t="inlineStr">
        <is>
          <t>Compare condo insurance in Langley, BC: instant estimate ($28.00–$45.00/mo example), local risk factors and advisors licensed in British Columbia.</t>
        </is>
      </c>
      <c r="M448" s="36">
        <f>LEN(L448)</f>
        <v/>
      </c>
      <c r="N448" s="25" t="inlineStr">
        <is>
          <t>Condo Insurance in Langley, BC</t>
        </is>
      </c>
      <c r="O448" s="36" t="inlineStr">
        <is>
          <t>condo insurance langley</t>
        </is>
      </c>
      <c r="P448" s="37" t="n">
        <v>52</v>
      </c>
      <c r="Q448" s="36" t="inlineStr">
        <is>
          <t>City</t>
        </is>
      </c>
      <c r="R448" s="36" t="n"/>
      <c r="S448" s="36">
        <f>COUNTIF('Page-Keyword Map'!$A$2:$A$675,B448)</f>
        <v/>
      </c>
      <c r="T448" s="37">
        <f>SUMIF('Page-Keyword Map'!$A$2:$A$675,B448,'Page-Keyword Map'!$H$2:$H$675)</f>
        <v/>
      </c>
      <c r="U448" s="36">
        <f>COUNTIFS('Page-Keyword Map'!$A$2:$A$675,B448,'Page-Keyword Map'!$E$2:$E$675,"Nationwide")</f>
        <v/>
      </c>
      <c r="V448" s="36">
        <f>COUNTIFS('Page-Keyword Map'!$A$2:$A$675,B448,'Page-Keyword Map'!$E$2:$E$675,"Provincial")</f>
        <v/>
      </c>
      <c r="W448" s="36">
        <f>COUNTIFS('Page-Keyword Map'!$A$2:$A$675,B448,'Page-Keyword Map'!$E$2:$E$675,"City")</f>
        <v/>
      </c>
      <c r="X448" s="36">
        <f>IF(O448="","",IF(ISNUMBER(SEARCH(O448,J448)),"Yes","No"))</f>
        <v/>
      </c>
      <c r="Y448" s="36" t="n">
        <v>0.5</v>
      </c>
      <c r="Z448" s="36" t="inlineStr">
        <is>
          <t>(not listed: noindex)</t>
        </is>
      </c>
      <c r="AA448" s="36" t="inlineStr">
        <is>
          <t>Live – noindex (enrich before indexing)</t>
        </is>
      </c>
      <c r="AB448" s="38" t="n"/>
      <c r="AC448" s="38" t="n"/>
    </row>
    <row r="449" ht="23.85" customHeight="1" s="22">
      <c r="A449" s="36" t="inlineStr">
        <is>
          <t>P0448</t>
        </is>
      </c>
      <c r="B449" s="36" t="inlineStr">
        <is>
          <t>https://instasure.ca/condo-insurance/british-columbia/richmond/</t>
        </is>
      </c>
      <c r="C449" s="36" t="inlineStr">
        <is>
          <t>Product × city</t>
        </is>
      </c>
      <c r="D449" s="36" t="inlineStr">
        <is>
          <t>Condo insurance</t>
        </is>
      </c>
      <c r="E449" s="36" t="inlineStr">
        <is>
          <t>Condo Insurance</t>
        </is>
      </c>
      <c r="F449" s="36" t="n"/>
      <c r="G449" s="36" t="inlineStr">
        <is>
          <t>British Columbia</t>
        </is>
      </c>
      <c r="H449" s="36" t="inlineStr">
        <is>
          <t>Richmond</t>
        </is>
      </c>
      <c r="I449" s="36" t="inlineStr">
        <is>
          <t>Yes</t>
        </is>
      </c>
      <c r="J449" s="25" t="inlineStr">
        <is>
          <t>Condo Insurance Richmond, BC: Compare Quotes &amp; Costs (2026)</t>
        </is>
      </c>
      <c r="K449" s="36">
        <f>LEN(J449)</f>
        <v/>
      </c>
      <c r="L449" s="25" t="inlineStr">
        <is>
          <t>Compare condo insurance in Richmond, BC: instant estimate ($29.00–$47.00/mo example), local risk factors and advisors licensed in British Columbia.</t>
        </is>
      </c>
      <c r="M449" s="36">
        <f>LEN(L449)</f>
        <v/>
      </c>
      <c r="N449" s="25" t="inlineStr">
        <is>
          <t>Condo Insurance in Richmond, BC</t>
        </is>
      </c>
      <c r="O449" s="36" t="inlineStr">
        <is>
          <t>condo insurance richmond bc</t>
        </is>
      </c>
      <c r="P449" s="37" t="n">
        <v>75</v>
      </c>
      <c r="Q449" s="36" t="inlineStr">
        <is>
          <t>City</t>
        </is>
      </c>
      <c r="R449" s="36" t="n"/>
      <c r="S449" s="36">
        <f>COUNTIF('Page-Keyword Map'!$A$2:$A$675,B449)</f>
        <v/>
      </c>
      <c r="T449" s="37">
        <f>SUMIF('Page-Keyword Map'!$A$2:$A$675,B449,'Page-Keyword Map'!$H$2:$H$675)</f>
        <v/>
      </c>
      <c r="U449" s="36">
        <f>COUNTIFS('Page-Keyword Map'!$A$2:$A$675,B449,'Page-Keyword Map'!$E$2:$E$675,"Nationwide")</f>
        <v/>
      </c>
      <c r="V449" s="36">
        <f>COUNTIFS('Page-Keyword Map'!$A$2:$A$675,B449,'Page-Keyword Map'!$E$2:$E$675,"Provincial")</f>
        <v/>
      </c>
      <c r="W449" s="36">
        <f>COUNTIFS('Page-Keyword Map'!$A$2:$A$675,B449,'Page-Keyword Map'!$E$2:$E$675,"City")</f>
        <v/>
      </c>
      <c r="X449" s="36">
        <f>IF(O449="","",IF(ISNUMBER(SEARCH(O449,J449)),"Yes","No"))</f>
        <v/>
      </c>
      <c r="Y449" s="36" t="n">
        <v>0.5</v>
      </c>
      <c r="Z449" s="36" t="inlineStr">
        <is>
          <t>sitemap-cities.xml</t>
        </is>
      </c>
      <c r="AA449" s="36" t="inlineStr">
        <is>
          <t>Live – indexable</t>
        </is>
      </c>
      <c r="AB449" s="38" t="n"/>
      <c r="AC449" s="38" t="n"/>
    </row>
    <row r="450" ht="23.85" customHeight="1" s="22">
      <c r="A450" s="36" t="inlineStr">
        <is>
          <t>P0449</t>
        </is>
      </c>
      <c r="B450" s="36" t="inlineStr">
        <is>
          <t>https://instasure.ca/condo-insurance/british-columbia/surrey/</t>
        </is>
      </c>
      <c r="C450" s="36" t="inlineStr">
        <is>
          <t>Product × city</t>
        </is>
      </c>
      <c r="D450" s="36" t="inlineStr">
        <is>
          <t>Condo insurance</t>
        </is>
      </c>
      <c r="E450" s="36" t="inlineStr">
        <is>
          <t>Condo Insurance</t>
        </is>
      </c>
      <c r="F450" s="36" t="n"/>
      <c r="G450" s="36" t="inlineStr">
        <is>
          <t>British Columbia</t>
        </is>
      </c>
      <c r="H450" s="36" t="inlineStr">
        <is>
          <t>Surrey</t>
        </is>
      </c>
      <c r="I450" s="36" t="inlineStr">
        <is>
          <t>Yes</t>
        </is>
      </c>
      <c r="J450" s="25" t="inlineStr">
        <is>
          <t>Condo Insurance Surrey, BC: Compare Quotes &amp; Costs (2026)</t>
        </is>
      </c>
      <c r="K450" s="36">
        <f>LEN(J450)</f>
        <v/>
      </c>
      <c r="L450" s="25" t="inlineStr">
        <is>
          <t>Compare condo insurance in Surrey, BC: instant estimate ($28.00–$45.00/mo example), local risk factors and advisors licensed in British Columbia.</t>
        </is>
      </c>
      <c r="M450" s="36">
        <f>LEN(L450)</f>
        <v/>
      </c>
      <c r="N450" s="25" t="inlineStr">
        <is>
          <t>Condo Insurance in Surrey, BC</t>
        </is>
      </c>
      <c r="O450" s="36" t="inlineStr">
        <is>
          <t>condo insurance surrey</t>
        </is>
      </c>
      <c r="P450" s="37" t="n">
        <v>170</v>
      </c>
      <c r="Q450" s="36" t="inlineStr">
        <is>
          <t>City</t>
        </is>
      </c>
      <c r="R450" s="36" t="n"/>
      <c r="S450" s="36">
        <f>COUNTIF('Page-Keyword Map'!$A$2:$A$675,B450)</f>
        <v/>
      </c>
      <c r="T450" s="37">
        <f>SUMIF('Page-Keyword Map'!$A$2:$A$675,B450,'Page-Keyword Map'!$H$2:$H$675)</f>
        <v/>
      </c>
      <c r="U450" s="36">
        <f>COUNTIFS('Page-Keyword Map'!$A$2:$A$675,B450,'Page-Keyword Map'!$E$2:$E$675,"Nationwide")</f>
        <v/>
      </c>
      <c r="V450" s="36">
        <f>COUNTIFS('Page-Keyword Map'!$A$2:$A$675,B450,'Page-Keyword Map'!$E$2:$E$675,"Provincial")</f>
        <v/>
      </c>
      <c r="W450" s="36">
        <f>COUNTIFS('Page-Keyword Map'!$A$2:$A$675,B450,'Page-Keyword Map'!$E$2:$E$675,"City")</f>
        <v/>
      </c>
      <c r="X450" s="36">
        <f>IF(O450="","",IF(ISNUMBER(SEARCH(O450,J450)),"Yes","No"))</f>
        <v/>
      </c>
      <c r="Y450" s="36" t="n">
        <v>0.7</v>
      </c>
      <c r="Z450" s="36" t="inlineStr">
        <is>
          <t>sitemap-cities.xml</t>
        </is>
      </c>
      <c r="AA450" s="36" t="inlineStr">
        <is>
          <t>Live – indexable</t>
        </is>
      </c>
      <c r="AB450" s="38" t="n"/>
      <c r="AC450" s="38" t="n"/>
    </row>
    <row r="451" ht="23.85" customHeight="1" s="22">
      <c r="A451" s="36" t="inlineStr">
        <is>
          <t>P0450</t>
        </is>
      </c>
      <c r="B451" s="36" t="inlineStr">
        <is>
          <t>https://instasure.ca/condo-insurance/british-columbia/vancouver/</t>
        </is>
      </c>
      <c r="C451" s="36" t="inlineStr">
        <is>
          <t>Product × city</t>
        </is>
      </c>
      <c r="D451" s="36" t="inlineStr">
        <is>
          <t>Condo insurance</t>
        </is>
      </c>
      <c r="E451" s="36" t="inlineStr">
        <is>
          <t>Condo Insurance</t>
        </is>
      </c>
      <c r="F451" s="36" t="n"/>
      <c r="G451" s="36" t="inlineStr">
        <is>
          <t>British Columbia</t>
        </is>
      </c>
      <c r="H451" s="36" t="inlineStr">
        <is>
          <t>Vancouver</t>
        </is>
      </c>
      <c r="I451" s="36" t="inlineStr">
        <is>
          <t>Yes</t>
        </is>
      </c>
      <c r="J451" s="25" t="inlineStr">
        <is>
          <t>Condo Insurance Vancouver, BC: Compare Quotes &amp; Costs (2026)</t>
        </is>
      </c>
      <c r="K451" s="36">
        <f>LEN(J451)</f>
        <v/>
      </c>
      <c r="L451" s="25" t="inlineStr">
        <is>
          <t>Compare condo insurance in Vancouver, BC: instant estimate ($28.00–$45.00/mo example), local risk factors and advisors licensed in British Columbia.</t>
        </is>
      </c>
      <c r="M451" s="36">
        <f>LEN(L451)</f>
        <v/>
      </c>
      <c r="N451" s="25" t="inlineStr">
        <is>
          <t>Condo Insurance in Vancouver, BC</t>
        </is>
      </c>
      <c r="O451" s="36" t="inlineStr">
        <is>
          <t>condo insurance vancouver</t>
        </is>
      </c>
      <c r="P451" s="37" t="n">
        <v>190</v>
      </c>
      <c r="Q451" s="36" t="inlineStr">
        <is>
          <t>City</t>
        </is>
      </c>
      <c r="R451" s="36" t="n"/>
      <c r="S451" s="36">
        <f>COUNTIF('Page-Keyword Map'!$A$2:$A$675,B451)</f>
        <v/>
      </c>
      <c r="T451" s="37">
        <f>SUMIF('Page-Keyword Map'!$A$2:$A$675,B451,'Page-Keyword Map'!$H$2:$H$675)</f>
        <v/>
      </c>
      <c r="U451" s="36">
        <f>COUNTIFS('Page-Keyword Map'!$A$2:$A$675,B451,'Page-Keyword Map'!$E$2:$E$675,"Nationwide")</f>
        <v/>
      </c>
      <c r="V451" s="36">
        <f>COUNTIFS('Page-Keyword Map'!$A$2:$A$675,B451,'Page-Keyword Map'!$E$2:$E$675,"Provincial")</f>
        <v/>
      </c>
      <c r="W451" s="36">
        <f>COUNTIFS('Page-Keyword Map'!$A$2:$A$675,B451,'Page-Keyword Map'!$E$2:$E$675,"City")</f>
        <v/>
      </c>
      <c r="X451" s="36">
        <f>IF(O451="","",IF(ISNUMBER(SEARCH(O451,J451)),"Yes","No"))</f>
        <v/>
      </c>
      <c r="Y451" s="36" t="n">
        <v>0.7</v>
      </c>
      <c r="Z451" s="36" t="inlineStr">
        <is>
          <t>sitemap-cities.xml</t>
        </is>
      </c>
      <c r="AA451" s="36" t="inlineStr">
        <is>
          <t>Live – indexable</t>
        </is>
      </c>
      <c r="AB451" s="38" t="n"/>
      <c r="AC451" s="38" t="n"/>
    </row>
    <row r="452" ht="23.85" customHeight="1" s="22">
      <c r="A452" s="36" t="inlineStr">
        <is>
          <t>P0451</t>
        </is>
      </c>
      <c r="B452" s="36" t="inlineStr">
        <is>
          <t>https://instasure.ca/condo-insurance/british-columbia/victoria/</t>
        </is>
      </c>
      <c r="C452" s="36" t="inlineStr">
        <is>
          <t>Product × city</t>
        </is>
      </c>
      <c r="D452" s="36" t="inlineStr">
        <is>
          <t>Condo insurance</t>
        </is>
      </c>
      <c r="E452" s="36" t="inlineStr">
        <is>
          <t>Condo Insurance</t>
        </is>
      </c>
      <c r="F452" s="36" t="n"/>
      <c r="G452" s="36" t="inlineStr">
        <is>
          <t>British Columbia</t>
        </is>
      </c>
      <c r="H452" s="36" t="inlineStr">
        <is>
          <t>Victoria</t>
        </is>
      </c>
      <c r="I452" s="36" t="inlineStr">
        <is>
          <t>Yes</t>
        </is>
      </c>
      <c r="J452" s="25" t="inlineStr">
        <is>
          <t>Condo Insurance Victoria, BC: Compare Quotes &amp; Costs (2026)</t>
        </is>
      </c>
      <c r="K452" s="36">
        <f>LEN(J452)</f>
        <v/>
      </c>
      <c r="L452" s="25" t="inlineStr">
        <is>
          <t>Compare condo insurance in Victoria, BC: instant estimate ($28.00–$45.00/mo example), local risk factors and advisors licensed in British Columbia.</t>
        </is>
      </c>
      <c r="M452" s="36">
        <f>LEN(L452)</f>
        <v/>
      </c>
      <c r="N452" s="25" t="inlineStr">
        <is>
          <t>Condo Insurance in Victoria, BC</t>
        </is>
      </c>
      <c r="O452" s="36" t="inlineStr">
        <is>
          <t>condo insurance victoria</t>
        </is>
      </c>
      <c r="P452" s="37" t="n">
        <v>39</v>
      </c>
      <c r="Q452" s="36" t="inlineStr">
        <is>
          <t>City</t>
        </is>
      </c>
      <c r="R452" s="36" t="n"/>
      <c r="S452" s="36">
        <f>COUNTIF('Page-Keyword Map'!$A$2:$A$675,B452)</f>
        <v/>
      </c>
      <c r="T452" s="37">
        <f>SUMIF('Page-Keyword Map'!$A$2:$A$675,B452,'Page-Keyword Map'!$H$2:$H$675)</f>
        <v/>
      </c>
      <c r="U452" s="36">
        <f>COUNTIFS('Page-Keyword Map'!$A$2:$A$675,B452,'Page-Keyword Map'!$E$2:$E$675,"Nationwide")</f>
        <v/>
      </c>
      <c r="V452" s="36">
        <f>COUNTIFS('Page-Keyword Map'!$A$2:$A$675,B452,'Page-Keyword Map'!$E$2:$E$675,"Provincial")</f>
        <v/>
      </c>
      <c r="W452" s="36">
        <f>COUNTIFS('Page-Keyword Map'!$A$2:$A$675,B452,'Page-Keyword Map'!$E$2:$E$675,"City")</f>
        <v/>
      </c>
      <c r="X452" s="36">
        <f>IF(O452="","",IF(ISNUMBER(SEARCH(O452,J452)),"Yes","No"))</f>
        <v/>
      </c>
      <c r="Y452" s="36" t="n">
        <v>0.7</v>
      </c>
      <c r="Z452" s="36" t="inlineStr">
        <is>
          <t>sitemap-cities.xml</t>
        </is>
      </c>
      <c r="AA452" s="36" t="inlineStr">
        <is>
          <t>Live – indexable</t>
        </is>
      </c>
      <c r="AB452" s="38" t="n"/>
      <c r="AC452" s="38" t="n"/>
    </row>
    <row r="453" ht="23.85" customHeight="1" s="22">
      <c r="A453" s="36" t="inlineStr">
        <is>
          <t>P0452</t>
        </is>
      </c>
      <c r="B453" s="36" t="inlineStr">
        <is>
          <t>https://instasure.ca/condo-insurance/manitoba/brandon/</t>
        </is>
      </c>
      <c r="C453" s="36" t="inlineStr">
        <is>
          <t>Product × city</t>
        </is>
      </c>
      <c r="D453" s="36" t="inlineStr">
        <is>
          <t>Condo insurance</t>
        </is>
      </c>
      <c r="E453" s="36" t="inlineStr">
        <is>
          <t>Condo Insurance</t>
        </is>
      </c>
      <c r="F453" s="36" t="n"/>
      <c r="G453" s="36" t="inlineStr">
        <is>
          <t>Manitoba</t>
        </is>
      </c>
      <c r="H453" s="36" t="inlineStr">
        <is>
          <t>Brandon</t>
        </is>
      </c>
      <c r="I453" s="36" t="inlineStr">
        <is>
          <t>No</t>
        </is>
      </c>
      <c r="J453" s="25" t="inlineStr">
        <is>
          <t>Condo Insurance Brandon, MB: Compare Quotes &amp; Costs (2026)</t>
        </is>
      </c>
      <c r="K453" s="36">
        <f>LEN(J453)</f>
        <v/>
      </c>
      <c r="L453" s="25" t="inlineStr">
        <is>
          <t>Compare condo insurance in Brandon, MB: instant estimate ($23.00–$37.00/mo example), local risk factors and advisors licensed in Manitoba.</t>
        </is>
      </c>
      <c r="M453" s="36">
        <f>LEN(L453)</f>
        <v/>
      </c>
      <c r="N453" s="25" t="inlineStr">
        <is>
          <t>Condo Insurance in Brandon, MB</t>
        </is>
      </c>
      <c r="O453" s="36" t="inlineStr">
        <is>
          <t>condo insurance brandon</t>
        </is>
      </c>
      <c r="P453" s="37" t="n">
        <v>24</v>
      </c>
      <c r="Q453" s="36" t="inlineStr">
        <is>
          <t>City</t>
        </is>
      </c>
      <c r="R453" s="36" t="n"/>
      <c r="S453" s="36">
        <f>COUNTIF('Page-Keyword Map'!$A$2:$A$675,B453)</f>
        <v/>
      </c>
      <c r="T453" s="37">
        <f>SUMIF('Page-Keyword Map'!$A$2:$A$675,B453,'Page-Keyword Map'!$H$2:$H$675)</f>
        <v/>
      </c>
      <c r="U453" s="36">
        <f>COUNTIFS('Page-Keyword Map'!$A$2:$A$675,B453,'Page-Keyword Map'!$E$2:$E$675,"Nationwide")</f>
        <v/>
      </c>
      <c r="V453" s="36">
        <f>COUNTIFS('Page-Keyword Map'!$A$2:$A$675,B453,'Page-Keyword Map'!$E$2:$E$675,"Provincial")</f>
        <v/>
      </c>
      <c r="W453" s="36">
        <f>COUNTIFS('Page-Keyword Map'!$A$2:$A$675,B453,'Page-Keyword Map'!$E$2:$E$675,"City")</f>
        <v/>
      </c>
      <c r="X453" s="36">
        <f>IF(O453="","",IF(ISNUMBER(SEARCH(O453,J453)),"Yes","No"))</f>
        <v/>
      </c>
      <c r="Y453" s="36" t="n">
        <v>0.5</v>
      </c>
      <c r="Z453" s="36" t="inlineStr">
        <is>
          <t>(not listed: noindex)</t>
        </is>
      </c>
      <c r="AA453" s="36" t="inlineStr">
        <is>
          <t>Live – noindex (enrich before indexing)</t>
        </is>
      </c>
      <c r="AB453" s="38" t="n"/>
      <c r="AC453" s="38" t="n"/>
    </row>
    <row r="454" ht="23.85" customHeight="1" s="22">
      <c r="A454" s="36" t="inlineStr">
        <is>
          <t>P0453</t>
        </is>
      </c>
      <c r="B454" s="36" t="inlineStr">
        <is>
          <t>https://instasure.ca/condo-insurance/manitoba/winnipeg/</t>
        </is>
      </c>
      <c r="C454" s="36" t="inlineStr">
        <is>
          <t>Product × city</t>
        </is>
      </c>
      <c r="D454" s="36" t="inlineStr">
        <is>
          <t>Condo insurance</t>
        </is>
      </c>
      <c r="E454" s="36" t="inlineStr">
        <is>
          <t>Condo Insurance</t>
        </is>
      </c>
      <c r="F454" s="36" t="n"/>
      <c r="G454" s="36" t="inlineStr">
        <is>
          <t>Manitoba</t>
        </is>
      </c>
      <c r="H454" s="36" t="inlineStr">
        <is>
          <t>Winnipeg</t>
        </is>
      </c>
      <c r="I454" s="36" t="inlineStr">
        <is>
          <t>Yes</t>
        </is>
      </c>
      <c r="J454" s="25" t="inlineStr">
        <is>
          <t>Condo Insurance Winnipeg, MB: Compare Quotes &amp; Costs (2026)</t>
        </is>
      </c>
      <c r="K454" s="36">
        <f>LEN(J454)</f>
        <v/>
      </c>
      <c r="L454" s="25" t="inlineStr">
        <is>
          <t>Compare condo insurance in Winnipeg, MB: instant estimate ($23.00–$38.00/mo example), local risk factors and advisors licensed in Manitoba.</t>
        </is>
      </c>
      <c r="M454" s="36">
        <f>LEN(L454)</f>
        <v/>
      </c>
      <c r="N454" s="25" t="inlineStr">
        <is>
          <t>Condo Insurance in Winnipeg, MB</t>
        </is>
      </c>
      <c r="O454" s="36" t="inlineStr">
        <is>
          <t>condo insurance winnipeg</t>
        </is>
      </c>
      <c r="P454" s="37" t="n">
        <v>210</v>
      </c>
      <c r="Q454" s="36" t="inlineStr">
        <is>
          <t>City</t>
        </is>
      </c>
      <c r="R454" s="36" t="n"/>
      <c r="S454" s="36">
        <f>COUNTIF('Page-Keyword Map'!$A$2:$A$675,B454)</f>
        <v/>
      </c>
      <c r="T454" s="37">
        <f>SUMIF('Page-Keyword Map'!$A$2:$A$675,B454,'Page-Keyword Map'!$H$2:$H$675)</f>
        <v/>
      </c>
      <c r="U454" s="36">
        <f>COUNTIFS('Page-Keyword Map'!$A$2:$A$675,B454,'Page-Keyword Map'!$E$2:$E$675,"Nationwide")</f>
        <v/>
      </c>
      <c r="V454" s="36">
        <f>COUNTIFS('Page-Keyword Map'!$A$2:$A$675,B454,'Page-Keyword Map'!$E$2:$E$675,"Provincial")</f>
        <v/>
      </c>
      <c r="W454" s="36">
        <f>COUNTIFS('Page-Keyword Map'!$A$2:$A$675,B454,'Page-Keyword Map'!$E$2:$E$675,"City")</f>
        <v/>
      </c>
      <c r="X454" s="36">
        <f>IF(O454="","",IF(ISNUMBER(SEARCH(O454,J454)),"Yes","No"))</f>
        <v/>
      </c>
      <c r="Y454" s="36" t="n">
        <v>0.7</v>
      </c>
      <c r="Z454" s="36" t="inlineStr">
        <is>
          <t>sitemap-cities.xml</t>
        </is>
      </c>
      <c r="AA454" s="36" t="inlineStr">
        <is>
          <t>Live – indexable</t>
        </is>
      </c>
      <c r="AB454" s="38" t="n"/>
      <c r="AC454" s="38" t="n"/>
    </row>
    <row r="455" ht="23.85" customHeight="1" s="22">
      <c r="A455" s="36" t="inlineStr">
        <is>
          <t>P0454</t>
        </is>
      </c>
      <c r="B455" s="36" t="inlineStr">
        <is>
          <t>https://instasure.ca/condo-insurance/new-brunswick/fredericton/</t>
        </is>
      </c>
      <c r="C455" s="36" t="inlineStr">
        <is>
          <t>Product × city</t>
        </is>
      </c>
      <c r="D455" s="36" t="inlineStr">
        <is>
          <t>Condo insurance</t>
        </is>
      </c>
      <c r="E455" s="36" t="inlineStr">
        <is>
          <t>Condo Insurance</t>
        </is>
      </c>
      <c r="F455" s="36" t="n"/>
      <c r="G455" s="36" t="inlineStr">
        <is>
          <t>New Brunswick</t>
        </is>
      </c>
      <c r="H455" s="36" t="inlineStr">
        <is>
          <t>Fredericton</t>
        </is>
      </c>
      <c r="I455" s="36" t="inlineStr">
        <is>
          <t>Yes</t>
        </is>
      </c>
      <c r="J455" s="25" t="inlineStr">
        <is>
          <t>Condo Insurance Fredericton, NB: Compare Quotes &amp; Costs (2026)</t>
        </is>
      </c>
      <c r="K455" s="36">
        <f>LEN(J455)</f>
        <v/>
      </c>
      <c r="L455" s="25" t="inlineStr">
        <is>
          <t>Compare condo insurance in Fredericton, NB: instant estimate ($21.00–$33.00/mo example), local risk factors and advisors licensed in New Brunswick.</t>
        </is>
      </c>
      <c r="M455" s="36">
        <f>LEN(L455)</f>
        <v/>
      </c>
      <c r="N455" s="25" t="inlineStr">
        <is>
          <t>Condo Insurance in Fredericton, NB</t>
        </is>
      </c>
      <c r="O455" s="36" t="inlineStr">
        <is>
          <t>condo insurance fredericton</t>
        </is>
      </c>
      <c r="P455" s="37" t="n">
        <v>29</v>
      </c>
      <c r="Q455" s="36" t="inlineStr">
        <is>
          <t>City</t>
        </is>
      </c>
      <c r="R455" s="36" t="n"/>
      <c r="S455" s="36">
        <f>COUNTIF('Page-Keyword Map'!$A$2:$A$675,B455)</f>
        <v/>
      </c>
      <c r="T455" s="37">
        <f>SUMIF('Page-Keyword Map'!$A$2:$A$675,B455,'Page-Keyword Map'!$H$2:$H$675)</f>
        <v/>
      </c>
      <c r="U455" s="36">
        <f>COUNTIFS('Page-Keyword Map'!$A$2:$A$675,B455,'Page-Keyword Map'!$E$2:$E$675,"Nationwide")</f>
        <v/>
      </c>
      <c r="V455" s="36">
        <f>COUNTIFS('Page-Keyword Map'!$A$2:$A$675,B455,'Page-Keyword Map'!$E$2:$E$675,"Provincial")</f>
        <v/>
      </c>
      <c r="W455" s="36">
        <f>COUNTIFS('Page-Keyword Map'!$A$2:$A$675,B455,'Page-Keyword Map'!$E$2:$E$675,"City")</f>
        <v/>
      </c>
      <c r="X455" s="36">
        <f>IF(O455="","",IF(ISNUMBER(SEARCH(O455,J455)),"Yes","No"))</f>
        <v/>
      </c>
      <c r="Y455" s="36" t="n">
        <v>0.5</v>
      </c>
      <c r="Z455" s="36" t="inlineStr">
        <is>
          <t>sitemap-cities.xml</t>
        </is>
      </c>
      <c r="AA455" s="36" t="inlineStr">
        <is>
          <t>Live – indexable</t>
        </is>
      </c>
      <c r="AB455" s="38" t="n"/>
      <c r="AC455" s="38" t="n"/>
    </row>
    <row r="456" ht="23.85" customHeight="1" s="22">
      <c r="A456" s="36" t="inlineStr">
        <is>
          <t>P0455</t>
        </is>
      </c>
      <c r="B456" s="36" t="inlineStr">
        <is>
          <t>https://instasure.ca/condo-insurance/new-brunswick/moncton/</t>
        </is>
      </c>
      <c r="C456" s="36" t="inlineStr">
        <is>
          <t>Product × city</t>
        </is>
      </c>
      <c r="D456" s="36" t="inlineStr">
        <is>
          <t>Condo insurance</t>
        </is>
      </c>
      <c r="E456" s="36" t="inlineStr">
        <is>
          <t>Condo Insurance</t>
        </is>
      </c>
      <c r="F456" s="36" t="n"/>
      <c r="G456" s="36" t="inlineStr">
        <is>
          <t>New Brunswick</t>
        </is>
      </c>
      <c r="H456" s="36" t="inlineStr">
        <is>
          <t>Moncton</t>
        </is>
      </c>
      <c r="I456" s="36" t="inlineStr">
        <is>
          <t>Yes</t>
        </is>
      </c>
      <c r="J456" s="25" t="inlineStr">
        <is>
          <t>Condo Insurance Moncton, NB: Compare Quotes &amp; Costs (2026)</t>
        </is>
      </c>
      <c r="K456" s="36">
        <f>LEN(J456)</f>
        <v/>
      </c>
      <c r="L456" s="25" t="inlineStr">
        <is>
          <t>Compare condo insurance in Moncton, NB: instant estimate ($20.00–$32.00/mo example), local risk factors and advisors licensed in New Brunswick.</t>
        </is>
      </c>
      <c r="M456" s="36">
        <f>LEN(L456)</f>
        <v/>
      </c>
      <c r="N456" s="25" t="inlineStr">
        <is>
          <t>Condo Insurance in Moncton, NB</t>
        </is>
      </c>
      <c r="O456" s="36" t="inlineStr">
        <is>
          <t>condo insurance moncton</t>
        </is>
      </c>
      <c r="P456" s="37" t="n">
        <v>34</v>
      </c>
      <c r="Q456" s="36" t="inlineStr">
        <is>
          <t>City</t>
        </is>
      </c>
      <c r="R456" s="36" t="n"/>
      <c r="S456" s="36">
        <f>COUNTIF('Page-Keyword Map'!$A$2:$A$675,B456)</f>
        <v/>
      </c>
      <c r="T456" s="37">
        <f>SUMIF('Page-Keyword Map'!$A$2:$A$675,B456,'Page-Keyword Map'!$H$2:$H$675)</f>
        <v/>
      </c>
      <c r="U456" s="36">
        <f>COUNTIFS('Page-Keyword Map'!$A$2:$A$675,B456,'Page-Keyword Map'!$E$2:$E$675,"Nationwide")</f>
        <v/>
      </c>
      <c r="V456" s="36">
        <f>COUNTIFS('Page-Keyword Map'!$A$2:$A$675,B456,'Page-Keyword Map'!$E$2:$E$675,"Provincial")</f>
        <v/>
      </c>
      <c r="W456" s="36">
        <f>COUNTIFS('Page-Keyword Map'!$A$2:$A$675,B456,'Page-Keyword Map'!$E$2:$E$675,"City")</f>
        <v/>
      </c>
      <c r="X456" s="36">
        <f>IF(O456="","",IF(ISNUMBER(SEARCH(O456,J456)),"Yes","No"))</f>
        <v/>
      </c>
      <c r="Y456" s="36" t="n">
        <v>0.5</v>
      </c>
      <c r="Z456" s="36" t="inlineStr">
        <is>
          <t>sitemap-cities.xml</t>
        </is>
      </c>
      <c r="AA456" s="36" t="inlineStr">
        <is>
          <t>Live – indexable</t>
        </is>
      </c>
      <c r="AB456" s="38" t="n"/>
      <c r="AC456" s="38" t="n"/>
    </row>
    <row r="457" ht="23.85" customHeight="1" s="22">
      <c r="A457" s="36" t="inlineStr">
        <is>
          <t>P0456</t>
        </is>
      </c>
      <c r="B457" s="36" t="inlineStr">
        <is>
          <t>https://instasure.ca/condo-insurance/new-brunswick/saint-john/</t>
        </is>
      </c>
      <c r="C457" s="36" t="inlineStr">
        <is>
          <t>Product × city</t>
        </is>
      </c>
      <c r="D457" s="36" t="inlineStr">
        <is>
          <t>Condo insurance</t>
        </is>
      </c>
      <c r="E457" s="36" t="inlineStr">
        <is>
          <t>Condo Insurance</t>
        </is>
      </c>
      <c r="F457" s="36" t="n"/>
      <c r="G457" s="36" t="inlineStr">
        <is>
          <t>New Brunswick</t>
        </is>
      </c>
      <c r="H457" s="36" t="inlineStr">
        <is>
          <t>Saint John</t>
        </is>
      </c>
      <c r="I457" s="36" t="inlineStr">
        <is>
          <t>Yes</t>
        </is>
      </c>
      <c r="J457" s="25" t="inlineStr">
        <is>
          <t>Condo Insurance Saint John, NB: Compare Quotes &amp; Costs (2026)</t>
        </is>
      </c>
      <c r="K457" s="36">
        <f>LEN(J457)</f>
        <v/>
      </c>
      <c r="L457" s="25" t="inlineStr">
        <is>
          <t>Compare condo insurance in Saint John, NB: instant estimate ($21.00–$33.00/mo example), local risk factors and advisors licensed in New Brunswick.</t>
        </is>
      </c>
      <c r="M457" s="36">
        <f>LEN(L457)</f>
        <v/>
      </c>
      <c r="N457" s="25" t="inlineStr">
        <is>
          <t>Condo Insurance in Saint John, NB</t>
        </is>
      </c>
      <c r="O457" s="36" t="inlineStr">
        <is>
          <t>condo insurance saint john</t>
        </is>
      </c>
      <c r="P457" s="37" t="n">
        <v>31</v>
      </c>
      <c r="Q457" s="36" t="inlineStr">
        <is>
          <t>City</t>
        </is>
      </c>
      <c r="R457" s="36" t="n"/>
      <c r="S457" s="36">
        <f>COUNTIF('Page-Keyword Map'!$A$2:$A$675,B457)</f>
        <v/>
      </c>
      <c r="T457" s="37">
        <f>SUMIF('Page-Keyword Map'!$A$2:$A$675,B457,'Page-Keyword Map'!$H$2:$H$675)</f>
        <v/>
      </c>
      <c r="U457" s="36">
        <f>COUNTIFS('Page-Keyword Map'!$A$2:$A$675,B457,'Page-Keyword Map'!$E$2:$E$675,"Nationwide")</f>
        <v/>
      </c>
      <c r="V457" s="36">
        <f>COUNTIFS('Page-Keyword Map'!$A$2:$A$675,B457,'Page-Keyword Map'!$E$2:$E$675,"Provincial")</f>
        <v/>
      </c>
      <c r="W457" s="36">
        <f>COUNTIFS('Page-Keyword Map'!$A$2:$A$675,B457,'Page-Keyword Map'!$E$2:$E$675,"City")</f>
        <v/>
      </c>
      <c r="X457" s="36">
        <f>IF(O457="","",IF(ISNUMBER(SEARCH(O457,J457)),"Yes","No"))</f>
        <v/>
      </c>
      <c r="Y457" s="36" t="n">
        <v>0.5</v>
      </c>
      <c r="Z457" s="36" t="inlineStr">
        <is>
          <t>sitemap-cities.xml</t>
        </is>
      </c>
      <c r="AA457" s="36" t="inlineStr">
        <is>
          <t>Live – indexable</t>
        </is>
      </c>
      <c r="AB457" s="38" t="n"/>
      <c r="AC457" s="38" t="n"/>
    </row>
    <row r="458" ht="23.85" customHeight="1" s="22">
      <c r="A458" s="36" t="inlineStr">
        <is>
          <t>P0457</t>
        </is>
      </c>
      <c r="B458" s="36" t="inlineStr">
        <is>
          <t>https://instasure.ca/condo-insurance/newfoundland-and-labrador/st-johns/</t>
        </is>
      </c>
      <c r="C458" s="36" t="inlineStr">
        <is>
          <t>Product × city</t>
        </is>
      </c>
      <c r="D458" s="36" t="inlineStr">
        <is>
          <t>Condo insurance</t>
        </is>
      </c>
      <c r="E458" s="36" t="inlineStr">
        <is>
          <t>Condo Insurance</t>
        </is>
      </c>
      <c r="F458" s="36" t="n"/>
      <c r="G458" s="36" t="inlineStr">
        <is>
          <t>Newfoundland and Labrador</t>
        </is>
      </c>
      <c r="H458" s="36" t="inlineStr">
        <is>
          <t>St. John’s</t>
        </is>
      </c>
      <c r="I458" s="36" t="inlineStr">
        <is>
          <t>Yes</t>
        </is>
      </c>
      <c r="J458" s="25" t="inlineStr">
        <is>
          <t>Condo Insurance St. John’s, NL: Compare Quotes &amp; Costs (2026)</t>
        </is>
      </c>
      <c r="K458" s="36">
        <f>LEN(J458)</f>
        <v/>
      </c>
      <c r="L458" s="25" t="inlineStr">
        <is>
          <t>Compare condo insurance in St. John’s, NL: instant estimate ($21.00–$35.00/mo example), local risk factors and advisors licensed in Newfoundland and Labrador.</t>
        </is>
      </c>
      <c r="M458" s="36">
        <f>LEN(L458)</f>
        <v/>
      </c>
      <c r="N458" s="25" t="inlineStr">
        <is>
          <t>Condo Insurance in St. John’s, NL</t>
        </is>
      </c>
      <c r="O458" s="36" t="inlineStr">
        <is>
          <t>condo insurance st johns</t>
        </is>
      </c>
      <c r="P458" s="37" t="n">
        <v>45</v>
      </c>
      <c r="Q458" s="36" t="inlineStr">
        <is>
          <t>City</t>
        </is>
      </c>
      <c r="R458" s="36" t="n"/>
      <c r="S458" s="36">
        <f>COUNTIF('Page-Keyword Map'!$A$2:$A$675,B458)</f>
        <v/>
      </c>
      <c r="T458" s="37">
        <f>SUMIF('Page-Keyword Map'!$A$2:$A$675,B458,'Page-Keyword Map'!$H$2:$H$675)</f>
        <v/>
      </c>
      <c r="U458" s="36">
        <f>COUNTIFS('Page-Keyword Map'!$A$2:$A$675,B458,'Page-Keyword Map'!$E$2:$E$675,"Nationwide")</f>
        <v/>
      </c>
      <c r="V458" s="36">
        <f>COUNTIFS('Page-Keyword Map'!$A$2:$A$675,B458,'Page-Keyword Map'!$E$2:$E$675,"Provincial")</f>
        <v/>
      </c>
      <c r="W458" s="36">
        <f>COUNTIFS('Page-Keyword Map'!$A$2:$A$675,B458,'Page-Keyword Map'!$E$2:$E$675,"City")</f>
        <v/>
      </c>
      <c r="X458" s="36">
        <f>IF(O458="","",IF(ISNUMBER(SEARCH(O458,J458)),"Yes","No"))</f>
        <v/>
      </c>
      <c r="Y458" s="36" t="n">
        <v>0.7</v>
      </c>
      <c r="Z458" s="36" t="inlineStr">
        <is>
          <t>sitemap-cities.xml</t>
        </is>
      </c>
      <c r="AA458" s="36" t="inlineStr">
        <is>
          <t>Live – indexable</t>
        </is>
      </c>
      <c r="AB458" s="38" t="n"/>
      <c r="AC458" s="38" t="n"/>
    </row>
    <row r="459" ht="23.85" customHeight="1" s="22">
      <c r="A459" s="36" t="inlineStr">
        <is>
          <t>P0458</t>
        </is>
      </c>
      <c r="B459" s="36" t="inlineStr">
        <is>
          <t>https://instasure.ca/condo-insurance/northwest-territories/yellowknife/</t>
        </is>
      </c>
      <c r="C459" s="36" t="inlineStr">
        <is>
          <t>Product × city</t>
        </is>
      </c>
      <c r="D459" s="36" t="inlineStr">
        <is>
          <t>Condo insurance</t>
        </is>
      </c>
      <c r="E459" s="36" t="inlineStr">
        <is>
          <t>Condo Insurance</t>
        </is>
      </c>
      <c r="F459" s="36" t="n"/>
      <c r="G459" s="36" t="inlineStr">
        <is>
          <t>Northwest Territories</t>
        </is>
      </c>
      <c r="H459" s="36" t="inlineStr">
        <is>
          <t>Yellowknife</t>
        </is>
      </c>
      <c r="I459" s="36" t="inlineStr">
        <is>
          <t>No</t>
        </is>
      </c>
      <c r="J459" s="25" t="inlineStr">
        <is>
          <t>Condo Insurance Yellowknife, NT: Compare Quotes &amp; Costs (2026)</t>
        </is>
      </c>
      <c r="K459" s="36">
        <f>LEN(J459)</f>
        <v/>
      </c>
      <c r="L459" s="25" t="inlineStr">
        <is>
          <t>Compare condo insurance in Yellowknife, NT: instant estimate ($27.00–$43.00/mo example), local risk factors and a waitlist for licensed advice in Northwest…</t>
        </is>
      </c>
      <c r="M459" s="36">
        <f>LEN(L459)</f>
        <v/>
      </c>
      <c r="N459" s="25" t="inlineStr">
        <is>
          <t>Condo Insurance in Yellowknife, NT</t>
        </is>
      </c>
      <c r="O459" s="36" t="n"/>
      <c r="P459" s="37" t="n"/>
      <c r="Q459" s="36" t="n"/>
      <c r="R459" s="36" t="inlineStr">
        <is>
          <t>condo insurance yellowknife</t>
        </is>
      </c>
      <c r="S459" s="36">
        <f>COUNTIF('Page-Keyword Map'!$A$2:$A$675,B459)</f>
        <v/>
      </c>
      <c r="T459" s="37">
        <f>SUMIF('Page-Keyword Map'!$A$2:$A$675,B459,'Page-Keyword Map'!$H$2:$H$675)</f>
        <v/>
      </c>
      <c r="U459" s="36">
        <f>COUNTIFS('Page-Keyword Map'!$A$2:$A$675,B459,'Page-Keyword Map'!$E$2:$E$675,"Nationwide")</f>
        <v/>
      </c>
      <c r="V459" s="36">
        <f>COUNTIFS('Page-Keyword Map'!$A$2:$A$675,B459,'Page-Keyword Map'!$E$2:$E$675,"Provincial")</f>
        <v/>
      </c>
      <c r="W459" s="36">
        <f>COUNTIFS('Page-Keyword Map'!$A$2:$A$675,B459,'Page-Keyword Map'!$E$2:$E$675,"City")</f>
        <v/>
      </c>
      <c r="X459" s="36">
        <f>IF(O459="","",IF(ISNUMBER(SEARCH(O459,J459)),"Yes","No"))</f>
        <v/>
      </c>
      <c r="Y459" s="36" t="n">
        <v>0.5</v>
      </c>
      <c r="Z459" s="36" t="inlineStr">
        <is>
          <t>(not listed: noindex)</t>
        </is>
      </c>
      <c r="AA459" s="36" t="inlineStr">
        <is>
          <t>Live – noindex (enrich before indexing)</t>
        </is>
      </c>
      <c r="AB459" s="38" t="n"/>
      <c r="AC459" s="38" t="n"/>
    </row>
    <row r="460" ht="23.85" customHeight="1" s="22">
      <c r="A460" s="36" t="inlineStr">
        <is>
          <t>P0459</t>
        </is>
      </c>
      <c r="B460" s="36" t="inlineStr">
        <is>
          <t>https://instasure.ca/condo-insurance/nova-scotia/halifax/</t>
        </is>
      </c>
      <c r="C460" s="36" t="inlineStr">
        <is>
          <t>Product × city</t>
        </is>
      </c>
      <c r="D460" s="36" t="inlineStr">
        <is>
          <t>Condo insurance</t>
        </is>
      </c>
      <c r="E460" s="36" t="inlineStr">
        <is>
          <t>Condo Insurance</t>
        </is>
      </c>
      <c r="F460" s="36" t="n"/>
      <c r="G460" s="36" t="inlineStr">
        <is>
          <t>Nova Scotia</t>
        </is>
      </c>
      <c r="H460" s="36" t="inlineStr">
        <is>
          <t>Halifax</t>
        </is>
      </c>
      <c r="I460" s="36" t="inlineStr">
        <is>
          <t>Yes</t>
        </is>
      </c>
      <c r="J460" s="25" t="inlineStr">
        <is>
          <t>Condo Insurance Halifax, NS: Compare Quotes &amp; Costs (2026)</t>
        </is>
      </c>
      <c r="K460" s="36">
        <f>LEN(J460)</f>
        <v/>
      </c>
      <c r="L460" s="25" t="inlineStr">
        <is>
          <t>Compare condo insurance in Halifax, NS: instant estimate ($21.00–$35.00/mo example), local risk factors and advisors licensed in Nova Scotia.</t>
        </is>
      </c>
      <c r="M460" s="36">
        <f>LEN(L460)</f>
        <v/>
      </c>
      <c r="N460" s="25" t="inlineStr">
        <is>
          <t>Condo Insurance in Halifax, NS</t>
        </is>
      </c>
      <c r="O460" s="36" t="inlineStr">
        <is>
          <t>condo insurance halifax</t>
        </is>
      </c>
      <c r="P460" s="37" t="n">
        <v>130</v>
      </c>
      <c r="Q460" s="36" t="inlineStr">
        <is>
          <t>City</t>
        </is>
      </c>
      <c r="R460" s="36" t="n"/>
      <c r="S460" s="36">
        <f>COUNTIF('Page-Keyword Map'!$A$2:$A$675,B460)</f>
        <v/>
      </c>
      <c r="T460" s="37">
        <f>SUMIF('Page-Keyword Map'!$A$2:$A$675,B460,'Page-Keyword Map'!$H$2:$H$675)</f>
        <v/>
      </c>
      <c r="U460" s="36">
        <f>COUNTIFS('Page-Keyword Map'!$A$2:$A$675,B460,'Page-Keyword Map'!$E$2:$E$675,"Nationwide")</f>
        <v/>
      </c>
      <c r="V460" s="36">
        <f>COUNTIFS('Page-Keyword Map'!$A$2:$A$675,B460,'Page-Keyword Map'!$E$2:$E$675,"Provincial")</f>
        <v/>
      </c>
      <c r="W460" s="36">
        <f>COUNTIFS('Page-Keyword Map'!$A$2:$A$675,B460,'Page-Keyword Map'!$E$2:$E$675,"City")</f>
        <v/>
      </c>
      <c r="X460" s="36">
        <f>IF(O460="","",IF(ISNUMBER(SEARCH(O460,J460)),"Yes","No"))</f>
        <v/>
      </c>
      <c r="Y460" s="36" t="n">
        <v>0.7</v>
      </c>
      <c r="Z460" s="36" t="inlineStr">
        <is>
          <t>sitemap-cities.xml</t>
        </is>
      </c>
      <c r="AA460" s="36" t="inlineStr">
        <is>
          <t>Live – indexable</t>
        </is>
      </c>
      <c r="AB460" s="38" t="n"/>
      <c r="AC460" s="38" t="n"/>
    </row>
    <row r="461" ht="23.85" customHeight="1" s="22">
      <c r="A461" s="36" t="inlineStr">
        <is>
          <t>P0460</t>
        </is>
      </c>
      <c r="B461" s="36" t="inlineStr">
        <is>
          <t>https://instasure.ca/condo-insurance/ontario/ajax/</t>
        </is>
      </c>
      <c r="C461" s="36" t="inlineStr">
        <is>
          <t>Product × city</t>
        </is>
      </c>
      <c r="D461" s="36" t="inlineStr">
        <is>
          <t>Condo insurance</t>
        </is>
      </c>
      <c r="E461" s="36" t="inlineStr">
        <is>
          <t>Condo Insurance</t>
        </is>
      </c>
      <c r="F461" s="36" t="n"/>
      <c r="G461" s="36" t="inlineStr">
        <is>
          <t>Ontario</t>
        </is>
      </c>
      <c r="H461" s="36" t="inlineStr">
        <is>
          <t>Ajax</t>
        </is>
      </c>
      <c r="I461" s="36" t="inlineStr">
        <is>
          <t>No</t>
        </is>
      </c>
      <c r="J461" s="25" t="inlineStr">
        <is>
          <t>Condo Insurance Ajax, ON: Compare Quotes &amp; Costs (2026)</t>
        </is>
      </c>
      <c r="K461" s="36">
        <f>LEN(J461)</f>
        <v/>
      </c>
      <c r="L461" s="25" t="inlineStr">
        <is>
          <t>Compare condo insurance in Ajax, ON: instant estimate ($25.00–$41.00/mo example), local risk factors and advisors licensed in Ontario.</t>
        </is>
      </c>
      <c r="M461" s="36">
        <f>LEN(L461)</f>
        <v/>
      </c>
      <c r="N461" s="25" t="inlineStr">
        <is>
          <t>Condo Insurance in Ajax, ON</t>
        </is>
      </c>
      <c r="O461" s="36" t="inlineStr">
        <is>
          <t>condo insurance ajax</t>
        </is>
      </c>
      <c r="P461" s="37" t="n">
        <v>50</v>
      </c>
      <c r="Q461" s="36" t="inlineStr">
        <is>
          <t>City</t>
        </is>
      </c>
      <c r="R461" s="36" t="n"/>
      <c r="S461" s="36">
        <f>COUNTIF('Page-Keyword Map'!$A$2:$A$675,B461)</f>
        <v/>
      </c>
      <c r="T461" s="37">
        <f>SUMIF('Page-Keyword Map'!$A$2:$A$675,B461,'Page-Keyword Map'!$H$2:$H$675)</f>
        <v/>
      </c>
      <c r="U461" s="36">
        <f>COUNTIFS('Page-Keyword Map'!$A$2:$A$675,B461,'Page-Keyword Map'!$E$2:$E$675,"Nationwide")</f>
        <v/>
      </c>
      <c r="V461" s="36">
        <f>COUNTIFS('Page-Keyword Map'!$A$2:$A$675,B461,'Page-Keyword Map'!$E$2:$E$675,"Provincial")</f>
        <v/>
      </c>
      <c r="W461" s="36">
        <f>COUNTIFS('Page-Keyword Map'!$A$2:$A$675,B461,'Page-Keyword Map'!$E$2:$E$675,"City")</f>
        <v/>
      </c>
      <c r="X461" s="36">
        <f>IF(O461="","",IF(ISNUMBER(SEARCH(O461,J461)),"Yes","No"))</f>
        <v/>
      </c>
      <c r="Y461" s="36" t="n">
        <v>0.5</v>
      </c>
      <c r="Z461" s="36" t="inlineStr">
        <is>
          <t>(not listed: noindex)</t>
        </is>
      </c>
      <c r="AA461" s="36" t="inlineStr">
        <is>
          <t>Live – noindex (enrich before indexing)</t>
        </is>
      </c>
      <c r="AB461" s="38" t="n"/>
      <c r="AC461" s="38" t="n"/>
    </row>
    <row r="462" ht="23.85" customHeight="1" s="22">
      <c r="A462" s="36" t="inlineStr">
        <is>
          <t>P0461</t>
        </is>
      </c>
      <c r="B462" s="36" t="inlineStr">
        <is>
          <t>https://instasure.ca/condo-insurance/ontario/barrie/</t>
        </is>
      </c>
      <c r="C462" s="36" t="inlineStr">
        <is>
          <t>Product × city</t>
        </is>
      </c>
      <c r="D462" s="36" t="inlineStr">
        <is>
          <t>Condo insurance</t>
        </is>
      </c>
      <c r="E462" s="36" t="inlineStr">
        <is>
          <t>Condo Insurance</t>
        </is>
      </c>
      <c r="F462" s="36" t="n"/>
      <c r="G462" s="36" t="inlineStr">
        <is>
          <t>Ontario</t>
        </is>
      </c>
      <c r="H462" s="36" t="inlineStr">
        <is>
          <t>Barrie</t>
        </is>
      </c>
      <c r="I462" s="36" t="inlineStr">
        <is>
          <t>Yes</t>
        </is>
      </c>
      <c r="J462" s="25" t="inlineStr">
        <is>
          <t>Condo Insurance Barrie, ON: Compare Quotes &amp; Costs (2026)</t>
        </is>
      </c>
      <c r="K462" s="36">
        <f>LEN(J462)</f>
        <v/>
      </c>
      <c r="L462" s="25" t="inlineStr">
        <is>
          <t>Compare condo insurance in Barrie, ON: instant estimate ($25.00–$41.00/mo example), local risk factors and advisors licensed in Ontario.</t>
        </is>
      </c>
      <c r="M462" s="36">
        <f>LEN(L462)</f>
        <v/>
      </c>
      <c r="N462" s="25" t="inlineStr">
        <is>
          <t>Condo Insurance in Barrie, ON</t>
        </is>
      </c>
      <c r="O462" s="36" t="inlineStr">
        <is>
          <t>condo insurance barrie</t>
        </is>
      </c>
      <c r="P462" s="37" t="n">
        <v>56</v>
      </c>
      <c r="Q462" s="36" t="inlineStr">
        <is>
          <t>City</t>
        </is>
      </c>
      <c r="R462" s="36" t="n"/>
      <c r="S462" s="36">
        <f>COUNTIF('Page-Keyword Map'!$A$2:$A$675,B462)</f>
        <v/>
      </c>
      <c r="T462" s="37">
        <f>SUMIF('Page-Keyword Map'!$A$2:$A$675,B462,'Page-Keyword Map'!$H$2:$H$675)</f>
        <v/>
      </c>
      <c r="U462" s="36">
        <f>COUNTIFS('Page-Keyword Map'!$A$2:$A$675,B462,'Page-Keyword Map'!$E$2:$E$675,"Nationwide")</f>
        <v/>
      </c>
      <c r="V462" s="36">
        <f>COUNTIFS('Page-Keyword Map'!$A$2:$A$675,B462,'Page-Keyword Map'!$E$2:$E$675,"Provincial")</f>
        <v/>
      </c>
      <c r="W462" s="36">
        <f>COUNTIFS('Page-Keyword Map'!$A$2:$A$675,B462,'Page-Keyword Map'!$E$2:$E$675,"City")</f>
        <v/>
      </c>
      <c r="X462" s="36">
        <f>IF(O462="","",IF(ISNUMBER(SEARCH(O462,J462)),"Yes","No"))</f>
        <v/>
      </c>
      <c r="Y462" s="36" t="n">
        <v>0.5</v>
      </c>
      <c r="Z462" s="36" t="inlineStr">
        <is>
          <t>sitemap-cities.xml</t>
        </is>
      </c>
      <c r="AA462" s="36" t="inlineStr">
        <is>
          <t>Live – indexable</t>
        </is>
      </c>
      <c r="AB462" s="38" t="n"/>
      <c r="AC462" s="38" t="n"/>
    </row>
    <row r="463" ht="23.85" customHeight="1" s="22">
      <c r="A463" s="36" t="inlineStr">
        <is>
          <t>P0462</t>
        </is>
      </c>
      <c r="B463" s="36" t="inlineStr">
        <is>
          <t>https://instasure.ca/condo-insurance/ontario/brampton/</t>
        </is>
      </c>
      <c r="C463" s="36" t="inlineStr">
        <is>
          <t>Product × city</t>
        </is>
      </c>
      <c r="D463" s="36" t="inlineStr">
        <is>
          <t>Condo insurance</t>
        </is>
      </c>
      <c r="E463" s="36" t="inlineStr">
        <is>
          <t>Condo Insurance</t>
        </is>
      </c>
      <c r="F463" s="36" t="n"/>
      <c r="G463" s="36" t="inlineStr">
        <is>
          <t>Ontario</t>
        </is>
      </c>
      <c r="H463" s="36" t="inlineStr">
        <is>
          <t>Brampton</t>
        </is>
      </c>
      <c r="I463" s="36" t="inlineStr">
        <is>
          <t>Yes</t>
        </is>
      </c>
      <c r="J463" s="25" t="inlineStr">
        <is>
          <t>Condo Insurance Brampton, ON: Compare Quotes &amp; Costs (2026)</t>
        </is>
      </c>
      <c r="K463" s="36">
        <f>LEN(J463)</f>
        <v/>
      </c>
      <c r="L463" s="25" t="inlineStr">
        <is>
          <t>Compare condo insurance in Brampton, ON: instant estimate ($25.00–$41.00/mo example), local risk factors and advisors licensed in Ontario.</t>
        </is>
      </c>
      <c r="M463" s="36">
        <f>LEN(L463)</f>
        <v/>
      </c>
      <c r="N463" s="25" t="inlineStr">
        <is>
          <t>Condo Insurance in Brampton, ON</t>
        </is>
      </c>
      <c r="O463" s="36" t="inlineStr">
        <is>
          <t>condo insurance brampton</t>
        </is>
      </c>
      <c r="P463" s="37" t="n">
        <v>190</v>
      </c>
      <c r="Q463" s="36" t="inlineStr">
        <is>
          <t>City</t>
        </is>
      </c>
      <c r="R463" s="36" t="n"/>
      <c r="S463" s="36">
        <f>COUNTIF('Page-Keyword Map'!$A$2:$A$675,B463)</f>
        <v/>
      </c>
      <c r="T463" s="37">
        <f>SUMIF('Page-Keyword Map'!$A$2:$A$675,B463,'Page-Keyword Map'!$H$2:$H$675)</f>
        <v/>
      </c>
      <c r="U463" s="36">
        <f>COUNTIFS('Page-Keyword Map'!$A$2:$A$675,B463,'Page-Keyword Map'!$E$2:$E$675,"Nationwide")</f>
        <v/>
      </c>
      <c r="V463" s="36">
        <f>COUNTIFS('Page-Keyword Map'!$A$2:$A$675,B463,'Page-Keyword Map'!$E$2:$E$675,"Provincial")</f>
        <v/>
      </c>
      <c r="W463" s="36">
        <f>COUNTIFS('Page-Keyword Map'!$A$2:$A$675,B463,'Page-Keyword Map'!$E$2:$E$675,"City")</f>
        <v/>
      </c>
      <c r="X463" s="36">
        <f>IF(O463="","",IF(ISNUMBER(SEARCH(O463,J463)),"Yes","No"))</f>
        <v/>
      </c>
      <c r="Y463" s="36" t="n">
        <v>0.7</v>
      </c>
      <c r="Z463" s="36" t="inlineStr">
        <is>
          <t>sitemap-cities.xml</t>
        </is>
      </c>
      <c r="AA463" s="36" t="inlineStr">
        <is>
          <t>Live – indexable</t>
        </is>
      </c>
      <c r="AB463" s="38" t="n"/>
      <c r="AC463" s="38" t="n"/>
    </row>
    <row r="464" ht="23.85" customHeight="1" s="22">
      <c r="A464" s="36" t="inlineStr">
        <is>
          <t>P0463</t>
        </is>
      </c>
      <c r="B464" s="36" t="inlineStr">
        <is>
          <t>https://instasure.ca/condo-insurance/ontario/burlington/</t>
        </is>
      </c>
      <c r="C464" s="36" t="inlineStr">
        <is>
          <t>Product × city</t>
        </is>
      </c>
      <c r="D464" s="36" t="inlineStr">
        <is>
          <t>Condo insurance</t>
        </is>
      </c>
      <c r="E464" s="36" t="inlineStr">
        <is>
          <t>Condo Insurance</t>
        </is>
      </c>
      <c r="F464" s="36" t="n"/>
      <c r="G464" s="36" t="inlineStr">
        <is>
          <t>Ontario</t>
        </is>
      </c>
      <c r="H464" s="36" t="inlineStr">
        <is>
          <t>Burlington</t>
        </is>
      </c>
      <c r="I464" s="36" t="inlineStr">
        <is>
          <t>Yes</t>
        </is>
      </c>
      <c r="J464" s="25" t="inlineStr">
        <is>
          <t>Condo Insurance Burlington, ON: Compare Quotes &amp; Costs (2026)</t>
        </is>
      </c>
      <c r="K464" s="36">
        <f>LEN(J464)</f>
        <v/>
      </c>
      <c r="L464" s="25" t="inlineStr">
        <is>
          <t>Compare condo insurance in Burlington, ON: instant estimate ($25.00–$41.00/mo example), local risk factors and advisors licensed in Ontario.</t>
        </is>
      </c>
      <c r="M464" s="36">
        <f>LEN(L464)</f>
        <v/>
      </c>
      <c r="N464" s="25" t="inlineStr">
        <is>
          <t>Condo Insurance in Burlington, ON</t>
        </is>
      </c>
      <c r="O464" s="36" t="inlineStr">
        <is>
          <t>condo insurance burlington</t>
        </is>
      </c>
      <c r="P464" s="37" t="n">
        <v>68</v>
      </c>
      <c r="Q464" s="36" t="inlineStr">
        <is>
          <t>City</t>
        </is>
      </c>
      <c r="R464" s="36" t="n"/>
      <c r="S464" s="36">
        <f>COUNTIF('Page-Keyword Map'!$A$2:$A$675,B464)</f>
        <v/>
      </c>
      <c r="T464" s="37">
        <f>SUMIF('Page-Keyword Map'!$A$2:$A$675,B464,'Page-Keyword Map'!$H$2:$H$675)</f>
        <v/>
      </c>
      <c r="U464" s="36">
        <f>COUNTIFS('Page-Keyword Map'!$A$2:$A$675,B464,'Page-Keyword Map'!$E$2:$E$675,"Nationwide")</f>
        <v/>
      </c>
      <c r="V464" s="36">
        <f>COUNTIFS('Page-Keyword Map'!$A$2:$A$675,B464,'Page-Keyword Map'!$E$2:$E$675,"Provincial")</f>
        <v/>
      </c>
      <c r="W464" s="36">
        <f>COUNTIFS('Page-Keyword Map'!$A$2:$A$675,B464,'Page-Keyword Map'!$E$2:$E$675,"City")</f>
        <v/>
      </c>
      <c r="X464" s="36">
        <f>IF(O464="","",IF(ISNUMBER(SEARCH(O464,J464)),"Yes","No"))</f>
        <v/>
      </c>
      <c r="Y464" s="36" t="n">
        <v>0.5</v>
      </c>
      <c r="Z464" s="36" t="inlineStr">
        <is>
          <t>sitemap-cities.xml</t>
        </is>
      </c>
      <c r="AA464" s="36" t="inlineStr">
        <is>
          <t>Live – indexable</t>
        </is>
      </c>
      <c r="AB464" s="38" t="n"/>
      <c r="AC464" s="38" t="n"/>
    </row>
    <row r="465" ht="23.85" customHeight="1" s="22">
      <c r="A465" s="36" t="inlineStr">
        <is>
          <t>P0464</t>
        </is>
      </c>
      <c r="B465" s="36" t="inlineStr">
        <is>
          <t>https://instasure.ca/condo-insurance/ontario/cambridge/</t>
        </is>
      </c>
      <c r="C465" s="36" t="inlineStr">
        <is>
          <t>Product × city</t>
        </is>
      </c>
      <c r="D465" s="36" t="inlineStr">
        <is>
          <t>Condo insurance</t>
        </is>
      </c>
      <c r="E465" s="36" t="inlineStr">
        <is>
          <t>Condo Insurance</t>
        </is>
      </c>
      <c r="F465" s="36" t="n"/>
      <c r="G465" s="36" t="inlineStr">
        <is>
          <t>Ontario</t>
        </is>
      </c>
      <c r="H465" s="36" t="inlineStr">
        <is>
          <t>Cambridge</t>
        </is>
      </c>
      <c r="I465" s="36" t="inlineStr">
        <is>
          <t>No</t>
        </is>
      </c>
      <c r="J465" s="25" t="inlineStr">
        <is>
          <t>Condo Insurance Cambridge, ON: Compare Quotes &amp; Costs (2026)</t>
        </is>
      </c>
      <c r="K465" s="36">
        <f>LEN(J465)</f>
        <v/>
      </c>
      <c r="L465" s="25" t="inlineStr">
        <is>
          <t>Compare condo insurance in Cambridge, ON: instant estimate ($25.00–$41.00/mo example), local risk factors and advisors licensed in Ontario.</t>
        </is>
      </c>
      <c r="M465" s="36">
        <f>LEN(L465)</f>
        <v/>
      </c>
      <c r="N465" s="25" t="inlineStr">
        <is>
          <t>Condo Insurance in Cambridge, ON</t>
        </is>
      </c>
      <c r="O465" s="36" t="inlineStr">
        <is>
          <t>condo insurance cambridge</t>
        </is>
      </c>
      <c r="P465" s="37" t="n">
        <v>53</v>
      </c>
      <c r="Q465" s="36" t="inlineStr">
        <is>
          <t>City</t>
        </is>
      </c>
      <c r="R465" s="36" t="n"/>
      <c r="S465" s="36">
        <f>COUNTIF('Page-Keyword Map'!$A$2:$A$675,B465)</f>
        <v/>
      </c>
      <c r="T465" s="37">
        <f>SUMIF('Page-Keyword Map'!$A$2:$A$675,B465,'Page-Keyword Map'!$H$2:$H$675)</f>
        <v/>
      </c>
      <c r="U465" s="36">
        <f>COUNTIFS('Page-Keyword Map'!$A$2:$A$675,B465,'Page-Keyword Map'!$E$2:$E$675,"Nationwide")</f>
        <v/>
      </c>
      <c r="V465" s="36">
        <f>COUNTIFS('Page-Keyword Map'!$A$2:$A$675,B465,'Page-Keyword Map'!$E$2:$E$675,"Provincial")</f>
        <v/>
      </c>
      <c r="W465" s="36">
        <f>COUNTIFS('Page-Keyword Map'!$A$2:$A$675,B465,'Page-Keyword Map'!$E$2:$E$675,"City")</f>
        <v/>
      </c>
      <c r="X465" s="36">
        <f>IF(O465="","",IF(ISNUMBER(SEARCH(O465,J465)),"Yes","No"))</f>
        <v/>
      </c>
      <c r="Y465" s="36" t="n">
        <v>0.5</v>
      </c>
      <c r="Z465" s="36" t="inlineStr">
        <is>
          <t>(not listed: noindex)</t>
        </is>
      </c>
      <c r="AA465" s="36" t="inlineStr">
        <is>
          <t>Live – noindex (enrich before indexing)</t>
        </is>
      </c>
      <c r="AB465" s="38" t="n"/>
      <c r="AC465" s="38" t="n"/>
    </row>
    <row r="466" ht="23.85" customHeight="1" s="22">
      <c r="A466" s="36" t="inlineStr">
        <is>
          <t>P0465</t>
        </is>
      </c>
      <c r="B466" s="36" t="inlineStr">
        <is>
          <t>https://instasure.ca/condo-insurance/ontario/guelph/</t>
        </is>
      </c>
      <c r="C466" s="36" t="inlineStr">
        <is>
          <t>Product × city</t>
        </is>
      </c>
      <c r="D466" s="36" t="inlineStr">
        <is>
          <t>Condo insurance</t>
        </is>
      </c>
      <c r="E466" s="36" t="inlineStr">
        <is>
          <t>Condo Insurance</t>
        </is>
      </c>
      <c r="F466" s="36" t="n"/>
      <c r="G466" s="36" t="inlineStr">
        <is>
          <t>Ontario</t>
        </is>
      </c>
      <c r="H466" s="36" t="inlineStr">
        <is>
          <t>Guelph</t>
        </is>
      </c>
      <c r="I466" s="36" t="inlineStr">
        <is>
          <t>Yes</t>
        </is>
      </c>
      <c r="J466" s="25" t="inlineStr">
        <is>
          <t>Condo Insurance Guelph, ON: Compare Quotes &amp; Costs (2026)</t>
        </is>
      </c>
      <c r="K466" s="36">
        <f>LEN(J466)</f>
        <v/>
      </c>
      <c r="L466" s="25" t="inlineStr">
        <is>
          <t>Compare condo insurance in Guelph, ON: instant estimate ($25.00–$41.00/mo example), local risk factors and advisors licensed in Ontario.</t>
        </is>
      </c>
      <c r="M466" s="36">
        <f>LEN(L466)</f>
        <v/>
      </c>
      <c r="N466" s="25" t="inlineStr">
        <is>
          <t>Condo Insurance in Guelph, ON</t>
        </is>
      </c>
      <c r="O466" s="36" t="inlineStr">
        <is>
          <t>condo insurance guelph</t>
        </is>
      </c>
      <c r="P466" s="37" t="n">
        <v>55</v>
      </c>
      <c r="Q466" s="36" t="inlineStr">
        <is>
          <t>City</t>
        </is>
      </c>
      <c r="R466" s="36" t="n"/>
      <c r="S466" s="36">
        <f>COUNTIF('Page-Keyword Map'!$A$2:$A$675,B466)</f>
        <v/>
      </c>
      <c r="T466" s="37">
        <f>SUMIF('Page-Keyword Map'!$A$2:$A$675,B466,'Page-Keyword Map'!$H$2:$H$675)</f>
        <v/>
      </c>
      <c r="U466" s="36">
        <f>COUNTIFS('Page-Keyword Map'!$A$2:$A$675,B466,'Page-Keyword Map'!$E$2:$E$675,"Nationwide")</f>
        <v/>
      </c>
      <c r="V466" s="36">
        <f>COUNTIFS('Page-Keyword Map'!$A$2:$A$675,B466,'Page-Keyword Map'!$E$2:$E$675,"Provincial")</f>
        <v/>
      </c>
      <c r="W466" s="36">
        <f>COUNTIFS('Page-Keyword Map'!$A$2:$A$675,B466,'Page-Keyword Map'!$E$2:$E$675,"City")</f>
        <v/>
      </c>
      <c r="X466" s="36">
        <f>IF(O466="","",IF(ISNUMBER(SEARCH(O466,J466)),"Yes","No"))</f>
        <v/>
      </c>
      <c r="Y466" s="36" t="n">
        <v>0.5</v>
      </c>
      <c r="Z466" s="36" t="inlineStr">
        <is>
          <t>sitemap-cities.xml</t>
        </is>
      </c>
      <c r="AA466" s="36" t="inlineStr">
        <is>
          <t>Live – indexable</t>
        </is>
      </c>
      <c r="AB466" s="38" t="n"/>
      <c r="AC466" s="38" t="n"/>
    </row>
    <row r="467" ht="23.85" customHeight="1" s="22">
      <c r="A467" s="36" t="inlineStr">
        <is>
          <t>P0466</t>
        </is>
      </c>
      <c r="B467" s="36" t="inlineStr">
        <is>
          <t>https://instasure.ca/condo-insurance/ontario/hamilton/</t>
        </is>
      </c>
      <c r="C467" s="36" t="inlineStr">
        <is>
          <t>Product × city</t>
        </is>
      </c>
      <c r="D467" s="36" t="inlineStr">
        <is>
          <t>Condo insurance</t>
        </is>
      </c>
      <c r="E467" s="36" t="inlineStr">
        <is>
          <t>Condo Insurance</t>
        </is>
      </c>
      <c r="F467" s="36" t="n"/>
      <c r="G467" s="36" t="inlineStr">
        <is>
          <t>Ontario</t>
        </is>
      </c>
      <c r="H467" s="36" t="inlineStr">
        <is>
          <t>Hamilton</t>
        </is>
      </c>
      <c r="I467" s="36" t="inlineStr">
        <is>
          <t>Yes</t>
        </is>
      </c>
      <c r="J467" s="25" t="inlineStr">
        <is>
          <t>Condo Insurance Hamilton, ON: Compare Quotes &amp; Costs (2026)</t>
        </is>
      </c>
      <c r="K467" s="36">
        <f>LEN(J467)</f>
        <v/>
      </c>
      <c r="L467" s="25" t="inlineStr">
        <is>
          <t>Compare condo insurance in Hamilton, ON: instant estimate ($25.00–$41.00/mo example), local risk factors and advisors licensed in Ontario.</t>
        </is>
      </c>
      <c r="M467" s="36">
        <f>LEN(L467)</f>
        <v/>
      </c>
      <c r="N467" s="25" t="inlineStr">
        <is>
          <t>Condo Insurance in Hamilton, ON</t>
        </is>
      </c>
      <c r="O467" s="36" t="inlineStr">
        <is>
          <t>condo insurance hamilton</t>
        </is>
      </c>
      <c r="P467" s="37" t="n">
        <v>170</v>
      </c>
      <c r="Q467" s="36" t="inlineStr">
        <is>
          <t>City</t>
        </is>
      </c>
      <c r="R467" s="36" t="n"/>
      <c r="S467" s="36">
        <f>COUNTIF('Page-Keyword Map'!$A$2:$A$675,B467)</f>
        <v/>
      </c>
      <c r="T467" s="37">
        <f>SUMIF('Page-Keyword Map'!$A$2:$A$675,B467,'Page-Keyword Map'!$H$2:$H$675)</f>
        <v/>
      </c>
      <c r="U467" s="36">
        <f>COUNTIFS('Page-Keyword Map'!$A$2:$A$675,B467,'Page-Keyword Map'!$E$2:$E$675,"Nationwide")</f>
        <v/>
      </c>
      <c r="V467" s="36">
        <f>COUNTIFS('Page-Keyword Map'!$A$2:$A$675,B467,'Page-Keyword Map'!$E$2:$E$675,"Provincial")</f>
        <v/>
      </c>
      <c r="W467" s="36">
        <f>COUNTIFS('Page-Keyword Map'!$A$2:$A$675,B467,'Page-Keyword Map'!$E$2:$E$675,"City")</f>
        <v/>
      </c>
      <c r="X467" s="36">
        <f>IF(O467="","",IF(ISNUMBER(SEARCH(O467,J467)),"Yes","No"))</f>
        <v/>
      </c>
      <c r="Y467" s="36" t="n">
        <v>0.7</v>
      </c>
      <c r="Z467" s="36" t="inlineStr">
        <is>
          <t>sitemap-cities.xml</t>
        </is>
      </c>
      <c r="AA467" s="36" t="inlineStr">
        <is>
          <t>Live – indexable</t>
        </is>
      </c>
      <c r="AB467" s="38" t="n"/>
      <c r="AC467" s="38" t="n"/>
    </row>
    <row r="468" ht="23.85" customHeight="1" s="22">
      <c r="A468" s="36" t="inlineStr">
        <is>
          <t>P0467</t>
        </is>
      </c>
      <c r="B468" s="36" t="inlineStr">
        <is>
          <t>https://instasure.ca/condo-insurance/ontario/kingston/</t>
        </is>
      </c>
      <c r="C468" s="36" t="inlineStr">
        <is>
          <t>Product × city</t>
        </is>
      </c>
      <c r="D468" s="36" t="inlineStr">
        <is>
          <t>Condo insurance</t>
        </is>
      </c>
      <c r="E468" s="36" t="inlineStr">
        <is>
          <t>Condo Insurance</t>
        </is>
      </c>
      <c r="F468" s="36" t="n"/>
      <c r="G468" s="36" t="inlineStr">
        <is>
          <t>Ontario</t>
        </is>
      </c>
      <c r="H468" s="36" t="inlineStr">
        <is>
          <t>Kingston</t>
        </is>
      </c>
      <c r="I468" s="36" t="inlineStr">
        <is>
          <t>Yes</t>
        </is>
      </c>
      <c r="J468" s="25" t="inlineStr">
        <is>
          <t>Condo Insurance Kingston, ON: Compare Quotes &amp; Costs (2026)</t>
        </is>
      </c>
      <c r="K468" s="36">
        <f>LEN(J468)</f>
        <v/>
      </c>
      <c r="L468" s="25" t="inlineStr">
        <is>
          <t>Compare condo insurance in Kingston, ON: instant estimate ($25.00–$41.00/mo example), local risk factors and advisors licensed in Ontario.</t>
        </is>
      </c>
      <c r="M468" s="36">
        <f>LEN(L468)</f>
        <v/>
      </c>
      <c r="N468" s="25" t="inlineStr">
        <is>
          <t>Condo Insurance in Kingston, ON</t>
        </is>
      </c>
      <c r="O468" s="36" t="inlineStr">
        <is>
          <t>condo insurance kingston</t>
        </is>
      </c>
      <c r="P468" s="37" t="n">
        <v>52</v>
      </c>
      <c r="Q468" s="36" t="inlineStr">
        <is>
          <t>City</t>
        </is>
      </c>
      <c r="R468" s="36" t="n"/>
      <c r="S468" s="36">
        <f>COUNTIF('Page-Keyword Map'!$A$2:$A$675,B468)</f>
        <v/>
      </c>
      <c r="T468" s="37">
        <f>SUMIF('Page-Keyword Map'!$A$2:$A$675,B468,'Page-Keyword Map'!$H$2:$H$675)</f>
        <v/>
      </c>
      <c r="U468" s="36">
        <f>COUNTIFS('Page-Keyword Map'!$A$2:$A$675,B468,'Page-Keyword Map'!$E$2:$E$675,"Nationwide")</f>
        <v/>
      </c>
      <c r="V468" s="36">
        <f>COUNTIFS('Page-Keyword Map'!$A$2:$A$675,B468,'Page-Keyword Map'!$E$2:$E$675,"Provincial")</f>
        <v/>
      </c>
      <c r="W468" s="36">
        <f>COUNTIFS('Page-Keyword Map'!$A$2:$A$675,B468,'Page-Keyword Map'!$E$2:$E$675,"City")</f>
        <v/>
      </c>
      <c r="X468" s="36">
        <f>IF(O468="","",IF(ISNUMBER(SEARCH(O468,J468)),"Yes","No"))</f>
        <v/>
      </c>
      <c r="Y468" s="36" t="n">
        <v>0.5</v>
      </c>
      <c r="Z468" s="36" t="inlineStr">
        <is>
          <t>sitemap-cities.xml</t>
        </is>
      </c>
      <c r="AA468" s="36" t="inlineStr">
        <is>
          <t>Live – indexable</t>
        </is>
      </c>
      <c r="AB468" s="38" t="n"/>
      <c r="AC468" s="38" t="n"/>
    </row>
    <row r="469" ht="23.85" customHeight="1" s="22">
      <c r="A469" s="36" t="inlineStr">
        <is>
          <t>P0468</t>
        </is>
      </c>
      <c r="B469" s="36" t="inlineStr">
        <is>
          <t>https://instasure.ca/condo-insurance/ontario/kitchener/</t>
        </is>
      </c>
      <c r="C469" s="36" t="inlineStr">
        <is>
          <t>Product × city</t>
        </is>
      </c>
      <c r="D469" s="36" t="inlineStr">
        <is>
          <t>Condo insurance</t>
        </is>
      </c>
      <c r="E469" s="36" t="inlineStr">
        <is>
          <t>Condo Insurance</t>
        </is>
      </c>
      <c r="F469" s="36" t="n"/>
      <c r="G469" s="36" t="inlineStr">
        <is>
          <t>Ontario</t>
        </is>
      </c>
      <c r="H469" s="36" t="inlineStr">
        <is>
          <t>Kitchener</t>
        </is>
      </c>
      <c r="I469" s="36" t="inlineStr">
        <is>
          <t>Yes</t>
        </is>
      </c>
      <c r="J469" s="25" t="inlineStr">
        <is>
          <t>Condo Insurance Kitchener, ON: Compare Quotes &amp; Costs (2026)</t>
        </is>
      </c>
      <c r="K469" s="36">
        <f>LEN(J469)</f>
        <v/>
      </c>
      <c r="L469" s="25" t="inlineStr">
        <is>
          <t>Compare condo insurance in Kitchener, ON: instant estimate ($25.00–$41.00/mo example), local risk factors and advisors licensed in Ontario.</t>
        </is>
      </c>
      <c r="M469" s="36">
        <f>LEN(L469)</f>
        <v/>
      </c>
      <c r="N469" s="25" t="inlineStr">
        <is>
          <t>Condo Insurance in Kitchener, ON</t>
        </is>
      </c>
      <c r="O469" s="36" t="inlineStr">
        <is>
          <t>condo insurance kitchener</t>
        </is>
      </c>
      <c r="P469" s="37" t="n">
        <v>88</v>
      </c>
      <c r="Q469" s="36" t="inlineStr">
        <is>
          <t>City</t>
        </is>
      </c>
      <c r="R469" s="36" t="n"/>
      <c r="S469" s="36">
        <f>COUNTIF('Page-Keyword Map'!$A$2:$A$675,B469)</f>
        <v/>
      </c>
      <c r="T469" s="37">
        <f>SUMIF('Page-Keyword Map'!$A$2:$A$675,B469,'Page-Keyword Map'!$H$2:$H$675)</f>
        <v/>
      </c>
      <c r="U469" s="36">
        <f>COUNTIFS('Page-Keyword Map'!$A$2:$A$675,B469,'Page-Keyword Map'!$E$2:$E$675,"Nationwide")</f>
        <v/>
      </c>
      <c r="V469" s="36">
        <f>COUNTIFS('Page-Keyword Map'!$A$2:$A$675,B469,'Page-Keyword Map'!$E$2:$E$675,"Provincial")</f>
        <v/>
      </c>
      <c r="W469" s="36">
        <f>COUNTIFS('Page-Keyword Map'!$A$2:$A$675,B469,'Page-Keyword Map'!$E$2:$E$675,"City")</f>
        <v/>
      </c>
      <c r="X469" s="36">
        <f>IF(O469="","",IF(ISNUMBER(SEARCH(O469,J469)),"Yes","No"))</f>
        <v/>
      </c>
      <c r="Y469" s="36" t="n">
        <v>0.7</v>
      </c>
      <c r="Z469" s="36" t="inlineStr">
        <is>
          <t>sitemap-cities.xml</t>
        </is>
      </c>
      <c r="AA469" s="36" t="inlineStr">
        <is>
          <t>Live – indexable</t>
        </is>
      </c>
      <c r="AB469" s="38" t="n"/>
      <c r="AC469" s="38" t="n"/>
    </row>
    <row r="470" ht="23.85" customHeight="1" s="22">
      <c r="A470" s="36" t="inlineStr">
        <is>
          <t>P0469</t>
        </is>
      </c>
      <c r="B470" s="36" t="inlineStr">
        <is>
          <t>https://instasure.ca/condo-insurance/ontario/london/</t>
        </is>
      </c>
      <c r="C470" s="36" t="inlineStr">
        <is>
          <t>Product × city</t>
        </is>
      </c>
      <c r="D470" s="36" t="inlineStr">
        <is>
          <t>Condo insurance</t>
        </is>
      </c>
      <c r="E470" s="36" t="inlineStr">
        <is>
          <t>Condo Insurance</t>
        </is>
      </c>
      <c r="F470" s="36" t="n"/>
      <c r="G470" s="36" t="inlineStr">
        <is>
          <t>Ontario</t>
        </is>
      </c>
      <c r="H470" s="36" t="inlineStr">
        <is>
          <t>London</t>
        </is>
      </c>
      <c r="I470" s="36" t="inlineStr">
        <is>
          <t>Yes</t>
        </is>
      </c>
      <c r="J470" s="25" t="inlineStr">
        <is>
          <t>Condo Insurance London, ON: Compare Quotes &amp; Costs (2026)</t>
        </is>
      </c>
      <c r="K470" s="36">
        <f>LEN(J470)</f>
        <v/>
      </c>
      <c r="L470" s="25" t="inlineStr">
        <is>
          <t>Compare condo insurance in London, ON: instant estimate ($25.00–$41.00/mo example), local risk factors and advisors licensed in Ontario.</t>
        </is>
      </c>
      <c r="M470" s="36">
        <f>LEN(L470)</f>
        <v/>
      </c>
      <c r="N470" s="25" t="inlineStr">
        <is>
          <t>Condo Insurance in London, ON</t>
        </is>
      </c>
      <c r="O470" s="36" t="inlineStr">
        <is>
          <t>condo insurance london ontario</t>
        </is>
      </c>
      <c r="P470" s="37" t="n">
        <v>130</v>
      </c>
      <c r="Q470" s="36" t="inlineStr">
        <is>
          <t>City</t>
        </is>
      </c>
      <c r="R470" s="36" t="n"/>
      <c r="S470" s="36">
        <f>COUNTIF('Page-Keyword Map'!$A$2:$A$675,B470)</f>
        <v/>
      </c>
      <c r="T470" s="37">
        <f>SUMIF('Page-Keyword Map'!$A$2:$A$675,B470,'Page-Keyword Map'!$H$2:$H$675)</f>
        <v/>
      </c>
      <c r="U470" s="36">
        <f>COUNTIFS('Page-Keyword Map'!$A$2:$A$675,B470,'Page-Keyword Map'!$E$2:$E$675,"Nationwide")</f>
        <v/>
      </c>
      <c r="V470" s="36">
        <f>COUNTIFS('Page-Keyword Map'!$A$2:$A$675,B470,'Page-Keyword Map'!$E$2:$E$675,"Provincial")</f>
        <v/>
      </c>
      <c r="W470" s="36">
        <f>COUNTIFS('Page-Keyword Map'!$A$2:$A$675,B470,'Page-Keyword Map'!$E$2:$E$675,"City")</f>
        <v/>
      </c>
      <c r="X470" s="36">
        <f>IF(O470="","",IF(ISNUMBER(SEARCH(O470,J470)),"Yes","No"))</f>
        <v/>
      </c>
      <c r="Y470" s="36" t="n">
        <v>0.7</v>
      </c>
      <c r="Z470" s="36" t="inlineStr">
        <is>
          <t>sitemap-cities.xml</t>
        </is>
      </c>
      <c r="AA470" s="36" t="inlineStr">
        <is>
          <t>Live – indexable</t>
        </is>
      </c>
      <c r="AB470" s="38" t="n"/>
      <c r="AC470" s="38" t="n"/>
    </row>
    <row r="471" ht="23.85" customHeight="1" s="22">
      <c r="A471" s="36" t="inlineStr">
        <is>
          <t>P0470</t>
        </is>
      </c>
      <c r="B471" s="36" t="inlineStr">
        <is>
          <t>https://instasure.ca/condo-insurance/ontario/markham/</t>
        </is>
      </c>
      <c r="C471" s="36" t="inlineStr">
        <is>
          <t>Product × city</t>
        </is>
      </c>
      <c r="D471" s="36" t="inlineStr">
        <is>
          <t>Condo insurance</t>
        </is>
      </c>
      <c r="E471" s="36" t="inlineStr">
        <is>
          <t>Condo Insurance</t>
        </is>
      </c>
      <c r="F471" s="36" t="n"/>
      <c r="G471" s="36" t="inlineStr">
        <is>
          <t>Ontario</t>
        </is>
      </c>
      <c r="H471" s="36" t="inlineStr">
        <is>
          <t>Markham</t>
        </is>
      </c>
      <c r="I471" s="36" t="inlineStr">
        <is>
          <t>Yes</t>
        </is>
      </c>
      <c r="J471" s="25" t="inlineStr">
        <is>
          <t>Condo Insurance Markham, ON: Compare Quotes &amp; Costs (2026)</t>
        </is>
      </c>
      <c r="K471" s="36">
        <f>LEN(J471)</f>
        <v/>
      </c>
      <c r="L471" s="25" t="inlineStr">
        <is>
          <t>Compare condo insurance in Markham, ON: instant estimate ($25.00–$41.00/mo example), local risk factors and advisors licensed in Ontario.</t>
        </is>
      </c>
      <c r="M471" s="36">
        <f>LEN(L471)</f>
        <v/>
      </c>
      <c r="N471" s="25" t="inlineStr">
        <is>
          <t>Condo Insurance in Markham, ON</t>
        </is>
      </c>
      <c r="O471" s="36" t="inlineStr">
        <is>
          <t>condo insurance markham</t>
        </is>
      </c>
      <c r="P471" s="37" t="n">
        <v>110</v>
      </c>
      <c r="Q471" s="36" t="inlineStr">
        <is>
          <t>City</t>
        </is>
      </c>
      <c r="R471" s="36" t="n"/>
      <c r="S471" s="36">
        <f>COUNTIF('Page-Keyword Map'!$A$2:$A$675,B471)</f>
        <v/>
      </c>
      <c r="T471" s="37">
        <f>SUMIF('Page-Keyword Map'!$A$2:$A$675,B471,'Page-Keyword Map'!$H$2:$H$675)</f>
        <v/>
      </c>
      <c r="U471" s="36">
        <f>COUNTIFS('Page-Keyword Map'!$A$2:$A$675,B471,'Page-Keyword Map'!$E$2:$E$675,"Nationwide")</f>
        <v/>
      </c>
      <c r="V471" s="36">
        <f>COUNTIFS('Page-Keyword Map'!$A$2:$A$675,B471,'Page-Keyword Map'!$E$2:$E$675,"Provincial")</f>
        <v/>
      </c>
      <c r="W471" s="36">
        <f>COUNTIFS('Page-Keyword Map'!$A$2:$A$675,B471,'Page-Keyword Map'!$E$2:$E$675,"City")</f>
        <v/>
      </c>
      <c r="X471" s="36">
        <f>IF(O471="","",IF(ISNUMBER(SEARCH(O471,J471)),"Yes","No"))</f>
        <v/>
      </c>
      <c r="Y471" s="36" t="n">
        <v>0.7</v>
      </c>
      <c r="Z471" s="36" t="inlineStr">
        <is>
          <t>sitemap-cities.xml</t>
        </is>
      </c>
      <c r="AA471" s="36" t="inlineStr">
        <is>
          <t>Live – indexable</t>
        </is>
      </c>
      <c r="AB471" s="38" t="n"/>
      <c r="AC471" s="38" t="n"/>
    </row>
    <row r="472" ht="23.85" customHeight="1" s="22">
      <c r="A472" s="36" t="inlineStr">
        <is>
          <t>P0471</t>
        </is>
      </c>
      <c r="B472" s="36" t="inlineStr">
        <is>
          <t>https://instasure.ca/condo-insurance/ontario/milton/</t>
        </is>
      </c>
      <c r="C472" s="36" t="inlineStr">
        <is>
          <t>Product × city</t>
        </is>
      </c>
      <c r="D472" s="36" t="inlineStr">
        <is>
          <t>Condo insurance</t>
        </is>
      </c>
      <c r="E472" s="36" t="inlineStr">
        <is>
          <t>Condo Insurance</t>
        </is>
      </c>
      <c r="F472" s="36" t="n"/>
      <c r="G472" s="36" t="inlineStr">
        <is>
          <t>Ontario</t>
        </is>
      </c>
      <c r="H472" s="36" t="inlineStr">
        <is>
          <t>Milton</t>
        </is>
      </c>
      <c r="I472" s="36" t="inlineStr">
        <is>
          <t>No</t>
        </is>
      </c>
      <c r="J472" s="25" t="inlineStr">
        <is>
          <t>Condo Insurance Milton, ON: Compare Quotes &amp; Costs (2026)</t>
        </is>
      </c>
      <c r="K472" s="36">
        <f>LEN(J472)</f>
        <v/>
      </c>
      <c r="L472" s="25" t="inlineStr">
        <is>
          <t>Compare condo insurance in Milton, ON: instant estimate ($25.00–$41.00/mo example), local risk factors and advisors licensed in Ontario.</t>
        </is>
      </c>
      <c r="M472" s="36">
        <f>LEN(L472)</f>
        <v/>
      </c>
      <c r="N472" s="25" t="inlineStr">
        <is>
          <t>Condo Insurance in Milton, ON</t>
        </is>
      </c>
      <c r="O472" s="36" t="inlineStr">
        <is>
          <t>condo insurance milton</t>
        </is>
      </c>
      <c r="P472" s="37" t="n">
        <v>52</v>
      </c>
      <c r="Q472" s="36" t="inlineStr">
        <is>
          <t>City</t>
        </is>
      </c>
      <c r="R472" s="36" t="n"/>
      <c r="S472" s="36">
        <f>COUNTIF('Page-Keyword Map'!$A$2:$A$675,B472)</f>
        <v/>
      </c>
      <c r="T472" s="37">
        <f>SUMIF('Page-Keyword Map'!$A$2:$A$675,B472,'Page-Keyword Map'!$H$2:$H$675)</f>
        <v/>
      </c>
      <c r="U472" s="36">
        <f>COUNTIFS('Page-Keyword Map'!$A$2:$A$675,B472,'Page-Keyword Map'!$E$2:$E$675,"Nationwide")</f>
        <v/>
      </c>
      <c r="V472" s="36">
        <f>COUNTIFS('Page-Keyword Map'!$A$2:$A$675,B472,'Page-Keyword Map'!$E$2:$E$675,"Provincial")</f>
        <v/>
      </c>
      <c r="W472" s="36">
        <f>COUNTIFS('Page-Keyword Map'!$A$2:$A$675,B472,'Page-Keyword Map'!$E$2:$E$675,"City")</f>
        <v/>
      </c>
      <c r="X472" s="36">
        <f>IF(O472="","",IF(ISNUMBER(SEARCH(O472,J472)),"Yes","No"))</f>
        <v/>
      </c>
      <c r="Y472" s="36" t="n">
        <v>0.5</v>
      </c>
      <c r="Z472" s="36" t="inlineStr">
        <is>
          <t>(not listed: noindex)</t>
        </is>
      </c>
      <c r="AA472" s="36" t="inlineStr">
        <is>
          <t>Live – noindex (enrich before indexing)</t>
        </is>
      </c>
      <c r="AB472" s="38" t="n"/>
      <c r="AC472" s="38" t="n"/>
    </row>
    <row r="473" ht="23.85" customHeight="1" s="22">
      <c r="A473" s="36" t="inlineStr">
        <is>
          <t>P0472</t>
        </is>
      </c>
      <c r="B473" s="36" t="inlineStr">
        <is>
          <t>https://instasure.ca/condo-insurance/ontario/mississauga/</t>
        </is>
      </c>
      <c r="C473" s="36" t="inlineStr">
        <is>
          <t>Product × city</t>
        </is>
      </c>
      <c r="D473" s="36" t="inlineStr">
        <is>
          <t>Condo insurance</t>
        </is>
      </c>
      <c r="E473" s="36" t="inlineStr">
        <is>
          <t>Condo Insurance</t>
        </is>
      </c>
      <c r="F473" s="36" t="n"/>
      <c r="G473" s="36" t="inlineStr">
        <is>
          <t>Ontario</t>
        </is>
      </c>
      <c r="H473" s="36" t="inlineStr">
        <is>
          <t>Mississauga</t>
        </is>
      </c>
      <c r="I473" s="36" t="inlineStr">
        <is>
          <t>Yes</t>
        </is>
      </c>
      <c r="J473" s="25" t="inlineStr">
        <is>
          <t>Condo Insurance Mississauga, ON: Compare Quotes &amp; Costs (2026)</t>
        </is>
      </c>
      <c r="K473" s="36">
        <f>LEN(J473)</f>
        <v/>
      </c>
      <c r="L473" s="25" t="inlineStr">
        <is>
          <t>Compare condo insurance in Mississauga, ON: instant estimate ($25.00–$41.00/mo example), local risk factors and advisors licensed in Ontario.</t>
        </is>
      </c>
      <c r="M473" s="36">
        <f>LEN(L473)</f>
        <v/>
      </c>
      <c r="N473" s="25" t="inlineStr">
        <is>
          <t>Condo Insurance in Mississauga, ON</t>
        </is>
      </c>
      <c r="O473" s="36" t="inlineStr">
        <is>
          <t>condo insurance mississauga</t>
        </is>
      </c>
      <c r="P473" s="37" t="n">
        <v>200</v>
      </c>
      <c r="Q473" s="36" t="inlineStr">
        <is>
          <t>City</t>
        </is>
      </c>
      <c r="R473" s="36" t="n"/>
      <c r="S473" s="36">
        <f>COUNTIF('Page-Keyword Map'!$A$2:$A$675,B473)</f>
        <v/>
      </c>
      <c r="T473" s="37">
        <f>SUMIF('Page-Keyword Map'!$A$2:$A$675,B473,'Page-Keyword Map'!$H$2:$H$675)</f>
        <v/>
      </c>
      <c r="U473" s="36">
        <f>COUNTIFS('Page-Keyword Map'!$A$2:$A$675,B473,'Page-Keyword Map'!$E$2:$E$675,"Nationwide")</f>
        <v/>
      </c>
      <c r="V473" s="36">
        <f>COUNTIFS('Page-Keyword Map'!$A$2:$A$675,B473,'Page-Keyword Map'!$E$2:$E$675,"Provincial")</f>
        <v/>
      </c>
      <c r="W473" s="36">
        <f>COUNTIFS('Page-Keyword Map'!$A$2:$A$675,B473,'Page-Keyword Map'!$E$2:$E$675,"City")</f>
        <v/>
      </c>
      <c r="X473" s="36">
        <f>IF(O473="","",IF(ISNUMBER(SEARCH(O473,J473)),"Yes","No"))</f>
        <v/>
      </c>
      <c r="Y473" s="36" t="n">
        <v>0.7</v>
      </c>
      <c r="Z473" s="36" t="inlineStr">
        <is>
          <t>sitemap-cities.xml</t>
        </is>
      </c>
      <c r="AA473" s="36" t="inlineStr">
        <is>
          <t>Live – indexable</t>
        </is>
      </c>
      <c r="AB473" s="38" t="n"/>
      <c r="AC473" s="38" t="n"/>
    </row>
    <row r="474" ht="23.85" customHeight="1" s="22">
      <c r="A474" s="36" t="inlineStr">
        <is>
          <t>P0473</t>
        </is>
      </c>
      <c r="B474" s="36" t="inlineStr">
        <is>
          <t>https://instasure.ca/condo-insurance/ontario/oakville/</t>
        </is>
      </c>
      <c r="C474" s="36" t="inlineStr">
        <is>
          <t>Product × city</t>
        </is>
      </c>
      <c r="D474" s="36" t="inlineStr">
        <is>
          <t>Condo insurance</t>
        </is>
      </c>
      <c r="E474" s="36" t="inlineStr">
        <is>
          <t>Condo Insurance</t>
        </is>
      </c>
      <c r="F474" s="36" t="n"/>
      <c r="G474" s="36" t="inlineStr">
        <is>
          <t>Ontario</t>
        </is>
      </c>
      <c r="H474" s="36" t="inlineStr">
        <is>
          <t>Oakville</t>
        </is>
      </c>
      <c r="I474" s="36" t="inlineStr">
        <is>
          <t>Yes</t>
        </is>
      </c>
      <c r="J474" s="25" t="inlineStr">
        <is>
          <t>Condo Insurance Oakville, ON: Compare Quotes &amp; Costs (2026)</t>
        </is>
      </c>
      <c r="K474" s="36">
        <f>LEN(J474)</f>
        <v/>
      </c>
      <c r="L474" s="25" t="inlineStr">
        <is>
          <t>Compare condo insurance in Oakville, ON: instant estimate ($25.00–$41.00/mo example), local risk factors and advisors licensed in Ontario.</t>
        </is>
      </c>
      <c r="M474" s="36">
        <f>LEN(L474)</f>
        <v/>
      </c>
      <c r="N474" s="25" t="inlineStr">
        <is>
          <t>Condo Insurance in Oakville, ON</t>
        </is>
      </c>
      <c r="O474" s="36" t="inlineStr">
        <is>
          <t>condo insurance oakville</t>
        </is>
      </c>
      <c r="P474" s="37" t="n">
        <v>76</v>
      </c>
      <c r="Q474" s="36" t="inlineStr">
        <is>
          <t>City</t>
        </is>
      </c>
      <c r="R474" s="36" t="n"/>
      <c r="S474" s="36">
        <f>COUNTIF('Page-Keyword Map'!$A$2:$A$675,B474)</f>
        <v/>
      </c>
      <c r="T474" s="37">
        <f>SUMIF('Page-Keyword Map'!$A$2:$A$675,B474,'Page-Keyword Map'!$H$2:$H$675)</f>
        <v/>
      </c>
      <c r="U474" s="36">
        <f>COUNTIFS('Page-Keyword Map'!$A$2:$A$675,B474,'Page-Keyword Map'!$E$2:$E$675,"Nationwide")</f>
        <v/>
      </c>
      <c r="V474" s="36">
        <f>COUNTIFS('Page-Keyword Map'!$A$2:$A$675,B474,'Page-Keyword Map'!$E$2:$E$675,"Provincial")</f>
        <v/>
      </c>
      <c r="W474" s="36">
        <f>COUNTIFS('Page-Keyword Map'!$A$2:$A$675,B474,'Page-Keyword Map'!$E$2:$E$675,"City")</f>
        <v/>
      </c>
      <c r="X474" s="36">
        <f>IF(O474="","",IF(ISNUMBER(SEARCH(O474,J474)),"Yes","No"))</f>
        <v/>
      </c>
      <c r="Y474" s="36" t="n">
        <v>0.5</v>
      </c>
      <c r="Z474" s="36" t="inlineStr">
        <is>
          <t>sitemap-cities.xml</t>
        </is>
      </c>
      <c r="AA474" s="36" t="inlineStr">
        <is>
          <t>Live – indexable</t>
        </is>
      </c>
      <c r="AB474" s="38" t="n"/>
      <c r="AC474" s="38" t="n"/>
    </row>
    <row r="475" ht="23.85" customHeight="1" s="22">
      <c r="A475" s="36" t="inlineStr">
        <is>
          <t>P0474</t>
        </is>
      </c>
      <c r="B475" s="36" t="inlineStr">
        <is>
          <t>https://instasure.ca/condo-insurance/ontario/oshawa/</t>
        </is>
      </c>
      <c r="C475" s="36" t="inlineStr">
        <is>
          <t>Product × city</t>
        </is>
      </c>
      <c r="D475" s="36" t="inlineStr">
        <is>
          <t>Condo insurance</t>
        </is>
      </c>
      <c r="E475" s="36" t="inlineStr">
        <is>
          <t>Condo Insurance</t>
        </is>
      </c>
      <c r="F475" s="36" t="n"/>
      <c r="G475" s="36" t="inlineStr">
        <is>
          <t>Ontario</t>
        </is>
      </c>
      <c r="H475" s="36" t="inlineStr">
        <is>
          <t>Oshawa</t>
        </is>
      </c>
      <c r="I475" s="36" t="inlineStr">
        <is>
          <t>Yes</t>
        </is>
      </c>
      <c r="J475" s="25" t="inlineStr">
        <is>
          <t>Condo Insurance Oshawa, ON: Compare Quotes &amp; Costs (2026)</t>
        </is>
      </c>
      <c r="K475" s="36">
        <f>LEN(J475)</f>
        <v/>
      </c>
      <c r="L475" s="25" t="inlineStr">
        <is>
          <t>Compare condo insurance in Oshawa, ON: instant estimate ($25.00–$41.00/mo example), local risk factors and advisors licensed in Ontario.</t>
        </is>
      </c>
      <c r="M475" s="36">
        <f>LEN(L475)</f>
        <v/>
      </c>
      <c r="N475" s="25" t="inlineStr">
        <is>
          <t>Condo Insurance in Oshawa, ON</t>
        </is>
      </c>
      <c r="O475" s="36" t="inlineStr">
        <is>
          <t>condo insurance oshawa</t>
        </is>
      </c>
      <c r="P475" s="37" t="n">
        <v>65</v>
      </c>
      <c r="Q475" s="36" t="inlineStr">
        <is>
          <t>City</t>
        </is>
      </c>
      <c r="R475" s="36" t="n"/>
      <c r="S475" s="36">
        <f>COUNTIF('Page-Keyword Map'!$A$2:$A$675,B475)</f>
        <v/>
      </c>
      <c r="T475" s="37">
        <f>SUMIF('Page-Keyword Map'!$A$2:$A$675,B475,'Page-Keyword Map'!$H$2:$H$675)</f>
        <v/>
      </c>
      <c r="U475" s="36">
        <f>COUNTIFS('Page-Keyword Map'!$A$2:$A$675,B475,'Page-Keyword Map'!$E$2:$E$675,"Nationwide")</f>
        <v/>
      </c>
      <c r="V475" s="36">
        <f>COUNTIFS('Page-Keyword Map'!$A$2:$A$675,B475,'Page-Keyword Map'!$E$2:$E$675,"Provincial")</f>
        <v/>
      </c>
      <c r="W475" s="36">
        <f>COUNTIFS('Page-Keyword Map'!$A$2:$A$675,B475,'Page-Keyword Map'!$E$2:$E$675,"City")</f>
        <v/>
      </c>
      <c r="X475" s="36">
        <f>IF(O475="","",IF(ISNUMBER(SEARCH(O475,J475)),"Yes","No"))</f>
        <v/>
      </c>
      <c r="Y475" s="36" t="n">
        <v>0.5</v>
      </c>
      <c r="Z475" s="36" t="inlineStr">
        <is>
          <t>sitemap-cities.xml</t>
        </is>
      </c>
      <c r="AA475" s="36" t="inlineStr">
        <is>
          <t>Live – indexable</t>
        </is>
      </c>
      <c r="AB475" s="38" t="n"/>
      <c r="AC475" s="38" t="n"/>
    </row>
    <row r="476" ht="23.85" customHeight="1" s="22">
      <c r="A476" s="36" t="inlineStr">
        <is>
          <t>P0475</t>
        </is>
      </c>
      <c r="B476" s="36" t="inlineStr">
        <is>
          <t>https://instasure.ca/condo-insurance/ontario/ottawa/</t>
        </is>
      </c>
      <c r="C476" s="36" t="inlineStr">
        <is>
          <t>Product × city</t>
        </is>
      </c>
      <c r="D476" s="36" t="inlineStr">
        <is>
          <t>Condo insurance</t>
        </is>
      </c>
      <c r="E476" s="36" t="inlineStr">
        <is>
          <t>Condo Insurance</t>
        </is>
      </c>
      <c r="F476" s="36" t="n"/>
      <c r="G476" s="36" t="inlineStr">
        <is>
          <t>Ontario</t>
        </is>
      </c>
      <c r="H476" s="36" t="inlineStr">
        <is>
          <t>Ottawa</t>
        </is>
      </c>
      <c r="I476" s="36" t="inlineStr">
        <is>
          <t>Yes</t>
        </is>
      </c>
      <c r="J476" s="25" t="inlineStr">
        <is>
          <t>Condo Insurance Ottawa, ON: Compare Quotes &amp; Costs (2026)</t>
        </is>
      </c>
      <c r="K476" s="36">
        <f>LEN(J476)</f>
        <v/>
      </c>
      <c r="L476" s="25" t="inlineStr">
        <is>
          <t>Compare condo insurance in Ottawa, ON: instant estimate ($25.00–$41.00/mo example), local risk factors and advisors licensed in Ontario.</t>
        </is>
      </c>
      <c r="M476" s="36">
        <f>LEN(L476)</f>
        <v/>
      </c>
      <c r="N476" s="25" t="inlineStr">
        <is>
          <t>Condo Insurance in Ottawa, ON</t>
        </is>
      </c>
      <c r="O476" s="36" t="inlineStr">
        <is>
          <t>condo insurance ottawa</t>
        </is>
      </c>
      <c r="P476" s="37" t="n">
        <v>260</v>
      </c>
      <c r="Q476" s="36" t="inlineStr">
        <is>
          <t>City</t>
        </is>
      </c>
      <c r="R476" s="36" t="n"/>
      <c r="S476" s="36">
        <f>COUNTIF('Page-Keyword Map'!$A$2:$A$675,B476)</f>
        <v/>
      </c>
      <c r="T476" s="37">
        <f>SUMIF('Page-Keyword Map'!$A$2:$A$675,B476,'Page-Keyword Map'!$H$2:$H$675)</f>
        <v/>
      </c>
      <c r="U476" s="36">
        <f>COUNTIFS('Page-Keyword Map'!$A$2:$A$675,B476,'Page-Keyword Map'!$E$2:$E$675,"Nationwide")</f>
        <v/>
      </c>
      <c r="V476" s="36">
        <f>COUNTIFS('Page-Keyword Map'!$A$2:$A$675,B476,'Page-Keyword Map'!$E$2:$E$675,"Provincial")</f>
        <v/>
      </c>
      <c r="W476" s="36">
        <f>COUNTIFS('Page-Keyword Map'!$A$2:$A$675,B476,'Page-Keyword Map'!$E$2:$E$675,"City")</f>
        <v/>
      </c>
      <c r="X476" s="36">
        <f>IF(O476="","",IF(ISNUMBER(SEARCH(O476,J476)),"Yes","No"))</f>
        <v/>
      </c>
      <c r="Y476" s="36" t="n">
        <v>0.7</v>
      </c>
      <c r="Z476" s="36" t="inlineStr">
        <is>
          <t>sitemap-cities.xml</t>
        </is>
      </c>
      <c r="AA476" s="36" t="inlineStr">
        <is>
          <t>Live – indexable</t>
        </is>
      </c>
      <c r="AB476" s="38" t="n"/>
      <c r="AC476" s="38" t="n"/>
    </row>
    <row r="477" ht="23.85" customHeight="1" s="22">
      <c r="A477" s="36" t="inlineStr">
        <is>
          <t>P0476</t>
        </is>
      </c>
      <c r="B477" s="36" t="inlineStr">
        <is>
          <t>https://instasure.ca/condo-insurance/ontario/pickering/</t>
        </is>
      </c>
      <c r="C477" s="36" t="inlineStr">
        <is>
          <t>Product × city</t>
        </is>
      </c>
      <c r="D477" s="36" t="inlineStr">
        <is>
          <t>Condo insurance</t>
        </is>
      </c>
      <c r="E477" s="36" t="inlineStr">
        <is>
          <t>Condo Insurance</t>
        </is>
      </c>
      <c r="F477" s="36" t="n"/>
      <c r="G477" s="36" t="inlineStr">
        <is>
          <t>Ontario</t>
        </is>
      </c>
      <c r="H477" s="36" t="inlineStr">
        <is>
          <t>Pickering</t>
        </is>
      </c>
      <c r="I477" s="36" t="inlineStr">
        <is>
          <t>No</t>
        </is>
      </c>
      <c r="J477" s="25" t="inlineStr">
        <is>
          <t>Condo Insurance Pickering, ON: Compare Quotes &amp; Costs (2026)</t>
        </is>
      </c>
      <c r="K477" s="36">
        <f>LEN(J477)</f>
        <v/>
      </c>
      <c r="L477" s="25" t="inlineStr">
        <is>
          <t>Compare condo insurance in Pickering, ON: instant estimate ($25.00–$41.00/mo example), local risk factors and advisors licensed in Ontario.</t>
        </is>
      </c>
      <c r="M477" s="36">
        <f>LEN(L477)</f>
        <v/>
      </c>
      <c r="N477" s="25" t="inlineStr">
        <is>
          <t>Condo Insurance in Pickering, ON</t>
        </is>
      </c>
      <c r="O477" s="36" t="inlineStr">
        <is>
          <t>condo insurance pickering</t>
        </is>
      </c>
      <c r="P477" s="37" t="n">
        <v>41</v>
      </c>
      <c r="Q477" s="36" t="inlineStr">
        <is>
          <t>City</t>
        </is>
      </c>
      <c r="R477" s="36" t="n"/>
      <c r="S477" s="36">
        <f>COUNTIF('Page-Keyword Map'!$A$2:$A$675,B477)</f>
        <v/>
      </c>
      <c r="T477" s="37">
        <f>SUMIF('Page-Keyword Map'!$A$2:$A$675,B477,'Page-Keyword Map'!$H$2:$H$675)</f>
        <v/>
      </c>
      <c r="U477" s="36">
        <f>COUNTIFS('Page-Keyword Map'!$A$2:$A$675,B477,'Page-Keyword Map'!$E$2:$E$675,"Nationwide")</f>
        <v/>
      </c>
      <c r="V477" s="36">
        <f>COUNTIFS('Page-Keyword Map'!$A$2:$A$675,B477,'Page-Keyword Map'!$E$2:$E$675,"Provincial")</f>
        <v/>
      </c>
      <c r="W477" s="36">
        <f>COUNTIFS('Page-Keyword Map'!$A$2:$A$675,B477,'Page-Keyword Map'!$E$2:$E$675,"City")</f>
        <v/>
      </c>
      <c r="X477" s="36">
        <f>IF(O477="","",IF(ISNUMBER(SEARCH(O477,J477)),"Yes","No"))</f>
        <v/>
      </c>
      <c r="Y477" s="36" t="n">
        <v>0.5</v>
      </c>
      <c r="Z477" s="36" t="inlineStr">
        <is>
          <t>(not listed: noindex)</t>
        </is>
      </c>
      <c r="AA477" s="36" t="inlineStr">
        <is>
          <t>Live – noindex (enrich before indexing)</t>
        </is>
      </c>
      <c r="AB477" s="38" t="n"/>
      <c r="AC477" s="38" t="n"/>
    </row>
    <row r="478" ht="23.85" customHeight="1" s="22">
      <c r="A478" s="36" t="inlineStr">
        <is>
          <t>P0477</t>
        </is>
      </c>
      <c r="B478" s="36" t="inlineStr">
        <is>
          <t>https://instasure.ca/condo-insurance/ontario/richmond-hill/</t>
        </is>
      </c>
      <c r="C478" s="36" t="inlineStr">
        <is>
          <t>Product × city</t>
        </is>
      </c>
      <c r="D478" s="36" t="inlineStr">
        <is>
          <t>Condo insurance</t>
        </is>
      </c>
      <c r="E478" s="36" t="inlineStr">
        <is>
          <t>Condo Insurance</t>
        </is>
      </c>
      <c r="F478" s="36" t="n"/>
      <c r="G478" s="36" t="inlineStr">
        <is>
          <t>Ontario</t>
        </is>
      </c>
      <c r="H478" s="36" t="inlineStr">
        <is>
          <t>Richmond Hill</t>
        </is>
      </c>
      <c r="I478" s="36" t="inlineStr">
        <is>
          <t>Yes</t>
        </is>
      </c>
      <c r="J478" s="25" t="inlineStr">
        <is>
          <t>Condo Insurance Richmond Hill, ON: Compare Quotes &amp; Costs (2026)</t>
        </is>
      </c>
      <c r="K478" s="36">
        <f>LEN(J478)</f>
        <v/>
      </c>
      <c r="L478" s="25" t="inlineStr">
        <is>
          <t>Compare condo insurance in Richmond Hill, ON: instant estimate ($25.00–$41.00/mo example), local risk factors and advisors licensed in Ontario.</t>
        </is>
      </c>
      <c r="M478" s="36">
        <f>LEN(L478)</f>
        <v/>
      </c>
      <c r="N478" s="25" t="inlineStr">
        <is>
          <t>Condo Insurance in Richmond Hill, ON</t>
        </is>
      </c>
      <c r="O478" s="36" t="inlineStr">
        <is>
          <t>condo insurance richmond hill</t>
        </is>
      </c>
      <c r="P478" s="37" t="n">
        <v>72</v>
      </c>
      <c r="Q478" s="36" t="inlineStr">
        <is>
          <t>City</t>
        </is>
      </c>
      <c r="R478" s="36" t="n"/>
      <c r="S478" s="36">
        <f>COUNTIF('Page-Keyword Map'!$A$2:$A$675,B478)</f>
        <v/>
      </c>
      <c r="T478" s="37">
        <f>SUMIF('Page-Keyword Map'!$A$2:$A$675,B478,'Page-Keyword Map'!$H$2:$H$675)</f>
        <v/>
      </c>
      <c r="U478" s="36">
        <f>COUNTIFS('Page-Keyword Map'!$A$2:$A$675,B478,'Page-Keyword Map'!$E$2:$E$675,"Nationwide")</f>
        <v/>
      </c>
      <c r="V478" s="36">
        <f>COUNTIFS('Page-Keyword Map'!$A$2:$A$675,B478,'Page-Keyword Map'!$E$2:$E$675,"Provincial")</f>
        <v/>
      </c>
      <c r="W478" s="36">
        <f>COUNTIFS('Page-Keyword Map'!$A$2:$A$675,B478,'Page-Keyword Map'!$E$2:$E$675,"City")</f>
        <v/>
      </c>
      <c r="X478" s="36">
        <f>IF(O478="","",IF(ISNUMBER(SEARCH(O478,J478)),"Yes","No"))</f>
        <v/>
      </c>
      <c r="Y478" s="36" t="n">
        <v>0.5</v>
      </c>
      <c r="Z478" s="36" t="inlineStr">
        <is>
          <t>sitemap-cities.xml</t>
        </is>
      </c>
      <c r="AA478" s="36" t="inlineStr">
        <is>
          <t>Live – indexable</t>
        </is>
      </c>
      <c r="AB478" s="38" t="n"/>
      <c r="AC478" s="38" t="n"/>
    </row>
    <row r="479" ht="23.85" customHeight="1" s="22">
      <c r="A479" s="36" t="inlineStr">
        <is>
          <t>P0478</t>
        </is>
      </c>
      <c r="B479" s="36" t="inlineStr">
        <is>
          <t>https://instasure.ca/condo-insurance/ontario/st-catharines/</t>
        </is>
      </c>
      <c r="C479" s="36" t="inlineStr">
        <is>
          <t>Product × city</t>
        </is>
      </c>
      <c r="D479" s="36" t="inlineStr">
        <is>
          <t>Condo insurance</t>
        </is>
      </c>
      <c r="E479" s="36" t="inlineStr">
        <is>
          <t>Condo Insurance</t>
        </is>
      </c>
      <c r="F479" s="36" t="n"/>
      <c r="G479" s="36" t="inlineStr">
        <is>
          <t>Ontario</t>
        </is>
      </c>
      <c r="H479" s="36" t="inlineStr">
        <is>
          <t>St. Catharines</t>
        </is>
      </c>
      <c r="I479" s="36" t="inlineStr">
        <is>
          <t>Yes</t>
        </is>
      </c>
      <c r="J479" s="25" t="inlineStr">
        <is>
          <t>Condo Insurance St. Catharines, ON: Compare Quotes &amp; Costs (2026)</t>
        </is>
      </c>
      <c r="K479" s="36">
        <f>LEN(J479)</f>
        <v/>
      </c>
      <c r="L479" s="25" t="inlineStr">
        <is>
          <t>Compare condo insurance in St. Catharines, ON: instant estimate ($25.00–$41.00/mo example), local risk factors and advisors licensed in Ontario.</t>
        </is>
      </c>
      <c r="M479" s="36">
        <f>LEN(L479)</f>
        <v/>
      </c>
      <c r="N479" s="25" t="inlineStr">
        <is>
          <t>Condo Insurance in St. Catharines, ON</t>
        </is>
      </c>
      <c r="O479" s="36" t="inlineStr">
        <is>
          <t>condo insurance st catharines</t>
        </is>
      </c>
      <c r="P479" s="37" t="n">
        <v>53</v>
      </c>
      <c r="Q479" s="36" t="inlineStr">
        <is>
          <t>City</t>
        </is>
      </c>
      <c r="R479" s="36" t="n"/>
      <c r="S479" s="36">
        <f>COUNTIF('Page-Keyword Map'!$A$2:$A$675,B479)</f>
        <v/>
      </c>
      <c r="T479" s="37">
        <f>SUMIF('Page-Keyword Map'!$A$2:$A$675,B479,'Page-Keyword Map'!$H$2:$H$675)</f>
        <v/>
      </c>
      <c r="U479" s="36">
        <f>COUNTIFS('Page-Keyword Map'!$A$2:$A$675,B479,'Page-Keyword Map'!$E$2:$E$675,"Nationwide")</f>
        <v/>
      </c>
      <c r="V479" s="36">
        <f>COUNTIFS('Page-Keyword Map'!$A$2:$A$675,B479,'Page-Keyword Map'!$E$2:$E$675,"Provincial")</f>
        <v/>
      </c>
      <c r="W479" s="36">
        <f>COUNTIFS('Page-Keyword Map'!$A$2:$A$675,B479,'Page-Keyword Map'!$E$2:$E$675,"City")</f>
        <v/>
      </c>
      <c r="X479" s="36">
        <f>IF(O479="","",IF(ISNUMBER(SEARCH(O479,J479)),"Yes","No"))</f>
        <v/>
      </c>
      <c r="Y479" s="36" t="n">
        <v>0.5</v>
      </c>
      <c r="Z479" s="36" t="inlineStr">
        <is>
          <t>sitemap-cities.xml</t>
        </is>
      </c>
      <c r="AA479" s="36" t="inlineStr">
        <is>
          <t>Live – indexable</t>
        </is>
      </c>
      <c r="AB479" s="38" t="n"/>
      <c r="AC479" s="38" t="n"/>
    </row>
    <row r="480" ht="23.85" customHeight="1" s="22">
      <c r="A480" s="36" t="inlineStr">
        <is>
          <t>P0479</t>
        </is>
      </c>
      <c r="B480" s="36" t="inlineStr">
        <is>
          <t>https://instasure.ca/condo-insurance/ontario/sudbury/</t>
        </is>
      </c>
      <c r="C480" s="36" t="inlineStr">
        <is>
          <t>Product × city</t>
        </is>
      </c>
      <c r="D480" s="36" t="inlineStr">
        <is>
          <t>Condo insurance</t>
        </is>
      </c>
      <c r="E480" s="36" t="inlineStr">
        <is>
          <t>Condo Insurance</t>
        </is>
      </c>
      <c r="F480" s="36" t="n"/>
      <c r="G480" s="36" t="inlineStr">
        <is>
          <t>Ontario</t>
        </is>
      </c>
      <c r="H480" s="36" t="inlineStr">
        <is>
          <t>Sudbury</t>
        </is>
      </c>
      <c r="I480" s="36" t="inlineStr">
        <is>
          <t>No</t>
        </is>
      </c>
      <c r="J480" s="25" t="inlineStr">
        <is>
          <t>Condo Insurance Sudbury, ON: Compare Quotes &amp; Costs (2026)</t>
        </is>
      </c>
      <c r="K480" s="36">
        <f>LEN(J480)</f>
        <v/>
      </c>
      <c r="L480" s="25" t="inlineStr">
        <is>
          <t>Compare condo insurance in Sudbury, ON: instant estimate ($25.00–$41.00/mo example), local risk factors and advisors licensed in Ontario.</t>
        </is>
      </c>
      <c r="M480" s="36">
        <f>LEN(L480)</f>
        <v/>
      </c>
      <c r="N480" s="25" t="inlineStr">
        <is>
          <t>Condo Insurance in Sudbury, ON</t>
        </is>
      </c>
      <c r="O480" s="36" t="inlineStr">
        <is>
          <t>condo insurance sudbury</t>
        </is>
      </c>
      <c r="P480" s="37" t="n">
        <v>62</v>
      </c>
      <c r="Q480" s="36" t="inlineStr">
        <is>
          <t>City</t>
        </is>
      </c>
      <c r="R480" s="36" t="n"/>
      <c r="S480" s="36">
        <f>COUNTIF('Page-Keyword Map'!$A$2:$A$675,B480)</f>
        <v/>
      </c>
      <c r="T480" s="37">
        <f>SUMIF('Page-Keyword Map'!$A$2:$A$675,B480,'Page-Keyword Map'!$H$2:$H$675)</f>
        <v/>
      </c>
      <c r="U480" s="36">
        <f>COUNTIFS('Page-Keyword Map'!$A$2:$A$675,B480,'Page-Keyword Map'!$E$2:$E$675,"Nationwide")</f>
        <v/>
      </c>
      <c r="V480" s="36">
        <f>COUNTIFS('Page-Keyword Map'!$A$2:$A$675,B480,'Page-Keyword Map'!$E$2:$E$675,"Provincial")</f>
        <v/>
      </c>
      <c r="W480" s="36">
        <f>COUNTIFS('Page-Keyword Map'!$A$2:$A$675,B480,'Page-Keyword Map'!$E$2:$E$675,"City")</f>
        <v/>
      </c>
      <c r="X480" s="36">
        <f>IF(O480="","",IF(ISNUMBER(SEARCH(O480,J480)),"Yes","No"))</f>
        <v/>
      </c>
      <c r="Y480" s="36" t="n">
        <v>0.5</v>
      </c>
      <c r="Z480" s="36" t="inlineStr">
        <is>
          <t>(not listed: noindex)</t>
        </is>
      </c>
      <c r="AA480" s="36" t="inlineStr">
        <is>
          <t>Live – noindex (enrich before indexing)</t>
        </is>
      </c>
      <c r="AB480" s="38" t="n"/>
      <c r="AC480" s="38" t="n"/>
    </row>
    <row r="481" ht="23.85" customHeight="1" s="22">
      <c r="A481" s="36" t="inlineStr">
        <is>
          <t>P0480</t>
        </is>
      </c>
      <c r="B481" s="36" t="inlineStr">
        <is>
          <t>https://instasure.ca/condo-insurance/ontario/thunder-bay/</t>
        </is>
      </c>
      <c r="C481" s="36" t="inlineStr">
        <is>
          <t>Product × city</t>
        </is>
      </c>
      <c r="D481" s="36" t="inlineStr">
        <is>
          <t>Condo insurance</t>
        </is>
      </c>
      <c r="E481" s="36" t="inlineStr">
        <is>
          <t>Condo Insurance</t>
        </is>
      </c>
      <c r="F481" s="36" t="n"/>
      <c r="G481" s="36" t="inlineStr">
        <is>
          <t>Ontario</t>
        </is>
      </c>
      <c r="H481" s="36" t="inlineStr">
        <is>
          <t>Thunder Bay</t>
        </is>
      </c>
      <c r="I481" s="36" t="inlineStr">
        <is>
          <t>No</t>
        </is>
      </c>
      <c r="J481" s="25" t="inlineStr">
        <is>
          <t>Condo Insurance Thunder Bay, ON: Compare Quotes &amp; Costs (2026)</t>
        </is>
      </c>
      <c r="K481" s="36">
        <f>LEN(J481)</f>
        <v/>
      </c>
      <c r="L481" s="25" t="inlineStr">
        <is>
          <t>Compare condo insurance in Thunder Bay, ON: instant estimate ($25.00–$41.00/mo example), local risk factors and advisors licensed in Ontario.</t>
        </is>
      </c>
      <c r="M481" s="36">
        <f>LEN(L481)</f>
        <v/>
      </c>
      <c r="N481" s="25" t="inlineStr">
        <is>
          <t>Condo Insurance in Thunder Bay, ON</t>
        </is>
      </c>
      <c r="O481" s="36" t="inlineStr">
        <is>
          <t>condo insurance thunder bay</t>
        </is>
      </c>
      <c r="P481" s="37" t="n">
        <v>44</v>
      </c>
      <c r="Q481" s="36" t="inlineStr">
        <is>
          <t>City</t>
        </is>
      </c>
      <c r="R481" s="36" t="n"/>
      <c r="S481" s="36">
        <f>COUNTIF('Page-Keyword Map'!$A$2:$A$675,B481)</f>
        <v/>
      </c>
      <c r="T481" s="37">
        <f>SUMIF('Page-Keyword Map'!$A$2:$A$675,B481,'Page-Keyword Map'!$H$2:$H$675)</f>
        <v/>
      </c>
      <c r="U481" s="36">
        <f>COUNTIFS('Page-Keyword Map'!$A$2:$A$675,B481,'Page-Keyword Map'!$E$2:$E$675,"Nationwide")</f>
        <v/>
      </c>
      <c r="V481" s="36">
        <f>COUNTIFS('Page-Keyword Map'!$A$2:$A$675,B481,'Page-Keyword Map'!$E$2:$E$675,"Provincial")</f>
        <v/>
      </c>
      <c r="W481" s="36">
        <f>COUNTIFS('Page-Keyword Map'!$A$2:$A$675,B481,'Page-Keyword Map'!$E$2:$E$675,"City")</f>
        <v/>
      </c>
      <c r="X481" s="36">
        <f>IF(O481="","",IF(ISNUMBER(SEARCH(O481,J481)),"Yes","No"))</f>
        <v/>
      </c>
      <c r="Y481" s="36" t="n">
        <v>0.5</v>
      </c>
      <c r="Z481" s="36" t="inlineStr">
        <is>
          <t>(not listed: noindex)</t>
        </is>
      </c>
      <c r="AA481" s="36" t="inlineStr">
        <is>
          <t>Live – noindex (enrich before indexing)</t>
        </is>
      </c>
      <c r="AB481" s="38" t="n"/>
      <c r="AC481" s="38" t="n"/>
    </row>
    <row r="482" ht="23.85" customHeight="1" s="22">
      <c r="A482" s="36" t="inlineStr">
        <is>
          <t>P0481</t>
        </is>
      </c>
      <c r="B482" s="36" t="inlineStr">
        <is>
          <t>https://instasure.ca/condo-insurance/ontario/toronto/</t>
        </is>
      </c>
      <c r="C482" s="36" t="inlineStr">
        <is>
          <t>Product × city</t>
        </is>
      </c>
      <c r="D482" s="36" t="inlineStr">
        <is>
          <t>Condo insurance</t>
        </is>
      </c>
      <c r="E482" s="36" t="inlineStr">
        <is>
          <t>Condo Insurance</t>
        </is>
      </c>
      <c r="F482" s="36" t="n"/>
      <c r="G482" s="36" t="inlineStr">
        <is>
          <t>Ontario</t>
        </is>
      </c>
      <c r="H482" s="36" t="inlineStr">
        <is>
          <t>Toronto</t>
        </is>
      </c>
      <c r="I482" s="36" t="inlineStr">
        <is>
          <t>Yes</t>
        </is>
      </c>
      <c r="J482" s="25" t="inlineStr">
        <is>
          <t>Condo Insurance Toronto, ON: Compare Quotes &amp; Costs (2026)</t>
        </is>
      </c>
      <c r="K482" s="36">
        <f>LEN(J482)</f>
        <v/>
      </c>
      <c r="L482" s="25" t="inlineStr">
        <is>
          <t>Compare condo insurance in Toronto, ON: instant estimate ($26.00–$42.00/mo example), local risk factors and advisors licensed in Ontario.</t>
        </is>
      </c>
      <c r="M482" s="36">
        <f>LEN(L482)</f>
        <v/>
      </c>
      <c r="N482" s="25" t="inlineStr">
        <is>
          <t>Condo Insurance in Toronto, ON</t>
        </is>
      </c>
      <c r="O482" s="36" t="inlineStr">
        <is>
          <t>condo insurance toronto</t>
        </is>
      </c>
      <c r="P482" s="37" t="n">
        <v>590</v>
      </c>
      <c r="Q482" s="36" t="inlineStr">
        <is>
          <t>City</t>
        </is>
      </c>
      <c r="R482" s="36" t="n"/>
      <c r="S482" s="36">
        <f>COUNTIF('Page-Keyword Map'!$A$2:$A$675,B482)</f>
        <v/>
      </c>
      <c r="T482" s="37">
        <f>SUMIF('Page-Keyword Map'!$A$2:$A$675,B482,'Page-Keyword Map'!$H$2:$H$675)</f>
        <v/>
      </c>
      <c r="U482" s="36">
        <f>COUNTIFS('Page-Keyword Map'!$A$2:$A$675,B482,'Page-Keyword Map'!$E$2:$E$675,"Nationwide")</f>
        <v/>
      </c>
      <c r="V482" s="36">
        <f>COUNTIFS('Page-Keyword Map'!$A$2:$A$675,B482,'Page-Keyword Map'!$E$2:$E$675,"Provincial")</f>
        <v/>
      </c>
      <c r="W482" s="36">
        <f>COUNTIFS('Page-Keyword Map'!$A$2:$A$675,B482,'Page-Keyword Map'!$E$2:$E$675,"City")</f>
        <v/>
      </c>
      <c r="X482" s="36">
        <f>IF(O482="","",IF(ISNUMBER(SEARCH(O482,J482)),"Yes","No"))</f>
        <v/>
      </c>
      <c r="Y482" s="36" t="n">
        <v>0.7</v>
      </c>
      <c r="Z482" s="36" t="inlineStr">
        <is>
          <t>sitemap-cities.xml</t>
        </is>
      </c>
      <c r="AA482" s="36" t="inlineStr">
        <is>
          <t>Live – indexable</t>
        </is>
      </c>
      <c r="AB482" s="38" t="n"/>
      <c r="AC482" s="38" t="n"/>
    </row>
    <row r="483" ht="23.85" customHeight="1" s="22">
      <c r="A483" s="36" t="inlineStr">
        <is>
          <t>P0482</t>
        </is>
      </c>
      <c r="B483" s="36" t="inlineStr">
        <is>
          <t>https://instasure.ca/condo-insurance/ontario/vaughan/</t>
        </is>
      </c>
      <c r="C483" s="36" t="inlineStr">
        <is>
          <t>Product × city</t>
        </is>
      </c>
      <c r="D483" s="36" t="inlineStr">
        <is>
          <t>Condo insurance</t>
        </is>
      </c>
      <c r="E483" s="36" t="inlineStr">
        <is>
          <t>Condo Insurance</t>
        </is>
      </c>
      <c r="F483" s="36" t="n"/>
      <c r="G483" s="36" t="inlineStr">
        <is>
          <t>Ontario</t>
        </is>
      </c>
      <c r="H483" s="36" t="inlineStr">
        <is>
          <t>Vaughan</t>
        </is>
      </c>
      <c r="I483" s="36" t="inlineStr">
        <is>
          <t>Yes</t>
        </is>
      </c>
      <c r="J483" s="25" t="inlineStr">
        <is>
          <t>Condo Insurance Vaughan, ON: Compare Quotes &amp; Costs (2026)</t>
        </is>
      </c>
      <c r="K483" s="36">
        <f>LEN(J483)</f>
        <v/>
      </c>
      <c r="L483" s="25" t="inlineStr">
        <is>
          <t>Compare condo insurance in Vaughan, ON: instant estimate ($25.00–$41.00/mo example), local risk factors and advisors licensed in Ontario.</t>
        </is>
      </c>
      <c r="M483" s="36">
        <f>LEN(L483)</f>
        <v/>
      </c>
      <c r="N483" s="25" t="inlineStr">
        <is>
          <t>Condo Insurance in Vaughan, ON</t>
        </is>
      </c>
      <c r="O483" s="36" t="inlineStr">
        <is>
          <t>condo insurance vaughan</t>
        </is>
      </c>
      <c r="P483" s="37" t="n">
        <v>110</v>
      </c>
      <c r="Q483" s="36" t="inlineStr">
        <is>
          <t>City</t>
        </is>
      </c>
      <c r="R483" s="36" t="n"/>
      <c r="S483" s="36">
        <f>COUNTIF('Page-Keyword Map'!$A$2:$A$675,B483)</f>
        <v/>
      </c>
      <c r="T483" s="37">
        <f>SUMIF('Page-Keyword Map'!$A$2:$A$675,B483,'Page-Keyword Map'!$H$2:$H$675)</f>
        <v/>
      </c>
      <c r="U483" s="36">
        <f>COUNTIFS('Page-Keyword Map'!$A$2:$A$675,B483,'Page-Keyword Map'!$E$2:$E$675,"Nationwide")</f>
        <v/>
      </c>
      <c r="V483" s="36">
        <f>COUNTIFS('Page-Keyword Map'!$A$2:$A$675,B483,'Page-Keyword Map'!$E$2:$E$675,"Provincial")</f>
        <v/>
      </c>
      <c r="W483" s="36">
        <f>COUNTIFS('Page-Keyword Map'!$A$2:$A$675,B483,'Page-Keyword Map'!$E$2:$E$675,"City")</f>
        <v/>
      </c>
      <c r="X483" s="36">
        <f>IF(O483="","",IF(ISNUMBER(SEARCH(O483,J483)),"Yes","No"))</f>
        <v/>
      </c>
      <c r="Y483" s="36" t="n">
        <v>0.7</v>
      </c>
      <c r="Z483" s="36" t="inlineStr">
        <is>
          <t>sitemap-cities.xml</t>
        </is>
      </c>
      <c r="AA483" s="36" t="inlineStr">
        <is>
          <t>Live – indexable</t>
        </is>
      </c>
      <c r="AB483" s="38" t="n"/>
      <c r="AC483" s="38" t="n"/>
    </row>
    <row r="484" ht="23.85" customHeight="1" s="22">
      <c r="A484" s="36" t="inlineStr">
        <is>
          <t>P0483</t>
        </is>
      </c>
      <c r="B484" s="36" t="inlineStr">
        <is>
          <t>https://instasure.ca/condo-insurance/ontario/waterloo/</t>
        </is>
      </c>
      <c r="C484" s="36" t="inlineStr">
        <is>
          <t>Product × city</t>
        </is>
      </c>
      <c r="D484" s="36" t="inlineStr">
        <is>
          <t>Condo insurance</t>
        </is>
      </c>
      <c r="E484" s="36" t="inlineStr">
        <is>
          <t>Condo Insurance</t>
        </is>
      </c>
      <c r="F484" s="36" t="n"/>
      <c r="G484" s="36" t="inlineStr">
        <is>
          <t>Ontario</t>
        </is>
      </c>
      <c r="H484" s="36" t="inlineStr">
        <is>
          <t>Waterloo</t>
        </is>
      </c>
      <c r="I484" s="36" t="inlineStr">
        <is>
          <t>Yes</t>
        </is>
      </c>
      <c r="J484" s="25" t="inlineStr">
        <is>
          <t>Condo Insurance Waterloo, ON: Compare Quotes &amp; Costs (2026)</t>
        </is>
      </c>
      <c r="K484" s="36">
        <f>LEN(J484)</f>
        <v/>
      </c>
      <c r="L484" s="25" t="inlineStr">
        <is>
          <t>Compare condo insurance in Waterloo, ON: instant estimate ($25.00–$41.00/mo example), local risk factors and advisors licensed in Ontario.</t>
        </is>
      </c>
      <c r="M484" s="36">
        <f>LEN(L484)</f>
        <v/>
      </c>
      <c r="N484" s="25" t="inlineStr">
        <is>
          <t>Condo Insurance in Waterloo, ON</t>
        </is>
      </c>
      <c r="O484" s="36" t="inlineStr">
        <is>
          <t>condo insurance waterloo</t>
        </is>
      </c>
      <c r="P484" s="37" t="n">
        <v>48</v>
      </c>
      <c r="Q484" s="36" t="inlineStr">
        <is>
          <t>City</t>
        </is>
      </c>
      <c r="R484" s="36" t="n"/>
      <c r="S484" s="36">
        <f>COUNTIF('Page-Keyword Map'!$A$2:$A$675,B484)</f>
        <v/>
      </c>
      <c r="T484" s="37">
        <f>SUMIF('Page-Keyword Map'!$A$2:$A$675,B484,'Page-Keyword Map'!$H$2:$H$675)</f>
        <v/>
      </c>
      <c r="U484" s="36">
        <f>COUNTIFS('Page-Keyword Map'!$A$2:$A$675,B484,'Page-Keyword Map'!$E$2:$E$675,"Nationwide")</f>
        <v/>
      </c>
      <c r="V484" s="36">
        <f>COUNTIFS('Page-Keyword Map'!$A$2:$A$675,B484,'Page-Keyword Map'!$E$2:$E$675,"Provincial")</f>
        <v/>
      </c>
      <c r="W484" s="36">
        <f>COUNTIFS('Page-Keyword Map'!$A$2:$A$675,B484,'Page-Keyword Map'!$E$2:$E$675,"City")</f>
        <v/>
      </c>
      <c r="X484" s="36">
        <f>IF(O484="","",IF(ISNUMBER(SEARCH(O484,J484)),"Yes","No"))</f>
        <v/>
      </c>
      <c r="Y484" s="36" t="n">
        <v>0.5</v>
      </c>
      <c r="Z484" s="36" t="inlineStr">
        <is>
          <t>sitemap-cities.xml</t>
        </is>
      </c>
      <c r="AA484" s="36" t="inlineStr">
        <is>
          <t>Live – indexable</t>
        </is>
      </c>
      <c r="AB484" s="38" t="n"/>
      <c r="AC484" s="38" t="n"/>
    </row>
    <row r="485" ht="23.85" customHeight="1" s="22">
      <c r="A485" s="36" t="inlineStr">
        <is>
          <t>P0484</t>
        </is>
      </c>
      <c r="B485" s="36" t="inlineStr">
        <is>
          <t>https://instasure.ca/condo-insurance/ontario/whitby/</t>
        </is>
      </c>
      <c r="C485" s="36" t="inlineStr">
        <is>
          <t>Product × city</t>
        </is>
      </c>
      <c r="D485" s="36" t="inlineStr">
        <is>
          <t>Condo insurance</t>
        </is>
      </c>
      <c r="E485" s="36" t="inlineStr">
        <is>
          <t>Condo Insurance</t>
        </is>
      </c>
      <c r="F485" s="36" t="n"/>
      <c r="G485" s="36" t="inlineStr">
        <is>
          <t>Ontario</t>
        </is>
      </c>
      <c r="H485" s="36" t="inlineStr">
        <is>
          <t>Whitby</t>
        </is>
      </c>
      <c r="I485" s="36" t="inlineStr">
        <is>
          <t>No</t>
        </is>
      </c>
      <c r="J485" s="25" t="inlineStr">
        <is>
          <t>Condo Insurance Whitby, ON: Compare Quotes &amp; Costs (2026)</t>
        </is>
      </c>
      <c r="K485" s="36">
        <f>LEN(J485)</f>
        <v/>
      </c>
      <c r="L485" s="25" t="inlineStr">
        <is>
          <t>Compare condo insurance in Whitby, ON: instant estimate ($25.00–$41.00/mo example), local risk factors and advisors licensed in Ontario.</t>
        </is>
      </c>
      <c r="M485" s="36">
        <f>LEN(L485)</f>
        <v/>
      </c>
      <c r="N485" s="25" t="inlineStr">
        <is>
          <t>Condo Insurance in Whitby, ON</t>
        </is>
      </c>
      <c r="O485" s="36" t="inlineStr">
        <is>
          <t>condo insurance whitby</t>
        </is>
      </c>
      <c r="P485" s="37" t="n">
        <v>53</v>
      </c>
      <c r="Q485" s="36" t="inlineStr">
        <is>
          <t>City</t>
        </is>
      </c>
      <c r="R485" s="36" t="n"/>
      <c r="S485" s="36">
        <f>COUNTIF('Page-Keyword Map'!$A$2:$A$675,B485)</f>
        <v/>
      </c>
      <c r="T485" s="37">
        <f>SUMIF('Page-Keyword Map'!$A$2:$A$675,B485,'Page-Keyword Map'!$H$2:$H$675)</f>
        <v/>
      </c>
      <c r="U485" s="36">
        <f>COUNTIFS('Page-Keyword Map'!$A$2:$A$675,B485,'Page-Keyword Map'!$E$2:$E$675,"Nationwide")</f>
        <v/>
      </c>
      <c r="V485" s="36">
        <f>COUNTIFS('Page-Keyword Map'!$A$2:$A$675,B485,'Page-Keyword Map'!$E$2:$E$675,"Provincial")</f>
        <v/>
      </c>
      <c r="W485" s="36">
        <f>COUNTIFS('Page-Keyword Map'!$A$2:$A$675,B485,'Page-Keyword Map'!$E$2:$E$675,"City")</f>
        <v/>
      </c>
      <c r="X485" s="36">
        <f>IF(O485="","",IF(ISNUMBER(SEARCH(O485,J485)),"Yes","No"))</f>
        <v/>
      </c>
      <c r="Y485" s="36" t="n">
        <v>0.5</v>
      </c>
      <c r="Z485" s="36" t="inlineStr">
        <is>
          <t>(not listed: noindex)</t>
        </is>
      </c>
      <c r="AA485" s="36" t="inlineStr">
        <is>
          <t>Live – noindex (enrich before indexing)</t>
        </is>
      </c>
      <c r="AB485" s="38" t="n"/>
      <c r="AC485" s="38" t="n"/>
    </row>
    <row r="486" ht="23.85" customHeight="1" s="22">
      <c r="A486" s="36" t="inlineStr">
        <is>
          <t>P0485</t>
        </is>
      </c>
      <c r="B486" s="36" t="inlineStr">
        <is>
          <t>https://instasure.ca/condo-insurance/ontario/windsor/</t>
        </is>
      </c>
      <c r="C486" s="36" t="inlineStr">
        <is>
          <t>Product × city</t>
        </is>
      </c>
      <c r="D486" s="36" t="inlineStr">
        <is>
          <t>Condo insurance</t>
        </is>
      </c>
      <c r="E486" s="36" t="inlineStr">
        <is>
          <t>Condo Insurance</t>
        </is>
      </c>
      <c r="F486" s="36" t="n"/>
      <c r="G486" s="36" t="inlineStr">
        <is>
          <t>Ontario</t>
        </is>
      </c>
      <c r="H486" s="36" t="inlineStr">
        <is>
          <t>Windsor</t>
        </is>
      </c>
      <c r="I486" s="36" t="inlineStr">
        <is>
          <t>Yes</t>
        </is>
      </c>
      <c r="J486" s="25" t="inlineStr">
        <is>
          <t>Condo Insurance Windsor, ON: Compare Quotes &amp; Costs (2026)</t>
        </is>
      </c>
      <c r="K486" s="36">
        <f>LEN(J486)</f>
        <v/>
      </c>
      <c r="L486" s="25" t="inlineStr">
        <is>
          <t>Compare condo insurance in Windsor, ON: instant estimate ($25.00–$41.00/mo example), local risk factors and advisors licensed in Ontario.</t>
        </is>
      </c>
      <c r="M486" s="36">
        <f>LEN(L486)</f>
        <v/>
      </c>
      <c r="N486" s="25" t="inlineStr">
        <is>
          <t>Condo Insurance in Windsor, ON</t>
        </is>
      </c>
      <c r="O486" s="36" t="inlineStr">
        <is>
          <t>condo insurance windsor</t>
        </is>
      </c>
      <c r="P486" s="37" t="n">
        <v>80</v>
      </c>
      <c r="Q486" s="36" t="inlineStr">
        <is>
          <t>City</t>
        </is>
      </c>
      <c r="R486" s="36" t="n"/>
      <c r="S486" s="36">
        <f>COUNTIF('Page-Keyword Map'!$A$2:$A$675,B486)</f>
        <v/>
      </c>
      <c r="T486" s="37">
        <f>SUMIF('Page-Keyword Map'!$A$2:$A$675,B486,'Page-Keyword Map'!$H$2:$H$675)</f>
        <v/>
      </c>
      <c r="U486" s="36">
        <f>COUNTIFS('Page-Keyword Map'!$A$2:$A$675,B486,'Page-Keyword Map'!$E$2:$E$675,"Nationwide")</f>
        <v/>
      </c>
      <c r="V486" s="36">
        <f>COUNTIFS('Page-Keyword Map'!$A$2:$A$675,B486,'Page-Keyword Map'!$E$2:$E$675,"Provincial")</f>
        <v/>
      </c>
      <c r="W486" s="36">
        <f>COUNTIFS('Page-Keyword Map'!$A$2:$A$675,B486,'Page-Keyword Map'!$E$2:$E$675,"City")</f>
        <v/>
      </c>
      <c r="X486" s="36">
        <f>IF(O486="","",IF(ISNUMBER(SEARCH(O486,J486)),"Yes","No"))</f>
        <v/>
      </c>
      <c r="Y486" s="36" t="n">
        <v>0.7</v>
      </c>
      <c r="Z486" s="36" t="inlineStr">
        <is>
          <t>sitemap-cities.xml</t>
        </is>
      </c>
      <c r="AA486" s="36" t="inlineStr">
        <is>
          <t>Live – indexable</t>
        </is>
      </c>
      <c r="AB486" s="38" t="n"/>
      <c r="AC486" s="38" t="n"/>
    </row>
    <row r="487" ht="23.85" customHeight="1" s="22">
      <c r="A487" s="36" t="inlineStr">
        <is>
          <t>P0486</t>
        </is>
      </c>
      <c r="B487" s="36" t="inlineStr">
        <is>
          <t>https://instasure.ca/condo-insurance/prince-edward-island/charlottetown/</t>
        </is>
      </c>
      <c r="C487" s="36" t="inlineStr">
        <is>
          <t>Product × city</t>
        </is>
      </c>
      <c r="D487" s="36" t="inlineStr">
        <is>
          <t>Condo insurance</t>
        </is>
      </c>
      <c r="E487" s="36" t="inlineStr">
        <is>
          <t>Condo Insurance</t>
        </is>
      </c>
      <c r="F487" s="36" t="n"/>
      <c r="G487" s="36" t="inlineStr">
        <is>
          <t>Prince Edward Island</t>
        </is>
      </c>
      <c r="H487" s="36" t="inlineStr">
        <is>
          <t>Charlottetown</t>
        </is>
      </c>
      <c r="I487" s="36" t="inlineStr">
        <is>
          <t>Yes</t>
        </is>
      </c>
      <c r="J487" s="25" t="inlineStr">
        <is>
          <t>Condo Insurance Charlottetown, PE: Compare Quotes &amp; Costs (2026)</t>
        </is>
      </c>
      <c r="K487" s="36">
        <f>LEN(J487)</f>
        <v/>
      </c>
      <c r="L487" s="25" t="inlineStr">
        <is>
          <t>Compare condo insurance in Charlottetown, PE: instant estimate ($20.00–$32.00/mo example), local risk factors and advisors licensed in Prince Edward Island.</t>
        </is>
      </c>
      <c r="M487" s="36">
        <f>LEN(L487)</f>
        <v/>
      </c>
      <c r="N487" s="25" t="inlineStr">
        <is>
          <t>Condo Insurance in Charlottetown, PE</t>
        </is>
      </c>
      <c r="O487" s="36" t="n"/>
      <c r="P487" s="37" t="n"/>
      <c r="Q487" s="36" t="n"/>
      <c r="R487" s="36" t="inlineStr">
        <is>
          <t>condo insurance charlottetown</t>
        </is>
      </c>
      <c r="S487" s="36">
        <f>COUNTIF('Page-Keyword Map'!$A$2:$A$675,B487)</f>
        <v/>
      </c>
      <c r="T487" s="37">
        <f>SUMIF('Page-Keyword Map'!$A$2:$A$675,B487,'Page-Keyword Map'!$H$2:$H$675)</f>
        <v/>
      </c>
      <c r="U487" s="36">
        <f>COUNTIFS('Page-Keyword Map'!$A$2:$A$675,B487,'Page-Keyword Map'!$E$2:$E$675,"Nationwide")</f>
        <v/>
      </c>
      <c r="V487" s="36">
        <f>COUNTIFS('Page-Keyword Map'!$A$2:$A$675,B487,'Page-Keyword Map'!$E$2:$E$675,"Provincial")</f>
        <v/>
      </c>
      <c r="W487" s="36">
        <f>COUNTIFS('Page-Keyword Map'!$A$2:$A$675,B487,'Page-Keyword Map'!$E$2:$E$675,"City")</f>
        <v/>
      </c>
      <c r="X487" s="36">
        <f>IF(O487="","",IF(ISNUMBER(SEARCH(O487,J487)),"Yes","No"))</f>
        <v/>
      </c>
      <c r="Y487" s="36" t="n">
        <v>0.5</v>
      </c>
      <c r="Z487" s="36" t="inlineStr">
        <is>
          <t>sitemap-cities.xml</t>
        </is>
      </c>
      <c r="AA487" s="36" t="inlineStr">
        <is>
          <t>Live – indexable</t>
        </is>
      </c>
      <c r="AB487" s="38" t="n"/>
      <c r="AC487" s="38" t="n"/>
    </row>
    <row r="488" ht="23.85" customHeight="1" s="22">
      <c r="A488" s="36" t="inlineStr">
        <is>
          <t>P0487</t>
        </is>
      </c>
      <c r="B488" s="36" t="inlineStr">
        <is>
          <t>https://instasure.ca/condo-insurance/quebec/gatineau/</t>
        </is>
      </c>
      <c r="C488" s="36" t="inlineStr">
        <is>
          <t>Product × city</t>
        </is>
      </c>
      <c r="D488" s="36" t="inlineStr">
        <is>
          <t>Condo insurance</t>
        </is>
      </c>
      <c r="E488" s="36" t="inlineStr">
        <is>
          <t>Condo Insurance</t>
        </is>
      </c>
      <c r="F488" s="36" t="n"/>
      <c r="G488" s="36" t="inlineStr">
        <is>
          <t>Quebec</t>
        </is>
      </c>
      <c r="H488" s="36" t="inlineStr">
        <is>
          <t>Gatineau</t>
        </is>
      </c>
      <c r="I488" s="36" t="inlineStr">
        <is>
          <t>Yes</t>
        </is>
      </c>
      <c r="J488" s="25" t="inlineStr">
        <is>
          <t>Condo Insurance Gatineau, QC: Compare Quotes &amp; Costs (2026)</t>
        </is>
      </c>
      <c r="K488" s="36">
        <f>LEN(J488)</f>
        <v/>
      </c>
      <c r="L488" s="25" t="inlineStr">
        <is>
          <t>Compare condo insurance in Gatineau, QC: instant estimate ($21.00–$33.00/mo example), local risk factors and a waitlist for licensed advice in Quebec.</t>
        </is>
      </c>
      <c r="M488" s="36">
        <f>LEN(L488)</f>
        <v/>
      </c>
      <c r="N488" s="25" t="inlineStr">
        <is>
          <t>Condo Insurance in Gatineau, QC</t>
        </is>
      </c>
      <c r="O488" s="36" t="inlineStr">
        <is>
          <t>condo insurance gatineau</t>
        </is>
      </c>
      <c r="P488" s="37" t="n">
        <v>29</v>
      </c>
      <c r="Q488" s="36" t="inlineStr">
        <is>
          <t>City</t>
        </is>
      </c>
      <c r="R488" s="36" t="n"/>
      <c r="S488" s="36">
        <f>COUNTIF('Page-Keyword Map'!$A$2:$A$675,B488)</f>
        <v/>
      </c>
      <c r="T488" s="37">
        <f>SUMIF('Page-Keyword Map'!$A$2:$A$675,B488,'Page-Keyword Map'!$H$2:$H$675)</f>
        <v/>
      </c>
      <c r="U488" s="36">
        <f>COUNTIFS('Page-Keyword Map'!$A$2:$A$675,B488,'Page-Keyword Map'!$E$2:$E$675,"Nationwide")</f>
        <v/>
      </c>
      <c r="V488" s="36">
        <f>COUNTIFS('Page-Keyword Map'!$A$2:$A$675,B488,'Page-Keyword Map'!$E$2:$E$675,"Provincial")</f>
        <v/>
      </c>
      <c r="W488" s="36">
        <f>COUNTIFS('Page-Keyword Map'!$A$2:$A$675,B488,'Page-Keyword Map'!$E$2:$E$675,"City")</f>
        <v/>
      </c>
      <c r="X488" s="36">
        <f>IF(O488="","",IF(ISNUMBER(SEARCH(O488,J488)),"Yes","No"))</f>
        <v/>
      </c>
      <c r="Y488" s="36" t="n">
        <v>0.5</v>
      </c>
      <c r="Z488" s="36" t="inlineStr">
        <is>
          <t>sitemap-cities.xml</t>
        </is>
      </c>
      <c r="AA488" s="36" t="inlineStr">
        <is>
          <t>Live – indexable</t>
        </is>
      </c>
      <c r="AB488" s="38" t="n"/>
      <c r="AC488" s="38" t="n"/>
    </row>
    <row r="489" ht="23.85" customHeight="1" s="22">
      <c r="A489" s="36" t="inlineStr">
        <is>
          <t>P0488</t>
        </is>
      </c>
      <c r="B489" s="36" t="inlineStr">
        <is>
          <t>https://instasure.ca/condo-insurance/quebec/laval/</t>
        </is>
      </c>
      <c r="C489" s="36" t="inlineStr">
        <is>
          <t>Product × city</t>
        </is>
      </c>
      <c r="D489" s="36" t="inlineStr">
        <is>
          <t>Condo insurance</t>
        </is>
      </c>
      <c r="E489" s="36" t="inlineStr">
        <is>
          <t>Condo Insurance</t>
        </is>
      </c>
      <c r="F489" s="36" t="n"/>
      <c r="G489" s="36" t="inlineStr">
        <is>
          <t>Quebec</t>
        </is>
      </c>
      <c r="H489" s="36" t="inlineStr">
        <is>
          <t>Laval</t>
        </is>
      </c>
      <c r="I489" s="36" t="inlineStr">
        <is>
          <t>Yes</t>
        </is>
      </c>
      <c r="J489" s="25" t="inlineStr">
        <is>
          <t>Condo Insurance Laval, QC: Compare Quotes &amp; Costs (2026)</t>
        </is>
      </c>
      <c r="K489" s="36">
        <f>LEN(J489)</f>
        <v/>
      </c>
      <c r="L489" s="25" t="inlineStr">
        <is>
          <t>Compare condo insurance in Laval, QC: instant estimate ($21.00–$34.00/mo example), local risk factors and a waitlist for licensed advice in Quebec.</t>
        </is>
      </c>
      <c r="M489" s="36">
        <f>LEN(L489)</f>
        <v/>
      </c>
      <c r="N489" s="25" t="inlineStr">
        <is>
          <t>Condo Insurance in Laval, QC</t>
        </is>
      </c>
      <c r="O489" s="36" t="inlineStr">
        <is>
          <t>condo insurance laval</t>
        </is>
      </c>
      <c r="P489" s="37" t="n">
        <v>40</v>
      </c>
      <c r="Q489" s="36" t="inlineStr">
        <is>
          <t>City</t>
        </is>
      </c>
      <c r="R489" s="36" t="n"/>
      <c r="S489" s="36">
        <f>COUNTIF('Page-Keyword Map'!$A$2:$A$675,B489)</f>
        <v/>
      </c>
      <c r="T489" s="37">
        <f>SUMIF('Page-Keyword Map'!$A$2:$A$675,B489,'Page-Keyword Map'!$H$2:$H$675)</f>
        <v/>
      </c>
      <c r="U489" s="36">
        <f>COUNTIFS('Page-Keyword Map'!$A$2:$A$675,B489,'Page-Keyword Map'!$E$2:$E$675,"Nationwide")</f>
        <v/>
      </c>
      <c r="V489" s="36">
        <f>COUNTIFS('Page-Keyword Map'!$A$2:$A$675,B489,'Page-Keyword Map'!$E$2:$E$675,"Provincial")</f>
        <v/>
      </c>
      <c r="W489" s="36">
        <f>COUNTIFS('Page-Keyword Map'!$A$2:$A$675,B489,'Page-Keyword Map'!$E$2:$E$675,"City")</f>
        <v/>
      </c>
      <c r="X489" s="36">
        <f>IF(O489="","",IF(ISNUMBER(SEARCH(O489,J489)),"Yes","No"))</f>
        <v/>
      </c>
      <c r="Y489" s="36" t="n">
        <v>0.7</v>
      </c>
      <c r="Z489" s="36" t="inlineStr">
        <is>
          <t>sitemap-cities.xml</t>
        </is>
      </c>
      <c r="AA489" s="36" t="inlineStr">
        <is>
          <t>Live – indexable</t>
        </is>
      </c>
      <c r="AB489" s="38" t="n"/>
      <c r="AC489" s="38" t="n"/>
    </row>
    <row r="490" ht="23.85" customHeight="1" s="22">
      <c r="A490" s="36" t="inlineStr">
        <is>
          <t>P0489</t>
        </is>
      </c>
      <c r="B490" s="36" t="inlineStr">
        <is>
          <t>https://instasure.ca/condo-insurance/quebec/longueuil/</t>
        </is>
      </c>
      <c r="C490" s="36" t="inlineStr">
        <is>
          <t>Product × city</t>
        </is>
      </c>
      <c r="D490" s="36" t="inlineStr">
        <is>
          <t>Condo insurance</t>
        </is>
      </c>
      <c r="E490" s="36" t="inlineStr">
        <is>
          <t>Condo Insurance</t>
        </is>
      </c>
      <c r="F490" s="36" t="n"/>
      <c r="G490" s="36" t="inlineStr">
        <is>
          <t>Quebec</t>
        </is>
      </c>
      <c r="H490" s="36" t="inlineStr">
        <is>
          <t>Longueuil</t>
        </is>
      </c>
      <c r="I490" s="36" t="inlineStr">
        <is>
          <t>Yes</t>
        </is>
      </c>
      <c r="J490" s="25" t="inlineStr">
        <is>
          <t>Condo Insurance Longueuil, QC: Compare Quotes &amp; Costs (2026)</t>
        </is>
      </c>
      <c r="K490" s="36">
        <f>LEN(J490)</f>
        <v/>
      </c>
      <c r="L490" s="25" t="inlineStr">
        <is>
          <t>Compare condo insurance in Longueuil, QC: instant estimate ($20.00–$32.00/mo example), local risk factors and a waitlist for licensed advice in Quebec.</t>
        </is>
      </c>
      <c r="M490" s="36">
        <f>LEN(L490)</f>
        <v/>
      </c>
      <c r="N490" s="25" t="inlineStr">
        <is>
          <t>Condo Insurance in Longueuil, QC</t>
        </is>
      </c>
      <c r="O490" s="36" t="inlineStr">
        <is>
          <t>condo insurance longueuil</t>
        </is>
      </c>
      <c r="P490" s="37" t="n">
        <v>26</v>
      </c>
      <c r="Q490" s="36" t="inlineStr">
        <is>
          <t>City</t>
        </is>
      </c>
      <c r="R490" s="36" t="n"/>
      <c r="S490" s="36">
        <f>COUNTIF('Page-Keyword Map'!$A$2:$A$675,B490)</f>
        <v/>
      </c>
      <c r="T490" s="37">
        <f>SUMIF('Page-Keyword Map'!$A$2:$A$675,B490,'Page-Keyword Map'!$H$2:$H$675)</f>
        <v/>
      </c>
      <c r="U490" s="36">
        <f>COUNTIFS('Page-Keyword Map'!$A$2:$A$675,B490,'Page-Keyword Map'!$E$2:$E$675,"Nationwide")</f>
        <v/>
      </c>
      <c r="V490" s="36">
        <f>COUNTIFS('Page-Keyword Map'!$A$2:$A$675,B490,'Page-Keyword Map'!$E$2:$E$675,"Provincial")</f>
        <v/>
      </c>
      <c r="W490" s="36">
        <f>COUNTIFS('Page-Keyword Map'!$A$2:$A$675,B490,'Page-Keyword Map'!$E$2:$E$675,"City")</f>
        <v/>
      </c>
      <c r="X490" s="36">
        <f>IF(O490="","",IF(ISNUMBER(SEARCH(O490,J490)),"Yes","No"))</f>
        <v/>
      </c>
      <c r="Y490" s="36" t="n">
        <v>0.5</v>
      </c>
      <c r="Z490" s="36" t="inlineStr">
        <is>
          <t>sitemap-cities.xml</t>
        </is>
      </c>
      <c r="AA490" s="36" t="inlineStr">
        <is>
          <t>Live – indexable</t>
        </is>
      </c>
      <c r="AB490" s="38" t="n"/>
      <c r="AC490" s="38" t="n"/>
    </row>
    <row r="491" ht="23.85" customHeight="1" s="22">
      <c r="A491" s="36" t="inlineStr">
        <is>
          <t>P0490</t>
        </is>
      </c>
      <c r="B491" s="36" t="inlineStr">
        <is>
          <t>https://instasure.ca/condo-insurance/quebec/montreal/</t>
        </is>
      </c>
      <c r="C491" s="36" t="inlineStr">
        <is>
          <t>Product × city</t>
        </is>
      </c>
      <c r="D491" s="36" t="inlineStr">
        <is>
          <t>Condo insurance</t>
        </is>
      </c>
      <c r="E491" s="36" t="inlineStr">
        <is>
          <t>Condo Insurance</t>
        </is>
      </c>
      <c r="F491" s="36" t="n"/>
      <c r="G491" s="36" t="inlineStr">
        <is>
          <t>Quebec</t>
        </is>
      </c>
      <c r="H491" s="36" t="inlineStr">
        <is>
          <t>Montreal</t>
        </is>
      </c>
      <c r="I491" s="36" t="inlineStr">
        <is>
          <t>Yes</t>
        </is>
      </c>
      <c r="J491" s="25" t="inlineStr">
        <is>
          <t>Condo Insurance Montreal, QC: Compare Quotes &amp; Costs (2026)</t>
        </is>
      </c>
      <c r="K491" s="36">
        <f>LEN(J491)</f>
        <v/>
      </c>
      <c r="L491" s="25" t="inlineStr">
        <is>
          <t>Compare condo insurance in Montreal, QC: instant estimate ($20.00–$32.00/mo example), local risk factors and a waitlist for licensed advice in Quebec.</t>
        </is>
      </c>
      <c r="M491" s="36">
        <f>LEN(L491)</f>
        <v/>
      </c>
      <c r="N491" s="25" t="inlineStr">
        <is>
          <t>Condo Insurance in Montreal, QC</t>
        </is>
      </c>
      <c r="O491" s="36" t="inlineStr">
        <is>
          <t>condo insurance montreal</t>
        </is>
      </c>
      <c r="P491" s="37" t="n">
        <v>120</v>
      </c>
      <c r="Q491" s="36" t="inlineStr">
        <is>
          <t>City</t>
        </is>
      </c>
      <c r="R491" s="36" t="n"/>
      <c r="S491" s="36">
        <f>COUNTIF('Page-Keyword Map'!$A$2:$A$675,B491)</f>
        <v/>
      </c>
      <c r="T491" s="37">
        <f>SUMIF('Page-Keyword Map'!$A$2:$A$675,B491,'Page-Keyword Map'!$H$2:$H$675)</f>
        <v/>
      </c>
      <c r="U491" s="36">
        <f>COUNTIFS('Page-Keyword Map'!$A$2:$A$675,B491,'Page-Keyword Map'!$E$2:$E$675,"Nationwide")</f>
        <v/>
      </c>
      <c r="V491" s="36">
        <f>COUNTIFS('Page-Keyword Map'!$A$2:$A$675,B491,'Page-Keyword Map'!$E$2:$E$675,"Provincial")</f>
        <v/>
      </c>
      <c r="W491" s="36">
        <f>COUNTIFS('Page-Keyword Map'!$A$2:$A$675,B491,'Page-Keyword Map'!$E$2:$E$675,"City")</f>
        <v/>
      </c>
      <c r="X491" s="36">
        <f>IF(O491="","",IF(ISNUMBER(SEARCH(O491,J491)),"Yes","No"))</f>
        <v/>
      </c>
      <c r="Y491" s="36" t="n">
        <v>0.7</v>
      </c>
      <c r="Z491" s="36" t="inlineStr">
        <is>
          <t>sitemap-cities.xml</t>
        </is>
      </c>
      <c r="AA491" s="36" t="inlineStr">
        <is>
          <t>Live – indexable</t>
        </is>
      </c>
      <c r="AB491" s="38" t="n"/>
      <c r="AC491" s="38" t="n"/>
    </row>
    <row r="492" ht="23.85" customHeight="1" s="22">
      <c r="A492" s="36" t="inlineStr">
        <is>
          <t>P0491</t>
        </is>
      </c>
      <c r="B492" s="36" t="inlineStr">
        <is>
          <t>https://instasure.ca/condo-insurance/quebec/quebec-city/</t>
        </is>
      </c>
      <c r="C492" s="36" t="inlineStr">
        <is>
          <t>Product × city</t>
        </is>
      </c>
      <c r="D492" s="36" t="inlineStr">
        <is>
          <t>Condo insurance</t>
        </is>
      </c>
      <c r="E492" s="36" t="inlineStr">
        <is>
          <t>Condo Insurance</t>
        </is>
      </c>
      <c r="F492" s="36" t="n"/>
      <c r="G492" s="36" t="inlineStr">
        <is>
          <t>Quebec</t>
        </is>
      </c>
      <c r="H492" s="36" t="inlineStr">
        <is>
          <t>Quebec City</t>
        </is>
      </c>
      <c r="I492" s="36" t="inlineStr">
        <is>
          <t>Yes</t>
        </is>
      </c>
      <c r="J492" s="25" t="inlineStr">
        <is>
          <t>Condo Insurance Quebec City, QC: Compare Quotes &amp; Costs (2026)</t>
        </is>
      </c>
      <c r="K492" s="36">
        <f>LEN(J492)</f>
        <v/>
      </c>
      <c r="L492" s="25" t="inlineStr">
        <is>
          <t>Compare condo insurance in Quebec City, QC: instant estimate ($20.00–$32.00/mo example), local risk factors and a waitlist for licensed advice in Quebec.</t>
        </is>
      </c>
      <c r="M492" s="36">
        <f>LEN(L492)</f>
        <v/>
      </c>
      <c r="N492" s="25" t="inlineStr">
        <is>
          <t>Condo Insurance in Quebec City, QC</t>
        </is>
      </c>
      <c r="O492" s="36" t="inlineStr">
        <is>
          <t>condo insurance quebec city</t>
        </is>
      </c>
      <c r="P492" s="37" t="n">
        <v>48</v>
      </c>
      <c r="Q492" s="36" t="inlineStr">
        <is>
          <t>City</t>
        </is>
      </c>
      <c r="R492" s="36" t="n"/>
      <c r="S492" s="36">
        <f>COUNTIF('Page-Keyword Map'!$A$2:$A$675,B492)</f>
        <v/>
      </c>
      <c r="T492" s="37">
        <f>SUMIF('Page-Keyword Map'!$A$2:$A$675,B492,'Page-Keyword Map'!$H$2:$H$675)</f>
        <v/>
      </c>
      <c r="U492" s="36">
        <f>COUNTIFS('Page-Keyword Map'!$A$2:$A$675,B492,'Page-Keyword Map'!$E$2:$E$675,"Nationwide")</f>
        <v/>
      </c>
      <c r="V492" s="36">
        <f>COUNTIFS('Page-Keyword Map'!$A$2:$A$675,B492,'Page-Keyword Map'!$E$2:$E$675,"Provincial")</f>
        <v/>
      </c>
      <c r="W492" s="36">
        <f>COUNTIFS('Page-Keyword Map'!$A$2:$A$675,B492,'Page-Keyword Map'!$E$2:$E$675,"City")</f>
        <v/>
      </c>
      <c r="X492" s="36">
        <f>IF(O492="","",IF(ISNUMBER(SEARCH(O492,J492)),"Yes","No"))</f>
        <v/>
      </c>
      <c r="Y492" s="36" t="n">
        <v>0.7</v>
      </c>
      <c r="Z492" s="36" t="inlineStr">
        <is>
          <t>sitemap-cities.xml</t>
        </is>
      </c>
      <c r="AA492" s="36" t="inlineStr">
        <is>
          <t>Live – indexable</t>
        </is>
      </c>
      <c r="AB492" s="38" t="n"/>
      <c r="AC492" s="38" t="n"/>
    </row>
    <row r="493" ht="23.85" customHeight="1" s="22">
      <c r="A493" s="36" t="inlineStr">
        <is>
          <t>P0492</t>
        </is>
      </c>
      <c r="B493" s="36" t="inlineStr">
        <is>
          <t>https://instasure.ca/condo-insurance/quebec/sherbrooke/</t>
        </is>
      </c>
      <c r="C493" s="36" t="inlineStr">
        <is>
          <t>Product × city</t>
        </is>
      </c>
      <c r="D493" s="36" t="inlineStr">
        <is>
          <t>Condo insurance</t>
        </is>
      </c>
      <c r="E493" s="36" t="inlineStr">
        <is>
          <t>Condo Insurance</t>
        </is>
      </c>
      <c r="F493" s="36" t="n"/>
      <c r="G493" s="36" t="inlineStr">
        <is>
          <t>Quebec</t>
        </is>
      </c>
      <c r="H493" s="36" t="inlineStr">
        <is>
          <t>Sherbrooke</t>
        </is>
      </c>
      <c r="I493" s="36" t="inlineStr">
        <is>
          <t>No</t>
        </is>
      </c>
      <c r="J493" s="25" t="inlineStr">
        <is>
          <t>Condo Insurance Sherbrooke, QC: Compare Quotes &amp; Costs (2026)</t>
        </is>
      </c>
      <c r="K493" s="36">
        <f>LEN(J493)</f>
        <v/>
      </c>
      <c r="L493" s="25" t="inlineStr">
        <is>
          <t>Compare condo insurance in Sherbrooke, QC: instant estimate ($20.00–$32.00/mo example), local risk factors and a waitlist for licensed advice in Quebec.</t>
        </is>
      </c>
      <c r="M493" s="36">
        <f>LEN(L493)</f>
        <v/>
      </c>
      <c r="N493" s="25" t="inlineStr">
        <is>
          <t>Condo Insurance in Sherbrooke, QC</t>
        </is>
      </c>
      <c r="O493" s="36" t="n"/>
      <c r="P493" s="37" t="n"/>
      <c r="Q493" s="36" t="n"/>
      <c r="R493" s="36" t="inlineStr">
        <is>
          <t>condo insurance sherbrooke</t>
        </is>
      </c>
      <c r="S493" s="36">
        <f>COUNTIF('Page-Keyword Map'!$A$2:$A$675,B493)</f>
        <v/>
      </c>
      <c r="T493" s="37">
        <f>SUMIF('Page-Keyword Map'!$A$2:$A$675,B493,'Page-Keyword Map'!$H$2:$H$675)</f>
        <v/>
      </c>
      <c r="U493" s="36">
        <f>COUNTIFS('Page-Keyword Map'!$A$2:$A$675,B493,'Page-Keyword Map'!$E$2:$E$675,"Nationwide")</f>
        <v/>
      </c>
      <c r="V493" s="36">
        <f>COUNTIFS('Page-Keyword Map'!$A$2:$A$675,B493,'Page-Keyword Map'!$E$2:$E$675,"Provincial")</f>
        <v/>
      </c>
      <c r="W493" s="36">
        <f>COUNTIFS('Page-Keyword Map'!$A$2:$A$675,B493,'Page-Keyword Map'!$E$2:$E$675,"City")</f>
        <v/>
      </c>
      <c r="X493" s="36">
        <f>IF(O493="","",IF(ISNUMBER(SEARCH(O493,J493)),"Yes","No"))</f>
        <v/>
      </c>
      <c r="Y493" s="36" t="n">
        <v>0.5</v>
      </c>
      <c r="Z493" s="36" t="inlineStr">
        <is>
          <t>(not listed: noindex)</t>
        </is>
      </c>
      <c r="AA493" s="36" t="inlineStr">
        <is>
          <t>Live – noindex (enrich before indexing)</t>
        </is>
      </c>
      <c r="AB493" s="38" t="n"/>
      <c r="AC493" s="38" t="n"/>
    </row>
    <row r="494" ht="23.85" customHeight="1" s="22">
      <c r="A494" s="36" t="inlineStr">
        <is>
          <t>P0493</t>
        </is>
      </c>
      <c r="B494" s="36" t="inlineStr">
        <is>
          <t>https://instasure.ca/condo-insurance/saskatchewan/regina/</t>
        </is>
      </c>
      <c r="C494" s="36" t="inlineStr">
        <is>
          <t>Product × city</t>
        </is>
      </c>
      <c r="D494" s="36" t="inlineStr">
        <is>
          <t>Condo insurance</t>
        </is>
      </c>
      <c r="E494" s="36" t="inlineStr">
        <is>
          <t>Condo Insurance</t>
        </is>
      </c>
      <c r="F494" s="36" t="n"/>
      <c r="G494" s="36" t="inlineStr">
        <is>
          <t>Saskatchewan</t>
        </is>
      </c>
      <c r="H494" s="36" t="inlineStr">
        <is>
          <t>Regina</t>
        </is>
      </c>
      <c r="I494" s="36" t="inlineStr">
        <is>
          <t>Yes</t>
        </is>
      </c>
      <c r="J494" s="25" t="inlineStr">
        <is>
          <t>Condo Insurance Regina, SK: Compare Quotes &amp; Costs (2026)</t>
        </is>
      </c>
      <c r="K494" s="36">
        <f>LEN(J494)</f>
        <v/>
      </c>
      <c r="L494" s="25" t="inlineStr">
        <is>
          <t>Compare condo insurance in Regina, SK: instant estimate ($22.00–$36.00/mo example), local risk factors and advisors licensed in Saskatchewan.</t>
        </is>
      </c>
      <c r="M494" s="36">
        <f>LEN(L494)</f>
        <v/>
      </c>
      <c r="N494" s="25" t="inlineStr">
        <is>
          <t>Condo Insurance in Regina, SK</t>
        </is>
      </c>
      <c r="O494" s="36" t="inlineStr">
        <is>
          <t>condo insurance regina</t>
        </is>
      </c>
      <c r="P494" s="37" t="n">
        <v>79</v>
      </c>
      <c r="Q494" s="36" t="inlineStr">
        <is>
          <t>City</t>
        </is>
      </c>
      <c r="R494" s="36" t="n"/>
      <c r="S494" s="36">
        <f>COUNTIF('Page-Keyword Map'!$A$2:$A$675,B494)</f>
        <v/>
      </c>
      <c r="T494" s="37">
        <f>SUMIF('Page-Keyword Map'!$A$2:$A$675,B494,'Page-Keyword Map'!$H$2:$H$675)</f>
        <v/>
      </c>
      <c r="U494" s="36">
        <f>COUNTIFS('Page-Keyword Map'!$A$2:$A$675,B494,'Page-Keyword Map'!$E$2:$E$675,"Nationwide")</f>
        <v/>
      </c>
      <c r="V494" s="36">
        <f>COUNTIFS('Page-Keyword Map'!$A$2:$A$675,B494,'Page-Keyword Map'!$E$2:$E$675,"Provincial")</f>
        <v/>
      </c>
      <c r="W494" s="36">
        <f>COUNTIFS('Page-Keyword Map'!$A$2:$A$675,B494,'Page-Keyword Map'!$E$2:$E$675,"City")</f>
        <v/>
      </c>
      <c r="X494" s="36">
        <f>IF(O494="","",IF(ISNUMBER(SEARCH(O494,J494)),"Yes","No"))</f>
        <v/>
      </c>
      <c r="Y494" s="36" t="n">
        <v>0.7</v>
      </c>
      <c r="Z494" s="36" t="inlineStr">
        <is>
          <t>sitemap-cities.xml</t>
        </is>
      </c>
      <c r="AA494" s="36" t="inlineStr">
        <is>
          <t>Live – indexable</t>
        </is>
      </c>
      <c r="AB494" s="38" t="n"/>
      <c r="AC494" s="38" t="n"/>
    </row>
    <row r="495" ht="23.85" customHeight="1" s="22">
      <c r="A495" s="36" t="inlineStr">
        <is>
          <t>P0494</t>
        </is>
      </c>
      <c r="B495" s="36" t="inlineStr">
        <is>
          <t>https://instasure.ca/condo-insurance/saskatchewan/saskatoon/</t>
        </is>
      </c>
      <c r="C495" s="36" t="inlineStr">
        <is>
          <t>Product × city</t>
        </is>
      </c>
      <c r="D495" s="36" t="inlineStr">
        <is>
          <t>Condo insurance</t>
        </is>
      </c>
      <c r="E495" s="36" t="inlineStr">
        <is>
          <t>Condo Insurance</t>
        </is>
      </c>
      <c r="F495" s="36" t="n"/>
      <c r="G495" s="36" t="inlineStr">
        <is>
          <t>Saskatchewan</t>
        </is>
      </c>
      <c r="H495" s="36" t="inlineStr">
        <is>
          <t>Saskatoon</t>
        </is>
      </c>
      <c r="I495" s="36" t="inlineStr">
        <is>
          <t>Yes</t>
        </is>
      </c>
      <c r="J495" s="25" t="inlineStr">
        <is>
          <t>Condo Insurance Saskatoon, SK: Compare Quotes &amp; Costs (2026)</t>
        </is>
      </c>
      <c r="K495" s="36">
        <f>LEN(J495)</f>
        <v/>
      </c>
      <c r="L495" s="25" t="inlineStr">
        <is>
          <t>Compare condo insurance in Saskatoon, SK: instant estimate ($22.00–$36.00/mo example), local risk factors and advisors licensed in Saskatchewan.</t>
        </is>
      </c>
      <c r="M495" s="36">
        <f>LEN(L495)</f>
        <v/>
      </c>
      <c r="N495" s="25" t="inlineStr">
        <is>
          <t>Condo Insurance in Saskatoon, SK</t>
        </is>
      </c>
      <c r="O495" s="36" t="inlineStr">
        <is>
          <t>condo insurance saskatoon</t>
        </is>
      </c>
      <c r="P495" s="37" t="n">
        <v>90</v>
      </c>
      <c r="Q495" s="36" t="inlineStr">
        <is>
          <t>City</t>
        </is>
      </c>
      <c r="R495" s="36" t="n"/>
      <c r="S495" s="36">
        <f>COUNTIF('Page-Keyword Map'!$A$2:$A$675,B495)</f>
        <v/>
      </c>
      <c r="T495" s="37">
        <f>SUMIF('Page-Keyword Map'!$A$2:$A$675,B495,'Page-Keyword Map'!$H$2:$H$675)</f>
        <v/>
      </c>
      <c r="U495" s="36">
        <f>COUNTIFS('Page-Keyword Map'!$A$2:$A$675,B495,'Page-Keyword Map'!$E$2:$E$675,"Nationwide")</f>
        <v/>
      </c>
      <c r="V495" s="36">
        <f>COUNTIFS('Page-Keyword Map'!$A$2:$A$675,B495,'Page-Keyword Map'!$E$2:$E$675,"Provincial")</f>
        <v/>
      </c>
      <c r="W495" s="36">
        <f>COUNTIFS('Page-Keyword Map'!$A$2:$A$675,B495,'Page-Keyword Map'!$E$2:$E$675,"City")</f>
        <v/>
      </c>
      <c r="X495" s="36">
        <f>IF(O495="","",IF(ISNUMBER(SEARCH(O495,J495)),"Yes","No"))</f>
        <v/>
      </c>
      <c r="Y495" s="36" t="n">
        <v>0.7</v>
      </c>
      <c r="Z495" s="36" t="inlineStr">
        <is>
          <t>sitemap-cities.xml</t>
        </is>
      </c>
      <c r="AA495" s="36" t="inlineStr">
        <is>
          <t>Live – indexable</t>
        </is>
      </c>
      <c r="AB495" s="38" t="n"/>
      <c r="AC495" s="38" t="n"/>
    </row>
    <row r="496" ht="23.85" customHeight="1" s="22">
      <c r="A496" s="36" t="inlineStr">
        <is>
          <t>P0495</t>
        </is>
      </c>
      <c r="B496" s="36" t="inlineStr">
        <is>
          <t>https://instasure.ca/condo-insurance/yukon/whitehorse/</t>
        </is>
      </c>
      <c r="C496" s="36" t="inlineStr">
        <is>
          <t>Product × city</t>
        </is>
      </c>
      <c r="D496" s="36" t="inlineStr">
        <is>
          <t>Condo insurance</t>
        </is>
      </c>
      <c r="E496" s="36" t="inlineStr">
        <is>
          <t>Condo Insurance</t>
        </is>
      </c>
      <c r="F496" s="36" t="n"/>
      <c r="G496" s="36" t="inlineStr">
        <is>
          <t>Yukon</t>
        </is>
      </c>
      <c r="H496" s="36" t="inlineStr">
        <is>
          <t>Whitehorse</t>
        </is>
      </c>
      <c r="I496" s="36" t="inlineStr">
        <is>
          <t>No</t>
        </is>
      </c>
      <c r="J496" s="25" t="inlineStr">
        <is>
          <t>Condo Insurance Whitehorse, YT: Compare Quotes &amp; Costs (2026)</t>
        </is>
      </c>
      <c r="K496" s="36">
        <f>LEN(J496)</f>
        <v/>
      </c>
      <c r="L496" s="25" t="inlineStr">
        <is>
          <t>Compare condo insurance in Whitehorse, YT: instant estimate ($27.00–$43.00/mo example), local risk factors and a waitlist for licensed advice in Yukon.</t>
        </is>
      </c>
      <c r="M496" s="36">
        <f>LEN(L496)</f>
        <v/>
      </c>
      <c r="N496" s="25" t="inlineStr">
        <is>
          <t>Condo Insurance in Whitehorse, YT</t>
        </is>
      </c>
      <c r="O496" s="36" t="n"/>
      <c r="P496" s="37" t="n"/>
      <c r="Q496" s="36" t="n"/>
      <c r="R496" s="36" t="inlineStr">
        <is>
          <t>condo insurance whitehorse</t>
        </is>
      </c>
      <c r="S496" s="36">
        <f>COUNTIF('Page-Keyword Map'!$A$2:$A$675,B496)</f>
        <v/>
      </c>
      <c r="T496" s="37">
        <f>SUMIF('Page-Keyword Map'!$A$2:$A$675,B496,'Page-Keyword Map'!$H$2:$H$675)</f>
        <v/>
      </c>
      <c r="U496" s="36">
        <f>COUNTIFS('Page-Keyword Map'!$A$2:$A$675,B496,'Page-Keyword Map'!$E$2:$E$675,"Nationwide")</f>
        <v/>
      </c>
      <c r="V496" s="36">
        <f>COUNTIFS('Page-Keyword Map'!$A$2:$A$675,B496,'Page-Keyword Map'!$E$2:$E$675,"Provincial")</f>
        <v/>
      </c>
      <c r="W496" s="36">
        <f>COUNTIFS('Page-Keyword Map'!$A$2:$A$675,B496,'Page-Keyword Map'!$E$2:$E$675,"City")</f>
        <v/>
      </c>
      <c r="X496" s="36">
        <f>IF(O496="","",IF(ISNUMBER(SEARCH(O496,J496)),"Yes","No"))</f>
        <v/>
      </c>
      <c r="Y496" s="36" t="n">
        <v>0.5</v>
      </c>
      <c r="Z496" s="36" t="inlineStr">
        <is>
          <t>(not listed: noindex)</t>
        </is>
      </c>
      <c r="AA496" s="36" t="inlineStr">
        <is>
          <t>Live – noindex (enrich before indexing)</t>
        </is>
      </c>
      <c r="AB496" s="38" t="n"/>
      <c r="AC496" s="38" t="n"/>
    </row>
    <row r="497" ht="23.85" customHeight="1" s="22">
      <c r="A497" s="36" t="inlineStr">
        <is>
          <t>P0496</t>
        </is>
      </c>
      <c r="B497" s="36" t="inlineStr">
        <is>
          <t>https://instasure.ca/home-insurance/alberta/airdrie/</t>
        </is>
      </c>
      <c r="C497" s="36" t="inlineStr">
        <is>
          <t>Product × city</t>
        </is>
      </c>
      <c r="D497" s="36" t="inlineStr">
        <is>
          <t>Home insurance</t>
        </is>
      </c>
      <c r="E497" s="36" t="inlineStr">
        <is>
          <t>Home Insurance</t>
        </is>
      </c>
      <c r="F497" s="36" t="n"/>
      <c r="G497" s="36" t="inlineStr">
        <is>
          <t>Alberta</t>
        </is>
      </c>
      <c r="H497" s="36" t="inlineStr">
        <is>
          <t>Airdrie</t>
        </is>
      </c>
      <c r="I497" s="36" t="inlineStr">
        <is>
          <t>No</t>
        </is>
      </c>
      <c r="J497" s="25" t="inlineStr">
        <is>
          <t>Home Insurance Airdrie, AB: Compare Quotes &amp; Costs (2026)</t>
        </is>
      </c>
      <c r="K497" s="36">
        <f>LEN(J497)</f>
        <v/>
      </c>
      <c r="L497" s="25" t="inlineStr">
        <is>
          <t>Compare home insurance in Airdrie, AB: instant estimate ($148–$229/mo example), local risk factors and advisors licensed in Alberta.</t>
        </is>
      </c>
      <c r="M497" s="36">
        <f>LEN(L497)</f>
        <v/>
      </c>
      <c r="N497" s="25" t="inlineStr">
        <is>
          <t>Home Insurance in Airdrie, AB</t>
        </is>
      </c>
      <c r="O497" s="36" t="inlineStr">
        <is>
          <t>home insurance airdrie</t>
        </is>
      </c>
      <c r="P497" s="37" t="n">
        <v>100</v>
      </c>
      <c r="Q497" s="36" t="inlineStr">
        <is>
          <t>City</t>
        </is>
      </c>
      <c r="R497" s="36" t="n"/>
      <c r="S497" s="36">
        <f>COUNTIF('Page-Keyword Map'!$A$2:$A$675,B497)</f>
        <v/>
      </c>
      <c r="T497" s="37">
        <f>SUMIF('Page-Keyword Map'!$A$2:$A$675,B497,'Page-Keyword Map'!$H$2:$H$675)</f>
        <v/>
      </c>
      <c r="U497" s="36">
        <f>COUNTIFS('Page-Keyword Map'!$A$2:$A$675,B497,'Page-Keyword Map'!$E$2:$E$675,"Nationwide")</f>
        <v/>
      </c>
      <c r="V497" s="36">
        <f>COUNTIFS('Page-Keyword Map'!$A$2:$A$675,B497,'Page-Keyword Map'!$E$2:$E$675,"Provincial")</f>
        <v/>
      </c>
      <c r="W497" s="36">
        <f>COUNTIFS('Page-Keyword Map'!$A$2:$A$675,B497,'Page-Keyword Map'!$E$2:$E$675,"City")</f>
        <v/>
      </c>
      <c r="X497" s="36">
        <f>IF(O497="","",IF(ISNUMBER(SEARCH(O497,J497)),"Yes","No"))</f>
        <v/>
      </c>
      <c r="Y497" s="36" t="n">
        <v>0.5</v>
      </c>
      <c r="Z497" s="36" t="inlineStr">
        <is>
          <t>(not listed: noindex)</t>
        </is>
      </c>
      <c r="AA497" s="36" t="inlineStr">
        <is>
          <t>Live – noindex (enrich before indexing)</t>
        </is>
      </c>
      <c r="AB497" s="38" t="n"/>
      <c r="AC497" s="38" t="n"/>
    </row>
    <row r="498" ht="23.85" customHeight="1" s="22">
      <c r="A498" s="36" t="inlineStr">
        <is>
          <t>P0497</t>
        </is>
      </c>
      <c r="B498" s="36" t="inlineStr">
        <is>
          <t>https://instasure.ca/home-insurance/alberta/calgary/</t>
        </is>
      </c>
      <c r="C498" s="36" t="inlineStr">
        <is>
          <t>Product × city</t>
        </is>
      </c>
      <c r="D498" s="36" t="inlineStr">
        <is>
          <t>Home insurance</t>
        </is>
      </c>
      <c r="E498" s="36" t="inlineStr">
        <is>
          <t>Home Insurance</t>
        </is>
      </c>
      <c r="F498" s="36" t="n"/>
      <c r="G498" s="36" t="inlineStr">
        <is>
          <t>Alberta</t>
        </is>
      </c>
      <c r="H498" s="36" t="inlineStr">
        <is>
          <t>Calgary</t>
        </is>
      </c>
      <c r="I498" s="36" t="inlineStr">
        <is>
          <t>Yes</t>
        </is>
      </c>
      <c r="J498" s="25" t="inlineStr">
        <is>
          <t>Home Insurance Calgary, AB: Compare Quotes &amp; Costs (2026)</t>
        </is>
      </c>
      <c r="K498" s="36">
        <f>LEN(J498)</f>
        <v/>
      </c>
      <c r="L498" s="25" t="inlineStr">
        <is>
          <t>Compare home insurance in Calgary, AB: instant estimate ($158–$245/mo example), local risk factors and advisors licensed in Alberta.</t>
        </is>
      </c>
      <c r="M498" s="36">
        <f>LEN(L498)</f>
        <v/>
      </c>
      <c r="N498" s="25" t="inlineStr">
        <is>
          <t>Home Insurance in Calgary, AB</t>
        </is>
      </c>
      <c r="O498" s="36" t="inlineStr">
        <is>
          <t>home insurance calgary</t>
        </is>
      </c>
      <c r="P498" s="37" t="n">
        <v>1000</v>
      </c>
      <c r="Q498" s="36" t="inlineStr">
        <is>
          <t>City</t>
        </is>
      </c>
      <c r="R498" s="36" t="n"/>
      <c r="S498" s="36">
        <f>COUNTIF('Page-Keyword Map'!$A$2:$A$675,B498)</f>
        <v/>
      </c>
      <c r="T498" s="37">
        <f>SUMIF('Page-Keyword Map'!$A$2:$A$675,B498,'Page-Keyword Map'!$H$2:$H$675)</f>
        <v/>
      </c>
      <c r="U498" s="36">
        <f>COUNTIFS('Page-Keyword Map'!$A$2:$A$675,B498,'Page-Keyword Map'!$E$2:$E$675,"Nationwide")</f>
        <v/>
      </c>
      <c r="V498" s="36">
        <f>COUNTIFS('Page-Keyword Map'!$A$2:$A$675,B498,'Page-Keyword Map'!$E$2:$E$675,"Provincial")</f>
        <v/>
      </c>
      <c r="W498" s="36">
        <f>COUNTIFS('Page-Keyword Map'!$A$2:$A$675,B498,'Page-Keyword Map'!$E$2:$E$675,"City")</f>
        <v/>
      </c>
      <c r="X498" s="36">
        <f>IF(O498="","",IF(ISNUMBER(SEARCH(O498,J498)),"Yes","No"))</f>
        <v/>
      </c>
      <c r="Y498" s="36" t="n">
        <v>0.7</v>
      </c>
      <c r="Z498" s="36" t="inlineStr">
        <is>
          <t>sitemap-cities.xml</t>
        </is>
      </c>
      <c r="AA498" s="36" t="inlineStr">
        <is>
          <t>Live – indexable</t>
        </is>
      </c>
      <c r="AB498" s="38" t="n"/>
      <c r="AC498" s="38" t="n"/>
    </row>
    <row r="499" ht="23.85" customHeight="1" s="22">
      <c r="A499" s="36" t="inlineStr">
        <is>
          <t>P0498</t>
        </is>
      </c>
      <c r="B499" s="36" t="inlineStr">
        <is>
          <t>https://instasure.ca/home-insurance/alberta/edmonton/</t>
        </is>
      </c>
      <c r="C499" s="36" t="inlineStr">
        <is>
          <t>Product × city</t>
        </is>
      </c>
      <c r="D499" s="36" t="inlineStr">
        <is>
          <t>Home insurance</t>
        </is>
      </c>
      <c r="E499" s="36" t="inlineStr">
        <is>
          <t>Home Insurance</t>
        </is>
      </c>
      <c r="F499" s="36" t="n"/>
      <c r="G499" s="36" t="inlineStr">
        <is>
          <t>Alberta</t>
        </is>
      </c>
      <c r="H499" s="36" t="inlineStr">
        <is>
          <t>Edmonton</t>
        </is>
      </c>
      <c r="I499" s="36" t="inlineStr">
        <is>
          <t>Yes</t>
        </is>
      </c>
      <c r="J499" s="25" t="inlineStr">
        <is>
          <t>Home Insurance Edmonton, AB: Compare Quotes &amp; Costs (2026)</t>
        </is>
      </c>
      <c r="K499" s="36">
        <f>LEN(J499)</f>
        <v/>
      </c>
      <c r="L499" s="25" t="inlineStr">
        <is>
          <t>Compare home insurance in Edmonton, AB: instant estimate ($136–$210/mo example), local risk factors and advisors licensed in Alberta.</t>
        </is>
      </c>
      <c r="M499" s="36">
        <f>LEN(L499)</f>
        <v/>
      </c>
      <c r="N499" s="25" t="inlineStr">
        <is>
          <t>Home Insurance in Edmonton, AB</t>
        </is>
      </c>
      <c r="O499" s="36" t="inlineStr">
        <is>
          <t>home insurance edmonton</t>
        </is>
      </c>
      <c r="P499" s="37" t="n">
        <v>840</v>
      </c>
      <c r="Q499" s="36" t="inlineStr">
        <is>
          <t>City</t>
        </is>
      </c>
      <c r="R499" s="36" t="n"/>
      <c r="S499" s="36">
        <f>COUNTIF('Page-Keyword Map'!$A$2:$A$675,B499)</f>
        <v/>
      </c>
      <c r="T499" s="37">
        <f>SUMIF('Page-Keyword Map'!$A$2:$A$675,B499,'Page-Keyword Map'!$H$2:$H$675)</f>
        <v/>
      </c>
      <c r="U499" s="36">
        <f>COUNTIFS('Page-Keyword Map'!$A$2:$A$675,B499,'Page-Keyword Map'!$E$2:$E$675,"Nationwide")</f>
        <v/>
      </c>
      <c r="V499" s="36">
        <f>COUNTIFS('Page-Keyword Map'!$A$2:$A$675,B499,'Page-Keyword Map'!$E$2:$E$675,"Provincial")</f>
        <v/>
      </c>
      <c r="W499" s="36">
        <f>COUNTIFS('Page-Keyword Map'!$A$2:$A$675,B499,'Page-Keyword Map'!$E$2:$E$675,"City")</f>
        <v/>
      </c>
      <c r="X499" s="36">
        <f>IF(O499="","",IF(ISNUMBER(SEARCH(O499,J499)),"Yes","No"))</f>
        <v/>
      </c>
      <c r="Y499" s="36" t="n">
        <v>0.7</v>
      </c>
      <c r="Z499" s="36" t="inlineStr">
        <is>
          <t>sitemap-cities.xml</t>
        </is>
      </c>
      <c r="AA499" s="36" t="inlineStr">
        <is>
          <t>Live – indexable</t>
        </is>
      </c>
      <c r="AB499" s="38" t="n"/>
      <c r="AC499" s="38" t="n"/>
    </row>
    <row r="500" ht="23.85" customHeight="1" s="22">
      <c r="A500" s="36" t="inlineStr">
        <is>
          <t>P0499</t>
        </is>
      </c>
      <c r="B500" s="36" t="inlineStr">
        <is>
          <t>https://instasure.ca/home-insurance/alberta/lethbridge/</t>
        </is>
      </c>
      <c r="C500" s="36" t="inlineStr">
        <is>
          <t>Product × city</t>
        </is>
      </c>
      <c r="D500" s="36" t="inlineStr">
        <is>
          <t>Home insurance</t>
        </is>
      </c>
      <c r="E500" s="36" t="inlineStr">
        <is>
          <t>Home Insurance</t>
        </is>
      </c>
      <c r="F500" s="36" t="n"/>
      <c r="G500" s="36" t="inlineStr">
        <is>
          <t>Alberta</t>
        </is>
      </c>
      <c r="H500" s="36" t="inlineStr">
        <is>
          <t>Lethbridge</t>
        </is>
      </c>
      <c r="I500" s="36" t="inlineStr">
        <is>
          <t>Yes</t>
        </is>
      </c>
      <c r="J500" s="25" t="inlineStr">
        <is>
          <t>Home Insurance Lethbridge, AB: Compare Quotes &amp; Costs (2026)</t>
        </is>
      </c>
      <c r="K500" s="36">
        <f>LEN(J500)</f>
        <v/>
      </c>
      <c r="L500" s="25" t="inlineStr">
        <is>
          <t>Compare home insurance in Lethbridge, AB: instant estimate ($138–$214/mo example), local risk factors and advisors licensed in Alberta.</t>
        </is>
      </c>
      <c r="M500" s="36">
        <f>LEN(L500)</f>
        <v/>
      </c>
      <c r="N500" s="25" t="inlineStr">
        <is>
          <t>Home Insurance in Lethbridge, AB</t>
        </is>
      </c>
      <c r="O500" s="36" t="inlineStr">
        <is>
          <t>home insurance lethbridge</t>
        </is>
      </c>
      <c r="P500" s="37" t="n">
        <v>130</v>
      </c>
      <c r="Q500" s="36" t="inlineStr">
        <is>
          <t>City</t>
        </is>
      </c>
      <c r="R500" s="36" t="n"/>
      <c r="S500" s="36">
        <f>COUNTIF('Page-Keyword Map'!$A$2:$A$675,B500)</f>
        <v/>
      </c>
      <c r="T500" s="37">
        <f>SUMIF('Page-Keyword Map'!$A$2:$A$675,B500,'Page-Keyword Map'!$H$2:$H$675)</f>
        <v/>
      </c>
      <c r="U500" s="36">
        <f>COUNTIFS('Page-Keyword Map'!$A$2:$A$675,B500,'Page-Keyword Map'!$E$2:$E$675,"Nationwide")</f>
        <v/>
      </c>
      <c r="V500" s="36">
        <f>COUNTIFS('Page-Keyword Map'!$A$2:$A$675,B500,'Page-Keyword Map'!$E$2:$E$675,"Provincial")</f>
        <v/>
      </c>
      <c r="W500" s="36">
        <f>COUNTIFS('Page-Keyword Map'!$A$2:$A$675,B500,'Page-Keyword Map'!$E$2:$E$675,"City")</f>
        <v/>
      </c>
      <c r="X500" s="36">
        <f>IF(O500="","",IF(ISNUMBER(SEARCH(O500,J500)),"Yes","No"))</f>
        <v/>
      </c>
      <c r="Y500" s="36" t="n">
        <v>0.5</v>
      </c>
      <c r="Z500" s="36" t="inlineStr">
        <is>
          <t>sitemap-cities.xml</t>
        </is>
      </c>
      <c r="AA500" s="36" t="inlineStr">
        <is>
          <t>Live – indexable</t>
        </is>
      </c>
      <c r="AB500" s="38" t="n"/>
      <c r="AC500" s="38" t="n"/>
    </row>
    <row r="501" ht="23.85" customHeight="1" s="22">
      <c r="A501" s="36" t="inlineStr">
        <is>
          <t>P0500</t>
        </is>
      </c>
      <c r="B501" s="36" t="inlineStr">
        <is>
          <t>https://instasure.ca/home-insurance/alberta/red-deer/</t>
        </is>
      </c>
      <c r="C501" s="36" t="inlineStr">
        <is>
          <t>Product × city</t>
        </is>
      </c>
      <c r="D501" s="36" t="inlineStr">
        <is>
          <t>Home insurance</t>
        </is>
      </c>
      <c r="E501" s="36" t="inlineStr">
        <is>
          <t>Home Insurance</t>
        </is>
      </c>
      <c r="F501" s="36" t="n"/>
      <c r="G501" s="36" t="inlineStr">
        <is>
          <t>Alberta</t>
        </is>
      </c>
      <c r="H501" s="36" t="inlineStr">
        <is>
          <t>Red Deer</t>
        </is>
      </c>
      <c r="I501" s="36" t="inlineStr">
        <is>
          <t>Yes</t>
        </is>
      </c>
      <c r="J501" s="25" t="inlineStr">
        <is>
          <t>Home Insurance Red Deer, AB: Compare Quotes &amp; Costs (2026)</t>
        </is>
      </c>
      <c r="K501" s="36">
        <f>LEN(J501)</f>
        <v/>
      </c>
      <c r="L501" s="25" t="inlineStr">
        <is>
          <t>Compare home insurance in Red Deer, AB: instant estimate ($142–$220/mo example), local risk factors and advisors licensed in Alberta.</t>
        </is>
      </c>
      <c r="M501" s="36">
        <f>LEN(L501)</f>
        <v/>
      </c>
      <c r="N501" s="25" t="inlineStr">
        <is>
          <t>Home Insurance in Red Deer, AB</t>
        </is>
      </c>
      <c r="O501" s="36" t="inlineStr">
        <is>
          <t>home insurance red deer</t>
        </is>
      </c>
      <c r="P501" s="37" t="n">
        <v>130</v>
      </c>
      <c r="Q501" s="36" t="inlineStr">
        <is>
          <t>City</t>
        </is>
      </c>
      <c r="R501" s="36" t="n"/>
      <c r="S501" s="36">
        <f>COUNTIF('Page-Keyword Map'!$A$2:$A$675,B501)</f>
        <v/>
      </c>
      <c r="T501" s="37">
        <f>SUMIF('Page-Keyword Map'!$A$2:$A$675,B501,'Page-Keyword Map'!$H$2:$H$675)</f>
        <v/>
      </c>
      <c r="U501" s="36">
        <f>COUNTIFS('Page-Keyword Map'!$A$2:$A$675,B501,'Page-Keyword Map'!$E$2:$E$675,"Nationwide")</f>
        <v/>
      </c>
      <c r="V501" s="36">
        <f>COUNTIFS('Page-Keyword Map'!$A$2:$A$675,B501,'Page-Keyword Map'!$E$2:$E$675,"Provincial")</f>
        <v/>
      </c>
      <c r="W501" s="36">
        <f>COUNTIFS('Page-Keyword Map'!$A$2:$A$675,B501,'Page-Keyword Map'!$E$2:$E$675,"City")</f>
        <v/>
      </c>
      <c r="X501" s="36">
        <f>IF(O501="","",IF(ISNUMBER(SEARCH(O501,J501)),"Yes","No"))</f>
        <v/>
      </c>
      <c r="Y501" s="36" t="n">
        <v>0.5</v>
      </c>
      <c r="Z501" s="36" t="inlineStr">
        <is>
          <t>sitemap-cities.xml</t>
        </is>
      </c>
      <c r="AA501" s="36" t="inlineStr">
        <is>
          <t>Live – indexable</t>
        </is>
      </c>
      <c r="AB501" s="38" t="n"/>
      <c r="AC501" s="38" t="n"/>
    </row>
    <row r="502" ht="23.85" customHeight="1" s="22">
      <c r="A502" s="36" t="inlineStr">
        <is>
          <t>P0501</t>
        </is>
      </c>
      <c r="B502" s="36" t="inlineStr">
        <is>
          <t>https://instasure.ca/home-insurance/british-columbia/abbotsford/</t>
        </is>
      </c>
      <c r="C502" s="36" t="inlineStr">
        <is>
          <t>Product × city</t>
        </is>
      </c>
      <c r="D502" s="36" t="inlineStr">
        <is>
          <t>Home insurance</t>
        </is>
      </c>
      <c r="E502" s="36" t="inlineStr">
        <is>
          <t>Home Insurance</t>
        </is>
      </c>
      <c r="F502" s="36" t="n"/>
      <c r="G502" s="36" t="inlineStr">
        <is>
          <t>British Columbia</t>
        </is>
      </c>
      <c r="H502" s="36" t="inlineStr">
        <is>
          <t>Abbotsford</t>
        </is>
      </c>
      <c r="I502" s="36" t="inlineStr">
        <is>
          <t>Yes</t>
        </is>
      </c>
      <c r="J502" s="25" t="inlineStr">
        <is>
          <t>Home Insurance Abbotsford, BC: Compare Quotes &amp; Costs (2026)</t>
        </is>
      </c>
      <c r="K502" s="36">
        <f>LEN(J502)</f>
        <v/>
      </c>
      <c r="L502" s="25" t="inlineStr">
        <is>
          <t>Compare home insurance in Abbotsford, BC: instant estimate ($112–$174/mo example), local risk factors and advisors licensed in British Columbia.</t>
        </is>
      </c>
      <c r="M502" s="36">
        <f>LEN(L502)</f>
        <v/>
      </c>
      <c r="N502" s="25" t="inlineStr">
        <is>
          <t>Home Insurance in Abbotsford, BC</t>
        </is>
      </c>
      <c r="O502" s="36" t="inlineStr">
        <is>
          <t>home insurance abbotsford</t>
        </is>
      </c>
      <c r="P502" s="37" t="n">
        <v>190</v>
      </c>
      <c r="Q502" s="36" t="inlineStr">
        <is>
          <t>City</t>
        </is>
      </c>
      <c r="R502" s="36" t="n"/>
      <c r="S502" s="36">
        <f>COUNTIF('Page-Keyword Map'!$A$2:$A$675,B502)</f>
        <v/>
      </c>
      <c r="T502" s="37">
        <f>SUMIF('Page-Keyword Map'!$A$2:$A$675,B502,'Page-Keyword Map'!$H$2:$H$675)</f>
        <v/>
      </c>
      <c r="U502" s="36">
        <f>COUNTIFS('Page-Keyword Map'!$A$2:$A$675,B502,'Page-Keyword Map'!$E$2:$E$675,"Nationwide")</f>
        <v/>
      </c>
      <c r="V502" s="36">
        <f>COUNTIFS('Page-Keyword Map'!$A$2:$A$675,B502,'Page-Keyword Map'!$E$2:$E$675,"Provincial")</f>
        <v/>
      </c>
      <c r="W502" s="36">
        <f>COUNTIFS('Page-Keyword Map'!$A$2:$A$675,B502,'Page-Keyword Map'!$E$2:$E$675,"City")</f>
        <v/>
      </c>
      <c r="X502" s="36">
        <f>IF(O502="","",IF(ISNUMBER(SEARCH(O502,J502)),"Yes","No"))</f>
        <v/>
      </c>
      <c r="Y502" s="36" t="n">
        <v>0.5</v>
      </c>
      <c r="Z502" s="36" t="inlineStr">
        <is>
          <t>sitemap-cities.xml</t>
        </is>
      </c>
      <c r="AA502" s="36" t="inlineStr">
        <is>
          <t>Live – indexable</t>
        </is>
      </c>
      <c r="AB502" s="38" t="n"/>
      <c r="AC502" s="38" t="n"/>
    </row>
    <row r="503" ht="23.85" customHeight="1" s="22">
      <c r="A503" s="36" t="inlineStr">
        <is>
          <t>P0502</t>
        </is>
      </c>
      <c r="B503" s="36" t="inlineStr">
        <is>
          <t>https://instasure.ca/home-insurance/british-columbia/burnaby/</t>
        </is>
      </c>
      <c r="C503" s="36" t="inlineStr">
        <is>
          <t>Product × city</t>
        </is>
      </c>
      <c r="D503" s="36" t="inlineStr">
        <is>
          <t>Home insurance</t>
        </is>
      </c>
      <c r="E503" s="36" t="inlineStr">
        <is>
          <t>Home Insurance</t>
        </is>
      </c>
      <c r="F503" s="36" t="n"/>
      <c r="G503" s="36" t="inlineStr">
        <is>
          <t>British Columbia</t>
        </is>
      </c>
      <c r="H503" s="36" t="inlineStr">
        <is>
          <t>Burnaby</t>
        </is>
      </c>
      <c r="I503" s="36" t="inlineStr">
        <is>
          <t>Yes</t>
        </is>
      </c>
      <c r="J503" s="25" t="inlineStr">
        <is>
          <t>Home Insurance Burnaby, BC: Compare Quotes &amp; Costs (2026)</t>
        </is>
      </c>
      <c r="K503" s="36">
        <f>LEN(J503)</f>
        <v/>
      </c>
      <c r="L503" s="25" t="inlineStr">
        <is>
          <t>Compare home insurance in Burnaby, BC: instant estimate ($100–$155/mo example), local risk factors and advisors licensed in British Columbia.</t>
        </is>
      </c>
      <c r="M503" s="36">
        <f>LEN(L503)</f>
        <v/>
      </c>
      <c r="N503" s="25" t="inlineStr">
        <is>
          <t>Home Insurance in Burnaby, BC</t>
        </is>
      </c>
      <c r="O503" s="36" t="inlineStr">
        <is>
          <t>home insurance burnaby</t>
        </is>
      </c>
      <c r="P503" s="37" t="n">
        <v>270</v>
      </c>
      <c r="Q503" s="36" t="inlineStr">
        <is>
          <t>City</t>
        </is>
      </c>
      <c r="R503" s="36" t="n"/>
      <c r="S503" s="36">
        <f>COUNTIF('Page-Keyword Map'!$A$2:$A$675,B503)</f>
        <v/>
      </c>
      <c r="T503" s="37">
        <f>SUMIF('Page-Keyword Map'!$A$2:$A$675,B503,'Page-Keyword Map'!$H$2:$H$675)</f>
        <v/>
      </c>
      <c r="U503" s="36">
        <f>COUNTIFS('Page-Keyword Map'!$A$2:$A$675,B503,'Page-Keyword Map'!$E$2:$E$675,"Nationwide")</f>
        <v/>
      </c>
      <c r="V503" s="36">
        <f>COUNTIFS('Page-Keyword Map'!$A$2:$A$675,B503,'Page-Keyword Map'!$E$2:$E$675,"Provincial")</f>
        <v/>
      </c>
      <c r="W503" s="36">
        <f>COUNTIFS('Page-Keyword Map'!$A$2:$A$675,B503,'Page-Keyword Map'!$E$2:$E$675,"City")</f>
        <v/>
      </c>
      <c r="X503" s="36">
        <f>IF(O503="","",IF(ISNUMBER(SEARCH(O503,J503)),"Yes","No"))</f>
        <v/>
      </c>
      <c r="Y503" s="36" t="n">
        <v>0.7</v>
      </c>
      <c r="Z503" s="36" t="inlineStr">
        <is>
          <t>sitemap-cities.xml</t>
        </is>
      </c>
      <c r="AA503" s="36" t="inlineStr">
        <is>
          <t>Live – indexable</t>
        </is>
      </c>
      <c r="AB503" s="38" t="n"/>
      <c r="AC503" s="38" t="n"/>
    </row>
    <row r="504" ht="23.85" customHeight="1" s="22">
      <c r="A504" s="36" t="inlineStr">
        <is>
          <t>P0503</t>
        </is>
      </c>
      <c r="B504" s="36" t="inlineStr">
        <is>
          <t>https://instasure.ca/home-insurance/british-columbia/coquitlam/</t>
        </is>
      </c>
      <c r="C504" s="36" t="inlineStr">
        <is>
          <t>Product × city</t>
        </is>
      </c>
      <c r="D504" s="36" t="inlineStr">
        <is>
          <t>Home insurance</t>
        </is>
      </c>
      <c r="E504" s="36" t="inlineStr">
        <is>
          <t>Home Insurance</t>
        </is>
      </c>
      <c r="F504" s="36" t="n"/>
      <c r="G504" s="36" t="inlineStr">
        <is>
          <t>British Columbia</t>
        </is>
      </c>
      <c r="H504" s="36" t="inlineStr">
        <is>
          <t>Coquitlam</t>
        </is>
      </c>
      <c r="I504" s="36" t="inlineStr">
        <is>
          <t>Yes</t>
        </is>
      </c>
      <c r="J504" s="25" t="inlineStr">
        <is>
          <t>Home Insurance Coquitlam, BC: Compare Quotes &amp; Costs (2026)</t>
        </is>
      </c>
      <c r="K504" s="36">
        <f>LEN(J504)</f>
        <v/>
      </c>
      <c r="L504" s="25" t="inlineStr">
        <is>
          <t>Compare home insurance in Coquitlam, BC: instant estimate ($100–$155/mo example), local risk factors and advisors licensed in British Columbia.</t>
        </is>
      </c>
      <c r="M504" s="36">
        <f>LEN(L504)</f>
        <v/>
      </c>
      <c r="N504" s="25" t="inlineStr">
        <is>
          <t>Home Insurance in Coquitlam, BC</t>
        </is>
      </c>
      <c r="O504" s="36" t="inlineStr">
        <is>
          <t>home insurance coquitlam</t>
        </is>
      </c>
      <c r="P504" s="37" t="n">
        <v>180</v>
      </c>
      <c r="Q504" s="36" t="inlineStr">
        <is>
          <t>City</t>
        </is>
      </c>
      <c r="R504" s="36" t="n"/>
      <c r="S504" s="36">
        <f>COUNTIF('Page-Keyword Map'!$A$2:$A$675,B504)</f>
        <v/>
      </c>
      <c r="T504" s="37">
        <f>SUMIF('Page-Keyword Map'!$A$2:$A$675,B504,'Page-Keyword Map'!$H$2:$H$675)</f>
        <v/>
      </c>
      <c r="U504" s="36">
        <f>COUNTIFS('Page-Keyword Map'!$A$2:$A$675,B504,'Page-Keyword Map'!$E$2:$E$675,"Nationwide")</f>
        <v/>
      </c>
      <c r="V504" s="36">
        <f>COUNTIFS('Page-Keyword Map'!$A$2:$A$675,B504,'Page-Keyword Map'!$E$2:$E$675,"Provincial")</f>
        <v/>
      </c>
      <c r="W504" s="36">
        <f>COUNTIFS('Page-Keyword Map'!$A$2:$A$675,B504,'Page-Keyword Map'!$E$2:$E$675,"City")</f>
        <v/>
      </c>
      <c r="X504" s="36">
        <f>IF(O504="","",IF(ISNUMBER(SEARCH(O504,J504)),"Yes","No"))</f>
        <v/>
      </c>
      <c r="Y504" s="36" t="n">
        <v>0.5</v>
      </c>
      <c r="Z504" s="36" t="inlineStr">
        <is>
          <t>sitemap-cities.xml</t>
        </is>
      </c>
      <c r="AA504" s="36" t="inlineStr">
        <is>
          <t>Live – indexable</t>
        </is>
      </c>
      <c r="AB504" s="38" t="n"/>
      <c r="AC504" s="38" t="n"/>
    </row>
    <row r="505" ht="23.85" customHeight="1" s="22">
      <c r="A505" s="36" t="inlineStr">
        <is>
          <t>P0504</t>
        </is>
      </c>
      <c r="B505" s="36" t="inlineStr">
        <is>
          <t>https://instasure.ca/home-insurance/british-columbia/kelowna/</t>
        </is>
      </c>
      <c r="C505" s="36" t="inlineStr">
        <is>
          <t>Product × city</t>
        </is>
      </c>
      <c r="D505" s="36" t="inlineStr">
        <is>
          <t>Home insurance</t>
        </is>
      </c>
      <c r="E505" s="36" t="inlineStr">
        <is>
          <t>Home Insurance</t>
        </is>
      </c>
      <c r="F505" s="36" t="n"/>
      <c r="G505" s="36" t="inlineStr">
        <is>
          <t>British Columbia</t>
        </is>
      </c>
      <c r="H505" s="36" t="inlineStr">
        <is>
          <t>Kelowna</t>
        </is>
      </c>
      <c r="I505" s="36" t="inlineStr">
        <is>
          <t>Yes</t>
        </is>
      </c>
      <c r="J505" s="25" t="inlineStr">
        <is>
          <t>Home Insurance Kelowna, BC: Compare Quotes &amp; Costs (2026)</t>
        </is>
      </c>
      <c r="K505" s="36">
        <f>LEN(J505)</f>
        <v/>
      </c>
      <c r="L505" s="25" t="inlineStr">
        <is>
          <t>Compare home insurance in Kelowna, BC: instant estimate ($100–$155/mo example), local risk factors and advisors licensed in British Columbia.</t>
        </is>
      </c>
      <c r="M505" s="36">
        <f>LEN(L505)</f>
        <v/>
      </c>
      <c r="N505" s="25" t="inlineStr">
        <is>
          <t>Home Insurance in Kelowna, BC</t>
        </is>
      </c>
      <c r="O505" s="36" t="inlineStr">
        <is>
          <t>home insurance kelowna</t>
        </is>
      </c>
      <c r="P505" s="37" t="n">
        <v>180</v>
      </c>
      <c r="Q505" s="36" t="inlineStr">
        <is>
          <t>City</t>
        </is>
      </c>
      <c r="R505" s="36" t="n"/>
      <c r="S505" s="36">
        <f>COUNTIF('Page-Keyword Map'!$A$2:$A$675,B505)</f>
        <v/>
      </c>
      <c r="T505" s="37">
        <f>SUMIF('Page-Keyword Map'!$A$2:$A$675,B505,'Page-Keyword Map'!$H$2:$H$675)</f>
        <v/>
      </c>
      <c r="U505" s="36">
        <f>COUNTIFS('Page-Keyword Map'!$A$2:$A$675,B505,'Page-Keyword Map'!$E$2:$E$675,"Nationwide")</f>
        <v/>
      </c>
      <c r="V505" s="36">
        <f>COUNTIFS('Page-Keyword Map'!$A$2:$A$675,B505,'Page-Keyword Map'!$E$2:$E$675,"Provincial")</f>
        <v/>
      </c>
      <c r="W505" s="36">
        <f>COUNTIFS('Page-Keyword Map'!$A$2:$A$675,B505,'Page-Keyword Map'!$E$2:$E$675,"City")</f>
        <v/>
      </c>
      <c r="X505" s="36">
        <f>IF(O505="","",IF(ISNUMBER(SEARCH(O505,J505)),"Yes","No"))</f>
        <v/>
      </c>
      <c r="Y505" s="36" t="n">
        <v>0.7</v>
      </c>
      <c r="Z505" s="36" t="inlineStr">
        <is>
          <t>sitemap-cities.xml</t>
        </is>
      </c>
      <c r="AA505" s="36" t="inlineStr">
        <is>
          <t>Live – indexable</t>
        </is>
      </c>
      <c r="AB505" s="38" t="n"/>
      <c r="AC505" s="38" t="n"/>
    </row>
    <row r="506" ht="23.85" customHeight="1" s="22">
      <c r="A506" s="36" t="inlineStr">
        <is>
          <t>P0505</t>
        </is>
      </c>
      <c r="B506" s="36" t="inlineStr">
        <is>
          <t>https://instasure.ca/home-insurance/british-columbia/langley/</t>
        </is>
      </c>
      <c r="C506" s="36" t="inlineStr">
        <is>
          <t>Product × city</t>
        </is>
      </c>
      <c r="D506" s="36" t="inlineStr">
        <is>
          <t>Home insurance</t>
        </is>
      </c>
      <c r="E506" s="36" t="inlineStr">
        <is>
          <t>Home Insurance</t>
        </is>
      </c>
      <c r="F506" s="36" t="n"/>
      <c r="G506" s="36" t="inlineStr">
        <is>
          <t>British Columbia</t>
        </is>
      </c>
      <c r="H506" s="36" t="inlineStr">
        <is>
          <t>Langley</t>
        </is>
      </c>
      <c r="I506" s="36" t="inlineStr">
        <is>
          <t>No</t>
        </is>
      </c>
      <c r="J506" s="25" t="inlineStr">
        <is>
          <t>Home Insurance Langley, BC: Compare Quotes &amp; Costs (2026)</t>
        </is>
      </c>
      <c r="K506" s="36">
        <f>LEN(J506)</f>
        <v/>
      </c>
      <c r="L506" s="25" t="inlineStr">
        <is>
          <t>Compare home insurance in Langley, BC: instant estimate ($100–$155/mo example), local risk factors and advisors licensed in British Columbia.</t>
        </is>
      </c>
      <c r="M506" s="36">
        <f>LEN(L506)</f>
        <v/>
      </c>
      <c r="N506" s="25" t="inlineStr">
        <is>
          <t>Home Insurance in Langley, BC</t>
        </is>
      </c>
      <c r="O506" s="36" t="inlineStr">
        <is>
          <t>home insurance langley</t>
        </is>
      </c>
      <c r="P506" s="37" t="n">
        <v>170</v>
      </c>
      <c r="Q506" s="36" t="inlineStr">
        <is>
          <t>City</t>
        </is>
      </c>
      <c r="R506" s="36" t="n"/>
      <c r="S506" s="36">
        <f>COUNTIF('Page-Keyword Map'!$A$2:$A$675,B506)</f>
        <v/>
      </c>
      <c r="T506" s="37">
        <f>SUMIF('Page-Keyword Map'!$A$2:$A$675,B506,'Page-Keyword Map'!$H$2:$H$675)</f>
        <v/>
      </c>
      <c r="U506" s="36">
        <f>COUNTIFS('Page-Keyword Map'!$A$2:$A$675,B506,'Page-Keyword Map'!$E$2:$E$675,"Nationwide")</f>
        <v/>
      </c>
      <c r="V506" s="36">
        <f>COUNTIFS('Page-Keyword Map'!$A$2:$A$675,B506,'Page-Keyword Map'!$E$2:$E$675,"Provincial")</f>
        <v/>
      </c>
      <c r="W506" s="36">
        <f>COUNTIFS('Page-Keyword Map'!$A$2:$A$675,B506,'Page-Keyword Map'!$E$2:$E$675,"City")</f>
        <v/>
      </c>
      <c r="X506" s="36">
        <f>IF(O506="","",IF(ISNUMBER(SEARCH(O506,J506)),"Yes","No"))</f>
        <v/>
      </c>
      <c r="Y506" s="36" t="n">
        <v>0.5</v>
      </c>
      <c r="Z506" s="36" t="inlineStr">
        <is>
          <t>(not listed: noindex)</t>
        </is>
      </c>
      <c r="AA506" s="36" t="inlineStr">
        <is>
          <t>Live – noindex (enrich before indexing)</t>
        </is>
      </c>
      <c r="AB506" s="38" t="n"/>
      <c r="AC506" s="38" t="n"/>
    </row>
    <row r="507" ht="23.85" customHeight="1" s="22">
      <c r="A507" s="36" t="inlineStr">
        <is>
          <t>P0506</t>
        </is>
      </c>
      <c r="B507" s="36" t="inlineStr">
        <is>
          <t>https://instasure.ca/home-insurance/british-columbia/richmond/</t>
        </is>
      </c>
      <c r="C507" s="36" t="inlineStr">
        <is>
          <t>Product × city</t>
        </is>
      </c>
      <c r="D507" s="36" t="inlineStr">
        <is>
          <t>Home insurance</t>
        </is>
      </c>
      <c r="E507" s="36" t="inlineStr">
        <is>
          <t>Home Insurance</t>
        </is>
      </c>
      <c r="F507" s="36" t="n"/>
      <c r="G507" s="36" t="inlineStr">
        <is>
          <t>British Columbia</t>
        </is>
      </c>
      <c r="H507" s="36" t="inlineStr">
        <is>
          <t>Richmond</t>
        </is>
      </c>
      <c r="I507" s="36" t="inlineStr">
        <is>
          <t>Yes</t>
        </is>
      </c>
      <c r="J507" s="25" t="inlineStr">
        <is>
          <t>Home Insurance Richmond, BC: Compare Quotes &amp; Costs (2026)</t>
        </is>
      </c>
      <c r="K507" s="36">
        <f>LEN(J507)</f>
        <v/>
      </c>
      <c r="L507" s="25" t="inlineStr">
        <is>
          <t>Compare home insurance in Richmond, BC: instant estimate ($106–$164/mo example), local risk factors and advisors licensed in British Columbia.</t>
        </is>
      </c>
      <c r="M507" s="36">
        <f>LEN(L507)</f>
        <v/>
      </c>
      <c r="N507" s="25" t="inlineStr">
        <is>
          <t>Home Insurance in Richmond, BC</t>
        </is>
      </c>
      <c r="O507" s="36" t="inlineStr">
        <is>
          <t>home insurance richmond bc</t>
        </is>
      </c>
      <c r="P507" s="37" t="n">
        <v>240</v>
      </c>
      <c r="Q507" s="36" t="inlineStr">
        <is>
          <t>City</t>
        </is>
      </c>
      <c r="R507" s="36" t="n"/>
      <c r="S507" s="36">
        <f>COUNTIF('Page-Keyword Map'!$A$2:$A$675,B507)</f>
        <v/>
      </c>
      <c r="T507" s="37">
        <f>SUMIF('Page-Keyword Map'!$A$2:$A$675,B507,'Page-Keyword Map'!$H$2:$H$675)</f>
        <v/>
      </c>
      <c r="U507" s="36">
        <f>COUNTIFS('Page-Keyword Map'!$A$2:$A$675,B507,'Page-Keyword Map'!$E$2:$E$675,"Nationwide")</f>
        <v/>
      </c>
      <c r="V507" s="36">
        <f>COUNTIFS('Page-Keyword Map'!$A$2:$A$675,B507,'Page-Keyword Map'!$E$2:$E$675,"Provincial")</f>
        <v/>
      </c>
      <c r="W507" s="36">
        <f>COUNTIFS('Page-Keyword Map'!$A$2:$A$675,B507,'Page-Keyword Map'!$E$2:$E$675,"City")</f>
        <v/>
      </c>
      <c r="X507" s="36">
        <f>IF(O507="","",IF(ISNUMBER(SEARCH(O507,J507)),"Yes","No"))</f>
        <v/>
      </c>
      <c r="Y507" s="36" t="n">
        <v>0.5</v>
      </c>
      <c r="Z507" s="36" t="inlineStr">
        <is>
          <t>sitemap-cities.xml</t>
        </is>
      </c>
      <c r="AA507" s="36" t="inlineStr">
        <is>
          <t>Live – indexable</t>
        </is>
      </c>
      <c r="AB507" s="38" t="n"/>
      <c r="AC507" s="38" t="n"/>
    </row>
    <row r="508" ht="23.85" customHeight="1" s="22">
      <c r="A508" s="36" t="inlineStr">
        <is>
          <t>P0507</t>
        </is>
      </c>
      <c r="B508" s="36" t="inlineStr">
        <is>
          <t>https://instasure.ca/home-insurance/british-columbia/surrey/</t>
        </is>
      </c>
      <c r="C508" s="36" t="inlineStr">
        <is>
          <t>Product × city</t>
        </is>
      </c>
      <c r="D508" s="36" t="inlineStr">
        <is>
          <t>Home insurance</t>
        </is>
      </c>
      <c r="E508" s="36" t="inlineStr">
        <is>
          <t>Home Insurance</t>
        </is>
      </c>
      <c r="F508" s="36" t="n"/>
      <c r="G508" s="36" t="inlineStr">
        <is>
          <t>British Columbia</t>
        </is>
      </c>
      <c r="H508" s="36" t="inlineStr">
        <is>
          <t>Surrey</t>
        </is>
      </c>
      <c r="I508" s="36" t="inlineStr">
        <is>
          <t>Yes</t>
        </is>
      </c>
      <c r="J508" s="25" t="inlineStr">
        <is>
          <t>Home Insurance Surrey, BC: Compare Quotes &amp; Costs (2026)</t>
        </is>
      </c>
      <c r="K508" s="36">
        <f>LEN(J508)</f>
        <v/>
      </c>
      <c r="L508" s="25" t="inlineStr">
        <is>
          <t>Compare home insurance in Surrey, BC: instant estimate ($100–$155/mo example), local risk factors and advisors licensed in British Columbia.</t>
        </is>
      </c>
      <c r="M508" s="36">
        <f>LEN(L508)</f>
        <v/>
      </c>
      <c r="N508" s="25" t="inlineStr">
        <is>
          <t>Home Insurance in Surrey, BC</t>
        </is>
      </c>
      <c r="O508" s="36" t="inlineStr">
        <is>
          <t>home insurance surrey</t>
        </is>
      </c>
      <c r="P508" s="37" t="n">
        <v>530</v>
      </c>
      <c r="Q508" s="36" t="inlineStr">
        <is>
          <t>City</t>
        </is>
      </c>
      <c r="R508" s="36" t="n"/>
      <c r="S508" s="36">
        <f>COUNTIF('Page-Keyword Map'!$A$2:$A$675,B508)</f>
        <v/>
      </c>
      <c r="T508" s="37">
        <f>SUMIF('Page-Keyword Map'!$A$2:$A$675,B508,'Page-Keyword Map'!$H$2:$H$675)</f>
        <v/>
      </c>
      <c r="U508" s="36">
        <f>COUNTIFS('Page-Keyword Map'!$A$2:$A$675,B508,'Page-Keyword Map'!$E$2:$E$675,"Nationwide")</f>
        <v/>
      </c>
      <c r="V508" s="36">
        <f>COUNTIFS('Page-Keyword Map'!$A$2:$A$675,B508,'Page-Keyword Map'!$E$2:$E$675,"Provincial")</f>
        <v/>
      </c>
      <c r="W508" s="36">
        <f>COUNTIFS('Page-Keyword Map'!$A$2:$A$675,B508,'Page-Keyword Map'!$E$2:$E$675,"City")</f>
        <v/>
      </c>
      <c r="X508" s="36">
        <f>IF(O508="","",IF(ISNUMBER(SEARCH(O508,J508)),"Yes","No"))</f>
        <v/>
      </c>
      <c r="Y508" s="36" t="n">
        <v>0.7</v>
      </c>
      <c r="Z508" s="36" t="inlineStr">
        <is>
          <t>sitemap-cities.xml</t>
        </is>
      </c>
      <c r="AA508" s="36" t="inlineStr">
        <is>
          <t>Live – indexable</t>
        </is>
      </c>
      <c r="AB508" s="38" t="n"/>
      <c r="AC508" s="38" t="n"/>
    </row>
    <row r="509" ht="23.85" customHeight="1" s="22">
      <c r="A509" s="36" t="inlineStr">
        <is>
          <t>P0508</t>
        </is>
      </c>
      <c r="B509" s="36" t="inlineStr">
        <is>
          <t>https://instasure.ca/home-insurance/british-columbia/vancouver/</t>
        </is>
      </c>
      <c r="C509" s="36" t="inlineStr">
        <is>
          <t>Product × city</t>
        </is>
      </c>
      <c r="D509" s="36" t="inlineStr">
        <is>
          <t>Home insurance</t>
        </is>
      </c>
      <c r="E509" s="36" t="inlineStr">
        <is>
          <t>Home Insurance</t>
        </is>
      </c>
      <c r="F509" s="36" t="n"/>
      <c r="G509" s="36" t="inlineStr">
        <is>
          <t>British Columbia</t>
        </is>
      </c>
      <c r="H509" s="36" t="inlineStr">
        <is>
          <t>Vancouver</t>
        </is>
      </c>
      <c r="I509" s="36" t="inlineStr">
        <is>
          <t>Yes</t>
        </is>
      </c>
      <c r="J509" s="25" t="inlineStr">
        <is>
          <t>Home Insurance Vancouver, BC: Compare Quotes &amp; Costs (2026)</t>
        </is>
      </c>
      <c r="K509" s="36">
        <f>LEN(J509)</f>
        <v/>
      </c>
      <c r="L509" s="25" t="inlineStr">
        <is>
          <t>Compare home insurance in Vancouver, BC: instant estimate ($100–$155/mo example), local risk factors and advisors licensed in British Columbia.</t>
        </is>
      </c>
      <c r="M509" s="36">
        <f>LEN(L509)</f>
        <v/>
      </c>
      <c r="N509" s="25" t="inlineStr">
        <is>
          <t>Home Insurance in Vancouver, BC</t>
        </is>
      </c>
      <c r="O509" s="36" t="inlineStr">
        <is>
          <t>home insurance vancouver</t>
        </is>
      </c>
      <c r="P509" s="37" t="n">
        <v>600</v>
      </c>
      <c r="Q509" s="36" t="inlineStr">
        <is>
          <t>City</t>
        </is>
      </c>
      <c r="R509" s="36" t="n"/>
      <c r="S509" s="36">
        <f>COUNTIF('Page-Keyword Map'!$A$2:$A$675,B509)</f>
        <v/>
      </c>
      <c r="T509" s="37">
        <f>SUMIF('Page-Keyword Map'!$A$2:$A$675,B509,'Page-Keyword Map'!$H$2:$H$675)</f>
        <v/>
      </c>
      <c r="U509" s="36">
        <f>COUNTIFS('Page-Keyword Map'!$A$2:$A$675,B509,'Page-Keyword Map'!$E$2:$E$675,"Nationwide")</f>
        <v/>
      </c>
      <c r="V509" s="36">
        <f>COUNTIFS('Page-Keyword Map'!$A$2:$A$675,B509,'Page-Keyword Map'!$E$2:$E$675,"Provincial")</f>
        <v/>
      </c>
      <c r="W509" s="36">
        <f>COUNTIFS('Page-Keyword Map'!$A$2:$A$675,B509,'Page-Keyword Map'!$E$2:$E$675,"City")</f>
        <v/>
      </c>
      <c r="X509" s="36">
        <f>IF(O509="","",IF(ISNUMBER(SEARCH(O509,J509)),"Yes","No"))</f>
        <v/>
      </c>
      <c r="Y509" s="36" t="n">
        <v>0.7</v>
      </c>
      <c r="Z509" s="36" t="inlineStr">
        <is>
          <t>sitemap-cities.xml</t>
        </is>
      </c>
      <c r="AA509" s="36" t="inlineStr">
        <is>
          <t>Live – indexable</t>
        </is>
      </c>
      <c r="AB509" s="38" t="n"/>
      <c r="AC509" s="38" t="n"/>
    </row>
    <row r="510" ht="23.85" customHeight="1" s="22">
      <c r="A510" s="36" t="inlineStr">
        <is>
          <t>P0509</t>
        </is>
      </c>
      <c r="B510" s="36" t="inlineStr">
        <is>
          <t>https://instasure.ca/home-insurance/british-columbia/victoria/</t>
        </is>
      </c>
      <c r="C510" s="36" t="inlineStr">
        <is>
          <t>Product × city</t>
        </is>
      </c>
      <c r="D510" s="36" t="inlineStr">
        <is>
          <t>Home insurance</t>
        </is>
      </c>
      <c r="E510" s="36" t="inlineStr">
        <is>
          <t>Home Insurance</t>
        </is>
      </c>
      <c r="F510" s="36" t="n"/>
      <c r="G510" s="36" t="inlineStr">
        <is>
          <t>British Columbia</t>
        </is>
      </c>
      <c r="H510" s="36" t="inlineStr">
        <is>
          <t>Victoria</t>
        </is>
      </c>
      <c r="I510" s="36" t="inlineStr">
        <is>
          <t>Yes</t>
        </is>
      </c>
      <c r="J510" s="25" t="inlineStr">
        <is>
          <t>Home Insurance Victoria, BC: Compare Quotes &amp; Costs (2026)</t>
        </is>
      </c>
      <c r="K510" s="36">
        <f>LEN(J510)</f>
        <v/>
      </c>
      <c r="L510" s="25" t="inlineStr">
        <is>
          <t>Compare home insurance in Victoria, BC: instant estimate ($100–$155/mo example), local risk factors and advisors licensed in British Columbia.</t>
        </is>
      </c>
      <c r="M510" s="36">
        <f>LEN(L510)</f>
        <v/>
      </c>
      <c r="N510" s="25" t="inlineStr">
        <is>
          <t>Home Insurance in Victoria, BC</t>
        </is>
      </c>
      <c r="O510" s="36" t="inlineStr">
        <is>
          <t>home insurance victoria</t>
        </is>
      </c>
      <c r="P510" s="37" t="n">
        <v>120</v>
      </c>
      <c r="Q510" s="36" t="inlineStr">
        <is>
          <t>City</t>
        </is>
      </c>
      <c r="R510" s="36" t="n"/>
      <c r="S510" s="36">
        <f>COUNTIF('Page-Keyword Map'!$A$2:$A$675,B510)</f>
        <v/>
      </c>
      <c r="T510" s="37">
        <f>SUMIF('Page-Keyword Map'!$A$2:$A$675,B510,'Page-Keyword Map'!$H$2:$H$675)</f>
        <v/>
      </c>
      <c r="U510" s="36">
        <f>COUNTIFS('Page-Keyword Map'!$A$2:$A$675,B510,'Page-Keyword Map'!$E$2:$E$675,"Nationwide")</f>
        <v/>
      </c>
      <c r="V510" s="36">
        <f>COUNTIFS('Page-Keyword Map'!$A$2:$A$675,B510,'Page-Keyword Map'!$E$2:$E$675,"Provincial")</f>
        <v/>
      </c>
      <c r="W510" s="36">
        <f>COUNTIFS('Page-Keyword Map'!$A$2:$A$675,B510,'Page-Keyword Map'!$E$2:$E$675,"City")</f>
        <v/>
      </c>
      <c r="X510" s="36">
        <f>IF(O510="","",IF(ISNUMBER(SEARCH(O510,J510)),"Yes","No"))</f>
        <v/>
      </c>
      <c r="Y510" s="36" t="n">
        <v>0.7</v>
      </c>
      <c r="Z510" s="36" t="inlineStr">
        <is>
          <t>sitemap-cities.xml</t>
        </is>
      </c>
      <c r="AA510" s="36" t="inlineStr">
        <is>
          <t>Live – indexable</t>
        </is>
      </c>
      <c r="AB510" s="38" t="n"/>
      <c r="AC510" s="38" t="n"/>
    </row>
    <row r="511" ht="23.85" customHeight="1" s="22">
      <c r="A511" s="36" t="inlineStr">
        <is>
          <t>P0510</t>
        </is>
      </c>
      <c r="B511" s="36" t="inlineStr">
        <is>
          <t>https://instasure.ca/home-insurance/manitoba/brandon/</t>
        </is>
      </c>
      <c r="C511" s="36" t="inlineStr">
        <is>
          <t>Product × city</t>
        </is>
      </c>
      <c r="D511" s="36" t="inlineStr">
        <is>
          <t>Home insurance</t>
        </is>
      </c>
      <c r="E511" s="36" t="inlineStr">
        <is>
          <t>Home Insurance</t>
        </is>
      </c>
      <c r="F511" s="36" t="n"/>
      <c r="G511" s="36" t="inlineStr">
        <is>
          <t>Manitoba</t>
        </is>
      </c>
      <c r="H511" s="36" t="inlineStr">
        <is>
          <t>Brandon</t>
        </is>
      </c>
      <c r="I511" s="36" t="inlineStr">
        <is>
          <t>No</t>
        </is>
      </c>
      <c r="J511" s="25" t="inlineStr">
        <is>
          <t>Home Insurance Brandon, MB: Compare Quotes &amp; Costs (2026)</t>
        </is>
      </c>
      <c r="K511" s="36">
        <f>LEN(J511)</f>
        <v/>
      </c>
      <c r="L511" s="25" t="inlineStr">
        <is>
          <t>Compare home insurance in Brandon, MB: instant estimate ($120–$186/mo example), local risk factors and advisors licensed in Manitoba.</t>
        </is>
      </c>
      <c r="M511" s="36">
        <f>LEN(L511)</f>
        <v/>
      </c>
      <c r="N511" s="25" t="inlineStr">
        <is>
          <t>Home Insurance in Brandon, MB</t>
        </is>
      </c>
      <c r="O511" s="36" t="inlineStr">
        <is>
          <t>home insurance brandon</t>
        </is>
      </c>
      <c r="P511" s="37" t="n">
        <v>78</v>
      </c>
      <c r="Q511" s="36" t="inlineStr">
        <is>
          <t>City</t>
        </is>
      </c>
      <c r="R511" s="36" t="n"/>
      <c r="S511" s="36">
        <f>COUNTIF('Page-Keyword Map'!$A$2:$A$675,B511)</f>
        <v/>
      </c>
      <c r="T511" s="37">
        <f>SUMIF('Page-Keyword Map'!$A$2:$A$675,B511,'Page-Keyword Map'!$H$2:$H$675)</f>
        <v/>
      </c>
      <c r="U511" s="36">
        <f>COUNTIFS('Page-Keyword Map'!$A$2:$A$675,B511,'Page-Keyword Map'!$E$2:$E$675,"Nationwide")</f>
        <v/>
      </c>
      <c r="V511" s="36">
        <f>COUNTIFS('Page-Keyword Map'!$A$2:$A$675,B511,'Page-Keyword Map'!$E$2:$E$675,"Provincial")</f>
        <v/>
      </c>
      <c r="W511" s="36">
        <f>COUNTIFS('Page-Keyword Map'!$A$2:$A$675,B511,'Page-Keyword Map'!$E$2:$E$675,"City")</f>
        <v/>
      </c>
      <c r="X511" s="36">
        <f>IF(O511="","",IF(ISNUMBER(SEARCH(O511,J511)),"Yes","No"))</f>
        <v/>
      </c>
      <c r="Y511" s="36" t="n">
        <v>0.5</v>
      </c>
      <c r="Z511" s="36" t="inlineStr">
        <is>
          <t>(not listed: noindex)</t>
        </is>
      </c>
      <c r="AA511" s="36" t="inlineStr">
        <is>
          <t>Live – noindex (enrich before indexing)</t>
        </is>
      </c>
      <c r="AB511" s="38" t="n"/>
      <c r="AC511" s="38" t="n"/>
    </row>
    <row r="512" ht="23.85" customHeight="1" s="22">
      <c r="A512" s="36" t="inlineStr">
        <is>
          <t>P0511</t>
        </is>
      </c>
      <c r="B512" s="36" t="inlineStr">
        <is>
          <t>https://instasure.ca/home-insurance/manitoba/winnipeg/</t>
        </is>
      </c>
      <c r="C512" s="36" t="inlineStr">
        <is>
          <t>Product × city</t>
        </is>
      </c>
      <c r="D512" s="36" t="inlineStr">
        <is>
          <t>Home insurance</t>
        </is>
      </c>
      <c r="E512" s="36" t="inlineStr">
        <is>
          <t>Home Insurance</t>
        </is>
      </c>
      <c r="F512" s="36" t="n"/>
      <c r="G512" s="36" t="inlineStr">
        <is>
          <t>Manitoba</t>
        </is>
      </c>
      <c r="H512" s="36" t="inlineStr">
        <is>
          <t>Winnipeg</t>
        </is>
      </c>
      <c r="I512" s="36" t="inlineStr">
        <is>
          <t>Yes</t>
        </is>
      </c>
      <c r="J512" s="25" t="inlineStr">
        <is>
          <t>Home Insurance Winnipeg, MB: Compare Quotes &amp; Costs (2026)</t>
        </is>
      </c>
      <c r="K512" s="36">
        <f>LEN(J512)</f>
        <v/>
      </c>
      <c r="L512" s="25" t="inlineStr">
        <is>
          <t>Compare home insurance in Winnipeg, MB: instant estimate ($126–$195/mo example), local risk factors and advisors licensed in Manitoba.</t>
        </is>
      </c>
      <c r="M512" s="36">
        <f>LEN(L512)</f>
        <v/>
      </c>
      <c r="N512" s="25" t="inlineStr">
        <is>
          <t>Home Insurance in Winnipeg, MB</t>
        </is>
      </c>
      <c r="O512" s="36" t="inlineStr">
        <is>
          <t>home insurance winnipeg</t>
        </is>
      </c>
      <c r="P512" s="37" t="n">
        <v>660</v>
      </c>
      <c r="Q512" s="36" t="inlineStr">
        <is>
          <t>City</t>
        </is>
      </c>
      <c r="R512" s="36" t="n"/>
      <c r="S512" s="36">
        <f>COUNTIF('Page-Keyword Map'!$A$2:$A$675,B512)</f>
        <v/>
      </c>
      <c r="T512" s="37">
        <f>SUMIF('Page-Keyword Map'!$A$2:$A$675,B512,'Page-Keyword Map'!$H$2:$H$675)</f>
        <v/>
      </c>
      <c r="U512" s="36">
        <f>COUNTIFS('Page-Keyword Map'!$A$2:$A$675,B512,'Page-Keyword Map'!$E$2:$E$675,"Nationwide")</f>
        <v/>
      </c>
      <c r="V512" s="36">
        <f>COUNTIFS('Page-Keyword Map'!$A$2:$A$675,B512,'Page-Keyword Map'!$E$2:$E$675,"Provincial")</f>
        <v/>
      </c>
      <c r="W512" s="36">
        <f>COUNTIFS('Page-Keyword Map'!$A$2:$A$675,B512,'Page-Keyword Map'!$E$2:$E$675,"City")</f>
        <v/>
      </c>
      <c r="X512" s="36">
        <f>IF(O512="","",IF(ISNUMBER(SEARCH(O512,J512)),"Yes","No"))</f>
        <v/>
      </c>
      <c r="Y512" s="36" t="n">
        <v>0.7</v>
      </c>
      <c r="Z512" s="36" t="inlineStr">
        <is>
          <t>sitemap-cities.xml</t>
        </is>
      </c>
      <c r="AA512" s="36" t="inlineStr">
        <is>
          <t>Live – indexable</t>
        </is>
      </c>
      <c r="AB512" s="38" t="n"/>
      <c r="AC512" s="38" t="n"/>
    </row>
    <row r="513" ht="23.85" customHeight="1" s="22">
      <c r="A513" s="36" t="inlineStr">
        <is>
          <t>P0512</t>
        </is>
      </c>
      <c r="B513" s="36" t="inlineStr">
        <is>
          <t>https://instasure.ca/home-insurance/new-brunswick/fredericton/</t>
        </is>
      </c>
      <c r="C513" s="36" t="inlineStr">
        <is>
          <t>Product × city</t>
        </is>
      </c>
      <c r="D513" s="36" t="inlineStr">
        <is>
          <t>Home insurance</t>
        </is>
      </c>
      <c r="E513" s="36" t="inlineStr">
        <is>
          <t>Home Insurance</t>
        </is>
      </c>
      <c r="F513" s="36" t="n"/>
      <c r="G513" s="36" t="inlineStr">
        <is>
          <t>New Brunswick</t>
        </is>
      </c>
      <c r="H513" s="36" t="inlineStr">
        <is>
          <t>Fredericton</t>
        </is>
      </c>
      <c r="I513" s="36" t="inlineStr">
        <is>
          <t>Yes</t>
        </is>
      </c>
      <c r="J513" s="25" t="inlineStr">
        <is>
          <t>Home Insurance Fredericton, NB: Compare Quotes &amp; Costs (2026)</t>
        </is>
      </c>
      <c r="K513" s="36">
        <f>LEN(J513)</f>
        <v/>
      </c>
      <c r="L513" s="25" t="inlineStr">
        <is>
          <t>Compare home insurance in Fredericton, NB: instant estimate ($78.00–$120/mo example), local risk factors and advisors licensed in New Brunswick.</t>
        </is>
      </c>
      <c r="M513" s="36">
        <f>LEN(L513)</f>
        <v/>
      </c>
      <c r="N513" s="25" t="inlineStr">
        <is>
          <t>Home Insurance in Fredericton, NB</t>
        </is>
      </c>
      <c r="O513" s="36" t="inlineStr">
        <is>
          <t>home insurance fredericton</t>
        </is>
      </c>
      <c r="P513" s="37" t="n">
        <v>92</v>
      </c>
      <c r="Q513" s="36" t="inlineStr">
        <is>
          <t>City</t>
        </is>
      </c>
      <c r="R513" s="36" t="n"/>
      <c r="S513" s="36">
        <f>COUNTIF('Page-Keyword Map'!$A$2:$A$675,B513)</f>
        <v/>
      </c>
      <c r="T513" s="37">
        <f>SUMIF('Page-Keyword Map'!$A$2:$A$675,B513,'Page-Keyword Map'!$H$2:$H$675)</f>
        <v/>
      </c>
      <c r="U513" s="36">
        <f>COUNTIFS('Page-Keyword Map'!$A$2:$A$675,B513,'Page-Keyword Map'!$E$2:$E$675,"Nationwide")</f>
        <v/>
      </c>
      <c r="V513" s="36">
        <f>COUNTIFS('Page-Keyword Map'!$A$2:$A$675,B513,'Page-Keyword Map'!$E$2:$E$675,"Provincial")</f>
        <v/>
      </c>
      <c r="W513" s="36">
        <f>COUNTIFS('Page-Keyword Map'!$A$2:$A$675,B513,'Page-Keyword Map'!$E$2:$E$675,"City")</f>
        <v/>
      </c>
      <c r="X513" s="36">
        <f>IF(O513="","",IF(ISNUMBER(SEARCH(O513,J513)),"Yes","No"))</f>
        <v/>
      </c>
      <c r="Y513" s="36" t="n">
        <v>0.5</v>
      </c>
      <c r="Z513" s="36" t="inlineStr">
        <is>
          <t>sitemap-cities.xml</t>
        </is>
      </c>
      <c r="AA513" s="36" t="inlineStr">
        <is>
          <t>Live – indexable</t>
        </is>
      </c>
      <c r="AB513" s="38" t="n"/>
      <c r="AC513" s="38" t="n"/>
    </row>
    <row r="514" ht="23.85" customHeight="1" s="22">
      <c r="A514" s="36" t="inlineStr">
        <is>
          <t>P0513</t>
        </is>
      </c>
      <c r="B514" s="36" t="inlineStr">
        <is>
          <t>https://instasure.ca/home-insurance/new-brunswick/moncton/</t>
        </is>
      </c>
      <c r="C514" s="36" t="inlineStr">
        <is>
          <t>Product × city</t>
        </is>
      </c>
      <c r="D514" s="36" t="inlineStr">
        <is>
          <t>Home insurance</t>
        </is>
      </c>
      <c r="E514" s="36" t="inlineStr">
        <is>
          <t>Home Insurance</t>
        </is>
      </c>
      <c r="F514" s="36" t="n"/>
      <c r="G514" s="36" t="inlineStr">
        <is>
          <t>New Brunswick</t>
        </is>
      </c>
      <c r="H514" s="36" t="inlineStr">
        <is>
          <t>Moncton</t>
        </is>
      </c>
      <c r="I514" s="36" t="inlineStr">
        <is>
          <t>Yes</t>
        </is>
      </c>
      <c r="J514" s="25" t="inlineStr">
        <is>
          <t>Home Insurance Moncton, NB: Compare Quotes &amp; Costs (2026)</t>
        </is>
      </c>
      <c r="K514" s="36">
        <f>LEN(J514)</f>
        <v/>
      </c>
      <c r="L514" s="25" t="inlineStr">
        <is>
          <t>Compare home insurance in Moncton, NB: instant estimate ($73.00–$114/mo example), local risk factors and advisors licensed in New Brunswick.</t>
        </is>
      </c>
      <c r="M514" s="36">
        <f>LEN(L514)</f>
        <v/>
      </c>
      <c r="N514" s="25" t="inlineStr">
        <is>
          <t>Home Insurance in Moncton, NB</t>
        </is>
      </c>
      <c r="O514" s="36" t="inlineStr">
        <is>
          <t>home insurance moncton</t>
        </is>
      </c>
      <c r="P514" s="37" t="n">
        <v>110</v>
      </c>
      <c r="Q514" s="36" t="inlineStr">
        <is>
          <t>City</t>
        </is>
      </c>
      <c r="R514" s="36" t="n"/>
      <c r="S514" s="36">
        <f>COUNTIF('Page-Keyword Map'!$A$2:$A$675,B514)</f>
        <v/>
      </c>
      <c r="T514" s="37">
        <f>SUMIF('Page-Keyword Map'!$A$2:$A$675,B514,'Page-Keyword Map'!$H$2:$H$675)</f>
        <v/>
      </c>
      <c r="U514" s="36">
        <f>COUNTIFS('Page-Keyword Map'!$A$2:$A$675,B514,'Page-Keyword Map'!$E$2:$E$675,"Nationwide")</f>
        <v/>
      </c>
      <c r="V514" s="36">
        <f>COUNTIFS('Page-Keyword Map'!$A$2:$A$675,B514,'Page-Keyword Map'!$E$2:$E$675,"Provincial")</f>
        <v/>
      </c>
      <c r="W514" s="36">
        <f>COUNTIFS('Page-Keyword Map'!$A$2:$A$675,B514,'Page-Keyword Map'!$E$2:$E$675,"City")</f>
        <v/>
      </c>
      <c r="X514" s="36">
        <f>IF(O514="","",IF(ISNUMBER(SEARCH(O514,J514)),"Yes","No"))</f>
        <v/>
      </c>
      <c r="Y514" s="36" t="n">
        <v>0.5</v>
      </c>
      <c r="Z514" s="36" t="inlineStr">
        <is>
          <t>sitemap-cities.xml</t>
        </is>
      </c>
      <c r="AA514" s="36" t="inlineStr">
        <is>
          <t>Live – indexable</t>
        </is>
      </c>
      <c r="AB514" s="38" t="n"/>
      <c r="AC514" s="38" t="n"/>
    </row>
    <row r="515" ht="23.85" customHeight="1" s="22">
      <c r="A515" s="36" t="inlineStr">
        <is>
          <t>P0514</t>
        </is>
      </c>
      <c r="B515" s="36" t="inlineStr">
        <is>
          <t>https://instasure.ca/home-insurance/new-brunswick/saint-john/</t>
        </is>
      </c>
      <c r="C515" s="36" t="inlineStr">
        <is>
          <t>Product × city</t>
        </is>
      </c>
      <c r="D515" s="36" t="inlineStr">
        <is>
          <t>Home insurance</t>
        </is>
      </c>
      <c r="E515" s="36" t="inlineStr">
        <is>
          <t>Home Insurance</t>
        </is>
      </c>
      <c r="F515" s="36" t="n"/>
      <c r="G515" s="36" t="inlineStr">
        <is>
          <t>New Brunswick</t>
        </is>
      </c>
      <c r="H515" s="36" t="inlineStr">
        <is>
          <t>Saint John</t>
        </is>
      </c>
      <c r="I515" s="36" t="inlineStr">
        <is>
          <t>Yes</t>
        </is>
      </c>
      <c r="J515" s="25" t="inlineStr">
        <is>
          <t>Home Insurance Saint John, NB: Compare Quotes &amp; Costs (2026)</t>
        </is>
      </c>
      <c r="K515" s="36">
        <f>LEN(J515)</f>
        <v/>
      </c>
      <c r="L515" s="25" t="inlineStr">
        <is>
          <t>Compare home insurance in Saint John, NB: instant estimate ($77.00–$119/mo example), local risk factors and advisors licensed in New Brunswick.</t>
        </is>
      </c>
      <c r="M515" s="36">
        <f>LEN(L515)</f>
        <v/>
      </c>
      <c r="N515" s="25" t="inlineStr">
        <is>
          <t>Home Insurance in Saint John, NB</t>
        </is>
      </c>
      <c r="O515" s="36" t="inlineStr">
        <is>
          <t>home insurance saint john</t>
        </is>
      </c>
      <c r="P515" s="37" t="n">
        <v>99</v>
      </c>
      <c r="Q515" s="36" t="inlineStr">
        <is>
          <t>City</t>
        </is>
      </c>
      <c r="R515" s="36" t="n"/>
      <c r="S515" s="36">
        <f>COUNTIF('Page-Keyword Map'!$A$2:$A$675,B515)</f>
        <v/>
      </c>
      <c r="T515" s="37">
        <f>SUMIF('Page-Keyword Map'!$A$2:$A$675,B515,'Page-Keyword Map'!$H$2:$H$675)</f>
        <v/>
      </c>
      <c r="U515" s="36">
        <f>COUNTIFS('Page-Keyword Map'!$A$2:$A$675,B515,'Page-Keyword Map'!$E$2:$E$675,"Nationwide")</f>
        <v/>
      </c>
      <c r="V515" s="36">
        <f>COUNTIFS('Page-Keyword Map'!$A$2:$A$675,B515,'Page-Keyword Map'!$E$2:$E$675,"Provincial")</f>
        <v/>
      </c>
      <c r="W515" s="36">
        <f>COUNTIFS('Page-Keyword Map'!$A$2:$A$675,B515,'Page-Keyword Map'!$E$2:$E$675,"City")</f>
        <v/>
      </c>
      <c r="X515" s="36">
        <f>IF(O515="","",IF(ISNUMBER(SEARCH(O515,J515)),"Yes","No"))</f>
        <v/>
      </c>
      <c r="Y515" s="36" t="n">
        <v>0.5</v>
      </c>
      <c r="Z515" s="36" t="inlineStr">
        <is>
          <t>sitemap-cities.xml</t>
        </is>
      </c>
      <c r="AA515" s="36" t="inlineStr">
        <is>
          <t>Live – indexable</t>
        </is>
      </c>
      <c r="AB515" s="38" t="n"/>
      <c r="AC515" s="38" t="n"/>
    </row>
    <row r="516" ht="23.85" customHeight="1" s="22">
      <c r="A516" s="36" t="inlineStr">
        <is>
          <t>P0515</t>
        </is>
      </c>
      <c r="B516" s="36" t="inlineStr">
        <is>
          <t>https://instasure.ca/home-insurance/newfoundland-and-labrador/st-johns/</t>
        </is>
      </c>
      <c r="C516" s="36" t="inlineStr">
        <is>
          <t>Product × city</t>
        </is>
      </c>
      <c r="D516" s="36" t="inlineStr">
        <is>
          <t>Home insurance</t>
        </is>
      </c>
      <c r="E516" s="36" t="inlineStr">
        <is>
          <t>Home Insurance</t>
        </is>
      </c>
      <c r="F516" s="36" t="n"/>
      <c r="G516" s="36" t="inlineStr">
        <is>
          <t>Newfoundland and Labrador</t>
        </is>
      </c>
      <c r="H516" s="36" t="inlineStr">
        <is>
          <t>St. John’s</t>
        </is>
      </c>
      <c r="I516" s="36" t="inlineStr">
        <is>
          <t>Yes</t>
        </is>
      </c>
      <c r="J516" s="25" t="inlineStr">
        <is>
          <t>Home Insurance St. John’s, NL: Compare Quotes &amp; Costs (2026)</t>
        </is>
      </c>
      <c r="K516" s="36">
        <f>LEN(J516)</f>
        <v/>
      </c>
      <c r="L516" s="25" t="inlineStr">
        <is>
          <t>Compare home insurance in St. John’s, NL: instant estimate ($80.00–$124/mo example), local risk factors and advisors licensed in Newfoundland and Labrador.</t>
        </is>
      </c>
      <c r="M516" s="36">
        <f>LEN(L516)</f>
        <v/>
      </c>
      <c r="N516" s="25" t="inlineStr">
        <is>
          <t>Home Insurance in St. John’s, NL</t>
        </is>
      </c>
      <c r="O516" s="36" t="inlineStr">
        <is>
          <t>home insurance st johns</t>
        </is>
      </c>
      <c r="P516" s="37" t="n">
        <v>140</v>
      </c>
      <c r="Q516" s="36" t="inlineStr">
        <is>
          <t>City</t>
        </is>
      </c>
      <c r="R516" s="36" t="n"/>
      <c r="S516" s="36">
        <f>COUNTIF('Page-Keyword Map'!$A$2:$A$675,B516)</f>
        <v/>
      </c>
      <c r="T516" s="37">
        <f>SUMIF('Page-Keyword Map'!$A$2:$A$675,B516,'Page-Keyword Map'!$H$2:$H$675)</f>
        <v/>
      </c>
      <c r="U516" s="36">
        <f>COUNTIFS('Page-Keyword Map'!$A$2:$A$675,B516,'Page-Keyword Map'!$E$2:$E$675,"Nationwide")</f>
        <v/>
      </c>
      <c r="V516" s="36">
        <f>COUNTIFS('Page-Keyword Map'!$A$2:$A$675,B516,'Page-Keyword Map'!$E$2:$E$675,"Provincial")</f>
        <v/>
      </c>
      <c r="W516" s="36">
        <f>COUNTIFS('Page-Keyword Map'!$A$2:$A$675,B516,'Page-Keyword Map'!$E$2:$E$675,"City")</f>
        <v/>
      </c>
      <c r="X516" s="36">
        <f>IF(O516="","",IF(ISNUMBER(SEARCH(O516,J516)),"Yes","No"))</f>
        <v/>
      </c>
      <c r="Y516" s="36" t="n">
        <v>0.7</v>
      </c>
      <c r="Z516" s="36" t="inlineStr">
        <is>
          <t>sitemap-cities.xml</t>
        </is>
      </c>
      <c r="AA516" s="36" t="inlineStr">
        <is>
          <t>Live – indexable</t>
        </is>
      </c>
      <c r="AB516" s="38" t="n"/>
      <c r="AC516" s="38" t="n"/>
    </row>
    <row r="517" ht="23.85" customHeight="1" s="22">
      <c r="A517" s="36" t="inlineStr">
        <is>
          <t>P0516</t>
        </is>
      </c>
      <c r="B517" s="36" t="inlineStr">
        <is>
          <t>https://instasure.ca/home-insurance/northwest-territories/yellowknife/</t>
        </is>
      </c>
      <c r="C517" s="36" t="inlineStr">
        <is>
          <t>Product × city</t>
        </is>
      </c>
      <c r="D517" s="36" t="inlineStr">
        <is>
          <t>Home insurance</t>
        </is>
      </c>
      <c r="E517" s="36" t="inlineStr">
        <is>
          <t>Home Insurance</t>
        </is>
      </c>
      <c r="F517" s="36" t="n"/>
      <c r="G517" s="36" t="inlineStr">
        <is>
          <t>Northwest Territories</t>
        </is>
      </c>
      <c r="H517" s="36" t="inlineStr">
        <is>
          <t>Yellowknife</t>
        </is>
      </c>
      <c r="I517" s="36" t="inlineStr">
        <is>
          <t>No</t>
        </is>
      </c>
      <c r="J517" s="25" t="inlineStr">
        <is>
          <t>Home Insurance Yellowknife, NT: Compare Quotes &amp; Costs (2026)</t>
        </is>
      </c>
      <c r="K517" s="36">
        <f>LEN(J517)</f>
        <v/>
      </c>
      <c r="L517" s="25" t="inlineStr">
        <is>
          <t>Compare home insurance in Yellowknife, NT: instant estimate ($140–$217/mo example), local risk factors and a waitlist for licensed advice in Northwest Territories.</t>
        </is>
      </c>
      <c r="M517" s="36">
        <f>LEN(L517)</f>
        <v/>
      </c>
      <c r="N517" s="25" t="inlineStr">
        <is>
          <t>Home Insurance in Yellowknife, NT</t>
        </is>
      </c>
      <c r="O517" s="36" t="n"/>
      <c r="P517" s="37" t="n"/>
      <c r="Q517" s="36" t="n"/>
      <c r="R517" s="36" t="inlineStr">
        <is>
          <t>home insurance yellowknife</t>
        </is>
      </c>
      <c r="S517" s="36">
        <f>COUNTIF('Page-Keyword Map'!$A$2:$A$675,B517)</f>
        <v/>
      </c>
      <c r="T517" s="37">
        <f>SUMIF('Page-Keyword Map'!$A$2:$A$675,B517,'Page-Keyword Map'!$H$2:$H$675)</f>
        <v/>
      </c>
      <c r="U517" s="36">
        <f>COUNTIFS('Page-Keyword Map'!$A$2:$A$675,B517,'Page-Keyword Map'!$E$2:$E$675,"Nationwide")</f>
        <v/>
      </c>
      <c r="V517" s="36">
        <f>COUNTIFS('Page-Keyword Map'!$A$2:$A$675,B517,'Page-Keyword Map'!$E$2:$E$675,"Provincial")</f>
        <v/>
      </c>
      <c r="W517" s="36">
        <f>COUNTIFS('Page-Keyword Map'!$A$2:$A$675,B517,'Page-Keyword Map'!$E$2:$E$675,"City")</f>
        <v/>
      </c>
      <c r="X517" s="36">
        <f>IF(O517="","",IF(ISNUMBER(SEARCH(O517,J517)),"Yes","No"))</f>
        <v/>
      </c>
      <c r="Y517" s="36" t="n">
        <v>0.5</v>
      </c>
      <c r="Z517" s="36" t="inlineStr">
        <is>
          <t>(not listed: noindex)</t>
        </is>
      </c>
      <c r="AA517" s="36" t="inlineStr">
        <is>
          <t>Live – noindex (enrich before indexing)</t>
        </is>
      </c>
      <c r="AB517" s="38" t="n"/>
      <c r="AC517" s="38" t="n"/>
    </row>
    <row r="518" ht="23.85" customHeight="1" s="22">
      <c r="A518" s="36" t="inlineStr">
        <is>
          <t>P0517</t>
        </is>
      </c>
      <c r="B518" s="36" t="inlineStr">
        <is>
          <t>https://instasure.ca/home-insurance/nova-scotia/halifax/</t>
        </is>
      </c>
      <c r="C518" s="36" t="inlineStr">
        <is>
          <t>Product × city</t>
        </is>
      </c>
      <c r="D518" s="36" t="inlineStr">
        <is>
          <t>Home insurance</t>
        </is>
      </c>
      <c r="E518" s="36" t="inlineStr">
        <is>
          <t>Home Insurance</t>
        </is>
      </c>
      <c r="F518" s="36" t="n"/>
      <c r="G518" s="36" t="inlineStr">
        <is>
          <t>Nova Scotia</t>
        </is>
      </c>
      <c r="H518" s="36" t="inlineStr">
        <is>
          <t>Halifax</t>
        </is>
      </c>
      <c r="I518" s="36" t="inlineStr">
        <is>
          <t>Yes</t>
        </is>
      </c>
      <c r="J518" s="25" t="inlineStr">
        <is>
          <t>Home Insurance Halifax, NS: Compare Quotes &amp; Costs (2026)</t>
        </is>
      </c>
      <c r="K518" s="36">
        <f>LEN(J518)</f>
        <v/>
      </c>
      <c r="L518" s="25" t="inlineStr">
        <is>
          <t>Compare home insurance in Halifax, NS: instant estimate ($87.00–$134/mo example), local risk factors and advisors licensed in Nova Scotia.</t>
        </is>
      </c>
      <c r="M518" s="36">
        <f>LEN(L518)</f>
        <v/>
      </c>
      <c r="N518" s="25" t="inlineStr">
        <is>
          <t>Home Insurance in Halifax, NS</t>
        </is>
      </c>
      <c r="O518" s="36" t="inlineStr">
        <is>
          <t>home insurance halifax</t>
        </is>
      </c>
      <c r="P518" s="37" t="n">
        <v>430</v>
      </c>
      <c r="Q518" s="36" t="inlineStr">
        <is>
          <t>City</t>
        </is>
      </c>
      <c r="R518" s="36" t="n"/>
      <c r="S518" s="36">
        <f>COUNTIF('Page-Keyword Map'!$A$2:$A$675,B518)</f>
        <v/>
      </c>
      <c r="T518" s="37">
        <f>SUMIF('Page-Keyword Map'!$A$2:$A$675,B518,'Page-Keyword Map'!$H$2:$H$675)</f>
        <v/>
      </c>
      <c r="U518" s="36">
        <f>COUNTIFS('Page-Keyword Map'!$A$2:$A$675,B518,'Page-Keyword Map'!$E$2:$E$675,"Nationwide")</f>
        <v/>
      </c>
      <c r="V518" s="36">
        <f>COUNTIFS('Page-Keyword Map'!$A$2:$A$675,B518,'Page-Keyword Map'!$E$2:$E$675,"Provincial")</f>
        <v/>
      </c>
      <c r="W518" s="36">
        <f>COUNTIFS('Page-Keyword Map'!$A$2:$A$675,B518,'Page-Keyword Map'!$E$2:$E$675,"City")</f>
        <v/>
      </c>
      <c r="X518" s="36">
        <f>IF(O518="","",IF(ISNUMBER(SEARCH(O518,J518)),"Yes","No"))</f>
        <v/>
      </c>
      <c r="Y518" s="36" t="n">
        <v>0.7</v>
      </c>
      <c r="Z518" s="36" t="inlineStr">
        <is>
          <t>sitemap-cities.xml</t>
        </is>
      </c>
      <c r="AA518" s="36" t="inlineStr">
        <is>
          <t>Live – indexable</t>
        </is>
      </c>
      <c r="AB518" s="38" t="n"/>
      <c r="AC518" s="38" t="n"/>
    </row>
    <row r="519" ht="23.85" customHeight="1" s="22">
      <c r="A519" s="36" t="inlineStr">
        <is>
          <t>P0518</t>
        </is>
      </c>
      <c r="B519" s="36" t="inlineStr">
        <is>
          <t>https://instasure.ca/home-insurance/ontario/ajax/</t>
        </is>
      </c>
      <c r="C519" s="36" t="inlineStr">
        <is>
          <t>Product × city</t>
        </is>
      </c>
      <c r="D519" s="36" t="inlineStr">
        <is>
          <t>Home insurance</t>
        </is>
      </c>
      <c r="E519" s="36" t="inlineStr">
        <is>
          <t>Home Insurance</t>
        </is>
      </c>
      <c r="F519" s="36" t="n"/>
      <c r="G519" s="36" t="inlineStr">
        <is>
          <t>Ontario</t>
        </is>
      </c>
      <c r="H519" s="36" t="inlineStr">
        <is>
          <t>Ajax</t>
        </is>
      </c>
      <c r="I519" s="36" t="inlineStr">
        <is>
          <t>No</t>
        </is>
      </c>
      <c r="J519" s="25" t="inlineStr">
        <is>
          <t>Home Insurance Ajax, ON: Compare Quotes &amp; Costs (2026)</t>
        </is>
      </c>
      <c r="K519" s="36">
        <f>LEN(J519)</f>
        <v/>
      </c>
      <c r="L519" s="25" t="inlineStr">
        <is>
          <t>Compare home insurance in Ajax, ON: instant estimate ($107–$165/mo example), local risk factors and advisors licensed in Ontario.</t>
        </is>
      </c>
      <c r="M519" s="36">
        <f>LEN(L519)</f>
        <v/>
      </c>
      <c r="N519" s="25" t="inlineStr">
        <is>
          <t>Home Insurance in Ajax, ON</t>
        </is>
      </c>
      <c r="O519" s="36" t="inlineStr">
        <is>
          <t>home insurance ajax</t>
        </is>
      </c>
      <c r="P519" s="37" t="n">
        <v>160</v>
      </c>
      <c r="Q519" s="36" t="inlineStr">
        <is>
          <t>City</t>
        </is>
      </c>
      <c r="R519" s="36" t="n"/>
      <c r="S519" s="36">
        <f>COUNTIF('Page-Keyword Map'!$A$2:$A$675,B519)</f>
        <v/>
      </c>
      <c r="T519" s="37">
        <f>SUMIF('Page-Keyword Map'!$A$2:$A$675,B519,'Page-Keyword Map'!$H$2:$H$675)</f>
        <v/>
      </c>
      <c r="U519" s="36">
        <f>COUNTIFS('Page-Keyword Map'!$A$2:$A$675,B519,'Page-Keyword Map'!$E$2:$E$675,"Nationwide")</f>
        <v/>
      </c>
      <c r="V519" s="36">
        <f>COUNTIFS('Page-Keyword Map'!$A$2:$A$675,B519,'Page-Keyword Map'!$E$2:$E$675,"Provincial")</f>
        <v/>
      </c>
      <c r="W519" s="36">
        <f>COUNTIFS('Page-Keyword Map'!$A$2:$A$675,B519,'Page-Keyword Map'!$E$2:$E$675,"City")</f>
        <v/>
      </c>
      <c r="X519" s="36">
        <f>IF(O519="","",IF(ISNUMBER(SEARCH(O519,J519)),"Yes","No"))</f>
        <v/>
      </c>
      <c r="Y519" s="36" t="n">
        <v>0.5</v>
      </c>
      <c r="Z519" s="36" t="inlineStr">
        <is>
          <t>(not listed: noindex)</t>
        </is>
      </c>
      <c r="AA519" s="36" t="inlineStr">
        <is>
          <t>Live – noindex (enrich before indexing)</t>
        </is>
      </c>
      <c r="AB519" s="38" t="n"/>
      <c r="AC519" s="38" t="n"/>
    </row>
    <row r="520" ht="23.85" customHeight="1" s="22">
      <c r="A520" s="36" t="inlineStr">
        <is>
          <t>P0519</t>
        </is>
      </c>
      <c r="B520" s="36" t="inlineStr">
        <is>
          <t>https://instasure.ca/home-insurance/ontario/barrie/</t>
        </is>
      </c>
      <c r="C520" s="36" t="inlineStr">
        <is>
          <t>Product × city</t>
        </is>
      </c>
      <c r="D520" s="36" t="inlineStr">
        <is>
          <t>Home insurance</t>
        </is>
      </c>
      <c r="E520" s="36" t="inlineStr">
        <is>
          <t>Home Insurance</t>
        </is>
      </c>
      <c r="F520" s="36" t="n"/>
      <c r="G520" s="36" t="inlineStr">
        <is>
          <t>Ontario</t>
        </is>
      </c>
      <c r="H520" s="36" t="inlineStr">
        <is>
          <t>Barrie</t>
        </is>
      </c>
      <c r="I520" s="36" t="inlineStr">
        <is>
          <t>Yes</t>
        </is>
      </c>
      <c r="J520" s="25" t="inlineStr">
        <is>
          <t>Home Insurance Barrie, ON: Compare Quotes &amp; Costs (2026)</t>
        </is>
      </c>
      <c r="K520" s="36">
        <f>LEN(J520)</f>
        <v/>
      </c>
      <c r="L520" s="25" t="inlineStr">
        <is>
          <t>Compare home insurance in Barrie, ON: instant estimate ($107–$165/mo example), local risk factors and advisors licensed in Ontario.</t>
        </is>
      </c>
      <c r="M520" s="36">
        <f>LEN(L520)</f>
        <v/>
      </c>
      <c r="N520" s="25" t="inlineStr">
        <is>
          <t>Home Insurance in Barrie, ON</t>
        </is>
      </c>
      <c r="O520" s="36" t="inlineStr">
        <is>
          <t>home insurance barrie</t>
        </is>
      </c>
      <c r="P520" s="37" t="n">
        <v>180</v>
      </c>
      <c r="Q520" s="36" t="inlineStr">
        <is>
          <t>City</t>
        </is>
      </c>
      <c r="R520" s="36" t="n"/>
      <c r="S520" s="36">
        <f>COUNTIF('Page-Keyword Map'!$A$2:$A$675,B520)</f>
        <v/>
      </c>
      <c r="T520" s="37">
        <f>SUMIF('Page-Keyword Map'!$A$2:$A$675,B520,'Page-Keyword Map'!$H$2:$H$675)</f>
        <v/>
      </c>
      <c r="U520" s="36">
        <f>COUNTIFS('Page-Keyword Map'!$A$2:$A$675,B520,'Page-Keyword Map'!$E$2:$E$675,"Nationwide")</f>
        <v/>
      </c>
      <c r="V520" s="36">
        <f>COUNTIFS('Page-Keyword Map'!$A$2:$A$675,B520,'Page-Keyword Map'!$E$2:$E$675,"Provincial")</f>
        <v/>
      </c>
      <c r="W520" s="36">
        <f>COUNTIFS('Page-Keyword Map'!$A$2:$A$675,B520,'Page-Keyword Map'!$E$2:$E$675,"City")</f>
        <v/>
      </c>
      <c r="X520" s="36">
        <f>IF(O520="","",IF(ISNUMBER(SEARCH(O520,J520)),"Yes","No"))</f>
        <v/>
      </c>
      <c r="Y520" s="36" t="n">
        <v>0.5</v>
      </c>
      <c r="Z520" s="36" t="inlineStr">
        <is>
          <t>sitemap-cities.xml</t>
        </is>
      </c>
      <c r="AA520" s="36" t="inlineStr">
        <is>
          <t>Live – indexable</t>
        </is>
      </c>
      <c r="AB520" s="38" t="n"/>
      <c r="AC520" s="38" t="n"/>
    </row>
    <row r="521" ht="23.85" customHeight="1" s="22">
      <c r="A521" s="36" t="inlineStr">
        <is>
          <t>P0520</t>
        </is>
      </c>
      <c r="B521" s="36" t="inlineStr">
        <is>
          <t>https://instasure.ca/home-insurance/ontario/brampton/</t>
        </is>
      </c>
      <c r="C521" s="36" t="inlineStr">
        <is>
          <t>Product × city</t>
        </is>
      </c>
      <c r="D521" s="36" t="inlineStr">
        <is>
          <t>Home insurance</t>
        </is>
      </c>
      <c r="E521" s="36" t="inlineStr">
        <is>
          <t>Home Insurance</t>
        </is>
      </c>
      <c r="F521" s="36" t="n"/>
      <c r="G521" s="36" t="inlineStr">
        <is>
          <t>Ontario</t>
        </is>
      </c>
      <c r="H521" s="36" t="inlineStr">
        <is>
          <t>Brampton</t>
        </is>
      </c>
      <c r="I521" s="36" t="inlineStr">
        <is>
          <t>Yes</t>
        </is>
      </c>
      <c r="J521" s="25" t="inlineStr">
        <is>
          <t>Home Insurance Brampton, ON: Compare Quotes &amp; Costs (2026)</t>
        </is>
      </c>
      <c r="K521" s="36">
        <f>LEN(J521)</f>
        <v/>
      </c>
      <c r="L521" s="25" t="inlineStr">
        <is>
          <t>Compare home insurance in Brampton, ON: instant estimate ($107–$165/mo example), local risk factors and advisors licensed in Ontario.</t>
        </is>
      </c>
      <c r="M521" s="36">
        <f>LEN(L521)</f>
        <v/>
      </c>
      <c r="N521" s="25" t="inlineStr">
        <is>
          <t>Home Insurance in Brampton, ON</t>
        </is>
      </c>
      <c r="O521" s="36" t="inlineStr">
        <is>
          <t>home insurance brampton</t>
        </is>
      </c>
      <c r="P521" s="37" t="n">
        <v>600</v>
      </c>
      <c r="Q521" s="36" t="inlineStr">
        <is>
          <t>City</t>
        </is>
      </c>
      <c r="R521" s="36" t="n"/>
      <c r="S521" s="36">
        <f>COUNTIF('Page-Keyword Map'!$A$2:$A$675,B521)</f>
        <v/>
      </c>
      <c r="T521" s="37">
        <f>SUMIF('Page-Keyword Map'!$A$2:$A$675,B521,'Page-Keyword Map'!$H$2:$H$675)</f>
        <v/>
      </c>
      <c r="U521" s="36">
        <f>COUNTIFS('Page-Keyword Map'!$A$2:$A$675,B521,'Page-Keyword Map'!$E$2:$E$675,"Nationwide")</f>
        <v/>
      </c>
      <c r="V521" s="36">
        <f>COUNTIFS('Page-Keyword Map'!$A$2:$A$675,B521,'Page-Keyword Map'!$E$2:$E$675,"Provincial")</f>
        <v/>
      </c>
      <c r="W521" s="36">
        <f>COUNTIFS('Page-Keyword Map'!$A$2:$A$675,B521,'Page-Keyword Map'!$E$2:$E$675,"City")</f>
        <v/>
      </c>
      <c r="X521" s="36">
        <f>IF(O521="","",IF(ISNUMBER(SEARCH(O521,J521)),"Yes","No"))</f>
        <v/>
      </c>
      <c r="Y521" s="36" t="n">
        <v>0.7</v>
      </c>
      <c r="Z521" s="36" t="inlineStr">
        <is>
          <t>sitemap-cities.xml</t>
        </is>
      </c>
      <c r="AA521" s="36" t="inlineStr">
        <is>
          <t>Live – indexable</t>
        </is>
      </c>
      <c r="AB521" s="38" t="n"/>
      <c r="AC521" s="38" t="n"/>
    </row>
    <row r="522" ht="23.85" customHeight="1" s="22">
      <c r="A522" s="36" t="inlineStr">
        <is>
          <t>P0521</t>
        </is>
      </c>
      <c r="B522" s="36" t="inlineStr">
        <is>
          <t>https://instasure.ca/home-insurance/ontario/burlington/</t>
        </is>
      </c>
      <c r="C522" s="36" t="inlineStr">
        <is>
          <t>Product × city</t>
        </is>
      </c>
      <c r="D522" s="36" t="inlineStr">
        <is>
          <t>Home insurance</t>
        </is>
      </c>
      <c r="E522" s="36" t="inlineStr">
        <is>
          <t>Home Insurance</t>
        </is>
      </c>
      <c r="F522" s="36" t="n"/>
      <c r="G522" s="36" t="inlineStr">
        <is>
          <t>Ontario</t>
        </is>
      </c>
      <c r="H522" s="36" t="inlineStr">
        <is>
          <t>Burlington</t>
        </is>
      </c>
      <c r="I522" s="36" t="inlineStr">
        <is>
          <t>Yes</t>
        </is>
      </c>
      <c r="J522" s="25" t="inlineStr">
        <is>
          <t>Home Insurance Burlington, ON: Compare Quotes &amp; Costs (2026)</t>
        </is>
      </c>
      <c r="K522" s="36">
        <f>LEN(J522)</f>
        <v/>
      </c>
      <c r="L522" s="25" t="inlineStr">
        <is>
          <t>Compare home insurance in Burlington, ON: instant estimate ($107–$165/mo example), local risk factors and advisors licensed in Ontario.</t>
        </is>
      </c>
      <c r="M522" s="36">
        <f>LEN(L522)</f>
        <v/>
      </c>
      <c r="N522" s="25" t="inlineStr">
        <is>
          <t>Home Insurance in Burlington, ON</t>
        </is>
      </c>
      <c r="O522" s="36" t="inlineStr">
        <is>
          <t>home insurance burlington</t>
        </is>
      </c>
      <c r="P522" s="37" t="n">
        <v>220</v>
      </c>
      <c r="Q522" s="36" t="inlineStr">
        <is>
          <t>City</t>
        </is>
      </c>
      <c r="R522" s="36" t="n"/>
      <c r="S522" s="36">
        <f>COUNTIF('Page-Keyword Map'!$A$2:$A$675,B522)</f>
        <v/>
      </c>
      <c r="T522" s="37">
        <f>SUMIF('Page-Keyword Map'!$A$2:$A$675,B522,'Page-Keyword Map'!$H$2:$H$675)</f>
        <v/>
      </c>
      <c r="U522" s="36">
        <f>COUNTIFS('Page-Keyword Map'!$A$2:$A$675,B522,'Page-Keyword Map'!$E$2:$E$675,"Nationwide")</f>
        <v/>
      </c>
      <c r="V522" s="36">
        <f>COUNTIFS('Page-Keyword Map'!$A$2:$A$675,B522,'Page-Keyword Map'!$E$2:$E$675,"Provincial")</f>
        <v/>
      </c>
      <c r="W522" s="36">
        <f>COUNTIFS('Page-Keyword Map'!$A$2:$A$675,B522,'Page-Keyword Map'!$E$2:$E$675,"City")</f>
        <v/>
      </c>
      <c r="X522" s="36">
        <f>IF(O522="","",IF(ISNUMBER(SEARCH(O522,J522)),"Yes","No"))</f>
        <v/>
      </c>
      <c r="Y522" s="36" t="n">
        <v>0.5</v>
      </c>
      <c r="Z522" s="36" t="inlineStr">
        <is>
          <t>sitemap-cities.xml</t>
        </is>
      </c>
      <c r="AA522" s="36" t="inlineStr">
        <is>
          <t>Live – indexable</t>
        </is>
      </c>
      <c r="AB522" s="38" t="n"/>
      <c r="AC522" s="38" t="n"/>
    </row>
    <row r="523" ht="23.85" customHeight="1" s="22">
      <c r="A523" s="36" t="inlineStr">
        <is>
          <t>P0522</t>
        </is>
      </c>
      <c r="B523" s="36" t="inlineStr">
        <is>
          <t>https://instasure.ca/home-insurance/ontario/cambridge/</t>
        </is>
      </c>
      <c r="C523" s="36" t="inlineStr">
        <is>
          <t>Product × city</t>
        </is>
      </c>
      <c r="D523" s="36" t="inlineStr">
        <is>
          <t>Home insurance</t>
        </is>
      </c>
      <c r="E523" s="36" t="inlineStr">
        <is>
          <t>Home Insurance</t>
        </is>
      </c>
      <c r="F523" s="36" t="n"/>
      <c r="G523" s="36" t="inlineStr">
        <is>
          <t>Ontario</t>
        </is>
      </c>
      <c r="H523" s="36" t="inlineStr">
        <is>
          <t>Cambridge</t>
        </is>
      </c>
      <c r="I523" s="36" t="inlineStr">
        <is>
          <t>No</t>
        </is>
      </c>
      <c r="J523" s="25" t="inlineStr">
        <is>
          <t>Home Insurance Cambridge, ON: Compare Quotes &amp; Costs (2026)</t>
        </is>
      </c>
      <c r="K523" s="36">
        <f>LEN(J523)</f>
        <v/>
      </c>
      <c r="L523" s="25" t="inlineStr">
        <is>
          <t>Compare home insurance in Cambridge, ON: instant estimate ($107–$165/mo example), local risk factors and advisors licensed in Ontario.</t>
        </is>
      </c>
      <c r="M523" s="36">
        <f>LEN(L523)</f>
        <v/>
      </c>
      <c r="N523" s="25" t="inlineStr">
        <is>
          <t>Home Insurance in Cambridge, ON</t>
        </is>
      </c>
      <c r="O523" s="36" t="inlineStr">
        <is>
          <t>home insurance cambridge</t>
        </is>
      </c>
      <c r="P523" s="37" t="n">
        <v>170</v>
      </c>
      <c r="Q523" s="36" t="inlineStr">
        <is>
          <t>City</t>
        </is>
      </c>
      <c r="R523" s="36" t="n"/>
      <c r="S523" s="36">
        <f>COUNTIF('Page-Keyword Map'!$A$2:$A$675,B523)</f>
        <v/>
      </c>
      <c r="T523" s="37">
        <f>SUMIF('Page-Keyword Map'!$A$2:$A$675,B523,'Page-Keyword Map'!$H$2:$H$675)</f>
        <v/>
      </c>
      <c r="U523" s="36">
        <f>COUNTIFS('Page-Keyword Map'!$A$2:$A$675,B523,'Page-Keyword Map'!$E$2:$E$675,"Nationwide")</f>
        <v/>
      </c>
      <c r="V523" s="36">
        <f>COUNTIFS('Page-Keyword Map'!$A$2:$A$675,B523,'Page-Keyword Map'!$E$2:$E$675,"Provincial")</f>
        <v/>
      </c>
      <c r="W523" s="36">
        <f>COUNTIFS('Page-Keyword Map'!$A$2:$A$675,B523,'Page-Keyword Map'!$E$2:$E$675,"City")</f>
        <v/>
      </c>
      <c r="X523" s="36">
        <f>IF(O523="","",IF(ISNUMBER(SEARCH(O523,J523)),"Yes","No"))</f>
        <v/>
      </c>
      <c r="Y523" s="36" t="n">
        <v>0.5</v>
      </c>
      <c r="Z523" s="36" t="inlineStr">
        <is>
          <t>(not listed: noindex)</t>
        </is>
      </c>
      <c r="AA523" s="36" t="inlineStr">
        <is>
          <t>Live – noindex (enrich before indexing)</t>
        </is>
      </c>
      <c r="AB523" s="38" t="n"/>
      <c r="AC523" s="38" t="n"/>
    </row>
    <row r="524" ht="23.85" customHeight="1" s="22">
      <c r="A524" s="36" t="inlineStr">
        <is>
          <t>P0523</t>
        </is>
      </c>
      <c r="B524" s="36" t="inlineStr">
        <is>
          <t>https://instasure.ca/home-insurance/ontario/guelph/</t>
        </is>
      </c>
      <c r="C524" s="36" t="inlineStr">
        <is>
          <t>Product × city</t>
        </is>
      </c>
      <c r="D524" s="36" t="inlineStr">
        <is>
          <t>Home insurance</t>
        </is>
      </c>
      <c r="E524" s="36" t="inlineStr">
        <is>
          <t>Home Insurance</t>
        </is>
      </c>
      <c r="F524" s="36" t="n"/>
      <c r="G524" s="36" t="inlineStr">
        <is>
          <t>Ontario</t>
        </is>
      </c>
      <c r="H524" s="36" t="inlineStr">
        <is>
          <t>Guelph</t>
        </is>
      </c>
      <c r="I524" s="36" t="inlineStr">
        <is>
          <t>Yes</t>
        </is>
      </c>
      <c r="J524" s="25" t="inlineStr">
        <is>
          <t>Home Insurance Guelph, ON: Compare Quotes &amp; Costs (2026)</t>
        </is>
      </c>
      <c r="K524" s="36">
        <f>LEN(J524)</f>
        <v/>
      </c>
      <c r="L524" s="25" t="inlineStr">
        <is>
          <t>Compare home insurance in Guelph, ON: instant estimate ($107–$165/mo example), local risk factors and advisors licensed in Ontario.</t>
        </is>
      </c>
      <c r="M524" s="36">
        <f>LEN(L524)</f>
        <v/>
      </c>
      <c r="N524" s="25" t="inlineStr">
        <is>
          <t>Home Insurance in Guelph, ON</t>
        </is>
      </c>
      <c r="O524" s="36" t="inlineStr">
        <is>
          <t>home insurance guelph</t>
        </is>
      </c>
      <c r="P524" s="37" t="n">
        <v>180</v>
      </c>
      <c r="Q524" s="36" t="inlineStr">
        <is>
          <t>City</t>
        </is>
      </c>
      <c r="R524" s="36" t="n"/>
      <c r="S524" s="36">
        <f>COUNTIF('Page-Keyword Map'!$A$2:$A$675,B524)</f>
        <v/>
      </c>
      <c r="T524" s="37">
        <f>SUMIF('Page-Keyword Map'!$A$2:$A$675,B524,'Page-Keyword Map'!$H$2:$H$675)</f>
        <v/>
      </c>
      <c r="U524" s="36">
        <f>COUNTIFS('Page-Keyword Map'!$A$2:$A$675,B524,'Page-Keyword Map'!$E$2:$E$675,"Nationwide")</f>
        <v/>
      </c>
      <c r="V524" s="36">
        <f>COUNTIFS('Page-Keyword Map'!$A$2:$A$675,B524,'Page-Keyword Map'!$E$2:$E$675,"Provincial")</f>
        <v/>
      </c>
      <c r="W524" s="36">
        <f>COUNTIFS('Page-Keyword Map'!$A$2:$A$675,B524,'Page-Keyword Map'!$E$2:$E$675,"City")</f>
        <v/>
      </c>
      <c r="X524" s="36">
        <f>IF(O524="","",IF(ISNUMBER(SEARCH(O524,J524)),"Yes","No"))</f>
        <v/>
      </c>
      <c r="Y524" s="36" t="n">
        <v>0.5</v>
      </c>
      <c r="Z524" s="36" t="inlineStr">
        <is>
          <t>sitemap-cities.xml</t>
        </is>
      </c>
      <c r="AA524" s="36" t="inlineStr">
        <is>
          <t>Live – indexable</t>
        </is>
      </c>
      <c r="AB524" s="38" t="n"/>
      <c r="AC524" s="38" t="n"/>
    </row>
    <row r="525" ht="23.85" customHeight="1" s="22">
      <c r="A525" s="36" t="inlineStr">
        <is>
          <t>P0524</t>
        </is>
      </c>
      <c r="B525" s="36" t="inlineStr">
        <is>
          <t>https://instasure.ca/home-insurance/ontario/hamilton/</t>
        </is>
      </c>
      <c r="C525" s="36" t="inlineStr">
        <is>
          <t>Product × city</t>
        </is>
      </c>
      <c r="D525" s="36" t="inlineStr">
        <is>
          <t>Home insurance</t>
        </is>
      </c>
      <c r="E525" s="36" t="inlineStr">
        <is>
          <t>Home Insurance</t>
        </is>
      </c>
      <c r="F525" s="36" t="n"/>
      <c r="G525" s="36" t="inlineStr">
        <is>
          <t>Ontario</t>
        </is>
      </c>
      <c r="H525" s="36" t="inlineStr">
        <is>
          <t>Hamilton</t>
        </is>
      </c>
      <c r="I525" s="36" t="inlineStr">
        <is>
          <t>Yes</t>
        </is>
      </c>
      <c r="J525" s="25" t="inlineStr">
        <is>
          <t>Home Insurance Hamilton, ON: Compare Quotes &amp; Costs (2026)</t>
        </is>
      </c>
      <c r="K525" s="36">
        <f>LEN(J525)</f>
        <v/>
      </c>
      <c r="L525" s="25" t="inlineStr">
        <is>
          <t>Compare home insurance in Hamilton, ON: instant estimate ($107–$165/mo example), local risk factors and advisors licensed in Ontario.</t>
        </is>
      </c>
      <c r="M525" s="36">
        <f>LEN(L525)</f>
        <v/>
      </c>
      <c r="N525" s="25" t="inlineStr">
        <is>
          <t>Home Insurance in Hamilton, ON</t>
        </is>
      </c>
      <c r="O525" s="36" t="inlineStr">
        <is>
          <t>home insurance hamilton</t>
        </is>
      </c>
      <c r="P525" s="37" t="n">
        <v>530</v>
      </c>
      <c r="Q525" s="36" t="inlineStr">
        <is>
          <t>City</t>
        </is>
      </c>
      <c r="R525" s="36" t="n"/>
      <c r="S525" s="36">
        <f>COUNTIF('Page-Keyword Map'!$A$2:$A$675,B525)</f>
        <v/>
      </c>
      <c r="T525" s="37">
        <f>SUMIF('Page-Keyword Map'!$A$2:$A$675,B525,'Page-Keyword Map'!$H$2:$H$675)</f>
        <v/>
      </c>
      <c r="U525" s="36">
        <f>COUNTIFS('Page-Keyword Map'!$A$2:$A$675,B525,'Page-Keyword Map'!$E$2:$E$675,"Nationwide")</f>
        <v/>
      </c>
      <c r="V525" s="36">
        <f>COUNTIFS('Page-Keyword Map'!$A$2:$A$675,B525,'Page-Keyword Map'!$E$2:$E$675,"Provincial")</f>
        <v/>
      </c>
      <c r="W525" s="36">
        <f>COUNTIFS('Page-Keyword Map'!$A$2:$A$675,B525,'Page-Keyword Map'!$E$2:$E$675,"City")</f>
        <v/>
      </c>
      <c r="X525" s="36">
        <f>IF(O525="","",IF(ISNUMBER(SEARCH(O525,J525)),"Yes","No"))</f>
        <v/>
      </c>
      <c r="Y525" s="36" t="n">
        <v>0.7</v>
      </c>
      <c r="Z525" s="36" t="inlineStr">
        <is>
          <t>sitemap-cities.xml</t>
        </is>
      </c>
      <c r="AA525" s="36" t="inlineStr">
        <is>
          <t>Live – indexable</t>
        </is>
      </c>
      <c r="AB525" s="38" t="n"/>
      <c r="AC525" s="38" t="n"/>
    </row>
    <row r="526" ht="23.85" customHeight="1" s="22">
      <c r="A526" s="36" t="inlineStr">
        <is>
          <t>P0525</t>
        </is>
      </c>
      <c r="B526" s="36" t="inlineStr">
        <is>
          <t>https://instasure.ca/home-insurance/ontario/kingston/</t>
        </is>
      </c>
      <c r="C526" s="36" t="inlineStr">
        <is>
          <t>Product × city</t>
        </is>
      </c>
      <c r="D526" s="36" t="inlineStr">
        <is>
          <t>Home insurance</t>
        </is>
      </c>
      <c r="E526" s="36" t="inlineStr">
        <is>
          <t>Home Insurance</t>
        </is>
      </c>
      <c r="F526" s="36" t="n"/>
      <c r="G526" s="36" t="inlineStr">
        <is>
          <t>Ontario</t>
        </is>
      </c>
      <c r="H526" s="36" t="inlineStr">
        <is>
          <t>Kingston</t>
        </is>
      </c>
      <c r="I526" s="36" t="inlineStr">
        <is>
          <t>Yes</t>
        </is>
      </c>
      <c r="J526" s="25" t="inlineStr">
        <is>
          <t>Home Insurance Kingston, ON: Compare Quotes &amp; Costs (2026)</t>
        </is>
      </c>
      <c r="K526" s="36">
        <f>LEN(J526)</f>
        <v/>
      </c>
      <c r="L526" s="25" t="inlineStr">
        <is>
          <t>Compare home insurance in Kingston, ON: instant estimate ($107–$165/mo example), local risk factors and advisors licensed in Ontario.</t>
        </is>
      </c>
      <c r="M526" s="36">
        <f>LEN(L526)</f>
        <v/>
      </c>
      <c r="N526" s="25" t="inlineStr">
        <is>
          <t>Home Insurance in Kingston, ON</t>
        </is>
      </c>
      <c r="O526" s="36" t="inlineStr">
        <is>
          <t>home insurance kingston</t>
        </is>
      </c>
      <c r="P526" s="37" t="n">
        <v>170</v>
      </c>
      <c r="Q526" s="36" t="inlineStr">
        <is>
          <t>City</t>
        </is>
      </c>
      <c r="R526" s="36" t="n"/>
      <c r="S526" s="36">
        <f>COUNTIF('Page-Keyword Map'!$A$2:$A$675,B526)</f>
        <v/>
      </c>
      <c r="T526" s="37">
        <f>SUMIF('Page-Keyword Map'!$A$2:$A$675,B526,'Page-Keyword Map'!$H$2:$H$675)</f>
        <v/>
      </c>
      <c r="U526" s="36">
        <f>COUNTIFS('Page-Keyword Map'!$A$2:$A$675,B526,'Page-Keyword Map'!$E$2:$E$675,"Nationwide")</f>
        <v/>
      </c>
      <c r="V526" s="36">
        <f>COUNTIFS('Page-Keyword Map'!$A$2:$A$675,B526,'Page-Keyword Map'!$E$2:$E$675,"Provincial")</f>
        <v/>
      </c>
      <c r="W526" s="36">
        <f>COUNTIFS('Page-Keyword Map'!$A$2:$A$675,B526,'Page-Keyword Map'!$E$2:$E$675,"City")</f>
        <v/>
      </c>
      <c r="X526" s="36">
        <f>IF(O526="","",IF(ISNUMBER(SEARCH(O526,J526)),"Yes","No"))</f>
        <v/>
      </c>
      <c r="Y526" s="36" t="n">
        <v>0.5</v>
      </c>
      <c r="Z526" s="36" t="inlineStr">
        <is>
          <t>sitemap-cities.xml</t>
        </is>
      </c>
      <c r="AA526" s="36" t="inlineStr">
        <is>
          <t>Live – indexable</t>
        </is>
      </c>
      <c r="AB526" s="38" t="n"/>
      <c r="AC526" s="38" t="n"/>
    </row>
    <row r="527" ht="23.85" customHeight="1" s="22">
      <c r="A527" s="36" t="inlineStr">
        <is>
          <t>P0526</t>
        </is>
      </c>
      <c r="B527" s="36" t="inlineStr">
        <is>
          <t>https://instasure.ca/home-insurance/ontario/kitchener/</t>
        </is>
      </c>
      <c r="C527" s="36" t="inlineStr">
        <is>
          <t>Product × city</t>
        </is>
      </c>
      <c r="D527" s="36" t="inlineStr">
        <is>
          <t>Home insurance</t>
        </is>
      </c>
      <c r="E527" s="36" t="inlineStr">
        <is>
          <t>Home Insurance</t>
        </is>
      </c>
      <c r="F527" s="36" t="n"/>
      <c r="G527" s="36" t="inlineStr">
        <is>
          <t>Ontario</t>
        </is>
      </c>
      <c r="H527" s="36" t="inlineStr">
        <is>
          <t>Kitchener</t>
        </is>
      </c>
      <c r="I527" s="36" t="inlineStr">
        <is>
          <t>Yes</t>
        </is>
      </c>
      <c r="J527" s="25" t="inlineStr">
        <is>
          <t>Home Insurance Kitchener, ON: Compare Quotes &amp; Costs (2026)</t>
        </is>
      </c>
      <c r="K527" s="36">
        <f>LEN(J527)</f>
        <v/>
      </c>
      <c r="L527" s="25" t="inlineStr">
        <is>
          <t>Compare home insurance in Kitchener, ON: instant estimate ($107–$165/mo example), local risk factors and advisors licensed in Ontario.</t>
        </is>
      </c>
      <c r="M527" s="36">
        <f>LEN(L527)</f>
        <v/>
      </c>
      <c r="N527" s="25" t="inlineStr">
        <is>
          <t>Home Insurance in Kitchener, ON</t>
        </is>
      </c>
      <c r="O527" s="36" t="inlineStr">
        <is>
          <t>home insurance kitchener</t>
        </is>
      </c>
      <c r="P527" s="37" t="n">
        <v>280</v>
      </c>
      <c r="Q527" s="36" t="inlineStr">
        <is>
          <t>City</t>
        </is>
      </c>
      <c r="R527" s="36" t="n"/>
      <c r="S527" s="36">
        <f>COUNTIF('Page-Keyword Map'!$A$2:$A$675,B527)</f>
        <v/>
      </c>
      <c r="T527" s="37">
        <f>SUMIF('Page-Keyword Map'!$A$2:$A$675,B527,'Page-Keyword Map'!$H$2:$H$675)</f>
        <v/>
      </c>
      <c r="U527" s="36">
        <f>COUNTIFS('Page-Keyword Map'!$A$2:$A$675,B527,'Page-Keyword Map'!$E$2:$E$675,"Nationwide")</f>
        <v/>
      </c>
      <c r="V527" s="36">
        <f>COUNTIFS('Page-Keyword Map'!$A$2:$A$675,B527,'Page-Keyword Map'!$E$2:$E$675,"Provincial")</f>
        <v/>
      </c>
      <c r="W527" s="36">
        <f>COUNTIFS('Page-Keyword Map'!$A$2:$A$675,B527,'Page-Keyword Map'!$E$2:$E$675,"City")</f>
        <v/>
      </c>
      <c r="X527" s="36">
        <f>IF(O527="","",IF(ISNUMBER(SEARCH(O527,J527)),"Yes","No"))</f>
        <v/>
      </c>
      <c r="Y527" s="36" t="n">
        <v>0.7</v>
      </c>
      <c r="Z527" s="36" t="inlineStr">
        <is>
          <t>sitemap-cities.xml</t>
        </is>
      </c>
      <c r="AA527" s="36" t="inlineStr">
        <is>
          <t>Live – indexable</t>
        </is>
      </c>
      <c r="AB527" s="38" t="n"/>
      <c r="AC527" s="38" t="n"/>
    </row>
    <row r="528" ht="23.85" customHeight="1" s="22">
      <c r="A528" s="36" t="inlineStr">
        <is>
          <t>P0527</t>
        </is>
      </c>
      <c r="B528" s="36" t="inlineStr">
        <is>
          <t>https://instasure.ca/home-insurance/ontario/london/</t>
        </is>
      </c>
      <c r="C528" s="36" t="inlineStr">
        <is>
          <t>Product × city</t>
        </is>
      </c>
      <c r="D528" s="36" t="inlineStr">
        <is>
          <t>Home insurance</t>
        </is>
      </c>
      <c r="E528" s="36" t="inlineStr">
        <is>
          <t>Home Insurance</t>
        </is>
      </c>
      <c r="F528" s="36" t="n"/>
      <c r="G528" s="36" t="inlineStr">
        <is>
          <t>Ontario</t>
        </is>
      </c>
      <c r="H528" s="36" t="inlineStr">
        <is>
          <t>London</t>
        </is>
      </c>
      <c r="I528" s="36" t="inlineStr">
        <is>
          <t>Yes</t>
        </is>
      </c>
      <c r="J528" s="25" t="inlineStr">
        <is>
          <t>Home Insurance London, ON: Compare Quotes &amp; Costs (2026)</t>
        </is>
      </c>
      <c r="K528" s="36">
        <f>LEN(J528)</f>
        <v/>
      </c>
      <c r="L528" s="25" t="inlineStr">
        <is>
          <t>Compare home insurance in London, ON: instant estimate ($107–$165/mo example), local risk factors and advisors licensed in Ontario.</t>
        </is>
      </c>
      <c r="M528" s="36">
        <f>LEN(L528)</f>
        <v/>
      </c>
      <c r="N528" s="25" t="inlineStr">
        <is>
          <t>Home Insurance in London, ON</t>
        </is>
      </c>
      <c r="O528" s="36" t="inlineStr">
        <is>
          <t>home insurance london ontario</t>
        </is>
      </c>
      <c r="P528" s="37" t="n">
        <v>420</v>
      </c>
      <c r="Q528" s="36" t="inlineStr">
        <is>
          <t>City</t>
        </is>
      </c>
      <c r="R528" s="36" t="n"/>
      <c r="S528" s="36">
        <f>COUNTIF('Page-Keyword Map'!$A$2:$A$675,B528)</f>
        <v/>
      </c>
      <c r="T528" s="37">
        <f>SUMIF('Page-Keyword Map'!$A$2:$A$675,B528,'Page-Keyword Map'!$H$2:$H$675)</f>
        <v/>
      </c>
      <c r="U528" s="36">
        <f>COUNTIFS('Page-Keyword Map'!$A$2:$A$675,B528,'Page-Keyword Map'!$E$2:$E$675,"Nationwide")</f>
        <v/>
      </c>
      <c r="V528" s="36">
        <f>COUNTIFS('Page-Keyword Map'!$A$2:$A$675,B528,'Page-Keyword Map'!$E$2:$E$675,"Provincial")</f>
        <v/>
      </c>
      <c r="W528" s="36">
        <f>COUNTIFS('Page-Keyword Map'!$A$2:$A$675,B528,'Page-Keyword Map'!$E$2:$E$675,"City")</f>
        <v/>
      </c>
      <c r="X528" s="36">
        <f>IF(O528="","",IF(ISNUMBER(SEARCH(O528,J528)),"Yes","No"))</f>
        <v/>
      </c>
      <c r="Y528" s="36" t="n">
        <v>0.7</v>
      </c>
      <c r="Z528" s="36" t="inlineStr">
        <is>
          <t>sitemap-cities.xml</t>
        </is>
      </c>
      <c r="AA528" s="36" t="inlineStr">
        <is>
          <t>Live – indexable</t>
        </is>
      </c>
      <c r="AB528" s="38" t="n"/>
      <c r="AC528" s="38" t="n"/>
    </row>
    <row r="529" ht="23.85" customHeight="1" s="22">
      <c r="A529" s="36" t="inlineStr">
        <is>
          <t>P0528</t>
        </is>
      </c>
      <c r="B529" s="36" t="inlineStr">
        <is>
          <t>https://instasure.ca/home-insurance/ontario/markham/</t>
        </is>
      </c>
      <c r="C529" s="36" t="inlineStr">
        <is>
          <t>Product × city</t>
        </is>
      </c>
      <c r="D529" s="36" t="inlineStr">
        <is>
          <t>Home insurance</t>
        </is>
      </c>
      <c r="E529" s="36" t="inlineStr">
        <is>
          <t>Home Insurance</t>
        </is>
      </c>
      <c r="F529" s="36" t="n"/>
      <c r="G529" s="36" t="inlineStr">
        <is>
          <t>Ontario</t>
        </is>
      </c>
      <c r="H529" s="36" t="inlineStr">
        <is>
          <t>Markham</t>
        </is>
      </c>
      <c r="I529" s="36" t="inlineStr">
        <is>
          <t>Yes</t>
        </is>
      </c>
      <c r="J529" s="25" t="inlineStr">
        <is>
          <t>Home Insurance Markham, ON: Compare Quotes &amp; Costs (2026)</t>
        </is>
      </c>
      <c r="K529" s="36">
        <f>LEN(J529)</f>
        <v/>
      </c>
      <c r="L529" s="25" t="inlineStr">
        <is>
          <t>Compare home insurance in Markham, ON: instant estimate ($107–$165/mo example), local risk factors and advisors licensed in Ontario.</t>
        </is>
      </c>
      <c r="M529" s="36">
        <f>LEN(L529)</f>
        <v/>
      </c>
      <c r="N529" s="25" t="inlineStr">
        <is>
          <t>Home Insurance in Markham, ON</t>
        </is>
      </c>
      <c r="O529" s="36" t="inlineStr">
        <is>
          <t>home insurance markham</t>
        </is>
      </c>
      <c r="P529" s="37" t="n">
        <v>350</v>
      </c>
      <c r="Q529" s="36" t="inlineStr">
        <is>
          <t>City</t>
        </is>
      </c>
      <c r="R529" s="36" t="n"/>
      <c r="S529" s="36">
        <f>COUNTIF('Page-Keyword Map'!$A$2:$A$675,B529)</f>
        <v/>
      </c>
      <c r="T529" s="37">
        <f>SUMIF('Page-Keyword Map'!$A$2:$A$675,B529,'Page-Keyword Map'!$H$2:$H$675)</f>
        <v/>
      </c>
      <c r="U529" s="36">
        <f>COUNTIFS('Page-Keyword Map'!$A$2:$A$675,B529,'Page-Keyword Map'!$E$2:$E$675,"Nationwide")</f>
        <v/>
      </c>
      <c r="V529" s="36">
        <f>COUNTIFS('Page-Keyword Map'!$A$2:$A$675,B529,'Page-Keyword Map'!$E$2:$E$675,"Provincial")</f>
        <v/>
      </c>
      <c r="W529" s="36">
        <f>COUNTIFS('Page-Keyword Map'!$A$2:$A$675,B529,'Page-Keyword Map'!$E$2:$E$675,"City")</f>
        <v/>
      </c>
      <c r="X529" s="36">
        <f>IF(O529="","",IF(ISNUMBER(SEARCH(O529,J529)),"Yes","No"))</f>
        <v/>
      </c>
      <c r="Y529" s="36" t="n">
        <v>0.7</v>
      </c>
      <c r="Z529" s="36" t="inlineStr">
        <is>
          <t>sitemap-cities.xml</t>
        </is>
      </c>
      <c r="AA529" s="36" t="inlineStr">
        <is>
          <t>Live – indexable</t>
        </is>
      </c>
      <c r="AB529" s="38" t="n"/>
      <c r="AC529" s="38" t="n"/>
    </row>
    <row r="530" ht="23.85" customHeight="1" s="22">
      <c r="A530" s="36" t="inlineStr">
        <is>
          <t>P0529</t>
        </is>
      </c>
      <c r="B530" s="36" t="inlineStr">
        <is>
          <t>https://instasure.ca/home-insurance/ontario/milton/</t>
        </is>
      </c>
      <c r="C530" s="36" t="inlineStr">
        <is>
          <t>Product × city</t>
        </is>
      </c>
      <c r="D530" s="36" t="inlineStr">
        <is>
          <t>Home insurance</t>
        </is>
      </c>
      <c r="E530" s="36" t="inlineStr">
        <is>
          <t>Home Insurance</t>
        </is>
      </c>
      <c r="F530" s="36" t="n"/>
      <c r="G530" s="36" t="inlineStr">
        <is>
          <t>Ontario</t>
        </is>
      </c>
      <c r="H530" s="36" t="inlineStr">
        <is>
          <t>Milton</t>
        </is>
      </c>
      <c r="I530" s="36" t="inlineStr">
        <is>
          <t>No</t>
        </is>
      </c>
      <c r="J530" s="25" t="inlineStr">
        <is>
          <t>Home Insurance Milton, ON: Compare Quotes &amp; Costs (2026)</t>
        </is>
      </c>
      <c r="K530" s="36">
        <f>LEN(J530)</f>
        <v/>
      </c>
      <c r="L530" s="25" t="inlineStr">
        <is>
          <t>Compare home insurance in Milton, ON: instant estimate ($107–$165/mo example), local risk factors and advisors licensed in Ontario.</t>
        </is>
      </c>
      <c r="M530" s="36">
        <f>LEN(L530)</f>
        <v/>
      </c>
      <c r="N530" s="25" t="inlineStr">
        <is>
          <t>Home Insurance in Milton, ON</t>
        </is>
      </c>
      <c r="O530" s="36" t="inlineStr">
        <is>
          <t>home insurance milton</t>
        </is>
      </c>
      <c r="P530" s="37" t="n">
        <v>170</v>
      </c>
      <c r="Q530" s="36" t="inlineStr">
        <is>
          <t>City</t>
        </is>
      </c>
      <c r="R530" s="36" t="n"/>
      <c r="S530" s="36">
        <f>COUNTIF('Page-Keyword Map'!$A$2:$A$675,B530)</f>
        <v/>
      </c>
      <c r="T530" s="37">
        <f>SUMIF('Page-Keyword Map'!$A$2:$A$675,B530,'Page-Keyword Map'!$H$2:$H$675)</f>
        <v/>
      </c>
      <c r="U530" s="36">
        <f>COUNTIFS('Page-Keyword Map'!$A$2:$A$675,B530,'Page-Keyword Map'!$E$2:$E$675,"Nationwide")</f>
        <v/>
      </c>
      <c r="V530" s="36">
        <f>COUNTIFS('Page-Keyword Map'!$A$2:$A$675,B530,'Page-Keyword Map'!$E$2:$E$675,"Provincial")</f>
        <v/>
      </c>
      <c r="W530" s="36">
        <f>COUNTIFS('Page-Keyword Map'!$A$2:$A$675,B530,'Page-Keyword Map'!$E$2:$E$675,"City")</f>
        <v/>
      </c>
      <c r="X530" s="36">
        <f>IF(O530="","",IF(ISNUMBER(SEARCH(O530,J530)),"Yes","No"))</f>
        <v/>
      </c>
      <c r="Y530" s="36" t="n">
        <v>0.5</v>
      </c>
      <c r="Z530" s="36" t="inlineStr">
        <is>
          <t>(not listed: noindex)</t>
        </is>
      </c>
      <c r="AA530" s="36" t="inlineStr">
        <is>
          <t>Live – noindex (enrich before indexing)</t>
        </is>
      </c>
      <c r="AB530" s="38" t="n"/>
      <c r="AC530" s="38" t="n"/>
    </row>
    <row r="531" ht="23.85" customHeight="1" s="22">
      <c r="A531" s="36" t="inlineStr">
        <is>
          <t>P0530</t>
        </is>
      </c>
      <c r="B531" s="36" t="inlineStr">
        <is>
          <t>https://instasure.ca/home-insurance/ontario/mississauga/</t>
        </is>
      </c>
      <c r="C531" s="36" t="inlineStr">
        <is>
          <t>Product × city</t>
        </is>
      </c>
      <c r="D531" s="36" t="inlineStr">
        <is>
          <t>Home insurance</t>
        </is>
      </c>
      <c r="E531" s="36" t="inlineStr">
        <is>
          <t>Home Insurance</t>
        </is>
      </c>
      <c r="F531" s="36" t="n"/>
      <c r="G531" s="36" t="inlineStr">
        <is>
          <t>Ontario</t>
        </is>
      </c>
      <c r="H531" s="36" t="inlineStr">
        <is>
          <t>Mississauga</t>
        </is>
      </c>
      <c r="I531" s="36" t="inlineStr">
        <is>
          <t>Yes</t>
        </is>
      </c>
      <c r="J531" s="25" t="inlineStr">
        <is>
          <t>Home Insurance Mississauga, ON: Compare Quotes &amp; Costs (2026)</t>
        </is>
      </c>
      <c r="K531" s="36">
        <f>LEN(J531)</f>
        <v/>
      </c>
      <c r="L531" s="25" t="inlineStr">
        <is>
          <t>Compare home insurance in Mississauga, ON: instant estimate ($107–$165/mo example), local risk factors and advisors licensed in Ontario.</t>
        </is>
      </c>
      <c r="M531" s="36">
        <f>LEN(L531)</f>
        <v/>
      </c>
      <c r="N531" s="25" t="inlineStr">
        <is>
          <t>Home Insurance in Mississauga, ON</t>
        </is>
      </c>
      <c r="O531" s="36" t="inlineStr">
        <is>
          <t>home insurance mississauga</t>
        </is>
      </c>
      <c r="P531" s="37" t="n">
        <v>640</v>
      </c>
      <c r="Q531" s="36" t="inlineStr">
        <is>
          <t>City</t>
        </is>
      </c>
      <c r="R531" s="36" t="n"/>
      <c r="S531" s="36">
        <f>COUNTIF('Page-Keyword Map'!$A$2:$A$675,B531)</f>
        <v/>
      </c>
      <c r="T531" s="37">
        <f>SUMIF('Page-Keyword Map'!$A$2:$A$675,B531,'Page-Keyword Map'!$H$2:$H$675)</f>
        <v/>
      </c>
      <c r="U531" s="36">
        <f>COUNTIFS('Page-Keyword Map'!$A$2:$A$675,B531,'Page-Keyword Map'!$E$2:$E$675,"Nationwide")</f>
        <v/>
      </c>
      <c r="V531" s="36">
        <f>COUNTIFS('Page-Keyword Map'!$A$2:$A$675,B531,'Page-Keyword Map'!$E$2:$E$675,"Provincial")</f>
        <v/>
      </c>
      <c r="W531" s="36">
        <f>COUNTIFS('Page-Keyword Map'!$A$2:$A$675,B531,'Page-Keyword Map'!$E$2:$E$675,"City")</f>
        <v/>
      </c>
      <c r="X531" s="36">
        <f>IF(O531="","",IF(ISNUMBER(SEARCH(O531,J531)),"Yes","No"))</f>
        <v/>
      </c>
      <c r="Y531" s="36" t="n">
        <v>0.7</v>
      </c>
      <c r="Z531" s="36" t="inlineStr">
        <is>
          <t>sitemap-cities.xml</t>
        </is>
      </c>
      <c r="AA531" s="36" t="inlineStr">
        <is>
          <t>Live – indexable</t>
        </is>
      </c>
      <c r="AB531" s="38" t="n"/>
      <c r="AC531" s="38" t="n"/>
    </row>
    <row r="532" ht="23.85" customHeight="1" s="22">
      <c r="A532" s="36" t="inlineStr">
        <is>
          <t>P0531</t>
        </is>
      </c>
      <c r="B532" s="36" t="inlineStr">
        <is>
          <t>https://instasure.ca/home-insurance/ontario/oakville/</t>
        </is>
      </c>
      <c r="C532" s="36" t="inlineStr">
        <is>
          <t>Product × city</t>
        </is>
      </c>
      <c r="D532" s="36" t="inlineStr">
        <is>
          <t>Home insurance</t>
        </is>
      </c>
      <c r="E532" s="36" t="inlineStr">
        <is>
          <t>Home Insurance</t>
        </is>
      </c>
      <c r="F532" s="36" t="n"/>
      <c r="G532" s="36" t="inlineStr">
        <is>
          <t>Ontario</t>
        </is>
      </c>
      <c r="H532" s="36" t="inlineStr">
        <is>
          <t>Oakville</t>
        </is>
      </c>
      <c r="I532" s="36" t="inlineStr">
        <is>
          <t>Yes</t>
        </is>
      </c>
      <c r="J532" s="25" t="inlineStr">
        <is>
          <t>Home Insurance Oakville, ON: Compare Quotes &amp; Costs (2026)</t>
        </is>
      </c>
      <c r="K532" s="36">
        <f>LEN(J532)</f>
        <v/>
      </c>
      <c r="L532" s="25" t="inlineStr">
        <is>
          <t>Compare home insurance in Oakville, ON: instant estimate ($107–$165/mo example), local risk factors and advisors licensed in Ontario.</t>
        </is>
      </c>
      <c r="M532" s="36">
        <f>LEN(L532)</f>
        <v/>
      </c>
      <c r="N532" s="25" t="inlineStr">
        <is>
          <t>Home Insurance in Oakville, ON</t>
        </is>
      </c>
      <c r="O532" s="36" t="inlineStr">
        <is>
          <t>home insurance oakville</t>
        </is>
      </c>
      <c r="P532" s="37" t="n">
        <v>240</v>
      </c>
      <c r="Q532" s="36" t="inlineStr">
        <is>
          <t>City</t>
        </is>
      </c>
      <c r="R532" s="36" t="n"/>
      <c r="S532" s="36">
        <f>COUNTIF('Page-Keyword Map'!$A$2:$A$675,B532)</f>
        <v/>
      </c>
      <c r="T532" s="37">
        <f>SUMIF('Page-Keyword Map'!$A$2:$A$675,B532,'Page-Keyword Map'!$H$2:$H$675)</f>
        <v/>
      </c>
      <c r="U532" s="36">
        <f>COUNTIFS('Page-Keyword Map'!$A$2:$A$675,B532,'Page-Keyword Map'!$E$2:$E$675,"Nationwide")</f>
        <v/>
      </c>
      <c r="V532" s="36">
        <f>COUNTIFS('Page-Keyword Map'!$A$2:$A$675,B532,'Page-Keyword Map'!$E$2:$E$675,"Provincial")</f>
        <v/>
      </c>
      <c r="W532" s="36">
        <f>COUNTIFS('Page-Keyword Map'!$A$2:$A$675,B532,'Page-Keyword Map'!$E$2:$E$675,"City")</f>
        <v/>
      </c>
      <c r="X532" s="36">
        <f>IF(O532="","",IF(ISNUMBER(SEARCH(O532,J532)),"Yes","No"))</f>
        <v/>
      </c>
      <c r="Y532" s="36" t="n">
        <v>0.5</v>
      </c>
      <c r="Z532" s="36" t="inlineStr">
        <is>
          <t>sitemap-cities.xml</t>
        </is>
      </c>
      <c r="AA532" s="36" t="inlineStr">
        <is>
          <t>Live – indexable</t>
        </is>
      </c>
      <c r="AB532" s="38" t="n"/>
      <c r="AC532" s="38" t="n"/>
    </row>
    <row r="533" ht="23.85" customHeight="1" s="22">
      <c r="A533" s="36" t="inlineStr">
        <is>
          <t>P0532</t>
        </is>
      </c>
      <c r="B533" s="36" t="inlineStr">
        <is>
          <t>https://instasure.ca/home-insurance/ontario/oshawa/</t>
        </is>
      </c>
      <c r="C533" s="36" t="inlineStr">
        <is>
          <t>Product × city</t>
        </is>
      </c>
      <c r="D533" s="36" t="inlineStr">
        <is>
          <t>Home insurance</t>
        </is>
      </c>
      <c r="E533" s="36" t="inlineStr">
        <is>
          <t>Home Insurance</t>
        </is>
      </c>
      <c r="F533" s="36" t="n"/>
      <c r="G533" s="36" t="inlineStr">
        <is>
          <t>Ontario</t>
        </is>
      </c>
      <c r="H533" s="36" t="inlineStr">
        <is>
          <t>Oshawa</t>
        </is>
      </c>
      <c r="I533" s="36" t="inlineStr">
        <is>
          <t>Yes</t>
        </is>
      </c>
      <c r="J533" s="25" t="inlineStr">
        <is>
          <t>Home Insurance Oshawa, ON: Compare Quotes &amp; Costs (2026)</t>
        </is>
      </c>
      <c r="K533" s="36">
        <f>LEN(J533)</f>
        <v/>
      </c>
      <c r="L533" s="25" t="inlineStr">
        <is>
          <t>Compare home insurance in Oshawa, ON: instant estimate ($107–$165/mo example), local risk factors and advisors licensed in Ontario.</t>
        </is>
      </c>
      <c r="M533" s="36">
        <f>LEN(L533)</f>
        <v/>
      </c>
      <c r="N533" s="25" t="inlineStr">
        <is>
          <t>Home Insurance in Oshawa, ON</t>
        </is>
      </c>
      <c r="O533" s="36" t="inlineStr">
        <is>
          <t>home insurance oshawa</t>
        </is>
      </c>
      <c r="P533" s="37" t="n">
        <v>210</v>
      </c>
      <c r="Q533" s="36" t="inlineStr">
        <is>
          <t>City</t>
        </is>
      </c>
      <c r="R533" s="36" t="n"/>
      <c r="S533" s="36">
        <f>COUNTIF('Page-Keyword Map'!$A$2:$A$675,B533)</f>
        <v/>
      </c>
      <c r="T533" s="37">
        <f>SUMIF('Page-Keyword Map'!$A$2:$A$675,B533,'Page-Keyword Map'!$H$2:$H$675)</f>
        <v/>
      </c>
      <c r="U533" s="36">
        <f>COUNTIFS('Page-Keyword Map'!$A$2:$A$675,B533,'Page-Keyword Map'!$E$2:$E$675,"Nationwide")</f>
        <v/>
      </c>
      <c r="V533" s="36">
        <f>COUNTIFS('Page-Keyword Map'!$A$2:$A$675,B533,'Page-Keyword Map'!$E$2:$E$675,"Provincial")</f>
        <v/>
      </c>
      <c r="W533" s="36">
        <f>COUNTIFS('Page-Keyword Map'!$A$2:$A$675,B533,'Page-Keyword Map'!$E$2:$E$675,"City")</f>
        <v/>
      </c>
      <c r="X533" s="36">
        <f>IF(O533="","",IF(ISNUMBER(SEARCH(O533,J533)),"Yes","No"))</f>
        <v/>
      </c>
      <c r="Y533" s="36" t="n">
        <v>0.5</v>
      </c>
      <c r="Z533" s="36" t="inlineStr">
        <is>
          <t>sitemap-cities.xml</t>
        </is>
      </c>
      <c r="AA533" s="36" t="inlineStr">
        <is>
          <t>Live – indexable</t>
        </is>
      </c>
      <c r="AB533" s="38" t="n"/>
      <c r="AC533" s="38" t="n"/>
    </row>
    <row r="534" ht="23.85" customHeight="1" s="22">
      <c r="A534" s="36" t="inlineStr">
        <is>
          <t>P0533</t>
        </is>
      </c>
      <c r="B534" s="36" t="inlineStr">
        <is>
          <t>https://instasure.ca/home-insurance/ontario/ottawa/</t>
        </is>
      </c>
      <c r="C534" s="36" t="inlineStr">
        <is>
          <t>Product × city</t>
        </is>
      </c>
      <c r="D534" s="36" t="inlineStr">
        <is>
          <t>Home insurance</t>
        </is>
      </c>
      <c r="E534" s="36" t="inlineStr">
        <is>
          <t>Home Insurance</t>
        </is>
      </c>
      <c r="F534" s="36" t="n"/>
      <c r="G534" s="36" t="inlineStr">
        <is>
          <t>Ontario</t>
        </is>
      </c>
      <c r="H534" s="36" t="inlineStr">
        <is>
          <t>Ottawa</t>
        </is>
      </c>
      <c r="I534" s="36" t="inlineStr">
        <is>
          <t>Yes</t>
        </is>
      </c>
      <c r="J534" s="25" t="inlineStr">
        <is>
          <t>Home Insurance Ottawa, ON: Compare Quotes &amp; Costs (2026)</t>
        </is>
      </c>
      <c r="K534" s="36">
        <f>LEN(J534)</f>
        <v/>
      </c>
      <c r="L534" s="25" t="inlineStr">
        <is>
          <t>Compare home insurance in Ottawa, ON: instant estimate ($107–$165/mo example), local risk factors and advisors licensed in Ontario.</t>
        </is>
      </c>
      <c r="M534" s="36">
        <f>LEN(L534)</f>
        <v/>
      </c>
      <c r="N534" s="25" t="inlineStr">
        <is>
          <t>Home Insurance in Ottawa, ON</t>
        </is>
      </c>
      <c r="O534" s="36" t="inlineStr">
        <is>
          <t>home insurance ottawa</t>
        </is>
      </c>
      <c r="P534" s="37" t="n">
        <v>850</v>
      </c>
      <c r="Q534" s="36" t="inlineStr">
        <is>
          <t>City</t>
        </is>
      </c>
      <c r="R534" s="36" t="n"/>
      <c r="S534" s="36">
        <f>COUNTIF('Page-Keyword Map'!$A$2:$A$675,B534)</f>
        <v/>
      </c>
      <c r="T534" s="37">
        <f>SUMIF('Page-Keyword Map'!$A$2:$A$675,B534,'Page-Keyword Map'!$H$2:$H$675)</f>
        <v/>
      </c>
      <c r="U534" s="36">
        <f>COUNTIFS('Page-Keyword Map'!$A$2:$A$675,B534,'Page-Keyword Map'!$E$2:$E$675,"Nationwide")</f>
        <v/>
      </c>
      <c r="V534" s="36">
        <f>COUNTIFS('Page-Keyword Map'!$A$2:$A$675,B534,'Page-Keyword Map'!$E$2:$E$675,"Provincial")</f>
        <v/>
      </c>
      <c r="W534" s="36">
        <f>COUNTIFS('Page-Keyword Map'!$A$2:$A$675,B534,'Page-Keyword Map'!$E$2:$E$675,"City")</f>
        <v/>
      </c>
      <c r="X534" s="36">
        <f>IF(O534="","",IF(ISNUMBER(SEARCH(O534,J534)),"Yes","No"))</f>
        <v/>
      </c>
      <c r="Y534" s="36" t="n">
        <v>0.7</v>
      </c>
      <c r="Z534" s="36" t="inlineStr">
        <is>
          <t>sitemap-cities.xml</t>
        </is>
      </c>
      <c r="AA534" s="36" t="inlineStr">
        <is>
          <t>Live – indexable</t>
        </is>
      </c>
      <c r="AB534" s="38" t="n"/>
      <c r="AC534" s="38" t="n"/>
    </row>
    <row r="535" ht="23.85" customHeight="1" s="22">
      <c r="A535" s="36" t="inlineStr">
        <is>
          <t>P0534</t>
        </is>
      </c>
      <c r="B535" s="36" t="inlineStr">
        <is>
          <t>https://instasure.ca/home-insurance/ontario/pickering/</t>
        </is>
      </c>
      <c r="C535" s="36" t="inlineStr">
        <is>
          <t>Product × city</t>
        </is>
      </c>
      <c r="D535" s="36" t="inlineStr">
        <is>
          <t>Home insurance</t>
        </is>
      </c>
      <c r="E535" s="36" t="inlineStr">
        <is>
          <t>Home Insurance</t>
        </is>
      </c>
      <c r="F535" s="36" t="n"/>
      <c r="G535" s="36" t="inlineStr">
        <is>
          <t>Ontario</t>
        </is>
      </c>
      <c r="H535" s="36" t="inlineStr">
        <is>
          <t>Pickering</t>
        </is>
      </c>
      <c r="I535" s="36" t="inlineStr">
        <is>
          <t>No</t>
        </is>
      </c>
      <c r="J535" s="25" t="inlineStr">
        <is>
          <t>Home Insurance Pickering, ON: Compare Quotes &amp; Costs (2026)</t>
        </is>
      </c>
      <c r="K535" s="36">
        <f>LEN(J535)</f>
        <v/>
      </c>
      <c r="L535" s="25" t="inlineStr">
        <is>
          <t>Compare home insurance in Pickering, ON: instant estimate ($107–$165/mo example), local risk factors and advisors licensed in Ontario.</t>
        </is>
      </c>
      <c r="M535" s="36">
        <f>LEN(L535)</f>
        <v/>
      </c>
      <c r="N535" s="25" t="inlineStr">
        <is>
          <t>Home Insurance in Pickering, ON</t>
        </is>
      </c>
      <c r="O535" s="36" t="inlineStr">
        <is>
          <t>home insurance pickering</t>
        </is>
      </c>
      <c r="P535" s="37" t="n">
        <v>130</v>
      </c>
      <c r="Q535" s="36" t="inlineStr">
        <is>
          <t>City</t>
        </is>
      </c>
      <c r="R535" s="36" t="n"/>
      <c r="S535" s="36">
        <f>COUNTIF('Page-Keyword Map'!$A$2:$A$675,B535)</f>
        <v/>
      </c>
      <c r="T535" s="37">
        <f>SUMIF('Page-Keyword Map'!$A$2:$A$675,B535,'Page-Keyword Map'!$H$2:$H$675)</f>
        <v/>
      </c>
      <c r="U535" s="36">
        <f>COUNTIFS('Page-Keyword Map'!$A$2:$A$675,B535,'Page-Keyword Map'!$E$2:$E$675,"Nationwide")</f>
        <v/>
      </c>
      <c r="V535" s="36">
        <f>COUNTIFS('Page-Keyword Map'!$A$2:$A$675,B535,'Page-Keyword Map'!$E$2:$E$675,"Provincial")</f>
        <v/>
      </c>
      <c r="W535" s="36">
        <f>COUNTIFS('Page-Keyword Map'!$A$2:$A$675,B535,'Page-Keyword Map'!$E$2:$E$675,"City")</f>
        <v/>
      </c>
      <c r="X535" s="36">
        <f>IF(O535="","",IF(ISNUMBER(SEARCH(O535,J535)),"Yes","No"))</f>
        <v/>
      </c>
      <c r="Y535" s="36" t="n">
        <v>0.5</v>
      </c>
      <c r="Z535" s="36" t="inlineStr">
        <is>
          <t>(not listed: noindex)</t>
        </is>
      </c>
      <c r="AA535" s="36" t="inlineStr">
        <is>
          <t>Live – noindex (enrich before indexing)</t>
        </is>
      </c>
      <c r="AB535" s="38" t="n"/>
      <c r="AC535" s="38" t="n"/>
    </row>
    <row r="536" ht="23.85" customHeight="1" s="22">
      <c r="A536" s="36" t="inlineStr">
        <is>
          <t>P0535</t>
        </is>
      </c>
      <c r="B536" s="36" t="inlineStr">
        <is>
          <t>https://instasure.ca/home-insurance/ontario/richmond-hill/</t>
        </is>
      </c>
      <c r="C536" s="36" t="inlineStr">
        <is>
          <t>Product × city</t>
        </is>
      </c>
      <c r="D536" s="36" t="inlineStr">
        <is>
          <t>Home insurance</t>
        </is>
      </c>
      <c r="E536" s="36" t="inlineStr">
        <is>
          <t>Home Insurance</t>
        </is>
      </c>
      <c r="F536" s="36" t="n"/>
      <c r="G536" s="36" t="inlineStr">
        <is>
          <t>Ontario</t>
        </is>
      </c>
      <c r="H536" s="36" t="inlineStr">
        <is>
          <t>Richmond Hill</t>
        </is>
      </c>
      <c r="I536" s="36" t="inlineStr">
        <is>
          <t>Yes</t>
        </is>
      </c>
      <c r="J536" s="25" t="inlineStr">
        <is>
          <t>Home Insurance Richmond Hill, ON: Compare Quotes &amp; Costs (2026)</t>
        </is>
      </c>
      <c r="K536" s="36">
        <f>LEN(J536)</f>
        <v/>
      </c>
      <c r="L536" s="25" t="inlineStr">
        <is>
          <t>Compare home insurance in Richmond Hill, ON: instant estimate ($107–$165/mo example), local risk factors and advisors licensed in Ontario.</t>
        </is>
      </c>
      <c r="M536" s="36">
        <f>LEN(L536)</f>
        <v/>
      </c>
      <c r="N536" s="25" t="inlineStr">
        <is>
          <t>Home Insurance in Richmond Hill, ON</t>
        </is>
      </c>
      <c r="O536" s="36" t="inlineStr">
        <is>
          <t>home insurance richmond hill</t>
        </is>
      </c>
      <c r="P536" s="37" t="n">
        <v>230</v>
      </c>
      <c r="Q536" s="36" t="inlineStr">
        <is>
          <t>City</t>
        </is>
      </c>
      <c r="R536" s="36" t="n"/>
      <c r="S536" s="36">
        <f>COUNTIF('Page-Keyword Map'!$A$2:$A$675,B536)</f>
        <v/>
      </c>
      <c r="T536" s="37">
        <f>SUMIF('Page-Keyword Map'!$A$2:$A$675,B536,'Page-Keyword Map'!$H$2:$H$675)</f>
        <v/>
      </c>
      <c r="U536" s="36">
        <f>COUNTIFS('Page-Keyword Map'!$A$2:$A$675,B536,'Page-Keyword Map'!$E$2:$E$675,"Nationwide")</f>
        <v/>
      </c>
      <c r="V536" s="36">
        <f>COUNTIFS('Page-Keyword Map'!$A$2:$A$675,B536,'Page-Keyword Map'!$E$2:$E$675,"Provincial")</f>
        <v/>
      </c>
      <c r="W536" s="36">
        <f>COUNTIFS('Page-Keyword Map'!$A$2:$A$675,B536,'Page-Keyword Map'!$E$2:$E$675,"City")</f>
        <v/>
      </c>
      <c r="X536" s="36">
        <f>IF(O536="","",IF(ISNUMBER(SEARCH(O536,J536)),"Yes","No"))</f>
        <v/>
      </c>
      <c r="Y536" s="36" t="n">
        <v>0.5</v>
      </c>
      <c r="Z536" s="36" t="inlineStr">
        <is>
          <t>sitemap-cities.xml</t>
        </is>
      </c>
      <c r="AA536" s="36" t="inlineStr">
        <is>
          <t>Live – indexable</t>
        </is>
      </c>
      <c r="AB536" s="38" t="n"/>
      <c r="AC536" s="38" t="n"/>
    </row>
    <row r="537" ht="23.85" customHeight="1" s="22">
      <c r="A537" s="36" t="inlineStr">
        <is>
          <t>P0536</t>
        </is>
      </c>
      <c r="B537" s="36" t="inlineStr">
        <is>
          <t>https://instasure.ca/home-insurance/ontario/st-catharines/</t>
        </is>
      </c>
      <c r="C537" s="36" t="inlineStr">
        <is>
          <t>Product × city</t>
        </is>
      </c>
      <c r="D537" s="36" t="inlineStr">
        <is>
          <t>Home insurance</t>
        </is>
      </c>
      <c r="E537" s="36" t="inlineStr">
        <is>
          <t>Home Insurance</t>
        </is>
      </c>
      <c r="F537" s="36" t="n"/>
      <c r="G537" s="36" t="inlineStr">
        <is>
          <t>Ontario</t>
        </is>
      </c>
      <c r="H537" s="36" t="inlineStr">
        <is>
          <t>St. Catharines</t>
        </is>
      </c>
      <c r="I537" s="36" t="inlineStr">
        <is>
          <t>Yes</t>
        </is>
      </c>
      <c r="J537" s="25" t="inlineStr">
        <is>
          <t>Home Insurance St. Catharines, ON: Compare Quotes &amp; Costs (2026)</t>
        </is>
      </c>
      <c r="K537" s="36">
        <f>LEN(J537)</f>
        <v/>
      </c>
      <c r="L537" s="25" t="inlineStr">
        <is>
          <t>Compare home insurance in St. Catharines, ON: instant estimate ($107–$165/mo example), local risk factors and advisors licensed in Ontario.</t>
        </is>
      </c>
      <c r="M537" s="36">
        <f>LEN(L537)</f>
        <v/>
      </c>
      <c r="N537" s="25" t="inlineStr">
        <is>
          <t>Home Insurance in St. Catharines, ON</t>
        </is>
      </c>
      <c r="O537" s="36" t="inlineStr">
        <is>
          <t>home insurance st catharines</t>
        </is>
      </c>
      <c r="P537" s="37" t="n">
        <v>170</v>
      </c>
      <c r="Q537" s="36" t="inlineStr">
        <is>
          <t>City</t>
        </is>
      </c>
      <c r="R537" s="36" t="n"/>
      <c r="S537" s="36">
        <f>COUNTIF('Page-Keyword Map'!$A$2:$A$675,B537)</f>
        <v/>
      </c>
      <c r="T537" s="37">
        <f>SUMIF('Page-Keyword Map'!$A$2:$A$675,B537,'Page-Keyword Map'!$H$2:$H$675)</f>
        <v/>
      </c>
      <c r="U537" s="36">
        <f>COUNTIFS('Page-Keyword Map'!$A$2:$A$675,B537,'Page-Keyword Map'!$E$2:$E$675,"Nationwide")</f>
        <v/>
      </c>
      <c r="V537" s="36">
        <f>COUNTIFS('Page-Keyword Map'!$A$2:$A$675,B537,'Page-Keyword Map'!$E$2:$E$675,"Provincial")</f>
        <v/>
      </c>
      <c r="W537" s="36">
        <f>COUNTIFS('Page-Keyword Map'!$A$2:$A$675,B537,'Page-Keyword Map'!$E$2:$E$675,"City")</f>
        <v/>
      </c>
      <c r="X537" s="36">
        <f>IF(O537="","",IF(ISNUMBER(SEARCH(O537,J537)),"Yes","No"))</f>
        <v/>
      </c>
      <c r="Y537" s="36" t="n">
        <v>0.5</v>
      </c>
      <c r="Z537" s="36" t="inlineStr">
        <is>
          <t>sitemap-cities.xml</t>
        </is>
      </c>
      <c r="AA537" s="36" t="inlineStr">
        <is>
          <t>Live – indexable</t>
        </is>
      </c>
      <c r="AB537" s="38" t="n"/>
      <c r="AC537" s="38" t="n"/>
    </row>
    <row r="538" ht="23.85" customHeight="1" s="22">
      <c r="A538" s="36" t="inlineStr">
        <is>
          <t>P0537</t>
        </is>
      </c>
      <c r="B538" s="36" t="inlineStr">
        <is>
          <t>https://instasure.ca/home-insurance/ontario/sudbury/</t>
        </is>
      </c>
      <c r="C538" s="36" t="inlineStr">
        <is>
          <t>Product × city</t>
        </is>
      </c>
      <c r="D538" s="36" t="inlineStr">
        <is>
          <t>Home insurance</t>
        </is>
      </c>
      <c r="E538" s="36" t="inlineStr">
        <is>
          <t>Home Insurance</t>
        </is>
      </c>
      <c r="F538" s="36" t="n"/>
      <c r="G538" s="36" t="inlineStr">
        <is>
          <t>Ontario</t>
        </is>
      </c>
      <c r="H538" s="36" t="inlineStr">
        <is>
          <t>Sudbury</t>
        </is>
      </c>
      <c r="I538" s="36" t="inlineStr">
        <is>
          <t>No</t>
        </is>
      </c>
      <c r="J538" s="25" t="inlineStr">
        <is>
          <t>Home Insurance Sudbury, ON: Compare Quotes &amp; Costs (2026)</t>
        </is>
      </c>
      <c r="K538" s="36">
        <f>LEN(J538)</f>
        <v/>
      </c>
      <c r="L538" s="25" t="inlineStr">
        <is>
          <t>Compare home insurance in Sudbury, ON: instant estimate ($107–$165/mo example), local risk factors and advisors licensed in Ontario.</t>
        </is>
      </c>
      <c r="M538" s="36">
        <f>LEN(L538)</f>
        <v/>
      </c>
      <c r="N538" s="25" t="inlineStr">
        <is>
          <t>Home Insurance in Sudbury, ON</t>
        </is>
      </c>
      <c r="O538" s="36" t="inlineStr">
        <is>
          <t>home insurance sudbury</t>
        </is>
      </c>
      <c r="P538" s="37" t="n">
        <v>200</v>
      </c>
      <c r="Q538" s="36" t="inlineStr">
        <is>
          <t>City</t>
        </is>
      </c>
      <c r="R538" s="36" t="n"/>
      <c r="S538" s="36">
        <f>COUNTIF('Page-Keyword Map'!$A$2:$A$675,B538)</f>
        <v/>
      </c>
      <c r="T538" s="37">
        <f>SUMIF('Page-Keyword Map'!$A$2:$A$675,B538,'Page-Keyword Map'!$H$2:$H$675)</f>
        <v/>
      </c>
      <c r="U538" s="36">
        <f>COUNTIFS('Page-Keyword Map'!$A$2:$A$675,B538,'Page-Keyword Map'!$E$2:$E$675,"Nationwide")</f>
        <v/>
      </c>
      <c r="V538" s="36">
        <f>COUNTIFS('Page-Keyword Map'!$A$2:$A$675,B538,'Page-Keyword Map'!$E$2:$E$675,"Provincial")</f>
        <v/>
      </c>
      <c r="W538" s="36">
        <f>COUNTIFS('Page-Keyword Map'!$A$2:$A$675,B538,'Page-Keyword Map'!$E$2:$E$675,"City")</f>
        <v/>
      </c>
      <c r="X538" s="36">
        <f>IF(O538="","",IF(ISNUMBER(SEARCH(O538,J538)),"Yes","No"))</f>
        <v/>
      </c>
      <c r="Y538" s="36" t="n">
        <v>0.5</v>
      </c>
      <c r="Z538" s="36" t="inlineStr">
        <is>
          <t>(not listed: noindex)</t>
        </is>
      </c>
      <c r="AA538" s="36" t="inlineStr">
        <is>
          <t>Live – noindex (enrich before indexing)</t>
        </is>
      </c>
      <c r="AB538" s="38" t="n"/>
      <c r="AC538" s="38" t="n"/>
    </row>
    <row r="539" ht="23.85" customHeight="1" s="22">
      <c r="A539" s="36" t="inlineStr">
        <is>
          <t>P0538</t>
        </is>
      </c>
      <c r="B539" s="36" t="inlineStr">
        <is>
          <t>https://instasure.ca/home-insurance/ontario/thunder-bay/</t>
        </is>
      </c>
      <c r="C539" s="36" t="inlineStr">
        <is>
          <t>Product × city</t>
        </is>
      </c>
      <c r="D539" s="36" t="inlineStr">
        <is>
          <t>Home insurance</t>
        </is>
      </c>
      <c r="E539" s="36" t="inlineStr">
        <is>
          <t>Home Insurance</t>
        </is>
      </c>
      <c r="F539" s="36" t="n"/>
      <c r="G539" s="36" t="inlineStr">
        <is>
          <t>Ontario</t>
        </is>
      </c>
      <c r="H539" s="36" t="inlineStr">
        <is>
          <t>Thunder Bay</t>
        </is>
      </c>
      <c r="I539" s="36" t="inlineStr">
        <is>
          <t>No</t>
        </is>
      </c>
      <c r="J539" s="25" t="inlineStr">
        <is>
          <t>Home Insurance Thunder Bay, ON: Compare Quotes &amp; Costs (2026)</t>
        </is>
      </c>
      <c r="K539" s="36">
        <f>LEN(J539)</f>
        <v/>
      </c>
      <c r="L539" s="25" t="inlineStr">
        <is>
          <t>Compare home insurance in Thunder Bay, ON: instant estimate ($107–$165/mo example), local risk factors and advisors licensed in Ontario.</t>
        </is>
      </c>
      <c r="M539" s="36">
        <f>LEN(L539)</f>
        <v/>
      </c>
      <c r="N539" s="25" t="inlineStr">
        <is>
          <t>Home Insurance in Thunder Bay, ON</t>
        </is>
      </c>
      <c r="O539" s="36" t="inlineStr">
        <is>
          <t>home insurance thunder bay</t>
        </is>
      </c>
      <c r="P539" s="37" t="n">
        <v>140</v>
      </c>
      <c r="Q539" s="36" t="inlineStr">
        <is>
          <t>City</t>
        </is>
      </c>
      <c r="R539" s="36" t="n"/>
      <c r="S539" s="36">
        <f>COUNTIF('Page-Keyword Map'!$A$2:$A$675,B539)</f>
        <v/>
      </c>
      <c r="T539" s="37">
        <f>SUMIF('Page-Keyword Map'!$A$2:$A$675,B539,'Page-Keyword Map'!$H$2:$H$675)</f>
        <v/>
      </c>
      <c r="U539" s="36">
        <f>COUNTIFS('Page-Keyword Map'!$A$2:$A$675,B539,'Page-Keyword Map'!$E$2:$E$675,"Nationwide")</f>
        <v/>
      </c>
      <c r="V539" s="36">
        <f>COUNTIFS('Page-Keyword Map'!$A$2:$A$675,B539,'Page-Keyword Map'!$E$2:$E$675,"Provincial")</f>
        <v/>
      </c>
      <c r="W539" s="36">
        <f>COUNTIFS('Page-Keyword Map'!$A$2:$A$675,B539,'Page-Keyword Map'!$E$2:$E$675,"City")</f>
        <v/>
      </c>
      <c r="X539" s="36">
        <f>IF(O539="","",IF(ISNUMBER(SEARCH(O539,J539)),"Yes","No"))</f>
        <v/>
      </c>
      <c r="Y539" s="36" t="n">
        <v>0.5</v>
      </c>
      <c r="Z539" s="36" t="inlineStr">
        <is>
          <t>(not listed: noindex)</t>
        </is>
      </c>
      <c r="AA539" s="36" t="inlineStr">
        <is>
          <t>Live – noindex (enrich before indexing)</t>
        </is>
      </c>
      <c r="AB539" s="38" t="n"/>
      <c r="AC539" s="38" t="n"/>
    </row>
    <row r="540" ht="23.85" customHeight="1" s="22">
      <c r="A540" s="36" t="inlineStr">
        <is>
          <t>P0539</t>
        </is>
      </c>
      <c r="B540" s="36" t="inlineStr">
        <is>
          <t>https://instasure.ca/home-insurance/ontario/toronto/</t>
        </is>
      </c>
      <c r="C540" s="36" t="inlineStr">
        <is>
          <t>Product × city</t>
        </is>
      </c>
      <c r="D540" s="36" t="inlineStr">
        <is>
          <t>Home insurance</t>
        </is>
      </c>
      <c r="E540" s="36" t="inlineStr">
        <is>
          <t>Home Insurance</t>
        </is>
      </c>
      <c r="F540" s="36" t="n"/>
      <c r="G540" s="36" t="inlineStr">
        <is>
          <t>Ontario</t>
        </is>
      </c>
      <c r="H540" s="36" t="inlineStr">
        <is>
          <t>Toronto</t>
        </is>
      </c>
      <c r="I540" s="36" t="inlineStr">
        <is>
          <t>Yes</t>
        </is>
      </c>
      <c r="J540" s="25" t="inlineStr">
        <is>
          <t>Home Insurance Toronto, ON: Compare Quotes &amp; Costs (2026)</t>
        </is>
      </c>
      <c r="K540" s="36">
        <f>LEN(J540)</f>
        <v/>
      </c>
      <c r="L540" s="25" t="inlineStr">
        <is>
          <t>Compare home insurance in Toronto, ON: instant estimate ($111–$172/mo example), local risk factors and advisors licensed in Ontario.</t>
        </is>
      </c>
      <c r="M540" s="36">
        <f>LEN(L540)</f>
        <v/>
      </c>
      <c r="N540" s="25" t="inlineStr">
        <is>
          <t>Home Insurance in Toronto, ON</t>
        </is>
      </c>
      <c r="O540" s="36" t="inlineStr">
        <is>
          <t>home insurance toronto</t>
        </is>
      </c>
      <c r="P540" s="37" t="n">
        <v>1900</v>
      </c>
      <c r="Q540" s="36" t="inlineStr">
        <is>
          <t>City</t>
        </is>
      </c>
      <c r="R540" s="36" t="n"/>
      <c r="S540" s="36">
        <f>COUNTIF('Page-Keyword Map'!$A$2:$A$675,B540)</f>
        <v/>
      </c>
      <c r="T540" s="37">
        <f>SUMIF('Page-Keyword Map'!$A$2:$A$675,B540,'Page-Keyword Map'!$H$2:$H$675)</f>
        <v/>
      </c>
      <c r="U540" s="36">
        <f>COUNTIFS('Page-Keyword Map'!$A$2:$A$675,B540,'Page-Keyword Map'!$E$2:$E$675,"Nationwide")</f>
        <v/>
      </c>
      <c r="V540" s="36">
        <f>COUNTIFS('Page-Keyword Map'!$A$2:$A$675,B540,'Page-Keyword Map'!$E$2:$E$675,"Provincial")</f>
        <v/>
      </c>
      <c r="W540" s="36">
        <f>COUNTIFS('Page-Keyword Map'!$A$2:$A$675,B540,'Page-Keyword Map'!$E$2:$E$675,"City")</f>
        <v/>
      </c>
      <c r="X540" s="36">
        <f>IF(O540="","",IF(ISNUMBER(SEARCH(O540,J540)),"Yes","No"))</f>
        <v/>
      </c>
      <c r="Y540" s="36" t="n">
        <v>0.7</v>
      </c>
      <c r="Z540" s="36" t="inlineStr">
        <is>
          <t>sitemap-cities.xml</t>
        </is>
      </c>
      <c r="AA540" s="36" t="inlineStr">
        <is>
          <t>Live – indexable</t>
        </is>
      </c>
      <c r="AB540" s="38" t="n"/>
      <c r="AC540" s="38" t="n"/>
    </row>
    <row r="541" ht="23.85" customHeight="1" s="22">
      <c r="A541" s="36" t="inlineStr">
        <is>
          <t>P0540</t>
        </is>
      </c>
      <c r="B541" s="36" t="inlineStr">
        <is>
          <t>https://instasure.ca/home-insurance/ontario/vaughan/</t>
        </is>
      </c>
      <c r="C541" s="36" t="inlineStr">
        <is>
          <t>Product × city</t>
        </is>
      </c>
      <c r="D541" s="36" t="inlineStr">
        <is>
          <t>Home insurance</t>
        </is>
      </c>
      <c r="E541" s="36" t="inlineStr">
        <is>
          <t>Home Insurance</t>
        </is>
      </c>
      <c r="F541" s="36" t="n"/>
      <c r="G541" s="36" t="inlineStr">
        <is>
          <t>Ontario</t>
        </is>
      </c>
      <c r="H541" s="36" t="inlineStr">
        <is>
          <t>Vaughan</t>
        </is>
      </c>
      <c r="I541" s="36" t="inlineStr">
        <is>
          <t>Yes</t>
        </is>
      </c>
      <c r="J541" s="25" t="inlineStr">
        <is>
          <t>Home Insurance Vaughan, ON: Compare Quotes &amp; Costs (2026)</t>
        </is>
      </c>
      <c r="K541" s="36">
        <f>LEN(J541)</f>
        <v/>
      </c>
      <c r="L541" s="25" t="inlineStr">
        <is>
          <t>Compare home insurance in Vaughan, ON: instant estimate ($107–$165/mo example), local risk factors and advisors licensed in Ontario.</t>
        </is>
      </c>
      <c r="M541" s="36">
        <f>LEN(L541)</f>
        <v/>
      </c>
      <c r="N541" s="25" t="inlineStr">
        <is>
          <t>Home Insurance in Vaughan, ON</t>
        </is>
      </c>
      <c r="O541" s="36" t="inlineStr">
        <is>
          <t>home insurance vaughan</t>
        </is>
      </c>
      <c r="P541" s="37" t="n">
        <v>340</v>
      </c>
      <c r="Q541" s="36" t="inlineStr">
        <is>
          <t>City</t>
        </is>
      </c>
      <c r="R541" s="36" t="n"/>
      <c r="S541" s="36">
        <f>COUNTIF('Page-Keyword Map'!$A$2:$A$675,B541)</f>
        <v/>
      </c>
      <c r="T541" s="37">
        <f>SUMIF('Page-Keyword Map'!$A$2:$A$675,B541,'Page-Keyword Map'!$H$2:$H$675)</f>
        <v/>
      </c>
      <c r="U541" s="36">
        <f>COUNTIFS('Page-Keyword Map'!$A$2:$A$675,B541,'Page-Keyword Map'!$E$2:$E$675,"Nationwide")</f>
        <v/>
      </c>
      <c r="V541" s="36">
        <f>COUNTIFS('Page-Keyword Map'!$A$2:$A$675,B541,'Page-Keyword Map'!$E$2:$E$675,"Provincial")</f>
        <v/>
      </c>
      <c r="W541" s="36">
        <f>COUNTIFS('Page-Keyword Map'!$A$2:$A$675,B541,'Page-Keyword Map'!$E$2:$E$675,"City")</f>
        <v/>
      </c>
      <c r="X541" s="36">
        <f>IF(O541="","",IF(ISNUMBER(SEARCH(O541,J541)),"Yes","No"))</f>
        <v/>
      </c>
      <c r="Y541" s="36" t="n">
        <v>0.7</v>
      </c>
      <c r="Z541" s="36" t="inlineStr">
        <is>
          <t>sitemap-cities.xml</t>
        </is>
      </c>
      <c r="AA541" s="36" t="inlineStr">
        <is>
          <t>Live – indexable</t>
        </is>
      </c>
      <c r="AB541" s="38" t="n"/>
      <c r="AC541" s="38" t="n"/>
    </row>
    <row r="542" ht="23.85" customHeight="1" s="22">
      <c r="A542" s="36" t="inlineStr">
        <is>
          <t>P0541</t>
        </is>
      </c>
      <c r="B542" s="36" t="inlineStr">
        <is>
          <t>https://instasure.ca/home-insurance/ontario/waterloo/</t>
        </is>
      </c>
      <c r="C542" s="36" t="inlineStr">
        <is>
          <t>Product × city</t>
        </is>
      </c>
      <c r="D542" s="36" t="inlineStr">
        <is>
          <t>Home insurance</t>
        </is>
      </c>
      <c r="E542" s="36" t="inlineStr">
        <is>
          <t>Home Insurance</t>
        </is>
      </c>
      <c r="F542" s="36" t="n"/>
      <c r="G542" s="36" t="inlineStr">
        <is>
          <t>Ontario</t>
        </is>
      </c>
      <c r="H542" s="36" t="inlineStr">
        <is>
          <t>Waterloo</t>
        </is>
      </c>
      <c r="I542" s="36" t="inlineStr">
        <is>
          <t>Yes</t>
        </is>
      </c>
      <c r="J542" s="25" t="inlineStr">
        <is>
          <t>Home Insurance Waterloo, ON: Compare Quotes &amp; Costs (2026)</t>
        </is>
      </c>
      <c r="K542" s="36">
        <f>LEN(J542)</f>
        <v/>
      </c>
      <c r="L542" s="25" t="inlineStr">
        <is>
          <t>Compare home insurance in Waterloo, ON: instant estimate ($107–$165/mo example), local risk factors and advisors licensed in Ontario.</t>
        </is>
      </c>
      <c r="M542" s="36">
        <f>LEN(L542)</f>
        <v/>
      </c>
      <c r="N542" s="25" t="inlineStr">
        <is>
          <t>Home Insurance in Waterloo, ON</t>
        </is>
      </c>
      <c r="O542" s="36" t="inlineStr">
        <is>
          <t>home insurance waterloo</t>
        </is>
      </c>
      <c r="P542" s="37" t="n">
        <v>150</v>
      </c>
      <c r="Q542" s="36" t="inlineStr">
        <is>
          <t>City</t>
        </is>
      </c>
      <c r="R542" s="36" t="n"/>
      <c r="S542" s="36">
        <f>COUNTIF('Page-Keyword Map'!$A$2:$A$675,B542)</f>
        <v/>
      </c>
      <c r="T542" s="37">
        <f>SUMIF('Page-Keyword Map'!$A$2:$A$675,B542,'Page-Keyword Map'!$H$2:$H$675)</f>
        <v/>
      </c>
      <c r="U542" s="36">
        <f>COUNTIFS('Page-Keyword Map'!$A$2:$A$675,B542,'Page-Keyword Map'!$E$2:$E$675,"Nationwide")</f>
        <v/>
      </c>
      <c r="V542" s="36">
        <f>COUNTIFS('Page-Keyword Map'!$A$2:$A$675,B542,'Page-Keyword Map'!$E$2:$E$675,"Provincial")</f>
        <v/>
      </c>
      <c r="W542" s="36">
        <f>COUNTIFS('Page-Keyword Map'!$A$2:$A$675,B542,'Page-Keyword Map'!$E$2:$E$675,"City")</f>
        <v/>
      </c>
      <c r="X542" s="36">
        <f>IF(O542="","",IF(ISNUMBER(SEARCH(O542,J542)),"Yes","No"))</f>
        <v/>
      </c>
      <c r="Y542" s="36" t="n">
        <v>0.5</v>
      </c>
      <c r="Z542" s="36" t="inlineStr">
        <is>
          <t>sitemap-cities.xml</t>
        </is>
      </c>
      <c r="AA542" s="36" t="inlineStr">
        <is>
          <t>Live – indexable</t>
        </is>
      </c>
      <c r="AB542" s="38" t="n"/>
      <c r="AC542" s="38" t="n"/>
    </row>
    <row r="543" ht="23.85" customHeight="1" s="22">
      <c r="A543" s="36" t="inlineStr">
        <is>
          <t>P0542</t>
        </is>
      </c>
      <c r="B543" s="36" t="inlineStr">
        <is>
          <t>https://instasure.ca/home-insurance/ontario/whitby/</t>
        </is>
      </c>
      <c r="C543" s="36" t="inlineStr">
        <is>
          <t>Product × city</t>
        </is>
      </c>
      <c r="D543" s="36" t="inlineStr">
        <is>
          <t>Home insurance</t>
        </is>
      </c>
      <c r="E543" s="36" t="inlineStr">
        <is>
          <t>Home Insurance</t>
        </is>
      </c>
      <c r="F543" s="36" t="n"/>
      <c r="G543" s="36" t="inlineStr">
        <is>
          <t>Ontario</t>
        </is>
      </c>
      <c r="H543" s="36" t="inlineStr">
        <is>
          <t>Whitby</t>
        </is>
      </c>
      <c r="I543" s="36" t="inlineStr">
        <is>
          <t>No</t>
        </is>
      </c>
      <c r="J543" s="25" t="inlineStr">
        <is>
          <t>Home Insurance Whitby, ON: Compare Quotes &amp; Costs (2026)</t>
        </is>
      </c>
      <c r="K543" s="36">
        <f>LEN(J543)</f>
        <v/>
      </c>
      <c r="L543" s="25" t="inlineStr">
        <is>
          <t>Compare home insurance in Whitby, ON: instant estimate ($107–$165/mo example), local risk factors and advisors licensed in Ontario.</t>
        </is>
      </c>
      <c r="M543" s="36">
        <f>LEN(L543)</f>
        <v/>
      </c>
      <c r="N543" s="25" t="inlineStr">
        <is>
          <t>Home Insurance in Whitby, ON</t>
        </is>
      </c>
      <c r="O543" s="36" t="inlineStr">
        <is>
          <t>home insurance whitby</t>
        </is>
      </c>
      <c r="P543" s="37" t="n">
        <v>170</v>
      </c>
      <c r="Q543" s="36" t="inlineStr">
        <is>
          <t>City</t>
        </is>
      </c>
      <c r="R543" s="36" t="n"/>
      <c r="S543" s="36">
        <f>COUNTIF('Page-Keyword Map'!$A$2:$A$675,B543)</f>
        <v/>
      </c>
      <c r="T543" s="37">
        <f>SUMIF('Page-Keyword Map'!$A$2:$A$675,B543,'Page-Keyword Map'!$H$2:$H$675)</f>
        <v/>
      </c>
      <c r="U543" s="36">
        <f>COUNTIFS('Page-Keyword Map'!$A$2:$A$675,B543,'Page-Keyword Map'!$E$2:$E$675,"Nationwide")</f>
        <v/>
      </c>
      <c r="V543" s="36">
        <f>COUNTIFS('Page-Keyword Map'!$A$2:$A$675,B543,'Page-Keyword Map'!$E$2:$E$675,"Provincial")</f>
        <v/>
      </c>
      <c r="W543" s="36">
        <f>COUNTIFS('Page-Keyword Map'!$A$2:$A$675,B543,'Page-Keyword Map'!$E$2:$E$675,"City")</f>
        <v/>
      </c>
      <c r="X543" s="36">
        <f>IF(O543="","",IF(ISNUMBER(SEARCH(O543,J543)),"Yes","No"))</f>
        <v/>
      </c>
      <c r="Y543" s="36" t="n">
        <v>0.5</v>
      </c>
      <c r="Z543" s="36" t="inlineStr">
        <is>
          <t>(not listed: noindex)</t>
        </is>
      </c>
      <c r="AA543" s="36" t="inlineStr">
        <is>
          <t>Live – noindex (enrich before indexing)</t>
        </is>
      </c>
      <c r="AB543" s="38" t="n"/>
      <c r="AC543" s="38" t="n"/>
    </row>
    <row r="544" ht="23.85" customHeight="1" s="22">
      <c r="A544" s="36" t="inlineStr">
        <is>
          <t>P0543</t>
        </is>
      </c>
      <c r="B544" s="36" t="inlineStr">
        <is>
          <t>https://instasure.ca/home-insurance/ontario/windsor/</t>
        </is>
      </c>
      <c r="C544" s="36" t="inlineStr">
        <is>
          <t>Product × city</t>
        </is>
      </c>
      <c r="D544" s="36" t="inlineStr">
        <is>
          <t>Home insurance</t>
        </is>
      </c>
      <c r="E544" s="36" t="inlineStr">
        <is>
          <t>Home Insurance</t>
        </is>
      </c>
      <c r="F544" s="36" t="n"/>
      <c r="G544" s="36" t="inlineStr">
        <is>
          <t>Ontario</t>
        </is>
      </c>
      <c r="H544" s="36" t="inlineStr">
        <is>
          <t>Windsor</t>
        </is>
      </c>
      <c r="I544" s="36" t="inlineStr">
        <is>
          <t>Yes</t>
        </is>
      </c>
      <c r="J544" s="25" t="inlineStr">
        <is>
          <t>Home Insurance Windsor, ON: Compare Quotes &amp; Costs (2026)</t>
        </is>
      </c>
      <c r="K544" s="36">
        <f>LEN(J544)</f>
        <v/>
      </c>
      <c r="L544" s="25" t="inlineStr">
        <is>
          <t>Compare home insurance in Windsor, ON: instant estimate ($107–$165/mo example), local risk factors and advisors licensed in Ontario.</t>
        </is>
      </c>
      <c r="M544" s="36">
        <f>LEN(L544)</f>
        <v/>
      </c>
      <c r="N544" s="25" t="inlineStr">
        <is>
          <t>Home Insurance in Windsor, ON</t>
        </is>
      </c>
      <c r="O544" s="36" t="inlineStr">
        <is>
          <t>home insurance windsor</t>
        </is>
      </c>
      <c r="P544" s="37" t="n">
        <v>260</v>
      </c>
      <c r="Q544" s="36" t="inlineStr">
        <is>
          <t>City</t>
        </is>
      </c>
      <c r="R544" s="36" t="n"/>
      <c r="S544" s="36">
        <f>COUNTIF('Page-Keyword Map'!$A$2:$A$675,B544)</f>
        <v/>
      </c>
      <c r="T544" s="37">
        <f>SUMIF('Page-Keyword Map'!$A$2:$A$675,B544,'Page-Keyword Map'!$H$2:$H$675)</f>
        <v/>
      </c>
      <c r="U544" s="36">
        <f>COUNTIFS('Page-Keyword Map'!$A$2:$A$675,B544,'Page-Keyword Map'!$E$2:$E$675,"Nationwide")</f>
        <v/>
      </c>
      <c r="V544" s="36">
        <f>COUNTIFS('Page-Keyword Map'!$A$2:$A$675,B544,'Page-Keyword Map'!$E$2:$E$675,"Provincial")</f>
        <v/>
      </c>
      <c r="W544" s="36">
        <f>COUNTIFS('Page-Keyword Map'!$A$2:$A$675,B544,'Page-Keyword Map'!$E$2:$E$675,"City")</f>
        <v/>
      </c>
      <c r="X544" s="36">
        <f>IF(O544="","",IF(ISNUMBER(SEARCH(O544,J544)),"Yes","No"))</f>
        <v/>
      </c>
      <c r="Y544" s="36" t="n">
        <v>0.7</v>
      </c>
      <c r="Z544" s="36" t="inlineStr">
        <is>
          <t>sitemap-cities.xml</t>
        </is>
      </c>
      <c r="AA544" s="36" t="inlineStr">
        <is>
          <t>Live – indexable</t>
        </is>
      </c>
      <c r="AB544" s="38" t="n"/>
      <c r="AC544" s="38" t="n"/>
    </row>
    <row r="545" ht="23.85" customHeight="1" s="22">
      <c r="A545" s="36" t="inlineStr">
        <is>
          <t>P0544</t>
        </is>
      </c>
      <c r="B545" s="36" t="inlineStr">
        <is>
          <t>https://instasure.ca/home-insurance/prince-edward-island/charlottetown/</t>
        </is>
      </c>
      <c r="C545" s="36" t="inlineStr">
        <is>
          <t>Product × city</t>
        </is>
      </c>
      <c r="D545" s="36" t="inlineStr">
        <is>
          <t>Home insurance</t>
        </is>
      </c>
      <c r="E545" s="36" t="inlineStr">
        <is>
          <t>Home Insurance</t>
        </is>
      </c>
      <c r="F545" s="36" t="n"/>
      <c r="G545" s="36" t="inlineStr">
        <is>
          <t>Prince Edward Island</t>
        </is>
      </c>
      <c r="H545" s="36" t="inlineStr">
        <is>
          <t>Charlottetown</t>
        </is>
      </c>
      <c r="I545" s="36" t="inlineStr">
        <is>
          <t>Yes</t>
        </is>
      </c>
      <c r="J545" s="25" t="inlineStr">
        <is>
          <t>Home Insurance Charlottetown, PE: Compare Quotes &amp; Costs (2026)</t>
        </is>
      </c>
      <c r="K545" s="36">
        <f>LEN(J545)</f>
        <v/>
      </c>
      <c r="L545" s="25" t="inlineStr">
        <is>
          <t>Compare home insurance in Charlottetown, PE: instant estimate ($73.00–$114/mo example), local risk factors and advisors licensed in Prince Edward Island.</t>
        </is>
      </c>
      <c r="M545" s="36">
        <f>LEN(L545)</f>
        <v/>
      </c>
      <c r="N545" s="25" t="inlineStr">
        <is>
          <t>Home Insurance in Charlottetown, PE</t>
        </is>
      </c>
      <c r="O545" s="36" t="inlineStr">
        <is>
          <t>home insurance charlottetown</t>
        </is>
      </c>
      <c r="P545" s="37" t="n">
        <v>62</v>
      </c>
      <c r="Q545" s="36" t="inlineStr">
        <is>
          <t>City</t>
        </is>
      </c>
      <c r="R545" s="36" t="n"/>
      <c r="S545" s="36">
        <f>COUNTIF('Page-Keyword Map'!$A$2:$A$675,B545)</f>
        <v/>
      </c>
      <c r="T545" s="37">
        <f>SUMIF('Page-Keyword Map'!$A$2:$A$675,B545,'Page-Keyword Map'!$H$2:$H$675)</f>
        <v/>
      </c>
      <c r="U545" s="36">
        <f>COUNTIFS('Page-Keyword Map'!$A$2:$A$675,B545,'Page-Keyword Map'!$E$2:$E$675,"Nationwide")</f>
        <v/>
      </c>
      <c r="V545" s="36">
        <f>COUNTIFS('Page-Keyword Map'!$A$2:$A$675,B545,'Page-Keyword Map'!$E$2:$E$675,"Provincial")</f>
        <v/>
      </c>
      <c r="W545" s="36">
        <f>COUNTIFS('Page-Keyword Map'!$A$2:$A$675,B545,'Page-Keyword Map'!$E$2:$E$675,"City")</f>
        <v/>
      </c>
      <c r="X545" s="36">
        <f>IF(O545="","",IF(ISNUMBER(SEARCH(O545,J545)),"Yes","No"))</f>
        <v/>
      </c>
      <c r="Y545" s="36" t="n">
        <v>0.5</v>
      </c>
      <c r="Z545" s="36" t="inlineStr">
        <is>
          <t>sitemap-cities.xml</t>
        </is>
      </c>
      <c r="AA545" s="36" t="inlineStr">
        <is>
          <t>Live – indexable</t>
        </is>
      </c>
      <c r="AB545" s="38" t="n"/>
      <c r="AC545" s="38" t="n"/>
    </row>
    <row r="546" ht="23.85" customHeight="1" s="22">
      <c r="A546" s="36" t="inlineStr">
        <is>
          <t>P0545</t>
        </is>
      </c>
      <c r="B546" s="36" t="inlineStr">
        <is>
          <t>https://instasure.ca/home-insurance/quebec/gatineau/</t>
        </is>
      </c>
      <c r="C546" s="36" t="inlineStr">
        <is>
          <t>Product × city</t>
        </is>
      </c>
      <c r="D546" s="36" t="inlineStr">
        <is>
          <t>Home insurance</t>
        </is>
      </c>
      <c r="E546" s="36" t="inlineStr">
        <is>
          <t>Home Insurance</t>
        </is>
      </c>
      <c r="F546" s="36" t="n"/>
      <c r="G546" s="36" t="inlineStr">
        <is>
          <t>Quebec</t>
        </is>
      </c>
      <c r="H546" s="36" t="inlineStr">
        <is>
          <t>Gatineau</t>
        </is>
      </c>
      <c r="I546" s="36" t="inlineStr">
        <is>
          <t>Yes</t>
        </is>
      </c>
      <c r="J546" s="25" t="inlineStr">
        <is>
          <t>Home Insurance Gatineau, QC: Compare Quotes &amp; Costs (2026)</t>
        </is>
      </c>
      <c r="K546" s="36">
        <f>LEN(J546)</f>
        <v/>
      </c>
      <c r="L546" s="25" t="inlineStr">
        <is>
          <t>Compare home insurance in Gatineau, QC: instant estimate ($78.00–$120/mo example), local risk factors and a waitlist for licensed advice in Quebec.</t>
        </is>
      </c>
      <c r="M546" s="36">
        <f>LEN(L546)</f>
        <v/>
      </c>
      <c r="N546" s="25" t="inlineStr">
        <is>
          <t>Home Insurance in Gatineau, QC</t>
        </is>
      </c>
      <c r="O546" s="36" t="inlineStr">
        <is>
          <t>home insurance gatineau</t>
        </is>
      </c>
      <c r="P546" s="37" t="n">
        <v>93</v>
      </c>
      <c r="Q546" s="36" t="inlineStr">
        <is>
          <t>City</t>
        </is>
      </c>
      <c r="R546" s="36" t="n"/>
      <c r="S546" s="36">
        <f>COUNTIF('Page-Keyword Map'!$A$2:$A$675,B546)</f>
        <v/>
      </c>
      <c r="T546" s="37">
        <f>SUMIF('Page-Keyword Map'!$A$2:$A$675,B546,'Page-Keyword Map'!$H$2:$H$675)</f>
        <v/>
      </c>
      <c r="U546" s="36">
        <f>COUNTIFS('Page-Keyword Map'!$A$2:$A$675,B546,'Page-Keyword Map'!$E$2:$E$675,"Nationwide")</f>
        <v/>
      </c>
      <c r="V546" s="36">
        <f>COUNTIFS('Page-Keyword Map'!$A$2:$A$675,B546,'Page-Keyword Map'!$E$2:$E$675,"Provincial")</f>
        <v/>
      </c>
      <c r="W546" s="36">
        <f>COUNTIFS('Page-Keyword Map'!$A$2:$A$675,B546,'Page-Keyword Map'!$E$2:$E$675,"City")</f>
        <v/>
      </c>
      <c r="X546" s="36">
        <f>IF(O546="","",IF(ISNUMBER(SEARCH(O546,J546)),"Yes","No"))</f>
        <v/>
      </c>
      <c r="Y546" s="36" t="n">
        <v>0.5</v>
      </c>
      <c r="Z546" s="36" t="inlineStr">
        <is>
          <t>sitemap-cities.xml</t>
        </is>
      </c>
      <c r="AA546" s="36" t="inlineStr">
        <is>
          <t>Live – indexable</t>
        </is>
      </c>
      <c r="AB546" s="38" t="n"/>
      <c r="AC546" s="38" t="n"/>
    </row>
    <row r="547" ht="23.85" customHeight="1" s="22">
      <c r="A547" s="36" t="inlineStr">
        <is>
          <t>P0546</t>
        </is>
      </c>
      <c r="B547" s="36" t="inlineStr">
        <is>
          <t>https://instasure.ca/home-insurance/quebec/laval/</t>
        </is>
      </c>
      <c r="C547" s="36" t="inlineStr">
        <is>
          <t>Product × city</t>
        </is>
      </c>
      <c r="D547" s="36" t="inlineStr">
        <is>
          <t>Home insurance</t>
        </is>
      </c>
      <c r="E547" s="36" t="inlineStr">
        <is>
          <t>Home Insurance</t>
        </is>
      </c>
      <c r="F547" s="36" t="n"/>
      <c r="G547" s="36" t="inlineStr">
        <is>
          <t>Quebec</t>
        </is>
      </c>
      <c r="H547" s="36" t="inlineStr">
        <is>
          <t>Laval</t>
        </is>
      </c>
      <c r="I547" s="36" t="inlineStr">
        <is>
          <t>Yes</t>
        </is>
      </c>
      <c r="J547" s="25" t="inlineStr">
        <is>
          <t>Home Insurance Laval, QC: Compare Quotes &amp; Costs (2026)</t>
        </is>
      </c>
      <c r="K547" s="36">
        <f>LEN(J547)</f>
        <v/>
      </c>
      <c r="L547" s="25" t="inlineStr">
        <is>
          <t>Compare home insurance in Laval, QC: instant estimate ($79.00–$123/mo example), local risk factors and a waitlist for licensed advice in Quebec.</t>
        </is>
      </c>
      <c r="M547" s="36">
        <f>LEN(L547)</f>
        <v/>
      </c>
      <c r="N547" s="25" t="inlineStr">
        <is>
          <t>Home Insurance in Laval, QC</t>
        </is>
      </c>
      <c r="O547" s="36" t="inlineStr">
        <is>
          <t>home insurance laval</t>
        </is>
      </c>
      <c r="P547" s="37" t="n">
        <v>130</v>
      </c>
      <c r="Q547" s="36" t="inlineStr">
        <is>
          <t>City</t>
        </is>
      </c>
      <c r="R547" s="36" t="n"/>
      <c r="S547" s="36">
        <f>COUNTIF('Page-Keyword Map'!$A$2:$A$675,B547)</f>
        <v/>
      </c>
      <c r="T547" s="37">
        <f>SUMIF('Page-Keyword Map'!$A$2:$A$675,B547,'Page-Keyword Map'!$H$2:$H$675)</f>
        <v/>
      </c>
      <c r="U547" s="36">
        <f>COUNTIFS('Page-Keyword Map'!$A$2:$A$675,B547,'Page-Keyword Map'!$E$2:$E$675,"Nationwide")</f>
        <v/>
      </c>
      <c r="V547" s="36">
        <f>COUNTIFS('Page-Keyword Map'!$A$2:$A$675,B547,'Page-Keyword Map'!$E$2:$E$675,"Provincial")</f>
        <v/>
      </c>
      <c r="W547" s="36">
        <f>COUNTIFS('Page-Keyword Map'!$A$2:$A$675,B547,'Page-Keyword Map'!$E$2:$E$675,"City")</f>
        <v/>
      </c>
      <c r="X547" s="36">
        <f>IF(O547="","",IF(ISNUMBER(SEARCH(O547,J547)),"Yes","No"))</f>
        <v/>
      </c>
      <c r="Y547" s="36" t="n">
        <v>0.7</v>
      </c>
      <c r="Z547" s="36" t="inlineStr">
        <is>
          <t>sitemap-cities.xml</t>
        </is>
      </c>
      <c r="AA547" s="36" t="inlineStr">
        <is>
          <t>Live – indexable</t>
        </is>
      </c>
      <c r="AB547" s="38" t="n"/>
      <c r="AC547" s="38" t="n"/>
    </row>
    <row r="548" ht="23.85" customHeight="1" s="22">
      <c r="A548" s="36" t="inlineStr">
        <is>
          <t>P0547</t>
        </is>
      </c>
      <c r="B548" s="36" t="inlineStr">
        <is>
          <t>https://instasure.ca/home-insurance/quebec/longueuil/</t>
        </is>
      </c>
      <c r="C548" s="36" t="inlineStr">
        <is>
          <t>Product × city</t>
        </is>
      </c>
      <c r="D548" s="36" t="inlineStr">
        <is>
          <t>Home insurance</t>
        </is>
      </c>
      <c r="E548" s="36" t="inlineStr">
        <is>
          <t>Home Insurance</t>
        </is>
      </c>
      <c r="F548" s="36" t="n"/>
      <c r="G548" s="36" t="inlineStr">
        <is>
          <t>Quebec</t>
        </is>
      </c>
      <c r="H548" s="36" t="inlineStr">
        <is>
          <t>Longueuil</t>
        </is>
      </c>
      <c r="I548" s="36" t="inlineStr">
        <is>
          <t>Yes</t>
        </is>
      </c>
      <c r="J548" s="25" t="inlineStr">
        <is>
          <t>Home Insurance Longueuil, QC: Compare Quotes &amp; Costs (2026)</t>
        </is>
      </c>
      <c r="K548" s="36">
        <f>LEN(J548)</f>
        <v/>
      </c>
      <c r="L548" s="25" t="inlineStr">
        <is>
          <t>Compare home insurance in Longueuil, QC: instant estimate ($73.00–$114/mo example), local risk factors and a waitlist for licensed advice in Quebec.</t>
        </is>
      </c>
      <c r="M548" s="36">
        <f>LEN(L548)</f>
        <v/>
      </c>
      <c r="N548" s="25" t="inlineStr">
        <is>
          <t>Home Insurance in Longueuil, QC</t>
        </is>
      </c>
      <c r="O548" s="36" t="inlineStr">
        <is>
          <t>home insurance longueuil</t>
        </is>
      </c>
      <c r="P548" s="37" t="n">
        <v>84</v>
      </c>
      <c r="Q548" s="36" t="inlineStr">
        <is>
          <t>City</t>
        </is>
      </c>
      <c r="R548" s="36" t="n"/>
      <c r="S548" s="36">
        <f>COUNTIF('Page-Keyword Map'!$A$2:$A$675,B548)</f>
        <v/>
      </c>
      <c r="T548" s="37">
        <f>SUMIF('Page-Keyword Map'!$A$2:$A$675,B548,'Page-Keyword Map'!$H$2:$H$675)</f>
        <v/>
      </c>
      <c r="U548" s="36">
        <f>COUNTIFS('Page-Keyword Map'!$A$2:$A$675,B548,'Page-Keyword Map'!$E$2:$E$675,"Nationwide")</f>
        <v/>
      </c>
      <c r="V548" s="36">
        <f>COUNTIFS('Page-Keyword Map'!$A$2:$A$675,B548,'Page-Keyword Map'!$E$2:$E$675,"Provincial")</f>
        <v/>
      </c>
      <c r="W548" s="36">
        <f>COUNTIFS('Page-Keyword Map'!$A$2:$A$675,B548,'Page-Keyword Map'!$E$2:$E$675,"City")</f>
        <v/>
      </c>
      <c r="X548" s="36">
        <f>IF(O548="","",IF(ISNUMBER(SEARCH(O548,J548)),"Yes","No"))</f>
        <v/>
      </c>
      <c r="Y548" s="36" t="n">
        <v>0.5</v>
      </c>
      <c r="Z548" s="36" t="inlineStr">
        <is>
          <t>sitemap-cities.xml</t>
        </is>
      </c>
      <c r="AA548" s="36" t="inlineStr">
        <is>
          <t>Live – indexable</t>
        </is>
      </c>
      <c r="AB548" s="38" t="n"/>
      <c r="AC548" s="38" t="n"/>
    </row>
    <row r="549" ht="23.85" customHeight="1" s="22">
      <c r="A549" s="36" t="inlineStr">
        <is>
          <t>P0548</t>
        </is>
      </c>
      <c r="B549" s="36" t="inlineStr">
        <is>
          <t>https://instasure.ca/home-insurance/quebec/montreal/</t>
        </is>
      </c>
      <c r="C549" s="36" t="inlineStr">
        <is>
          <t>Product × city</t>
        </is>
      </c>
      <c r="D549" s="36" t="inlineStr">
        <is>
          <t>Home insurance</t>
        </is>
      </c>
      <c r="E549" s="36" t="inlineStr">
        <is>
          <t>Home Insurance</t>
        </is>
      </c>
      <c r="F549" s="36" t="n"/>
      <c r="G549" s="36" t="inlineStr">
        <is>
          <t>Quebec</t>
        </is>
      </c>
      <c r="H549" s="36" t="inlineStr">
        <is>
          <t>Montreal</t>
        </is>
      </c>
      <c r="I549" s="36" t="inlineStr">
        <is>
          <t>Yes</t>
        </is>
      </c>
      <c r="J549" s="25" t="inlineStr">
        <is>
          <t>Home Insurance Montreal, QC: Compare Quotes &amp; Costs (2026)</t>
        </is>
      </c>
      <c r="K549" s="36">
        <f>LEN(J549)</f>
        <v/>
      </c>
      <c r="L549" s="25" t="inlineStr">
        <is>
          <t>Compare home insurance in Montreal, QC: instant estimate ($73.00–$114/mo example), local risk factors and a waitlist for licensed advice in Quebec.</t>
        </is>
      </c>
      <c r="M549" s="36">
        <f>LEN(L549)</f>
        <v/>
      </c>
      <c r="N549" s="25" t="inlineStr">
        <is>
          <t>Home Insurance in Montreal, QC</t>
        </is>
      </c>
      <c r="O549" s="36" t="inlineStr">
        <is>
          <t>home insurance montreal</t>
        </is>
      </c>
      <c r="P549" s="37" t="n">
        <v>390</v>
      </c>
      <c r="Q549" s="36" t="inlineStr">
        <is>
          <t>City</t>
        </is>
      </c>
      <c r="R549" s="36" t="n"/>
      <c r="S549" s="36">
        <f>COUNTIF('Page-Keyword Map'!$A$2:$A$675,B549)</f>
        <v/>
      </c>
      <c r="T549" s="37">
        <f>SUMIF('Page-Keyword Map'!$A$2:$A$675,B549,'Page-Keyword Map'!$H$2:$H$675)</f>
        <v/>
      </c>
      <c r="U549" s="36">
        <f>COUNTIFS('Page-Keyword Map'!$A$2:$A$675,B549,'Page-Keyword Map'!$E$2:$E$675,"Nationwide")</f>
        <v/>
      </c>
      <c r="V549" s="36">
        <f>COUNTIFS('Page-Keyword Map'!$A$2:$A$675,B549,'Page-Keyword Map'!$E$2:$E$675,"Provincial")</f>
        <v/>
      </c>
      <c r="W549" s="36">
        <f>COUNTIFS('Page-Keyword Map'!$A$2:$A$675,B549,'Page-Keyword Map'!$E$2:$E$675,"City")</f>
        <v/>
      </c>
      <c r="X549" s="36">
        <f>IF(O549="","",IF(ISNUMBER(SEARCH(O549,J549)),"Yes","No"))</f>
        <v/>
      </c>
      <c r="Y549" s="36" t="n">
        <v>0.7</v>
      </c>
      <c r="Z549" s="36" t="inlineStr">
        <is>
          <t>sitemap-cities.xml</t>
        </is>
      </c>
      <c r="AA549" s="36" t="inlineStr">
        <is>
          <t>Live – indexable</t>
        </is>
      </c>
      <c r="AB549" s="38" t="n"/>
      <c r="AC549" s="38" t="n"/>
    </row>
    <row r="550" ht="23.85" customHeight="1" s="22">
      <c r="A550" s="36" t="inlineStr">
        <is>
          <t>P0549</t>
        </is>
      </c>
      <c r="B550" s="36" t="inlineStr">
        <is>
          <t>https://instasure.ca/home-insurance/quebec/quebec-city/</t>
        </is>
      </c>
      <c r="C550" s="36" t="inlineStr">
        <is>
          <t>Product × city</t>
        </is>
      </c>
      <c r="D550" s="36" t="inlineStr">
        <is>
          <t>Home insurance</t>
        </is>
      </c>
      <c r="E550" s="36" t="inlineStr">
        <is>
          <t>Home Insurance</t>
        </is>
      </c>
      <c r="F550" s="36" t="n"/>
      <c r="G550" s="36" t="inlineStr">
        <is>
          <t>Quebec</t>
        </is>
      </c>
      <c r="H550" s="36" t="inlineStr">
        <is>
          <t>Quebec City</t>
        </is>
      </c>
      <c r="I550" s="36" t="inlineStr">
        <is>
          <t>Yes</t>
        </is>
      </c>
      <c r="J550" s="25" t="inlineStr">
        <is>
          <t>Home Insurance Quebec City, QC: Compare Quotes &amp; Costs (2026)</t>
        </is>
      </c>
      <c r="K550" s="36">
        <f>LEN(J550)</f>
        <v/>
      </c>
      <c r="L550" s="25" t="inlineStr">
        <is>
          <t>Compare home insurance in Quebec City, QC: instant estimate ($73.00–$114/mo example), local risk factors and a waitlist for licensed advice in Quebec.</t>
        </is>
      </c>
      <c r="M550" s="36">
        <f>LEN(L550)</f>
        <v/>
      </c>
      <c r="N550" s="25" t="inlineStr">
        <is>
          <t>Home Insurance in Quebec City, QC</t>
        </is>
      </c>
      <c r="O550" s="36" t="inlineStr">
        <is>
          <t>home insurance quebec city</t>
        </is>
      </c>
      <c r="P550" s="37" t="n">
        <v>160</v>
      </c>
      <c r="Q550" s="36" t="inlineStr">
        <is>
          <t>City</t>
        </is>
      </c>
      <c r="R550" s="36" t="n"/>
      <c r="S550" s="36">
        <f>COUNTIF('Page-Keyword Map'!$A$2:$A$675,B550)</f>
        <v/>
      </c>
      <c r="T550" s="37">
        <f>SUMIF('Page-Keyword Map'!$A$2:$A$675,B550,'Page-Keyword Map'!$H$2:$H$675)</f>
        <v/>
      </c>
      <c r="U550" s="36">
        <f>COUNTIFS('Page-Keyword Map'!$A$2:$A$675,B550,'Page-Keyword Map'!$E$2:$E$675,"Nationwide")</f>
        <v/>
      </c>
      <c r="V550" s="36">
        <f>COUNTIFS('Page-Keyword Map'!$A$2:$A$675,B550,'Page-Keyword Map'!$E$2:$E$675,"Provincial")</f>
        <v/>
      </c>
      <c r="W550" s="36">
        <f>COUNTIFS('Page-Keyword Map'!$A$2:$A$675,B550,'Page-Keyword Map'!$E$2:$E$675,"City")</f>
        <v/>
      </c>
      <c r="X550" s="36">
        <f>IF(O550="","",IF(ISNUMBER(SEARCH(O550,J550)),"Yes","No"))</f>
        <v/>
      </c>
      <c r="Y550" s="36" t="n">
        <v>0.7</v>
      </c>
      <c r="Z550" s="36" t="inlineStr">
        <is>
          <t>sitemap-cities.xml</t>
        </is>
      </c>
      <c r="AA550" s="36" t="inlineStr">
        <is>
          <t>Live – indexable</t>
        </is>
      </c>
      <c r="AB550" s="38" t="n"/>
      <c r="AC550" s="38" t="n"/>
    </row>
    <row r="551" ht="23.85" customHeight="1" s="22">
      <c r="A551" s="36" t="inlineStr">
        <is>
          <t>P0550</t>
        </is>
      </c>
      <c r="B551" s="36" t="inlineStr">
        <is>
          <t>https://instasure.ca/home-insurance/quebec/sherbrooke/</t>
        </is>
      </c>
      <c r="C551" s="36" t="inlineStr">
        <is>
          <t>Product × city</t>
        </is>
      </c>
      <c r="D551" s="36" t="inlineStr">
        <is>
          <t>Home insurance</t>
        </is>
      </c>
      <c r="E551" s="36" t="inlineStr">
        <is>
          <t>Home Insurance</t>
        </is>
      </c>
      <c r="F551" s="36" t="n"/>
      <c r="G551" s="36" t="inlineStr">
        <is>
          <t>Quebec</t>
        </is>
      </c>
      <c r="H551" s="36" t="inlineStr">
        <is>
          <t>Sherbrooke</t>
        </is>
      </c>
      <c r="I551" s="36" t="inlineStr">
        <is>
          <t>No</t>
        </is>
      </c>
      <c r="J551" s="25" t="inlineStr">
        <is>
          <t>Home Insurance Sherbrooke, QC: Compare Quotes &amp; Costs (2026)</t>
        </is>
      </c>
      <c r="K551" s="36">
        <f>LEN(J551)</f>
        <v/>
      </c>
      <c r="L551" s="25" t="inlineStr">
        <is>
          <t>Compare home insurance in Sherbrooke, QC: instant estimate ($73.00–$114/mo example), local risk factors and a waitlist for licensed advice in Quebec.</t>
        </is>
      </c>
      <c r="M551" s="36">
        <f>LEN(L551)</f>
        <v/>
      </c>
      <c r="N551" s="25" t="inlineStr">
        <is>
          <t>Home Insurance in Sherbrooke, QC</t>
        </is>
      </c>
      <c r="O551" s="36" t="inlineStr">
        <is>
          <t>home insurance sherbrooke</t>
        </is>
      </c>
      <c r="P551" s="37" t="n">
        <v>62</v>
      </c>
      <c r="Q551" s="36" t="inlineStr">
        <is>
          <t>City</t>
        </is>
      </c>
      <c r="R551" s="36" t="n"/>
      <c r="S551" s="36">
        <f>COUNTIF('Page-Keyword Map'!$A$2:$A$675,B551)</f>
        <v/>
      </c>
      <c r="T551" s="37">
        <f>SUMIF('Page-Keyword Map'!$A$2:$A$675,B551,'Page-Keyword Map'!$H$2:$H$675)</f>
        <v/>
      </c>
      <c r="U551" s="36">
        <f>COUNTIFS('Page-Keyword Map'!$A$2:$A$675,B551,'Page-Keyword Map'!$E$2:$E$675,"Nationwide")</f>
        <v/>
      </c>
      <c r="V551" s="36">
        <f>COUNTIFS('Page-Keyword Map'!$A$2:$A$675,B551,'Page-Keyword Map'!$E$2:$E$675,"Provincial")</f>
        <v/>
      </c>
      <c r="W551" s="36">
        <f>COUNTIFS('Page-Keyword Map'!$A$2:$A$675,B551,'Page-Keyword Map'!$E$2:$E$675,"City")</f>
        <v/>
      </c>
      <c r="X551" s="36">
        <f>IF(O551="","",IF(ISNUMBER(SEARCH(O551,J551)),"Yes","No"))</f>
        <v/>
      </c>
      <c r="Y551" s="36" t="n">
        <v>0.5</v>
      </c>
      <c r="Z551" s="36" t="inlineStr">
        <is>
          <t>(not listed: noindex)</t>
        </is>
      </c>
      <c r="AA551" s="36" t="inlineStr">
        <is>
          <t>Live – noindex (enrich before indexing)</t>
        </is>
      </c>
      <c r="AB551" s="38" t="n"/>
      <c r="AC551" s="38" t="n"/>
    </row>
    <row r="552" ht="23.85" customHeight="1" s="22">
      <c r="A552" s="36" t="inlineStr">
        <is>
          <t>P0551</t>
        </is>
      </c>
      <c r="B552" s="36" t="inlineStr">
        <is>
          <t>https://instasure.ca/home-insurance/saskatchewan/regina/</t>
        </is>
      </c>
      <c r="C552" s="36" t="inlineStr">
        <is>
          <t>Product × city</t>
        </is>
      </c>
      <c r="D552" s="36" t="inlineStr">
        <is>
          <t>Home insurance</t>
        </is>
      </c>
      <c r="E552" s="36" t="inlineStr">
        <is>
          <t>Home Insurance</t>
        </is>
      </c>
      <c r="F552" s="36" t="n"/>
      <c r="G552" s="36" t="inlineStr">
        <is>
          <t>Saskatchewan</t>
        </is>
      </c>
      <c r="H552" s="36" t="inlineStr">
        <is>
          <t>Regina</t>
        </is>
      </c>
      <c r="I552" s="36" t="inlineStr">
        <is>
          <t>Yes</t>
        </is>
      </c>
      <c r="J552" s="25" t="inlineStr">
        <is>
          <t>Home Insurance Regina, SK: Compare Quotes &amp; Costs (2026)</t>
        </is>
      </c>
      <c r="K552" s="36">
        <f>LEN(J552)</f>
        <v/>
      </c>
      <c r="L552" s="25" t="inlineStr">
        <is>
          <t>Compare home insurance in Regina, SK: instant estimate ($130–$201/mo example), local risk factors and advisors licensed in Saskatchewan.</t>
        </is>
      </c>
      <c r="M552" s="36">
        <f>LEN(L552)</f>
        <v/>
      </c>
      <c r="N552" s="25" t="inlineStr">
        <is>
          <t>Home Insurance in Regina, SK</t>
        </is>
      </c>
      <c r="O552" s="36" t="inlineStr">
        <is>
          <t>home insurance regina</t>
        </is>
      </c>
      <c r="P552" s="37" t="n">
        <v>250</v>
      </c>
      <c r="Q552" s="36" t="inlineStr">
        <is>
          <t>City</t>
        </is>
      </c>
      <c r="R552" s="36" t="n"/>
      <c r="S552" s="36">
        <f>COUNTIF('Page-Keyword Map'!$A$2:$A$675,B552)</f>
        <v/>
      </c>
      <c r="T552" s="37">
        <f>SUMIF('Page-Keyword Map'!$A$2:$A$675,B552,'Page-Keyword Map'!$H$2:$H$675)</f>
        <v/>
      </c>
      <c r="U552" s="36">
        <f>COUNTIFS('Page-Keyword Map'!$A$2:$A$675,B552,'Page-Keyword Map'!$E$2:$E$675,"Nationwide")</f>
        <v/>
      </c>
      <c r="V552" s="36">
        <f>COUNTIFS('Page-Keyword Map'!$A$2:$A$675,B552,'Page-Keyword Map'!$E$2:$E$675,"Provincial")</f>
        <v/>
      </c>
      <c r="W552" s="36">
        <f>COUNTIFS('Page-Keyword Map'!$A$2:$A$675,B552,'Page-Keyword Map'!$E$2:$E$675,"City")</f>
        <v/>
      </c>
      <c r="X552" s="36">
        <f>IF(O552="","",IF(ISNUMBER(SEARCH(O552,J552)),"Yes","No"))</f>
        <v/>
      </c>
      <c r="Y552" s="36" t="n">
        <v>0.7</v>
      </c>
      <c r="Z552" s="36" t="inlineStr">
        <is>
          <t>sitemap-cities.xml</t>
        </is>
      </c>
      <c r="AA552" s="36" t="inlineStr">
        <is>
          <t>Live – indexable</t>
        </is>
      </c>
      <c r="AB552" s="38" t="n"/>
      <c r="AC552" s="38" t="n"/>
    </row>
    <row r="553" ht="23.85" customHeight="1" s="22">
      <c r="A553" s="36" t="inlineStr">
        <is>
          <t>P0552</t>
        </is>
      </c>
      <c r="B553" s="36" t="inlineStr">
        <is>
          <t>https://instasure.ca/home-insurance/saskatchewan/saskatoon/</t>
        </is>
      </c>
      <c r="C553" s="36" t="inlineStr">
        <is>
          <t>Product × city</t>
        </is>
      </c>
      <c r="D553" s="36" t="inlineStr">
        <is>
          <t>Home insurance</t>
        </is>
      </c>
      <c r="E553" s="36" t="inlineStr">
        <is>
          <t>Home Insurance</t>
        </is>
      </c>
      <c r="F553" s="36" t="n"/>
      <c r="G553" s="36" t="inlineStr">
        <is>
          <t>Saskatchewan</t>
        </is>
      </c>
      <c r="H553" s="36" t="inlineStr">
        <is>
          <t>Saskatoon</t>
        </is>
      </c>
      <c r="I553" s="36" t="inlineStr">
        <is>
          <t>Yes</t>
        </is>
      </c>
      <c r="J553" s="25" t="inlineStr">
        <is>
          <t>Home Insurance Saskatoon, SK: Compare Quotes &amp; Costs (2026)</t>
        </is>
      </c>
      <c r="K553" s="36">
        <f>LEN(J553)</f>
        <v/>
      </c>
      <c r="L553" s="25" t="inlineStr">
        <is>
          <t>Compare home insurance in Saskatoon, SK: instant estimate ($130–$201/mo example), local risk factors and advisors licensed in Saskatchewan.</t>
        </is>
      </c>
      <c r="M553" s="36">
        <f>LEN(L553)</f>
        <v/>
      </c>
      <c r="N553" s="25" t="inlineStr">
        <is>
          <t>Home Insurance in Saskatoon, SK</t>
        </is>
      </c>
      <c r="O553" s="36" t="inlineStr">
        <is>
          <t>home insurance saskatoon</t>
        </is>
      </c>
      <c r="P553" s="37" t="n">
        <v>290</v>
      </c>
      <c r="Q553" s="36" t="inlineStr">
        <is>
          <t>City</t>
        </is>
      </c>
      <c r="R553" s="36" t="n"/>
      <c r="S553" s="36">
        <f>COUNTIF('Page-Keyword Map'!$A$2:$A$675,B553)</f>
        <v/>
      </c>
      <c r="T553" s="37">
        <f>SUMIF('Page-Keyword Map'!$A$2:$A$675,B553,'Page-Keyword Map'!$H$2:$H$675)</f>
        <v/>
      </c>
      <c r="U553" s="36">
        <f>COUNTIFS('Page-Keyword Map'!$A$2:$A$675,B553,'Page-Keyword Map'!$E$2:$E$675,"Nationwide")</f>
        <v/>
      </c>
      <c r="V553" s="36">
        <f>COUNTIFS('Page-Keyword Map'!$A$2:$A$675,B553,'Page-Keyword Map'!$E$2:$E$675,"Provincial")</f>
        <v/>
      </c>
      <c r="W553" s="36">
        <f>COUNTIFS('Page-Keyword Map'!$A$2:$A$675,B553,'Page-Keyword Map'!$E$2:$E$675,"City")</f>
        <v/>
      </c>
      <c r="X553" s="36">
        <f>IF(O553="","",IF(ISNUMBER(SEARCH(O553,J553)),"Yes","No"))</f>
        <v/>
      </c>
      <c r="Y553" s="36" t="n">
        <v>0.7</v>
      </c>
      <c r="Z553" s="36" t="inlineStr">
        <is>
          <t>sitemap-cities.xml</t>
        </is>
      </c>
      <c r="AA553" s="36" t="inlineStr">
        <is>
          <t>Live – indexable</t>
        </is>
      </c>
      <c r="AB553" s="38" t="n"/>
      <c r="AC553" s="38" t="n"/>
    </row>
    <row r="554" ht="23.85" customHeight="1" s="22">
      <c r="A554" s="36" t="inlineStr">
        <is>
          <t>P0553</t>
        </is>
      </c>
      <c r="B554" s="36" t="inlineStr">
        <is>
          <t>https://instasure.ca/home-insurance/yukon/whitehorse/</t>
        </is>
      </c>
      <c r="C554" s="36" t="inlineStr">
        <is>
          <t>Product × city</t>
        </is>
      </c>
      <c r="D554" s="36" t="inlineStr">
        <is>
          <t>Home insurance</t>
        </is>
      </c>
      <c r="E554" s="36" t="inlineStr">
        <is>
          <t>Home Insurance</t>
        </is>
      </c>
      <c r="F554" s="36" t="n"/>
      <c r="G554" s="36" t="inlineStr">
        <is>
          <t>Yukon</t>
        </is>
      </c>
      <c r="H554" s="36" t="inlineStr">
        <is>
          <t>Whitehorse</t>
        </is>
      </c>
      <c r="I554" s="36" t="inlineStr">
        <is>
          <t>No</t>
        </is>
      </c>
      <c r="J554" s="25" t="inlineStr">
        <is>
          <t>Home Insurance Whitehorse, YT: Compare Quotes &amp; Costs (2026)</t>
        </is>
      </c>
      <c r="K554" s="36">
        <f>LEN(J554)</f>
        <v/>
      </c>
      <c r="L554" s="25" t="inlineStr">
        <is>
          <t>Compare home insurance in Whitehorse, YT: instant estimate ($133–$207/mo example), local risk factors and a waitlist for licensed advice in Yukon.</t>
        </is>
      </c>
      <c r="M554" s="36">
        <f>LEN(L554)</f>
        <v/>
      </c>
      <c r="N554" s="25" t="inlineStr">
        <is>
          <t>Home Insurance in Whitehorse, YT</t>
        </is>
      </c>
      <c r="O554" s="36" t="n"/>
      <c r="P554" s="37" t="n"/>
      <c r="Q554" s="36" t="n"/>
      <c r="R554" s="36" t="inlineStr">
        <is>
          <t>home insurance whitehorse</t>
        </is>
      </c>
      <c r="S554" s="36">
        <f>COUNTIF('Page-Keyword Map'!$A$2:$A$675,B554)</f>
        <v/>
      </c>
      <c r="T554" s="37">
        <f>SUMIF('Page-Keyword Map'!$A$2:$A$675,B554,'Page-Keyword Map'!$H$2:$H$675)</f>
        <v/>
      </c>
      <c r="U554" s="36">
        <f>COUNTIFS('Page-Keyword Map'!$A$2:$A$675,B554,'Page-Keyword Map'!$E$2:$E$675,"Nationwide")</f>
        <v/>
      </c>
      <c r="V554" s="36">
        <f>COUNTIFS('Page-Keyword Map'!$A$2:$A$675,B554,'Page-Keyword Map'!$E$2:$E$675,"Provincial")</f>
        <v/>
      </c>
      <c r="W554" s="36">
        <f>COUNTIFS('Page-Keyword Map'!$A$2:$A$675,B554,'Page-Keyword Map'!$E$2:$E$675,"City")</f>
        <v/>
      </c>
      <c r="X554" s="36">
        <f>IF(O554="","",IF(ISNUMBER(SEARCH(O554,J554)),"Yes","No"))</f>
        <v/>
      </c>
      <c r="Y554" s="36" t="n">
        <v>0.5</v>
      </c>
      <c r="Z554" s="36" t="inlineStr">
        <is>
          <t>(not listed: noindex)</t>
        </is>
      </c>
      <c r="AA554" s="36" t="inlineStr">
        <is>
          <t>Live – noindex (enrich before indexing)</t>
        </is>
      </c>
      <c r="AB554" s="38" t="n"/>
      <c r="AC554" s="38" t="n"/>
    </row>
    <row r="555" ht="23.85" customHeight="1" s="22">
      <c r="A555" s="36" t="inlineStr">
        <is>
          <t>P0554</t>
        </is>
      </c>
      <c r="B555" s="36" t="inlineStr">
        <is>
          <t>https://instasure.ca/life-insurance/alberta/airdrie/</t>
        </is>
      </c>
      <c r="C555" s="36" t="inlineStr">
        <is>
          <t>Product × city</t>
        </is>
      </c>
      <c r="D555" s="36" t="inlineStr">
        <is>
          <t>Life insurance</t>
        </is>
      </c>
      <c r="E555" s="36" t="inlineStr">
        <is>
          <t>Life Insurance</t>
        </is>
      </c>
      <c r="F555" s="36" t="n"/>
      <c r="G555" s="36" t="inlineStr">
        <is>
          <t>Alberta</t>
        </is>
      </c>
      <c r="H555" s="36" t="inlineStr">
        <is>
          <t>Airdrie</t>
        </is>
      </c>
      <c r="I555" s="36" t="inlineStr">
        <is>
          <t>No</t>
        </is>
      </c>
      <c r="J555" s="25" t="inlineStr">
        <is>
          <t>Life Insurance Airdrie, AB: Compare Quotes &amp; Costs (2026)</t>
        </is>
      </c>
      <c r="K555" s="36">
        <f>LEN(J555)</f>
        <v/>
      </c>
      <c r="L555" s="25" t="inlineStr">
        <is>
          <t>Compare life insurance in Airdrie, AB: instant estimate ($20.50–$29.50/mo example), example prices by age and advisors licensed in Alberta.</t>
        </is>
      </c>
      <c r="M555" s="36">
        <f>LEN(L555)</f>
        <v/>
      </c>
      <c r="N555" s="25" t="inlineStr">
        <is>
          <t>Life Insurance in Airdrie, AB</t>
        </is>
      </c>
      <c r="O555" s="36" t="inlineStr">
        <is>
          <t>life insurance airdrie</t>
        </is>
      </c>
      <c r="P555" s="37" t="n">
        <v>48</v>
      </c>
      <c r="Q555" s="36" t="inlineStr">
        <is>
          <t>City</t>
        </is>
      </c>
      <c r="R555" s="36" t="n"/>
      <c r="S555" s="36">
        <f>COUNTIF('Page-Keyword Map'!$A$2:$A$675,B555)</f>
        <v/>
      </c>
      <c r="T555" s="37">
        <f>SUMIF('Page-Keyword Map'!$A$2:$A$675,B555,'Page-Keyword Map'!$H$2:$H$675)</f>
        <v/>
      </c>
      <c r="U555" s="36">
        <f>COUNTIFS('Page-Keyword Map'!$A$2:$A$675,B555,'Page-Keyword Map'!$E$2:$E$675,"Nationwide")</f>
        <v/>
      </c>
      <c r="V555" s="36">
        <f>COUNTIFS('Page-Keyword Map'!$A$2:$A$675,B555,'Page-Keyword Map'!$E$2:$E$675,"Provincial")</f>
        <v/>
      </c>
      <c r="W555" s="36">
        <f>COUNTIFS('Page-Keyword Map'!$A$2:$A$675,B555,'Page-Keyword Map'!$E$2:$E$675,"City")</f>
        <v/>
      </c>
      <c r="X555" s="36">
        <f>IF(O555="","",IF(ISNUMBER(SEARCH(O555,J555)),"Yes","No"))</f>
        <v/>
      </c>
      <c r="Y555" s="36" t="n">
        <v>0.5</v>
      </c>
      <c r="Z555" s="36" t="inlineStr">
        <is>
          <t>(not listed: noindex)</t>
        </is>
      </c>
      <c r="AA555" s="36" t="inlineStr">
        <is>
          <t>Live – noindex (enrich before indexing)</t>
        </is>
      </c>
      <c r="AB555" s="38" t="n"/>
      <c r="AC555" s="38" t="n"/>
    </row>
    <row r="556" ht="23.85" customHeight="1" s="22">
      <c r="A556" s="36" t="inlineStr">
        <is>
          <t>P0555</t>
        </is>
      </c>
      <c r="B556" s="36" t="inlineStr">
        <is>
          <t>https://instasure.ca/life-insurance/alberta/calgary/</t>
        </is>
      </c>
      <c r="C556" s="36" t="inlineStr">
        <is>
          <t>Product × city</t>
        </is>
      </c>
      <c r="D556" s="36" t="inlineStr">
        <is>
          <t>Life insurance</t>
        </is>
      </c>
      <c r="E556" s="36" t="inlineStr">
        <is>
          <t>Life Insurance</t>
        </is>
      </c>
      <c r="F556" s="36" t="n"/>
      <c r="G556" s="36" t="inlineStr">
        <is>
          <t>Alberta</t>
        </is>
      </c>
      <c r="H556" s="36" t="inlineStr">
        <is>
          <t>Calgary</t>
        </is>
      </c>
      <c r="I556" s="36" t="inlineStr">
        <is>
          <t>Yes</t>
        </is>
      </c>
      <c r="J556" s="25" t="inlineStr">
        <is>
          <t>Life Insurance Calgary, AB: Compare Quotes &amp; Costs (2026)</t>
        </is>
      </c>
      <c r="K556" s="36">
        <f>LEN(J556)</f>
        <v/>
      </c>
      <c r="L556" s="25" t="inlineStr">
        <is>
          <t>Compare life insurance in Calgary, AB: instant estimate ($20.50–$29.50/mo example), example prices by age and advisors licensed in Alberta.</t>
        </is>
      </c>
      <c r="M556" s="36">
        <f>LEN(L556)</f>
        <v/>
      </c>
      <c r="N556" s="25" t="inlineStr">
        <is>
          <t>Life Insurance in Calgary, AB</t>
        </is>
      </c>
      <c r="O556" s="36" t="inlineStr">
        <is>
          <t>life insurance calgary</t>
        </is>
      </c>
      <c r="P556" s="37" t="n">
        <v>480</v>
      </c>
      <c r="Q556" s="36" t="inlineStr">
        <is>
          <t>City</t>
        </is>
      </c>
      <c r="R556" s="36" t="n"/>
      <c r="S556" s="36">
        <f>COUNTIF('Page-Keyword Map'!$A$2:$A$675,B556)</f>
        <v/>
      </c>
      <c r="T556" s="37">
        <f>SUMIF('Page-Keyword Map'!$A$2:$A$675,B556,'Page-Keyword Map'!$H$2:$H$675)</f>
        <v/>
      </c>
      <c r="U556" s="36">
        <f>COUNTIFS('Page-Keyword Map'!$A$2:$A$675,B556,'Page-Keyword Map'!$E$2:$E$675,"Nationwide")</f>
        <v/>
      </c>
      <c r="V556" s="36">
        <f>COUNTIFS('Page-Keyword Map'!$A$2:$A$675,B556,'Page-Keyword Map'!$E$2:$E$675,"Provincial")</f>
        <v/>
      </c>
      <c r="W556" s="36">
        <f>COUNTIFS('Page-Keyword Map'!$A$2:$A$675,B556,'Page-Keyword Map'!$E$2:$E$675,"City")</f>
        <v/>
      </c>
      <c r="X556" s="36">
        <f>IF(O556="","",IF(ISNUMBER(SEARCH(O556,J556)),"Yes","No"))</f>
        <v/>
      </c>
      <c r="Y556" s="36" t="n">
        <v>0.7</v>
      </c>
      <c r="Z556" s="36" t="inlineStr">
        <is>
          <t>sitemap-cities.xml</t>
        </is>
      </c>
      <c r="AA556" s="36" t="inlineStr">
        <is>
          <t>Live – indexable</t>
        </is>
      </c>
      <c r="AB556" s="38" t="n"/>
      <c r="AC556" s="38" t="n"/>
    </row>
    <row r="557" ht="23.85" customHeight="1" s="22">
      <c r="A557" s="36" t="inlineStr">
        <is>
          <t>P0556</t>
        </is>
      </c>
      <c r="B557" s="36" t="inlineStr">
        <is>
          <t>https://instasure.ca/life-insurance/alberta/edmonton/</t>
        </is>
      </c>
      <c r="C557" s="36" t="inlineStr">
        <is>
          <t>Product × city</t>
        </is>
      </c>
      <c r="D557" s="36" t="inlineStr">
        <is>
          <t>Life insurance</t>
        </is>
      </c>
      <c r="E557" s="36" t="inlineStr">
        <is>
          <t>Life Insurance</t>
        </is>
      </c>
      <c r="F557" s="36" t="n"/>
      <c r="G557" s="36" t="inlineStr">
        <is>
          <t>Alberta</t>
        </is>
      </c>
      <c r="H557" s="36" t="inlineStr">
        <is>
          <t>Edmonton</t>
        </is>
      </c>
      <c r="I557" s="36" t="inlineStr">
        <is>
          <t>Yes</t>
        </is>
      </c>
      <c r="J557" s="25" t="inlineStr">
        <is>
          <t>Life Insurance Edmonton, AB: Compare Quotes &amp; Costs (2026)</t>
        </is>
      </c>
      <c r="K557" s="36">
        <f>LEN(J557)</f>
        <v/>
      </c>
      <c r="L557" s="25" t="inlineStr">
        <is>
          <t>Compare life insurance in Edmonton, AB: instant estimate ($20.50–$29.50/mo example), example prices by age and advisors licensed in Alberta.</t>
        </is>
      </c>
      <c r="M557" s="36">
        <f>LEN(L557)</f>
        <v/>
      </c>
      <c r="N557" s="25" t="inlineStr">
        <is>
          <t>Life Insurance in Edmonton, AB</t>
        </is>
      </c>
      <c r="O557" s="36" t="inlineStr">
        <is>
          <t>life insurance edmonton</t>
        </is>
      </c>
      <c r="P557" s="37" t="n">
        <v>390</v>
      </c>
      <c r="Q557" s="36" t="inlineStr">
        <is>
          <t>City</t>
        </is>
      </c>
      <c r="R557" s="36" t="n"/>
      <c r="S557" s="36">
        <f>COUNTIF('Page-Keyword Map'!$A$2:$A$675,B557)</f>
        <v/>
      </c>
      <c r="T557" s="37">
        <f>SUMIF('Page-Keyword Map'!$A$2:$A$675,B557,'Page-Keyword Map'!$H$2:$H$675)</f>
        <v/>
      </c>
      <c r="U557" s="36">
        <f>COUNTIFS('Page-Keyword Map'!$A$2:$A$675,B557,'Page-Keyword Map'!$E$2:$E$675,"Nationwide")</f>
        <v/>
      </c>
      <c r="V557" s="36">
        <f>COUNTIFS('Page-Keyword Map'!$A$2:$A$675,B557,'Page-Keyword Map'!$E$2:$E$675,"Provincial")</f>
        <v/>
      </c>
      <c r="W557" s="36">
        <f>COUNTIFS('Page-Keyword Map'!$A$2:$A$675,B557,'Page-Keyword Map'!$E$2:$E$675,"City")</f>
        <v/>
      </c>
      <c r="X557" s="36">
        <f>IF(O557="","",IF(ISNUMBER(SEARCH(O557,J557)),"Yes","No"))</f>
        <v/>
      </c>
      <c r="Y557" s="36" t="n">
        <v>0.7</v>
      </c>
      <c r="Z557" s="36" t="inlineStr">
        <is>
          <t>sitemap-cities.xml</t>
        </is>
      </c>
      <c r="AA557" s="36" t="inlineStr">
        <is>
          <t>Live – indexable</t>
        </is>
      </c>
      <c r="AB557" s="38" t="n"/>
      <c r="AC557" s="38" t="n"/>
    </row>
    <row r="558" ht="23.85" customHeight="1" s="22">
      <c r="A558" s="36" t="inlineStr">
        <is>
          <t>P0557</t>
        </is>
      </c>
      <c r="B558" s="36" t="inlineStr">
        <is>
          <t>https://instasure.ca/life-insurance/alberta/lethbridge/</t>
        </is>
      </c>
      <c r="C558" s="36" t="inlineStr">
        <is>
          <t>Product × city</t>
        </is>
      </c>
      <c r="D558" s="36" t="inlineStr">
        <is>
          <t>Life insurance</t>
        </is>
      </c>
      <c r="E558" s="36" t="inlineStr">
        <is>
          <t>Life Insurance</t>
        </is>
      </c>
      <c r="F558" s="36" t="n"/>
      <c r="G558" s="36" t="inlineStr">
        <is>
          <t>Alberta</t>
        </is>
      </c>
      <c r="H558" s="36" t="inlineStr">
        <is>
          <t>Lethbridge</t>
        </is>
      </c>
      <c r="I558" s="36" t="inlineStr">
        <is>
          <t>No</t>
        </is>
      </c>
      <c r="J558" s="25" t="inlineStr">
        <is>
          <t>Life Insurance Lethbridge, AB: Compare Quotes &amp; Costs (2026)</t>
        </is>
      </c>
      <c r="K558" s="36">
        <f>LEN(J558)</f>
        <v/>
      </c>
      <c r="L558" s="25" t="inlineStr">
        <is>
          <t>Compare life insurance in Lethbridge, AB: instant estimate ($20.50–$29.50/mo example), example prices by age and advisors licensed in Alberta.</t>
        </is>
      </c>
      <c r="M558" s="36">
        <f>LEN(L558)</f>
        <v/>
      </c>
      <c r="N558" s="25" t="inlineStr">
        <is>
          <t>Life Insurance in Lethbridge, AB</t>
        </is>
      </c>
      <c r="O558" s="36" t="inlineStr">
        <is>
          <t>life insurance lethbridge</t>
        </is>
      </c>
      <c r="P558" s="37" t="n">
        <v>60</v>
      </c>
      <c r="Q558" s="36" t="inlineStr">
        <is>
          <t>City</t>
        </is>
      </c>
      <c r="R558" s="36" t="n"/>
      <c r="S558" s="36">
        <f>COUNTIF('Page-Keyword Map'!$A$2:$A$675,B558)</f>
        <v/>
      </c>
      <c r="T558" s="37">
        <f>SUMIF('Page-Keyword Map'!$A$2:$A$675,B558,'Page-Keyword Map'!$H$2:$H$675)</f>
        <v/>
      </c>
      <c r="U558" s="36">
        <f>COUNTIFS('Page-Keyword Map'!$A$2:$A$675,B558,'Page-Keyword Map'!$E$2:$E$675,"Nationwide")</f>
        <v/>
      </c>
      <c r="V558" s="36">
        <f>COUNTIFS('Page-Keyword Map'!$A$2:$A$675,B558,'Page-Keyword Map'!$E$2:$E$675,"Provincial")</f>
        <v/>
      </c>
      <c r="W558" s="36">
        <f>COUNTIFS('Page-Keyword Map'!$A$2:$A$675,B558,'Page-Keyword Map'!$E$2:$E$675,"City")</f>
        <v/>
      </c>
      <c r="X558" s="36">
        <f>IF(O558="","",IF(ISNUMBER(SEARCH(O558,J558)),"Yes","No"))</f>
        <v/>
      </c>
      <c r="Y558" s="36" t="n">
        <v>0.5</v>
      </c>
      <c r="Z558" s="36" t="inlineStr">
        <is>
          <t>(not listed: noindex)</t>
        </is>
      </c>
      <c r="AA558" s="36" t="inlineStr">
        <is>
          <t>Live – noindex (enrich before indexing)</t>
        </is>
      </c>
      <c r="AB558" s="38" t="n"/>
      <c r="AC558" s="38" t="n"/>
    </row>
    <row r="559" ht="23.85" customHeight="1" s="22">
      <c r="A559" s="36" t="inlineStr">
        <is>
          <t>P0558</t>
        </is>
      </c>
      <c r="B559" s="36" t="inlineStr">
        <is>
          <t>https://instasure.ca/life-insurance/alberta/red-deer/</t>
        </is>
      </c>
      <c r="C559" s="36" t="inlineStr">
        <is>
          <t>Product × city</t>
        </is>
      </c>
      <c r="D559" s="36" t="inlineStr">
        <is>
          <t>Life insurance</t>
        </is>
      </c>
      <c r="E559" s="36" t="inlineStr">
        <is>
          <t>Life Insurance</t>
        </is>
      </c>
      <c r="F559" s="36" t="n"/>
      <c r="G559" s="36" t="inlineStr">
        <is>
          <t>Alberta</t>
        </is>
      </c>
      <c r="H559" s="36" t="inlineStr">
        <is>
          <t>Red Deer</t>
        </is>
      </c>
      <c r="I559" s="36" t="inlineStr">
        <is>
          <t>No</t>
        </is>
      </c>
      <c r="J559" s="25" t="inlineStr">
        <is>
          <t>Life Insurance Red Deer, AB: Compare Quotes &amp; Costs (2026)</t>
        </is>
      </c>
      <c r="K559" s="36">
        <f>LEN(J559)</f>
        <v/>
      </c>
      <c r="L559" s="25" t="inlineStr">
        <is>
          <t>Compare life insurance in Red Deer, AB: instant estimate ($20.50–$29.50/mo example), example prices by age and advisors licensed in Alberta.</t>
        </is>
      </c>
      <c r="M559" s="36">
        <f>LEN(L559)</f>
        <v/>
      </c>
      <c r="N559" s="25" t="inlineStr">
        <is>
          <t>Life Insurance in Red Deer, AB</t>
        </is>
      </c>
      <c r="O559" s="36" t="inlineStr">
        <is>
          <t>life insurance red deer</t>
        </is>
      </c>
      <c r="P559" s="37" t="n">
        <v>61</v>
      </c>
      <c r="Q559" s="36" t="inlineStr">
        <is>
          <t>City</t>
        </is>
      </c>
      <c r="R559" s="36" t="n"/>
      <c r="S559" s="36">
        <f>COUNTIF('Page-Keyword Map'!$A$2:$A$675,B559)</f>
        <v/>
      </c>
      <c r="T559" s="37">
        <f>SUMIF('Page-Keyword Map'!$A$2:$A$675,B559,'Page-Keyword Map'!$H$2:$H$675)</f>
        <v/>
      </c>
      <c r="U559" s="36">
        <f>COUNTIFS('Page-Keyword Map'!$A$2:$A$675,B559,'Page-Keyword Map'!$E$2:$E$675,"Nationwide")</f>
        <v/>
      </c>
      <c r="V559" s="36">
        <f>COUNTIFS('Page-Keyword Map'!$A$2:$A$675,B559,'Page-Keyword Map'!$E$2:$E$675,"Provincial")</f>
        <v/>
      </c>
      <c r="W559" s="36">
        <f>COUNTIFS('Page-Keyword Map'!$A$2:$A$675,B559,'Page-Keyword Map'!$E$2:$E$675,"City")</f>
        <v/>
      </c>
      <c r="X559" s="36">
        <f>IF(O559="","",IF(ISNUMBER(SEARCH(O559,J559)),"Yes","No"))</f>
        <v/>
      </c>
      <c r="Y559" s="36" t="n">
        <v>0.5</v>
      </c>
      <c r="Z559" s="36" t="inlineStr">
        <is>
          <t>(not listed: noindex)</t>
        </is>
      </c>
      <c r="AA559" s="36" t="inlineStr">
        <is>
          <t>Live – noindex (enrich before indexing)</t>
        </is>
      </c>
      <c r="AB559" s="38" t="n"/>
      <c r="AC559" s="38" t="n"/>
    </row>
    <row r="560" ht="23.85" customHeight="1" s="22">
      <c r="A560" s="36" t="inlineStr">
        <is>
          <t>P0559</t>
        </is>
      </c>
      <c r="B560" s="36" t="inlineStr">
        <is>
          <t>https://instasure.ca/life-insurance/british-columbia/abbotsford/</t>
        </is>
      </c>
      <c r="C560" s="36" t="inlineStr">
        <is>
          <t>Product × city</t>
        </is>
      </c>
      <c r="D560" s="36" t="inlineStr">
        <is>
          <t>Life insurance</t>
        </is>
      </c>
      <c r="E560" s="36" t="inlineStr">
        <is>
          <t>Life Insurance</t>
        </is>
      </c>
      <c r="F560" s="36" t="n"/>
      <c r="G560" s="36" t="inlineStr">
        <is>
          <t>British Columbia</t>
        </is>
      </c>
      <c r="H560" s="36" t="inlineStr">
        <is>
          <t>Abbotsford</t>
        </is>
      </c>
      <c r="I560" s="36" t="inlineStr">
        <is>
          <t>No</t>
        </is>
      </c>
      <c r="J560" s="25" t="inlineStr">
        <is>
          <t>Life Insurance Abbotsford, BC: Compare Quotes &amp; Costs (2026)</t>
        </is>
      </c>
      <c r="K560" s="36">
        <f>LEN(J560)</f>
        <v/>
      </c>
      <c r="L560" s="25" t="inlineStr">
        <is>
          <t>Compare life insurance in Abbotsford, BC: instant estimate ($20.50–$29.50/mo example), example prices by age and advisors licensed in British Columbia.</t>
        </is>
      </c>
      <c r="M560" s="36">
        <f>LEN(L560)</f>
        <v/>
      </c>
      <c r="N560" s="25" t="inlineStr">
        <is>
          <t>Life Insurance in Abbotsford, BC</t>
        </is>
      </c>
      <c r="O560" s="36" t="inlineStr">
        <is>
          <t>life insurance abbotsford</t>
        </is>
      </c>
      <c r="P560" s="37" t="n">
        <v>86</v>
      </c>
      <c r="Q560" s="36" t="inlineStr">
        <is>
          <t>City</t>
        </is>
      </c>
      <c r="R560" s="36" t="n"/>
      <c r="S560" s="36">
        <f>COUNTIF('Page-Keyword Map'!$A$2:$A$675,B560)</f>
        <v/>
      </c>
      <c r="T560" s="37">
        <f>SUMIF('Page-Keyword Map'!$A$2:$A$675,B560,'Page-Keyword Map'!$H$2:$H$675)</f>
        <v/>
      </c>
      <c r="U560" s="36">
        <f>COUNTIFS('Page-Keyword Map'!$A$2:$A$675,B560,'Page-Keyword Map'!$E$2:$E$675,"Nationwide")</f>
        <v/>
      </c>
      <c r="V560" s="36">
        <f>COUNTIFS('Page-Keyword Map'!$A$2:$A$675,B560,'Page-Keyword Map'!$E$2:$E$675,"Provincial")</f>
        <v/>
      </c>
      <c r="W560" s="36">
        <f>COUNTIFS('Page-Keyword Map'!$A$2:$A$675,B560,'Page-Keyword Map'!$E$2:$E$675,"City")</f>
        <v/>
      </c>
      <c r="X560" s="36">
        <f>IF(O560="","",IF(ISNUMBER(SEARCH(O560,J560)),"Yes","No"))</f>
        <v/>
      </c>
      <c r="Y560" s="36" t="n">
        <v>0.5</v>
      </c>
      <c r="Z560" s="36" t="inlineStr">
        <is>
          <t>(not listed: noindex)</t>
        </is>
      </c>
      <c r="AA560" s="36" t="inlineStr">
        <is>
          <t>Live – noindex (enrich before indexing)</t>
        </is>
      </c>
      <c r="AB560" s="38" t="n"/>
      <c r="AC560" s="38" t="n"/>
    </row>
    <row r="561" ht="23.85" customHeight="1" s="22">
      <c r="A561" s="36" t="inlineStr">
        <is>
          <t>P0560</t>
        </is>
      </c>
      <c r="B561" s="36" t="inlineStr">
        <is>
          <t>https://instasure.ca/life-insurance/british-columbia/burnaby/</t>
        </is>
      </c>
      <c r="C561" s="36" t="inlineStr">
        <is>
          <t>Product × city</t>
        </is>
      </c>
      <c r="D561" s="36" t="inlineStr">
        <is>
          <t>Life insurance</t>
        </is>
      </c>
      <c r="E561" s="36" t="inlineStr">
        <is>
          <t>Life Insurance</t>
        </is>
      </c>
      <c r="F561" s="36" t="n"/>
      <c r="G561" s="36" t="inlineStr">
        <is>
          <t>British Columbia</t>
        </is>
      </c>
      <c r="H561" s="36" t="inlineStr">
        <is>
          <t>Burnaby</t>
        </is>
      </c>
      <c r="I561" s="36" t="inlineStr">
        <is>
          <t>Yes</t>
        </is>
      </c>
      <c r="J561" s="25" t="inlineStr">
        <is>
          <t>Life Insurance Burnaby, BC: Compare Quotes &amp; Costs (2026)</t>
        </is>
      </c>
      <c r="K561" s="36">
        <f>LEN(J561)</f>
        <v/>
      </c>
      <c r="L561" s="25" t="inlineStr">
        <is>
          <t>Compare life insurance in Burnaby, BC: instant estimate ($20.50–$29.50/mo example), example prices by age and advisors licensed in British Columbia.</t>
        </is>
      </c>
      <c r="M561" s="36">
        <f>LEN(L561)</f>
        <v/>
      </c>
      <c r="N561" s="25" t="inlineStr">
        <is>
          <t>Life Insurance in Burnaby, BC</t>
        </is>
      </c>
      <c r="O561" s="36" t="inlineStr">
        <is>
          <t>life insurance burnaby</t>
        </is>
      </c>
      <c r="P561" s="37" t="n">
        <v>130</v>
      </c>
      <c r="Q561" s="36" t="inlineStr">
        <is>
          <t>City</t>
        </is>
      </c>
      <c r="R561" s="36" t="n"/>
      <c r="S561" s="36">
        <f>COUNTIF('Page-Keyword Map'!$A$2:$A$675,B561)</f>
        <v/>
      </c>
      <c r="T561" s="37">
        <f>SUMIF('Page-Keyword Map'!$A$2:$A$675,B561,'Page-Keyword Map'!$H$2:$H$675)</f>
        <v/>
      </c>
      <c r="U561" s="36">
        <f>COUNTIFS('Page-Keyword Map'!$A$2:$A$675,B561,'Page-Keyword Map'!$E$2:$E$675,"Nationwide")</f>
        <v/>
      </c>
      <c r="V561" s="36">
        <f>COUNTIFS('Page-Keyword Map'!$A$2:$A$675,B561,'Page-Keyword Map'!$E$2:$E$675,"Provincial")</f>
        <v/>
      </c>
      <c r="W561" s="36">
        <f>COUNTIFS('Page-Keyword Map'!$A$2:$A$675,B561,'Page-Keyword Map'!$E$2:$E$675,"City")</f>
        <v/>
      </c>
      <c r="X561" s="36">
        <f>IF(O561="","",IF(ISNUMBER(SEARCH(O561,J561)),"Yes","No"))</f>
        <v/>
      </c>
      <c r="Y561" s="36" t="n">
        <v>0.7</v>
      </c>
      <c r="Z561" s="36" t="inlineStr">
        <is>
          <t>sitemap-cities.xml</t>
        </is>
      </c>
      <c r="AA561" s="36" t="inlineStr">
        <is>
          <t>Live – indexable</t>
        </is>
      </c>
      <c r="AB561" s="38" t="n"/>
      <c r="AC561" s="38" t="n"/>
    </row>
    <row r="562" ht="23.85" customHeight="1" s="22">
      <c r="A562" s="36" t="inlineStr">
        <is>
          <t>P0561</t>
        </is>
      </c>
      <c r="B562" s="36" t="inlineStr">
        <is>
          <t>https://instasure.ca/life-insurance/british-columbia/coquitlam/</t>
        </is>
      </c>
      <c r="C562" s="36" t="inlineStr">
        <is>
          <t>Product × city</t>
        </is>
      </c>
      <c r="D562" s="36" t="inlineStr">
        <is>
          <t>Life insurance</t>
        </is>
      </c>
      <c r="E562" s="36" t="inlineStr">
        <is>
          <t>Life Insurance</t>
        </is>
      </c>
      <c r="F562" s="36" t="n"/>
      <c r="G562" s="36" t="inlineStr">
        <is>
          <t>British Columbia</t>
        </is>
      </c>
      <c r="H562" s="36" t="inlineStr">
        <is>
          <t>Coquitlam</t>
        </is>
      </c>
      <c r="I562" s="36" t="inlineStr">
        <is>
          <t>No</t>
        </is>
      </c>
      <c r="J562" s="25" t="inlineStr">
        <is>
          <t>Life Insurance Coquitlam, BC: Compare Quotes &amp; Costs (2026)</t>
        </is>
      </c>
      <c r="K562" s="36">
        <f>LEN(J562)</f>
        <v/>
      </c>
      <c r="L562" s="25" t="inlineStr">
        <is>
          <t>Compare life insurance in Coquitlam, BC: instant estimate ($20.50–$29.50/mo example), example prices by age and advisors licensed in British Columbia.</t>
        </is>
      </c>
      <c r="M562" s="36">
        <f>LEN(L562)</f>
        <v/>
      </c>
      <c r="N562" s="25" t="inlineStr">
        <is>
          <t>Life Insurance in Coquitlam, BC</t>
        </is>
      </c>
      <c r="O562" s="36" t="inlineStr">
        <is>
          <t>life insurance coquitlam</t>
        </is>
      </c>
      <c r="P562" s="37" t="n">
        <v>84</v>
      </c>
      <c r="Q562" s="36" t="inlineStr">
        <is>
          <t>City</t>
        </is>
      </c>
      <c r="R562" s="36" t="n"/>
      <c r="S562" s="36">
        <f>COUNTIF('Page-Keyword Map'!$A$2:$A$675,B562)</f>
        <v/>
      </c>
      <c r="T562" s="37">
        <f>SUMIF('Page-Keyword Map'!$A$2:$A$675,B562,'Page-Keyword Map'!$H$2:$H$675)</f>
        <v/>
      </c>
      <c r="U562" s="36">
        <f>COUNTIFS('Page-Keyword Map'!$A$2:$A$675,B562,'Page-Keyword Map'!$E$2:$E$675,"Nationwide")</f>
        <v/>
      </c>
      <c r="V562" s="36">
        <f>COUNTIFS('Page-Keyword Map'!$A$2:$A$675,B562,'Page-Keyword Map'!$E$2:$E$675,"Provincial")</f>
        <v/>
      </c>
      <c r="W562" s="36">
        <f>COUNTIFS('Page-Keyword Map'!$A$2:$A$675,B562,'Page-Keyword Map'!$E$2:$E$675,"City")</f>
        <v/>
      </c>
      <c r="X562" s="36">
        <f>IF(O562="","",IF(ISNUMBER(SEARCH(O562,J562)),"Yes","No"))</f>
        <v/>
      </c>
      <c r="Y562" s="36" t="n">
        <v>0.5</v>
      </c>
      <c r="Z562" s="36" t="inlineStr">
        <is>
          <t>(not listed: noindex)</t>
        </is>
      </c>
      <c r="AA562" s="36" t="inlineStr">
        <is>
          <t>Live – noindex (enrich before indexing)</t>
        </is>
      </c>
      <c r="AB562" s="38" t="n"/>
      <c r="AC562" s="38" t="n"/>
    </row>
    <row r="563" ht="23.85" customHeight="1" s="22">
      <c r="A563" s="36" t="inlineStr">
        <is>
          <t>P0562</t>
        </is>
      </c>
      <c r="B563" s="36" t="inlineStr">
        <is>
          <t>https://instasure.ca/life-insurance/british-columbia/kelowna/</t>
        </is>
      </c>
      <c r="C563" s="36" t="inlineStr">
        <is>
          <t>Product × city</t>
        </is>
      </c>
      <c r="D563" s="36" t="inlineStr">
        <is>
          <t>Life insurance</t>
        </is>
      </c>
      <c r="E563" s="36" t="inlineStr">
        <is>
          <t>Life Insurance</t>
        </is>
      </c>
      <c r="F563" s="36" t="n"/>
      <c r="G563" s="36" t="inlineStr">
        <is>
          <t>British Columbia</t>
        </is>
      </c>
      <c r="H563" s="36" t="inlineStr">
        <is>
          <t>Kelowna</t>
        </is>
      </c>
      <c r="I563" s="36" t="inlineStr">
        <is>
          <t>Yes</t>
        </is>
      </c>
      <c r="J563" s="25" t="inlineStr">
        <is>
          <t>Life Insurance Kelowna, BC: Compare Quotes &amp; Costs (2026)</t>
        </is>
      </c>
      <c r="K563" s="36">
        <f>LEN(J563)</f>
        <v/>
      </c>
      <c r="L563" s="25" t="inlineStr">
        <is>
          <t>Compare life insurance in Kelowna, BC: instant estimate ($20.50–$29.50/mo example), example prices by age and advisors licensed in British Columbia.</t>
        </is>
      </c>
      <c r="M563" s="36">
        <f>LEN(L563)</f>
        <v/>
      </c>
      <c r="N563" s="25" t="inlineStr">
        <is>
          <t>Life Insurance in Kelowna, BC</t>
        </is>
      </c>
      <c r="O563" s="36" t="inlineStr">
        <is>
          <t>life insurance kelowna</t>
        </is>
      </c>
      <c r="P563" s="37" t="n">
        <v>82</v>
      </c>
      <c r="Q563" s="36" t="inlineStr">
        <is>
          <t>City</t>
        </is>
      </c>
      <c r="R563" s="36" t="n"/>
      <c r="S563" s="36">
        <f>COUNTIF('Page-Keyword Map'!$A$2:$A$675,B563)</f>
        <v/>
      </c>
      <c r="T563" s="37">
        <f>SUMIF('Page-Keyword Map'!$A$2:$A$675,B563,'Page-Keyword Map'!$H$2:$H$675)</f>
        <v/>
      </c>
      <c r="U563" s="36">
        <f>COUNTIFS('Page-Keyword Map'!$A$2:$A$675,B563,'Page-Keyword Map'!$E$2:$E$675,"Nationwide")</f>
        <v/>
      </c>
      <c r="V563" s="36">
        <f>COUNTIFS('Page-Keyword Map'!$A$2:$A$675,B563,'Page-Keyword Map'!$E$2:$E$675,"Provincial")</f>
        <v/>
      </c>
      <c r="W563" s="36">
        <f>COUNTIFS('Page-Keyword Map'!$A$2:$A$675,B563,'Page-Keyword Map'!$E$2:$E$675,"City")</f>
        <v/>
      </c>
      <c r="X563" s="36">
        <f>IF(O563="","",IF(ISNUMBER(SEARCH(O563,J563)),"Yes","No"))</f>
        <v/>
      </c>
      <c r="Y563" s="36" t="n">
        <v>0.7</v>
      </c>
      <c r="Z563" s="36" t="inlineStr">
        <is>
          <t>sitemap-cities.xml</t>
        </is>
      </c>
      <c r="AA563" s="36" t="inlineStr">
        <is>
          <t>Live – indexable</t>
        </is>
      </c>
      <c r="AB563" s="38" t="n"/>
      <c r="AC563" s="38" t="n"/>
    </row>
    <row r="564" ht="23.85" customHeight="1" s="22">
      <c r="A564" s="36" t="inlineStr">
        <is>
          <t>P0563</t>
        </is>
      </c>
      <c r="B564" s="36" t="inlineStr">
        <is>
          <t>https://instasure.ca/life-insurance/british-columbia/langley/</t>
        </is>
      </c>
      <c r="C564" s="36" t="inlineStr">
        <is>
          <t>Product × city</t>
        </is>
      </c>
      <c r="D564" s="36" t="inlineStr">
        <is>
          <t>Life insurance</t>
        </is>
      </c>
      <c r="E564" s="36" t="inlineStr">
        <is>
          <t>Life Insurance</t>
        </is>
      </c>
      <c r="F564" s="36" t="n"/>
      <c r="G564" s="36" t="inlineStr">
        <is>
          <t>British Columbia</t>
        </is>
      </c>
      <c r="H564" s="36" t="inlineStr">
        <is>
          <t>Langley</t>
        </is>
      </c>
      <c r="I564" s="36" t="inlineStr">
        <is>
          <t>No</t>
        </is>
      </c>
      <c r="J564" s="25" t="inlineStr">
        <is>
          <t>Life Insurance Langley, BC: Compare Quotes &amp; Costs (2026)</t>
        </is>
      </c>
      <c r="K564" s="36">
        <f>LEN(J564)</f>
        <v/>
      </c>
      <c r="L564" s="25" t="inlineStr">
        <is>
          <t>Compare life insurance in Langley, BC: instant estimate ($20.50–$29.50/mo example), example prices by age and advisors licensed in British Columbia.</t>
        </is>
      </c>
      <c r="M564" s="36">
        <f>LEN(L564)</f>
        <v/>
      </c>
      <c r="N564" s="25" t="inlineStr">
        <is>
          <t>Life Insurance in Langley, BC</t>
        </is>
      </c>
      <c r="O564" s="36" t="inlineStr">
        <is>
          <t>life insurance langley</t>
        </is>
      </c>
      <c r="P564" s="37" t="n">
        <v>76</v>
      </c>
      <c r="Q564" s="36" t="inlineStr">
        <is>
          <t>City</t>
        </is>
      </c>
      <c r="R564" s="36" t="n"/>
      <c r="S564" s="36">
        <f>COUNTIF('Page-Keyword Map'!$A$2:$A$675,B564)</f>
        <v/>
      </c>
      <c r="T564" s="37">
        <f>SUMIF('Page-Keyword Map'!$A$2:$A$675,B564,'Page-Keyword Map'!$H$2:$H$675)</f>
        <v/>
      </c>
      <c r="U564" s="36">
        <f>COUNTIFS('Page-Keyword Map'!$A$2:$A$675,B564,'Page-Keyword Map'!$E$2:$E$675,"Nationwide")</f>
        <v/>
      </c>
      <c r="V564" s="36">
        <f>COUNTIFS('Page-Keyword Map'!$A$2:$A$675,B564,'Page-Keyword Map'!$E$2:$E$675,"Provincial")</f>
        <v/>
      </c>
      <c r="W564" s="36">
        <f>COUNTIFS('Page-Keyword Map'!$A$2:$A$675,B564,'Page-Keyword Map'!$E$2:$E$675,"City")</f>
        <v/>
      </c>
      <c r="X564" s="36">
        <f>IF(O564="","",IF(ISNUMBER(SEARCH(O564,J564)),"Yes","No"))</f>
        <v/>
      </c>
      <c r="Y564" s="36" t="n">
        <v>0.5</v>
      </c>
      <c r="Z564" s="36" t="inlineStr">
        <is>
          <t>(not listed: noindex)</t>
        </is>
      </c>
      <c r="AA564" s="36" t="inlineStr">
        <is>
          <t>Live – noindex (enrich before indexing)</t>
        </is>
      </c>
      <c r="AB564" s="38" t="n"/>
      <c r="AC564" s="38" t="n"/>
    </row>
    <row r="565" ht="23.85" customHeight="1" s="22">
      <c r="A565" s="36" t="inlineStr">
        <is>
          <t>P0564</t>
        </is>
      </c>
      <c r="B565" s="36" t="inlineStr">
        <is>
          <t>https://instasure.ca/life-insurance/british-columbia/richmond/</t>
        </is>
      </c>
      <c r="C565" s="36" t="inlineStr">
        <is>
          <t>Product × city</t>
        </is>
      </c>
      <c r="D565" s="36" t="inlineStr">
        <is>
          <t>Life insurance</t>
        </is>
      </c>
      <c r="E565" s="36" t="inlineStr">
        <is>
          <t>Life Insurance</t>
        </is>
      </c>
      <c r="F565" s="36" t="n"/>
      <c r="G565" s="36" t="inlineStr">
        <is>
          <t>British Columbia</t>
        </is>
      </c>
      <c r="H565" s="36" t="inlineStr">
        <is>
          <t>Richmond</t>
        </is>
      </c>
      <c r="I565" s="36" t="inlineStr">
        <is>
          <t>No</t>
        </is>
      </c>
      <c r="J565" s="25" t="inlineStr">
        <is>
          <t>Life Insurance Richmond, BC: Compare Quotes &amp; Costs (2026)</t>
        </is>
      </c>
      <c r="K565" s="36">
        <f>LEN(J565)</f>
        <v/>
      </c>
      <c r="L565" s="25" t="inlineStr">
        <is>
          <t>Compare life insurance in Richmond, BC: instant estimate ($20.50–$29.50/mo example), example prices by age and advisors licensed in British Columbia.</t>
        </is>
      </c>
      <c r="M565" s="36">
        <f>LEN(L565)</f>
        <v/>
      </c>
      <c r="N565" s="25" t="inlineStr">
        <is>
          <t>Life Insurance in Richmond, BC</t>
        </is>
      </c>
      <c r="O565" s="36" t="inlineStr">
        <is>
          <t>life insurance richmond bc</t>
        </is>
      </c>
      <c r="P565" s="37" t="n">
        <v>110</v>
      </c>
      <c r="Q565" s="36" t="inlineStr">
        <is>
          <t>City</t>
        </is>
      </c>
      <c r="R565" s="36" t="n"/>
      <c r="S565" s="36">
        <f>COUNTIF('Page-Keyword Map'!$A$2:$A$675,B565)</f>
        <v/>
      </c>
      <c r="T565" s="37">
        <f>SUMIF('Page-Keyword Map'!$A$2:$A$675,B565,'Page-Keyword Map'!$H$2:$H$675)</f>
        <v/>
      </c>
      <c r="U565" s="36">
        <f>COUNTIFS('Page-Keyword Map'!$A$2:$A$675,B565,'Page-Keyword Map'!$E$2:$E$675,"Nationwide")</f>
        <v/>
      </c>
      <c r="V565" s="36">
        <f>COUNTIFS('Page-Keyword Map'!$A$2:$A$675,B565,'Page-Keyword Map'!$E$2:$E$675,"Provincial")</f>
        <v/>
      </c>
      <c r="W565" s="36">
        <f>COUNTIFS('Page-Keyword Map'!$A$2:$A$675,B565,'Page-Keyword Map'!$E$2:$E$675,"City")</f>
        <v/>
      </c>
      <c r="X565" s="36">
        <f>IF(O565="","",IF(ISNUMBER(SEARCH(O565,J565)),"Yes","No"))</f>
        <v/>
      </c>
      <c r="Y565" s="36" t="n">
        <v>0.5</v>
      </c>
      <c r="Z565" s="36" t="inlineStr">
        <is>
          <t>(not listed: noindex)</t>
        </is>
      </c>
      <c r="AA565" s="36" t="inlineStr">
        <is>
          <t>Live – noindex (enrich before indexing)</t>
        </is>
      </c>
      <c r="AB565" s="38" t="n"/>
      <c r="AC565" s="38" t="n"/>
    </row>
    <row r="566" ht="23.85" customHeight="1" s="22">
      <c r="A566" s="36" t="inlineStr">
        <is>
          <t>P0565</t>
        </is>
      </c>
      <c r="B566" s="36" t="inlineStr">
        <is>
          <t>https://instasure.ca/life-insurance/british-columbia/surrey/</t>
        </is>
      </c>
      <c r="C566" s="36" t="inlineStr">
        <is>
          <t>Product × city</t>
        </is>
      </c>
      <c r="D566" s="36" t="inlineStr">
        <is>
          <t>Life insurance</t>
        </is>
      </c>
      <c r="E566" s="36" t="inlineStr">
        <is>
          <t>Life Insurance</t>
        </is>
      </c>
      <c r="F566" s="36" t="n"/>
      <c r="G566" s="36" t="inlineStr">
        <is>
          <t>British Columbia</t>
        </is>
      </c>
      <c r="H566" s="36" t="inlineStr">
        <is>
          <t>Surrey</t>
        </is>
      </c>
      <c r="I566" s="36" t="inlineStr">
        <is>
          <t>Yes</t>
        </is>
      </c>
      <c r="J566" s="25" t="inlineStr">
        <is>
          <t>Life Insurance Surrey, BC: Compare Quotes &amp; Costs (2026)</t>
        </is>
      </c>
      <c r="K566" s="36">
        <f>LEN(J566)</f>
        <v/>
      </c>
      <c r="L566" s="25" t="inlineStr">
        <is>
          <t>Compare life insurance in Surrey, BC: instant estimate ($20.50–$29.50/mo example), example prices by age and advisors licensed in British Columbia.</t>
        </is>
      </c>
      <c r="M566" s="36">
        <f>LEN(L566)</f>
        <v/>
      </c>
      <c r="N566" s="25" t="inlineStr">
        <is>
          <t>Life Insurance in Surrey, BC</t>
        </is>
      </c>
      <c r="O566" s="36" t="inlineStr">
        <is>
          <t>life insurance surrey</t>
        </is>
      </c>
      <c r="P566" s="37" t="n">
        <v>240</v>
      </c>
      <c r="Q566" s="36" t="inlineStr">
        <is>
          <t>City</t>
        </is>
      </c>
      <c r="R566" s="36" t="n"/>
      <c r="S566" s="36">
        <f>COUNTIF('Page-Keyword Map'!$A$2:$A$675,B566)</f>
        <v/>
      </c>
      <c r="T566" s="37">
        <f>SUMIF('Page-Keyword Map'!$A$2:$A$675,B566,'Page-Keyword Map'!$H$2:$H$675)</f>
        <v/>
      </c>
      <c r="U566" s="36">
        <f>COUNTIFS('Page-Keyword Map'!$A$2:$A$675,B566,'Page-Keyword Map'!$E$2:$E$675,"Nationwide")</f>
        <v/>
      </c>
      <c r="V566" s="36">
        <f>COUNTIFS('Page-Keyword Map'!$A$2:$A$675,B566,'Page-Keyword Map'!$E$2:$E$675,"Provincial")</f>
        <v/>
      </c>
      <c r="W566" s="36">
        <f>COUNTIFS('Page-Keyword Map'!$A$2:$A$675,B566,'Page-Keyword Map'!$E$2:$E$675,"City")</f>
        <v/>
      </c>
      <c r="X566" s="36">
        <f>IF(O566="","",IF(ISNUMBER(SEARCH(O566,J566)),"Yes","No"))</f>
        <v/>
      </c>
      <c r="Y566" s="36" t="n">
        <v>0.7</v>
      </c>
      <c r="Z566" s="36" t="inlineStr">
        <is>
          <t>sitemap-cities.xml</t>
        </is>
      </c>
      <c r="AA566" s="36" t="inlineStr">
        <is>
          <t>Live – indexable</t>
        </is>
      </c>
      <c r="AB566" s="38" t="n"/>
      <c r="AC566" s="38" t="n"/>
    </row>
    <row r="567" ht="23.85" customHeight="1" s="22">
      <c r="A567" s="36" t="inlineStr">
        <is>
          <t>P0566</t>
        </is>
      </c>
      <c r="B567" s="36" t="inlineStr">
        <is>
          <t>https://instasure.ca/life-insurance/british-columbia/vancouver/</t>
        </is>
      </c>
      <c r="C567" s="36" t="inlineStr">
        <is>
          <t>Product × city</t>
        </is>
      </c>
      <c r="D567" s="36" t="inlineStr">
        <is>
          <t>Life insurance</t>
        </is>
      </c>
      <c r="E567" s="36" t="inlineStr">
        <is>
          <t>Life Insurance</t>
        </is>
      </c>
      <c r="F567" s="36" t="n"/>
      <c r="G567" s="36" t="inlineStr">
        <is>
          <t>British Columbia</t>
        </is>
      </c>
      <c r="H567" s="36" t="inlineStr">
        <is>
          <t>Vancouver</t>
        </is>
      </c>
      <c r="I567" s="36" t="inlineStr">
        <is>
          <t>Yes</t>
        </is>
      </c>
      <c r="J567" s="25" t="inlineStr">
        <is>
          <t>Life Insurance Vancouver, BC: Compare Quotes &amp; Costs (2026)</t>
        </is>
      </c>
      <c r="K567" s="36">
        <f>LEN(J567)</f>
        <v/>
      </c>
      <c r="L567" s="25" t="inlineStr">
        <is>
          <t>Compare life insurance in Vancouver, BC: instant estimate ($20.50–$29.50/mo example), example prices by age and advisors licensed in British Columbia.</t>
        </is>
      </c>
      <c r="M567" s="36">
        <f>LEN(L567)</f>
        <v/>
      </c>
      <c r="N567" s="25" t="inlineStr">
        <is>
          <t>Life Insurance in Vancouver, BC</t>
        </is>
      </c>
      <c r="O567" s="36" t="inlineStr">
        <is>
          <t>life insurance vancouver</t>
        </is>
      </c>
      <c r="P567" s="37" t="n">
        <v>280</v>
      </c>
      <c r="Q567" s="36" t="inlineStr">
        <is>
          <t>City</t>
        </is>
      </c>
      <c r="R567" s="36" t="n"/>
      <c r="S567" s="36">
        <f>COUNTIF('Page-Keyword Map'!$A$2:$A$675,B567)</f>
        <v/>
      </c>
      <c r="T567" s="37">
        <f>SUMIF('Page-Keyword Map'!$A$2:$A$675,B567,'Page-Keyword Map'!$H$2:$H$675)</f>
        <v/>
      </c>
      <c r="U567" s="36">
        <f>COUNTIFS('Page-Keyword Map'!$A$2:$A$675,B567,'Page-Keyword Map'!$E$2:$E$675,"Nationwide")</f>
        <v/>
      </c>
      <c r="V567" s="36">
        <f>COUNTIFS('Page-Keyword Map'!$A$2:$A$675,B567,'Page-Keyword Map'!$E$2:$E$675,"Provincial")</f>
        <v/>
      </c>
      <c r="W567" s="36">
        <f>COUNTIFS('Page-Keyword Map'!$A$2:$A$675,B567,'Page-Keyword Map'!$E$2:$E$675,"City")</f>
        <v/>
      </c>
      <c r="X567" s="36">
        <f>IF(O567="","",IF(ISNUMBER(SEARCH(O567,J567)),"Yes","No"))</f>
        <v/>
      </c>
      <c r="Y567" s="36" t="n">
        <v>0.7</v>
      </c>
      <c r="Z567" s="36" t="inlineStr">
        <is>
          <t>sitemap-cities.xml</t>
        </is>
      </c>
      <c r="AA567" s="36" t="inlineStr">
        <is>
          <t>Live – indexable</t>
        </is>
      </c>
      <c r="AB567" s="38" t="n"/>
      <c r="AC567" s="38" t="n"/>
    </row>
    <row r="568" ht="23.85" customHeight="1" s="22">
      <c r="A568" s="36" t="inlineStr">
        <is>
          <t>P0567</t>
        </is>
      </c>
      <c r="B568" s="36" t="inlineStr">
        <is>
          <t>https://instasure.ca/life-insurance/british-columbia/victoria/</t>
        </is>
      </c>
      <c r="C568" s="36" t="inlineStr">
        <is>
          <t>Product × city</t>
        </is>
      </c>
      <c r="D568" s="36" t="inlineStr">
        <is>
          <t>Life insurance</t>
        </is>
      </c>
      <c r="E568" s="36" t="inlineStr">
        <is>
          <t>Life Insurance</t>
        </is>
      </c>
      <c r="F568" s="36" t="n"/>
      <c r="G568" s="36" t="inlineStr">
        <is>
          <t>British Columbia</t>
        </is>
      </c>
      <c r="H568" s="36" t="inlineStr">
        <is>
          <t>Victoria</t>
        </is>
      </c>
      <c r="I568" s="36" t="inlineStr">
        <is>
          <t>Yes</t>
        </is>
      </c>
      <c r="J568" s="25" t="inlineStr">
        <is>
          <t>Life Insurance Victoria, BC: Compare Quotes &amp; Costs (2026)</t>
        </is>
      </c>
      <c r="K568" s="36">
        <f>LEN(J568)</f>
        <v/>
      </c>
      <c r="L568" s="25" t="inlineStr">
        <is>
          <t>Compare life insurance in Victoria, BC: instant estimate ($20.50–$29.50/mo example), example prices by age and advisors licensed in British Columbia.</t>
        </is>
      </c>
      <c r="M568" s="36">
        <f>LEN(L568)</f>
        <v/>
      </c>
      <c r="N568" s="25" t="inlineStr">
        <is>
          <t>Life Insurance in Victoria, BC</t>
        </is>
      </c>
      <c r="O568" s="36" t="inlineStr">
        <is>
          <t>life insurance victoria</t>
        </is>
      </c>
      <c r="P568" s="37" t="n">
        <v>57</v>
      </c>
      <c r="Q568" s="36" t="inlineStr">
        <is>
          <t>City</t>
        </is>
      </c>
      <c r="R568" s="36" t="n"/>
      <c r="S568" s="36">
        <f>COUNTIF('Page-Keyword Map'!$A$2:$A$675,B568)</f>
        <v/>
      </c>
      <c r="T568" s="37">
        <f>SUMIF('Page-Keyword Map'!$A$2:$A$675,B568,'Page-Keyword Map'!$H$2:$H$675)</f>
        <v/>
      </c>
      <c r="U568" s="36">
        <f>COUNTIFS('Page-Keyword Map'!$A$2:$A$675,B568,'Page-Keyword Map'!$E$2:$E$675,"Nationwide")</f>
        <v/>
      </c>
      <c r="V568" s="36">
        <f>COUNTIFS('Page-Keyword Map'!$A$2:$A$675,B568,'Page-Keyword Map'!$E$2:$E$675,"Provincial")</f>
        <v/>
      </c>
      <c r="W568" s="36">
        <f>COUNTIFS('Page-Keyword Map'!$A$2:$A$675,B568,'Page-Keyword Map'!$E$2:$E$675,"City")</f>
        <v/>
      </c>
      <c r="X568" s="36">
        <f>IF(O568="","",IF(ISNUMBER(SEARCH(O568,J568)),"Yes","No"))</f>
        <v/>
      </c>
      <c r="Y568" s="36" t="n">
        <v>0.7</v>
      </c>
      <c r="Z568" s="36" t="inlineStr">
        <is>
          <t>sitemap-cities.xml</t>
        </is>
      </c>
      <c r="AA568" s="36" t="inlineStr">
        <is>
          <t>Live – indexable</t>
        </is>
      </c>
      <c r="AB568" s="38" t="n"/>
      <c r="AC568" s="38" t="n"/>
    </row>
    <row r="569" ht="23.85" customHeight="1" s="22">
      <c r="A569" s="36" t="inlineStr">
        <is>
          <t>P0568</t>
        </is>
      </c>
      <c r="B569" s="36" t="inlineStr">
        <is>
          <t>https://instasure.ca/life-insurance/manitoba/brandon/</t>
        </is>
      </c>
      <c r="C569" s="36" t="inlineStr">
        <is>
          <t>Product × city</t>
        </is>
      </c>
      <c r="D569" s="36" t="inlineStr">
        <is>
          <t>Life insurance</t>
        </is>
      </c>
      <c r="E569" s="36" t="inlineStr">
        <is>
          <t>Life Insurance</t>
        </is>
      </c>
      <c r="F569" s="36" t="n"/>
      <c r="G569" s="36" t="inlineStr">
        <is>
          <t>Manitoba</t>
        </is>
      </c>
      <c r="H569" s="36" t="inlineStr">
        <is>
          <t>Brandon</t>
        </is>
      </c>
      <c r="I569" s="36" t="inlineStr">
        <is>
          <t>No</t>
        </is>
      </c>
      <c r="J569" s="25" t="inlineStr">
        <is>
          <t>Life Insurance Brandon, MB: Compare Quotes &amp; Costs (2026)</t>
        </is>
      </c>
      <c r="K569" s="36">
        <f>LEN(J569)</f>
        <v/>
      </c>
      <c r="L569" s="25" t="inlineStr">
        <is>
          <t>Compare life insurance in Brandon, MB: instant estimate ($20.50–$29.50/mo example), example prices by age and advisors licensed in Manitoba.</t>
        </is>
      </c>
      <c r="M569" s="36">
        <f>LEN(L569)</f>
        <v/>
      </c>
      <c r="N569" s="25" t="inlineStr">
        <is>
          <t>Life Insurance in Brandon, MB</t>
        </is>
      </c>
      <c r="O569" s="36" t="inlineStr">
        <is>
          <t>life insurance brandon</t>
        </is>
      </c>
      <c r="P569" s="37" t="n">
        <v>36</v>
      </c>
      <c r="Q569" s="36" t="inlineStr">
        <is>
          <t>City</t>
        </is>
      </c>
      <c r="R569" s="36" t="n"/>
      <c r="S569" s="36">
        <f>COUNTIF('Page-Keyword Map'!$A$2:$A$675,B569)</f>
        <v/>
      </c>
      <c r="T569" s="37">
        <f>SUMIF('Page-Keyword Map'!$A$2:$A$675,B569,'Page-Keyword Map'!$H$2:$H$675)</f>
        <v/>
      </c>
      <c r="U569" s="36">
        <f>COUNTIFS('Page-Keyword Map'!$A$2:$A$675,B569,'Page-Keyword Map'!$E$2:$E$675,"Nationwide")</f>
        <v/>
      </c>
      <c r="V569" s="36">
        <f>COUNTIFS('Page-Keyword Map'!$A$2:$A$675,B569,'Page-Keyword Map'!$E$2:$E$675,"Provincial")</f>
        <v/>
      </c>
      <c r="W569" s="36">
        <f>COUNTIFS('Page-Keyword Map'!$A$2:$A$675,B569,'Page-Keyword Map'!$E$2:$E$675,"City")</f>
        <v/>
      </c>
      <c r="X569" s="36">
        <f>IF(O569="","",IF(ISNUMBER(SEARCH(O569,J569)),"Yes","No"))</f>
        <v/>
      </c>
      <c r="Y569" s="36" t="n">
        <v>0.5</v>
      </c>
      <c r="Z569" s="36" t="inlineStr">
        <is>
          <t>(not listed: noindex)</t>
        </is>
      </c>
      <c r="AA569" s="36" t="inlineStr">
        <is>
          <t>Live – noindex (enrich before indexing)</t>
        </is>
      </c>
      <c r="AB569" s="38" t="n"/>
      <c r="AC569" s="38" t="n"/>
    </row>
    <row r="570" ht="23.85" customHeight="1" s="22">
      <c r="A570" s="36" t="inlineStr">
        <is>
          <t>P0569</t>
        </is>
      </c>
      <c r="B570" s="36" t="inlineStr">
        <is>
          <t>https://instasure.ca/life-insurance/manitoba/winnipeg/</t>
        </is>
      </c>
      <c r="C570" s="36" t="inlineStr">
        <is>
          <t>Product × city</t>
        </is>
      </c>
      <c r="D570" s="36" t="inlineStr">
        <is>
          <t>Life insurance</t>
        </is>
      </c>
      <c r="E570" s="36" t="inlineStr">
        <is>
          <t>Life Insurance</t>
        </is>
      </c>
      <c r="F570" s="36" t="n"/>
      <c r="G570" s="36" t="inlineStr">
        <is>
          <t>Manitoba</t>
        </is>
      </c>
      <c r="H570" s="36" t="inlineStr">
        <is>
          <t>Winnipeg</t>
        </is>
      </c>
      <c r="I570" s="36" t="inlineStr">
        <is>
          <t>Yes</t>
        </is>
      </c>
      <c r="J570" s="25" t="inlineStr">
        <is>
          <t>Life Insurance Winnipeg, MB: Compare Quotes &amp; Costs (2026)</t>
        </is>
      </c>
      <c r="K570" s="36">
        <f>LEN(J570)</f>
        <v/>
      </c>
      <c r="L570" s="25" t="inlineStr">
        <is>
          <t>Compare life insurance in Winnipeg, MB: instant estimate ($20.50–$29.50/mo example), example prices by age and advisors licensed in Manitoba.</t>
        </is>
      </c>
      <c r="M570" s="36">
        <f>LEN(L570)</f>
        <v/>
      </c>
      <c r="N570" s="25" t="inlineStr">
        <is>
          <t>Life Insurance in Winnipeg, MB</t>
        </is>
      </c>
      <c r="O570" s="36" t="inlineStr">
        <is>
          <t>life insurance winnipeg</t>
        </is>
      </c>
      <c r="P570" s="37" t="n">
        <v>310</v>
      </c>
      <c r="Q570" s="36" t="inlineStr">
        <is>
          <t>City</t>
        </is>
      </c>
      <c r="R570" s="36" t="n"/>
      <c r="S570" s="36">
        <f>COUNTIF('Page-Keyword Map'!$A$2:$A$675,B570)</f>
        <v/>
      </c>
      <c r="T570" s="37">
        <f>SUMIF('Page-Keyword Map'!$A$2:$A$675,B570,'Page-Keyword Map'!$H$2:$H$675)</f>
        <v/>
      </c>
      <c r="U570" s="36">
        <f>COUNTIFS('Page-Keyword Map'!$A$2:$A$675,B570,'Page-Keyword Map'!$E$2:$E$675,"Nationwide")</f>
        <v/>
      </c>
      <c r="V570" s="36">
        <f>COUNTIFS('Page-Keyword Map'!$A$2:$A$675,B570,'Page-Keyword Map'!$E$2:$E$675,"Provincial")</f>
        <v/>
      </c>
      <c r="W570" s="36">
        <f>COUNTIFS('Page-Keyword Map'!$A$2:$A$675,B570,'Page-Keyword Map'!$E$2:$E$675,"City")</f>
        <v/>
      </c>
      <c r="X570" s="36">
        <f>IF(O570="","",IF(ISNUMBER(SEARCH(O570,J570)),"Yes","No"))</f>
        <v/>
      </c>
      <c r="Y570" s="36" t="n">
        <v>0.7</v>
      </c>
      <c r="Z570" s="36" t="inlineStr">
        <is>
          <t>sitemap-cities.xml</t>
        </is>
      </c>
      <c r="AA570" s="36" t="inlineStr">
        <is>
          <t>Live – indexable</t>
        </is>
      </c>
      <c r="AB570" s="38" t="n"/>
      <c r="AC570" s="38" t="n"/>
    </row>
    <row r="571" ht="23.85" customHeight="1" s="22">
      <c r="A571" s="36" t="inlineStr">
        <is>
          <t>P0570</t>
        </is>
      </c>
      <c r="B571" s="36" t="inlineStr">
        <is>
          <t>https://instasure.ca/life-insurance/new-brunswick/fredericton/</t>
        </is>
      </c>
      <c r="C571" s="36" t="inlineStr">
        <is>
          <t>Product × city</t>
        </is>
      </c>
      <c r="D571" s="36" t="inlineStr">
        <is>
          <t>Life insurance</t>
        </is>
      </c>
      <c r="E571" s="36" t="inlineStr">
        <is>
          <t>Life Insurance</t>
        </is>
      </c>
      <c r="F571" s="36" t="n"/>
      <c r="G571" s="36" t="inlineStr">
        <is>
          <t>New Brunswick</t>
        </is>
      </c>
      <c r="H571" s="36" t="inlineStr">
        <is>
          <t>Fredericton</t>
        </is>
      </c>
      <c r="I571" s="36" t="inlineStr">
        <is>
          <t>No</t>
        </is>
      </c>
      <c r="J571" s="25" t="inlineStr">
        <is>
          <t>Life Insurance Fredericton, NB: Compare Quotes &amp; Costs (2026)</t>
        </is>
      </c>
      <c r="K571" s="36">
        <f>LEN(J571)</f>
        <v/>
      </c>
      <c r="L571" s="25" t="inlineStr">
        <is>
          <t>Compare life insurance in Fredericton, NB: instant estimate ($20.50–$29.50/mo example), example prices by age and advisors licensed in New Brunswick.</t>
        </is>
      </c>
      <c r="M571" s="36">
        <f>LEN(L571)</f>
        <v/>
      </c>
      <c r="N571" s="25" t="inlineStr">
        <is>
          <t>Life Insurance in Fredericton, NB</t>
        </is>
      </c>
      <c r="O571" s="36" t="inlineStr">
        <is>
          <t>life insurance fredericton</t>
        </is>
      </c>
      <c r="P571" s="37" t="n">
        <v>42</v>
      </c>
      <c r="Q571" s="36" t="inlineStr">
        <is>
          <t>City</t>
        </is>
      </c>
      <c r="R571" s="36" t="n"/>
      <c r="S571" s="36">
        <f>COUNTIF('Page-Keyword Map'!$A$2:$A$675,B571)</f>
        <v/>
      </c>
      <c r="T571" s="37">
        <f>SUMIF('Page-Keyword Map'!$A$2:$A$675,B571,'Page-Keyword Map'!$H$2:$H$675)</f>
        <v/>
      </c>
      <c r="U571" s="36">
        <f>COUNTIFS('Page-Keyword Map'!$A$2:$A$675,B571,'Page-Keyword Map'!$E$2:$E$675,"Nationwide")</f>
        <v/>
      </c>
      <c r="V571" s="36">
        <f>COUNTIFS('Page-Keyword Map'!$A$2:$A$675,B571,'Page-Keyword Map'!$E$2:$E$675,"Provincial")</f>
        <v/>
      </c>
      <c r="W571" s="36">
        <f>COUNTIFS('Page-Keyword Map'!$A$2:$A$675,B571,'Page-Keyword Map'!$E$2:$E$675,"City")</f>
        <v/>
      </c>
      <c r="X571" s="36">
        <f>IF(O571="","",IF(ISNUMBER(SEARCH(O571,J571)),"Yes","No"))</f>
        <v/>
      </c>
      <c r="Y571" s="36" t="n">
        <v>0.5</v>
      </c>
      <c r="Z571" s="36" t="inlineStr">
        <is>
          <t>(not listed: noindex)</t>
        </is>
      </c>
      <c r="AA571" s="36" t="inlineStr">
        <is>
          <t>Live – noindex (enrich before indexing)</t>
        </is>
      </c>
      <c r="AB571" s="38" t="n"/>
      <c r="AC571" s="38" t="n"/>
    </row>
    <row r="572" ht="23.85" customHeight="1" s="22">
      <c r="A572" s="36" t="inlineStr">
        <is>
          <t>P0571</t>
        </is>
      </c>
      <c r="B572" s="36" t="inlineStr">
        <is>
          <t>https://instasure.ca/life-insurance/new-brunswick/moncton/</t>
        </is>
      </c>
      <c r="C572" s="36" t="inlineStr">
        <is>
          <t>Product × city</t>
        </is>
      </c>
      <c r="D572" s="36" t="inlineStr">
        <is>
          <t>Life insurance</t>
        </is>
      </c>
      <c r="E572" s="36" t="inlineStr">
        <is>
          <t>Life Insurance</t>
        </is>
      </c>
      <c r="F572" s="36" t="n"/>
      <c r="G572" s="36" t="inlineStr">
        <is>
          <t>New Brunswick</t>
        </is>
      </c>
      <c r="H572" s="36" t="inlineStr">
        <is>
          <t>Moncton</t>
        </is>
      </c>
      <c r="I572" s="36" t="inlineStr">
        <is>
          <t>No</t>
        </is>
      </c>
      <c r="J572" s="25" t="inlineStr">
        <is>
          <t>Life Insurance Moncton, NB: Compare Quotes &amp; Costs (2026)</t>
        </is>
      </c>
      <c r="K572" s="36">
        <f>LEN(J572)</f>
        <v/>
      </c>
      <c r="L572" s="25" t="inlineStr">
        <is>
          <t>Compare life insurance in Moncton, NB: instant estimate ($20.50–$29.50/mo example), example prices by age and advisors licensed in New Brunswick.</t>
        </is>
      </c>
      <c r="M572" s="36">
        <f>LEN(L572)</f>
        <v/>
      </c>
      <c r="N572" s="25" t="inlineStr">
        <is>
          <t>Life Insurance in Moncton, NB</t>
        </is>
      </c>
      <c r="O572" s="36" t="inlineStr">
        <is>
          <t>life insurance moncton</t>
        </is>
      </c>
      <c r="P572" s="37" t="n">
        <v>51</v>
      </c>
      <c r="Q572" s="36" t="inlineStr">
        <is>
          <t>City</t>
        </is>
      </c>
      <c r="R572" s="36" t="n"/>
      <c r="S572" s="36">
        <f>COUNTIF('Page-Keyword Map'!$A$2:$A$675,B572)</f>
        <v/>
      </c>
      <c r="T572" s="37">
        <f>SUMIF('Page-Keyword Map'!$A$2:$A$675,B572,'Page-Keyword Map'!$H$2:$H$675)</f>
        <v/>
      </c>
      <c r="U572" s="36">
        <f>COUNTIFS('Page-Keyword Map'!$A$2:$A$675,B572,'Page-Keyword Map'!$E$2:$E$675,"Nationwide")</f>
        <v/>
      </c>
      <c r="V572" s="36">
        <f>COUNTIFS('Page-Keyword Map'!$A$2:$A$675,B572,'Page-Keyword Map'!$E$2:$E$675,"Provincial")</f>
        <v/>
      </c>
      <c r="W572" s="36">
        <f>COUNTIFS('Page-Keyword Map'!$A$2:$A$675,B572,'Page-Keyword Map'!$E$2:$E$675,"City")</f>
        <v/>
      </c>
      <c r="X572" s="36">
        <f>IF(O572="","",IF(ISNUMBER(SEARCH(O572,J572)),"Yes","No"))</f>
        <v/>
      </c>
      <c r="Y572" s="36" t="n">
        <v>0.5</v>
      </c>
      <c r="Z572" s="36" t="inlineStr">
        <is>
          <t>(not listed: noindex)</t>
        </is>
      </c>
      <c r="AA572" s="36" t="inlineStr">
        <is>
          <t>Live – noindex (enrich before indexing)</t>
        </is>
      </c>
      <c r="AB572" s="38" t="n"/>
      <c r="AC572" s="38" t="n"/>
    </row>
    <row r="573" ht="23.85" customHeight="1" s="22">
      <c r="A573" s="36" t="inlineStr">
        <is>
          <t>P0572</t>
        </is>
      </c>
      <c r="B573" s="36" t="inlineStr">
        <is>
          <t>https://instasure.ca/life-insurance/new-brunswick/saint-john/</t>
        </is>
      </c>
      <c r="C573" s="36" t="inlineStr">
        <is>
          <t>Product × city</t>
        </is>
      </c>
      <c r="D573" s="36" t="inlineStr">
        <is>
          <t>Life insurance</t>
        </is>
      </c>
      <c r="E573" s="36" t="inlineStr">
        <is>
          <t>Life Insurance</t>
        </is>
      </c>
      <c r="F573" s="36" t="n"/>
      <c r="G573" s="36" t="inlineStr">
        <is>
          <t>New Brunswick</t>
        </is>
      </c>
      <c r="H573" s="36" t="inlineStr">
        <is>
          <t>Saint John</t>
        </is>
      </c>
      <c r="I573" s="36" t="inlineStr">
        <is>
          <t>No</t>
        </is>
      </c>
      <c r="J573" s="25" t="inlineStr">
        <is>
          <t>Life Insurance Saint John, NB: Compare Quotes &amp; Costs (2026)</t>
        </is>
      </c>
      <c r="K573" s="36">
        <f>LEN(J573)</f>
        <v/>
      </c>
      <c r="L573" s="25" t="inlineStr">
        <is>
          <t>Compare life insurance in Saint John, NB: instant estimate ($20.50–$29.50/mo example), example prices by age and advisors licensed in New Brunswick.</t>
        </is>
      </c>
      <c r="M573" s="36">
        <f>LEN(L573)</f>
        <v/>
      </c>
      <c r="N573" s="25" t="inlineStr">
        <is>
          <t>Life Insurance in Saint John, NB</t>
        </is>
      </c>
      <c r="O573" s="36" t="inlineStr">
        <is>
          <t>life insurance saint john</t>
        </is>
      </c>
      <c r="P573" s="37" t="n">
        <v>46</v>
      </c>
      <c r="Q573" s="36" t="inlineStr">
        <is>
          <t>City</t>
        </is>
      </c>
      <c r="R573" s="36" t="n"/>
      <c r="S573" s="36">
        <f>COUNTIF('Page-Keyword Map'!$A$2:$A$675,B573)</f>
        <v/>
      </c>
      <c r="T573" s="37">
        <f>SUMIF('Page-Keyword Map'!$A$2:$A$675,B573,'Page-Keyword Map'!$H$2:$H$675)</f>
        <v/>
      </c>
      <c r="U573" s="36">
        <f>COUNTIFS('Page-Keyword Map'!$A$2:$A$675,B573,'Page-Keyword Map'!$E$2:$E$675,"Nationwide")</f>
        <v/>
      </c>
      <c r="V573" s="36">
        <f>COUNTIFS('Page-Keyword Map'!$A$2:$A$675,B573,'Page-Keyword Map'!$E$2:$E$675,"Provincial")</f>
        <v/>
      </c>
      <c r="W573" s="36">
        <f>COUNTIFS('Page-Keyword Map'!$A$2:$A$675,B573,'Page-Keyword Map'!$E$2:$E$675,"City")</f>
        <v/>
      </c>
      <c r="X573" s="36">
        <f>IF(O573="","",IF(ISNUMBER(SEARCH(O573,J573)),"Yes","No"))</f>
        <v/>
      </c>
      <c r="Y573" s="36" t="n">
        <v>0.5</v>
      </c>
      <c r="Z573" s="36" t="inlineStr">
        <is>
          <t>(not listed: noindex)</t>
        </is>
      </c>
      <c r="AA573" s="36" t="inlineStr">
        <is>
          <t>Live – noindex (enrich before indexing)</t>
        </is>
      </c>
      <c r="AB573" s="38" t="n"/>
      <c r="AC573" s="38" t="n"/>
    </row>
    <row r="574" ht="23.85" customHeight="1" s="22">
      <c r="A574" s="36" t="inlineStr">
        <is>
          <t>P0573</t>
        </is>
      </c>
      <c r="B574" s="36" t="inlineStr">
        <is>
          <t>https://instasure.ca/life-insurance/newfoundland-and-labrador/st-johns/</t>
        </is>
      </c>
      <c r="C574" s="36" t="inlineStr">
        <is>
          <t>Product × city</t>
        </is>
      </c>
      <c r="D574" s="36" t="inlineStr">
        <is>
          <t>Life insurance</t>
        </is>
      </c>
      <c r="E574" s="36" t="inlineStr">
        <is>
          <t>Life Insurance</t>
        </is>
      </c>
      <c r="F574" s="36" t="n"/>
      <c r="G574" s="36" t="inlineStr">
        <is>
          <t>Newfoundland and Labrador</t>
        </is>
      </c>
      <c r="H574" s="36" t="inlineStr">
        <is>
          <t>St. John’s</t>
        </is>
      </c>
      <c r="I574" s="36" t="inlineStr">
        <is>
          <t>Yes</t>
        </is>
      </c>
      <c r="J574" s="25" t="inlineStr">
        <is>
          <t>Life Insurance St. John’s, NL: Compare Quotes &amp; Costs (2026)</t>
        </is>
      </c>
      <c r="K574" s="36">
        <f>LEN(J574)</f>
        <v/>
      </c>
      <c r="L574" s="25" t="inlineStr">
        <is>
          <t>Compare life insurance in St. John’s, NL: instant estimate ($20.50–$29.50/mo example), example prices by age and advisors licensed in Newfoundland and Labrador.</t>
        </is>
      </c>
      <c r="M574" s="36">
        <f>LEN(L574)</f>
        <v/>
      </c>
      <c r="N574" s="25" t="inlineStr">
        <is>
          <t>Life Insurance in St. John’s, NL</t>
        </is>
      </c>
      <c r="O574" s="36" t="inlineStr">
        <is>
          <t>life insurance st johns</t>
        </is>
      </c>
      <c r="P574" s="37" t="n">
        <v>66</v>
      </c>
      <c r="Q574" s="36" t="inlineStr">
        <is>
          <t>City</t>
        </is>
      </c>
      <c r="R574" s="36" t="n"/>
      <c r="S574" s="36">
        <f>COUNTIF('Page-Keyword Map'!$A$2:$A$675,B574)</f>
        <v/>
      </c>
      <c r="T574" s="37">
        <f>SUMIF('Page-Keyword Map'!$A$2:$A$675,B574,'Page-Keyword Map'!$H$2:$H$675)</f>
        <v/>
      </c>
      <c r="U574" s="36">
        <f>COUNTIFS('Page-Keyword Map'!$A$2:$A$675,B574,'Page-Keyword Map'!$E$2:$E$675,"Nationwide")</f>
        <v/>
      </c>
      <c r="V574" s="36">
        <f>COUNTIFS('Page-Keyword Map'!$A$2:$A$675,B574,'Page-Keyword Map'!$E$2:$E$675,"Provincial")</f>
        <v/>
      </c>
      <c r="W574" s="36">
        <f>COUNTIFS('Page-Keyword Map'!$A$2:$A$675,B574,'Page-Keyword Map'!$E$2:$E$675,"City")</f>
        <v/>
      </c>
      <c r="X574" s="36">
        <f>IF(O574="","",IF(ISNUMBER(SEARCH(O574,J574)),"Yes","No"))</f>
        <v/>
      </c>
      <c r="Y574" s="36" t="n">
        <v>0.7</v>
      </c>
      <c r="Z574" s="36" t="inlineStr">
        <is>
          <t>sitemap-cities.xml</t>
        </is>
      </c>
      <c r="AA574" s="36" t="inlineStr">
        <is>
          <t>Live – indexable</t>
        </is>
      </c>
      <c r="AB574" s="38" t="n"/>
      <c r="AC574" s="38" t="n"/>
    </row>
    <row r="575" ht="23.85" customHeight="1" s="22">
      <c r="A575" s="36" t="inlineStr">
        <is>
          <t>P0574</t>
        </is>
      </c>
      <c r="B575" s="36" t="inlineStr">
        <is>
          <t>https://instasure.ca/life-insurance/northwest-territories/yellowknife/</t>
        </is>
      </c>
      <c r="C575" s="36" t="inlineStr">
        <is>
          <t>Product × city</t>
        </is>
      </c>
      <c r="D575" s="36" t="inlineStr">
        <is>
          <t>Life insurance</t>
        </is>
      </c>
      <c r="E575" s="36" t="inlineStr">
        <is>
          <t>Life Insurance</t>
        </is>
      </c>
      <c r="F575" s="36" t="n"/>
      <c r="G575" s="36" t="inlineStr">
        <is>
          <t>Northwest Territories</t>
        </is>
      </c>
      <c r="H575" s="36" t="inlineStr">
        <is>
          <t>Yellowknife</t>
        </is>
      </c>
      <c r="I575" s="36" t="inlineStr">
        <is>
          <t>No</t>
        </is>
      </c>
      <c r="J575" s="25" t="inlineStr">
        <is>
          <t>Life Insurance Yellowknife, NT: Compare Quotes &amp; Costs (2026)</t>
        </is>
      </c>
      <c r="K575" s="36">
        <f>LEN(J575)</f>
        <v/>
      </c>
      <c r="L575" s="25" t="inlineStr">
        <is>
          <t>Compare life insurance in Yellowknife, NT: instant estimate ($20.50–$29.50/mo example), example prices by age and a waitlist for licensed advice in Northwest…</t>
        </is>
      </c>
      <c r="M575" s="36">
        <f>LEN(L575)</f>
        <v/>
      </c>
      <c r="N575" s="25" t="inlineStr">
        <is>
          <t>Life Insurance in Yellowknife, NT</t>
        </is>
      </c>
      <c r="O575" s="36" t="n"/>
      <c r="P575" s="37" t="n"/>
      <c r="Q575" s="36" t="n"/>
      <c r="R575" s="36" t="inlineStr">
        <is>
          <t>life insurance yellowknife</t>
        </is>
      </c>
      <c r="S575" s="36">
        <f>COUNTIF('Page-Keyword Map'!$A$2:$A$675,B575)</f>
        <v/>
      </c>
      <c r="T575" s="37">
        <f>SUMIF('Page-Keyword Map'!$A$2:$A$675,B575,'Page-Keyword Map'!$H$2:$H$675)</f>
        <v/>
      </c>
      <c r="U575" s="36">
        <f>COUNTIFS('Page-Keyword Map'!$A$2:$A$675,B575,'Page-Keyword Map'!$E$2:$E$675,"Nationwide")</f>
        <v/>
      </c>
      <c r="V575" s="36">
        <f>COUNTIFS('Page-Keyword Map'!$A$2:$A$675,B575,'Page-Keyword Map'!$E$2:$E$675,"Provincial")</f>
        <v/>
      </c>
      <c r="W575" s="36">
        <f>COUNTIFS('Page-Keyword Map'!$A$2:$A$675,B575,'Page-Keyword Map'!$E$2:$E$675,"City")</f>
        <v/>
      </c>
      <c r="X575" s="36">
        <f>IF(O575="","",IF(ISNUMBER(SEARCH(O575,J575)),"Yes","No"))</f>
        <v/>
      </c>
      <c r="Y575" s="36" t="n">
        <v>0.5</v>
      </c>
      <c r="Z575" s="36" t="inlineStr">
        <is>
          <t>(not listed: noindex)</t>
        </is>
      </c>
      <c r="AA575" s="36" t="inlineStr">
        <is>
          <t>Live – noindex (enrich before indexing)</t>
        </is>
      </c>
      <c r="AB575" s="38" t="n"/>
      <c r="AC575" s="38" t="n"/>
    </row>
    <row r="576" ht="23.85" customHeight="1" s="22">
      <c r="A576" s="36" t="inlineStr">
        <is>
          <t>P0575</t>
        </is>
      </c>
      <c r="B576" s="36" t="inlineStr">
        <is>
          <t>https://instasure.ca/life-insurance/nova-scotia/halifax/</t>
        </is>
      </c>
      <c r="C576" s="36" t="inlineStr">
        <is>
          <t>Product × city</t>
        </is>
      </c>
      <c r="D576" s="36" t="inlineStr">
        <is>
          <t>Life insurance</t>
        </is>
      </c>
      <c r="E576" s="36" t="inlineStr">
        <is>
          <t>Life Insurance</t>
        </is>
      </c>
      <c r="F576" s="36" t="n"/>
      <c r="G576" s="36" t="inlineStr">
        <is>
          <t>Nova Scotia</t>
        </is>
      </c>
      <c r="H576" s="36" t="inlineStr">
        <is>
          <t>Halifax</t>
        </is>
      </c>
      <c r="I576" s="36" t="inlineStr">
        <is>
          <t>Yes</t>
        </is>
      </c>
      <c r="J576" s="25" t="inlineStr">
        <is>
          <t>Life Insurance Halifax, NS: Compare Quotes &amp; Costs (2026)</t>
        </is>
      </c>
      <c r="K576" s="36">
        <f>LEN(J576)</f>
        <v/>
      </c>
      <c r="L576" s="25" t="inlineStr">
        <is>
          <t>Compare life insurance in Halifax, NS: instant estimate ($20.50–$29.50/mo example), example prices by age and advisors licensed in Nova Scotia.</t>
        </is>
      </c>
      <c r="M576" s="36">
        <f>LEN(L576)</f>
        <v/>
      </c>
      <c r="N576" s="25" t="inlineStr">
        <is>
          <t>Life Insurance in Halifax, NS</t>
        </is>
      </c>
      <c r="O576" s="36" t="inlineStr">
        <is>
          <t>life insurance halifax</t>
        </is>
      </c>
      <c r="P576" s="37" t="n">
        <v>200</v>
      </c>
      <c r="Q576" s="36" t="inlineStr">
        <is>
          <t>City</t>
        </is>
      </c>
      <c r="R576" s="36" t="n"/>
      <c r="S576" s="36">
        <f>COUNTIF('Page-Keyword Map'!$A$2:$A$675,B576)</f>
        <v/>
      </c>
      <c r="T576" s="37">
        <f>SUMIF('Page-Keyword Map'!$A$2:$A$675,B576,'Page-Keyword Map'!$H$2:$H$675)</f>
        <v/>
      </c>
      <c r="U576" s="36">
        <f>COUNTIFS('Page-Keyword Map'!$A$2:$A$675,B576,'Page-Keyword Map'!$E$2:$E$675,"Nationwide")</f>
        <v/>
      </c>
      <c r="V576" s="36">
        <f>COUNTIFS('Page-Keyword Map'!$A$2:$A$675,B576,'Page-Keyword Map'!$E$2:$E$675,"Provincial")</f>
        <v/>
      </c>
      <c r="W576" s="36">
        <f>COUNTIFS('Page-Keyword Map'!$A$2:$A$675,B576,'Page-Keyword Map'!$E$2:$E$675,"City")</f>
        <v/>
      </c>
      <c r="X576" s="36">
        <f>IF(O576="","",IF(ISNUMBER(SEARCH(O576,J576)),"Yes","No"))</f>
        <v/>
      </c>
      <c r="Y576" s="36" t="n">
        <v>0.7</v>
      </c>
      <c r="Z576" s="36" t="inlineStr">
        <is>
          <t>sitemap-cities.xml</t>
        </is>
      </c>
      <c r="AA576" s="36" t="inlineStr">
        <is>
          <t>Live – indexable</t>
        </is>
      </c>
      <c r="AB576" s="38" t="n"/>
      <c r="AC576" s="38" t="n"/>
    </row>
    <row r="577" ht="23.85" customHeight="1" s="22">
      <c r="A577" s="36" t="inlineStr">
        <is>
          <t>P0576</t>
        </is>
      </c>
      <c r="B577" s="36" t="inlineStr">
        <is>
          <t>https://instasure.ca/life-insurance/ontario/ajax/</t>
        </is>
      </c>
      <c r="C577" s="36" t="inlineStr">
        <is>
          <t>Product × city</t>
        </is>
      </c>
      <c r="D577" s="36" t="inlineStr">
        <is>
          <t>Life insurance</t>
        </is>
      </c>
      <c r="E577" s="36" t="inlineStr">
        <is>
          <t>Life Insurance</t>
        </is>
      </c>
      <c r="F577" s="36" t="n"/>
      <c r="G577" s="36" t="inlineStr">
        <is>
          <t>Ontario</t>
        </is>
      </c>
      <c r="H577" s="36" t="inlineStr">
        <is>
          <t>Ajax</t>
        </is>
      </c>
      <c r="I577" s="36" t="inlineStr">
        <is>
          <t>No</t>
        </is>
      </c>
      <c r="J577" s="25" t="inlineStr">
        <is>
          <t>Life Insurance Ajax, ON: Compare Quotes &amp; Costs (2026)</t>
        </is>
      </c>
      <c r="K577" s="36">
        <f>LEN(J577)</f>
        <v/>
      </c>
      <c r="L577" s="25" t="inlineStr">
        <is>
          <t>Compare life insurance in Ajax, ON: instant estimate ($20.50–$29.50/mo example), example prices by age and advisors licensed in Ontario.</t>
        </is>
      </c>
      <c r="M577" s="36">
        <f>LEN(L577)</f>
        <v/>
      </c>
      <c r="N577" s="25" t="inlineStr">
        <is>
          <t>Life Insurance in Ajax, ON</t>
        </is>
      </c>
      <c r="O577" s="36" t="inlineStr">
        <is>
          <t>life insurance ajax</t>
        </is>
      </c>
      <c r="P577" s="37" t="n">
        <v>74</v>
      </c>
      <c r="Q577" s="36" t="inlineStr">
        <is>
          <t>City</t>
        </is>
      </c>
      <c r="R577" s="36" t="n"/>
      <c r="S577" s="36">
        <f>COUNTIF('Page-Keyword Map'!$A$2:$A$675,B577)</f>
        <v/>
      </c>
      <c r="T577" s="37">
        <f>SUMIF('Page-Keyword Map'!$A$2:$A$675,B577,'Page-Keyword Map'!$H$2:$H$675)</f>
        <v/>
      </c>
      <c r="U577" s="36">
        <f>COUNTIFS('Page-Keyword Map'!$A$2:$A$675,B577,'Page-Keyword Map'!$E$2:$E$675,"Nationwide")</f>
        <v/>
      </c>
      <c r="V577" s="36">
        <f>COUNTIFS('Page-Keyword Map'!$A$2:$A$675,B577,'Page-Keyword Map'!$E$2:$E$675,"Provincial")</f>
        <v/>
      </c>
      <c r="W577" s="36">
        <f>COUNTIFS('Page-Keyword Map'!$A$2:$A$675,B577,'Page-Keyword Map'!$E$2:$E$675,"City")</f>
        <v/>
      </c>
      <c r="X577" s="36">
        <f>IF(O577="","",IF(ISNUMBER(SEARCH(O577,J577)),"Yes","No"))</f>
        <v/>
      </c>
      <c r="Y577" s="36" t="n">
        <v>0.5</v>
      </c>
      <c r="Z577" s="36" t="inlineStr">
        <is>
          <t>(not listed: noindex)</t>
        </is>
      </c>
      <c r="AA577" s="36" t="inlineStr">
        <is>
          <t>Live – noindex (enrich before indexing)</t>
        </is>
      </c>
      <c r="AB577" s="38" t="n"/>
      <c r="AC577" s="38" t="n"/>
    </row>
    <row r="578" ht="23.85" customHeight="1" s="22">
      <c r="A578" s="36" t="inlineStr">
        <is>
          <t>P0577</t>
        </is>
      </c>
      <c r="B578" s="36" t="inlineStr">
        <is>
          <t>https://instasure.ca/life-insurance/ontario/barrie/</t>
        </is>
      </c>
      <c r="C578" s="36" t="inlineStr">
        <is>
          <t>Product × city</t>
        </is>
      </c>
      <c r="D578" s="36" t="inlineStr">
        <is>
          <t>Life insurance</t>
        </is>
      </c>
      <c r="E578" s="36" t="inlineStr">
        <is>
          <t>Life Insurance</t>
        </is>
      </c>
      <c r="F578" s="36" t="n"/>
      <c r="G578" s="36" t="inlineStr">
        <is>
          <t>Ontario</t>
        </is>
      </c>
      <c r="H578" s="36" t="inlineStr">
        <is>
          <t>Barrie</t>
        </is>
      </c>
      <c r="I578" s="36" t="inlineStr">
        <is>
          <t>No</t>
        </is>
      </c>
      <c r="J578" s="25" t="inlineStr">
        <is>
          <t>Life Insurance Barrie, ON: Compare Quotes &amp; Costs (2026)</t>
        </is>
      </c>
      <c r="K578" s="36">
        <f>LEN(J578)</f>
        <v/>
      </c>
      <c r="L578" s="25" t="inlineStr">
        <is>
          <t>Compare life insurance in Barrie, ON: instant estimate ($20.50–$29.50/mo example), example prices by age and advisors licensed in Ontario.</t>
        </is>
      </c>
      <c r="M578" s="36">
        <f>LEN(L578)</f>
        <v/>
      </c>
      <c r="N578" s="25" t="inlineStr">
        <is>
          <t>Life Insurance in Barrie, ON</t>
        </is>
      </c>
      <c r="O578" s="36" t="inlineStr">
        <is>
          <t>life insurance barrie</t>
        </is>
      </c>
      <c r="P578" s="37" t="n">
        <v>83</v>
      </c>
      <c r="Q578" s="36" t="inlineStr">
        <is>
          <t>City</t>
        </is>
      </c>
      <c r="R578" s="36" t="n"/>
      <c r="S578" s="36">
        <f>COUNTIF('Page-Keyword Map'!$A$2:$A$675,B578)</f>
        <v/>
      </c>
      <c r="T578" s="37">
        <f>SUMIF('Page-Keyword Map'!$A$2:$A$675,B578,'Page-Keyword Map'!$H$2:$H$675)</f>
        <v/>
      </c>
      <c r="U578" s="36">
        <f>COUNTIFS('Page-Keyword Map'!$A$2:$A$675,B578,'Page-Keyword Map'!$E$2:$E$675,"Nationwide")</f>
        <v/>
      </c>
      <c r="V578" s="36">
        <f>COUNTIFS('Page-Keyword Map'!$A$2:$A$675,B578,'Page-Keyword Map'!$E$2:$E$675,"Provincial")</f>
        <v/>
      </c>
      <c r="W578" s="36">
        <f>COUNTIFS('Page-Keyword Map'!$A$2:$A$675,B578,'Page-Keyword Map'!$E$2:$E$675,"City")</f>
        <v/>
      </c>
      <c r="X578" s="36">
        <f>IF(O578="","",IF(ISNUMBER(SEARCH(O578,J578)),"Yes","No"))</f>
        <v/>
      </c>
      <c r="Y578" s="36" t="n">
        <v>0.5</v>
      </c>
      <c r="Z578" s="36" t="inlineStr">
        <is>
          <t>(not listed: noindex)</t>
        </is>
      </c>
      <c r="AA578" s="36" t="inlineStr">
        <is>
          <t>Live – noindex (enrich before indexing)</t>
        </is>
      </c>
      <c r="AB578" s="38" t="n"/>
      <c r="AC578" s="38" t="n"/>
    </row>
    <row r="579" ht="23.85" customHeight="1" s="22">
      <c r="A579" s="36" t="inlineStr">
        <is>
          <t>P0578</t>
        </is>
      </c>
      <c r="B579" s="36" t="inlineStr">
        <is>
          <t>https://instasure.ca/life-insurance/ontario/brampton/</t>
        </is>
      </c>
      <c r="C579" s="36" t="inlineStr">
        <is>
          <t>Product × city</t>
        </is>
      </c>
      <c r="D579" s="36" t="inlineStr">
        <is>
          <t>Life insurance</t>
        </is>
      </c>
      <c r="E579" s="36" t="inlineStr">
        <is>
          <t>Life Insurance</t>
        </is>
      </c>
      <c r="F579" s="36" t="n"/>
      <c r="G579" s="36" t="inlineStr">
        <is>
          <t>Ontario</t>
        </is>
      </c>
      <c r="H579" s="36" t="inlineStr">
        <is>
          <t>Brampton</t>
        </is>
      </c>
      <c r="I579" s="36" t="inlineStr">
        <is>
          <t>Yes</t>
        </is>
      </c>
      <c r="J579" s="25" t="inlineStr">
        <is>
          <t>Life Insurance Brampton, ON: Compare Quotes &amp; Costs (2026)</t>
        </is>
      </c>
      <c r="K579" s="36">
        <f>LEN(J579)</f>
        <v/>
      </c>
      <c r="L579" s="25" t="inlineStr">
        <is>
          <t>Compare life insurance in Brampton, ON: instant estimate ($20.50–$29.50/mo example), example prices by age and advisors licensed in Ontario.</t>
        </is>
      </c>
      <c r="M579" s="36">
        <f>LEN(L579)</f>
        <v/>
      </c>
      <c r="N579" s="25" t="inlineStr">
        <is>
          <t>Life Insurance in Brampton, ON</t>
        </is>
      </c>
      <c r="O579" s="36" t="inlineStr">
        <is>
          <t>life insurance brampton</t>
        </is>
      </c>
      <c r="P579" s="37" t="n">
        <v>270</v>
      </c>
      <c r="Q579" s="36" t="inlineStr">
        <is>
          <t>City</t>
        </is>
      </c>
      <c r="R579" s="36" t="n"/>
      <c r="S579" s="36">
        <f>COUNTIF('Page-Keyword Map'!$A$2:$A$675,B579)</f>
        <v/>
      </c>
      <c r="T579" s="37">
        <f>SUMIF('Page-Keyword Map'!$A$2:$A$675,B579,'Page-Keyword Map'!$H$2:$H$675)</f>
        <v/>
      </c>
      <c r="U579" s="36">
        <f>COUNTIFS('Page-Keyword Map'!$A$2:$A$675,B579,'Page-Keyword Map'!$E$2:$E$675,"Nationwide")</f>
        <v/>
      </c>
      <c r="V579" s="36">
        <f>COUNTIFS('Page-Keyword Map'!$A$2:$A$675,B579,'Page-Keyword Map'!$E$2:$E$675,"Provincial")</f>
        <v/>
      </c>
      <c r="W579" s="36">
        <f>COUNTIFS('Page-Keyword Map'!$A$2:$A$675,B579,'Page-Keyword Map'!$E$2:$E$675,"City")</f>
        <v/>
      </c>
      <c r="X579" s="36">
        <f>IF(O579="","",IF(ISNUMBER(SEARCH(O579,J579)),"Yes","No"))</f>
        <v/>
      </c>
      <c r="Y579" s="36" t="n">
        <v>0.7</v>
      </c>
      <c r="Z579" s="36" t="inlineStr">
        <is>
          <t>sitemap-cities.xml</t>
        </is>
      </c>
      <c r="AA579" s="36" t="inlineStr">
        <is>
          <t>Live – indexable</t>
        </is>
      </c>
      <c r="AB579" s="38" t="n"/>
      <c r="AC579" s="38" t="n"/>
    </row>
    <row r="580" ht="23.85" customHeight="1" s="22">
      <c r="A580" s="36" t="inlineStr">
        <is>
          <t>P0579</t>
        </is>
      </c>
      <c r="B580" s="36" t="inlineStr">
        <is>
          <t>https://instasure.ca/life-insurance/ontario/burlington/</t>
        </is>
      </c>
      <c r="C580" s="36" t="inlineStr">
        <is>
          <t>Product × city</t>
        </is>
      </c>
      <c r="D580" s="36" t="inlineStr">
        <is>
          <t>Life insurance</t>
        </is>
      </c>
      <c r="E580" s="36" t="inlineStr">
        <is>
          <t>Life Insurance</t>
        </is>
      </c>
      <c r="F580" s="36" t="n"/>
      <c r="G580" s="36" t="inlineStr">
        <is>
          <t>Ontario</t>
        </is>
      </c>
      <c r="H580" s="36" t="inlineStr">
        <is>
          <t>Burlington</t>
        </is>
      </c>
      <c r="I580" s="36" t="inlineStr">
        <is>
          <t>No</t>
        </is>
      </c>
      <c r="J580" s="25" t="inlineStr">
        <is>
          <t>Life Insurance Burlington, ON: Compare Quotes &amp; Costs (2026)</t>
        </is>
      </c>
      <c r="K580" s="36">
        <f>LEN(J580)</f>
        <v/>
      </c>
      <c r="L580" s="25" t="inlineStr">
        <is>
          <t>Compare life insurance in Burlington, ON: instant estimate ($20.50–$29.50/mo example), example prices by age and advisors licensed in Ontario.</t>
        </is>
      </c>
      <c r="M580" s="36">
        <f>LEN(L580)</f>
        <v/>
      </c>
      <c r="N580" s="25" t="inlineStr">
        <is>
          <t>Life Insurance in Burlington, ON</t>
        </is>
      </c>
      <c r="O580" s="36" t="inlineStr">
        <is>
          <t>life insurance burlington</t>
        </is>
      </c>
      <c r="P580" s="37" t="n">
        <v>100</v>
      </c>
      <c r="Q580" s="36" t="inlineStr">
        <is>
          <t>City</t>
        </is>
      </c>
      <c r="R580" s="36" t="n"/>
      <c r="S580" s="36">
        <f>COUNTIF('Page-Keyword Map'!$A$2:$A$675,B580)</f>
        <v/>
      </c>
      <c r="T580" s="37">
        <f>SUMIF('Page-Keyword Map'!$A$2:$A$675,B580,'Page-Keyword Map'!$H$2:$H$675)</f>
        <v/>
      </c>
      <c r="U580" s="36">
        <f>COUNTIFS('Page-Keyword Map'!$A$2:$A$675,B580,'Page-Keyword Map'!$E$2:$E$675,"Nationwide")</f>
        <v/>
      </c>
      <c r="V580" s="36">
        <f>COUNTIFS('Page-Keyword Map'!$A$2:$A$675,B580,'Page-Keyword Map'!$E$2:$E$675,"Provincial")</f>
        <v/>
      </c>
      <c r="W580" s="36">
        <f>COUNTIFS('Page-Keyword Map'!$A$2:$A$675,B580,'Page-Keyword Map'!$E$2:$E$675,"City")</f>
        <v/>
      </c>
      <c r="X580" s="36">
        <f>IF(O580="","",IF(ISNUMBER(SEARCH(O580,J580)),"Yes","No"))</f>
        <v/>
      </c>
      <c r="Y580" s="36" t="n">
        <v>0.5</v>
      </c>
      <c r="Z580" s="36" t="inlineStr">
        <is>
          <t>(not listed: noindex)</t>
        </is>
      </c>
      <c r="AA580" s="36" t="inlineStr">
        <is>
          <t>Live – noindex (enrich before indexing)</t>
        </is>
      </c>
      <c r="AB580" s="38" t="n"/>
      <c r="AC580" s="38" t="n"/>
    </row>
    <row r="581" ht="23.85" customHeight="1" s="22">
      <c r="A581" s="36" t="inlineStr">
        <is>
          <t>P0580</t>
        </is>
      </c>
      <c r="B581" s="36" t="inlineStr">
        <is>
          <t>https://instasure.ca/life-insurance/ontario/cambridge/</t>
        </is>
      </c>
      <c r="C581" s="36" t="inlineStr">
        <is>
          <t>Product × city</t>
        </is>
      </c>
      <c r="D581" s="36" t="inlineStr">
        <is>
          <t>Life insurance</t>
        </is>
      </c>
      <c r="E581" s="36" t="inlineStr">
        <is>
          <t>Life Insurance</t>
        </is>
      </c>
      <c r="F581" s="36" t="n"/>
      <c r="G581" s="36" t="inlineStr">
        <is>
          <t>Ontario</t>
        </is>
      </c>
      <c r="H581" s="36" t="inlineStr">
        <is>
          <t>Cambridge</t>
        </is>
      </c>
      <c r="I581" s="36" t="inlineStr">
        <is>
          <t>No</t>
        </is>
      </c>
      <c r="J581" s="25" t="inlineStr">
        <is>
          <t>Life Insurance Cambridge, ON: Compare Quotes &amp; Costs (2026)</t>
        </is>
      </c>
      <c r="K581" s="36">
        <f>LEN(J581)</f>
        <v/>
      </c>
      <c r="L581" s="25" t="inlineStr">
        <is>
          <t>Compare life insurance in Cambridge, ON: instant estimate ($20.50–$29.50/mo example), example prices by age and advisors licensed in Ontario.</t>
        </is>
      </c>
      <c r="M581" s="36">
        <f>LEN(L581)</f>
        <v/>
      </c>
      <c r="N581" s="25" t="inlineStr">
        <is>
          <t>Life Insurance in Cambridge, ON</t>
        </is>
      </c>
      <c r="O581" s="36" t="inlineStr">
        <is>
          <t>life insurance cambridge</t>
        </is>
      </c>
      <c r="P581" s="37" t="n">
        <v>79</v>
      </c>
      <c r="Q581" s="36" t="inlineStr">
        <is>
          <t>City</t>
        </is>
      </c>
      <c r="R581" s="36" t="n"/>
      <c r="S581" s="36">
        <f>COUNTIF('Page-Keyword Map'!$A$2:$A$675,B581)</f>
        <v/>
      </c>
      <c r="T581" s="37">
        <f>SUMIF('Page-Keyword Map'!$A$2:$A$675,B581,'Page-Keyword Map'!$H$2:$H$675)</f>
        <v/>
      </c>
      <c r="U581" s="36">
        <f>COUNTIFS('Page-Keyword Map'!$A$2:$A$675,B581,'Page-Keyword Map'!$E$2:$E$675,"Nationwide")</f>
        <v/>
      </c>
      <c r="V581" s="36">
        <f>COUNTIFS('Page-Keyword Map'!$A$2:$A$675,B581,'Page-Keyword Map'!$E$2:$E$675,"Provincial")</f>
        <v/>
      </c>
      <c r="W581" s="36">
        <f>COUNTIFS('Page-Keyword Map'!$A$2:$A$675,B581,'Page-Keyword Map'!$E$2:$E$675,"City")</f>
        <v/>
      </c>
      <c r="X581" s="36">
        <f>IF(O581="","",IF(ISNUMBER(SEARCH(O581,J581)),"Yes","No"))</f>
        <v/>
      </c>
      <c r="Y581" s="36" t="n">
        <v>0.5</v>
      </c>
      <c r="Z581" s="36" t="inlineStr">
        <is>
          <t>(not listed: noindex)</t>
        </is>
      </c>
      <c r="AA581" s="36" t="inlineStr">
        <is>
          <t>Live – noindex (enrich before indexing)</t>
        </is>
      </c>
      <c r="AB581" s="38" t="n"/>
      <c r="AC581" s="38" t="n"/>
    </row>
    <row r="582" ht="23.85" customHeight="1" s="22">
      <c r="A582" s="36" t="inlineStr">
        <is>
          <t>P0581</t>
        </is>
      </c>
      <c r="B582" s="36" t="inlineStr">
        <is>
          <t>https://instasure.ca/life-insurance/ontario/guelph/</t>
        </is>
      </c>
      <c r="C582" s="36" t="inlineStr">
        <is>
          <t>Product × city</t>
        </is>
      </c>
      <c r="D582" s="36" t="inlineStr">
        <is>
          <t>Life insurance</t>
        </is>
      </c>
      <c r="E582" s="36" t="inlineStr">
        <is>
          <t>Life Insurance</t>
        </is>
      </c>
      <c r="F582" s="36" t="n"/>
      <c r="G582" s="36" t="inlineStr">
        <is>
          <t>Ontario</t>
        </is>
      </c>
      <c r="H582" s="36" t="inlineStr">
        <is>
          <t>Guelph</t>
        </is>
      </c>
      <c r="I582" s="36" t="inlineStr">
        <is>
          <t>No</t>
        </is>
      </c>
      <c r="J582" s="25" t="inlineStr">
        <is>
          <t>Life Insurance Guelph, ON: Compare Quotes &amp; Costs (2026)</t>
        </is>
      </c>
      <c r="K582" s="36">
        <f>LEN(J582)</f>
        <v/>
      </c>
      <c r="L582" s="25" t="inlineStr">
        <is>
          <t>Compare life insurance in Guelph, ON: instant estimate ($20.50–$29.50/mo example), example prices by age and advisors licensed in Ontario.</t>
        </is>
      </c>
      <c r="M582" s="36">
        <f>LEN(L582)</f>
        <v/>
      </c>
      <c r="N582" s="25" t="inlineStr">
        <is>
          <t>Life Insurance in Guelph, ON</t>
        </is>
      </c>
      <c r="O582" s="36" t="inlineStr">
        <is>
          <t>life insurance guelph</t>
        </is>
      </c>
      <c r="P582" s="37" t="n">
        <v>82</v>
      </c>
      <c r="Q582" s="36" t="inlineStr">
        <is>
          <t>City</t>
        </is>
      </c>
      <c r="R582" s="36" t="n"/>
      <c r="S582" s="36">
        <f>COUNTIF('Page-Keyword Map'!$A$2:$A$675,B582)</f>
        <v/>
      </c>
      <c r="T582" s="37">
        <f>SUMIF('Page-Keyword Map'!$A$2:$A$675,B582,'Page-Keyword Map'!$H$2:$H$675)</f>
        <v/>
      </c>
      <c r="U582" s="36">
        <f>COUNTIFS('Page-Keyword Map'!$A$2:$A$675,B582,'Page-Keyword Map'!$E$2:$E$675,"Nationwide")</f>
        <v/>
      </c>
      <c r="V582" s="36">
        <f>COUNTIFS('Page-Keyword Map'!$A$2:$A$675,B582,'Page-Keyword Map'!$E$2:$E$675,"Provincial")</f>
        <v/>
      </c>
      <c r="W582" s="36">
        <f>COUNTIFS('Page-Keyword Map'!$A$2:$A$675,B582,'Page-Keyword Map'!$E$2:$E$675,"City")</f>
        <v/>
      </c>
      <c r="X582" s="36">
        <f>IF(O582="","",IF(ISNUMBER(SEARCH(O582,J582)),"Yes","No"))</f>
        <v/>
      </c>
      <c r="Y582" s="36" t="n">
        <v>0.5</v>
      </c>
      <c r="Z582" s="36" t="inlineStr">
        <is>
          <t>(not listed: noindex)</t>
        </is>
      </c>
      <c r="AA582" s="36" t="inlineStr">
        <is>
          <t>Live – noindex (enrich before indexing)</t>
        </is>
      </c>
      <c r="AB582" s="38" t="n"/>
      <c r="AC582" s="38" t="n"/>
    </row>
    <row r="583" ht="23.85" customHeight="1" s="22">
      <c r="A583" s="36" t="inlineStr">
        <is>
          <t>P0582</t>
        </is>
      </c>
      <c r="B583" s="36" t="inlineStr">
        <is>
          <t>https://instasure.ca/life-insurance/ontario/hamilton/</t>
        </is>
      </c>
      <c r="C583" s="36" t="inlineStr">
        <is>
          <t>Product × city</t>
        </is>
      </c>
      <c r="D583" s="36" t="inlineStr">
        <is>
          <t>Life insurance</t>
        </is>
      </c>
      <c r="E583" s="36" t="inlineStr">
        <is>
          <t>Life Insurance</t>
        </is>
      </c>
      <c r="F583" s="36" t="n"/>
      <c r="G583" s="36" t="inlineStr">
        <is>
          <t>Ontario</t>
        </is>
      </c>
      <c r="H583" s="36" t="inlineStr">
        <is>
          <t>Hamilton</t>
        </is>
      </c>
      <c r="I583" s="36" t="inlineStr">
        <is>
          <t>Yes</t>
        </is>
      </c>
      <c r="J583" s="25" t="inlineStr">
        <is>
          <t>Life Insurance Hamilton, ON: Compare Quotes &amp; Costs (2026)</t>
        </is>
      </c>
      <c r="K583" s="36">
        <f>LEN(J583)</f>
        <v/>
      </c>
      <c r="L583" s="25" t="inlineStr">
        <is>
          <t>Compare life insurance in Hamilton, ON: instant estimate ($20.50–$29.50/mo example), example prices by age and advisors licensed in Ontario.</t>
        </is>
      </c>
      <c r="M583" s="36">
        <f>LEN(L583)</f>
        <v/>
      </c>
      <c r="N583" s="25" t="inlineStr">
        <is>
          <t>Life Insurance in Hamilton, ON</t>
        </is>
      </c>
      <c r="O583" s="36" t="inlineStr">
        <is>
          <t>life insurance hamilton</t>
        </is>
      </c>
      <c r="P583" s="37" t="n">
        <v>250</v>
      </c>
      <c r="Q583" s="36" t="inlineStr">
        <is>
          <t>City</t>
        </is>
      </c>
      <c r="R583" s="36" t="n"/>
      <c r="S583" s="36">
        <f>COUNTIF('Page-Keyword Map'!$A$2:$A$675,B583)</f>
        <v/>
      </c>
      <c r="T583" s="37">
        <f>SUMIF('Page-Keyword Map'!$A$2:$A$675,B583,'Page-Keyword Map'!$H$2:$H$675)</f>
        <v/>
      </c>
      <c r="U583" s="36">
        <f>COUNTIFS('Page-Keyword Map'!$A$2:$A$675,B583,'Page-Keyword Map'!$E$2:$E$675,"Nationwide")</f>
        <v/>
      </c>
      <c r="V583" s="36">
        <f>COUNTIFS('Page-Keyword Map'!$A$2:$A$675,B583,'Page-Keyword Map'!$E$2:$E$675,"Provincial")</f>
        <v/>
      </c>
      <c r="W583" s="36">
        <f>COUNTIFS('Page-Keyword Map'!$A$2:$A$675,B583,'Page-Keyword Map'!$E$2:$E$675,"City")</f>
        <v/>
      </c>
      <c r="X583" s="36">
        <f>IF(O583="","",IF(ISNUMBER(SEARCH(O583,J583)),"Yes","No"))</f>
        <v/>
      </c>
      <c r="Y583" s="36" t="n">
        <v>0.7</v>
      </c>
      <c r="Z583" s="36" t="inlineStr">
        <is>
          <t>sitemap-cities.xml</t>
        </is>
      </c>
      <c r="AA583" s="36" t="inlineStr">
        <is>
          <t>Live – indexable</t>
        </is>
      </c>
      <c r="AB583" s="38" t="n"/>
      <c r="AC583" s="38" t="n"/>
    </row>
    <row r="584" ht="23.85" customHeight="1" s="22">
      <c r="A584" s="36" t="inlineStr">
        <is>
          <t>P0583</t>
        </is>
      </c>
      <c r="B584" s="36" t="inlineStr">
        <is>
          <t>https://instasure.ca/life-insurance/ontario/kingston/</t>
        </is>
      </c>
      <c r="C584" s="36" t="inlineStr">
        <is>
          <t>Product × city</t>
        </is>
      </c>
      <c r="D584" s="36" t="inlineStr">
        <is>
          <t>Life insurance</t>
        </is>
      </c>
      <c r="E584" s="36" t="inlineStr">
        <is>
          <t>Life Insurance</t>
        </is>
      </c>
      <c r="F584" s="36" t="n"/>
      <c r="G584" s="36" t="inlineStr">
        <is>
          <t>Ontario</t>
        </is>
      </c>
      <c r="H584" s="36" t="inlineStr">
        <is>
          <t>Kingston</t>
        </is>
      </c>
      <c r="I584" s="36" t="inlineStr">
        <is>
          <t>No</t>
        </is>
      </c>
      <c r="J584" s="25" t="inlineStr">
        <is>
          <t>Life Insurance Kingston, ON: Compare Quotes &amp; Costs (2026)</t>
        </is>
      </c>
      <c r="K584" s="36">
        <f>LEN(J584)</f>
        <v/>
      </c>
      <c r="L584" s="25" t="inlineStr">
        <is>
          <t>Compare life insurance in Kingston, ON: instant estimate ($20.50–$29.50/mo example), example prices by age and advisors licensed in Ontario.</t>
        </is>
      </c>
      <c r="M584" s="36">
        <f>LEN(L584)</f>
        <v/>
      </c>
      <c r="N584" s="25" t="inlineStr">
        <is>
          <t>Life Insurance in Kingston, ON</t>
        </is>
      </c>
      <c r="O584" s="36" t="inlineStr">
        <is>
          <t>life insurance kingston</t>
        </is>
      </c>
      <c r="P584" s="37" t="n">
        <v>76</v>
      </c>
      <c r="Q584" s="36" t="inlineStr">
        <is>
          <t>City</t>
        </is>
      </c>
      <c r="R584" s="36" t="n"/>
      <c r="S584" s="36">
        <f>COUNTIF('Page-Keyword Map'!$A$2:$A$675,B584)</f>
        <v/>
      </c>
      <c r="T584" s="37">
        <f>SUMIF('Page-Keyword Map'!$A$2:$A$675,B584,'Page-Keyword Map'!$H$2:$H$675)</f>
        <v/>
      </c>
      <c r="U584" s="36">
        <f>COUNTIFS('Page-Keyword Map'!$A$2:$A$675,B584,'Page-Keyword Map'!$E$2:$E$675,"Nationwide")</f>
        <v/>
      </c>
      <c r="V584" s="36">
        <f>COUNTIFS('Page-Keyword Map'!$A$2:$A$675,B584,'Page-Keyword Map'!$E$2:$E$675,"Provincial")</f>
        <v/>
      </c>
      <c r="W584" s="36">
        <f>COUNTIFS('Page-Keyword Map'!$A$2:$A$675,B584,'Page-Keyword Map'!$E$2:$E$675,"City")</f>
        <v/>
      </c>
      <c r="X584" s="36">
        <f>IF(O584="","",IF(ISNUMBER(SEARCH(O584,J584)),"Yes","No"))</f>
        <v/>
      </c>
      <c r="Y584" s="36" t="n">
        <v>0.5</v>
      </c>
      <c r="Z584" s="36" t="inlineStr">
        <is>
          <t>(not listed: noindex)</t>
        </is>
      </c>
      <c r="AA584" s="36" t="inlineStr">
        <is>
          <t>Live – noindex (enrich before indexing)</t>
        </is>
      </c>
      <c r="AB584" s="38" t="n"/>
      <c r="AC584" s="38" t="n"/>
    </row>
    <row r="585" ht="23.85" customHeight="1" s="22">
      <c r="A585" s="36" t="inlineStr">
        <is>
          <t>P0584</t>
        </is>
      </c>
      <c r="B585" s="36" t="inlineStr">
        <is>
          <t>https://instasure.ca/life-insurance/ontario/kitchener/</t>
        </is>
      </c>
      <c r="C585" s="36" t="inlineStr">
        <is>
          <t>Product × city</t>
        </is>
      </c>
      <c r="D585" s="36" t="inlineStr">
        <is>
          <t>Life insurance</t>
        </is>
      </c>
      <c r="E585" s="36" t="inlineStr">
        <is>
          <t>Life Insurance</t>
        </is>
      </c>
      <c r="F585" s="36" t="n"/>
      <c r="G585" s="36" t="inlineStr">
        <is>
          <t>Ontario</t>
        </is>
      </c>
      <c r="H585" s="36" t="inlineStr">
        <is>
          <t>Kitchener</t>
        </is>
      </c>
      <c r="I585" s="36" t="inlineStr">
        <is>
          <t>Yes</t>
        </is>
      </c>
      <c r="J585" s="25" t="inlineStr">
        <is>
          <t>Life Insurance Kitchener, ON: Compare Quotes &amp; Costs (2026)</t>
        </is>
      </c>
      <c r="K585" s="36">
        <f>LEN(J585)</f>
        <v/>
      </c>
      <c r="L585" s="25" t="inlineStr">
        <is>
          <t>Compare life insurance in Kitchener, ON: instant estimate ($20.50–$29.50/mo example), example prices by age and advisors licensed in Ontario.</t>
        </is>
      </c>
      <c r="M585" s="36">
        <f>LEN(L585)</f>
        <v/>
      </c>
      <c r="N585" s="25" t="inlineStr">
        <is>
          <t>Life Insurance in Kitchener, ON</t>
        </is>
      </c>
      <c r="O585" s="36" t="inlineStr">
        <is>
          <t>life insurance kitchener</t>
        </is>
      </c>
      <c r="P585" s="37" t="n">
        <v>130</v>
      </c>
      <c r="Q585" s="36" t="inlineStr">
        <is>
          <t>City</t>
        </is>
      </c>
      <c r="R585" s="36" t="n"/>
      <c r="S585" s="36">
        <f>COUNTIF('Page-Keyword Map'!$A$2:$A$675,B585)</f>
        <v/>
      </c>
      <c r="T585" s="37">
        <f>SUMIF('Page-Keyword Map'!$A$2:$A$675,B585,'Page-Keyword Map'!$H$2:$H$675)</f>
        <v/>
      </c>
      <c r="U585" s="36">
        <f>COUNTIFS('Page-Keyword Map'!$A$2:$A$675,B585,'Page-Keyword Map'!$E$2:$E$675,"Nationwide")</f>
        <v/>
      </c>
      <c r="V585" s="36">
        <f>COUNTIFS('Page-Keyword Map'!$A$2:$A$675,B585,'Page-Keyword Map'!$E$2:$E$675,"Provincial")</f>
        <v/>
      </c>
      <c r="W585" s="36">
        <f>COUNTIFS('Page-Keyword Map'!$A$2:$A$675,B585,'Page-Keyword Map'!$E$2:$E$675,"City")</f>
        <v/>
      </c>
      <c r="X585" s="36">
        <f>IF(O585="","",IF(ISNUMBER(SEARCH(O585,J585)),"Yes","No"))</f>
        <v/>
      </c>
      <c r="Y585" s="36" t="n">
        <v>0.7</v>
      </c>
      <c r="Z585" s="36" t="inlineStr">
        <is>
          <t>sitemap-cities.xml</t>
        </is>
      </c>
      <c r="AA585" s="36" t="inlineStr">
        <is>
          <t>Live – indexable</t>
        </is>
      </c>
      <c r="AB585" s="38" t="n"/>
      <c r="AC585" s="38" t="n"/>
    </row>
    <row r="586" ht="23.85" customHeight="1" s="22">
      <c r="A586" s="36" t="inlineStr">
        <is>
          <t>P0585</t>
        </is>
      </c>
      <c r="B586" s="36" t="inlineStr">
        <is>
          <t>https://instasure.ca/life-insurance/ontario/london/</t>
        </is>
      </c>
      <c r="C586" s="36" t="inlineStr">
        <is>
          <t>Product × city</t>
        </is>
      </c>
      <c r="D586" s="36" t="inlineStr">
        <is>
          <t>Life insurance</t>
        </is>
      </c>
      <c r="E586" s="36" t="inlineStr">
        <is>
          <t>Life Insurance</t>
        </is>
      </c>
      <c r="F586" s="36" t="n"/>
      <c r="G586" s="36" t="inlineStr">
        <is>
          <t>Ontario</t>
        </is>
      </c>
      <c r="H586" s="36" t="inlineStr">
        <is>
          <t>London</t>
        </is>
      </c>
      <c r="I586" s="36" t="inlineStr">
        <is>
          <t>Yes</t>
        </is>
      </c>
      <c r="J586" s="25" t="inlineStr">
        <is>
          <t>Life Insurance London, ON: Compare Quotes &amp; Costs (2026)</t>
        </is>
      </c>
      <c r="K586" s="36">
        <f>LEN(J586)</f>
        <v/>
      </c>
      <c r="L586" s="25" t="inlineStr">
        <is>
          <t>Compare life insurance in London, ON: instant estimate ($20.50–$29.50/mo example), example prices by age and advisors licensed in Ontario.</t>
        </is>
      </c>
      <c r="M586" s="36">
        <f>LEN(L586)</f>
        <v/>
      </c>
      <c r="N586" s="25" t="inlineStr">
        <is>
          <t>Life Insurance in London, ON</t>
        </is>
      </c>
      <c r="O586" s="36" t="inlineStr">
        <is>
          <t>life insurance london ontario</t>
        </is>
      </c>
      <c r="P586" s="37" t="n">
        <v>190</v>
      </c>
      <c r="Q586" s="36" t="inlineStr">
        <is>
          <t>City</t>
        </is>
      </c>
      <c r="R586" s="36" t="n"/>
      <c r="S586" s="36">
        <f>COUNTIF('Page-Keyword Map'!$A$2:$A$675,B586)</f>
        <v/>
      </c>
      <c r="T586" s="37">
        <f>SUMIF('Page-Keyword Map'!$A$2:$A$675,B586,'Page-Keyword Map'!$H$2:$H$675)</f>
        <v/>
      </c>
      <c r="U586" s="36">
        <f>COUNTIFS('Page-Keyword Map'!$A$2:$A$675,B586,'Page-Keyword Map'!$E$2:$E$675,"Nationwide")</f>
        <v/>
      </c>
      <c r="V586" s="36">
        <f>COUNTIFS('Page-Keyword Map'!$A$2:$A$675,B586,'Page-Keyword Map'!$E$2:$E$675,"Provincial")</f>
        <v/>
      </c>
      <c r="W586" s="36">
        <f>COUNTIFS('Page-Keyword Map'!$A$2:$A$675,B586,'Page-Keyword Map'!$E$2:$E$675,"City")</f>
        <v/>
      </c>
      <c r="X586" s="36">
        <f>IF(O586="","",IF(ISNUMBER(SEARCH(O586,J586)),"Yes","No"))</f>
        <v/>
      </c>
      <c r="Y586" s="36" t="n">
        <v>0.7</v>
      </c>
      <c r="Z586" s="36" t="inlineStr">
        <is>
          <t>sitemap-cities.xml</t>
        </is>
      </c>
      <c r="AA586" s="36" t="inlineStr">
        <is>
          <t>Live – indexable</t>
        </is>
      </c>
      <c r="AB586" s="38" t="n"/>
      <c r="AC586" s="38" t="n"/>
    </row>
    <row r="587" ht="23.85" customHeight="1" s="22">
      <c r="A587" s="36" t="inlineStr">
        <is>
          <t>P0586</t>
        </is>
      </c>
      <c r="B587" s="36" t="inlineStr">
        <is>
          <t>https://instasure.ca/life-insurance/ontario/markham/</t>
        </is>
      </c>
      <c r="C587" s="36" t="inlineStr">
        <is>
          <t>Product × city</t>
        </is>
      </c>
      <c r="D587" s="36" t="inlineStr">
        <is>
          <t>Life insurance</t>
        </is>
      </c>
      <c r="E587" s="36" t="inlineStr">
        <is>
          <t>Life Insurance</t>
        </is>
      </c>
      <c r="F587" s="36" t="n"/>
      <c r="G587" s="36" t="inlineStr">
        <is>
          <t>Ontario</t>
        </is>
      </c>
      <c r="H587" s="36" t="inlineStr">
        <is>
          <t>Markham</t>
        </is>
      </c>
      <c r="I587" s="36" t="inlineStr">
        <is>
          <t>Yes</t>
        </is>
      </c>
      <c r="J587" s="25" t="inlineStr">
        <is>
          <t>Life Insurance Markham, ON: Compare Quotes &amp; Costs (2026)</t>
        </is>
      </c>
      <c r="K587" s="36">
        <f>LEN(J587)</f>
        <v/>
      </c>
      <c r="L587" s="25" t="inlineStr">
        <is>
          <t>Compare life insurance in Markham, ON: instant estimate ($20.50–$29.50/mo example), example prices by age and advisors licensed in Ontario.</t>
        </is>
      </c>
      <c r="M587" s="36">
        <f>LEN(L587)</f>
        <v/>
      </c>
      <c r="N587" s="25" t="inlineStr">
        <is>
          <t>Life Insurance in Markham, ON</t>
        </is>
      </c>
      <c r="O587" s="36" t="inlineStr">
        <is>
          <t>life insurance markham</t>
        </is>
      </c>
      <c r="P587" s="37" t="n">
        <v>160</v>
      </c>
      <c r="Q587" s="36" t="inlineStr">
        <is>
          <t>City</t>
        </is>
      </c>
      <c r="R587" s="36" t="n"/>
      <c r="S587" s="36">
        <f>COUNTIF('Page-Keyword Map'!$A$2:$A$675,B587)</f>
        <v/>
      </c>
      <c r="T587" s="37">
        <f>SUMIF('Page-Keyword Map'!$A$2:$A$675,B587,'Page-Keyword Map'!$H$2:$H$675)</f>
        <v/>
      </c>
      <c r="U587" s="36">
        <f>COUNTIFS('Page-Keyword Map'!$A$2:$A$675,B587,'Page-Keyword Map'!$E$2:$E$675,"Nationwide")</f>
        <v/>
      </c>
      <c r="V587" s="36">
        <f>COUNTIFS('Page-Keyword Map'!$A$2:$A$675,B587,'Page-Keyword Map'!$E$2:$E$675,"Provincial")</f>
        <v/>
      </c>
      <c r="W587" s="36">
        <f>COUNTIFS('Page-Keyword Map'!$A$2:$A$675,B587,'Page-Keyword Map'!$E$2:$E$675,"City")</f>
        <v/>
      </c>
      <c r="X587" s="36">
        <f>IF(O587="","",IF(ISNUMBER(SEARCH(O587,J587)),"Yes","No"))</f>
        <v/>
      </c>
      <c r="Y587" s="36" t="n">
        <v>0.7</v>
      </c>
      <c r="Z587" s="36" t="inlineStr">
        <is>
          <t>sitemap-cities.xml</t>
        </is>
      </c>
      <c r="AA587" s="36" t="inlineStr">
        <is>
          <t>Live – indexable</t>
        </is>
      </c>
      <c r="AB587" s="38" t="n"/>
      <c r="AC587" s="38" t="n"/>
    </row>
    <row r="588" ht="23.85" customHeight="1" s="22">
      <c r="A588" s="36" t="inlineStr">
        <is>
          <t>P0587</t>
        </is>
      </c>
      <c r="B588" s="36" t="inlineStr">
        <is>
          <t>https://instasure.ca/life-insurance/ontario/milton/</t>
        </is>
      </c>
      <c r="C588" s="36" t="inlineStr">
        <is>
          <t>Product × city</t>
        </is>
      </c>
      <c r="D588" s="36" t="inlineStr">
        <is>
          <t>Life insurance</t>
        </is>
      </c>
      <c r="E588" s="36" t="inlineStr">
        <is>
          <t>Life Insurance</t>
        </is>
      </c>
      <c r="F588" s="36" t="n"/>
      <c r="G588" s="36" t="inlineStr">
        <is>
          <t>Ontario</t>
        </is>
      </c>
      <c r="H588" s="36" t="inlineStr">
        <is>
          <t>Milton</t>
        </is>
      </c>
      <c r="I588" s="36" t="inlineStr">
        <is>
          <t>No</t>
        </is>
      </c>
      <c r="J588" s="25" t="inlineStr">
        <is>
          <t>Life Insurance Milton, ON: Compare Quotes &amp; Costs (2026)</t>
        </is>
      </c>
      <c r="K588" s="36">
        <f>LEN(J588)</f>
        <v/>
      </c>
      <c r="L588" s="25" t="inlineStr">
        <is>
          <t>Compare life insurance in Milton, ON: instant estimate ($20.50–$29.50/mo example), example prices by age and advisors licensed in Ontario.</t>
        </is>
      </c>
      <c r="M588" s="36">
        <f>LEN(L588)</f>
        <v/>
      </c>
      <c r="N588" s="25" t="inlineStr">
        <is>
          <t>Life Insurance in Milton, ON</t>
        </is>
      </c>
      <c r="O588" s="36" t="inlineStr">
        <is>
          <t>life insurance milton</t>
        </is>
      </c>
      <c r="P588" s="37" t="n">
        <v>77</v>
      </c>
      <c r="Q588" s="36" t="inlineStr">
        <is>
          <t>City</t>
        </is>
      </c>
      <c r="R588" s="36" t="n"/>
      <c r="S588" s="36">
        <f>COUNTIF('Page-Keyword Map'!$A$2:$A$675,B588)</f>
        <v/>
      </c>
      <c r="T588" s="37">
        <f>SUMIF('Page-Keyword Map'!$A$2:$A$675,B588,'Page-Keyword Map'!$H$2:$H$675)</f>
        <v/>
      </c>
      <c r="U588" s="36">
        <f>COUNTIFS('Page-Keyword Map'!$A$2:$A$675,B588,'Page-Keyword Map'!$E$2:$E$675,"Nationwide")</f>
        <v/>
      </c>
      <c r="V588" s="36">
        <f>COUNTIFS('Page-Keyword Map'!$A$2:$A$675,B588,'Page-Keyword Map'!$E$2:$E$675,"Provincial")</f>
        <v/>
      </c>
      <c r="W588" s="36">
        <f>COUNTIFS('Page-Keyword Map'!$A$2:$A$675,B588,'Page-Keyword Map'!$E$2:$E$675,"City")</f>
        <v/>
      </c>
      <c r="X588" s="36">
        <f>IF(O588="","",IF(ISNUMBER(SEARCH(O588,J588)),"Yes","No"))</f>
        <v/>
      </c>
      <c r="Y588" s="36" t="n">
        <v>0.5</v>
      </c>
      <c r="Z588" s="36" t="inlineStr">
        <is>
          <t>(not listed: noindex)</t>
        </is>
      </c>
      <c r="AA588" s="36" t="inlineStr">
        <is>
          <t>Live – noindex (enrich before indexing)</t>
        </is>
      </c>
      <c r="AB588" s="38" t="n"/>
      <c r="AC588" s="38" t="n"/>
    </row>
    <row r="589" ht="23.85" customHeight="1" s="22">
      <c r="A589" s="36" t="inlineStr">
        <is>
          <t>P0588</t>
        </is>
      </c>
      <c r="B589" s="36" t="inlineStr">
        <is>
          <t>https://instasure.ca/life-insurance/ontario/mississauga/</t>
        </is>
      </c>
      <c r="C589" s="36" t="inlineStr">
        <is>
          <t>Product × city</t>
        </is>
      </c>
      <c r="D589" s="36" t="inlineStr">
        <is>
          <t>Life insurance</t>
        </is>
      </c>
      <c r="E589" s="36" t="inlineStr">
        <is>
          <t>Life Insurance</t>
        </is>
      </c>
      <c r="F589" s="36" t="n"/>
      <c r="G589" s="36" t="inlineStr">
        <is>
          <t>Ontario</t>
        </is>
      </c>
      <c r="H589" s="36" t="inlineStr">
        <is>
          <t>Mississauga</t>
        </is>
      </c>
      <c r="I589" s="36" t="inlineStr">
        <is>
          <t>Yes</t>
        </is>
      </c>
      <c r="J589" s="25" t="inlineStr">
        <is>
          <t>Life Insurance Mississauga, ON: Compare Quotes &amp; Costs (2026)</t>
        </is>
      </c>
      <c r="K589" s="36">
        <f>LEN(J589)</f>
        <v/>
      </c>
      <c r="L589" s="25" t="inlineStr">
        <is>
          <t>Compare life insurance in Mississauga, ON: instant estimate ($20.50–$29.50/mo example), example prices by age and advisors licensed in Ontario.</t>
        </is>
      </c>
      <c r="M589" s="36">
        <f>LEN(L589)</f>
        <v/>
      </c>
      <c r="N589" s="25" t="inlineStr">
        <is>
          <t>Life Insurance in Mississauga, ON</t>
        </is>
      </c>
      <c r="O589" s="36" t="inlineStr">
        <is>
          <t>life insurance mississauga</t>
        </is>
      </c>
      <c r="P589" s="37" t="n">
        <v>300</v>
      </c>
      <c r="Q589" s="36" t="inlineStr">
        <is>
          <t>City</t>
        </is>
      </c>
      <c r="R589" s="36" t="n"/>
      <c r="S589" s="36">
        <f>COUNTIF('Page-Keyword Map'!$A$2:$A$675,B589)</f>
        <v/>
      </c>
      <c r="T589" s="37">
        <f>SUMIF('Page-Keyword Map'!$A$2:$A$675,B589,'Page-Keyword Map'!$H$2:$H$675)</f>
        <v/>
      </c>
      <c r="U589" s="36">
        <f>COUNTIFS('Page-Keyword Map'!$A$2:$A$675,B589,'Page-Keyword Map'!$E$2:$E$675,"Nationwide")</f>
        <v/>
      </c>
      <c r="V589" s="36">
        <f>COUNTIFS('Page-Keyword Map'!$A$2:$A$675,B589,'Page-Keyword Map'!$E$2:$E$675,"Provincial")</f>
        <v/>
      </c>
      <c r="W589" s="36">
        <f>COUNTIFS('Page-Keyword Map'!$A$2:$A$675,B589,'Page-Keyword Map'!$E$2:$E$675,"City")</f>
        <v/>
      </c>
      <c r="X589" s="36">
        <f>IF(O589="","",IF(ISNUMBER(SEARCH(O589,J589)),"Yes","No"))</f>
        <v/>
      </c>
      <c r="Y589" s="36" t="n">
        <v>0.7</v>
      </c>
      <c r="Z589" s="36" t="inlineStr">
        <is>
          <t>sitemap-cities.xml</t>
        </is>
      </c>
      <c r="AA589" s="36" t="inlineStr">
        <is>
          <t>Live – indexable</t>
        </is>
      </c>
      <c r="AB589" s="38" t="n"/>
      <c r="AC589" s="38" t="n"/>
    </row>
    <row r="590" ht="23.85" customHeight="1" s="22">
      <c r="A590" s="36" t="inlineStr">
        <is>
          <t>P0589</t>
        </is>
      </c>
      <c r="B590" s="36" t="inlineStr">
        <is>
          <t>https://instasure.ca/life-insurance/ontario/oakville/</t>
        </is>
      </c>
      <c r="C590" s="36" t="inlineStr">
        <is>
          <t>Product × city</t>
        </is>
      </c>
      <c r="D590" s="36" t="inlineStr">
        <is>
          <t>Life insurance</t>
        </is>
      </c>
      <c r="E590" s="36" t="inlineStr">
        <is>
          <t>Life Insurance</t>
        </is>
      </c>
      <c r="F590" s="36" t="n"/>
      <c r="G590" s="36" t="inlineStr">
        <is>
          <t>Ontario</t>
        </is>
      </c>
      <c r="H590" s="36" t="inlineStr">
        <is>
          <t>Oakville</t>
        </is>
      </c>
      <c r="I590" s="36" t="inlineStr">
        <is>
          <t>No</t>
        </is>
      </c>
      <c r="J590" s="25" t="inlineStr">
        <is>
          <t>Life Insurance Oakville, ON: Compare Quotes &amp; Costs (2026)</t>
        </is>
      </c>
      <c r="K590" s="36">
        <f>LEN(J590)</f>
        <v/>
      </c>
      <c r="L590" s="25" t="inlineStr">
        <is>
          <t>Compare life insurance in Oakville, ON: instant estimate ($20.50–$29.50/mo example), example prices by age and advisors licensed in Ontario.</t>
        </is>
      </c>
      <c r="M590" s="36">
        <f>LEN(L590)</f>
        <v/>
      </c>
      <c r="N590" s="25" t="inlineStr">
        <is>
          <t>Life Insurance in Oakville, ON</t>
        </is>
      </c>
      <c r="O590" s="36" t="inlineStr">
        <is>
          <t>life insurance oakville</t>
        </is>
      </c>
      <c r="P590" s="37" t="n">
        <v>110</v>
      </c>
      <c r="Q590" s="36" t="inlineStr">
        <is>
          <t>City</t>
        </is>
      </c>
      <c r="R590" s="36" t="n"/>
      <c r="S590" s="36">
        <f>COUNTIF('Page-Keyword Map'!$A$2:$A$675,B590)</f>
        <v/>
      </c>
      <c r="T590" s="37">
        <f>SUMIF('Page-Keyword Map'!$A$2:$A$675,B590,'Page-Keyword Map'!$H$2:$H$675)</f>
        <v/>
      </c>
      <c r="U590" s="36">
        <f>COUNTIFS('Page-Keyword Map'!$A$2:$A$675,B590,'Page-Keyword Map'!$E$2:$E$675,"Nationwide")</f>
        <v/>
      </c>
      <c r="V590" s="36">
        <f>COUNTIFS('Page-Keyword Map'!$A$2:$A$675,B590,'Page-Keyword Map'!$E$2:$E$675,"Provincial")</f>
        <v/>
      </c>
      <c r="W590" s="36">
        <f>COUNTIFS('Page-Keyword Map'!$A$2:$A$675,B590,'Page-Keyword Map'!$E$2:$E$675,"City")</f>
        <v/>
      </c>
      <c r="X590" s="36">
        <f>IF(O590="","",IF(ISNUMBER(SEARCH(O590,J590)),"Yes","No"))</f>
        <v/>
      </c>
      <c r="Y590" s="36" t="n">
        <v>0.5</v>
      </c>
      <c r="Z590" s="36" t="inlineStr">
        <is>
          <t>(not listed: noindex)</t>
        </is>
      </c>
      <c r="AA590" s="36" t="inlineStr">
        <is>
          <t>Live – noindex (enrich before indexing)</t>
        </is>
      </c>
      <c r="AB590" s="38" t="n"/>
      <c r="AC590" s="38" t="n"/>
    </row>
    <row r="591" ht="23.85" customHeight="1" s="22">
      <c r="A591" s="36" t="inlineStr">
        <is>
          <t>P0590</t>
        </is>
      </c>
      <c r="B591" s="36" t="inlineStr">
        <is>
          <t>https://instasure.ca/life-insurance/ontario/oshawa/</t>
        </is>
      </c>
      <c r="C591" s="36" t="inlineStr">
        <is>
          <t>Product × city</t>
        </is>
      </c>
      <c r="D591" s="36" t="inlineStr">
        <is>
          <t>Life insurance</t>
        </is>
      </c>
      <c r="E591" s="36" t="inlineStr">
        <is>
          <t>Life Insurance</t>
        </is>
      </c>
      <c r="F591" s="36" t="n"/>
      <c r="G591" s="36" t="inlineStr">
        <is>
          <t>Ontario</t>
        </is>
      </c>
      <c r="H591" s="36" t="inlineStr">
        <is>
          <t>Oshawa</t>
        </is>
      </c>
      <c r="I591" s="36" t="inlineStr">
        <is>
          <t>No</t>
        </is>
      </c>
      <c r="J591" s="25" t="inlineStr">
        <is>
          <t>Life Insurance Oshawa, ON: Compare Quotes &amp; Costs (2026)</t>
        </is>
      </c>
      <c r="K591" s="36">
        <f>LEN(J591)</f>
        <v/>
      </c>
      <c r="L591" s="25" t="inlineStr">
        <is>
          <t>Compare life insurance in Oshawa, ON: instant estimate ($20.50–$29.50/mo example), example prices by age and advisors licensed in Ontario.</t>
        </is>
      </c>
      <c r="M591" s="36">
        <f>LEN(L591)</f>
        <v/>
      </c>
      <c r="N591" s="25" t="inlineStr">
        <is>
          <t>Life Insurance in Oshawa, ON</t>
        </is>
      </c>
      <c r="O591" s="36" t="inlineStr">
        <is>
          <t>life insurance oshawa</t>
        </is>
      </c>
      <c r="P591" s="37" t="n">
        <v>96</v>
      </c>
      <c r="Q591" s="36" t="inlineStr">
        <is>
          <t>City</t>
        </is>
      </c>
      <c r="R591" s="36" t="n"/>
      <c r="S591" s="36">
        <f>COUNTIF('Page-Keyword Map'!$A$2:$A$675,B591)</f>
        <v/>
      </c>
      <c r="T591" s="37">
        <f>SUMIF('Page-Keyword Map'!$A$2:$A$675,B591,'Page-Keyword Map'!$H$2:$H$675)</f>
        <v/>
      </c>
      <c r="U591" s="36">
        <f>COUNTIFS('Page-Keyword Map'!$A$2:$A$675,B591,'Page-Keyword Map'!$E$2:$E$675,"Nationwide")</f>
        <v/>
      </c>
      <c r="V591" s="36">
        <f>COUNTIFS('Page-Keyword Map'!$A$2:$A$675,B591,'Page-Keyword Map'!$E$2:$E$675,"Provincial")</f>
        <v/>
      </c>
      <c r="W591" s="36">
        <f>COUNTIFS('Page-Keyword Map'!$A$2:$A$675,B591,'Page-Keyword Map'!$E$2:$E$675,"City")</f>
        <v/>
      </c>
      <c r="X591" s="36">
        <f>IF(O591="","",IF(ISNUMBER(SEARCH(O591,J591)),"Yes","No"))</f>
        <v/>
      </c>
      <c r="Y591" s="36" t="n">
        <v>0.5</v>
      </c>
      <c r="Z591" s="36" t="inlineStr">
        <is>
          <t>(not listed: noindex)</t>
        </is>
      </c>
      <c r="AA591" s="36" t="inlineStr">
        <is>
          <t>Live – noindex (enrich before indexing)</t>
        </is>
      </c>
      <c r="AB591" s="38" t="n"/>
      <c r="AC591" s="38" t="n"/>
    </row>
    <row r="592" ht="23.85" customHeight="1" s="22">
      <c r="A592" s="36" t="inlineStr">
        <is>
          <t>P0591</t>
        </is>
      </c>
      <c r="B592" s="36" t="inlineStr">
        <is>
          <t>https://instasure.ca/life-insurance/ontario/ottawa/</t>
        </is>
      </c>
      <c r="C592" s="36" t="inlineStr">
        <is>
          <t>Product × city</t>
        </is>
      </c>
      <c r="D592" s="36" t="inlineStr">
        <is>
          <t>Life insurance</t>
        </is>
      </c>
      <c r="E592" s="36" t="inlineStr">
        <is>
          <t>Life Insurance</t>
        </is>
      </c>
      <c r="F592" s="36" t="n"/>
      <c r="G592" s="36" t="inlineStr">
        <is>
          <t>Ontario</t>
        </is>
      </c>
      <c r="H592" s="36" t="inlineStr">
        <is>
          <t>Ottawa</t>
        </is>
      </c>
      <c r="I592" s="36" t="inlineStr">
        <is>
          <t>Yes</t>
        </is>
      </c>
      <c r="J592" s="25" t="inlineStr">
        <is>
          <t>Life Insurance Ottawa, ON: Compare Quotes &amp; Costs (2026)</t>
        </is>
      </c>
      <c r="K592" s="36">
        <f>LEN(J592)</f>
        <v/>
      </c>
      <c r="L592" s="25" t="inlineStr">
        <is>
          <t>Compare life insurance in Ottawa, ON: instant estimate ($20.50–$29.50/mo example), example prices by age and advisors licensed in Ontario.</t>
        </is>
      </c>
      <c r="M592" s="36">
        <f>LEN(L592)</f>
        <v/>
      </c>
      <c r="N592" s="25" t="inlineStr">
        <is>
          <t>Life Insurance in Ottawa, ON</t>
        </is>
      </c>
      <c r="O592" s="36" t="inlineStr">
        <is>
          <t>life insurance ottawa</t>
        </is>
      </c>
      <c r="P592" s="37" t="n">
        <v>390</v>
      </c>
      <c r="Q592" s="36" t="inlineStr">
        <is>
          <t>City</t>
        </is>
      </c>
      <c r="R592" s="36" t="n"/>
      <c r="S592" s="36">
        <f>COUNTIF('Page-Keyword Map'!$A$2:$A$675,B592)</f>
        <v/>
      </c>
      <c r="T592" s="37">
        <f>SUMIF('Page-Keyword Map'!$A$2:$A$675,B592,'Page-Keyword Map'!$H$2:$H$675)</f>
        <v/>
      </c>
      <c r="U592" s="36">
        <f>COUNTIFS('Page-Keyword Map'!$A$2:$A$675,B592,'Page-Keyword Map'!$E$2:$E$675,"Nationwide")</f>
        <v/>
      </c>
      <c r="V592" s="36">
        <f>COUNTIFS('Page-Keyword Map'!$A$2:$A$675,B592,'Page-Keyword Map'!$E$2:$E$675,"Provincial")</f>
        <v/>
      </c>
      <c r="W592" s="36">
        <f>COUNTIFS('Page-Keyword Map'!$A$2:$A$675,B592,'Page-Keyword Map'!$E$2:$E$675,"City")</f>
        <v/>
      </c>
      <c r="X592" s="36">
        <f>IF(O592="","",IF(ISNUMBER(SEARCH(O592,J592)),"Yes","No"))</f>
        <v/>
      </c>
      <c r="Y592" s="36" t="n">
        <v>0.7</v>
      </c>
      <c r="Z592" s="36" t="inlineStr">
        <is>
          <t>sitemap-cities.xml</t>
        </is>
      </c>
      <c r="AA592" s="36" t="inlineStr">
        <is>
          <t>Live – indexable</t>
        </is>
      </c>
      <c r="AB592" s="38" t="n"/>
      <c r="AC592" s="38" t="n"/>
    </row>
    <row r="593" ht="23.85" customHeight="1" s="22">
      <c r="A593" s="36" t="inlineStr">
        <is>
          <t>P0592</t>
        </is>
      </c>
      <c r="B593" s="36" t="inlineStr">
        <is>
          <t>https://instasure.ca/life-insurance/ontario/pickering/</t>
        </is>
      </c>
      <c r="C593" s="36" t="inlineStr">
        <is>
          <t>Product × city</t>
        </is>
      </c>
      <c r="D593" s="36" t="inlineStr">
        <is>
          <t>Life insurance</t>
        </is>
      </c>
      <c r="E593" s="36" t="inlineStr">
        <is>
          <t>Life Insurance</t>
        </is>
      </c>
      <c r="F593" s="36" t="n"/>
      <c r="G593" s="36" t="inlineStr">
        <is>
          <t>Ontario</t>
        </is>
      </c>
      <c r="H593" s="36" t="inlineStr">
        <is>
          <t>Pickering</t>
        </is>
      </c>
      <c r="I593" s="36" t="inlineStr">
        <is>
          <t>No</t>
        </is>
      </c>
      <c r="J593" s="25" t="inlineStr">
        <is>
          <t>Life Insurance Pickering, ON: Compare Quotes &amp; Costs (2026)</t>
        </is>
      </c>
      <c r="K593" s="36">
        <f>LEN(J593)</f>
        <v/>
      </c>
      <c r="L593" s="25" t="inlineStr">
        <is>
          <t>Compare life insurance in Pickering, ON: instant estimate ($20.50–$29.50/mo example), example prices by age and advisors licensed in Ontario.</t>
        </is>
      </c>
      <c r="M593" s="36">
        <f>LEN(L593)</f>
        <v/>
      </c>
      <c r="N593" s="25" t="inlineStr">
        <is>
          <t>Life Insurance in Pickering, ON</t>
        </is>
      </c>
      <c r="O593" s="36" t="inlineStr">
        <is>
          <t>life insurance pickering</t>
        </is>
      </c>
      <c r="P593" s="37" t="n">
        <v>61</v>
      </c>
      <c r="Q593" s="36" t="inlineStr">
        <is>
          <t>City</t>
        </is>
      </c>
      <c r="R593" s="36" t="n"/>
      <c r="S593" s="36">
        <f>COUNTIF('Page-Keyword Map'!$A$2:$A$675,B593)</f>
        <v/>
      </c>
      <c r="T593" s="37">
        <f>SUMIF('Page-Keyword Map'!$A$2:$A$675,B593,'Page-Keyword Map'!$H$2:$H$675)</f>
        <v/>
      </c>
      <c r="U593" s="36">
        <f>COUNTIFS('Page-Keyword Map'!$A$2:$A$675,B593,'Page-Keyword Map'!$E$2:$E$675,"Nationwide")</f>
        <v/>
      </c>
      <c r="V593" s="36">
        <f>COUNTIFS('Page-Keyword Map'!$A$2:$A$675,B593,'Page-Keyword Map'!$E$2:$E$675,"Provincial")</f>
        <v/>
      </c>
      <c r="W593" s="36">
        <f>COUNTIFS('Page-Keyword Map'!$A$2:$A$675,B593,'Page-Keyword Map'!$E$2:$E$675,"City")</f>
        <v/>
      </c>
      <c r="X593" s="36">
        <f>IF(O593="","",IF(ISNUMBER(SEARCH(O593,J593)),"Yes","No"))</f>
        <v/>
      </c>
      <c r="Y593" s="36" t="n">
        <v>0.5</v>
      </c>
      <c r="Z593" s="36" t="inlineStr">
        <is>
          <t>(not listed: noindex)</t>
        </is>
      </c>
      <c r="AA593" s="36" t="inlineStr">
        <is>
          <t>Live – noindex (enrich before indexing)</t>
        </is>
      </c>
      <c r="AB593" s="38" t="n"/>
      <c r="AC593" s="38" t="n"/>
    </row>
    <row r="594" ht="23.85" customHeight="1" s="22">
      <c r="A594" s="36" t="inlineStr">
        <is>
          <t>P0593</t>
        </is>
      </c>
      <c r="B594" s="36" t="inlineStr">
        <is>
          <t>https://instasure.ca/life-insurance/ontario/richmond-hill/</t>
        </is>
      </c>
      <c r="C594" s="36" t="inlineStr">
        <is>
          <t>Product × city</t>
        </is>
      </c>
      <c r="D594" s="36" t="inlineStr">
        <is>
          <t>Life insurance</t>
        </is>
      </c>
      <c r="E594" s="36" t="inlineStr">
        <is>
          <t>Life Insurance</t>
        </is>
      </c>
      <c r="F594" s="36" t="n"/>
      <c r="G594" s="36" t="inlineStr">
        <is>
          <t>Ontario</t>
        </is>
      </c>
      <c r="H594" s="36" t="inlineStr">
        <is>
          <t>Richmond Hill</t>
        </is>
      </c>
      <c r="I594" s="36" t="inlineStr">
        <is>
          <t>No</t>
        </is>
      </c>
      <c r="J594" s="25" t="inlineStr">
        <is>
          <t>Life Insurance Richmond Hill, ON: Compare Quotes &amp; Costs (2026)</t>
        </is>
      </c>
      <c r="K594" s="36">
        <f>LEN(J594)</f>
        <v/>
      </c>
      <c r="L594" s="25" t="inlineStr">
        <is>
          <t>Compare life insurance in Richmond Hill, ON: instant estimate ($20.50–$29.50/mo example), example prices by age and advisors licensed in Ontario.</t>
        </is>
      </c>
      <c r="M594" s="36">
        <f>LEN(L594)</f>
        <v/>
      </c>
      <c r="N594" s="25" t="inlineStr">
        <is>
          <t>Life Insurance in Richmond Hill, ON</t>
        </is>
      </c>
      <c r="O594" s="36" t="inlineStr">
        <is>
          <t>life insurance richmond hill</t>
        </is>
      </c>
      <c r="P594" s="37" t="n">
        <v>110</v>
      </c>
      <c r="Q594" s="36" t="inlineStr">
        <is>
          <t>City</t>
        </is>
      </c>
      <c r="R594" s="36" t="n"/>
      <c r="S594" s="36">
        <f>COUNTIF('Page-Keyword Map'!$A$2:$A$675,B594)</f>
        <v/>
      </c>
      <c r="T594" s="37">
        <f>SUMIF('Page-Keyword Map'!$A$2:$A$675,B594,'Page-Keyword Map'!$H$2:$H$675)</f>
        <v/>
      </c>
      <c r="U594" s="36">
        <f>COUNTIFS('Page-Keyword Map'!$A$2:$A$675,B594,'Page-Keyword Map'!$E$2:$E$675,"Nationwide")</f>
        <v/>
      </c>
      <c r="V594" s="36">
        <f>COUNTIFS('Page-Keyword Map'!$A$2:$A$675,B594,'Page-Keyword Map'!$E$2:$E$675,"Provincial")</f>
        <v/>
      </c>
      <c r="W594" s="36">
        <f>COUNTIFS('Page-Keyword Map'!$A$2:$A$675,B594,'Page-Keyword Map'!$E$2:$E$675,"City")</f>
        <v/>
      </c>
      <c r="X594" s="36">
        <f>IF(O594="","",IF(ISNUMBER(SEARCH(O594,J594)),"Yes","No"))</f>
        <v/>
      </c>
      <c r="Y594" s="36" t="n">
        <v>0.5</v>
      </c>
      <c r="Z594" s="36" t="inlineStr">
        <is>
          <t>(not listed: noindex)</t>
        </is>
      </c>
      <c r="AA594" s="36" t="inlineStr">
        <is>
          <t>Live – noindex (enrich before indexing)</t>
        </is>
      </c>
      <c r="AB594" s="38" t="n"/>
      <c r="AC594" s="38" t="n"/>
    </row>
    <row r="595" ht="23.85" customHeight="1" s="22">
      <c r="A595" s="36" t="inlineStr">
        <is>
          <t>P0594</t>
        </is>
      </c>
      <c r="B595" s="36" t="inlineStr">
        <is>
          <t>https://instasure.ca/life-insurance/ontario/st-catharines/</t>
        </is>
      </c>
      <c r="C595" s="36" t="inlineStr">
        <is>
          <t>Product × city</t>
        </is>
      </c>
      <c r="D595" s="36" t="inlineStr">
        <is>
          <t>Life insurance</t>
        </is>
      </c>
      <c r="E595" s="36" t="inlineStr">
        <is>
          <t>Life Insurance</t>
        </is>
      </c>
      <c r="F595" s="36" t="n"/>
      <c r="G595" s="36" t="inlineStr">
        <is>
          <t>Ontario</t>
        </is>
      </c>
      <c r="H595" s="36" t="inlineStr">
        <is>
          <t>St. Catharines</t>
        </is>
      </c>
      <c r="I595" s="36" t="inlineStr">
        <is>
          <t>No</t>
        </is>
      </c>
      <c r="J595" s="25" t="inlineStr">
        <is>
          <t>Life Insurance St. Catharines, ON: Compare Quotes &amp; Costs (2026)</t>
        </is>
      </c>
      <c r="K595" s="36">
        <f>LEN(J595)</f>
        <v/>
      </c>
      <c r="L595" s="25" t="inlineStr">
        <is>
          <t>Compare life insurance in St. Catharines, ON: instant estimate ($20.50–$29.50/mo example), example prices by age and advisors licensed in Ontario.</t>
        </is>
      </c>
      <c r="M595" s="36">
        <f>LEN(L595)</f>
        <v/>
      </c>
      <c r="N595" s="25" t="inlineStr">
        <is>
          <t>Life Insurance in St. Catharines, ON</t>
        </is>
      </c>
      <c r="O595" s="36" t="inlineStr">
        <is>
          <t>life insurance st catharines</t>
        </is>
      </c>
      <c r="P595" s="37" t="n">
        <v>78</v>
      </c>
      <c r="Q595" s="36" t="inlineStr">
        <is>
          <t>City</t>
        </is>
      </c>
      <c r="R595" s="36" t="n"/>
      <c r="S595" s="36">
        <f>COUNTIF('Page-Keyword Map'!$A$2:$A$675,B595)</f>
        <v/>
      </c>
      <c r="T595" s="37">
        <f>SUMIF('Page-Keyword Map'!$A$2:$A$675,B595,'Page-Keyword Map'!$H$2:$H$675)</f>
        <v/>
      </c>
      <c r="U595" s="36">
        <f>COUNTIFS('Page-Keyword Map'!$A$2:$A$675,B595,'Page-Keyword Map'!$E$2:$E$675,"Nationwide")</f>
        <v/>
      </c>
      <c r="V595" s="36">
        <f>COUNTIFS('Page-Keyword Map'!$A$2:$A$675,B595,'Page-Keyword Map'!$E$2:$E$675,"Provincial")</f>
        <v/>
      </c>
      <c r="W595" s="36">
        <f>COUNTIFS('Page-Keyword Map'!$A$2:$A$675,B595,'Page-Keyword Map'!$E$2:$E$675,"City")</f>
        <v/>
      </c>
      <c r="X595" s="36">
        <f>IF(O595="","",IF(ISNUMBER(SEARCH(O595,J595)),"Yes","No"))</f>
        <v/>
      </c>
      <c r="Y595" s="36" t="n">
        <v>0.5</v>
      </c>
      <c r="Z595" s="36" t="inlineStr">
        <is>
          <t>(not listed: noindex)</t>
        </is>
      </c>
      <c r="AA595" s="36" t="inlineStr">
        <is>
          <t>Live – noindex (enrich before indexing)</t>
        </is>
      </c>
      <c r="AB595" s="38" t="n"/>
      <c r="AC595" s="38" t="n"/>
    </row>
    <row r="596" ht="23.85" customHeight="1" s="22">
      <c r="A596" s="36" t="inlineStr">
        <is>
          <t>P0595</t>
        </is>
      </c>
      <c r="B596" s="36" t="inlineStr">
        <is>
          <t>https://instasure.ca/life-insurance/ontario/sudbury/</t>
        </is>
      </c>
      <c r="C596" s="36" t="inlineStr">
        <is>
          <t>Product × city</t>
        </is>
      </c>
      <c r="D596" s="36" t="inlineStr">
        <is>
          <t>Life insurance</t>
        </is>
      </c>
      <c r="E596" s="36" t="inlineStr">
        <is>
          <t>Life Insurance</t>
        </is>
      </c>
      <c r="F596" s="36" t="n"/>
      <c r="G596" s="36" t="inlineStr">
        <is>
          <t>Ontario</t>
        </is>
      </c>
      <c r="H596" s="36" t="inlineStr">
        <is>
          <t>Sudbury</t>
        </is>
      </c>
      <c r="I596" s="36" t="inlineStr">
        <is>
          <t>No</t>
        </is>
      </c>
      <c r="J596" s="25" t="inlineStr">
        <is>
          <t>Life Insurance Sudbury, ON: Compare Quotes &amp; Costs (2026)</t>
        </is>
      </c>
      <c r="K596" s="36">
        <f>LEN(J596)</f>
        <v/>
      </c>
      <c r="L596" s="25" t="inlineStr">
        <is>
          <t>Compare life insurance in Sudbury, ON: instant estimate ($20.50–$29.50/mo example), example prices by age and advisors licensed in Ontario.</t>
        </is>
      </c>
      <c r="M596" s="36">
        <f>LEN(L596)</f>
        <v/>
      </c>
      <c r="N596" s="25" t="inlineStr">
        <is>
          <t>Life Insurance in Sudbury, ON</t>
        </is>
      </c>
      <c r="O596" s="36" t="inlineStr">
        <is>
          <t>life insurance sudbury</t>
        </is>
      </c>
      <c r="P596" s="37" t="n">
        <v>92</v>
      </c>
      <c r="Q596" s="36" t="inlineStr">
        <is>
          <t>City</t>
        </is>
      </c>
      <c r="R596" s="36" t="n"/>
      <c r="S596" s="36">
        <f>COUNTIF('Page-Keyword Map'!$A$2:$A$675,B596)</f>
        <v/>
      </c>
      <c r="T596" s="37">
        <f>SUMIF('Page-Keyword Map'!$A$2:$A$675,B596,'Page-Keyword Map'!$H$2:$H$675)</f>
        <v/>
      </c>
      <c r="U596" s="36">
        <f>COUNTIFS('Page-Keyword Map'!$A$2:$A$675,B596,'Page-Keyword Map'!$E$2:$E$675,"Nationwide")</f>
        <v/>
      </c>
      <c r="V596" s="36">
        <f>COUNTIFS('Page-Keyword Map'!$A$2:$A$675,B596,'Page-Keyword Map'!$E$2:$E$675,"Provincial")</f>
        <v/>
      </c>
      <c r="W596" s="36">
        <f>COUNTIFS('Page-Keyword Map'!$A$2:$A$675,B596,'Page-Keyword Map'!$E$2:$E$675,"City")</f>
        <v/>
      </c>
      <c r="X596" s="36">
        <f>IF(O596="","",IF(ISNUMBER(SEARCH(O596,J596)),"Yes","No"))</f>
        <v/>
      </c>
      <c r="Y596" s="36" t="n">
        <v>0.5</v>
      </c>
      <c r="Z596" s="36" t="inlineStr">
        <is>
          <t>(not listed: noindex)</t>
        </is>
      </c>
      <c r="AA596" s="36" t="inlineStr">
        <is>
          <t>Live – noindex (enrich before indexing)</t>
        </is>
      </c>
      <c r="AB596" s="38" t="n"/>
      <c r="AC596" s="38" t="n"/>
    </row>
    <row r="597" ht="23.85" customHeight="1" s="22">
      <c r="A597" s="36" t="inlineStr">
        <is>
          <t>P0596</t>
        </is>
      </c>
      <c r="B597" s="36" t="inlineStr">
        <is>
          <t>https://instasure.ca/life-insurance/ontario/thunder-bay/</t>
        </is>
      </c>
      <c r="C597" s="36" t="inlineStr">
        <is>
          <t>Product × city</t>
        </is>
      </c>
      <c r="D597" s="36" t="inlineStr">
        <is>
          <t>Life insurance</t>
        </is>
      </c>
      <c r="E597" s="36" t="inlineStr">
        <is>
          <t>Life Insurance</t>
        </is>
      </c>
      <c r="F597" s="36" t="n"/>
      <c r="G597" s="36" t="inlineStr">
        <is>
          <t>Ontario</t>
        </is>
      </c>
      <c r="H597" s="36" t="inlineStr">
        <is>
          <t>Thunder Bay</t>
        </is>
      </c>
      <c r="I597" s="36" t="inlineStr">
        <is>
          <t>No</t>
        </is>
      </c>
      <c r="J597" s="25" t="inlineStr">
        <is>
          <t>Life Insurance Thunder Bay, ON: Compare Quotes &amp; Costs (2026)</t>
        </is>
      </c>
      <c r="K597" s="36">
        <f>LEN(J597)</f>
        <v/>
      </c>
      <c r="L597" s="25" t="inlineStr">
        <is>
          <t>Compare life insurance in Thunder Bay, ON: instant estimate ($20.50–$29.50/mo example), example prices by age and advisors licensed in Ontario.</t>
        </is>
      </c>
      <c r="M597" s="36">
        <f>LEN(L597)</f>
        <v/>
      </c>
      <c r="N597" s="25" t="inlineStr">
        <is>
          <t>Life Insurance in Thunder Bay, ON</t>
        </is>
      </c>
      <c r="O597" s="36" t="inlineStr">
        <is>
          <t>life insurance thunder bay</t>
        </is>
      </c>
      <c r="P597" s="37" t="n">
        <v>65</v>
      </c>
      <c r="Q597" s="36" t="inlineStr">
        <is>
          <t>City</t>
        </is>
      </c>
      <c r="R597" s="36" t="n"/>
      <c r="S597" s="36">
        <f>COUNTIF('Page-Keyword Map'!$A$2:$A$675,B597)</f>
        <v/>
      </c>
      <c r="T597" s="37">
        <f>SUMIF('Page-Keyword Map'!$A$2:$A$675,B597,'Page-Keyword Map'!$H$2:$H$675)</f>
        <v/>
      </c>
      <c r="U597" s="36">
        <f>COUNTIFS('Page-Keyword Map'!$A$2:$A$675,B597,'Page-Keyword Map'!$E$2:$E$675,"Nationwide")</f>
        <v/>
      </c>
      <c r="V597" s="36">
        <f>COUNTIFS('Page-Keyword Map'!$A$2:$A$675,B597,'Page-Keyword Map'!$E$2:$E$675,"Provincial")</f>
        <v/>
      </c>
      <c r="W597" s="36">
        <f>COUNTIFS('Page-Keyword Map'!$A$2:$A$675,B597,'Page-Keyword Map'!$E$2:$E$675,"City")</f>
        <v/>
      </c>
      <c r="X597" s="36">
        <f>IF(O597="","",IF(ISNUMBER(SEARCH(O597,J597)),"Yes","No"))</f>
        <v/>
      </c>
      <c r="Y597" s="36" t="n">
        <v>0.5</v>
      </c>
      <c r="Z597" s="36" t="inlineStr">
        <is>
          <t>(not listed: noindex)</t>
        </is>
      </c>
      <c r="AA597" s="36" t="inlineStr">
        <is>
          <t>Live – noindex (enrich before indexing)</t>
        </is>
      </c>
      <c r="AB597" s="38" t="n"/>
      <c r="AC597" s="38" t="n"/>
    </row>
    <row r="598" ht="23.85" customHeight="1" s="22">
      <c r="A598" s="36" t="inlineStr">
        <is>
          <t>P0597</t>
        </is>
      </c>
      <c r="B598" s="36" t="inlineStr">
        <is>
          <t>https://instasure.ca/life-insurance/ontario/toronto/</t>
        </is>
      </c>
      <c r="C598" s="36" t="inlineStr">
        <is>
          <t>Product × city</t>
        </is>
      </c>
      <c r="D598" s="36" t="inlineStr">
        <is>
          <t>Life insurance</t>
        </is>
      </c>
      <c r="E598" s="36" t="inlineStr">
        <is>
          <t>Life Insurance</t>
        </is>
      </c>
      <c r="F598" s="36" t="n"/>
      <c r="G598" s="36" t="inlineStr">
        <is>
          <t>Ontario</t>
        </is>
      </c>
      <c r="H598" s="36" t="inlineStr">
        <is>
          <t>Toronto</t>
        </is>
      </c>
      <c r="I598" s="36" t="inlineStr">
        <is>
          <t>Yes</t>
        </is>
      </c>
      <c r="J598" s="25" t="inlineStr">
        <is>
          <t>Life Insurance Toronto, ON: Compare Quotes &amp; Costs (2026)</t>
        </is>
      </c>
      <c r="K598" s="36">
        <f>LEN(J598)</f>
        <v/>
      </c>
      <c r="L598" s="25" t="inlineStr">
        <is>
          <t>Compare life insurance in Toronto, ON: instant estimate ($20.50–$29.50/mo example), example prices by age and advisors licensed in Ontario.</t>
        </is>
      </c>
      <c r="M598" s="36">
        <f>LEN(L598)</f>
        <v/>
      </c>
      <c r="N598" s="25" t="inlineStr">
        <is>
          <t>Life Insurance in Toronto, ON</t>
        </is>
      </c>
      <c r="O598" s="36" t="inlineStr">
        <is>
          <t>life insurance toronto</t>
        </is>
      </c>
      <c r="P598" s="37" t="n">
        <v>880</v>
      </c>
      <c r="Q598" s="36" t="inlineStr">
        <is>
          <t>City</t>
        </is>
      </c>
      <c r="R598" s="36" t="n"/>
      <c r="S598" s="36">
        <f>COUNTIF('Page-Keyword Map'!$A$2:$A$675,B598)</f>
        <v/>
      </c>
      <c r="T598" s="37">
        <f>SUMIF('Page-Keyword Map'!$A$2:$A$675,B598,'Page-Keyword Map'!$H$2:$H$675)</f>
        <v/>
      </c>
      <c r="U598" s="36">
        <f>COUNTIFS('Page-Keyword Map'!$A$2:$A$675,B598,'Page-Keyword Map'!$E$2:$E$675,"Nationwide")</f>
        <v/>
      </c>
      <c r="V598" s="36">
        <f>COUNTIFS('Page-Keyword Map'!$A$2:$A$675,B598,'Page-Keyword Map'!$E$2:$E$675,"Provincial")</f>
        <v/>
      </c>
      <c r="W598" s="36">
        <f>COUNTIFS('Page-Keyword Map'!$A$2:$A$675,B598,'Page-Keyword Map'!$E$2:$E$675,"City")</f>
        <v/>
      </c>
      <c r="X598" s="36">
        <f>IF(O598="","",IF(ISNUMBER(SEARCH(O598,J598)),"Yes","No"))</f>
        <v/>
      </c>
      <c r="Y598" s="36" t="n">
        <v>0.7</v>
      </c>
      <c r="Z598" s="36" t="inlineStr">
        <is>
          <t>sitemap-cities.xml</t>
        </is>
      </c>
      <c r="AA598" s="36" t="inlineStr">
        <is>
          <t>Live – indexable</t>
        </is>
      </c>
      <c r="AB598" s="38" t="n"/>
      <c r="AC598" s="38" t="n"/>
    </row>
    <row r="599" ht="23.85" customHeight="1" s="22">
      <c r="A599" s="36" t="inlineStr">
        <is>
          <t>P0598</t>
        </is>
      </c>
      <c r="B599" s="36" t="inlineStr">
        <is>
          <t>https://instasure.ca/life-insurance/ontario/vaughan/</t>
        </is>
      </c>
      <c r="C599" s="36" t="inlineStr">
        <is>
          <t>Product × city</t>
        </is>
      </c>
      <c r="D599" s="36" t="inlineStr">
        <is>
          <t>Life insurance</t>
        </is>
      </c>
      <c r="E599" s="36" t="inlineStr">
        <is>
          <t>Life Insurance</t>
        </is>
      </c>
      <c r="F599" s="36" t="n"/>
      <c r="G599" s="36" t="inlineStr">
        <is>
          <t>Ontario</t>
        </is>
      </c>
      <c r="H599" s="36" t="inlineStr">
        <is>
          <t>Vaughan</t>
        </is>
      </c>
      <c r="I599" s="36" t="inlineStr">
        <is>
          <t>Yes</t>
        </is>
      </c>
      <c r="J599" s="25" t="inlineStr">
        <is>
          <t>Life Insurance Vaughan, ON: Compare Quotes &amp; Costs (2026)</t>
        </is>
      </c>
      <c r="K599" s="36">
        <f>LEN(J599)</f>
        <v/>
      </c>
      <c r="L599" s="25" t="inlineStr">
        <is>
          <t>Compare life insurance in Vaughan, ON: instant estimate ($20.50–$29.50/mo example), example prices by age and advisors licensed in Ontario.</t>
        </is>
      </c>
      <c r="M599" s="36">
        <f>LEN(L599)</f>
        <v/>
      </c>
      <c r="N599" s="25" t="inlineStr">
        <is>
          <t>Life Insurance in Vaughan, ON</t>
        </is>
      </c>
      <c r="O599" s="36" t="inlineStr">
        <is>
          <t>life insurance vaughan</t>
        </is>
      </c>
      <c r="P599" s="37" t="n">
        <v>160</v>
      </c>
      <c r="Q599" s="36" t="inlineStr">
        <is>
          <t>City</t>
        </is>
      </c>
      <c r="R599" s="36" t="n"/>
      <c r="S599" s="36">
        <f>COUNTIF('Page-Keyword Map'!$A$2:$A$675,B599)</f>
        <v/>
      </c>
      <c r="T599" s="37">
        <f>SUMIF('Page-Keyword Map'!$A$2:$A$675,B599,'Page-Keyword Map'!$H$2:$H$675)</f>
        <v/>
      </c>
      <c r="U599" s="36">
        <f>COUNTIFS('Page-Keyword Map'!$A$2:$A$675,B599,'Page-Keyword Map'!$E$2:$E$675,"Nationwide")</f>
        <v/>
      </c>
      <c r="V599" s="36">
        <f>COUNTIFS('Page-Keyword Map'!$A$2:$A$675,B599,'Page-Keyword Map'!$E$2:$E$675,"Provincial")</f>
        <v/>
      </c>
      <c r="W599" s="36">
        <f>COUNTIFS('Page-Keyword Map'!$A$2:$A$675,B599,'Page-Keyword Map'!$E$2:$E$675,"City")</f>
        <v/>
      </c>
      <c r="X599" s="36">
        <f>IF(O599="","",IF(ISNUMBER(SEARCH(O599,J599)),"Yes","No"))</f>
        <v/>
      </c>
      <c r="Y599" s="36" t="n">
        <v>0.7</v>
      </c>
      <c r="Z599" s="36" t="inlineStr">
        <is>
          <t>sitemap-cities.xml</t>
        </is>
      </c>
      <c r="AA599" s="36" t="inlineStr">
        <is>
          <t>Live – indexable</t>
        </is>
      </c>
      <c r="AB599" s="38" t="n"/>
      <c r="AC599" s="38" t="n"/>
    </row>
    <row r="600" ht="23.85" customHeight="1" s="22">
      <c r="A600" s="36" t="inlineStr">
        <is>
          <t>P0599</t>
        </is>
      </c>
      <c r="B600" s="36" t="inlineStr">
        <is>
          <t>https://instasure.ca/life-insurance/ontario/waterloo/</t>
        </is>
      </c>
      <c r="C600" s="36" t="inlineStr">
        <is>
          <t>Product × city</t>
        </is>
      </c>
      <c r="D600" s="36" t="inlineStr">
        <is>
          <t>Life insurance</t>
        </is>
      </c>
      <c r="E600" s="36" t="inlineStr">
        <is>
          <t>Life Insurance</t>
        </is>
      </c>
      <c r="F600" s="36" t="n"/>
      <c r="G600" s="36" t="inlineStr">
        <is>
          <t>Ontario</t>
        </is>
      </c>
      <c r="H600" s="36" t="inlineStr">
        <is>
          <t>Waterloo</t>
        </is>
      </c>
      <c r="I600" s="36" t="inlineStr">
        <is>
          <t>No</t>
        </is>
      </c>
      <c r="J600" s="25" t="inlineStr">
        <is>
          <t>Life Insurance Waterloo, ON: Compare Quotes &amp; Costs (2026)</t>
        </is>
      </c>
      <c r="K600" s="36">
        <f>LEN(J600)</f>
        <v/>
      </c>
      <c r="L600" s="25" t="inlineStr">
        <is>
          <t>Compare life insurance in Waterloo, ON: instant estimate ($20.50–$29.50/mo example), example prices by age and advisors licensed in Ontario.</t>
        </is>
      </c>
      <c r="M600" s="36">
        <f>LEN(L600)</f>
        <v/>
      </c>
      <c r="N600" s="25" t="inlineStr">
        <is>
          <t>Life Insurance in Waterloo, ON</t>
        </is>
      </c>
      <c r="O600" s="36" t="inlineStr">
        <is>
          <t>life insurance waterloo</t>
        </is>
      </c>
      <c r="P600" s="37" t="n">
        <v>71</v>
      </c>
      <c r="Q600" s="36" t="inlineStr">
        <is>
          <t>City</t>
        </is>
      </c>
      <c r="R600" s="36" t="n"/>
      <c r="S600" s="36">
        <f>COUNTIF('Page-Keyword Map'!$A$2:$A$675,B600)</f>
        <v/>
      </c>
      <c r="T600" s="37">
        <f>SUMIF('Page-Keyword Map'!$A$2:$A$675,B600,'Page-Keyword Map'!$H$2:$H$675)</f>
        <v/>
      </c>
      <c r="U600" s="36">
        <f>COUNTIFS('Page-Keyword Map'!$A$2:$A$675,B600,'Page-Keyword Map'!$E$2:$E$675,"Nationwide")</f>
        <v/>
      </c>
      <c r="V600" s="36">
        <f>COUNTIFS('Page-Keyword Map'!$A$2:$A$675,B600,'Page-Keyword Map'!$E$2:$E$675,"Provincial")</f>
        <v/>
      </c>
      <c r="W600" s="36">
        <f>COUNTIFS('Page-Keyword Map'!$A$2:$A$675,B600,'Page-Keyword Map'!$E$2:$E$675,"City")</f>
        <v/>
      </c>
      <c r="X600" s="36">
        <f>IF(O600="","",IF(ISNUMBER(SEARCH(O600,J600)),"Yes","No"))</f>
        <v/>
      </c>
      <c r="Y600" s="36" t="n">
        <v>0.5</v>
      </c>
      <c r="Z600" s="36" t="inlineStr">
        <is>
          <t>(not listed: noindex)</t>
        </is>
      </c>
      <c r="AA600" s="36" t="inlineStr">
        <is>
          <t>Live – noindex (enrich before indexing)</t>
        </is>
      </c>
      <c r="AB600" s="38" t="n"/>
      <c r="AC600" s="38" t="n"/>
    </row>
    <row r="601" ht="23.85" customHeight="1" s="22">
      <c r="A601" s="36" t="inlineStr">
        <is>
          <t>P0600</t>
        </is>
      </c>
      <c r="B601" s="36" t="inlineStr">
        <is>
          <t>https://instasure.ca/life-insurance/ontario/whitby/</t>
        </is>
      </c>
      <c r="C601" s="36" t="inlineStr">
        <is>
          <t>Product × city</t>
        </is>
      </c>
      <c r="D601" s="36" t="inlineStr">
        <is>
          <t>Life insurance</t>
        </is>
      </c>
      <c r="E601" s="36" t="inlineStr">
        <is>
          <t>Life Insurance</t>
        </is>
      </c>
      <c r="F601" s="36" t="n"/>
      <c r="G601" s="36" t="inlineStr">
        <is>
          <t>Ontario</t>
        </is>
      </c>
      <c r="H601" s="36" t="inlineStr">
        <is>
          <t>Whitby</t>
        </is>
      </c>
      <c r="I601" s="36" t="inlineStr">
        <is>
          <t>No</t>
        </is>
      </c>
      <c r="J601" s="25" t="inlineStr">
        <is>
          <t>Life Insurance Whitby, ON: Compare Quotes &amp; Costs (2026)</t>
        </is>
      </c>
      <c r="K601" s="36">
        <f>LEN(J601)</f>
        <v/>
      </c>
      <c r="L601" s="25" t="inlineStr">
        <is>
          <t>Compare life insurance in Whitby, ON: instant estimate ($20.50–$29.50/mo example), example prices by age and advisors licensed in Ontario.</t>
        </is>
      </c>
      <c r="M601" s="36">
        <f>LEN(L601)</f>
        <v/>
      </c>
      <c r="N601" s="25" t="inlineStr">
        <is>
          <t>Life Insurance in Whitby, ON</t>
        </is>
      </c>
      <c r="O601" s="36" t="inlineStr">
        <is>
          <t>life insurance whitby</t>
        </is>
      </c>
      <c r="P601" s="37" t="n">
        <v>79</v>
      </c>
      <c r="Q601" s="36" t="inlineStr">
        <is>
          <t>City</t>
        </is>
      </c>
      <c r="R601" s="36" t="n"/>
      <c r="S601" s="36">
        <f>COUNTIF('Page-Keyword Map'!$A$2:$A$675,B601)</f>
        <v/>
      </c>
      <c r="T601" s="37">
        <f>SUMIF('Page-Keyword Map'!$A$2:$A$675,B601,'Page-Keyword Map'!$H$2:$H$675)</f>
        <v/>
      </c>
      <c r="U601" s="36">
        <f>COUNTIFS('Page-Keyword Map'!$A$2:$A$675,B601,'Page-Keyword Map'!$E$2:$E$675,"Nationwide")</f>
        <v/>
      </c>
      <c r="V601" s="36">
        <f>COUNTIFS('Page-Keyword Map'!$A$2:$A$675,B601,'Page-Keyword Map'!$E$2:$E$675,"Provincial")</f>
        <v/>
      </c>
      <c r="W601" s="36">
        <f>COUNTIFS('Page-Keyword Map'!$A$2:$A$675,B601,'Page-Keyword Map'!$E$2:$E$675,"City")</f>
        <v/>
      </c>
      <c r="X601" s="36">
        <f>IF(O601="","",IF(ISNUMBER(SEARCH(O601,J601)),"Yes","No"))</f>
        <v/>
      </c>
      <c r="Y601" s="36" t="n">
        <v>0.5</v>
      </c>
      <c r="Z601" s="36" t="inlineStr">
        <is>
          <t>(not listed: noindex)</t>
        </is>
      </c>
      <c r="AA601" s="36" t="inlineStr">
        <is>
          <t>Live – noindex (enrich before indexing)</t>
        </is>
      </c>
      <c r="AB601" s="38" t="n"/>
      <c r="AC601" s="38" t="n"/>
    </row>
    <row r="602" ht="23.85" customHeight="1" s="22">
      <c r="A602" s="36" t="inlineStr">
        <is>
          <t>P0601</t>
        </is>
      </c>
      <c r="B602" s="36" t="inlineStr">
        <is>
          <t>https://instasure.ca/life-insurance/ontario/windsor/</t>
        </is>
      </c>
      <c r="C602" s="36" t="inlineStr">
        <is>
          <t>Product × city</t>
        </is>
      </c>
      <c r="D602" s="36" t="inlineStr">
        <is>
          <t>Life insurance</t>
        </is>
      </c>
      <c r="E602" s="36" t="inlineStr">
        <is>
          <t>Life Insurance</t>
        </is>
      </c>
      <c r="F602" s="36" t="n"/>
      <c r="G602" s="36" t="inlineStr">
        <is>
          <t>Ontario</t>
        </is>
      </c>
      <c r="H602" s="36" t="inlineStr">
        <is>
          <t>Windsor</t>
        </is>
      </c>
      <c r="I602" s="36" t="inlineStr">
        <is>
          <t>Yes</t>
        </is>
      </c>
      <c r="J602" s="25" t="inlineStr">
        <is>
          <t>Life Insurance Windsor, ON: Compare Quotes &amp; Costs (2026)</t>
        </is>
      </c>
      <c r="K602" s="36">
        <f>LEN(J602)</f>
        <v/>
      </c>
      <c r="L602" s="25" t="inlineStr">
        <is>
          <t>Compare life insurance in Windsor, ON: instant estimate ($20.50–$29.50/mo example), example prices by age and advisors licensed in Ontario.</t>
        </is>
      </c>
      <c r="M602" s="36">
        <f>LEN(L602)</f>
        <v/>
      </c>
      <c r="N602" s="25" t="inlineStr">
        <is>
          <t>Life Insurance in Windsor, ON</t>
        </is>
      </c>
      <c r="O602" s="36" t="inlineStr">
        <is>
          <t>life insurance windsor</t>
        </is>
      </c>
      <c r="P602" s="37" t="n">
        <v>120</v>
      </c>
      <c r="Q602" s="36" t="inlineStr">
        <is>
          <t>City</t>
        </is>
      </c>
      <c r="R602" s="36" t="n"/>
      <c r="S602" s="36">
        <f>COUNTIF('Page-Keyword Map'!$A$2:$A$675,B602)</f>
        <v/>
      </c>
      <c r="T602" s="37">
        <f>SUMIF('Page-Keyword Map'!$A$2:$A$675,B602,'Page-Keyword Map'!$H$2:$H$675)</f>
        <v/>
      </c>
      <c r="U602" s="36">
        <f>COUNTIFS('Page-Keyword Map'!$A$2:$A$675,B602,'Page-Keyword Map'!$E$2:$E$675,"Nationwide")</f>
        <v/>
      </c>
      <c r="V602" s="36">
        <f>COUNTIFS('Page-Keyword Map'!$A$2:$A$675,B602,'Page-Keyword Map'!$E$2:$E$675,"Provincial")</f>
        <v/>
      </c>
      <c r="W602" s="36">
        <f>COUNTIFS('Page-Keyword Map'!$A$2:$A$675,B602,'Page-Keyword Map'!$E$2:$E$675,"City")</f>
        <v/>
      </c>
      <c r="X602" s="36">
        <f>IF(O602="","",IF(ISNUMBER(SEARCH(O602,J602)),"Yes","No"))</f>
        <v/>
      </c>
      <c r="Y602" s="36" t="n">
        <v>0.7</v>
      </c>
      <c r="Z602" s="36" t="inlineStr">
        <is>
          <t>sitemap-cities.xml</t>
        </is>
      </c>
      <c r="AA602" s="36" t="inlineStr">
        <is>
          <t>Live – indexable</t>
        </is>
      </c>
      <c r="AB602" s="38" t="n"/>
      <c r="AC602" s="38" t="n"/>
    </row>
    <row r="603" ht="23.85" customHeight="1" s="22">
      <c r="A603" s="36" t="inlineStr">
        <is>
          <t>P0602</t>
        </is>
      </c>
      <c r="B603" s="36" t="inlineStr">
        <is>
          <t>https://instasure.ca/life-insurance/prince-edward-island/charlottetown/</t>
        </is>
      </c>
      <c r="C603" s="36" t="inlineStr">
        <is>
          <t>Product × city</t>
        </is>
      </c>
      <c r="D603" s="36" t="inlineStr">
        <is>
          <t>Life insurance</t>
        </is>
      </c>
      <c r="E603" s="36" t="inlineStr">
        <is>
          <t>Life Insurance</t>
        </is>
      </c>
      <c r="F603" s="36" t="n"/>
      <c r="G603" s="36" t="inlineStr">
        <is>
          <t>Prince Edward Island</t>
        </is>
      </c>
      <c r="H603" s="36" t="inlineStr">
        <is>
          <t>Charlottetown</t>
        </is>
      </c>
      <c r="I603" s="36" t="inlineStr">
        <is>
          <t>No</t>
        </is>
      </c>
      <c r="J603" s="25" t="inlineStr">
        <is>
          <t>Life Insurance Charlottetown, PE: Compare Quotes &amp; Costs (2026)</t>
        </is>
      </c>
      <c r="K603" s="36">
        <f>LEN(J603)</f>
        <v/>
      </c>
      <c r="L603" s="25" t="inlineStr">
        <is>
          <t>Compare life insurance in Charlottetown, PE: instant estimate ($20.50–$29.50/mo example), example prices by age and advisors licensed in Prince Edward Island.</t>
        </is>
      </c>
      <c r="M603" s="36">
        <f>LEN(L603)</f>
        <v/>
      </c>
      <c r="N603" s="25" t="inlineStr">
        <is>
          <t>Life Insurance in Charlottetown, PE</t>
        </is>
      </c>
      <c r="O603" s="36" t="inlineStr">
        <is>
          <t>life insurance charlottetown</t>
        </is>
      </c>
      <c r="P603" s="37" t="n">
        <v>29</v>
      </c>
      <c r="Q603" s="36" t="inlineStr">
        <is>
          <t>City</t>
        </is>
      </c>
      <c r="R603" s="36" t="n"/>
      <c r="S603" s="36">
        <f>COUNTIF('Page-Keyword Map'!$A$2:$A$675,B603)</f>
        <v/>
      </c>
      <c r="T603" s="37">
        <f>SUMIF('Page-Keyword Map'!$A$2:$A$675,B603,'Page-Keyword Map'!$H$2:$H$675)</f>
        <v/>
      </c>
      <c r="U603" s="36">
        <f>COUNTIFS('Page-Keyword Map'!$A$2:$A$675,B603,'Page-Keyword Map'!$E$2:$E$675,"Nationwide")</f>
        <v/>
      </c>
      <c r="V603" s="36">
        <f>COUNTIFS('Page-Keyword Map'!$A$2:$A$675,B603,'Page-Keyword Map'!$E$2:$E$675,"Provincial")</f>
        <v/>
      </c>
      <c r="W603" s="36">
        <f>COUNTIFS('Page-Keyword Map'!$A$2:$A$675,B603,'Page-Keyword Map'!$E$2:$E$675,"City")</f>
        <v/>
      </c>
      <c r="X603" s="36">
        <f>IF(O603="","",IF(ISNUMBER(SEARCH(O603,J603)),"Yes","No"))</f>
        <v/>
      </c>
      <c r="Y603" s="36" t="n">
        <v>0.5</v>
      </c>
      <c r="Z603" s="36" t="inlineStr">
        <is>
          <t>(not listed: noindex)</t>
        </is>
      </c>
      <c r="AA603" s="36" t="inlineStr">
        <is>
          <t>Live – noindex (enrich before indexing)</t>
        </is>
      </c>
      <c r="AB603" s="38" t="n"/>
      <c r="AC603" s="38" t="n"/>
    </row>
    <row r="604" ht="23.85" customHeight="1" s="22">
      <c r="A604" s="36" t="inlineStr">
        <is>
          <t>P0603</t>
        </is>
      </c>
      <c r="B604" s="36" t="inlineStr">
        <is>
          <t>https://instasure.ca/life-insurance/quebec/gatineau/</t>
        </is>
      </c>
      <c r="C604" s="36" t="inlineStr">
        <is>
          <t>Product × city</t>
        </is>
      </c>
      <c r="D604" s="36" t="inlineStr">
        <is>
          <t>Life insurance</t>
        </is>
      </c>
      <c r="E604" s="36" t="inlineStr">
        <is>
          <t>Life Insurance</t>
        </is>
      </c>
      <c r="F604" s="36" t="n"/>
      <c r="G604" s="36" t="inlineStr">
        <is>
          <t>Quebec</t>
        </is>
      </c>
      <c r="H604" s="36" t="inlineStr">
        <is>
          <t>Gatineau</t>
        </is>
      </c>
      <c r="I604" s="36" t="inlineStr">
        <is>
          <t>No</t>
        </is>
      </c>
      <c r="J604" s="25" t="inlineStr">
        <is>
          <t>Life Insurance Gatineau, QC: Compare Quotes &amp; Costs (2026)</t>
        </is>
      </c>
      <c r="K604" s="36">
        <f>LEN(J604)</f>
        <v/>
      </c>
      <c r="L604" s="25" t="inlineStr">
        <is>
          <t>Compare life insurance in Gatineau, QC: instant estimate ($20.50–$29.50/mo example), example prices by age and a waitlist for licensed advice in Quebec.</t>
        </is>
      </c>
      <c r="M604" s="36">
        <f>LEN(L604)</f>
        <v/>
      </c>
      <c r="N604" s="25" t="inlineStr">
        <is>
          <t>Life Insurance in Gatineau, QC</t>
        </is>
      </c>
      <c r="O604" s="36" t="inlineStr">
        <is>
          <t>life insurance gatineau</t>
        </is>
      </c>
      <c r="P604" s="37" t="n">
        <v>43</v>
      </c>
      <c r="Q604" s="36" t="inlineStr">
        <is>
          <t>City</t>
        </is>
      </c>
      <c r="R604" s="36" t="n"/>
      <c r="S604" s="36">
        <f>COUNTIF('Page-Keyword Map'!$A$2:$A$675,B604)</f>
        <v/>
      </c>
      <c r="T604" s="37">
        <f>SUMIF('Page-Keyword Map'!$A$2:$A$675,B604,'Page-Keyword Map'!$H$2:$H$675)</f>
        <v/>
      </c>
      <c r="U604" s="36">
        <f>COUNTIFS('Page-Keyword Map'!$A$2:$A$675,B604,'Page-Keyword Map'!$E$2:$E$675,"Nationwide")</f>
        <v/>
      </c>
      <c r="V604" s="36">
        <f>COUNTIFS('Page-Keyword Map'!$A$2:$A$675,B604,'Page-Keyword Map'!$E$2:$E$675,"Provincial")</f>
        <v/>
      </c>
      <c r="W604" s="36">
        <f>COUNTIFS('Page-Keyword Map'!$A$2:$A$675,B604,'Page-Keyword Map'!$E$2:$E$675,"City")</f>
        <v/>
      </c>
      <c r="X604" s="36">
        <f>IF(O604="","",IF(ISNUMBER(SEARCH(O604,J604)),"Yes","No"))</f>
        <v/>
      </c>
      <c r="Y604" s="36" t="n">
        <v>0.5</v>
      </c>
      <c r="Z604" s="36" t="inlineStr">
        <is>
          <t>(not listed: noindex)</t>
        </is>
      </c>
      <c r="AA604" s="36" t="inlineStr">
        <is>
          <t>Live – noindex (enrich before indexing)</t>
        </is>
      </c>
      <c r="AB604" s="38" t="n"/>
      <c r="AC604" s="38" t="n"/>
    </row>
    <row r="605" ht="23.85" customHeight="1" s="22">
      <c r="A605" s="36" t="inlineStr">
        <is>
          <t>P0604</t>
        </is>
      </c>
      <c r="B605" s="36" t="inlineStr">
        <is>
          <t>https://instasure.ca/life-insurance/quebec/laval/</t>
        </is>
      </c>
      <c r="C605" s="36" t="inlineStr">
        <is>
          <t>Product × city</t>
        </is>
      </c>
      <c r="D605" s="36" t="inlineStr">
        <is>
          <t>Life insurance</t>
        </is>
      </c>
      <c r="E605" s="36" t="inlineStr">
        <is>
          <t>Life Insurance</t>
        </is>
      </c>
      <c r="F605" s="36" t="n"/>
      <c r="G605" s="36" t="inlineStr">
        <is>
          <t>Quebec</t>
        </is>
      </c>
      <c r="H605" s="36" t="inlineStr">
        <is>
          <t>Laval</t>
        </is>
      </c>
      <c r="I605" s="36" t="inlineStr">
        <is>
          <t>Yes</t>
        </is>
      </c>
      <c r="J605" s="25" t="inlineStr">
        <is>
          <t>Life Insurance Laval, QC: Compare Quotes &amp; Costs (2026)</t>
        </is>
      </c>
      <c r="K605" s="36">
        <f>LEN(J605)</f>
        <v/>
      </c>
      <c r="L605" s="25" t="inlineStr">
        <is>
          <t>Compare life insurance in Laval, QC: instant estimate ($20.50–$29.50/mo example), example prices by age and a waitlist for licensed advice in Quebec.</t>
        </is>
      </c>
      <c r="M605" s="36">
        <f>LEN(L605)</f>
        <v/>
      </c>
      <c r="N605" s="25" t="inlineStr">
        <is>
          <t>Life Insurance in Laval, QC</t>
        </is>
      </c>
      <c r="O605" s="36" t="inlineStr">
        <is>
          <t>life insurance laval</t>
        </is>
      </c>
      <c r="P605" s="37" t="n">
        <v>60</v>
      </c>
      <c r="Q605" s="36" t="inlineStr">
        <is>
          <t>City</t>
        </is>
      </c>
      <c r="R605" s="36" t="n"/>
      <c r="S605" s="36">
        <f>COUNTIF('Page-Keyword Map'!$A$2:$A$675,B605)</f>
        <v/>
      </c>
      <c r="T605" s="37">
        <f>SUMIF('Page-Keyword Map'!$A$2:$A$675,B605,'Page-Keyword Map'!$H$2:$H$675)</f>
        <v/>
      </c>
      <c r="U605" s="36">
        <f>COUNTIFS('Page-Keyword Map'!$A$2:$A$675,B605,'Page-Keyword Map'!$E$2:$E$675,"Nationwide")</f>
        <v/>
      </c>
      <c r="V605" s="36">
        <f>COUNTIFS('Page-Keyword Map'!$A$2:$A$675,B605,'Page-Keyword Map'!$E$2:$E$675,"Provincial")</f>
        <v/>
      </c>
      <c r="W605" s="36">
        <f>COUNTIFS('Page-Keyword Map'!$A$2:$A$675,B605,'Page-Keyword Map'!$E$2:$E$675,"City")</f>
        <v/>
      </c>
      <c r="X605" s="36">
        <f>IF(O605="","",IF(ISNUMBER(SEARCH(O605,J605)),"Yes","No"))</f>
        <v/>
      </c>
      <c r="Y605" s="36" t="n">
        <v>0.7</v>
      </c>
      <c r="Z605" s="36" t="inlineStr">
        <is>
          <t>sitemap-cities.xml</t>
        </is>
      </c>
      <c r="AA605" s="36" t="inlineStr">
        <is>
          <t>Live – indexable</t>
        </is>
      </c>
      <c r="AB605" s="38" t="n"/>
      <c r="AC605" s="38" t="n"/>
    </row>
    <row r="606" ht="23.85" customHeight="1" s="22">
      <c r="A606" s="36" t="inlineStr">
        <is>
          <t>P0605</t>
        </is>
      </c>
      <c r="B606" s="36" t="inlineStr">
        <is>
          <t>https://instasure.ca/life-insurance/quebec/longueuil/</t>
        </is>
      </c>
      <c r="C606" s="36" t="inlineStr">
        <is>
          <t>Product × city</t>
        </is>
      </c>
      <c r="D606" s="36" t="inlineStr">
        <is>
          <t>Life insurance</t>
        </is>
      </c>
      <c r="E606" s="36" t="inlineStr">
        <is>
          <t>Life Insurance</t>
        </is>
      </c>
      <c r="F606" s="36" t="n"/>
      <c r="G606" s="36" t="inlineStr">
        <is>
          <t>Quebec</t>
        </is>
      </c>
      <c r="H606" s="36" t="inlineStr">
        <is>
          <t>Longueuil</t>
        </is>
      </c>
      <c r="I606" s="36" t="inlineStr">
        <is>
          <t>No</t>
        </is>
      </c>
      <c r="J606" s="25" t="inlineStr">
        <is>
          <t>Life Insurance Longueuil, QC: Compare Quotes &amp; Costs (2026)</t>
        </is>
      </c>
      <c r="K606" s="36">
        <f>LEN(J606)</f>
        <v/>
      </c>
      <c r="L606" s="25" t="inlineStr">
        <is>
          <t>Compare life insurance in Longueuil, QC: instant estimate ($20.50–$29.50/mo example), example prices by age and a waitlist for licensed advice in Quebec.</t>
        </is>
      </c>
      <c r="M606" s="36">
        <f>LEN(L606)</f>
        <v/>
      </c>
      <c r="N606" s="25" t="inlineStr">
        <is>
          <t>Life Insurance in Longueuil, QC</t>
        </is>
      </c>
      <c r="O606" s="36" t="inlineStr">
        <is>
          <t>life insurance longueuil</t>
        </is>
      </c>
      <c r="P606" s="37" t="n">
        <v>39</v>
      </c>
      <c r="Q606" s="36" t="inlineStr">
        <is>
          <t>City</t>
        </is>
      </c>
      <c r="R606" s="36" t="n"/>
      <c r="S606" s="36">
        <f>COUNTIF('Page-Keyword Map'!$A$2:$A$675,B606)</f>
        <v/>
      </c>
      <c r="T606" s="37">
        <f>SUMIF('Page-Keyword Map'!$A$2:$A$675,B606,'Page-Keyword Map'!$H$2:$H$675)</f>
        <v/>
      </c>
      <c r="U606" s="36">
        <f>COUNTIFS('Page-Keyword Map'!$A$2:$A$675,B606,'Page-Keyword Map'!$E$2:$E$675,"Nationwide")</f>
        <v/>
      </c>
      <c r="V606" s="36">
        <f>COUNTIFS('Page-Keyword Map'!$A$2:$A$675,B606,'Page-Keyword Map'!$E$2:$E$675,"Provincial")</f>
        <v/>
      </c>
      <c r="W606" s="36">
        <f>COUNTIFS('Page-Keyword Map'!$A$2:$A$675,B606,'Page-Keyword Map'!$E$2:$E$675,"City")</f>
        <v/>
      </c>
      <c r="X606" s="36">
        <f>IF(O606="","",IF(ISNUMBER(SEARCH(O606,J606)),"Yes","No"))</f>
        <v/>
      </c>
      <c r="Y606" s="36" t="n">
        <v>0.5</v>
      </c>
      <c r="Z606" s="36" t="inlineStr">
        <is>
          <t>(not listed: noindex)</t>
        </is>
      </c>
      <c r="AA606" s="36" t="inlineStr">
        <is>
          <t>Live – noindex (enrich before indexing)</t>
        </is>
      </c>
      <c r="AB606" s="38" t="n"/>
      <c r="AC606" s="38" t="n"/>
    </row>
    <row r="607" ht="23.85" customHeight="1" s="22">
      <c r="A607" s="36" t="inlineStr">
        <is>
          <t>P0606</t>
        </is>
      </c>
      <c r="B607" s="36" t="inlineStr">
        <is>
          <t>https://instasure.ca/life-insurance/quebec/montreal/</t>
        </is>
      </c>
      <c r="C607" s="36" t="inlineStr">
        <is>
          <t>Product × city</t>
        </is>
      </c>
      <c r="D607" s="36" t="inlineStr">
        <is>
          <t>Life insurance</t>
        </is>
      </c>
      <c r="E607" s="36" t="inlineStr">
        <is>
          <t>Life Insurance</t>
        </is>
      </c>
      <c r="F607" s="36" t="n"/>
      <c r="G607" s="36" t="inlineStr">
        <is>
          <t>Quebec</t>
        </is>
      </c>
      <c r="H607" s="36" t="inlineStr">
        <is>
          <t>Montreal</t>
        </is>
      </c>
      <c r="I607" s="36" t="inlineStr">
        <is>
          <t>Yes</t>
        </is>
      </c>
      <c r="J607" s="25" t="inlineStr">
        <is>
          <t>Life Insurance Montreal, QC: Compare Quotes &amp; Costs (2026)</t>
        </is>
      </c>
      <c r="K607" s="36">
        <f>LEN(J607)</f>
        <v/>
      </c>
      <c r="L607" s="25" t="inlineStr">
        <is>
          <t>Compare life insurance in Montreal, QC: instant estimate ($20.50–$29.50/mo example), example prices by age and a waitlist for licensed advice in Quebec.</t>
        </is>
      </c>
      <c r="M607" s="36">
        <f>LEN(L607)</f>
        <v/>
      </c>
      <c r="N607" s="25" t="inlineStr">
        <is>
          <t>Life Insurance in Montreal, QC</t>
        </is>
      </c>
      <c r="O607" s="36" t="inlineStr">
        <is>
          <t>life insurance montreal</t>
        </is>
      </c>
      <c r="P607" s="37" t="n">
        <v>180</v>
      </c>
      <c r="Q607" s="36" t="inlineStr">
        <is>
          <t>City</t>
        </is>
      </c>
      <c r="R607" s="36" t="n"/>
      <c r="S607" s="36">
        <f>COUNTIF('Page-Keyword Map'!$A$2:$A$675,B607)</f>
        <v/>
      </c>
      <c r="T607" s="37">
        <f>SUMIF('Page-Keyword Map'!$A$2:$A$675,B607,'Page-Keyword Map'!$H$2:$H$675)</f>
        <v/>
      </c>
      <c r="U607" s="36">
        <f>COUNTIFS('Page-Keyword Map'!$A$2:$A$675,B607,'Page-Keyword Map'!$E$2:$E$675,"Nationwide")</f>
        <v/>
      </c>
      <c r="V607" s="36">
        <f>COUNTIFS('Page-Keyword Map'!$A$2:$A$675,B607,'Page-Keyword Map'!$E$2:$E$675,"Provincial")</f>
        <v/>
      </c>
      <c r="W607" s="36">
        <f>COUNTIFS('Page-Keyword Map'!$A$2:$A$675,B607,'Page-Keyword Map'!$E$2:$E$675,"City")</f>
        <v/>
      </c>
      <c r="X607" s="36">
        <f>IF(O607="","",IF(ISNUMBER(SEARCH(O607,J607)),"Yes","No"))</f>
        <v/>
      </c>
      <c r="Y607" s="36" t="n">
        <v>0.7</v>
      </c>
      <c r="Z607" s="36" t="inlineStr">
        <is>
          <t>sitemap-cities.xml</t>
        </is>
      </c>
      <c r="AA607" s="36" t="inlineStr">
        <is>
          <t>Live – indexable</t>
        </is>
      </c>
      <c r="AB607" s="38" t="n"/>
      <c r="AC607" s="38" t="n"/>
    </row>
    <row r="608" ht="23.85" customHeight="1" s="22">
      <c r="A608" s="36" t="inlineStr">
        <is>
          <t>P0607</t>
        </is>
      </c>
      <c r="B608" s="36" t="inlineStr">
        <is>
          <t>https://instasure.ca/life-insurance/quebec/quebec-city/</t>
        </is>
      </c>
      <c r="C608" s="36" t="inlineStr">
        <is>
          <t>Product × city</t>
        </is>
      </c>
      <c r="D608" s="36" t="inlineStr">
        <is>
          <t>Life insurance</t>
        </is>
      </c>
      <c r="E608" s="36" t="inlineStr">
        <is>
          <t>Life Insurance</t>
        </is>
      </c>
      <c r="F608" s="36" t="n"/>
      <c r="G608" s="36" t="inlineStr">
        <is>
          <t>Quebec</t>
        </is>
      </c>
      <c r="H608" s="36" t="inlineStr">
        <is>
          <t>Quebec City</t>
        </is>
      </c>
      <c r="I608" s="36" t="inlineStr">
        <is>
          <t>Yes</t>
        </is>
      </c>
      <c r="J608" s="25" t="inlineStr">
        <is>
          <t>Life Insurance Quebec City, QC: Compare Quotes &amp; Costs (2026)</t>
        </is>
      </c>
      <c r="K608" s="36">
        <f>LEN(J608)</f>
        <v/>
      </c>
      <c r="L608" s="25" t="inlineStr">
        <is>
          <t>Compare life insurance in Quebec City, QC: instant estimate ($20.50–$29.50/mo example), example prices by age and a waitlist for licensed advice in Quebec.</t>
        </is>
      </c>
      <c r="M608" s="36">
        <f>LEN(L608)</f>
        <v/>
      </c>
      <c r="N608" s="25" t="inlineStr">
        <is>
          <t>Life Insurance in Quebec City, QC</t>
        </is>
      </c>
      <c r="O608" s="36" t="inlineStr">
        <is>
          <t>life insurance quebec city</t>
        </is>
      </c>
      <c r="P608" s="37" t="n">
        <v>72</v>
      </c>
      <c r="Q608" s="36" t="inlineStr">
        <is>
          <t>City</t>
        </is>
      </c>
      <c r="R608" s="36" t="n"/>
      <c r="S608" s="36">
        <f>COUNTIF('Page-Keyword Map'!$A$2:$A$675,B608)</f>
        <v/>
      </c>
      <c r="T608" s="37">
        <f>SUMIF('Page-Keyword Map'!$A$2:$A$675,B608,'Page-Keyword Map'!$H$2:$H$675)</f>
        <v/>
      </c>
      <c r="U608" s="36">
        <f>COUNTIFS('Page-Keyword Map'!$A$2:$A$675,B608,'Page-Keyword Map'!$E$2:$E$675,"Nationwide")</f>
        <v/>
      </c>
      <c r="V608" s="36">
        <f>COUNTIFS('Page-Keyword Map'!$A$2:$A$675,B608,'Page-Keyword Map'!$E$2:$E$675,"Provincial")</f>
        <v/>
      </c>
      <c r="W608" s="36">
        <f>COUNTIFS('Page-Keyword Map'!$A$2:$A$675,B608,'Page-Keyword Map'!$E$2:$E$675,"City")</f>
        <v/>
      </c>
      <c r="X608" s="36">
        <f>IF(O608="","",IF(ISNUMBER(SEARCH(O608,J608)),"Yes","No"))</f>
        <v/>
      </c>
      <c r="Y608" s="36" t="n">
        <v>0.7</v>
      </c>
      <c r="Z608" s="36" t="inlineStr">
        <is>
          <t>sitemap-cities.xml</t>
        </is>
      </c>
      <c r="AA608" s="36" t="inlineStr">
        <is>
          <t>Live – indexable</t>
        </is>
      </c>
      <c r="AB608" s="38" t="n"/>
      <c r="AC608" s="38" t="n"/>
    </row>
    <row r="609" ht="23.85" customHeight="1" s="22">
      <c r="A609" s="36" t="inlineStr">
        <is>
          <t>P0608</t>
        </is>
      </c>
      <c r="B609" s="36" t="inlineStr">
        <is>
          <t>https://instasure.ca/life-insurance/quebec/sherbrooke/</t>
        </is>
      </c>
      <c r="C609" s="36" t="inlineStr">
        <is>
          <t>Product × city</t>
        </is>
      </c>
      <c r="D609" s="36" t="inlineStr">
        <is>
          <t>Life insurance</t>
        </is>
      </c>
      <c r="E609" s="36" t="inlineStr">
        <is>
          <t>Life Insurance</t>
        </is>
      </c>
      <c r="F609" s="36" t="n"/>
      <c r="G609" s="36" t="inlineStr">
        <is>
          <t>Quebec</t>
        </is>
      </c>
      <c r="H609" s="36" t="inlineStr">
        <is>
          <t>Sherbrooke</t>
        </is>
      </c>
      <c r="I609" s="36" t="inlineStr">
        <is>
          <t>No</t>
        </is>
      </c>
      <c r="J609" s="25" t="inlineStr">
        <is>
          <t>Life Insurance Sherbrooke, QC: Compare Quotes &amp; Costs (2026)</t>
        </is>
      </c>
      <c r="K609" s="36">
        <f>LEN(J609)</f>
        <v/>
      </c>
      <c r="L609" s="25" t="inlineStr">
        <is>
          <t>Compare life insurance in Sherbrooke, QC: instant estimate ($20.50–$29.50/mo example), example prices by age and a waitlist for licensed advice in Quebec.</t>
        </is>
      </c>
      <c r="M609" s="36">
        <f>LEN(L609)</f>
        <v/>
      </c>
      <c r="N609" s="25" t="inlineStr">
        <is>
          <t>Life Insurance in Sherbrooke, QC</t>
        </is>
      </c>
      <c r="O609" s="36" t="inlineStr">
        <is>
          <t>life insurance sherbrooke</t>
        </is>
      </c>
      <c r="P609" s="37" t="n">
        <v>28</v>
      </c>
      <c r="Q609" s="36" t="inlineStr">
        <is>
          <t>City</t>
        </is>
      </c>
      <c r="R609" s="36" t="n"/>
      <c r="S609" s="36">
        <f>COUNTIF('Page-Keyword Map'!$A$2:$A$675,B609)</f>
        <v/>
      </c>
      <c r="T609" s="37">
        <f>SUMIF('Page-Keyword Map'!$A$2:$A$675,B609,'Page-Keyword Map'!$H$2:$H$675)</f>
        <v/>
      </c>
      <c r="U609" s="36">
        <f>COUNTIFS('Page-Keyword Map'!$A$2:$A$675,B609,'Page-Keyword Map'!$E$2:$E$675,"Nationwide")</f>
        <v/>
      </c>
      <c r="V609" s="36">
        <f>COUNTIFS('Page-Keyword Map'!$A$2:$A$675,B609,'Page-Keyword Map'!$E$2:$E$675,"Provincial")</f>
        <v/>
      </c>
      <c r="W609" s="36">
        <f>COUNTIFS('Page-Keyword Map'!$A$2:$A$675,B609,'Page-Keyword Map'!$E$2:$E$675,"City")</f>
        <v/>
      </c>
      <c r="X609" s="36">
        <f>IF(O609="","",IF(ISNUMBER(SEARCH(O609,J609)),"Yes","No"))</f>
        <v/>
      </c>
      <c r="Y609" s="36" t="n">
        <v>0.5</v>
      </c>
      <c r="Z609" s="36" t="inlineStr">
        <is>
          <t>(not listed: noindex)</t>
        </is>
      </c>
      <c r="AA609" s="36" t="inlineStr">
        <is>
          <t>Live – noindex (enrich before indexing)</t>
        </is>
      </c>
      <c r="AB609" s="38" t="n"/>
      <c r="AC609" s="38" t="n"/>
    </row>
    <row r="610" ht="23.85" customHeight="1" s="22">
      <c r="A610" s="36" t="inlineStr">
        <is>
          <t>P0609</t>
        </is>
      </c>
      <c r="B610" s="36" t="inlineStr">
        <is>
          <t>https://instasure.ca/life-insurance/saskatchewan/regina/</t>
        </is>
      </c>
      <c r="C610" s="36" t="inlineStr">
        <is>
          <t>Product × city</t>
        </is>
      </c>
      <c r="D610" s="36" t="inlineStr">
        <is>
          <t>Life insurance</t>
        </is>
      </c>
      <c r="E610" s="36" t="inlineStr">
        <is>
          <t>Life Insurance</t>
        </is>
      </c>
      <c r="F610" s="36" t="n"/>
      <c r="G610" s="36" t="inlineStr">
        <is>
          <t>Saskatchewan</t>
        </is>
      </c>
      <c r="H610" s="36" t="inlineStr">
        <is>
          <t>Regina</t>
        </is>
      </c>
      <c r="I610" s="36" t="inlineStr">
        <is>
          <t>Yes</t>
        </is>
      </c>
      <c r="J610" s="25" t="inlineStr">
        <is>
          <t>Life Insurance Regina, SK: Compare Quotes &amp; Costs (2026)</t>
        </is>
      </c>
      <c r="K610" s="36">
        <f>LEN(J610)</f>
        <v/>
      </c>
      <c r="L610" s="25" t="inlineStr">
        <is>
          <t>Compare life insurance in Regina, SK: instant estimate ($20.50–$29.50/mo example), example prices by age and advisors licensed in Saskatchewan.</t>
        </is>
      </c>
      <c r="M610" s="36">
        <f>LEN(L610)</f>
        <v/>
      </c>
      <c r="N610" s="25" t="inlineStr">
        <is>
          <t>Life Insurance in Regina, SK</t>
        </is>
      </c>
      <c r="O610" s="36" t="inlineStr">
        <is>
          <t>life insurance regina</t>
        </is>
      </c>
      <c r="P610" s="37" t="n">
        <v>120</v>
      </c>
      <c r="Q610" s="36" t="inlineStr">
        <is>
          <t>City</t>
        </is>
      </c>
      <c r="R610" s="36" t="n"/>
      <c r="S610" s="36">
        <f>COUNTIF('Page-Keyword Map'!$A$2:$A$675,B610)</f>
        <v/>
      </c>
      <c r="T610" s="37">
        <f>SUMIF('Page-Keyword Map'!$A$2:$A$675,B610,'Page-Keyword Map'!$H$2:$H$675)</f>
        <v/>
      </c>
      <c r="U610" s="36">
        <f>COUNTIFS('Page-Keyword Map'!$A$2:$A$675,B610,'Page-Keyword Map'!$E$2:$E$675,"Nationwide")</f>
        <v/>
      </c>
      <c r="V610" s="36">
        <f>COUNTIFS('Page-Keyword Map'!$A$2:$A$675,B610,'Page-Keyword Map'!$E$2:$E$675,"Provincial")</f>
        <v/>
      </c>
      <c r="W610" s="36">
        <f>COUNTIFS('Page-Keyword Map'!$A$2:$A$675,B610,'Page-Keyword Map'!$E$2:$E$675,"City")</f>
        <v/>
      </c>
      <c r="X610" s="36">
        <f>IF(O610="","",IF(ISNUMBER(SEARCH(O610,J610)),"Yes","No"))</f>
        <v/>
      </c>
      <c r="Y610" s="36" t="n">
        <v>0.7</v>
      </c>
      <c r="Z610" s="36" t="inlineStr">
        <is>
          <t>sitemap-cities.xml</t>
        </is>
      </c>
      <c r="AA610" s="36" t="inlineStr">
        <is>
          <t>Live – indexable</t>
        </is>
      </c>
      <c r="AB610" s="38" t="n"/>
      <c r="AC610" s="38" t="n"/>
    </row>
    <row r="611" ht="23.85" customHeight="1" s="22">
      <c r="A611" s="36" t="inlineStr">
        <is>
          <t>P0610</t>
        </is>
      </c>
      <c r="B611" s="36" t="inlineStr">
        <is>
          <t>https://instasure.ca/life-insurance/saskatchewan/saskatoon/</t>
        </is>
      </c>
      <c r="C611" s="36" t="inlineStr">
        <is>
          <t>Product × city</t>
        </is>
      </c>
      <c r="D611" s="36" t="inlineStr">
        <is>
          <t>Life insurance</t>
        </is>
      </c>
      <c r="E611" s="36" t="inlineStr">
        <is>
          <t>Life Insurance</t>
        </is>
      </c>
      <c r="F611" s="36" t="n"/>
      <c r="G611" s="36" t="inlineStr">
        <is>
          <t>Saskatchewan</t>
        </is>
      </c>
      <c r="H611" s="36" t="inlineStr">
        <is>
          <t>Saskatoon</t>
        </is>
      </c>
      <c r="I611" s="36" t="inlineStr">
        <is>
          <t>Yes</t>
        </is>
      </c>
      <c r="J611" s="25" t="inlineStr">
        <is>
          <t>Life Insurance Saskatoon, SK: Compare Quotes &amp; Costs (2026)</t>
        </is>
      </c>
      <c r="K611" s="36">
        <f>LEN(J611)</f>
        <v/>
      </c>
      <c r="L611" s="25" t="inlineStr">
        <is>
          <t>Compare life insurance in Saskatoon, SK: instant estimate ($20.50–$29.50/mo example), example prices by age and advisors licensed in Saskatchewan.</t>
        </is>
      </c>
      <c r="M611" s="36">
        <f>LEN(L611)</f>
        <v/>
      </c>
      <c r="N611" s="25" t="inlineStr">
        <is>
          <t>Life Insurance in Saskatoon, SK</t>
        </is>
      </c>
      <c r="O611" s="36" t="inlineStr">
        <is>
          <t>life insurance saskatoon</t>
        </is>
      </c>
      <c r="P611" s="37" t="n">
        <v>130</v>
      </c>
      <c r="Q611" s="36" t="inlineStr">
        <is>
          <t>City</t>
        </is>
      </c>
      <c r="R611" s="36" t="n"/>
      <c r="S611" s="36">
        <f>COUNTIF('Page-Keyword Map'!$A$2:$A$675,B611)</f>
        <v/>
      </c>
      <c r="T611" s="37">
        <f>SUMIF('Page-Keyword Map'!$A$2:$A$675,B611,'Page-Keyword Map'!$H$2:$H$675)</f>
        <v/>
      </c>
      <c r="U611" s="36">
        <f>COUNTIFS('Page-Keyword Map'!$A$2:$A$675,B611,'Page-Keyword Map'!$E$2:$E$675,"Nationwide")</f>
        <v/>
      </c>
      <c r="V611" s="36">
        <f>COUNTIFS('Page-Keyword Map'!$A$2:$A$675,B611,'Page-Keyword Map'!$E$2:$E$675,"Provincial")</f>
        <v/>
      </c>
      <c r="W611" s="36">
        <f>COUNTIFS('Page-Keyword Map'!$A$2:$A$675,B611,'Page-Keyword Map'!$E$2:$E$675,"City")</f>
        <v/>
      </c>
      <c r="X611" s="36">
        <f>IF(O611="","",IF(ISNUMBER(SEARCH(O611,J611)),"Yes","No"))</f>
        <v/>
      </c>
      <c r="Y611" s="36" t="n">
        <v>0.7</v>
      </c>
      <c r="Z611" s="36" t="inlineStr">
        <is>
          <t>sitemap-cities.xml</t>
        </is>
      </c>
      <c r="AA611" s="36" t="inlineStr">
        <is>
          <t>Live – indexable</t>
        </is>
      </c>
      <c r="AB611" s="38" t="n"/>
      <c r="AC611" s="38" t="n"/>
    </row>
    <row r="612" ht="23.85" customHeight="1" s="22">
      <c r="A612" s="36" t="inlineStr">
        <is>
          <t>P0611</t>
        </is>
      </c>
      <c r="B612" s="36" t="inlineStr">
        <is>
          <t>https://instasure.ca/life-insurance/yukon/whitehorse/</t>
        </is>
      </c>
      <c r="C612" s="36" t="inlineStr">
        <is>
          <t>Product × city</t>
        </is>
      </c>
      <c r="D612" s="36" t="inlineStr">
        <is>
          <t>Life insurance</t>
        </is>
      </c>
      <c r="E612" s="36" t="inlineStr">
        <is>
          <t>Life Insurance</t>
        </is>
      </c>
      <c r="F612" s="36" t="n"/>
      <c r="G612" s="36" t="inlineStr">
        <is>
          <t>Yukon</t>
        </is>
      </c>
      <c r="H612" s="36" t="inlineStr">
        <is>
          <t>Whitehorse</t>
        </is>
      </c>
      <c r="I612" s="36" t="inlineStr">
        <is>
          <t>No</t>
        </is>
      </c>
      <c r="J612" s="25" t="inlineStr">
        <is>
          <t>Life Insurance Whitehorse, YT: Compare Quotes &amp; Costs (2026)</t>
        </is>
      </c>
      <c r="K612" s="36">
        <f>LEN(J612)</f>
        <v/>
      </c>
      <c r="L612" s="25" t="inlineStr">
        <is>
          <t>Compare life insurance in Whitehorse, YT: instant estimate ($20.50–$29.50/mo example), example prices by age and a waitlist for licensed advice in Yukon.</t>
        </is>
      </c>
      <c r="M612" s="36">
        <f>LEN(L612)</f>
        <v/>
      </c>
      <c r="N612" s="25" t="inlineStr">
        <is>
          <t>Life Insurance in Whitehorse, YT</t>
        </is>
      </c>
      <c r="O612" s="36" t="n"/>
      <c r="P612" s="37" t="n"/>
      <c r="Q612" s="36" t="n"/>
      <c r="R612" s="36" t="inlineStr">
        <is>
          <t>life insurance whitehorse</t>
        </is>
      </c>
      <c r="S612" s="36">
        <f>COUNTIF('Page-Keyword Map'!$A$2:$A$675,B612)</f>
        <v/>
      </c>
      <c r="T612" s="37">
        <f>SUMIF('Page-Keyword Map'!$A$2:$A$675,B612,'Page-Keyword Map'!$H$2:$H$675)</f>
        <v/>
      </c>
      <c r="U612" s="36">
        <f>COUNTIFS('Page-Keyword Map'!$A$2:$A$675,B612,'Page-Keyword Map'!$E$2:$E$675,"Nationwide")</f>
        <v/>
      </c>
      <c r="V612" s="36">
        <f>COUNTIFS('Page-Keyword Map'!$A$2:$A$675,B612,'Page-Keyword Map'!$E$2:$E$675,"Provincial")</f>
        <v/>
      </c>
      <c r="W612" s="36">
        <f>COUNTIFS('Page-Keyword Map'!$A$2:$A$675,B612,'Page-Keyword Map'!$E$2:$E$675,"City")</f>
        <v/>
      </c>
      <c r="X612" s="36">
        <f>IF(O612="","",IF(ISNUMBER(SEARCH(O612,J612)),"Yes","No"))</f>
        <v/>
      </c>
      <c r="Y612" s="36" t="n">
        <v>0.5</v>
      </c>
      <c r="Z612" s="36" t="inlineStr">
        <is>
          <t>(not listed: noindex)</t>
        </is>
      </c>
      <c r="AA612" s="36" t="inlineStr">
        <is>
          <t>Live – noindex (enrich before indexing)</t>
        </is>
      </c>
      <c r="AB612" s="38" t="n"/>
      <c r="AC612" s="38" t="n"/>
    </row>
    <row r="613" ht="23.85" customHeight="1" s="22">
      <c r="A613" s="36" t="inlineStr">
        <is>
          <t>P0612</t>
        </is>
      </c>
      <c r="B613" s="36" t="inlineStr">
        <is>
          <t>https://instasure.ca/super-visa-insurance/alberta/airdrie/</t>
        </is>
      </c>
      <c r="C613" s="36" t="inlineStr">
        <is>
          <t>Product × city</t>
        </is>
      </c>
      <c r="D613" s="36" t="inlineStr">
        <is>
          <t>Super Visa &amp; visitors insurance</t>
        </is>
      </c>
      <c r="E613" s="36" t="inlineStr">
        <is>
          <t>Super Visa Insurance</t>
        </is>
      </c>
      <c r="F613" s="36" t="n"/>
      <c r="G613" s="36" t="inlineStr">
        <is>
          <t>Alberta</t>
        </is>
      </c>
      <c r="H613" s="36" t="inlineStr">
        <is>
          <t>Airdrie</t>
        </is>
      </c>
      <c r="I613" s="36" t="inlineStr">
        <is>
          <t>No</t>
        </is>
      </c>
      <c r="J613" s="25" t="inlineStr">
        <is>
          <t>Super Visa Insurance Airdrie, AB: Compare Quotes &amp; Costs (2026)</t>
        </is>
      </c>
      <c r="K613" s="36">
        <f>LEN(J613)</f>
        <v/>
      </c>
      <c r="L613" s="25" t="inlineStr">
        <is>
          <t>Compare super visa insurance in Airdrie, AB: instant estimate ($119–$184/mo example), example prices by visitor age and advisors licensed in Alberta.</t>
        </is>
      </c>
      <c r="M613" s="36">
        <f>LEN(L613)</f>
        <v/>
      </c>
      <c r="N613" s="25" t="inlineStr">
        <is>
          <t>Super Visa Insurance in Airdrie, AB</t>
        </is>
      </c>
      <c r="O613" s="36" t="n"/>
      <c r="P613" s="37" t="n"/>
      <c r="Q613" s="36" t="n"/>
      <c r="R613" s="36" t="inlineStr">
        <is>
          <t>super visa insurance airdrie</t>
        </is>
      </c>
      <c r="S613" s="36">
        <f>COUNTIF('Page-Keyword Map'!$A$2:$A$675,B613)</f>
        <v/>
      </c>
      <c r="T613" s="37">
        <f>SUMIF('Page-Keyword Map'!$A$2:$A$675,B613,'Page-Keyword Map'!$H$2:$H$675)</f>
        <v/>
      </c>
      <c r="U613" s="36">
        <f>COUNTIFS('Page-Keyword Map'!$A$2:$A$675,B613,'Page-Keyword Map'!$E$2:$E$675,"Nationwide")</f>
        <v/>
      </c>
      <c r="V613" s="36">
        <f>COUNTIFS('Page-Keyword Map'!$A$2:$A$675,B613,'Page-Keyword Map'!$E$2:$E$675,"Provincial")</f>
        <v/>
      </c>
      <c r="W613" s="36">
        <f>COUNTIFS('Page-Keyword Map'!$A$2:$A$675,B613,'Page-Keyword Map'!$E$2:$E$675,"City")</f>
        <v/>
      </c>
      <c r="X613" s="36">
        <f>IF(O613="","",IF(ISNUMBER(SEARCH(O613,J613)),"Yes","No"))</f>
        <v/>
      </c>
      <c r="Y613" s="36" t="n">
        <v>0.5</v>
      </c>
      <c r="Z613" s="36" t="inlineStr">
        <is>
          <t>(not listed: noindex)</t>
        </is>
      </c>
      <c r="AA613" s="36" t="inlineStr">
        <is>
          <t>Live – noindex (enrich before indexing)</t>
        </is>
      </c>
      <c r="AB613" s="38" t="n"/>
      <c r="AC613" s="38" t="n"/>
    </row>
    <row r="614" ht="23.85" customHeight="1" s="22">
      <c r="A614" s="36" t="inlineStr">
        <is>
          <t>P0613</t>
        </is>
      </c>
      <c r="B614" s="36" t="inlineStr">
        <is>
          <t>https://instasure.ca/super-visa-insurance/alberta/calgary/</t>
        </is>
      </c>
      <c r="C614" s="36" t="inlineStr">
        <is>
          <t>Product × city</t>
        </is>
      </c>
      <c r="D614" s="36" t="inlineStr">
        <is>
          <t>Super Visa &amp; visitors insurance</t>
        </is>
      </c>
      <c r="E614" s="36" t="inlineStr">
        <is>
          <t>Super Visa Insurance</t>
        </is>
      </c>
      <c r="F614" s="36" t="n"/>
      <c r="G614" s="36" t="inlineStr">
        <is>
          <t>Alberta</t>
        </is>
      </c>
      <c r="H614" s="36" t="inlineStr">
        <is>
          <t>Calgary</t>
        </is>
      </c>
      <c r="I614" s="36" t="inlineStr">
        <is>
          <t>Yes</t>
        </is>
      </c>
      <c r="J614" s="25" t="inlineStr">
        <is>
          <t>Super Visa Insurance Calgary, AB: Compare Quotes &amp; Costs (2026)</t>
        </is>
      </c>
      <c r="K614" s="36">
        <f>LEN(J614)</f>
        <v/>
      </c>
      <c r="L614" s="25" t="inlineStr">
        <is>
          <t>Compare super visa insurance in Calgary, AB: instant estimate ($119–$184/mo example), example prices by visitor age and advisors licensed in Alberta.</t>
        </is>
      </c>
      <c r="M614" s="36">
        <f>LEN(L614)</f>
        <v/>
      </c>
      <c r="N614" s="25" t="inlineStr">
        <is>
          <t>Super Visa Insurance in Calgary, AB</t>
        </is>
      </c>
      <c r="O614" s="36" t="inlineStr">
        <is>
          <t>super visa insurance calgary</t>
        </is>
      </c>
      <c r="P614" s="37" t="n">
        <v>230</v>
      </c>
      <c r="Q614" s="36" t="inlineStr">
        <is>
          <t>City</t>
        </is>
      </c>
      <c r="R614" s="36" t="n"/>
      <c r="S614" s="36">
        <f>COUNTIF('Page-Keyword Map'!$A$2:$A$675,B614)</f>
        <v/>
      </c>
      <c r="T614" s="37">
        <f>SUMIF('Page-Keyword Map'!$A$2:$A$675,B614,'Page-Keyword Map'!$H$2:$H$675)</f>
        <v/>
      </c>
      <c r="U614" s="36">
        <f>COUNTIFS('Page-Keyword Map'!$A$2:$A$675,B614,'Page-Keyword Map'!$E$2:$E$675,"Nationwide")</f>
        <v/>
      </c>
      <c r="V614" s="36">
        <f>COUNTIFS('Page-Keyword Map'!$A$2:$A$675,B614,'Page-Keyword Map'!$E$2:$E$675,"Provincial")</f>
        <v/>
      </c>
      <c r="W614" s="36">
        <f>COUNTIFS('Page-Keyword Map'!$A$2:$A$675,B614,'Page-Keyword Map'!$E$2:$E$675,"City")</f>
        <v/>
      </c>
      <c r="X614" s="36">
        <f>IF(O614="","",IF(ISNUMBER(SEARCH(O614,J614)),"Yes","No"))</f>
        <v/>
      </c>
      <c r="Y614" s="36" t="n">
        <v>0.7</v>
      </c>
      <c r="Z614" s="36" t="inlineStr">
        <is>
          <t>sitemap-cities.xml</t>
        </is>
      </c>
      <c r="AA614" s="36" t="inlineStr">
        <is>
          <t>Live – indexable</t>
        </is>
      </c>
      <c r="AB614" s="38" t="n"/>
      <c r="AC614" s="38" t="n"/>
    </row>
    <row r="615" ht="23.85" customHeight="1" s="22">
      <c r="A615" s="36" t="inlineStr">
        <is>
          <t>P0614</t>
        </is>
      </c>
      <c r="B615" s="36" t="inlineStr">
        <is>
          <t>https://instasure.ca/super-visa-insurance/alberta/edmonton/</t>
        </is>
      </c>
      <c r="C615" s="36" t="inlineStr">
        <is>
          <t>Product × city</t>
        </is>
      </c>
      <c r="D615" s="36" t="inlineStr">
        <is>
          <t>Super Visa &amp; visitors insurance</t>
        </is>
      </c>
      <c r="E615" s="36" t="inlineStr">
        <is>
          <t>Super Visa Insurance</t>
        </is>
      </c>
      <c r="F615" s="36" t="n"/>
      <c r="G615" s="36" t="inlineStr">
        <is>
          <t>Alberta</t>
        </is>
      </c>
      <c r="H615" s="36" t="inlineStr">
        <is>
          <t>Edmonton</t>
        </is>
      </c>
      <c r="I615" s="36" t="inlineStr">
        <is>
          <t>Yes</t>
        </is>
      </c>
      <c r="J615" s="25" t="inlineStr">
        <is>
          <t>Super Visa Insurance Edmonton, AB: Compare Quotes &amp; Costs (2026)</t>
        </is>
      </c>
      <c r="K615" s="36">
        <f>LEN(J615)</f>
        <v/>
      </c>
      <c r="L615" s="25" t="inlineStr">
        <is>
          <t>Compare super visa insurance in Edmonton, AB: instant estimate ($119–$184/mo example), example prices by visitor age and advisors licensed in Alberta.</t>
        </is>
      </c>
      <c r="M615" s="36">
        <f>LEN(L615)</f>
        <v/>
      </c>
      <c r="N615" s="25" t="inlineStr">
        <is>
          <t>Super Visa Insurance in Edmonton, AB</t>
        </is>
      </c>
      <c r="O615" s="36" t="inlineStr">
        <is>
          <t>super visa insurance edmonton</t>
        </is>
      </c>
      <c r="P615" s="37" t="n">
        <v>180</v>
      </c>
      <c r="Q615" s="36" t="inlineStr">
        <is>
          <t>City</t>
        </is>
      </c>
      <c r="R615" s="36" t="n"/>
      <c r="S615" s="36">
        <f>COUNTIF('Page-Keyword Map'!$A$2:$A$675,B615)</f>
        <v/>
      </c>
      <c r="T615" s="37">
        <f>SUMIF('Page-Keyword Map'!$A$2:$A$675,B615,'Page-Keyword Map'!$H$2:$H$675)</f>
        <v/>
      </c>
      <c r="U615" s="36">
        <f>COUNTIFS('Page-Keyword Map'!$A$2:$A$675,B615,'Page-Keyword Map'!$E$2:$E$675,"Nationwide")</f>
        <v/>
      </c>
      <c r="V615" s="36">
        <f>COUNTIFS('Page-Keyword Map'!$A$2:$A$675,B615,'Page-Keyword Map'!$E$2:$E$675,"Provincial")</f>
        <v/>
      </c>
      <c r="W615" s="36">
        <f>COUNTIFS('Page-Keyword Map'!$A$2:$A$675,B615,'Page-Keyword Map'!$E$2:$E$675,"City")</f>
        <v/>
      </c>
      <c r="X615" s="36">
        <f>IF(O615="","",IF(ISNUMBER(SEARCH(O615,J615)),"Yes","No"))</f>
        <v/>
      </c>
      <c r="Y615" s="36" t="n">
        <v>0.7</v>
      </c>
      <c r="Z615" s="36" t="inlineStr">
        <is>
          <t>sitemap-cities.xml</t>
        </is>
      </c>
      <c r="AA615" s="36" t="inlineStr">
        <is>
          <t>Live – indexable</t>
        </is>
      </c>
      <c r="AB615" s="38" t="n"/>
      <c r="AC615" s="38" t="n"/>
    </row>
    <row r="616" ht="23.85" customHeight="1" s="22">
      <c r="A616" s="36" t="inlineStr">
        <is>
          <t>P0615</t>
        </is>
      </c>
      <c r="B616" s="36" t="inlineStr">
        <is>
          <t>https://instasure.ca/super-visa-insurance/alberta/lethbridge/</t>
        </is>
      </c>
      <c r="C616" s="36" t="inlineStr">
        <is>
          <t>Product × city</t>
        </is>
      </c>
      <c r="D616" s="36" t="inlineStr">
        <is>
          <t>Super Visa &amp; visitors insurance</t>
        </is>
      </c>
      <c r="E616" s="36" t="inlineStr">
        <is>
          <t>Super Visa Insurance</t>
        </is>
      </c>
      <c r="F616" s="36" t="n"/>
      <c r="G616" s="36" t="inlineStr">
        <is>
          <t>Alberta</t>
        </is>
      </c>
      <c r="H616" s="36" t="inlineStr">
        <is>
          <t>Lethbridge</t>
        </is>
      </c>
      <c r="I616" s="36" t="inlineStr">
        <is>
          <t>No</t>
        </is>
      </c>
      <c r="J616" s="25" t="inlineStr">
        <is>
          <t>Super Visa Insurance Lethbridge, AB: Compare Quotes &amp; Costs (2026)</t>
        </is>
      </c>
      <c r="K616" s="36">
        <f>LEN(J616)</f>
        <v/>
      </c>
      <c r="L616" s="25" t="inlineStr">
        <is>
          <t>Compare super visa insurance in Lethbridge, AB: instant estimate ($119–$184/mo example), example prices by visitor age and advisors licensed in Alberta.</t>
        </is>
      </c>
      <c r="M616" s="36">
        <f>LEN(L616)</f>
        <v/>
      </c>
      <c r="N616" s="25" t="inlineStr">
        <is>
          <t>Super Visa Insurance in Lethbridge, AB</t>
        </is>
      </c>
      <c r="O616" s="36" t="n"/>
      <c r="P616" s="37" t="n"/>
      <c r="Q616" s="36" t="n"/>
      <c r="R616" s="36" t="inlineStr">
        <is>
          <t>super visa insurance lethbridge</t>
        </is>
      </c>
      <c r="S616" s="36">
        <f>COUNTIF('Page-Keyword Map'!$A$2:$A$675,B616)</f>
        <v/>
      </c>
      <c r="T616" s="37">
        <f>SUMIF('Page-Keyword Map'!$A$2:$A$675,B616,'Page-Keyword Map'!$H$2:$H$675)</f>
        <v/>
      </c>
      <c r="U616" s="36">
        <f>COUNTIFS('Page-Keyword Map'!$A$2:$A$675,B616,'Page-Keyword Map'!$E$2:$E$675,"Nationwide")</f>
        <v/>
      </c>
      <c r="V616" s="36">
        <f>COUNTIFS('Page-Keyword Map'!$A$2:$A$675,B616,'Page-Keyword Map'!$E$2:$E$675,"Provincial")</f>
        <v/>
      </c>
      <c r="W616" s="36">
        <f>COUNTIFS('Page-Keyword Map'!$A$2:$A$675,B616,'Page-Keyword Map'!$E$2:$E$675,"City")</f>
        <v/>
      </c>
      <c r="X616" s="36">
        <f>IF(O616="","",IF(ISNUMBER(SEARCH(O616,J616)),"Yes","No"))</f>
        <v/>
      </c>
      <c r="Y616" s="36" t="n">
        <v>0.5</v>
      </c>
      <c r="Z616" s="36" t="inlineStr">
        <is>
          <t>(not listed: noindex)</t>
        </is>
      </c>
      <c r="AA616" s="36" t="inlineStr">
        <is>
          <t>Live – noindex (enrich before indexing)</t>
        </is>
      </c>
      <c r="AB616" s="38" t="n"/>
      <c r="AC616" s="38" t="n"/>
    </row>
    <row r="617" ht="23.85" customHeight="1" s="22">
      <c r="A617" s="36" t="inlineStr">
        <is>
          <t>P0616</t>
        </is>
      </c>
      <c r="B617" s="36" t="inlineStr">
        <is>
          <t>https://instasure.ca/super-visa-insurance/alberta/red-deer/</t>
        </is>
      </c>
      <c r="C617" s="36" t="inlineStr">
        <is>
          <t>Product × city</t>
        </is>
      </c>
      <c r="D617" s="36" t="inlineStr">
        <is>
          <t>Super Visa &amp; visitors insurance</t>
        </is>
      </c>
      <c r="E617" s="36" t="inlineStr">
        <is>
          <t>Super Visa Insurance</t>
        </is>
      </c>
      <c r="F617" s="36" t="n"/>
      <c r="G617" s="36" t="inlineStr">
        <is>
          <t>Alberta</t>
        </is>
      </c>
      <c r="H617" s="36" t="inlineStr">
        <is>
          <t>Red Deer</t>
        </is>
      </c>
      <c r="I617" s="36" t="inlineStr">
        <is>
          <t>No</t>
        </is>
      </c>
      <c r="J617" s="25" t="inlineStr">
        <is>
          <t>Super Visa Insurance Red Deer, AB: Compare Quotes &amp; Costs (2026)</t>
        </is>
      </c>
      <c r="K617" s="36">
        <f>LEN(J617)</f>
        <v/>
      </c>
      <c r="L617" s="25" t="inlineStr">
        <is>
          <t>Compare super visa insurance in Red Deer, AB: instant estimate ($119–$184/mo example), example prices by visitor age and advisors licensed in Alberta.</t>
        </is>
      </c>
      <c r="M617" s="36">
        <f>LEN(L617)</f>
        <v/>
      </c>
      <c r="N617" s="25" t="inlineStr">
        <is>
          <t>Super Visa Insurance in Red Deer, AB</t>
        </is>
      </c>
      <c r="O617" s="36" t="n"/>
      <c r="P617" s="37" t="n"/>
      <c r="Q617" s="36" t="n"/>
      <c r="R617" s="36" t="inlineStr">
        <is>
          <t>super visa insurance red deer</t>
        </is>
      </c>
      <c r="S617" s="36">
        <f>COUNTIF('Page-Keyword Map'!$A$2:$A$675,B617)</f>
        <v/>
      </c>
      <c r="T617" s="37">
        <f>SUMIF('Page-Keyword Map'!$A$2:$A$675,B617,'Page-Keyword Map'!$H$2:$H$675)</f>
        <v/>
      </c>
      <c r="U617" s="36">
        <f>COUNTIFS('Page-Keyword Map'!$A$2:$A$675,B617,'Page-Keyword Map'!$E$2:$E$675,"Nationwide")</f>
        <v/>
      </c>
      <c r="V617" s="36">
        <f>COUNTIFS('Page-Keyword Map'!$A$2:$A$675,B617,'Page-Keyword Map'!$E$2:$E$675,"Provincial")</f>
        <v/>
      </c>
      <c r="W617" s="36">
        <f>COUNTIFS('Page-Keyword Map'!$A$2:$A$675,B617,'Page-Keyword Map'!$E$2:$E$675,"City")</f>
        <v/>
      </c>
      <c r="X617" s="36">
        <f>IF(O617="","",IF(ISNUMBER(SEARCH(O617,J617)),"Yes","No"))</f>
        <v/>
      </c>
      <c r="Y617" s="36" t="n">
        <v>0.5</v>
      </c>
      <c r="Z617" s="36" t="inlineStr">
        <is>
          <t>(not listed: noindex)</t>
        </is>
      </c>
      <c r="AA617" s="36" t="inlineStr">
        <is>
          <t>Live – noindex (enrich before indexing)</t>
        </is>
      </c>
      <c r="AB617" s="38" t="n"/>
      <c r="AC617" s="38" t="n"/>
    </row>
    <row r="618" ht="23.85" customHeight="1" s="22">
      <c r="A618" s="36" t="inlineStr">
        <is>
          <t>P0617</t>
        </is>
      </c>
      <c r="B618" s="36" t="inlineStr">
        <is>
          <t>https://instasure.ca/super-visa-insurance/british-columbia/abbotsford/</t>
        </is>
      </c>
      <c r="C618" s="36" t="inlineStr">
        <is>
          <t>Product × city</t>
        </is>
      </c>
      <c r="D618" s="36" t="inlineStr">
        <is>
          <t>Super Visa &amp; visitors insurance</t>
        </is>
      </c>
      <c r="E618" s="36" t="inlineStr">
        <is>
          <t>Super Visa Insurance</t>
        </is>
      </c>
      <c r="F618" s="36" t="n"/>
      <c r="G618" s="36" t="inlineStr">
        <is>
          <t>British Columbia</t>
        </is>
      </c>
      <c r="H618" s="36" t="inlineStr">
        <is>
          <t>Abbotsford</t>
        </is>
      </c>
      <c r="I618" s="36" t="inlineStr">
        <is>
          <t>No</t>
        </is>
      </c>
      <c r="J618" s="25" t="inlineStr">
        <is>
          <t>Super Visa Insurance Abbotsford, BC: Compare Quotes &amp; Costs (2026)</t>
        </is>
      </c>
      <c r="K618" s="36">
        <f>LEN(J618)</f>
        <v/>
      </c>
      <c r="L618" s="25" t="inlineStr">
        <is>
          <t>Compare super visa insurance in Abbotsford, BC: instant estimate ($119–$184/mo example), example prices by visitor age and advisors licensed in British Columbia.</t>
        </is>
      </c>
      <c r="M618" s="36">
        <f>LEN(L618)</f>
        <v/>
      </c>
      <c r="N618" s="25" t="inlineStr">
        <is>
          <t>Super Visa Insurance in Abbotsford, BC</t>
        </is>
      </c>
      <c r="O618" s="36" t="inlineStr">
        <is>
          <t>super visa insurance abbotsford</t>
        </is>
      </c>
      <c r="P618" s="37" t="n">
        <v>69</v>
      </c>
      <c r="Q618" s="36" t="inlineStr">
        <is>
          <t>City</t>
        </is>
      </c>
      <c r="R618" s="36" t="n"/>
      <c r="S618" s="36">
        <f>COUNTIF('Page-Keyword Map'!$A$2:$A$675,B618)</f>
        <v/>
      </c>
      <c r="T618" s="37">
        <f>SUMIF('Page-Keyword Map'!$A$2:$A$675,B618,'Page-Keyword Map'!$H$2:$H$675)</f>
        <v/>
      </c>
      <c r="U618" s="36">
        <f>COUNTIFS('Page-Keyword Map'!$A$2:$A$675,B618,'Page-Keyword Map'!$E$2:$E$675,"Nationwide")</f>
        <v/>
      </c>
      <c r="V618" s="36">
        <f>COUNTIFS('Page-Keyword Map'!$A$2:$A$675,B618,'Page-Keyword Map'!$E$2:$E$675,"Provincial")</f>
        <v/>
      </c>
      <c r="W618" s="36">
        <f>COUNTIFS('Page-Keyword Map'!$A$2:$A$675,B618,'Page-Keyword Map'!$E$2:$E$675,"City")</f>
        <v/>
      </c>
      <c r="X618" s="36">
        <f>IF(O618="","",IF(ISNUMBER(SEARCH(O618,J618)),"Yes","No"))</f>
        <v/>
      </c>
      <c r="Y618" s="36" t="n">
        <v>0.5</v>
      </c>
      <c r="Z618" s="36" t="inlineStr">
        <is>
          <t>(not listed: noindex)</t>
        </is>
      </c>
      <c r="AA618" s="36" t="inlineStr">
        <is>
          <t>Live – noindex (enrich before indexing)</t>
        </is>
      </c>
      <c r="AB618" s="38" t="n"/>
      <c r="AC618" s="38" t="n"/>
    </row>
    <row r="619" ht="23.85" customHeight="1" s="22">
      <c r="A619" s="36" t="inlineStr">
        <is>
          <t>P0618</t>
        </is>
      </c>
      <c r="B619" s="36" t="inlineStr">
        <is>
          <t>https://instasure.ca/super-visa-insurance/british-columbia/burnaby/</t>
        </is>
      </c>
      <c r="C619" s="36" t="inlineStr">
        <is>
          <t>Product × city</t>
        </is>
      </c>
      <c r="D619" s="36" t="inlineStr">
        <is>
          <t>Super Visa &amp; visitors insurance</t>
        </is>
      </c>
      <c r="E619" s="36" t="inlineStr">
        <is>
          <t>Super Visa Insurance</t>
        </is>
      </c>
      <c r="F619" s="36" t="n"/>
      <c r="G619" s="36" t="inlineStr">
        <is>
          <t>British Columbia</t>
        </is>
      </c>
      <c r="H619" s="36" t="inlineStr">
        <is>
          <t>Burnaby</t>
        </is>
      </c>
      <c r="I619" s="36" t="inlineStr">
        <is>
          <t>Yes</t>
        </is>
      </c>
      <c r="J619" s="25" t="inlineStr">
        <is>
          <t>Super Visa Insurance Burnaby, BC: Compare Quotes &amp; Costs (2026)</t>
        </is>
      </c>
      <c r="K619" s="36">
        <f>LEN(J619)</f>
        <v/>
      </c>
      <c r="L619" s="25" t="inlineStr">
        <is>
          <t>Compare super visa insurance in Burnaby, BC: instant estimate ($119–$184/mo example), example prices by visitor age and advisors licensed in British Columbia.</t>
        </is>
      </c>
      <c r="M619" s="36">
        <f>LEN(L619)</f>
        <v/>
      </c>
      <c r="N619" s="25" t="inlineStr">
        <is>
          <t>Super Visa Insurance in Burnaby, BC</t>
        </is>
      </c>
      <c r="O619" s="36" t="inlineStr">
        <is>
          <t>super visa insurance burnaby</t>
        </is>
      </c>
      <c r="P619" s="37" t="n">
        <v>60</v>
      </c>
      <c r="Q619" s="36" t="inlineStr">
        <is>
          <t>City</t>
        </is>
      </c>
      <c r="R619" s="36" t="n"/>
      <c r="S619" s="36">
        <f>COUNTIF('Page-Keyword Map'!$A$2:$A$675,B619)</f>
        <v/>
      </c>
      <c r="T619" s="37">
        <f>SUMIF('Page-Keyword Map'!$A$2:$A$675,B619,'Page-Keyword Map'!$H$2:$H$675)</f>
        <v/>
      </c>
      <c r="U619" s="36">
        <f>COUNTIFS('Page-Keyword Map'!$A$2:$A$675,B619,'Page-Keyword Map'!$E$2:$E$675,"Nationwide")</f>
        <v/>
      </c>
      <c r="V619" s="36">
        <f>COUNTIFS('Page-Keyword Map'!$A$2:$A$675,B619,'Page-Keyword Map'!$E$2:$E$675,"Provincial")</f>
        <v/>
      </c>
      <c r="W619" s="36">
        <f>COUNTIFS('Page-Keyword Map'!$A$2:$A$675,B619,'Page-Keyword Map'!$E$2:$E$675,"City")</f>
        <v/>
      </c>
      <c r="X619" s="36">
        <f>IF(O619="","",IF(ISNUMBER(SEARCH(O619,J619)),"Yes","No"))</f>
        <v/>
      </c>
      <c r="Y619" s="36" t="n">
        <v>0.7</v>
      </c>
      <c r="Z619" s="36" t="inlineStr">
        <is>
          <t>sitemap-cities.xml</t>
        </is>
      </c>
      <c r="AA619" s="36" t="inlineStr">
        <is>
          <t>Live – indexable</t>
        </is>
      </c>
      <c r="AB619" s="38" t="n"/>
      <c r="AC619" s="38" t="n"/>
    </row>
    <row r="620" ht="23.85" customHeight="1" s="22">
      <c r="A620" s="36" t="inlineStr">
        <is>
          <t>P0619</t>
        </is>
      </c>
      <c r="B620" s="36" t="inlineStr">
        <is>
          <t>https://instasure.ca/super-visa-insurance/british-columbia/coquitlam/</t>
        </is>
      </c>
      <c r="C620" s="36" t="inlineStr">
        <is>
          <t>Product × city</t>
        </is>
      </c>
      <c r="D620" s="36" t="inlineStr">
        <is>
          <t>Super Visa &amp; visitors insurance</t>
        </is>
      </c>
      <c r="E620" s="36" t="inlineStr">
        <is>
          <t>Super Visa Insurance</t>
        </is>
      </c>
      <c r="F620" s="36" t="n"/>
      <c r="G620" s="36" t="inlineStr">
        <is>
          <t>British Columbia</t>
        </is>
      </c>
      <c r="H620" s="36" t="inlineStr">
        <is>
          <t>Coquitlam</t>
        </is>
      </c>
      <c r="I620" s="36" t="inlineStr">
        <is>
          <t>No</t>
        </is>
      </c>
      <c r="J620" s="25" t="inlineStr">
        <is>
          <t>Super Visa Insurance Coquitlam, BC: Compare Quotes &amp; Costs (2026)</t>
        </is>
      </c>
      <c r="K620" s="36">
        <f>LEN(J620)</f>
        <v/>
      </c>
      <c r="L620" s="25" t="inlineStr">
        <is>
          <t>Compare super visa insurance in Coquitlam, BC: instant estimate ($119–$184/mo example), example prices by visitor age and advisors licensed in British Columbia.</t>
        </is>
      </c>
      <c r="M620" s="36">
        <f>LEN(L620)</f>
        <v/>
      </c>
      <c r="N620" s="25" t="inlineStr">
        <is>
          <t>Super Visa Insurance in Coquitlam, BC</t>
        </is>
      </c>
      <c r="O620" s="36" t="n"/>
      <c r="P620" s="37" t="n"/>
      <c r="Q620" s="36" t="n"/>
      <c r="R620" s="36" t="inlineStr">
        <is>
          <t>super visa insurance coquitlam</t>
        </is>
      </c>
      <c r="S620" s="36">
        <f>COUNTIF('Page-Keyword Map'!$A$2:$A$675,B620)</f>
        <v/>
      </c>
      <c r="T620" s="37">
        <f>SUMIF('Page-Keyword Map'!$A$2:$A$675,B620,'Page-Keyword Map'!$H$2:$H$675)</f>
        <v/>
      </c>
      <c r="U620" s="36">
        <f>COUNTIFS('Page-Keyword Map'!$A$2:$A$675,B620,'Page-Keyword Map'!$E$2:$E$675,"Nationwide")</f>
        <v/>
      </c>
      <c r="V620" s="36">
        <f>COUNTIFS('Page-Keyword Map'!$A$2:$A$675,B620,'Page-Keyword Map'!$E$2:$E$675,"Provincial")</f>
        <v/>
      </c>
      <c r="W620" s="36">
        <f>COUNTIFS('Page-Keyword Map'!$A$2:$A$675,B620,'Page-Keyword Map'!$E$2:$E$675,"City")</f>
        <v/>
      </c>
      <c r="X620" s="36">
        <f>IF(O620="","",IF(ISNUMBER(SEARCH(O620,J620)),"Yes","No"))</f>
        <v/>
      </c>
      <c r="Y620" s="36" t="n">
        <v>0.5</v>
      </c>
      <c r="Z620" s="36" t="inlineStr">
        <is>
          <t>(not listed: noindex)</t>
        </is>
      </c>
      <c r="AA620" s="36" t="inlineStr">
        <is>
          <t>Live – noindex (enrich before indexing)</t>
        </is>
      </c>
      <c r="AB620" s="38" t="n"/>
      <c r="AC620" s="38" t="n"/>
    </row>
    <row r="621" ht="23.85" customHeight="1" s="22">
      <c r="A621" s="36" t="inlineStr">
        <is>
          <t>P0620</t>
        </is>
      </c>
      <c r="B621" s="36" t="inlineStr">
        <is>
          <t>https://instasure.ca/super-visa-insurance/british-columbia/kelowna/</t>
        </is>
      </c>
      <c r="C621" s="36" t="inlineStr">
        <is>
          <t>Product × city</t>
        </is>
      </c>
      <c r="D621" s="36" t="inlineStr">
        <is>
          <t>Super Visa &amp; visitors insurance</t>
        </is>
      </c>
      <c r="E621" s="36" t="inlineStr">
        <is>
          <t>Super Visa Insurance</t>
        </is>
      </c>
      <c r="F621" s="36" t="n"/>
      <c r="G621" s="36" t="inlineStr">
        <is>
          <t>British Columbia</t>
        </is>
      </c>
      <c r="H621" s="36" t="inlineStr">
        <is>
          <t>Kelowna</t>
        </is>
      </c>
      <c r="I621" s="36" t="inlineStr">
        <is>
          <t>Yes</t>
        </is>
      </c>
      <c r="J621" s="25" t="inlineStr">
        <is>
          <t>Super Visa Insurance Kelowna, BC: Compare Quotes &amp; Costs (2026)</t>
        </is>
      </c>
      <c r="K621" s="36">
        <f>LEN(J621)</f>
        <v/>
      </c>
      <c r="L621" s="25" t="inlineStr">
        <is>
          <t>Compare super visa insurance in Kelowna, BC: instant estimate ($119–$184/mo example), example prices by visitor age and advisors licensed in British Columbia.</t>
        </is>
      </c>
      <c r="M621" s="36">
        <f>LEN(L621)</f>
        <v/>
      </c>
      <c r="N621" s="25" t="inlineStr">
        <is>
          <t>Super Visa Insurance in Kelowna, BC</t>
        </is>
      </c>
      <c r="O621" s="36" t="n"/>
      <c r="P621" s="37" t="n"/>
      <c r="Q621" s="36" t="n"/>
      <c r="R621" s="36" t="inlineStr">
        <is>
          <t>super visa insurance kelowna</t>
        </is>
      </c>
      <c r="S621" s="36">
        <f>COUNTIF('Page-Keyword Map'!$A$2:$A$675,B621)</f>
        <v/>
      </c>
      <c r="T621" s="37">
        <f>SUMIF('Page-Keyword Map'!$A$2:$A$675,B621,'Page-Keyword Map'!$H$2:$H$675)</f>
        <v/>
      </c>
      <c r="U621" s="36">
        <f>COUNTIFS('Page-Keyword Map'!$A$2:$A$675,B621,'Page-Keyword Map'!$E$2:$E$675,"Nationwide")</f>
        <v/>
      </c>
      <c r="V621" s="36">
        <f>COUNTIFS('Page-Keyword Map'!$A$2:$A$675,B621,'Page-Keyword Map'!$E$2:$E$675,"Provincial")</f>
        <v/>
      </c>
      <c r="W621" s="36">
        <f>COUNTIFS('Page-Keyword Map'!$A$2:$A$675,B621,'Page-Keyword Map'!$E$2:$E$675,"City")</f>
        <v/>
      </c>
      <c r="X621" s="36">
        <f>IF(O621="","",IF(ISNUMBER(SEARCH(O621,J621)),"Yes","No"))</f>
        <v/>
      </c>
      <c r="Y621" s="36" t="n">
        <v>0.7</v>
      </c>
      <c r="Z621" s="36" t="inlineStr">
        <is>
          <t>sitemap-cities.xml</t>
        </is>
      </c>
      <c r="AA621" s="36" t="inlineStr">
        <is>
          <t>Live – indexable</t>
        </is>
      </c>
      <c r="AB621" s="38" t="n"/>
      <c r="AC621" s="38" t="n"/>
    </row>
    <row r="622" ht="23.85" customHeight="1" s="22">
      <c r="A622" s="36" t="inlineStr">
        <is>
          <t>P0621</t>
        </is>
      </c>
      <c r="B622" s="36" t="inlineStr">
        <is>
          <t>https://instasure.ca/super-visa-insurance/british-columbia/langley/</t>
        </is>
      </c>
      <c r="C622" s="36" t="inlineStr">
        <is>
          <t>Product × city</t>
        </is>
      </c>
      <c r="D622" s="36" t="inlineStr">
        <is>
          <t>Super Visa &amp; visitors insurance</t>
        </is>
      </c>
      <c r="E622" s="36" t="inlineStr">
        <is>
          <t>Super Visa Insurance</t>
        </is>
      </c>
      <c r="F622" s="36" t="n"/>
      <c r="G622" s="36" t="inlineStr">
        <is>
          <t>British Columbia</t>
        </is>
      </c>
      <c r="H622" s="36" t="inlineStr">
        <is>
          <t>Langley</t>
        </is>
      </c>
      <c r="I622" s="36" t="inlineStr">
        <is>
          <t>No</t>
        </is>
      </c>
      <c r="J622" s="25" t="inlineStr">
        <is>
          <t>Super Visa Insurance Langley, BC: Compare Quotes &amp; Costs (2026)</t>
        </is>
      </c>
      <c r="K622" s="36">
        <f>LEN(J622)</f>
        <v/>
      </c>
      <c r="L622" s="25" t="inlineStr">
        <is>
          <t>Compare super visa insurance in Langley, BC: instant estimate ($119–$184/mo example), example prices by visitor age and advisors licensed in British Columbia.</t>
        </is>
      </c>
      <c r="M622" s="36">
        <f>LEN(L622)</f>
        <v/>
      </c>
      <c r="N622" s="25" t="inlineStr">
        <is>
          <t>Super Visa Insurance in Langley, BC</t>
        </is>
      </c>
      <c r="O622" s="36" t="n"/>
      <c r="P622" s="37" t="n"/>
      <c r="Q622" s="36" t="n"/>
      <c r="R622" s="36" t="inlineStr">
        <is>
          <t>super visa insurance langley</t>
        </is>
      </c>
      <c r="S622" s="36">
        <f>COUNTIF('Page-Keyword Map'!$A$2:$A$675,B622)</f>
        <v/>
      </c>
      <c r="T622" s="37">
        <f>SUMIF('Page-Keyword Map'!$A$2:$A$675,B622,'Page-Keyword Map'!$H$2:$H$675)</f>
        <v/>
      </c>
      <c r="U622" s="36">
        <f>COUNTIFS('Page-Keyword Map'!$A$2:$A$675,B622,'Page-Keyword Map'!$E$2:$E$675,"Nationwide")</f>
        <v/>
      </c>
      <c r="V622" s="36">
        <f>COUNTIFS('Page-Keyword Map'!$A$2:$A$675,B622,'Page-Keyword Map'!$E$2:$E$675,"Provincial")</f>
        <v/>
      </c>
      <c r="W622" s="36">
        <f>COUNTIFS('Page-Keyword Map'!$A$2:$A$675,B622,'Page-Keyword Map'!$E$2:$E$675,"City")</f>
        <v/>
      </c>
      <c r="X622" s="36">
        <f>IF(O622="","",IF(ISNUMBER(SEARCH(O622,J622)),"Yes","No"))</f>
        <v/>
      </c>
      <c r="Y622" s="36" t="n">
        <v>0.5</v>
      </c>
      <c r="Z622" s="36" t="inlineStr">
        <is>
          <t>(not listed: noindex)</t>
        </is>
      </c>
      <c r="AA622" s="36" t="inlineStr">
        <is>
          <t>Live – noindex (enrich before indexing)</t>
        </is>
      </c>
      <c r="AB622" s="38" t="n"/>
      <c r="AC622" s="38" t="n"/>
    </row>
    <row r="623" ht="23.85" customHeight="1" s="22">
      <c r="A623" s="36" t="inlineStr">
        <is>
          <t>P0622</t>
        </is>
      </c>
      <c r="B623" s="36" t="inlineStr">
        <is>
          <t>https://instasure.ca/super-visa-insurance/british-columbia/richmond/</t>
        </is>
      </c>
      <c r="C623" s="36" t="inlineStr">
        <is>
          <t>Product × city</t>
        </is>
      </c>
      <c r="D623" s="36" t="inlineStr">
        <is>
          <t>Super Visa &amp; visitors insurance</t>
        </is>
      </c>
      <c r="E623" s="36" t="inlineStr">
        <is>
          <t>Super Visa Insurance</t>
        </is>
      </c>
      <c r="F623" s="36" t="n"/>
      <c r="G623" s="36" t="inlineStr">
        <is>
          <t>British Columbia</t>
        </is>
      </c>
      <c r="H623" s="36" t="inlineStr">
        <is>
          <t>Richmond</t>
        </is>
      </c>
      <c r="I623" s="36" t="inlineStr">
        <is>
          <t>No</t>
        </is>
      </c>
      <c r="J623" s="25" t="inlineStr">
        <is>
          <t>Super Visa Insurance Richmond, BC: Compare Quotes &amp; Costs (2026)</t>
        </is>
      </c>
      <c r="K623" s="36">
        <f>LEN(J623)</f>
        <v/>
      </c>
      <c r="L623" s="25" t="inlineStr">
        <is>
          <t>Compare super visa insurance in Richmond, BC: instant estimate ($119–$184/mo example), example prices by visitor age and advisors licensed in British Columbia.</t>
        </is>
      </c>
      <c r="M623" s="36">
        <f>LEN(L623)</f>
        <v/>
      </c>
      <c r="N623" s="25" t="inlineStr">
        <is>
          <t>Super Visa Insurance in Richmond, BC</t>
        </is>
      </c>
      <c r="O623" s="36" t="inlineStr">
        <is>
          <t>super visa insurance richmond bc</t>
        </is>
      </c>
      <c r="P623" s="37" t="n">
        <v>60</v>
      </c>
      <c r="Q623" s="36" t="inlineStr">
        <is>
          <t>City</t>
        </is>
      </c>
      <c r="R623" s="36" t="n"/>
      <c r="S623" s="36">
        <f>COUNTIF('Page-Keyword Map'!$A$2:$A$675,B623)</f>
        <v/>
      </c>
      <c r="T623" s="37">
        <f>SUMIF('Page-Keyword Map'!$A$2:$A$675,B623,'Page-Keyword Map'!$H$2:$H$675)</f>
        <v/>
      </c>
      <c r="U623" s="36">
        <f>COUNTIFS('Page-Keyword Map'!$A$2:$A$675,B623,'Page-Keyword Map'!$E$2:$E$675,"Nationwide")</f>
        <v/>
      </c>
      <c r="V623" s="36">
        <f>COUNTIFS('Page-Keyword Map'!$A$2:$A$675,B623,'Page-Keyword Map'!$E$2:$E$675,"Provincial")</f>
        <v/>
      </c>
      <c r="W623" s="36">
        <f>COUNTIFS('Page-Keyword Map'!$A$2:$A$675,B623,'Page-Keyword Map'!$E$2:$E$675,"City")</f>
        <v/>
      </c>
      <c r="X623" s="36">
        <f>IF(O623="","",IF(ISNUMBER(SEARCH(O623,J623)),"Yes","No"))</f>
        <v/>
      </c>
      <c r="Y623" s="36" t="n">
        <v>0.5</v>
      </c>
      <c r="Z623" s="36" t="inlineStr">
        <is>
          <t>(not listed: noindex)</t>
        </is>
      </c>
      <c r="AA623" s="36" t="inlineStr">
        <is>
          <t>Live – noindex (enrich before indexing)</t>
        </is>
      </c>
      <c r="AB623" s="38" t="n"/>
      <c r="AC623" s="38" t="n"/>
    </row>
    <row r="624" ht="23.85" customHeight="1" s="22">
      <c r="A624" s="36" t="inlineStr">
        <is>
          <t>P0623</t>
        </is>
      </c>
      <c r="B624" s="36" t="inlineStr">
        <is>
          <t>https://instasure.ca/super-visa-insurance/british-columbia/surrey/</t>
        </is>
      </c>
      <c r="C624" s="36" t="inlineStr">
        <is>
          <t>Product × city</t>
        </is>
      </c>
      <c r="D624" s="36" t="inlineStr">
        <is>
          <t>Super Visa &amp; visitors insurance</t>
        </is>
      </c>
      <c r="E624" s="36" t="inlineStr">
        <is>
          <t>Super Visa Insurance</t>
        </is>
      </c>
      <c r="F624" s="36" t="n"/>
      <c r="G624" s="36" t="inlineStr">
        <is>
          <t>British Columbia</t>
        </is>
      </c>
      <c r="H624" s="36" t="inlineStr">
        <is>
          <t>Surrey</t>
        </is>
      </c>
      <c r="I624" s="36" t="inlineStr">
        <is>
          <t>Yes</t>
        </is>
      </c>
      <c r="J624" s="25" t="inlineStr">
        <is>
          <t>Super Visa Insurance Surrey, BC: Compare Quotes &amp; Costs (2026)</t>
        </is>
      </c>
      <c r="K624" s="36">
        <f>LEN(J624)</f>
        <v/>
      </c>
      <c r="L624" s="25" t="inlineStr">
        <is>
          <t>Compare super visa insurance in Surrey, BC: instant estimate ($119–$184/mo example), example prices by visitor age and advisors licensed in British Columbia.</t>
        </is>
      </c>
      <c r="M624" s="36">
        <f>LEN(L624)</f>
        <v/>
      </c>
      <c r="N624" s="25" t="inlineStr">
        <is>
          <t>Super Visa Insurance in Surrey, BC</t>
        </is>
      </c>
      <c r="O624" s="36" t="inlineStr">
        <is>
          <t>super visa insurance surrey</t>
        </is>
      </c>
      <c r="P624" s="37" t="n">
        <v>270</v>
      </c>
      <c r="Q624" s="36" t="inlineStr">
        <is>
          <t>City</t>
        </is>
      </c>
      <c r="R624" s="36" t="n"/>
      <c r="S624" s="36">
        <f>COUNTIF('Page-Keyword Map'!$A$2:$A$675,B624)</f>
        <v/>
      </c>
      <c r="T624" s="37">
        <f>SUMIF('Page-Keyword Map'!$A$2:$A$675,B624,'Page-Keyword Map'!$H$2:$H$675)</f>
        <v/>
      </c>
      <c r="U624" s="36">
        <f>COUNTIFS('Page-Keyword Map'!$A$2:$A$675,B624,'Page-Keyword Map'!$E$2:$E$675,"Nationwide")</f>
        <v/>
      </c>
      <c r="V624" s="36">
        <f>COUNTIFS('Page-Keyword Map'!$A$2:$A$675,B624,'Page-Keyword Map'!$E$2:$E$675,"Provincial")</f>
        <v/>
      </c>
      <c r="W624" s="36">
        <f>COUNTIFS('Page-Keyword Map'!$A$2:$A$675,B624,'Page-Keyword Map'!$E$2:$E$675,"City")</f>
        <v/>
      </c>
      <c r="X624" s="36">
        <f>IF(O624="","",IF(ISNUMBER(SEARCH(O624,J624)),"Yes","No"))</f>
        <v/>
      </c>
      <c r="Y624" s="36" t="n">
        <v>0.7</v>
      </c>
      <c r="Z624" s="36" t="inlineStr">
        <is>
          <t>sitemap-cities.xml</t>
        </is>
      </c>
      <c r="AA624" s="36" t="inlineStr">
        <is>
          <t>Live – indexable</t>
        </is>
      </c>
      <c r="AB624" s="38" t="n"/>
      <c r="AC624" s="38" t="n"/>
    </row>
    <row r="625" ht="23.85" customHeight="1" s="22">
      <c r="A625" s="36" t="inlineStr">
        <is>
          <t>P0624</t>
        </is>
      </c>
      <c r="B625" s="36" t="inlineStr">
        <is>
          <t>https://instasure.ca/super-visa-insurance/british-columbia/vancouver/</t>
        </is>
      </c>
      <c r="C625" s="36" t="inlineStr">
        <is>
          <t>Product × city</t>
        </is>
      </c>
      <c r="D625" s="36" t="inlineStr">
        <is>
          <t>Super Visa &amp; visitors insurance</t>
        </is>
      </c>
      <c r="E625" s="36" t="inlineStr">
        <is>
          <t>Super Visa Insurance</t>
        </is>
      </c>
      <c r="F625" s="36" t="n"/>
      <c r="G625" s="36" t="inlineStr">
        <is>
          <t>British Columbia</t>
        </is>
      </c>
      <c r="H625" s="36" t="inlineStr">
        <is>
          <t>Vancouver</t>
        </is>
      </c>
      <c r="I625" s="36" t="inlineStr">
        <is>
          <t>Yes</t>
        </is>
      </c>
      <c r="J625" s="25" t="inlineStr">
        <is>
          <t>Super Visa Insurance Vancouver, BC: Compare Quotes &amp; Costs (2026)</t>
        </is>
      </c>
      <c r="K625" s="36">
        <f>LEN(J625)</f>
        <v/>
      </c>
      <c r="L625" s="25" t="inlineStr">
        <is>
          <t>Compare super visa insurance in Vancouver, BC: instant estimate ($119–$184/mo example), example prices by visitor age and advisors licensed in British Columbia.</t>
        </is>
      </c>
      <c r="M625" s="36">
        <f>LEN(L625)</f>
        <v/>
      </c>
      <c r="N625" s="25" t="inlineStr">
        <is>
          <t>Super Visa Insurance in Vancouver, BC</t>
        </is>
      </c>
      <c r="O625" s="36" t="inlineStr">
        <is>
          <t>super visa insurance vancouver</t>
        </is>
      </c>
      <c r="P625" s="37" t="n">
        <v>100</v>
      </c>
      <c r="Q625" s="36" t="inlineStr">
        <is>
          <t>City</t>
        </is>
      </c>
      <c r="R625" s="36" t="n"/>
      <c r="S625" s="36">
        <f>COUNTIF('Page-Keyword Map'!$A$2:$A$675,B625)</f>
        <v/>
      </c>
      <c r="T625" s="37">
        <f>SUMIF('Page-Keyword Map'!$A$2:$A$675,B625,'Page-Keyword Map'!$H$2:$H$675)</f>
        <v/>
      </c>
      <c r="U625" s="36">
        <f>COUNTIFS('Page-Keyword Map'!$A$2:$A$675,B625,'Page-Keyword Map'!$E$2:$E$675,"Nationwide")</f>
        <v/>
      </c>
      <c r="V625" s="36">
        <f>COUNTIFS('Page-Keyword Map'!$A$2:$A$675,B625,'Page-Keyword Map'!$E$2:$E$675,"Provincial")</f>
        <v/>
      </c>
      <c r="W625" s="36">
        <f>COUNTIFS('Page-Keyword Map'!$A$2:$A$675,B625,'Page-Keyword Map'!$E$2:$E$675,"City")</f>
        <v/>
      </c>
      <c r="X625" s="36">
        <f>IF(O625="","",IF(ISNUMBER(SEARCH(O625,J625)),"Yes","No"))</f>
        <v/>
      </c>
      <c r="Y625" s="36" t="n">
        <v>0.7</v>
      </c>
      <c r="Z625" s="36" t="inlineStr">
        <is>
          <t>sitemap-cities.xml</t>
        </is>
      </c>
      <c r="AA625" s="36" t="inlineStr">
        <is>
          <t>Live – indexable</t>
        </is>
      </c>
      <c r="AB625" s="38" t="n"/>
      <c r="AC625" s="38" t="n"/>
    </row>
    <row r="626" ht="23.85" customHeight="1" s="22">
      <c r="A626" s="36" t="inlineStr">
        <is>
          <t>P0625</t>
        </is>
      </c>
      <c r="B626" s="36" t="inlineStr">
        <is>
          <t>https://instasure.ca/super-visa-insurance/british-columbia/victoria/</t>
        </is>
      </c>
      <c r="C626" s="36" t="inlineStr">
        <is>
          <t>Product × city</t>
        </is>
      </c>
      <c r="D626" s="36" t="inlineStr">
        <is>
          <t>Super Visa &amp; visitors insurance</t>
        </is>
      </c>
      <c r="E626" s="36" t="inlineStr">
        <is>
          <t>Super Visa Insurance</t>
        </is>
      </c>
      <c r="F626" s="36" t="n"/>
      <c r="G626" s="36" t="inlineStr">
        <is>
          <t>British Columbia</t>
        </is>
      </c>
      <c r="H626" s="36" t="inlineStr">
        <is>
          <t>Victoria</t>
        </is>
      </c>
      <c r="I626" s="36" t="inlineStr">
        <is>
          <t>Yes</t>
        </is>
      </c>
      <c r="J626" s="25" t="inlineStr">
        <is>
          <t>Super Visa Insurance Victoria, BC: Compare Quotes &amp; Costs (2026)</t>
        </is>
      </c>
      <c r="K626" s="36">
        <f>LEN(J626)</f>
        <v/>
      </c>
      <c r="L626" s="25" t="inlineStr">
        <is>
          <t>Compare super visa insurance in Victoria, BC: instant estimate ($119–$184/mo example), example prices by visitor age and advisors licensed in British Columbia.</t>
        </is>
      </c>
      <c r="M626" s="36">
        <f>LEN(L626)</f>
        <v/>
      </c>
      <c r="N626" s="25" t="inlineStr">
        <is>
          <t>Super Visa Insurance in Victoria, BC</t>
        </is>
      </c>
      <c r="O626" s="36" t="n"/>
      <c r="P626" s="37" t="n"/>
      <c r="Q626" s="36" t="n"/>
      <c r="R626" s="36" t="inlineStr">
        <is>
          <t>super visa insurance victoria</t>
        </is>
      </c>
      <c r="S626" s="36">
        <f>COUNTIF('Page-Keyword Map'!$A$2:$A$675,B626)</f>
        <v/>
      </c>
      <c r="T626" s="37">
        <f>SUMIF('Page-Keyword Map'!$A$2:$A$675,B626,'Page-Keyword Map'!$H$2:$H$675)</f>
        <v/>
      </c>
      <c r="U626" s="36">
        <f>COUNTIFS('Page-Keyword Map'!$A$2:$A$675,B626,'Page-Keyword Map'!$E$2:$E$675,"Nationwide")</f>
        <v/>
      </c>
      <c r="V626" s="36">
        <f>COUNTIFS('Page-Keyword Map'!$A$2:$A$675,B626,'Page-Keyword Map'!$E$2:$E$675,"Provincial")</f>
        <v/>
      </c>
      <c r="W626" s="36">
        <f>COUNTIFS('Page-Keyword Map'!$A$2:$A$675,B626,'Page-Keyword Map'!$E$2:$E$675,"City")</f>
        <v/>
      </c>
      <c r="X626" s="36">
        <f>IF(O626="","",IF(ISNUMBER(SEARCH(O626,J626)),"Yes","No"))</f>
        <v/>
      </c>
      <c r="Y626" s="36" t="n">
        <v>0.7</v>
      </c>
      <c r="Z626" s="36" t="inlineStr">
        <is>
          <t>sitemap-cities.xml</t>
        </is>
      </c>
      <c r="AA626" s="36" t="inlineStr">
        <is>
          <t>Live – indexable</t>
        </is>
      </c>
      <c r="AB626" s="38" t="n"/>
      <c r="AC626" s="38" t="n"/>
    </row>
    <row r="627" ht="23.85" customHeight="1" s="22">
      <c r="A627" s="36" t="inlineStr">
        <is>
          <t>P0626</t>
        </is>
      </c>
      <c r="B627" s="36" t="inlineStr">
        <is>
          <t>https://instasure.ca/super-visa-insurance/manitoba/brandon/</t>
        </is>
      </c>
      <c r="C627" s="36" t="inlineStr">
        <is>
          <t>Product × city</t>
        </is>
      </c>
      <c r="D627" s="36" t="inlineStr">
        <is>
          <t>Super Visa &amp; visitors insurance</t>
        </is>
      </c>
      <c r="E627" s="36" t="inlineStr">
        <is>
          <t>Super Visa Insurance</t>
        </is>
      </c>
      <c r="F627" s="36" t="n"/>
      <c r="G627" s="36" t="inlineStr">
        <is>
          <t>Manitoba</t>
        </is>
      </c>
      <c r="H627" s="36" t="inlineStr">
        <is>
          <t>Brandon</t>
        </is>
      </c>
      <c r="I627" s="36" t="inlineStr">
        <is>
          <t>No</t>
        </is>
      </c>
      <c r="J627" s="25" t="inlineStr">
        <is>
          <t>Super Visa Insurance Brandon, MB: Compare Quotes &amp; Costs (2026)</t>
        </is>
      </c>
      <c r="K627" s="36">
        <f>LEN(J627)</f>
        <v/>
      </c>
      <c r="L627" s="25" t="inlineStr">
        <is>
          <t>Compare super visa insurance in Brandon, MB: instant estimate ($119–$184/mo example), example prices by visitor age and advisors licensed in Manitoba.</t>
        </is>
      </c>
      <c r="M627" s="36">
        <f>LEN(L627)</f>
        <v/>
      </c>
      <c r="N627" s="25" t="inlineStr">
        <is>
          <t>Super Visa Insurance in Brandon, MB</t>
        </is>
      </c>
      <c r="O627" s="36" t="n"/>
      <c r="P627" s="37" t="n"/>
      <c r="Q627" s="36" t="n"/>
      <c r="R627" s="36" t="inlineStr">
        <is>
          <t>super visa insurance brandon</t>
        </is>
      </c>
      <c r="S627" s="36">
        <f>COUNTIF('Page-Keyword Map'!$A$2:$A$675,B627)</f>
        <v/>
      </c>
      <c r="T627" s="37">
        <f>SUMIF('Page-Keyword Map'!$A$2:$A$675,B627,'Page-Keyword Map'!$H$2:$H$675)</f>
        <v/>
      </c>
      <c r="U627" s="36">
        <f>COUNTIFS('Page-Keyword Map'!$A$2:$A$675,B627,'Page-Keyword Map'!$E$2:$E$675,"Nationwide")</f>
        <v/>
      </c>
      <c r="V627" s="36">
        <f>COUNTIFS('Page-Keyword Map'!$A$2:$A$675,B627,'Page-Keyword Map'!$E$2:$E$675,"Provincial")</f>
        <v/>
      </c>
      <c r="W627" s="36">
        <f>COUNTIFS('Page-Keyword Map'!$A$2:$A$675,B627,'Page-Keyword Map'!$E$2:$E$675,"City")</f>
        <v/>
      </c>
      <c r="X627" s="36">
        <f>IF(O627="","",IF(ISNUMBER(SEARCH(O627,J627)),"Yes","No"))</f>
        <v/>
      </c>
      <c r="Y627" s="36" t="n">
        <v>0.5</v>
      </c>
      <c r="Z627" s="36" t="inlineStr">
        <is>
          <t>(not listed: noindex)</t>
        </is>
      </c>
      <c r="AA627" s="36" t="inlineStr">
        <is>
          <t>Live – noindex (enrich before indexing)</t>
        </is>
      </c>
      <c r="AB627" s="38" t="n"/>
      <c r="AC627" s="38" t="n"/>
    </row>
    <row r="628" ht="23.85" customHeight="1" s="22">
      <c r="A628" s="36" t="inlineStr">
        <is>
          <t>P0627</t>
        </is>
      </c>
      <c r="B628" s="36" t="inlineStr">
        <is>
          <t>https://instasure.ca/super-visa-insurance/manitoba/winnipeg/</t>
        </is>
      </c>
      <c r="C628" s="36" t="inlineStr">
        <is>
          <t>Product × city</t>
        </is>
      </c>
      <c r="D628" s="36" t="inlineStr">
        <is>
          <t>Super Visa &amp; visitors insurance</t>
        </is>
      </c>
      <c r="E628" s="36" t="inlineStr">
        <is>
          <t>Super Visa Insurance</t>
        </is>
      </c>
      <c r="F628" s="36" t="n"/>
      <c r="G628" s="36" t="inlineStr">
        <is>
          <t>Manitoba</t>
        </is>
      </c>
      <c r="H628" s="36" t="inlineStr">
        <is>
          <t>Winnipeg</t>
        </is>
      </c>
      <c r="I628" s="36" t="inlineStr">
        <is>
          <t>Yes</t>
        </is>
      </c>
      <c r="J628" s="25" t="inlineStr">
        <is>
          <t>Super Visa Insurance Winnipeg, MB: Compare Quotes &amp; Costs (2026)</t>
        </is>
      </c>
      <c r="K628" s="36">
        <f>LEN(J628)</f>
        <v/>
      </c>
      <c r="L628" s="25" t="inlineStr">
        <is>
          <t>Compare super visa insurance in Winnipeg, MB: instant estimate ($119–$184/mo example), example prices by visitor age and advisors licensed in Manitoba.</t>
        </is>
      </c>
      <c r="M628" s="36">
        <f>LEN(L628)</f>
        <v/>
      </c>
      <c r="N628" s="25" t="inlineStr">
        <is>
          <t>Super Visa Insurance in Winnipeg, MB</t>
        </is>
      </c>
      <c r="O628" s="36" t="inlineStr">
        <is>
          <t>super visa insurance winnipeg</t>
        </is>
      </c>
      <c r="P628" s="37" t="n">
        <v>170</v>
      </c>
      <c r="Q628" s="36" t="inlineStr">
        <is>
          <t>City</t>
        </is>
      </c>
      <c r="R628" s="36" t="n"/>
      <c r="S628" s="36">
        <f>COUNTIF('Page-Keyword Map'!$A$2:$A$675,B628)</f>
        <v/>
      </c>
      <c r="T628" s="37">
        <f>SUMIF('Page-Keyword Map'!$A$2:$A$675,B628,'Page-Keyword Map'!$H$2:$H$675)</f>
        <v/>
      </c>
      <c r="U628" s="36">
        <f>COUNTIFS('Page-Keyword Map'!$A$2:$A$675,B628,'Page-Keyword Map'!$E$2:$E$675,"Nationwide")</f>
        <v/>
      </c>
      <c r="V628" s="36">
        <f>COUNTIFS('Page-Keyword Map'!$A$2:$A$675,B628,'Page-Keyword Map'!$E$2:$E$675,"Provincial")</f>
        <v/>
      </c>
      <c r="W628" s="36">
        <f>COUNTIFS('Page-Keyword Map'!$A$2:$A$675,B628,'Page-Keyword Map'!$E$2:$E$675,"City")</f>
        <v/>
      </c>
      <c r="X628" s="36">
        <f>IF(O628="","",IF(ISNUMBER(SEARCH(O628,J628)),"Yes","No"))</f>
        <v/>
      </c>
      <c r="Y628" s="36" t="n">
        <v>0.7</v>
      </c>
      <c r="Z628" s="36" t="inlineStr">
        <is>
          <t>sitemap-cities.xml</t>
        </is>
      </c>
      <c r="AA628" s="36" t="inlineStr">
        <is>
          <t>Live – indexable</t>
        </is>
      </c>
      <c r="AB628" s="38" t="n"/>
      <c r="AC628" s="38" t="n"/>
    </row>
    <row r="629" ht="23.85" customHeight="1" s="22">
      <c r="A629" s="36" t="inlineStr">
        <is>
          <t>P0628</t>
        </is>
      </c>
      <c r="B629" s="36" t="inlineStr">
        <is>
          <t>https://instasure.ca/super-visa-insurance/new-brunswick/fredericton/</t>
        </is>
      </c>
      <c r="C629" s="36" t="inlineStr">
        <is>
          <t>Product × city</t>
        </is>
      </c>
      <c r="D629" s="36" t="inlineStr">
        <is>
          <t>Super Visa &amp; visitors insurance</t>
        </is>
      </c>
      <c r="E629" s="36" t="inlineStr">
        <is>
          <t>Super Visa Insurance</t>
        </is>
      </c>
      <c r="F629" s="36" t="n"/>
      <c r="G629" s="36" t="inlineStr">
        <is>
          <t>New Brunswick</t>
        </is>
      </c>
      <c r="H629" s="36" t="inlineStr">
        <is>
          <t>Fredericton</t>
        </is>
      </c>
      <c r="I629" s="36" t="inlineStr">
        <is>
          <t>No</t>
        </is>
      </c>
      <c r="J629" s="25" t="inlineStr">
        <is>
          <t>Super Visa Insurance Fredericton, NB: Compare Quotes &amp; Costs (2026)</t>
        </is>
      </c>
      <c r="K629" s="36">
        <f>LEN(J629)</f>
        <v/>
      </c>
      <c r="L629" s="25" t="inlineStr">
        <is>
          <t>Compare super visa insurance in Fredericton, NB: instant estimate ($119–$184/mo example), example prices by visitor age and advisors licensed in New Brunswick.</t>
        </is>
      </c>
      <c r="M629" s="36">
        <f>LEN(L629)</f>
        <v/>
      </c>
      <c r="N629" s="25" t="inlineStr">
        <is>
          <t>Super Visa Insurance in Fredericton, NB</t>
        </is>
      </c>
      <c r="O629" s="36" t="n"/>
      <c r="P629" s="37" t="n"/>
      <c r="Q629" s="36" t="n"/>
      <c r="R629" s="36" t="inlineStr">
        <is>
          <t>super visa insurance fredericton</t>
        </is>
      </c>
      <c r="S629" s="36">
        <f>COUNTIF('Page-Keyword Map'!$A$2:$A$675,B629)</f>
        <v/>
      </c>
      <c r="T629" s="37">
        <f>SUMIF('Page-Keyword Map'!$A$2:$A$675,B629,'Page-Keyword Map'!$H$2:$H$675)</f>
        <v/>
      </c>
      <c r="U629" s="36">
        <f>COUNTIFS('Page-Keyword Map'!$A$2:$A$675,B629,'Page-Keyword Map'!$E$2:$E$675,"Nationwide")</f>
        <v/>
      </c>
      <c r="V629" s="36">
        <f>COUNTIFS('Page-Keyword Map'!$A$2:$A$675,B629,'Page-Keyword Map'!$E$2:$E$675,"Provincial")</f>
        <v/>
      </c>
      <c r="W629" s="36">
        <f>COUNTIFS('Page-Keyword Map'!$A$2:$A$675,B629,'Page-Keyword Map'!$E$2:$E$675,"City")</f>
        <v/>
      </c>
      <c r="X629" s="36">
        <f>IF(O629="","",IF(ISNUMBER(SEARCH(O629,J629)),"Yes","No"))</f>
        <v/>
      </c>
      <c r="Y629" s="36" t="n">
        <v>0.5</v>
      </c>
      <c r="Z629" s="36" t="inlineStr">
        <is>
          <t>(not listed: noindex)</t>
        </is>
      </c>
      <c r="AA629" s="36" t="inlineStr">
        <is>
          <t>Live – noindex (enrich before indexing)</t>
        </is>
      </c>
      <c r="AB629" s="38" t="n"/>
      <c r="AC629" s="38" t="n"/>
    </row>
    <row r="630" ht="23.85" customHeight="1" s="22">
      <c r="A630" s="36" t="inlineStr">
        <is>
          <t>P0629</t>
        </is>
      </c>
      <c r="B630" s="36" t="inlineStr">
        <is>
          <t>https://instasure.ca/super-visa-insurance/new-brunswick/moncton/</t>
        </is>
      </c>
      <c r="C630" s="36" t="inlineStr">
        <is>
          <t>Product × city</t>
        </is>
      </c>
      <c r="D630" s="36" t="inlineStr">
        <is>
          <t>Super Visa &amp; visitors insurance</t>
        </is>
      </c>
      <c r="E630" s="36" t="inlineStr">
        <is>
          <t>Super Visa Insurance</t>
        </is>
      </c>
      <c r="F630" s="36" t="n"/>
      <c r="G630" s="36" t="inlineStr">
        <is>
          <t>New Brunswick</t>
        </is>
      </c>
      <c r="H630" s="36" t="inlineStr">
        <is>
          <t>Moncton</t>
        </is>
      </c>
      <c r="I630" s="36" t="inlineStr">
        <is>
          <t>No</t>
        </is>
      </c>
      <c r="J630" s="25" t="inlineStr">
        <is>
          <t>Super Visa Insurance Moncton, NB: Compare Quotes &amp; Costs (2026)</t>
        </is>
      </c>
      <c r="K630" s="36">
        <f>LEN(J630)</f>
        <v/>
      </c>
      <c r="L630" s="25" t="inlineStr">
        <is>
          <t>Compare super visa insurance in Moncton, NB: instant estimate ($119–$184/mo example), example prices by visitor age and advisors licensed in New Brunswick.</t>
        </is>
      </c>
      <c r="M630" s="36">
        <f>LEN(L630)</f>
        <v/>
      </c>
      <c r="N630" s="25" t="inlineStr">
        <is>
          <t>Super Visa Insurance in Moncton, NB</t>
        </is>
      </c>
      <c r="O630" s="36" t="n"/>
      <c r="P630" s="37" t="n"/>
      <c r="Q630" s="36" t="n"/>
      <c r="R630" s="36" t="inlineStr">
        <is>
          <t>super visa insurance moncton</t>
        </is>
      </c>
      <c r="S630" s="36">
        <f>COUNTIF('Page-Keyword Map'!$A$2:$A$675,B630)</f>
        <v/>
      </c>
      <c r="T630" s="37">
        <f>SUMIF('Page-Keyword Map'!$A$2:$A$675,B630,'Page-Keyword Map'!$H$2:$H$675)</f>
        <v/>
      </c>
      <c r="U630" s="36">
        <f>COUNTIFS('Page-Keyword Map'!$A$2:$A$675,B630,'Page-Keyword Map'!$E$2:$E$675,"Nationwide")</f>
        <v/>
      </c>
      <c r="V630" s="36">
        <f>COUNTIFS('Page-Keyword Map'!$A$2:$A$675,B630,'Page-Keyword Map'!$E$2:$E$675,"Provincial")</f>
        <v/>
      </c>
      <c r="W630" s="36">
        <f>COUNTIFS('Page-Keyword Map'!$A$2:$A$675,B630,'Page-Keyword Map'!$E$2:$E$675,"City")</f>
        <v/>
      </c>
      <c r="X630" s="36">
        <f>IF(O630="","",IF(ISNUMBER(SEARCH(O630,J630)),"Yes","No"))</f>
        <v/>
      </c>
      <c r="Y630" s="36" t="n">
        <v>0.5</v>
      </c>
      <c r="Z630" s="36" t="inlineStr">
        <is>
          <t>(not listed: noindex)</t>
        </is>
      </c>
      <c r="AA630" s="36" t="inlineStr">
        <is>
          <t>Live – noindex (enrich before indexing)</t>
        </is>
      </c>
      <c r="AB630" s="38" t="n"/>
      <c r="AC630" s="38" t="n"/>
    </row>
    <row r="631" ht="23.85" customHeight="1" s="22">
      <c r="A631" s="36" t="inlineStr">
        <is>
          <t>P0630</t>
        </is>
      </c>
      <c r="B631" s="36" t="inlineStr">
        <is>
          <t>https://instasure.ca/super-visa-insurance/new-brunswick/saint-john/</t>
        </is>
      </c>
      <c r="C631" s="36" t="inlineStr">
        <is>
          <t>Product × city</t>
        </is>
      </c>
      <c r="D631" s="36" t="inlineStr">
        <is>
          <t>Super Visa &amp; visitors insurance</t>
        </is>
      </c>
      <c r="E631" s="36" t="inlineStr">
        <is>
          <t>Super Visa Insurance</t>
        </is>
      </c>
      <c r="F631" s="36" t="n"/>
      <c r="G631" s="36" t="inlineStr">
        <is>
          <t>New Brunswick</t>
        </is>
      </c>
      <c r="H631" s="36" t="inlineStr">
        <is>
          <t>Saint John</t>
        </is>
      </c>
      <c r="I631" s="36" t="inlineStr">
        <is>
          <t>No</t>
        </is>
      </c>
      <c r="J631" s="25" t="inlineStr">
        <is>
          <t>Super Visa Insurance Saint John, NB: Compare Quotes &amp; Costs (2026)</t>
        </is>
      </c>
      <c r="K631" s="36">
        <f>LEN(J631)</f>
        <v/>
      </c>
      <c r="L631" s="25" t="inlineStr">
        <is>
          <t>Compare super visa insurance in Saint John, NB: instant estimate ($119–$184/mo example), example prices by visitor age and advisors licensed in New Brunswick.</t>
        </is>
      </c>
      <c r="M631" s="36">
        <f>LEN(L631)</f>
        <v/>
      </c>
      <c r="N631" s="25" t="inlineStr">
        <is>
          <t>Super Visa Insurance in Saint John, NB</t>
        </is>
      </c>
      <c r="O631" s="36" t="n"/>
      <c r="P631" s="37" t="n"/>
      <c r="Q631" s="36" t="n"/>
      <c r="R631" s="36" t="inlineStr">
        <is>
          <t>super visa insurance saint john</t>
        </is>
      </c>
      <c r="S631" s="36">
        <f>COUNTIF('Page-Keyword Map'!$A$2:$A$675,B631)</f>
        <v/>
      </c>
      <c r="T631" s="37">
        <f>SUMIF('Page-Keyword Map'!$A$2:$A$675,B631,'Page-Keyword Map'!$H$2:$H$675)</f>
        <v/>
      </c>
      <c r="U631" s="36">
        <f>COUNTIFS('Page-Keyword Map'!$A$2:$A$675,B631,'Page-Keyword Map'!$E$2:$E$675,"Nationwide")</f>
        <v/>
      </c>
      <c r="V631" s="36">
        <f>COUNTIFS('Page-Keyword Map'!$A$2:$A$675,B631,'Page-Keyword Map'!$E$2:$E$675,"Provincial")</f>
        <v/>
      </c>
      <c r="W631" s="36">
        <f>COUNTIFS('Page-Keyword Map'!$A$2:$A$675,B631,'Page-Keyword Map'!$E$2:$E$675,"City")</f>
        <v/>
      </c>
      <c r="X631" s="36">
        <f>IF(O631="","",IF(ISNUMBER(SEARCH(O631,J631)),"Yes","No"))</f>
        <v/>
      </c>
      <c r="Y631" s="36" t="n">
        <v>0.5</v>
      </c>
      <c r="Z631" s="36" t="inlineStr">
        <is>
          <t>(not listed: noindex)</t>
        </is>
      </c>
      <c r="AA631" s="36" t="inlineStr">
        <is>
          <t>Live – noindex (enrich before indexing)</t>
        </is>
      </c>
      <c r="AB631" s="38" t="n"/>
      <c r="AC631" s="38" t="n"/>
    </row>
    <row r="632" ht="23.85" customHeight="1" s="22">
      <c r="A632" s="36" t="inlineStr">
        <is>
          <t>P0631</t>
        </is>
      </c>
      <c r="B632" s="36" t="inlineStr">
        <is>
          <t>https://instasure.ca/super-visa-insurance/newfoundland-and-labrador/st-johns/</t>
        </is>
      </c>
      <c r="C632" s="36" t="inlineStr">
        <is>
          <t>Product × city</t>
        </is>
      </c>
      <c r="D632" s="36" t="inlineStr">
        <is>
          <t>Super Visa &amp; visitors insurance</t>
        </is>
      </c>
      <c r="E632" s="36" t="inlineStr">
        <is>
          <t>Super Visa Insurance</t>
        </is>
      </c>
      <c r="F632" s="36" t="n"/>
      <c r="G632" s="36" t="inlineStr">
        <is>
          <t>Newfoundland and Labrador</t>
        </is>
      </c>
      <c r="H632" s="36" t="inlineStr">
        <is>
          <t>St. John’s</t>
        </is>
      </c>
      <c r="I632" s="36" t="inlineStr">
        <is>
          <t>Yes</t>
        </is>
      </c>
      <c r="J632" s="25" t="inlineStr">
        <is>
          <t>Super Visa Insurance St. John’s, NL: Compare Quotes &amp; Costs (2026)</t>
        </is>
      </c>
      <c r="K632" s="36">
        <f>LEN(J632)</f>
        <v/>
      </c>
      <c r="L632" s="25" t="inlineStr">
        <is>
          <t>Compare super visa insurance in St. John’s, NL: instant estimate ($119–$184/mo example), example prices by visitor age and advisors licensed in Newfoundland and…</t>
        </is>
      </c>
      <c r="M632" s="36">
        <f>LEN(L632)</f>
        <v/>
      </c>
      <c r="N632" s="25" t="inlineStr">
        <is>
          <t>Super Visa Insurance in St. John’s, NL</t>
        </is>
      </c>
      <c r="O632" s="36" t="n"/>
      <c r="P632" s="37" t="n"/>
      <c r="Q632" s="36" t="n"/>
      <c r="R632" s="36" t="inlineStr">
        <is>
          <t>super visa insurance st. john’s</t>
        </is>
      </c>
      <c r="S632" s="36">
        <f>COUNTIF('Page-Keyword Map'!$A$2:$A$675,B632)</f>
        <v/>
      </c>
      <c r="T632" s="37">
        <f>SUMIF('Page-Keyword Map'!$A$2:$A$675,B632,'Page-Keyword Map'!$H$2:$H$675)</f>
        <v/>
      </c>
      <c r="U632" s="36">
        <f>COUNTIFS('Page-Keyword Map'!$A$2:$A$675,B632,'Page-Keyword Map'!$E$2:$E$675,"Nationwide")</f>
        <v/>
      </c>
      <c r="V632" s="36">
        <f>COUNTIFS('Page-Keyword Map'!$A$2:$A$675,B632,'Page-Keyword Map'!$E$2:$E$675,"Provincial")</f>
        <v/>
      </c>
      <c r="W632" s="36">
        <f>COUNTIFS('Page-Keyword Map'!$A$2:$A$675,B632,'Page-Keyword Map'!$E$2:$E$675,"City")</f>
        <v/>
      </c>
      <c r="X632" s="36">
        <f>IF(O632="","",IF(ISNUMBER(SEARCH(O632,J632)),"Yes","No"))</f>
        <v/>
      </c>
      <c r="Y632" s="36" t="n">
        <v>0.7</v>
      </c>
      <c r="Z632" s="36" t="inlineStr">
        <is>
          <t>sitemap-cities.xml</t>
        </is>
      </c>
      <c r="AA632" s="36" t="inlineStr">
        <is>
          <t>Live – indexable</t>
        </is>
      </c>
      <c r="AB632" s="38" t="n"/>
      <c r="AC632" s="38" t="n"/>
    </row>
    <row r="633" ht="23.85" customHeight="1" s="22">
      <c r="A633" s="36" t="inlineStr">
        <is>
          <t>P0632</t>
        </is>
      </c>
      <c r="B633" s="36" t="inlineStr">
        <is>
          <t>https://instasure.ca/super-visa-insurance/northwest-territories/yellowknife/</t>
        </is>
      </c>
      <c r="C633" s="36" t="inlineStr">
        <is>
          <t>Product × city</t>
        </is>
      </c>
      <c r="D633" s="36" t="inlineStr">
        <is>
          <t>Super Visa &amp; visitors insurance</t>
        </is>
      </c>
      <c r="E633" s="36" t="inlineStr">
        <is>
          <t>Super Visa Insurance</t>
        </is>
      </c>
      <c r="F633" s="36" t="n"/>
      <c r="G633" s="36" t="inlineStr">
        <is>
          <t>Northwest Territories</t>
        </is>
      </c>
      <c r="H633" s="36" t="inlineStr">
        <is>
          <t>Yellowknife</t>
        </is>
      </c>
      <c r="I633" s="36" t="inlineStr">
        <is>
          <t>No</t>
        </is>
      </c>
      <c r="J633" s="25" t="inlineStr">
        <is>
          <t>Super Visa Insurance Yellowknife, NT: Compare Quotes &amp; Costs (2026)</t>
        </is>
      </c>
      <c r="K633" s="36">
        <f>LEN(J633)</f>
        <v/>
      </c>
      <c r="L633" s="25" t="inlineStr">
        <is>
          <t>Compare super visa insurance in Yellowknife, NT: instant estimate ($119–$184/mo example), example prices by visitor age and a waitlist for licensed advice in…</t>
        </is>
      </c>
      <c r="M633" s="36">
        <f>LEN(L633)</f>
        <v/>
      </c>
      <c r="N633" s="25" t="inlineStr">
        <is>
          <t>Super Visa Insurance in Yellowknife, NT</t>
        </is>
      </c>
      <c r="O633" s="36" t="n"/>
      <c r="P633" s="37" t="n"/>
      <c r="Q633" s="36" t="n"/>
      <c r="R633" s="36" t="inlineStr">
        <is>
          <t>super visa insurance yellowknife</t>
        </is>
      </c>
      <c r="S633" s="36">
        <f>COUNTIF('Page-Keyword Map'!$A$2:$A$675,B633)</f>
        <v/>
      </c>
      <c r="T633" s="37">
        <f>SUMIF('Page-Keyword Map'!$A$2:$A$675,B633,'Page-Keyword Map'!$H$2:$H$675)</f>
        <v/>
      </c>
      <c r="U633" s="36">
        <f>COUNTIFS('Page-Keyword Map'!$A$2:$A$675,B633,'Page-Keyword Map'!$E$2:$E$675,"Nationwide")</f>
        <v/>
      </c>
      <c r="V633" s="36">
        <f>COUNTIFS('Page-Keyword Map'!$A$2:$A$675,B633,'Page-Keyword Map'!$E$2:$E$675,"Provincial")</f>
        <v/>
      </c>
      <c r="W633" s="36">
        <f>COUNTIFS('Page-Keyword Map'!$A$2:$A$675,B633,'Page-Keyword Map'!$E$2:$E$675,"City")</f>
        <v/>
      </c>
      <c r="X633" s="36">
        <f>IF(O633="","",IF(ISNUMBER(SEARCH(O633,J633)),"Yes","No"))</f>
        <v/>
      </c>
      <c r="Y633" s="36" t="n">
        <v>0.5</v>
      </c>
      <c r="Z633" s="36" t="inlineStr">
        <is>
          <t>(not listed: noindex)</t>
        </is>
      </c>
      <c r="AA633" s="36" t="inlineStr">
        <is>
          <t>Live – noindex (enrich before indexing)</t>
        </is>
      </c>
      <c r="AB633" s="38" t="n"/>
      <c r="AC633" s="38" t="n"/>
    </row>
    <row r="634" ht="23.85" customHeight="1" s="22">
      <c r="A634" s="36" t="inlineStr">
        <is>
          <t>P0633</t>
        </is>
      </c>
      <c r="B634" s="36" t="inlineStr">
        <is>
          <t>https://instasure.ca/super-visa-insurance/nova-scotia/halifax/</t>
        </is>
      </c>
      <c r="C634" s="36" t="inlineStr">
        <is>
          <t>Product × city</t>
        </is>
      </c>
      <c r="D634" s="36" t="inlineStr">
        <is>
          <t>Super Visa &amp; visitors insurance</t>
        </is>
      </c>
      <c r="E634" s="36" t="inlineStr">
        <is>
          <t>Super Visa Insurance</t>
        </is>
      </c>
      <c r="F634" s="36" t="n"/>
      <c r="G634" s="36" t="inlineStr">
        <is>
          <t>Nova Scotia</t>
        </is>
      </c>
      <c r="H634" s="36" t="inlineStr">
        <is>
          <t>Halifax</t>
        </is>
      </c>
      <c r="I634" s="36" t="inlineStr">
        <is>
          <t>Yes</t>
        </is>
      </c>
      <c r="J634" s="25" t="inlineStr">
        <is>
          <t>Super Visa Insurance Halifax, NS: Compare Quotes &amp; Costs (2026)</t>
        </is>
      </c>
      <c r="K634" s="36">
        <f>LEN(J634)</f>
        <v/>
      </c>
      <c r="L634" s="25" t="inlineStr">
        <is>
          <t>Compare super visa insurance in Halifax, NS: instant estimate ($119–$184/mo example), example prices by visitor age and advisors licensed in Nova Scotia.</t>
        </is>
      </c>
      <c r="M634" s="36">
        <f>LEN(L634)</f>
        <v/>
      </c>
      <c r="N634" s="25" t="inlineStr">
        <is>
          <t>Super Visa Insurance in Halifax, NS</t>
        </is>
      </c>
      <c r="O634" s="36" t="inlineStr">
        <is>
          <t>super visa insurance halifax</t>
        </is>
      </c>
      <c r="P634" s="37" t="n">
        <v>44</v>
      </c>
      <c r="Q634" s="36" t="inlineStr">
        <is>
          <t>City</t>
        </is>
      </c>
      <c r="R634" s="36" t="n"/>
      <c r="S634" s="36">
        <f>COUNTIF('Page-Keyword Map'!$A$2:$A$675,B634)</f>
        <v/>
      </c>
      <c r="T634" s="37">
        <f>SUMIF('Page-Keyword Map'!$A$2:$A$675,B634,'Page-Keyword Map'!$H$2:$H$675)</f>
        <v/>
      </c>
      <c r="U634" s="36">
        <f>COUNTIFS('Page-Keyword Map'!$A$2:$A$675,B634,'Page-Keyword Map'!$E$2:$E$675,"Nationwide")</f>
        <v/>
      </c>
      <c r="V634" s="36">
        <f>COUNTIFS('Page-Keyword Map'!$A$2:$A$675,B634,'Page-Keyword Map'!$E$2:$E$675,"Provincial")</f>
        <v/>
      </c>
      <c r="W634" s="36">
        <f>COUNTIFS('Page-Keyword Map'!$A$2:$A$675,B634,'Page-Keyword Map'!$E$2:$E$675,"City")</f>
        <v/>
      </c>
      <c r="X634" s="36">
        <f>IF(O634="","",IF(ISNUMBER(SEARCH(O634,J634)),"Yes","No"))</f>
        <v/>
      </c>
      <c r="Y634" s="36" t="n">
        <v>0.7</v>
      </c>
      <c r="Z634" s="36" t="inlineStr">
        <is>
          <t>sitemap-cities.xml</t>
        </is>
      </c>
      <c r="AA634" s="36" t="inlineStr">
        <is>
          <t>Live – indexable</t>
        </is>
      </c>
      <c r="AB634" s="38" t="n"/>
      <c r="AC634" s="38" t="n"/>
    </row>
    <row r="635" ht="23.85" customHeight="1" s="22">
      <c r="A635" s="36" t="inlineStr">
        <is>
          <t>P0634</t>
        </is>
      </c>
      <c r="B635" s="36" t="inlineStr">
        <is>
          <t>https://instasure.ca/super-visa-insurance/ontario/ajax/</t>
        </is>
      </c>
      <c r="C635" s="36" t="inlineStr">
        <is>
          <t>Product × city</t>
        </is>
      </c>
      <c r="D635" s="36" t="inlineStr">
        <is>
          <t>Super Visa &amp; visitors insurance</t>
        </is>
      </c>
      <c r="E635" s="36" t="inlineStr">
        <is>
          <t>Super Visa Insurance</t>
        </is>
      </c>
      <c r="F635" s="36" t="n"/>
      <c r="G635" s="36" t="inlineStr">
        <is>
          <t>Ontario</t>
        </is>
      </c>
      <c r="H635" s="36" t="inlineStr">
        <is>
          <t>Ajax</t>
        </is>
      </c>
      <c r="I635" s="36" t="inlineStr">
        <is>
          <t>No</t>
        </is>
      </c>
      <c r="J635" s="25" t="inlineStr">
        <is>
          <t>Super Visa Insurance Ajax, ON: Compare Quotes &amp; Costs (2026)</t>
        </is>
      </c>
      <c r="K635" s="36">
        <f>LEN(J635)</f>
        <v/>
      </c>
      <c r="L635" s="25" t="inlineStr">
        <is>
          <t>Compare super visa insurance in Ajax, ON: instant estimate ($119–$184/mo example), example prices by visitor age and advisors licensed in Ontario.</t>
        </is>
      </c>
      <c r="M635" s="36">
        <f>LEN(L635)</f>
        <v/>
      </c>
      <c r="N635" s="25" t="inlineStr">
        <is>
          <t>Super Visa Insurance in Ajax, ON</t>
        </is>
      </c>
      <c r="O635" s="36" t="n"/>
      <c r="P635" s="37" t="n"/>
      <c r="Q635" s="36" t="n"/>
      <c r="R635" s="36" t="inlineStr">
        <is>
          <t>super visa insurance ajax</t>
        </is>
      </c>
      <c r="S635" s="36">
        <f>COUNTIF('Page-Keyword Map'!$A$2:$A$675,B635)</f>
        <v/>
      </c>
      <c r="T635" s="37">
        <f>SUMIF('Page-Keyword Map'!$A$2:$A$675,B635,'Page-Keyword Map'!$H$2:$H$675)</f>
        <v/>
      </c>
      <c r="U635" s="36">
        <f>COUNTIFS('Page-Keyword Map'!$A$2:$A$675,B635,'Page-Keyword Map'!$E$2:$E$675,"Nationwide")</f>
        <v/>
      </c>
      <c r="V635" s="36">
        <f>COUNTIFS('Page-Keyword Map'!$A$2:$A$675,B635,'Page-Keyword Map'!$E$2:$E$675,"Provincial")</f>
        <v/>
      </c>
      <c r="W635" s="36">
        <f>COUNTIFS('Page-Keyword Map'!$A$2:$A$675,B635,'Page-Keyword Map'!$E$2:$E$675,"City")</f>
        <v/>
      </c>
      <c r="X635" s="36">
        <f>IF(O635="","",IF(ISNUMBER(SEARCH(O635,J635)),"Yes","No"))</f>
        <v/>
      </c>
      <c r="Y635" s="36" t="n">
        <v>0.5</v>
      </c>
      <c r="Z635" s="36" t="inlineStr">
        <is>
          <t>(not listed: noindex)</t>
        </is>
      </c>
      <c r="AA635" s="36" t="inlineStr">
        <is>
          <t>Live – noindex (enrich before indexing)</t>
        </is>
      </c>
      <c r="AB635" s="38" t="n"/>
      <c r="AC635" s="38" t="n"/>
    </row>
    <row r="636" ht="23.85" customHeight="1" s="22">
      <c r="A636" s="36" t="inlineStr">
        <is>
          <t>P0635</t>
        </is>
      </c>
      <c r="B636" s="36" t="inlineStr">
        <is>
          <t>https://instasure.ca/super-visa-insurance/ontario/barrie/</t>
        </is>
      </c>
      <c r="C636" s="36" t="inlineStr">
        <is>
          <t>Product × city</t>
        </is>
      </c>
      <c r="D636" s="36" t="inlineStr">
        <is>
          <t>Super Visa &amp; visitors insurance</t>
        </is>
      </c>
      <c r="E636" s="36" t="inlineStr">
        <is>
          <t>Super Visa Insurance</t>
        </is>
      </c>
      <c r="F636" s="36" t="n"/>
      <c r="G636" s="36" t="inlineStr">
        <is>
          <t>Ontario</t>
        </is>
      </c>
      <c r="H636" s="36" t="inlineStr">
        <is>
          <t>Barrie</t>
        </is>
      </c>
      <c r="I636" s="36" t="inlineStr">
        <is>
          <t>No</t>
        </is>
      </c>
      <c r="J636" s="25" t="inlineStr">
        <is>
          <t>Super Visa Insurance Barrie, ON: Compare Quotes &amp; Costs (2026)</t>
        </is>
      </c>
      <c r="K636" s="36">
        <f>LEN(J636)</f>
        <v/>
      </c>
      <c r="L636" s="25" t="inlineStr">
        <is>
          <t>Compare super visa insurance in Barrie, ON: instant estimate ($119–$184/mo example), example prices by visitor age and advisors licensed in Ontario.</t>
        </is>
      </c>
      <c r="M636" s="36">
        <f>LEN(L636)</f>
        <v/>
      </c>
      <c r="N636" s="25" t="inlineStr">
        <is>
          <t>Super Visa Insurance in Barrie, ON</t>
        </is>
      </c>
      <c r="O636" s="36" t="n"/>
      <c r="P636" s="37" t="n"/>
      <c r="Q636" s="36" t="n"/>
      <c r="R636" s="36" t="inlineStr">
        <is>
          <t>super visa insurance barrie</t>
        </is>
      </c>
      <c r="S636" s="36">
        <f>COUNTIF('Page-Keyword Map'!$A$2:$A$675,B636)</f>
        <v/>
      </c>
      <c r="T636" s="37">
        <f>SUMIF('Page-Keyword Map'!$A$2:$A$675,B636,'Page-Keyword Map'!$H$2:$H$675)</f>
        <v/>
      </c>
      <c r="U636" s="36">
        <f>COUNTIFS('Page-Keyword Map'!$A$2:$A$675,B636,'Page-Keyword Map'!$E$2:$E$675,"Nationwide")</f>
        <v/>
      </c>
      <c r="V636" s="36">
        <f>COUNTIFS('Page-Keyword Map'!$A$2:$A$675,B636,'Page-Keyword Map'!$E$2:$E$675,"Provincial")</f>
        <v/>
      </c>
      <c r="W636" s="36">
        <f>COUNTIFS('Page-Keyword Map'!$A$2:$A$675,B636,'Page-Keyword Map'!$E$2:$E$675,"City")</f>
        <v/>
      </c>
      <c r="X636" s="36">
        <f>IF(O636="","",IF(ISNUMBER(SEARCH(O636,J636)),"Yes","No"))</f>
        <v/>
      </c>
      <c r="Y636" s="36" t="n">
        <v>0.5</v>
      </c>
      <c r="Z636" s="36" t="inlineStr">
        <is>
          <t>(not listed: noindex)</t>
        </is>
      </c>
      <c r="AA636" s="36" t="inlineStr">
        <is>
          <t>Live – noindex (enrich before indexing)</t>
        </is>
      </c>
      <c r="AB636" s="38" t="n"/>
      <c r="AC636" s="38" t="n"/>
    </row>
    <row r="637" ht="23.85" customHeight="1" s="22">
      <c r="A637" s="36" t="inlineStr">
        <is>
          <t>P0636</t>
        </is>
      </c>
      <c r="B637" s="36" t="inlineStr">
        <is>
          <t>https://instasure.ca/super-visa-insurance/ontario/brampton/</t>
        </is>
      </c>
      <c r="C637" s="36" t="inlineStr">
        <is>
          <t>Product × city</t>
        </is>
      </c>
      <c r="D637" s="36" t="inlineStr">
        <is>
          <t>Super Visa &amp; visitors insurance</t>
        </is>
      </c>
      <c r="E637" s="36" t="inlineStr">
        <is>
          <t>Super Visa Insurance</t>
        </is>
      </c>
      <c r="F637" s="36" t="n"/>
      <c r="G637" s="36" t="inlineStr">
        <is>
          <t>Ontario</t>
        </is>
      </c>
      <c r="H637" s="36" t="inlineStr">
        <is>
          <t>Brampton</t>
        </is>
      </c>
      <c r="I637" s="36" t="inlineStr">
        <is>
          <t>Yes</t>
        </is>
      </c>
      <c r="J637" s="25" t="inlineStr">
        <is>
          <t>Super Visa Insurance Brampton, ON: Compare Quotes &amp; Costs (2026)</t>
        </is>
      </c>
      <c r="K637" s="36">
        <f>LEN(J637)</f>
        <v/>
      </c>
      <c r="L637" s="25" t="inlineStr">
        <is>
          <t>Compare super visa insurance in Brampton, ON: instant estimate ($119–$184/mo example), example prices by visitor age and advisors licensed in Ontario.</t>
        </is>
      </c>
      <c r="M637" s="36">
        <f>LEN(L637)</f>
        <v/>
      </c>
      <c r="N637" s="25" t="inlineStr">
        <is>
          <t>Super Visa Insurance in Brampton, ON</t>
        </is>
      </c>
      <c r="O637" s="36" t="inlineStr">
        <is>
          <t>super visa insurance brampton</t>
        </is>
      </c>
      <c r="P637" s="37" t="n">
        <v>300</v>
      </c>
      <c r="Q637" s="36" t="inlineStr">
        <is>
          <t>City</t>
        </is>
      </c>
      <c r="R637" s="36" t="n"/>
      <c r="S637" s="36">
        <f>COUNTIF('Page-Keyword Map'!$A$2:$A$675,B637)</f>
        <v/>
      </c>
      <c r="T637" s="37">
        <f>SUMIF('Page-Keyword Map'!$A$2:$A$675,B637,'Page-Keyword Map'!$H$2:$H$675)</f>
        <v/>
      </c>
      <c r="U637" s="36">
        <f>COUNTIFS('Page-Keyword Map'!$A$2:$A$675,B637,'Page-Keyword Map'!$E$2:$E$675,"Nationwide")</f>
        <v/>
      </c>
      <c r="V637" s="36">
        <f>COUNTIFS('Page-Keyword Map'!$A$2:$A$675,B637,'Page-Keyword Map'!$E$2:$E$675,"Provincial")</f>
        <v/>
      </c>
      <c r="W637" s="36">
        <f>COUNTIFS('Page-Keyword Map'!$A$2:$A$675,B637,'Page-Keyword Map'!$E$2:$E$675,"City")</f>
        <v/>
      </c>
      <c r="X637" s="36">
        <f>IF(O637="","",IF(ISNUMBER(SEARCH(O637,J637)),"Yes","No"))</f>
        <v/>
      </c>
      <c r="Y637" s="36" t="n">
        <v>0.7</v>
      </c>
      <c r="Z637" s="36" t="inlineStr">
        <is>
          <t>sitemap-cities.xml</t>
        </is>
      </c>
      <c r="AA637" s="36" t="inlineStr">
        <is>
          <t>Live – indexable</t>
        </is>
      </c>
      <c r="AB637" s="38" t="n"/>
      <c r="AC637" s="38" t="n"/>
    </row>
    <row r="638" ht="23.85" customHeight="1" s="22">
      <c r="A638" s="36" t="inlineStr">
        <is>
          <t>P0637</t>
        </is>
      </c>
      <c r="B638" s="36" t="inlineStr">
        <is>
          <t>https://instasure.ca/super-visa-insurance/ontario/burlington/</t>
        </is>
      </c>
      <c r="C638" s="36" t="inlineStr">
        <is>
          <t>Product × city</t>
        </is>
      </c>
      <c r="D638" s="36" t="inlineStr">
        <is>
          <t>Super Visa &amp; visitors insurance</t>
        </is>
      </c>
      <c r="E638" s="36" t="inlineStr">
        <is>
          <t>Super Visa Insurance</t>
        </is>
      </c>
      <c r="F638" s="36" t="n"/>
      <c r="G638" s="36" t="inlineStr">
        <is>
          <t>Ontario</t>
        </is>
      </c>
      <c r="H638" s="36" t="inlineStr">
        <is>
          <t>Burlington</t>
        </is>
      </c>
      <c r="I638" s="36" t="inlineStr">
        <is>
          <t>No</t>
        </is>
      </c>
      <c r="J638" s="25" t="inlineStr">
        <is>
          <t>Super Visa Insurance Burlington, ON: Compare Quotes &amp; Costs (2026)</t>
        </is>
      </c>
      <c r="K638" s="36">
        <f>LEN(J638)</f>
        <v/>
      </c>
      <c r="L638" s="25" t="inlineStr">
        <is>
          <t>Compare super visa insurance in Burlington, ON: instant estimate ($119–$184/mo example), example prices by visitor age and advisors licensed in Ontario.</t>
        </is>
      </c>
      <c r="M638" s="36">
        <f>LEN(L638)</f>
        <v/>
      </c>
      <c r="N638" s="25" t="inlineStr">
        <is>
          <t>Super Visa Insurance in Burlington, ON</t>
        </is>
      </c>
      <c r="O638" s="36" t="n"/>
      <c r="P638" s="37" t="n"/>
      <c r="Q638" s="36" t="n"/>
      <c r="R638" s="36" t="inlineStr">
        <is>
          <t>super visa insurance burlington</t>
        </is>
      </c>
      <c r="S638" s="36">
        <f>COUNTIF('Page-Keyword Map'!$A$2:$A$675,B638)</f>
        <v/>
      </c>
      <c r="T638" s="37">
        <f>SUMIF('Page-Keyword Map'!$A$2:$A$675,B638,'Page-Keyword Map'!$H$2:$H$675)</f>
        <v/>
      </c>
      <c r="U638" s="36">
        <f>COUNTIFS('Page-Keyword Map'!$A$2:$A$675,B638,'Page-Keyword Map'!$E$2:$E$675,"Nationwide")</f>
        <v/>
      </c>
      <c r="V638" s="36">
        <f>COUNTIFS('Page-Keyword Map'!$A$2:$A$675,B638,'Page-Keyword Map'!$E$2:$E$675,"Provincial")</f>
        <v/>
      </c>
      <c r="W638" s="36">
        <f>COUNTIFS('Page-Keyword Map'!$A$2:$A$675,B638,'Page-Keyword Map'!$E$2:$E$675,"City")</f>
        <v/>
      </c>
      <c r="X638" s="36">
        <f>IF(O638="","",IF(ISNUMBER(SEARCH(O638,J638)),"Yes","No"))</f>
        <v/>
      </c>
      <c r="Y638" s="36" t="n">
        <v>0.5</v>
      </c>
      <c r="Z638" s="36" t="inlineStr">
        <is>
          <t>(not listed: noindex)</t>
        </is>
      </c>
      <c r="AA638" s="36" t="inlineStr">
        <is>
          <t>Live – noindex (enrich before indexing)</t>
        </is>
      </c>
      <c r="AB638" s="38" t="n"/>
      <c r="AC638" s="38" t="n"/>
    </row>
    <row r="639" ht="23.85" customHeight="1" s="22">
      <c r="A639" s="36" t="inlineStr">
        <is>
          <t>P0638</t>
        </is>
      </c>
      <c r="B639" s="36" t="inlineStr">
        <is>
          <t>https://instasure.ca/super-visa-insurance/ontario/cambridge/</t>
        </is>
      </c>
      <c r="C639" s="36" t="inlineStr">
        <is>
          <t>Product × city</t>
        </is>
      </c>
      <c r="D639" s="36" t="inlineStr">
        <is>
          <t>Super Visa &amp; visitors insurance</t>
        </is>
      </c>
      <c r="E639" s="36" t="inlineStr">
        <is>
          <t>Super Visa Insurance</t>
        </is>
      </c>
      <c r="F639" s="36" t="n"/>
      <c r="G639" s="36" t="inlineStr">
        <is>
          <t>Ontario</t>
        </is>
      </c>
      <c r="H639" s="36" t="inlineStr">
        <is>
          <t>Cambridge</t>
        </is>
      </c>
      <c r="I639" s="36" t="inlineStr">
        <is>
          <t>No</t>
        </is>
      </c>
      <c r="J639" s="25" t="inlineStr">
        <is>
          <t>Super Visa Insurance Cambridge, ON: Compare Quotes &amp; Costs (2026)</t>
        </is>
      </c>
      <c r="K639" s="36">
        <f>LEN(J639)</f>
        <v/>
      </c>
      <c r="L639" s="25" t="inlineStr">
        <is>
          <t>Compare super visa insurance in Cambridge, ON: instant estimate ($119–$184/mo example), example prices by visitor age and advisors licensed in Ontario.</t>
        </is>
      </c>
      <c r="M639" s="36">
        <f>LEN(L639)</f>
        <v/>
      </c>
      <c r="N639" s="25" t="inlineStr">
        <is>
          <t>Super Visa Insurance in Cambridge, ON</t>
        </is>
      </c>
      <c r="O639" s="36" t="n"/>
      <c r="P639" s="37" t="n"/>
      <c r="Q639" s="36" t="n"/>
      <c r="R639" s="36" t="inlineStr">
        <is>
          <t>super visa insurance cambridge</t>
        </is>
      </c>
      <c r="S639" s="36">
        <f>COUNTIF('Page-Keyword Map'!$A$2:$A$675,B639)</f>
        <v/>
      </c>
      <c r="T639" s="37">
        <f>SUMIF('Page-Keyword Map'!$A$2:$A$675,B639,'Page-Keyword Map'!$H$2:$H$675)</f>
        <v/>
      </c>
      <c r="U639" s="36">
        <f>COUNTIFS('Page-Keyword Map'!$A$2:$A$675,B639,'Page-Keyword Map'!$E$2:$E$675,"Nationwide")</f>
        <v/>
      </c>
      <c r="V639" s="36">
        <f>COUNTIFS('Page-Keyword Map'!$A$2:$A$675,B639,'Page-Keyword Map'!$E$2:$E$675,"Provincial")</f>
        <v/>
      </c>
      <c r="W639" s="36">
        <f>COUNTIFS('Page-Keyword Map'!$A$2:$A$675,B639,'Page-Keyword Map'!$E$2:$E$675,"City")</f>
        <v/>
      </c>
      <c r="X639" s="36">
        <f>IF(O639="","",IF(ISNUMBER(SEARCH(O639,J639)),"Yes","No"))</f>
        <v/>
      </c>
      <c r="Y639" s="36" t="n">
        <v>0.5</v>
      </c>
      <c r="Z639" s="36" t="inlineStr">
        <is>
          <t>(not listed: noindex)</t>
        </is>
      </c>
      <c r="AA639" s="36" t="inlineStr">
        <is>
          <t>Live – noindex (enrich before indexing)</t>
        </is>
      </c>
      <c r="AB639" s="38" t="n"/>
      <c r="AC639" s="38" t="n"/>
    </row>
    <row r="640" ht="23.85" customHeight="1" s="22">
      <c r="A640" s="36" t="inlineStr">
        <is>
          <t>P0639</t>
        </is>
      </c>
      <c r="B640" s="36" t="inlineStr">
        <is>
          <t>https://instasure.ca/super-visa-insurance/ontario/guelph/</t>
        </is>
      </c>
      <c r="C640" s="36" t="inlineStr">
        <is>
          <t>Product × city</t>
        </is>
      </c>
      <c r="D640" s="36" t="inlineStr">
        <is>
          <t>Super Visa &amp; visitors insurance</t>
        </is>
      </c>
      <c r="E640" s="36" t="inlineStr">
        <is>
          <t>Super Visa Insurance</t>
        </is>
      </c>
      <c r="F640" s="36" t="n"/>
      <c r="G640" s="36" t="inlineStr">
        <is>
          <t>Ontario</t>
        </is>
      </c>
      <c r="H640" s="36" t="inlineStr">
        <is>
          <t>Guelph</t>
        </is>
      </c>
      <c r="I640" s="36" t="inlineStr">
        <is>
          <t>No</t>
        </is>
      </c>
      <c r="J640" s="25" t="inlineStr">
        <is>
          <t>Super Visa Insurance Guelph, ON: Compare Quotes &amp; Costs (2026)</t>
        </is>
      </c>
      <c r="K640" s="36">
        <f>LEN(J640)</f>
        <v/>
      </c>
      <c r="L640" s="25" t="inlineStr">
        <is>
          <t>Compare super visa insurance in Guelph, ON: instant estimate ($119–$184/mo example), example prices by visitor age and advisors licensed in Ontario.</t>
        </is>
      </c>
      <c r="M640" s="36">
        <f>LEN(L640)</f>
        <v/>
      </c>
      <c r="N640" s="25" t="inlineStr">
        <is>
          <t>Super Visa Insurance in Guelph, ON</t>
        </is>
      </c>
      <c r="O640" s="36" t="n"/>
      <c r="P640" s="37" t="n"/>
      <c r="Q640" s="36" t="n"/>
      <c r="R640" s="36" t="inlineStr">
        <is>
          <t>super visa insurance guelph</t>
        </is>
      </c>
      <c r="S640" s="36">
        <f>COUNTIF('Page-Keyword Map'!$A$2:$A$675,B640)</f>
        <v/>
      </c>
      <c r="T640" s="37">
        <f>SUMIF('Page-Keyword Map'!$A$2:$A$675,B640,'Page-Keyword Map'!$H$2:$H$675)</f>
        <v/>
      </c>
      <c r="U640" s="36">
        <f>COUNTIFS('Page-Keyword Map'!$A$2:$A$675,B640,'Page-Keyword Map'!$E$2:$E$675,"Nationwide")</f>
        <v/>
      </c>
      <c r="V640" s="36">
        <f>COUNTIFS('Page-Keyword Map'!$A$2:$A$675,B640,'Page-Keyword Map'!$E$2:$E$675,"Provincial")</f>
        <v/>
      </c>
      <c r="W640" s="36">
        <f>COUNTIFS('Page-Keyword Map'!$A$2:$A$675,B640,'Page-Keyword Map'!$E$2:$E$675,"City")</f>
        <v/>
      </c>
      <c r="X640" s="36">
        <f>IF(O640="","",IF(ISNUMBER(SEARCH(O640,J640)),"Yes","No"))</f>
        <v/>
      </c>
      <c r="Y640" s="36" t="n">
        <v>0.5</v>
      </c>
      <c r="Z640" s="36" t="inlineStr">
        <is>
          <t>(not listed: noindex)</t>
        </is>
      </c>
      <c r="AA640" s="36" t="inlineStr">
        <is>
          <t>Live – noindex (enrich before indexing)</t>
        </is>
      </c>
      <c r="AB640" s="38" t="n"/>
      <c r="AC640" s="38" t="n"/>
    </row>
    <row r="641" ht="23.85" customHeight="1" s="22">
      <c r="A641" s="36" t="inlineStr">
        <is>
          <t>P0640</t>
        </is>
      </c>
      <c r="B641" s="36" t="inlineStr">
        <is>
          <t>https://instasure.ca/super-visa-insurance/ontario/hamilton/</t>
        </is>
      </c>
      <c r="C641" s="36" t="inlineStr">
        <is>
          <t>Product × city</t>
        </is>
      </c>
      <c r="D641" s="36" t="inlineStr">
        <is>
          <t>Super Visa &amp; visitors insurance</t>
        </is>
      </c>
      <c r="E641" s="36" t="inlineStr">
        <is>
          <t>Super Visa Insurance</t>
        </is>
      </c>
      <c r="F641" s="36" t="n"/>
      <c r="G641" s="36" t="inlineStr">
        <is>
          <t>Ontario</t>
        </is>
      </c>
      <c r="H641" s="36" t="inlineStr">
        <is>
          <t>Hamilton</t>
        </is>
      </c>
      <c r="I641" s="36" t="inlineStr">
        <is>
          <t>Yes</t>
        </is>
      </c>
      <c r="J641" s="25" t="inlineStr">
        <is>
          <t>Super Visa Insurance Hamilton, ON: Compare Quotes &amp; Costs (2026)</t>
        </is>
      </c>
      <c r="K641" s="36">
        <f>LEN(J641)</f>
        <v/>
      </c>
      <c r="L641" s="25" t="inlineStr">
        <is>
          <t>Compare super visa insurance in Hamilton, ON: instant estimate ($119–$184/mo example), example prices by visitor age and advisors licensed in Ontario.</t>
        </is>
      </c>
      <c r="M641" s="36">
        <f>LEN(L641)</f>
        <v/>
      </c>
      <c r="N641" s="25" t="inlineStr">
        <is>
          <t>Super Visa Insurance in Hamilton, ON</t>
        </is>
      </c>
      <c r="O641" s="36" t="inlineStr">
        <is>
          <t>super visa insurance hamilton</t>
        </is>
      </c>
      <c r="P641" s="37" t="n">
        <v>45</v>
      </c>
      <c r="Q641" s="36" t="inlineStr">
        <is>
          <t>City</t>
        </is>
      </c>
      <c r="R641" s="36" t="n"/>
      <c r="S641" s="36">
        <f>COUNTIF('Page-Keyword Map'!$A$2:$A$675,B641)</f>
        <v/>
      </c>
      <c r="T641" s="37">
        <f>SUMIF('Page-Keyword Map'!$A$2:$A$675,B641,'Page-Keyword Map'!$H$2:$H$675)</f>
        <v/>
      </c>
      <c r="U641" s="36">
        <f>COUNTIFS('Page-Keyword Map'!$A$2:$A$675,B641,'Page-Keyword Map'!$E$2:$E$675,"Nationwide")</f>
        <v/>
      </c>
      <c r="V641" s="36">
        <f>COUNTIFS('Page-Keyword Map'!$A$2:$A$675,B641,'Page-Keyword Map'!$E$2:$E$675,"Provincial")</f>
        <v/>
      </c>
      <c r="W641" s="36">
        <f>COUNTIFS('Page-Keyword Map'!$A$2:$A$675,B641,'Page-Keyword Map'!$E$2:$E$675,"City")</f>
        <v/>
      </c>
      <c r="X641" s="36">
        <f>IF(O641="","",IF(ISNUMBER(SEARCH(O641,J641)),"Yes","No"))</f>
        <v/>
      </c>
      <c r="Y641" s="36" t="n">
        <v>0.7</v>
      </c>
      <c r="Z641" s="36" t="inlineStr">
        <is>
          <t>sitemap-cities.xml</t>
        </is>
      </c>
      <c r="AA641" s="36" t="inlineStr">
        <is>
          <t>Live – indexable</t>
        </is>
      </c>
      <c r="AB641" s="38" t="n"/>
      <c r="AC641" s="38" t="n"/>
    </row>
    <row r="642" ht="23.85" customHeight="1" s="22">
      <c r="A642" s="36" t="inlineStr">
        <is>
          <t>P0641</t>
        </is>
      </c>
      <c r="B642" s="36" t="inlineStr">
        <is>
          <t>https://instasure.ca/super-visa-insurance/ontario/kingston/</t>
        </is>
      </c>
      <c r="C642" s="36" t="inlineStr">
        <is>
          <t>Product × city</t>
        </is>
      </c>
      <c r="D642" s="36" t="inlineStr">
        <is>
          <t>Super Visa &amp; visitors insurance</t>
        </is>
      </c>
      <c r="E642" s="36" t="inlineStr">
        <is>
          <t>Super Visa Insurance</t>
        </is>
      </c>
      <c r="F642" s="36" t="n"/>
      <c r="G642" s="36" t="inlineStr">
        <is>
          <t>Ontario</t>
        </is>
      </c>
      <c r="H642" s="36" t="inlineStr">
        <is>
          <t>Kingston</t>
        </is>
      </c>
      <c r="I642" s="36" t="inlineStr">
        <is>
          <t>No</t>
        </is>
      </c>
      <c r="J642" s="25" t="inlineStr">
        <is>
          <t>Super Visa Insurance Kingston, ON: Compare Quotes &amp; Costs (2026)</t>
        </is>
      </c>
      <c r="K642" s="36">
        <f>LEN(J642)</f>
        <v/>
      </c>
      <c r="L642" s="25" t="inlineStr">
        <is>
          <t>Compare super visa insurance in Kingston, ON: instant estimate ($119–$184/mo example), example prices by visitor age and advisors licensed in Ontario.</t>
        </is>
      </c>
      <c r="M642" s="36">
        <f>LEN(L642)</f>
        <v/>
      </c>
      <c r="N642" s="25" t="inlineStr">
        <is>
          <t>Super Visa Insurance in Kingston, ON</t>
        </is>
      </c>
      <c r="O642" s="36" t="n"/>
      <c r="P642" s="37" t="n"/>
      <c r="Q642" s="36" t="n"/>
      <c r="R642" s="36" t="inlineStr">
        <is>
          <t>super visa insurance kingston</t>
        </is>
      </c>
      <c r="S642" s="36">
        <f>COUNTIF('Page-Keyword Map'!$A$2:$A$675,B642)</f>
        <v/>
      </c>
      <c r="T642" s="37">
        <f>SUMIF('Page-Keyword Map'!$A$2:$A$675,B642,'Page-Keyword Map'!$H$2:$H$675)</f>
        <v/>
      </c>
      <c r="U642" s="36">
        <f>COUNTIFS('Page-Keyword Map'!$A$2:$A$675,B642,'Page-Keyword Map'!$E$2:$E$675,"Nationwide")</f>
        <v/>
      </c>
      <c r="V642" s="36">
        <f>COUNTIFS('Page-Keyword Map'!$A$2:$A$675,B642,'Page-Keyword Map'!$E$2:$E$675,"Provincial")</f>
        <v/>
      </c>
      <c r="W642" s="36">
        <f>COUNTIFS('Page-Keyword Map'!$A$2:$A$675,B642,'Page-Keyword Map'!$E$2:$E$675,"City")</f>
        <v/>
      </c>
      <c r="X642" s="36">
        <f>IF(O642="","",IF(ISNUMBER(SEARCH(O642,J642)),"Yes","No"))</f>
        <v/>
      </c>
      <c r="Y642" s="36" t="n">
        <v>0.5</v>
      </c>
      <c r="Z642" s="36" t="inlineStr">
        <is>
          <t>(not listed: noindex)</t>
        </is>
      </c>
      <c r="AA642" s="36" t="inlineStr">
        <is>
          <t>Live – noindex (enrich before indexing)</t>
        </is>
      </c>
      <c r="AB642" s="38" t="n"/>
      <c r="AC642" s="38" t="n"/>
    </row>
    <row r="643" ht="23.85" customHeight="1" s="22">
      <c r="A643" s="36" t="inlineStr">
        <is>
          <t>P0642</t>
        </is>
      </c>
      <c r="B643" s="36" t="inlineStr">
        <is>
          <t>https://instasure.ca/super-visa-insurance/ontario/kitchener/</t>
        </is>
      </c>
      <c r="C643" s="36" t="inlineStr">
        <is>
          <t>Product × city</t>
        </is>
      </c>
      <c r="D643" s="36" t="inlineStr">
        <is>
          <t>Super Visa &amp; visitors insurance</t>
        </is>
      </c>
      <c r="E643" s="36" t="inlineStr">
        <is>
          <t>Super Visa Insurance</t>
        </is>
      </c>
      <c r="F643" s="36" t="n"/>
      <c r="G643" s="36" t="inlineStr">
        <is>
          <t>Ontario</t>
        </is>
      </c>
      <c r="H643" s="36" t="inlineStr">
        <is>
          <t>Kitchener</t>
        </is>
      </c>
      <c r="I643" s="36" t="inlineStr">
        <is>
          <t>Yes</t>
        </is>
      </c>
      <c r="J643" s="25" t="inlineStr">
        <is>
          <t>Super Visa Insurance Kitchener, ON: Compare Quotes &amp; Costs (2026)</t>
        </is>
      </c>
      <c r="K643" s="36">
        <f>LEN(J643)</f>
        <v/>
      </c>
      <c r="L643" s="25" t="inlineStr">
        <is>
          <t>Compare super visa insurance in Kitchener, ON: instant estimate ($119–$184/mo example), example prices by visitor age and advisors licensed in Ontario.</t>
        </is>
      </c>
      <c r="M643" s="36">
        <f>LEN(L643)</f>
        <v/>
      </c>
      <c r="N643" s="25" t="inlineStr">
        <is>
          <t>Super Visa Insurance in Kitchener, ON</t>
        </is>
      </c>
      <c r="O643" s="36" t="inlineStr">
        <is>
          <t>super visa insurance kitchener</t>
        </is>
      </c>
      <c r="P643" s="37" t="n">
        <v>24</v>
      </c>
      <c r="Q643" s="36" t="inlineStr">
        <is>
          <t>City</t>
        </is>
      </c>
      <c r="R643" s="36" t="n"/>
      <c r="S643" s="36">
        <f>COUNTIF('Page-Keyword Map'!$A$2:$A$675,B643)</f>
        <v/>
      </c>
      <c r="T643" s="37">
        <f>SUMIF('Page-Keyword Map'!$A$2:$A$675,B643,'Page-Keyword Map'!$H$2:$H$675)</f>
        <v/>
      </c>
      <c r="U643" s="36">
        <f>COUNTIFS('Page-Keyword Map'!$A$2:$A$675,B643,'Page-Keyword Map'!$E$2:$E$675,"Nationwide")</f>
        <v/>
      </c>
      <c r="V643" s="36">
        <f>COUNTIFS('Page-Keyword Map'!$A$2:$A$675,B643,'Page-Keyword Map'!$E$2:$E$675,"Provincial")</f>
        <v/>
      </c>
      <c r="W643" s="36">
        <f>COUNTIFS('Page-Keyword Map'!$A$2:$A$675,B643,'Page-Keyword Map'!$E$2:$E$675,"City")</f>
        <v/>
      </c>
      <c r="X643" s="36">
        <f>IF(O643="","",IF(ISNUMBER(SEARCH(O643,J643)),"Yes","No"))</f>
        <v/>
      </c>
      <c r="Y643" s="36" t="n">
        <v>0.7</v>
      </c>
      <c r="Z643" s="36" t="inlineStr">
        <is>
          <t>sitemap-cities.xml</t>
        </is>
      </c>
      <c r="AA643" s="36" t="inlineStr">
        <is>
          <t>Live – indexable</t>
        </is>
      </c>
      <c r="AB643" s="38" t="n"/>
      <c r="AC643" s="38" t="n"/>
    </row>
    <row r="644" ht="23.85" customHeight="1" s="22">
      <c r="A644" s="36" t="inlineStr">
        <is>
          <t>P0643</t>
        </is>
      </c>
      <c r="B644" s="36" t="inlineStr">
        <is>
          <t>https://instasure.ca/super-visa-insurance/ontario/london/</t>
        </is>
      </c>
      <c r="C644" s="36" t="inlineStr">
        <is>
          <t>Product × city</t>
        </is>
      </c>
      <c r="D644" s="36" t="inlineStr">
        <is>
          <t>Super Visa &amp; visitors insurance</t>
        </is>
      </c>
      <c r="E644" s="36" t="inlineStr">
        <is>
          <t>Super Visa Insurance</t>
        </is>
      </c>
      <c r="F644" s="36" t="n"/>
      <c r="G644" s="36" t="inlineStr">
        <is>
          <t>Ontario</t>
        </is>
      </c>
      <c r="H644" s="36" t="inlineStr">
        <is>
          <t>London</t>
        </is>
      </c>
      <c r="I644" s="36" t="inlineStr">
        <is>
          <t>Yes</t>
        </is>
      </c>
      <c r="J644" s="25" t="inlineStr">
        <is>
          <t>Super Visa Insurance London, ON: Compare Quotes &amp; Costs (2026)</t>
        </is>
      </c>
      <c r="K644" s="36">
        <f>LEN(J644)</f>
        <v/>
      </c>
      <c r="L644" s="25" t="inlineStr">
        <is>
          <t>Compare super visa insurance in London, ON: instant estimate ($119–$184/mo example), example prices by visitor age and advisors licensed in Ontario.</t>
        </is>
      </c>
      <c r="M644" s="36">
        <f>LEN(L644)</f>
        <v/>
      </c>
      <c r="N644" s="25" t="inlineStr">
        <is>
          <t>Super Visa Insurance in London, ON</t>
        </is>
      </c>
      <c r="O644" s="36" t="inlineStr">
        <is>
          <t>super visa insurance london ontario</t>
        </is>
      </c>
      <c r="P644" s="37" t="n">
        <v>35</v>
      </c>
      <c r="Q644" s="36" t="inlineStr">
        <is>
          <t>City</t>
        </is>
      </c>
      <c r="R644" s="36" t="n"/>
      <c r="S644" s="36">
        <f>COUNTIF('Page-Keyword Map'!$A$2:$A$675,B644)</f>
        <v/>
      </c>
      <c r="T644" s="37">
        <f>SUMIF('Page-Keyword Map'!$A$2:$A$675,B644,'Page-Keyword Map'!$H$2:$H$675)</f>
        <v/>
      </c>
      <c r="U644" s="36">
        <f>COUNTIFS('Page-Keyword Map'!$A$2:$A$675,B644,'Page-Keyword Map'!$E$2:$E$675,"Nationwide")</f>
        <v/>
      </c>
      <c r="V644" s="36">
        <f>COUNTIFS('Page-Keyword Map'!$A$2:$A$675,B644,'Page-Keyword Map'!$E$2:$E$675,"Provincial")</f>
        <v/>
      </c>
      <c r="W644" s="36">
        <f>COUNTIFS('Page-Keyword Map'!$A$2:$A$675,B644,'Page-Keyword Map'!$E$2:$E$675,"City")</f>
        <v/>
      </c>
      <c r="X644" s="36">
        <f>IF(O644="","",IF(ISNUMBER(SEARCH(O644,J644)),"Yes","No"))</f>
        <v/>
      </c>
      <c r="Y644" s="36" t="n">
        <v>0.7</v>
      </c>
      <c r="Z644" s="36" t="inlineStr">
        <is>
          <t>sitemap-cities.xml</t>
        </is>
      </c>
      <c r="AA644" s="36" t="inlineStr">
        <is>
          <t>Live – indexable</t>
        </is>
      </c>
      <c r="AB644" s="38" t="n"/>
      <c r="AC644" s="38" t="n"/>
    </row>
    <row r="645" ht="23.85" customHeight="1" s="22">
      <c r="A645" s="36" t="inlineStr">
        <is>
          <t>P0644</t>
        </is>
      </c>
      <c r="B645" s="36" t="inlineStr">
        <is>
          <t>https://instasure.ca/super-visa-insurance/ontario/markham/</t>
        </is>
      </c>
      <c r="C645" s="36" t="inlineStr">
        <is>
          <t>Product × city</t>
        </is>
      </c>
      <c r="D645" s="36" t="inlineStr">
        <is>
          <t>Super Visa &amp; visitors insurance</t>
        </is>
      </c>
      <c r="E645" s="36" t="inlineStr">
        <is>
          <t>Super Visa Insurance</t>
        </is>
      </c>
      <c r="F645" s="36" t="n"/>
      <c r="G645" s="36" t="inlineStr">
        <is>
          <t>Ontario</t>
        </is>
      </c>
      <c r="H645" s="36" t="inlineStr">
        <is>
          <t>Markham</t>
        </is>
      </c>
      <c r="I645" s="36" t="inlineStr">
        <is>
          <t>Yes</t>
        </is>
      </c>
      <c r="J645" s="25" t="inlineStr">
        <is>
          <t>Super Visa Insurance Markham, ON: Compare Quotes &amp; Costs (2026)</t>
        </is>
      </c>
      <c r="K645" s="36">
        <f>LEN(J645)</f>
        <v/>
      </c>
      <c r="L645" s="25" t="inlineStr">
        <is>
          <t>Compare super visa insurance in Markham, ON: instant estimate ($119–$184/mo example), example prices by visitor age and advisors licensed in Ontario.</t>
        </is>
      </c>
      <c r="M645" s="36">
        <f>LEN(L645)</f>
        <v/>
      </c>
      <c r="N645" s="25" t="inlineStr">
        <is>
          <t>Super Visa Insurance in Markham, ON</t>
        </is>
      </c>
      <c r="O645" s="36" t="inlineStr">
        <is>
          <t>super visa insurance markham</t>
        </is>
      </c>
      <c r="P645" s="37" t="n">
        <v>88</v>
      </c>
      <c r="Q645" s="36" t="inlineStr">
        <is>
          <t>City</t>
        </is>
      </c>
      <c r="R645" s="36" t="n"/>
      <c r="S645" s="36">
        <f>COUNTIF('Page-Keyword Map'!$A$2:$A$675,B645)</f>
        <v/>
      </c>
      <c r="T645" s="37">
        <f>SUMIF('Page-Keyword Map'!$A$2:$A$675,B645,'Page-Keyword Map'!$H$2:$H$675)</f>
        <v/>
      </c>
      <c r="U645" s="36">
        <f>COUNTIFS('Page-Keyword Map'!$A$2:$A$675,B645,'Page-Keyword Map'!$E$2:$E$675,"Nationwide")</f>
        <v/>
      </c>
      <c r="V645" s="36">
        <f>COUNTIFS('Page-Keyword Map'!$A$2:$A$675,B645,'Page-Keyword Map'!$E$2:$E$675,"Provincial")</f>
        <v/>
      </c>
      <c r="W645" s="36">
        <f>COUNTIFS('Page-Keyword Map'!$A$2:$A$675,B645,'Page-Keyword Map'!$E$2:$E$675,"City")</f>
        <v/>
      </c>
      <c r="X645" s="36">
        <f>IF(O645="","",IF(ISNUMBER(SEARCH(O645,J645)),"Yes","No"))</f>
        <v/>
      </c>
      <c r="Y645" s="36" t="n">
        <v>0.7</v>
      </c>
      <c r="Z645" s="36" t="inlineStr">
        <is>
          <t>sitemap-cities.xml</t>
        </is>
      </c>
      <c r="AA645" s="36" t="inlineStr">
        <is>
          <t>Live – indexable</t>
        </is>
      </c>
      <c r="AB645" s="38" t="n"/>
      <c r="AC645" s="38" t="n"/>
    </row>
    <row r="646" ht="23.85" customHeight="1" s="22">
      <c r="A646" s="36" t="inlineStr">
        <is>
          <t>P0645</t>
        </is>
      </c>
      <c r="B646" s="36" t="inlineStr">
        <is>
          <t>https://instasure.ca/super-visa-insurance/ontario/milton/</t>
        </is>
      </c>
      <c r="C646" s="36" t="inlineStr">
        <is>
          <t>Product × city</t>
        </is>
      </c>
      <c r="D646" s="36" t="inlineStr">
        <is>
          <t>Super Visa &amp; visitors insurance</t>
        </is>
      </c>
      <c r="E646" s="36" t="inlineStr">
        <is>
          <t>Super Visa Insurance</t>
        </is>
      </c>
      <c r="F646" s="36" t="n"/>
      <c r="G646" s="36" t="inlineStr">
        <is>
          <t>Ontario</t>
        </is>
      </c>
      <c r="H646" s="36" t="inlineStr">
        <is>
          <t>Milton</t>
        </is>
      </c>
      <c r="I646" s="36" t="inlineStr">
        <is>
          <t>No</t>
        </is>
      </c>
      <c r="J646" s="25" t="inlineStr">
        <is>
          <t>Super Visa Insurance Milton, ON: Compare Quotes &amp; Costs (2026)</t>
        </is>
      </c>
      <c r="K646" s="36">
        <f>LEN(J646)</f>
        <v/>
      </c>
      <c r="L646" s="25" t="inlineStr">
        <is>
          <t>Compare super visa insurance in Milton, ON: instant estimate ($119–$184/mo example), example prices by visitor age and advisors licensed in Ontario.</t>
        </is>
      </c>
      <c r="M646" s="36">
        <f>LEN(L646)</f>
        <v/>
      </c>
      <c r="N646" s="25" t="inlineStr">
        <is>
          <t>Super Visa Insurance in Milton, ON</t>
        </is>
      </c>
      <c r="O646" s="36" t="n"/>
      <c r="P646" s="37" t="n"/>
      <c r="Q646" s="36" t="n"/>
      <c r="R646" s="36" t="inlineStr">
        <is>
          <t>super visa insurance milton</t>
        </is>
      </c>
      <c r="S646" s="36">
        <f>COUNTIF('Page-Keyword Map'!$A$2:$A$675,B646)</f>
        <v/>
      </c>
      <c r="T646" s="37">
        <f>SUMIF('Page-Keyword Map'!$A$2:$A$675,B646,'Page-Keyword Map'!$H$2:$H$675)</f>
        <v/>
      </c>
      <c r="U646" s="36">
        <f>COUNTIFS('Page-Keyword Map'!$A$2:$A$675,B646,'Page-Keyword Map'!$E$2:$E$675,"Nationwide")</f>
        <v/>
      </c>
      <c r="V646" s="36">
        <f>COUNTIFS('Page-Keyword Map'!$A$2:$A$675,B646,'Page-Keyword Map'!$E$2:$E$675,"Provincial")</f>
        <v/>
      </c>
      <c r="W646" s="36">
        <f>COUNTIFS('Page-Keyword Map'!$A$2:$A$675,B646,'Page-Keyword Map'!$E$2:$E$675,"City")</f>
        <v/>
      </c>
      <c r="X646" s="36">
        <f>IF(O646="","",IF(ISNUMBER(SEARCH(O646,J646)),"Yes","No"))</f>
        <v/>
      </c>
      <c r="Y646" s="36" t="n">
        <v>0.5</v>
      </c>
      <c r="Z646" s="36" t="inlineStr">
        <is>
          <t>(not listed: noindex)</t>
        </is>
      </c>
      <c r="AA646" s="36" t="inlineStr">
        <is>
          <t>Live – noindex (enrich before indexing)</t>
        </is>
      </c>
      <c r="AB646" s="38" t="n"/>
      <c r="AC646" s="38" t="n"/>
    </row>
    <row r="647" ht="23.85" customHeight="1" s="22">
      <c r="A647" s="36" t="inlineStr">
        <is>
          <t>P0646</t>
        </is>
      </c>
      <c r="B647" s="36" t="inlineStr">
        <is>
          <t>https://instasure.ca/super-visa-insurance/ontario/mississauga/</t>
        </is>
      </c>
      <c r="C647" s="36" t="inlineStr">
        <is>
          <t>Product × city</t>
        </is>
      </c>
      <c r="D647" s="36" t="inlineStr">
        <is>
          <t>Super Visa &amp; visitors insurance</t>
        </is>
      </c>
      <c r="E647" s="36" t="inlineStr">
        <is>
          <t>Super Visa Insurance</t>
        </is>
      </c>
      <c r="F647" s="36" t="n"/>
      <c r="G647" s="36" t="inlineStr">
        <is>
          <t>Ontario</t>
        </is>
      </c>
      <c r="H647" s="36" t="inlineStr">
        <is>
          <t>Mississauga</t>
        </is>
      </c>
      <c r="I647" s="36" t="inlineStr">
        <is>
          <t>Yes</t>
        </is>
      </c>
      <c r="J647" s="25" t="inlineStr">
        <is>
          <t>Super Visa Insurance Mississauga, ON: Compare Quotes &amp; Costs (2026)</t>
        </is>
      </c>
      <c r="K647" s="36">
        <f>LEN(J647)</f>
        <v/>
      </c>
      <c r="L647" s="25" t="inlineStr">
        <is>
          <t>Compare super visa insurance in Mississauga, ON: instant estimate ($119–$184/mo example), example prices by visitor age and advisors licensed in Ontario.</t>
        </is>
      </c>
      <c r="M647" s="36">
        <f>LEN(L647)</f>
        <v/>
      </c>
      <c r="N647" s="25" t="inlineStr">
        <is>
          <t>Super Visa Insurance in Mississauga, ON</t>
        </is>
      </c>
      <c r="O647" s="36" t="inlineStr">
        <is>
          <t>super visa insurance mississauga</t>
        </is>
      </c>
      <c r="P647" s="37" t="n">
        <v>190</v>
      </c>
      <c r="Q647" s="36" t="inlineStr">
        <is>
          <t>City</t>
        </is>
      </c>
      <c r="R647" s="36" t="n"/>
      <c r="S647" s="36">
        <f>COUNTIF('Page-Keyword Map'!$A$2:$A$675,B647)</f>
        <v/>
      </c>
      <c r="T647" s="37">
        <f>SUMIF('Page-Keyword Map'!$A$2:$A$675,B647,'Page-Keyword Map'!$H$2:$H$675)</f>
        <v/>
      </c>
      <c r="U647" s="36">
        <f>COUNTIFS('Page-Keyword Map'!$A$2:$A$675,B647,'Page-Keyword Map'!$E$2:$E$675,"Nationwide")</f>
        <v/>
      </c>
      <c r="V647" s="36">
        <f>COUNTIFS('Page-Keyword Map'!$A$2:$A$675,B647,'Page-Keyword Map'!$E$2:$E$675,"Provincial")</f>
        <v/>
      </c>
      <c r="W647" s="36">
        <f>COUNTIFS('Page-Keyword Map'!$A$2:$A$675,B647,'Page-Keyword Map'!$E$2:$E$675,"City")</f>
        <v/>
      </c>
      <c r="X647" s="36">
        <f>IF(O647="","",IF(ISNUMBER(SEARCH(O647,J647)),"Yes","No"))</f>
        <v/>
      </c>
      <c r="Y647" s="36" t="n">
        <v>0.7</v>
      </c>
      <c r="Z647" s="36" t="inlineStr">
        <is>
          <t>sitemap-cities.xml</t>
        </is>
      </c>
      <c r="AA647" s="36" t="inlineStr">
        <is>
          <t>Live – indexable</t>
        </is>
      </c>
      <c r="AB647" s="38" t="n"/>
      <c r="AC647" s="38" t="n"/>
    </row>
    <row r="648" ht="23.85" customHeight="1" s="22">
      <c r="A648" s="36" t="inlineStr">
        <is>
          <t>P0647</t>
        </is>
      </c>
      <c r="B648" s="36" t="inlineStr">
        <is>
          <t>https://instasure.ca/super-visa-insurance/ontario/oakville/</t>
        </is>
      </c>
      <c r="C648" s="36" t="inlineStr">
        <is>
          <t>Product × city</t>
        </is>
      </c>
      <c r="D648" s="36" t="inlineStr">
        <is>
          <t>Super Visa &amp; visitors insurance</t>
        </is>
      </c>
      <c r="E648" s="36" t="inlineStr">
        <is>
          <t>Super Visa Insurance</t>
        </is>
      </c>
      <c r="F648" s="36" t="n"/>
      <c r="G648" s="36" t="inlineStr">
        <is>
          <t>Ontario</t>
        </is>
      </c>
      <c r="H648" s="36" t="inlineStr">
        <is>
          <t>Oakville</t>
        </is>
      </c>
      <c r="I648" s="36" t="inlineStr">
        <is>
          <t>No</t>
        </is>
      </c>
      <c r="J648" s="25" t="inlineStr">
        <is>
          <t>Super Visa Insurance Oakville, ON: Compare Quotes &amp; Costs (2026)</t>
        </is>
      </c>
      <c r="K648" s="36">
        <f>LEN(J648)</f>
        <v/>
      </c>
      <c r="L648" s="25" t="inlineStr">
        <is>
          <t>Compare super visa insurance in Oakville, ON: instant estimate ($119–$184/mo example), example prices by visitor age and advisors licensed in Ontario.</t>
        </is>
      </c>
      <c r="M648" s="36">
        <f>LEN(L648)</f>
        <v/>
      </c>
      <c r="N648" s="25" t="inlineStr">
        <is>
          <t>Super Visa Insurance in Oakville, ON</t>
        </is>
      </c>
      <c r="O648" s="36" t="inlineStr">
        <is>
          <t>super visa insurance oakville</t>
        </is>
      </c>
      <c r="P648" s="37" t="n">
        <v>20</v>
      </c>
      <c r="Q648" s="36" t="inlineStr">
        <is>
          <t>City</t>
        </is>
      </c>
      <c r="R648" s="36" t="n"/>
      <c r="S648" s="36">
        <f>COUNTIF('Page-Keyword Map'!$A$2:$A$675,B648)</f>
        <v/>
      </c>
      <c r="T648" s="37">
        <f>SUMIF('Page-Keyword Map'!$A$2:$A$675,B648,'Page-Keyword Map'!$H$2:$H$675)</f>
        <v/>
      </c>
      <c r="U648" s="36">
        <f>COUNTIFS('Page-Keyword Map'!$A$2:$A$675,B648,'Page-Keyword Map'!$E$2:$E$675,"Nationwide")</f>
        <v/>
      </c>
      <c r="V648" s="36">
        <f>COUNTIFS('Page-Keyword Map'!$A$2:$A$675,B648,'Page-Keyword Map'!$E$2:$E$675,"Provincial")</f>
        <v/>
      </c>
      <c r="W648" s="36">
        <f>COUNTIFS('Page-Keyword Map'!$A$2:$A$675,B648,'Page-Keyword Map'!$E$2:$E$675,"City")</f>
        <v/>
      </c>
      <c r="X648" s="36">
        <f>IF(O648="","",IF(ISNUMBER(SEARCH(O648,J648)),"Yes","No"))</f>
        <v/>
      </c>
      <c r="Y648" s="36" t="n">
        <v>0.5</v>
      </c>
      <c r="Z648" s="36" t="inlineStr">
        <is>
          <t>(not listed: noindex)</t>
        </is>
      </c>
      <c r="AA648" s="36" t="inlineStr">
        <is>
          <t>Live – noindex (enrich before indexing)</t>
        </is>
      </c>
      <c r="AB648" s="38" t="n"/>
      <c r="AC648" s="38" t="n"/>
    </row>
    <row r="649" ht="23.85" customHeight="1" s="22">
      <c r="A649" s="36" t="inlineStr">
        <is>
          <t>P0648</t>
        </is>
      </c>
      <c r="B649" s="36" t="inlineStr">
        <is>
          <t>https://instasure.ca/super-visa-insurance/ontario/oshawa/</t>
        </is>
      </c>
      <c r="C649" s="36" t="inlineStr">
        <is>
          <t>Product × city</t>
        </is>
      </c>
      <c r="D649" s="36" t="inlineStr">
        <is>
          <t>Super Visa &amp; visitors insurance</t>
        </is>
      </c>
      <c r="E649" s="36" t="inlineStr">
        <is>
          <t>Super Visa Insurance</t>
        </is>
      </c>
      <c r="F649" s="36" t="n"/>
      <c r="G649" s="36" t="inlineStr">
        <is>
          <t>Ontario</t>
        </is>
      </c>
      <c r="H649" s="36" t="inlineStr">
        <is>
          <t>Oshawa</t>
        </is>
      </c>
      <c r="I649" s="36" t="inlineStr">
        <is>
          <t>No</t>
        </is>
      </c>
      <c r="J649" s="25" t="inlineStr">
        <is>
          <t>Super Visa Insurance Oshawa, ON: Compare Quotes &amp; Costs (2026)</t>
        </is>
      </c>
      <c r="K649" s="36">
        <f>LEN(J649)</f>
        <v/>
      </c>
      <c r="L649" s="25" t="inlineStr">
        <is>
          <t>Compare super visa insurance in Oshawa, ON: instant estimate ($119–$184/mo example), example prices by visitor age and advisors licensed in Ontario.</t>
        </is>
      </c>
      <c r="M649" s="36">
        <f>LEN(L649)</f>
        <v/>
      </c>
      <c r="N649" s="25" t="inlineStr">
        <is>
          <t>Super Visa Insurance in Oshawa, ON</t>
        </is>
      </c>
      <c r="O649" s="36" t="n"/>
      <c r="P649" s="37" t="n"/>
      <c r="Q649" s="36" t="n"/>
      <c r="R649" s="36" t="inlineStr">
        <is>
          <t>super visa insurance oshawa</t>
        </is>
      </c>
      <c r="S649" s="36">
        <f>COUNTIF('Page-Keyword Map'!$A$2:$A$675,B649)</f>
        <v/>
      </c>
      <c r="T649" s="37">
        <f>SUMIF('Page-Keyword Map'!$A$2:$A$675,B649,'Page-Keyword Map'!$H$2:$H$675)</f>
        <v/>
      </c>
      <c r="U649" s="36">
        <f>COUNTIFS('Page-Keyword Map'!$A$2:$A$675,B649,'Page-Keyword Map'!$E$2:$E$675,"Nationwide")</f>
        <v/>
      </c>
      <c r="V649" s="36">
        <f>COUNTIFS('Page-Keyword Map'!$A$2:$A$675,B649,'Page-Keyword Map'!$E$2:$E$675,"Provincial")</f>
        <v/>
      </c>
      <c r="W649" s="36">
        <f>COUNTIFS('Page-Keyword Map'!$A$2:$A$675,B649,'Page-Keyword Map'!$E$2:$E$675,"City")</f>
        <v/>
      </c>
      <c r="X649" s="36">
        <f>IF(O649="","",IF(ISNUMBER(SEARCH(O649,J649)),"Yes","No"))</f>
        <v/>
      </c>
      <c r="Y649" s="36" t="n">
        <v>0.5</v>
      </c>
      <c r="Z649" s="36" t="inlineStr">
        <is>
          <t>(not listed: noindex)</t>
        </is>
      </c>
      <c r="AA649" s="36" t="inlineStr">
        <is>
          <t>Live – noindex (enrich before indexing)</t>
        </is>
      </c>
      <c r="AB649" s="38" t="n"/>
      <c r="AC649" s="38" t="n"/>
    </row>
    <row r="650" ht="23.85" customHeight="1" s="22">
      <c r="A650" s="36" t="inlineStr">
        <is>
          <t>P0649</t>
        </is>
      </c>
      <c r="B650" s="36" t="inlineStr">
        <is>
          <t>https://instasure.ca/super-visa-insurance/ontario/ottawa/</t>
        </is>
      </c>
      <c r="C650" s="36" t="inlineStr">
        <is>
          <t>Product × city</t>
        </is>
      </c>
      <c r="D650" s="36" t="inlineStr">
        <is>
          <t>Super Visa &amp; visitors insurance</t>
        </is>
      </c>
      <c r="E650" s="36" t="inlineStr">
        <is>
          <t>Super Visa Insurance</t>
        </is>
      </c>
      <c r="F650" s="36" t="n"/>
      <c r="G650" s="36" t="inlineStr">
        <is>
          <t>Ontario</t>
        </is>
      </c>
      <c r="H650" s="36" t="inlineStr">
        <is>
          <t>Ottawa</t>
        </is>
      </c>
      <c r="I650" s="36" t="inlineStr">
        <is>
          <t>Yes</t>
        </is>
      </c>
      <c r="J650" s="25" t="inlineStr">
        <is>
          <t>Super Visa Insurance Ottawa, ON: Compare Quotes &amp; Costs (2026)</t>
        </is>
      </c>
      <c r="K650" s="36">
        <f>LEN(J650)</f>
        <v/>
      </c>
      <c r="L650" s="25" t="inlineStr">
        <is>
          <t>Compare super visa insurance in Ottawa, ON: instant estimate ($119–$184/mo example), example prices by visitor age and advisors licensed in Ontario.</t>
        </is>
      </c>
      <c r="M650" s="36">
        <f>LEN(L650)</f>
        <v/>
      </c>
      <c r="N650" s="25" t="inlineStr">
        <is>
          <t>Super Visa Insurance in Ottawa, ON</t>
        </is>
      </c>
      <c r="O650" s="36" t="inlineStr">
        <is>
          <t>super visa insurance ottawa</t>
        </is>
      </c>
      <c r="P650" s="37" t="n">
        <v>110</v>
      </c>
      <c r="Q650" s="36" t="inlineStr">
        <is>
          <t>City</t>
        </is>
      </c>
      <c r="R650" s="36" t="n"/>
      <c r="S650" s="36">
        <f>COUNTIF('Page-Keyword Map'!$A$2:$A$675,B650)</f>
        <v/>
      </c>
      <c r="T650" s="37">
        <f>SUMIF('Page-Keyword Map'!$A$2:$A$675,B650,'Page-Keyword Map'!$H$2:$H$675)</f>
        <v/>
      </c>
      <c r="U650" s="36">
        <f>COUNTIFS('Page-Keyword Map'!$A$2:$A$675,B650,'Page-Keyword Map'!$E$2:$E$675,"Nationwide")</f>
        <v/>
      </c>
      <c r="V650" s="36">
        <f>COUNTIFS('Page-Keyword Map'!$A$2:$A$675,B650,'Page-Keyword Map'!$E$2:$E$675,"Provincial")</f>
        <v/>
      </c>
      <c r="W650" s="36">
        <f>COUNTIFS('Page-Keyword Map'!$A$2:$A$675,B650,'Page-Keyword Map'!$E$2:$E$675,"City")</f>
        <v/>
      </c>
      <c r="X650" s="36">
        <f>IF(O650="","",IF(ISNUMBER(SEARCH(O650,J650)),"Yes","No"))</f>
        <v/>
      </c>
      <c r="Y650" s="36" t="n">
        <v>0.7</v>
      </c>
      <c r="Z650" s="36" t="inlineStr">
        <is>
          <t>sitemap-cities.xml</t>
        </is>
      </c>
      <c r="AA650" s="36" t="inlineStr">
        <is>
          <t>Live – indexable</t>
        </is>
      </c>
      <c r="AB650" s="38" t="n"/>
      <c r="AC650" s="38" t="n"/>
    </row>
    <row r="651" ht="23.85" customHeight="1" s="22">
      <c r="A651" s="36" t="inlineStr">
        <is>
          <t>P0650</t>
        </is>
      </c>
      <c r="B651" s="36" t="inlineStr">
        <is>
          <t>https://instasure.ca/super-visa-insurance/ontario/pickering/</t>
        </is>
      </c>
      <c r="C651" s="36" t="inlineStr">
        <is>
          <t>Product × city</t>
        </is>
      </c>
      <c r="D651" s="36" t="inlineStr">
        <is>
          <t>Super Visa &amp; visitors insurance</t>
        </is>
      </c>
      <c r="E651" s="36" t="inlineStr">
        <is>
          <t>Super Visa Insurance</t>
        </is>
      </c>
      <c r="F651" s="36" t="n"/>
      <c r="G651" s="36" t="inlineStr">
        <is>
          <t>Ontario</t>
        </is>
      </c>
      <c r="H651" s="36" t="inlineStr">
        <is>
          <t>Pickering</t>
        </is>
      </c>
      <c r="I651" s="36" t="inlineStr">
        <is>
          <t>No</t>
        </is>
      </c>
      <c r="J651" s="25" t="inlineStr">
        <is>
          <t>Super Visa Insurance Pickering, ON: Compare Quotes &amp; Costs (2026)</t>
        </is>
      </c>
      <c r="K651" s="36">
        <f>LEN(J651)</f>
        <v/>
      </c>
      <c r="L651" s="25" t="inlineStr">
        <is>
          <t>Compare super visa insurance in Pickering, ON: instant estimate ($119–$184/mo example), example prices by visitor age and advisors licensed in Ontario.</t>
        </is>
      </c>
      <c r="M651" s="36">
        <f>LEN(L651)</f>
        <v/>
      </c>
      <c r="N651" s="25" t="inlineStr">
        <is>
          <t>Super Visa Insurance in Pickering, ON</t>
        </is>
      </c>
      <c r="O651" s="36" t="n"/>
      <c r="P651" s="37" t="n"/>
      <c r="Q651" s="36" t="n"/>
      <c r="R651" s="36" t="inlineStr">
        <is>
          <t>super visa insurance pickering</t>
        </is>
      </c>
      <c r="S651" s="36">
        <f>COUNTIF('Page-Keyword Map'!$A$2:$A$675,B651)</f>
        <v/>
      </c>
      <c r="T651" s="37">
        <f>SUMIF('Page-Keyword Map'!$A$2:$A$675,B651,'Page-Keyword Map'!$H$2:$H$675)</f>
        <v/>
      </c>
      <c r="U651" s="36">
        <f>COUNTIFS('Page-Keyword Map'!$A$2:$A$675,B651,'Page-Keyword Map'!$E$2:$E$675,"Nationwide")</f>
        <v/>
      </c>
      <c r="V651" s="36">
        <f>COUNTIFS('Page-Keyword Map'!$A$2:$A$675,B651,'Page-Keyword Map'!$E$2:$E$675,"Provincial")</f>
        <v/>
      </c>
      <c r="W651" s="36">
        <f>COUNTIFS('Page-Keyword Map'!$A$2:$A$675,B651,'Page-Keyword Map'!$E$2:$E$675,"City")</f>
        <v/>
      </c>
      <c r="X651" s="36">
        <f>IF(O651="","",IF(ISNUMBER(SEARCH(O651,J651)),"Yes","No"))</f>
        <v/>
      </c>
      <c r="Y651" s="36" t="n">
        <v>0.5</v>
      </c>
      <c r="Z651" s="36" t="inlineStr">
        <is>
          <t>(not listed: noindex)</t>
        </is>
      </c>
      <c r="AA651" s="36" t="inlineStr">
        <is>
          <t>Live – noindex (enrich before indexing)</t>
        </is>
      </c>
      <c r="AB651" s="38" t="n"/>
      <c r="AC651" s="38" t="n"/>
    </row>
    <row r="652" ht="23.85" customHeight="1" s="22">
      <c r="A652" s="36" t="inlineStr">
        <is>
          <t>P0651</t>
        </is>
      </c>
      <c r="B652" s="36" t="inlineStr">
        <is>
          <t>https://instasure.ca/super-visa-insurance/ontario/richmond-hill/</t>
        </is>
      </c>
      <c r="C652" s="36" t="inlineStr">
        <is>
          <t>Product × city</t>
        </is>
      </c>
      <c r="D652" s="36" t="inlineStr">
        <is>
          <t>Super Visa &amp; visitors insurance</t>
        </is>
      </c>
      <c r="E652" s="36" t="inlineStr">
        <is>
          <t>Super Visa Insurance</t>
        </is>
      </c>
      <c r="F652" s="36" t="n"/>
      <c r="G652" s="36" t="inlineStr">
        <is>
          <t>Ontario</t>
        </is>
      </c>
      <c r="H652" s="36" t="inlineStr">
        <is>
          <t>Richmond Hill</t>
        </is>
      </c>
      <c r="I652" s="36" t="inlineStr">
        <is>
          <t>No</t>
        </is>
      </c>
      <c r="J652" s="25" t="inlineStr">
        <is>
          <t>Super Visa Insurance Richmond Hill, ON: Compare Quotes &amp; Costs (2026)</t>
        </is>
      </c>
      <c r="K652" s="36">
        <f>LEN(J652)</f>
        <v/>
      </c>
      <c r="L652" s="25" t="inlineStr">
        <is>
          <t>Compare super visa insurance in Richmond Hill, ON: instant estimate ($119–$184/mo example), example prices by visitor age and advisors licensed in Ontario.</t>
        </is>
      </c>
      <c r="M652" s="36">
        <f>LEN(L652)</f>
        <v/>
      </c>
      <c r="N652" s="25" t="inlineStr">
        <is>
          <t>Super Visa Insurance in Richmond Hill, ON</t>
        </is>
      </c>
      <c r="O652" s="36" t="n"/>
      <c r="P652" s="37" t="n"/>
      <c r="Q652" s="36" t="n"/>
      <c r="R652" s="36" t="inlineStr">
        <is>
          <t>super visa insurance richmond hill</t>
        </is>
      </c>
      <c r="S652" s="36">
        <f>COUNTIF('Page-Keyword Map'!$A$2:$A$675,B652)</f>
        <v/>
      </c>
      <c r="T652" s="37">
        <f>SUMIF('Page-Keyword Map'!$A$2:$A$675,B652,'Page-Keyword Map'!$H$2:$H$675)</f>
        <v/>
      </c>
      <c r="U652" s="36">
        <f>COUNTIFS('Page-Keyword Map'!$A$2:$A$675,B652,'Page-Keyword Map'!$E$2:$E$675,"Nationwide")</f>
        <v/>
      </c>
      <c r="V652" s="36">
        <f>COUNTIFS('Page-Keyword Map'!$A$2:$A$675,B652,'Page-Keyword Map'!$E$2:$E$675,"Provincial")</f>
        <v/>
      </c>
      <c r="W652" s="36">
        <f>COUNTIFS('Page-Keyword Map'!$A$2:$A$675,B652,'Page-Keyword Map'!$E$2:$E$675,"City")</f>
        <v/>
      </c>
      <c r="X652" s="36">
        <f>IF(O652="","",IF(ISNUMBER(SEARCH(O652,J652)),"Yes","No"))</f>
        <v/>
      </c>
      <c r="Y652" s="36" t="n">
        <v>0.5</v>
      </c>
      <c r="Z652" s="36" t="inlineStr">
        <is>
          <t>(not listed: noindex)</t>
        </is>
      </c>
      <c r="AA652" s="36" t="inlineStr">
        <is>
          <t>Live – noindex (enrich before indexing)</t>
        </is>
      </c>
      <c r="AB652" s="38" t="n"/>
      <c r="AC652" s="38" t="n"/>
    </row>
    <row r="653" ht="23.85" customHeight="1" s="22">
      <c r="A653" s="36" t="inlineStr">
        <is>
          <t>P0652</t>
        </is>
      </c>
      <c r="B653" s="36" t="inlineStr">
        <is>
          <t>https://instasure.ca/super-visa-insurance/ontario/st-catharines/</t>
        </is>
      </c>
      <c r="C653" s="36" t="inlineStr">
        <is>
          <t>Product × city</t>
        </is>
      </c>
      <c r="D653" s="36" t="inlineStr">
        <is>
          <t>Super Visa &amp; visitors insurance</t>
        </is>
      </c>
      <c r="E653" s="36" t="inlineStr">
        <is>
          <t>Super Visa Insurance</t>
        </is>
      </c>
      <c r="F653" s="36" t="n"/>
      <c r="G653" s="36" t="inlineStr">
        <is>
          <t>Ontario</t>
        </is>
      </c>
      <c r="H653" s="36" t="inlineStr">
        <is>
          <t>St. Catharines</t>
        </is>
      </c>
      <c r="I653" s="36" t="inlineStr">
        <is>
          <t>No</t>
        </is>
      </c>
      <c r="J653" s="25" t="inlineStr">
        <is>
          <t>Super Visa Insurance St. Catharines, ON: Compare Quotes &amp; Costs (2026)</t>
        </is>
      </c>
      <c r="K653" s="36">
        <f>LEN(J653)</f>
        <v/>
      </c>
      <c r="L653" s="25" t="inlineStr">
        <is>
          <t>Compare super visa insurance in St. Catharines, ON: instant estimate ($119–$184/mo example), example prices by visitor age and advisors licensed in Ontario.</t>
        </is>
      </c>
      <c r="M653" s="36">
        <f>LEN(L653)</f>
        <v/>
      </c>
      <c r="N653" s="25" t="inlineStr">
        <is>
          <t>Super Visa Insurance in St. Catharines, ON</t>
        </is>
      </c>
      <c r="O653" s="36" t="n"/>
      <c r="P653" s="37" t="n"/>
      <c r="Q653" s="36" t="n"/>
      <c r="R653" s="36" t="inlineStr">
        <is>
          <t>super visa insurance st. catharines</t>
        </is>
      </c>
      <c r="S653" s="36">
        <f>COUNTIF('Page-Keyword Map'!$A$2:$A$675,B653)</f>
        <v/>
      </c>
      <c r="T653" s="37">
        <f>SUMIF('Page-Keyword Map'!$A$2:$A$675,B653,'Page-Keyword Map'!$H$2:$H$675)</f>
        <v/>
      </c>
      <c r="U653" s="36">
        <f>COUNTIFS('Page-Keyword Map'!$A$2:$A$675,B653,'Page-Keyword Map'!$E$2:$E$675,"Nationwide")</f>
        <v/>
      </c>
      <c r="V653" s="36">
        <f>COUNTIFS('Page-Keyword Map'!$A$2:$A$675,B653,'Page-Keyword Map'!$E$2:$E$675,"Provincial")</f>
        <v/>
      </c>
      <c r="W653" s="36">
        <f>COUNTIFS('Page-Keyword Map'!$A$2:$A$675,B653,'Page-Keyword Map'!$E$2:$E$675,"City")</f>
        <v/>
      </c>
      <c r="X653" s="36">
        <f>IF(O653="","",IF(ISNUMBER(SEARCH(O653,J653)),"Yes","No"))</f>
        <v/>
      </c>
      <c r="Y653" s="36" t="n">
        <v>0.5</v>
      </c>
      <c r="Z653" s="36" t="inlineStr">
        <is>
          <t>(not listed: noindex)</t>
        </is>
      </c>
      <c r="AA653" s="36" t="inlineStr">
        <is>
          <t>Live – noindex (enrich before indexing)</t>
        </is>
      </c>
      <c r="AB653" s="38" t="n"/>
      <c r="AC653" s="38" t="n"/>
    </row>
    <row r="654" ht="23.85" customHeight="1" s="22">
      <c r="A654" s="36" t="inlineStr">
        <is>
          <t>P0653</t>
        </is>
      </c>
      <c r="B654" s="36" t="inlineStr">
        <is>
          <t>https://instasure.ca/super-visa-insurance/ontario/sudbury/</t>
        </is>
      </c>
      <c r="C654" s="36" t="inlineStr">
        <is>
          <t>Product × city</t>
        </is>
      </c>
      <c r="D654" s="36" t="inlineStr">
        <is>
          <t>Super Visa &amp; visitors insurance</t>
        </is>
      </c>
      <c r="E654" s="36" t="inlineStr">
        <is>
          <t>Super Visa Insurance</t>
        </is>
      </c>
      <c r="F654" s="36" t="n"/>
      <c r="G654" s="36" t="inlineStr">
        <is>
          <t>Ontario</t>
        </is>
      </c>
      <c r="H654" s="36" t="inlineStr">
        <is>
          <t>Sudbury</t>
        </is>
      </c>
      <c r="I654" s="36" t="inlineStr">
        <is>
          <t>No</t>
        </is>
      </c>
      <c r="J654" s="25" t="inlineStr">
        <is>
          <t>Super Visa Insurance Sudbury, ON: Compare Quotes &amp; Costs (2026)</t>
        </is>
      </c>
      <c r="K654" s="36">
        <f>LEN(J654)</f>
        <v/>
      </c>
      <c r="L654" s="25" t="inlineStr">
        <is>
          <t>Compare super visa insurance in Sudbury, ON: instant estimate ($119–$184/mo example), example prices by visitor age and advisors licensed in Ontario.</t>
        </is>
      </c>
      <c r="M654" s="36">
        <f>LEN(L654)</f>
        <v/>
      </c>
      <c r="N654" s="25" t="inlineStr">
        <is>
          <t>Super Visa Insurance in Sudbury, ON</t>
        </is>
      </c>
      <c r="O654" s="36" t="n"/>
      <c r="P654" s="37" t="n"/>
      <c r="Q654" s="36" t="n"/>
      <c r="R654" s="36" t="inlineStr">
        <is>
          <t>super visa insurance sudbury</t>
        </is>
      </c>
      <c r="S654" s="36">
        <f>COUNTIF('Page-Keyword Map'!$A$2:$A$675,B654)</f>
        <v/>
      </c>
      <c r="T654" s="37">
        <f>SUMIF('Page-Keyword Map'!$A$2:$A$675,B654,'Page-Keyword Map'!$H$2:$H$675)</f>
        <v/>
      </c>
      <c r="U654" s="36">
        <f>COUNTIFS('Page-Keyword Map'!$A$2:$A$675,B654,'Page-Keyword Map'!$E$2:$E$675,"Nationwide")</f>
        <v/>
      </c>
      <c r="V654" s="36">
        <f>COUNTIFS('Page-Keyword Map'!$A$2:$A$675,B654,'Page-Keyword Map'!$E$2:$E$675,"Provincial")</f>
        <v/>
      </c>
      <c r="W654" s="36">
        <f>COUNTIFS('Page-Keyword Map'!$A$2:$A$675,B654,'Page-Keyword Map'!$E$2:$E$675,"City")</f>
        <v/>
      </c>
      <c r="X654" s="36">
        <f>IF(O654="","",IF(ISNUMBER(SEARCH(O654,J654)),"Yes","No"))</f>
        <v/>
      </c>
      <c r="Y654" s="36" t="n">
        <v>0.5</v>
      </c>
      <c r="Z654" s="36" t="inlineStr">
        <is>
          <t>(not listed: noindex)</t>
        </is>
      </c>
      <c r="AA654" s="36" t="inlineStr">
        <is>
          <t>Live – noindex (enrich before indexing)</t>
        </is>
      </c>
      <c r="AB654" s="38" t="n"/>
      <c r="AC654" s="38" t="n"/>
    </row>
    <row r="655" ht="23.85" customHeight="1" s="22">
      <c r="A655" s="36" t="inlineStr">
        <is>
          <t>P0654</t>
        </is>
      </c>
      <c r="B655" s="36" t="inlineStr">
        <is>
          <t>https://instasure.ca/super-visa-insurance/ontario/thunder-bay/</t>
        </is>
      </c>
      <c r="C655" s="36" t="inlineStr">
        <is>
          <t>Product × city</t>
        </is>
      </c>
      <c r="D655" s="36" t="inlineStr">
        <is>
          <t>Super Visa &amp; visitors insurance</t>
        </is>
      </c>
      <c r="E655" s="36" t="inlineStr">
        <is>
          <t>Super Visa Insurance</t>
        </is>
      </c>
      <c r="F655" s="36" t="n"/>
      <c r="G655" s="36" t="inlineStr">
        <is>
          <t>Ontario</t>
        </is>
      </c>
      <c r="H655" s="36" t="inlineStr">
        <is>
          <t>Thunder Bay</t>
        </is>
      </c>
      <c r="I655" s="36" t="inlineStr">
        <is>
          <t>No</t>
        </is>
      </c>
      <c r="J655" s="25" t="inlineStr">
        <is>
          <t>Super Visa Insurance Thunder Bay, ON: Compare Quotes &amp; Costs (2026)</t>
        </is>
      </c>
      <c r="K655" s="36">
        <f>LEN(J655)</f>
        <v/>
      </c>
      <c r="L655" s="25" t="inlineStr">
        <is>
          <t>Compare super visa insurance in Thunder Bay, ON: instant estimate ($119–$184/mo example), example prices by visitor age and advisors licensed in Ontario.</t>
        </is>
      </c>
      <c r="M655" s="36">
        <f>LEN(L655)</f>
        <v/>
      </c>
      <c r="N655" s="25" t="inlineStr">
        <is>
          <t>Super Visa Insurance in Thunder Bay, ON</t>
        </is>
      </c>
      <c r="O655" s="36" t="n"/>
      <c r="P655" s="37" t="n"/>
      <c r="Q655" s="36" t="n"/>
      <c r="R655" s="36" t="inlineStr">
        <is>
          <t>super visa insurance thunder bay</t>
        </is>
      </c>
      <c r="S655" s="36">
        <f>COUNTIF('Page-Keyword Map'!$A$2:$A$675,B655)</f>
        <v/>
      </c>
      <c r="T655" s="37">
        <f>SUMIF('Page-Keyword Map'!$A$2:$A$675,B655,'Page-Keyword Map'!$H$2:$H$675)</f>
        <v/>
      </c>
      <c r="U655" s="36">
        <f>COUNTIFS('Page-Keyword Map'!$A$2:$A$675,B655,'Page-Keyword Map'!$E$2:$E$675,"Nationwide")</f>
        <v/>
      </c>
      <c r="V655" s="36">
        <f>COUNTIFS('Page-Keyword Map'!$A$2:$A$675,B655,'Page-Keyword Map'!$E$2:$E$675,"Provincial")</f>
        <v/>
      </c>
      <c r="W655" s="36">
        <f>COUNTIFS('Page-Keyword Map'!$A$2:$A$675,B655,'Page-Keyword Map'!$E$2:$E$675,"City")</f>
        <v/>
      </c>
      <c r="X655" s="36">
        <f>IF(O655="","",IF(ISNUMBER(SEARCH(O655,J655)),"Yes","No"))</f>
        <v/>
      </c>
      <c r="Y655" s="36" t="n">
        <v>0.5</v>
      </c>
      <c r="Z655" s="36" t="inlineStr">
        <is>
          <t>(not listed: noindex)</t>
        </is>
      </c>
      <c r="AA655" s="36" t="inlineStr">
        <is>
          <t>Live – noindex (enrich before indexing)</t>
        </is>
      </c>
      <c r="AB655" s="38" t="n"/>
      <c r="AC655" s="38" t="n"/>
    </row>
    <row r="656" ht="23.85" customHeight="1" s="22">
      <c r="A656" s="36" t="inlineStr">
        <is>
          <t>P0655</t>
        </is>
      </c>
      <c r="B656" s="36" t="inlineStr">
        <is>
          <t>https://instasure.ca/super-visa-insurance/ontario/toronto/</t>
        </is>
      </c>
      <c r="C656" s="36" t="inlineStr">
        <is>
          <t>Product × city</t>
        </is>
      </c>
      <c r="D656" s="36" t="inlineStr">
        <is>
          <t>Super Visa &amp; visitors insurance</t>
        </is>
      </c>
      <c r="E656" s="36" t="inlineStr">
        <is>
          <t>Super Visa Insurance</t>
        </is>
      </c>
      <c r="F656" s="36" t="n"/>
      <c r="G656" s="36" t="inlineStr">
        <is>
          <t>Ontario</t>
        </is>
      </c>
      <c r="H656" s="36" t="inlineStr">
        <is>
          <t>Toronto</t>
        </is>
      </c>
      <c r="I656" s="36" t="inlineStr">
        <is>
          <t>Yes</t>
        </is>
      </c>
      <c r="J656" s="25" t="inlineStr">
        <is>
          <t>Super Visa Insurance Toronto, ON: Compare Quotes &amp; Costs (2026)</t>
        </is>
      </c>
      <c r="K656" s="36">
        <f>LEN(J656)</f>
        <v/>
      </c>
      <c r="L656" s="25" t="inlineStr">
        <is>
          <t>Compare super visa insurance in Toronto, ON: instant estimate ($119–$184/mo example), example prices by visitor age and advisors licensed in Ontario.</t>
        </is>
      </c>
      <c r="M656" s="36">
        <f>LEN(L656)</f>
        <v/>
      </c>
      <c r="N656" s="25" t="inlineStr">
        <is>
          <t>Super Visa Insurance in Toronto, ON</t>
        </is>
      </c>
      <c r="O656" s="36" t="inlineStr">
        <is>
          <t>super visa insurance toronto</t>
        </is>
      </c>
      <c r="P656" s="37" t="n">
        <v>320</v>
      </c>
      <c r="Q656" s="36" t="inlineStr">
        <is>
          <t>City</t>
        </is>
      </c>
      <c r="R656" s="36" t="n"/>
      <c r="S656" s="36">
        <f>COUNTIF('Page-Keyword Map'!$A$2:$A$675,B656)</f>
        <v/>
      </c>
      <c r="T656" s="37">
        <f>SUMIF('Page-Keyword Map'!$A$2:$A$675,B656,'Page-Keyword Map'!$H$2:$H$675)</f>
        <v/>
      </c>
      <c r="U656" s="36">
        <f>COUNTIFS('Page-Keyword Map'!$A$2:$A$675,B656,'Page-Keyword Map'!$E$2:$E$675,"Nationwide")</f>
        <v/>
      </c>
      <c r="V656" s="36">
        <f>COUNTIFS('Page-Keyword Map'!$A$2:$A$675,B656,'Page-Keyword Map'!$E$2:$E$675,"Provincial")</f>
        <v/>
      </c>
      <c r="W656" s="36">
        <f>COUNTIFS('Page-Keyword Map'!$A$2:$A$675,B656,'Page-Keyword Map'!$E$2:$E$675,"City")</f>
        <v/>
      </c>
      <c r="X656" s="36">
        <f>IF(O656="","",IF(ISNUMBER(SEARCH(O656,J656)),"Yes","No"))</f>
        <v/>
      </c>
      <c r="Y656" s="36" t="n">
        <v>0.7</v>
      </c>
      <c r="Z656" s="36" t="inlineStr">
        <is>
          <t>sitemap-cities.xml</t>
        </is>
      </c>
      <c r="AA656" s="36" t="inlineStr">
        <is>
          <t>Live – indexable</t>
        </is>
      </c>
      <c r="AB656" s="38" t="n"/>
      <c r="AC656" s="38" t="n"/>
    </row>
    <row r="657" ht="23.85" customHeight="1" s="22">
      <c r="A657" s="36" t="inlineStr">
        <is>
          <t>P0656</t>
        </is>
      </c>
      <c r="B657" s="36" t="inlineStr">
        <is>
          <t>https://instasure.ca/super-visa-insurance/ontario/vaughan/</t>
        </is>
      </c>
      <c r="C657" s="36" t="inlineStr">
        <is>
          <t>Product × city</t>
        </is>
      </c>
      <c r="D657" s="36" t="inlineStr">
        <is>
          <t>Super Visa &amp; visitors insurance</t>
        </is>
      </c>
      <c r="E657" s="36" t="inlineStr">
        <is>
          <t>Super Visa Insurance</t>
        </is>
      </c>
      <c r="F657" s="36" t="n"/>
      <c r="G657" s="36" t="inlineStr">
        <is>
          <t>Ontario</t>
        </is>
      </c>
      <c r="H657" s="36" t="inlineStr">
        <is>
          <t>Vaughan</t>
        </is>
      </c>
      <c r="I657" s="36" t="inlineStr">
        <is>
          <t>Yes</t>
        </is>
      </c>
      <c r="J657" s="25" t="inlineStr">
        <is>
          <t>Super Visa Insurance Vaughan, ON: Compare Quotes &amp; Costs (2026)</t>
        </is>
      </c>
      <c r="K657" s="36">
        <f>LEN(J657)</f>
        <v/>
      </c>
      <c r="L657" s="25" t="inlineStr">
        <is>
          <t>Compare super visa insurance in Vaughan, ON: instant estimate ($119–$184/mo example), example prices by visitor age and advisors licensed in Ontario.</t>
        </is>
      </c>
      <c r="M657" s="36">
        <f>LEN(L657)</f>
        <v/>
      </c>
      <c r="N657" s="25" t="inlineStr">
        <is>
          <t>Super Visa Insurance in Vaughan, ON</t>
        </is>
      </c>
      <c r="O657" s="36" t="inlineStr">
        <is>
          <t>super visa insurance vaughan</t>
        </is>
      </c>
      <c r="P657" s="37" t="n">
        <v>28</v>
      </c>
      <c r="Q657" s="36" t="inlineStr">
        <is>
          <t>City</t>
        </is>
      </c>
      <c r="R657" s="36" t="n"/>
      <c r="S657" s="36">
        <f>COUNTIF('Page-Keyword Map'!$A$2:$A$675,B657)</f>
        <v/>
      </c>
      <c r="T657" s="37">
        <f>SUMIF('Page-Keyword Map'!$A$2:$A$675,B657,'Page-Keyword Map'!$H$2:$H$675)</f>
        <v/>
      </c>
      <c r="U657" s="36">
        <f>COUNTIFS('Page-Keyword Map'!$A$2:$A$675,B657,'Page-Keyword Map'!$E$2:$E$675,"Nationwide")</f>
        <v/>
      </c>
      <c r="V657" s="36">
        <f>COUNTIFS('Page-Keyword Map'!$A$2:$A$675,B657,'Page-Keyword Map'!$E$2:$E$675,"Provincial")</f>
        <v/>
      </c>
      <c r="W657" s="36">
        <f>COUNTIFS('Page-Keyword Map'!$A$2:$A$675,B657,'Page-Keyword Map'!$E$2:$E$675,"City")</f>
        <v/>
      </c>
      <c r="X657" s="36">
        <f>IF(O657="","",IF(ISNUMBER(SEARCH(O657,J657)),"Yes","No"))</f>
        <v/>
      </c>
      <c r="Y657" s="36" t="n">
        <v>0.7</v>
      </c>
      <c r="Z657" s="36" t="inlineStr">
        <is>
          <t>sitemap-cities.xml</t>
        </is>
      </c>
      <c r="AA657" s="36" t="inlineStr">
        <is>
          <t>Live – indexable</t>
        </is>
      </c>
      <c r="AB657" s="38" t="n"/>
      <c r="AC657" s="38" t="n"/>
    </row>
    <row r="658" ht="23.85" customHeight="1" s="22">
      <c r="A658" s="36" t="inlineStr">
        <is>
          <t>P0657</t>
        </is>
      </c>
      <c r="B658" s="36" t="inlineStr">
        <is>
          <t>https://instasure.ca/super-visa-insurance/ontario/waterloo/</t>
        </is>
      </c>
      <c r="C658" s="36" t="inlineStr">
        <is>
          <t>Product × city</t>
        </is>
      </c>
      <c r="D658" s="36" t="inlineStr">
        <is>
          <t>Super Visa &amp; visitors insurance</t>
        </is>
      </c>
      <c r="E658" s="36" t="inlineStr">
        <is>
          <t>Super Visa Insurance</t>
        </is>
      </c>
      <c r="F658" s="36" t="n"/>
      <c r="G658" s="36" t="inlineStr">
        <is>
          <t>Ontario</t>
        </is>
      </c>
      <c r="H658" s="36" t="inlineStr">
        <is>
          <t>Waterloo</t>
        </is>
      </c>
      <c r="I658" s="36" t="inlineStr">
        <is>
          <t>No</t>
        </is>
      </c>
      <c r="J658" s="25" t="inlineStr">
        <is>
          <t>Super Visa Insurance Waterloo, ON: Compare Quotes &amp; Costs (2026)</t>
        </is>
      </c>
      <c r="K658" s="36">
        <f>LEN(J658)</f>
        <v/>
      </c>
      <c r="L658" s="25" t="inlineStr">
        <is>
          <t>Compare super visa insurance in Waterloo, ON: instant estimate ($119–$184/mo example), example prices by visitor age and advisors licensed in Ontario.</t>
        </is>
      </c>
      <c r="M658" s="36">
        <f>LEN(L658)</f>
        <v/>
      </c>
      <c r="N658" s="25" t="inlineStr">
        <is>
          <t>Super Visa Insurance in Waterloo, ON</t>
        </is>
      </c>
      <c r="O658" s="36" t="n"/>
      <c r="P658" s="37" t="n"/>
      <c r="Q658" s="36" t="n"/>
      <c r="R658" s="36" t="inlineStr">
        <is>
          <t>super visa insurance waterloo</t>
        </is>
      </c>
      <c r="S658" s="36">
        <f>COUNTIF('Page-Keyword Map'!$A$2:$A$675,B658)</f>
        <v/>
      </c>
      <c r="T658" s="37">
        <f>SUMIF('Page-Keyword Map'!$A$2:$A$675,B658,'Page-Keyword Map'!$H$2:$H$675)</f>
        <v/>
      </c>
      <c r="U658" s="36">
        <f>COUNTIFS('Page-Keyword Map'!$A$2:$A$675,B658,'Page-Keyword Map'!$E$2:$E$675,"Nationwide")</f>
        <v/>
      </c>
      <c r="V658" s="36">
        <f>COUNTIFS('Page-Keyword Map'!$A$2:$A$675,B658,'Page-Keyword Map'!$E$2:$E$675,"Provincial")</f>
        <v/>
      </c>
      <c r="W658" s="36">
        <f>COUNTIFS('Page-Keyword Map'!$A$2:$A$675,B658,'Page-Keyword Map'!$E$2:$E$675,"City")</f>
        <v/>
      </c>
      <c r="X658" s="36">
        <f>IF(O658="","",IF(ISNUMBER(SEARCH(O658,J658)),"Yes","No"))</f>
        <v/>
      </c>
      <c r="Y658" s="36" t="n">
        <v>0.5</v>
      </c>
      <c r="Z658" s="36" t="inlineStr">
        <is>
          <t>(not listed: noindex)</t>
        </is>
      </c>
      <c r="AA658" s="36" t="inlineStr">
        <is>
          <t>Live – noindex (enrich before indexing)</t>
        </is>
      </c>
      <c r="AB658" s="38" t="n"/>
      <c r="AC658" s="38" t="n"/>
    </row>
    <row r="659" ht="23.85" customHeight="1" s="22">
      <c r="A659" s="36" t="inlineStr">
        <is>
          <t>P0658</t>
        </is>
      </c>
      <c r="B659" s="36" t="inlineStr">
        <is>
          <t>https://instasure.ca/super-visa-insurance/ontario/whitby/</t>
        </is>
      </c>
      <c r="C659" s="36" t="inlineStr">
        <is>
          <t>Product × city</t>
        </is>
      </c>
      <c r="D659" s="36" t="inlineStr">
        <is>
          <t>Super Visa &amp; visitors insurance</t>
        </is>
      </c>
      <c r="E659" s="36" t="inlineStr">
        <is>
          <t>Super Visa Insurance</t>
        </is>
      </c>
      <c r="F659" s="36" t="n"/>
      <c r="G659" s="36" t="inlineStr">
        <is>
          <t>Ontario</t>
        </is>
      </c>
      <c r="H659" s="36" t="inlineStr">
        <is>
          <t>Whitby</t>
        </is>
      </c>
      <c r="I659" s="36" t="inlineStr">
        <is>
          <t>No</t>
        </is>
      </c>
      <c r="J659" s="25" t="inlineStr">
        <is>
          <t>Super Visa Insurance Whitby, ON: Compare Quotes &amp; Costs (2026)</t>
        </is>
      </c>
      <c r="K659" s="36">
        <f>LEN(J659)</f>
        <v/>
      </c>
      <c r="L659" s="25" t="inlineStr">
        <is>
          <t>Compare super visa insurance in Whitby, ON: instant estimate ($119–$184/mo example), example prices by visitor age and advisors licensed in Ontario.</t>
        </is>
      </c>
      <c r="M659" s="36">
        <f>LEN(L659)</f>
        <v/>
      </c>
      <c r="N659" s="25" t="inlineStr">
        <is>
          <t>Super Visa Insurance in Whitby, ON</t>
        </is>
      </c>
      <c r="O659" s="36" t="n"/>
      <c r="P659" s="37" t="n"/>
      <c r="Q659" s="36" t="n"/>
      <c r="R659" s="36" t="inlineStr">
        <is>
          <t>super visa insurance whitby</t>
        </is>
      </c>
      <c r="S659" s="36">
        <f>COUNTIF('Page-Keyword Map'!$A$2:$A$675,B659)</f>
        <v/>
      </c>
      <c r="T659" s="37">
        <f>SUMIF('Page-Keyword Map'!$A$2:$A$675,B659,'Page-Keyword Map'!$H$2:$H$675)</f>
        <v/>
      </c>
      <c r="U659" s="36">
        <f>COUNTIFS('Page-Keyword Map'!$A$2:$A$675,B659,'Page-Keyword Map'!$E$2:$E$675,"Nationwide")</f>
        <v/>
      </c>
      <c r="V659" s="36">
        <f>COUNTIFS('Page-Keyword Map'!$A$2:$A$675,B659,'Page-Keyword Map'!$E$2:$E$675,"Provincial")</f>
        <v/>
      </c>
      <c r="W659" s="36">
        <f>COUNTIFS('Page-Keyword Map'!$A$2:$A$675,B659,'Page-Keyword Map'!$E$2:$E$675,"City")</f>
        <v/>
      </c>
      <c r="X659" s="36">
        <f>IF(O659="","",IF(ISNUMBER(SEARCH(O659,J659)),"Yes","No"))</f>
        <v/>
      </c>
      <c r="Y659" s="36" t="n">
        <v>0.5</v>
      </c>
      <c r="Z659" s="36" t="inlineStr">
        <is>
          <t>(not listed: noindex)</t>
        </is>
      </c>
      <c r="AA659" s="36" t="inlineStr">
        <is>
          <t>Live – noindex (enrich before indexing)</t>
        </is>
      </c>
      <c r="AB659" s="38" t="n"/>
      <c r="AC659" s="38" t="n"/>
    </row>
    <row r="660" ht="23.85" customHeight="1" s="22">
      <c r="A660" s="36" t="inlineStr">
        <is>
          <t>P0659</t>
        </is>
      </c>
      <c r="B660" s="36" t="inlineStr">
        <is>
          <t>https://instasure.ca/super-visa-insurance/ontario/windsor/</t>
        </is>
      </c>
      <c r="C660" s="36" t="inlineStr">
        <is>
          <t>Product × city</t>
        </is>
      </c>
      <c r="D660" s="36" t="inlineStr">
        <is>
          <t>Super Visa &amp; visitors insurance</t>
        </is>
      </c>
      <c r="E660" s="36" t="inlineStr">
        <is>
          <t>Super Visa Insurance</t>
        </is>
      </c>
      <c r="F660" s="36" t="n"/>
      <c r="G660" s="36" t="inlineStr">
        <is>
          <t>Ontario</t>
        </is>
      </c>
      <c r="H660" s="36" t="inlineStr">
        <is>
          <t>Windsor</t>
        </is>
      </c>
      <c r="I660" s="36" t="inlineStr">
        <is>
          <t>Yes</t>
        </is>
      </c>
      <c r="J660" s="25" t="inlineStr">
        <is>
          <t>Super Visa Insurance Windsor, ON: Compare Quotes &amp; Costs (2026)</t>
        </is>
      </c>
      <c r="K660" s="36">
        <f>LEN(J660)</f>
        <v/>
      </c>
      <c r="L660" s="25" t="inlineStr">
        <is>
          <t>Compare super visa insurance in Windsor, ON: instant estimate ($119–$184/mo example), example prices by visitor age and advisors licensed in Ontario.</t>
        </is>
      </c>
      <c r="M660" s="36">
        <f>LEN(L660)</f>
        <v/>
      </c>
      <c r="N660" s="25" t="inlineStr">
        <is>
          <t>Super Visa Insurance in Windsor, ON</t>
        </is>
      </c>
      <c r="O660" s="36" t="inlineStr">
        <is>
          <t>super visa insurance windsor</t>
        </is>
      </c>
      <c r="P660" s="37" t="n">
        <v>22</v>
      </c>
      <c r="Q660" s="36" t="inlineStr">
        <is>
          <t>City</t>
        </is>
      </c>
      <c r="R660" s="36" t="n"/>
      <c r="S660" s="36">
        <f>COUNTIF('Page-Keyword Map'!$A$2:$A$675,B660)</f>
        <v/>
      </c>
      <c r="T660" s="37">
        <f>SUMIF('Page-Keyword Map'!$A$2:$A$675,B660,'Page-Keyword Map'!$H$2:$H$675)</f>
        <v/>
      </c>
      <c r="U660" s="36">
        <f>COUNTIFS('Page-Keyword Map'!$A$2:$A$675,B660,'Page-Keyword Map'!$E$2:$E$675,"Nationwide")</f>
        <v/>
      </c>
      <c r="V660" s="36">
        <f>COUNTIFS('Page-Keyword Map'!$A$2:$A$675,B660,'Page-Keyword Map'!$E$2:$E$675,"Provincial")</f>
        <v/>
      </c>
      <c r="W660" s="36">
        <f>COUNTIFS('Page-Keyword Map'!$A$2:$A$675,B660,'Page-Keyword Map'!$E$2:$E$675,"City")</f>
        <v/>
      </c>
      <c r="X660" s="36">
        <f>IF(O660="","",IF(ISNUMBER(SEARCH(O660,J660)),"Yes","No"))</f>
        <v/>
      </c>
      <c r="Y660" s="36" t="n">
        <v>0.7</v>
      </c>
      <c r="Z660" s="36" t="inlineStr">
        <is>
          <t>sitemap-cities.xml</t>
        </is>
      </c>
      <c r="AA660" s="36" t="inlineStr">
        <is>
          <t>Live – indexable</t>
        </is>
      </c>
      <c r="AB660" s="38" t="n"/>
      <c r="AC660" s="38" t="n"/>
    </row>
    <row r="661" ht="23.85" customHeight="1" s="22">
      <c r="A661" s="36" t="inlineStr">
        <is>
          <t>P0660</t>
        </is>
      </c>
      <c r="B661" s="36" t="inlineStr">
        <is>
          <t>https://instasure.ca/super-visa-insurance/prince-edward-island/charlottetown/</t>
        </is>
      </c>
      <c r="C661" s="36" t="inlineStr">
        <is>
          <t>Product × city</t>
        </is>
      </c>
      <c r="D661" s="36" t="inlineStr">
        <is>
          <t>Super Visa &amp; visitors insurance</t>
        </is>
      </c>
      <c r="E661" s="36" t="inlineStr">
        <is>
          <t>Super Visa Insurance</t>
        </is>
      </c>
      <c r="F661" s="36" t="n"/>
      <c r="G661" s="36" t="inlineStr">
        <is>
          <t>Prince Edward Island</t>
        </is>
      </c>
      <c r="H661" s="36" t="inlineStr">
        <is>
          <t>Charlottetown</t>
        </is>
      </c>
      <c r="I661" s="36" t="inlineStr">
        <is>
          <t>No</t>
        </is>
      </c>
      <c r="J661" s="25" t="inlineStr">
        <is>
          <t>Super Visa Insurance Charlottetown, PE: Compare Quotes &amp; Costs (2026)</t>
        </is>
      </c>
      <c r="K661" s="36">
        <f>LEN(J661)</f>
        <v/>
      </c>
      <c r="L661" s="25" t="inlineStr">
        <is>
          <t>Compare super visa insurance in Charlottetown, PE: instant estimate ($119–$184/mo example), example prices by visitor age and advisors licensed in Prince Edward…</t>
        </is>
      </c>
      <c r="M661" s="36">
        <f>LEN(L661)</f>
        <v/>
      </c>
      <c r="N661" s="25" t="inlineStr">
        <is>
          <t>Super Visa Insurance in Charlottetown, PE</t>
        </is>
      </c>
      <c r="O661" s="36" t="n"/>
      <c r="P661" s="37" t="n"/>
      <c r="Q661" s="36" t="n"/>
      <c r="R661" s="36" t="inlineStr">
        <is>
          <t>super visa insurance charlottetown</t>
        </is>
      </c>
      <c r="S661" s="36">
        <f>COUNTIF('Page-Keyword Map'!$A$2:$A$675,B661)</f>
        <v/>
      </c>
      <c r="T661" s="37">
        <f>SUMIF('Page-Keyword Map'!$A$2:$A$675,B661,'Page-Keyword Map'!$H$2:$H$675)</f>
        <v/>
      </c>
      <c r="U661" s="36">
        <f>COUNTIFS('Page-Keyword Map'!$A$2:$A$675,B661,'Page-Keyword Map'!$E$2:$E$675,"Nationwide")</f>
        <v/>
      </c>
      <c r="V661" s="36">
        <f>COUNTIFS('Page-Keyword Map'!$A$2:$A$675,B661,'Page-Keyword Map'!$E$2:$E$675,"Provincial")</f>
        <v/>
      </c>
      <c r="W661" s="36">
        <f>COUNTIFS('Page-Keyword Map'!$A$2:$A$675,B661,'Page-Keyword Map'!$E$2:$E$675,"City")</f>
        <v/>
      </c>
      <c r="X661" s="36">
        <f>IF(O661="","",IF(ISNUMBER(SEARCH(O661,J661)),"Yes","No"))</f>
        <v/>
      </c>
      <c r="Y661" s="36" t="n">
        <v>0.5</v>
      </c>
      <c r="Z661" s="36" t="inlineStr">
        <is>
          <t>(not listed: noindex)</t>
        </is>
      </c>
      <c r="AA661" s="36" t="inlineStr">
        <is>
          <t>Live – noindex (enrich before indexing)</t>
        </is>
      </c>
      <c r="AB661" s="38" t="n"/>
      <c r="AC661" s="38" t="n"/>
    </row>
    <row r="662" ht="23.85" customHeight="1" s="22">
      <c r="A662" s="36" t="inlineStr">
        <is>
          <t>P0661</t>
        </is>
      </c>
      <c r="B662" s="36" t="inlineStr">
        <is>
          <t>https://instasure.ca/super-visa-insurance/quebec/gatineau/</t>
        </is>
      </c>
      <c r="C662" s="36" t="inlineStr">
        <is>
          <t>Product × city</t>
        </is>
      </c>
      <c r="D662" s="36" t="inlineStr">
        <is>
          <t>Super Visa &amp; visitors insurance</t>
        </is>
      </c>
      <c r="E662" s="36" t="inlineStr">
        <is>
          <t>Super Visa Insurance</t>
        </is>
      </c>
      <c r="F662" s="36" t="n"/>
      <c r="G662" s="36" t="inlineStr">
        <is>
          <t>Quebec</t>
        </is>
      </c>
      <c r="H662" s="36" t="inlineStr">
        <is>
          <t>Gatineau</t>
        </is>
      </c>
      <c r="I662" s="36" t="inlineStr">
        <is>
          <t>No</t>
        </is>
      </c>
      <c r="J662" s="25" t="inlineStr">
        <is>
          <t>Super Visa Insurance Gatineau, QC: Compare Quotes &amp; Costs (2026)</t>
        </is>
      </c>
      <c r="K662" s="36">
        <f>LEN(J662)</f>
        <v/>
      </c>
      <c r="L662" s="25" t="inlineStr">
        <is>
          <t>Compare super visa insurance in Gatineau, QC: instant estimate ($119–$184/mo example), example prices by visitor age and a waitlist for licensed advice in Quebec.</t>
        </is>
      </c>
      <c r="M662" s="36">
        <f>LEN(L662)</f>
        <v/>
      </c>
      <c r="N662" s="25" t="inlineStr">
        <is>
          <t>Super Visa Insurance in Gatineau, QC</t>
        </is>
      </c>
      <c r="O662" s="36" t="n"/>
      <c r="P662" s="37" t="n"/>
      <c r="Q662" s="36" t="n"/>
      <c r="R662" s="36" t="inlineStr">
        <is>
          <t>super visa insurance gatineau</t>
        </is>
      </c>
      <c r="S662" s="36">
        <f>COUNTIF('Page-Keyword Map'!$A$2:$A$675,B662)</f>
        <v/>
      </c>
      <c r="T662" s="37">
        <f>SUMIF('Page-Keyword Map'!$A$2:$A$675,B662,'Page-Keyword Map'!$H$2:$H$675)</f>
        <v/>
      </c>
      <c r="U662" s="36">
        <f>COUNTIFS('Page-Keyword Map'!$A$2:$A$675,B662,'Page-Keyword Map'!$E$2:$E$675,"Nationwide")</f>
        <v/>
      </c>
      <c r="V662" s="36">
        <f>COUNTIFS('Page-Keyword Map'!$A$2:$A$675,B662,'Page-Keyword Map'!$E$2:$E$675,"Provincial")</f>
        <v/>
      </c>
      <c r="W662" s="36">
        <f>COUNTIFS('Page-Keyword Map'!$A$2:$A$675,B662,'Page-Keyword Map'!$E$2:$E$675,"City")</f>
        <v/>
      </c>
      <c r="X662" s="36">
        <f>IF(O662="","",IF(ISNUMBER(SEARCH(O662,J662)),"Yes","No"))</f>
        <v/>
      </c>
      <c r="Y662" s="36" t="n">
        <v>0.5</v>
      </c>
      <c r="Z662" s="36" t="inlineStr">
        <is>
          <t>(not listed: noindex)</t>
        </is>
      </c>
      <c r="AA662" s="36" t="inlineStr">
        <is>
          <t>Live – noindex (enrich before indexing)</t>
        </is>
      </c>
      <c r="AB662" s="38" t="n"/>
      <c r="AC662" s="38" t="n"/>
    </row>
    <row r="663" ht="23.85" customHeight="1" s="22">
      <c r="A663" s="36" t="inlineStr">
        <is>
          <t>P0662</t>
        </is>
      </c>
      <c r="B663" s="36" t="inlineStr">
        <is>
          <t>https://instasure.ca/super-visa-insurance/quebec/laval/</t>
        </is>
      </c>
      <c r="C663" s="36" t="inlineStr">
        <is>
          <t>Product × city</t>
        </is>
      </c>
      <c r="D663" s="36" t="inlineStr">
        <is>
          <t>Super Visa &amp; visitors insurance</t>
        </is>
      </c>
      <c r="E663" s="36" t="inlineStr">
        <is>
          <t>Super Visa Insurance</t>
        </is>
      </c>
      <c r="F663" s="36" t="n"/>
      <c r="G663" s="36" t="inlineStr">
        <is>
          <t>Quebec</t>
        </is>
      </c>
      <c r="H663" s="36" t="inlineStr">
        <is>
          <t>Laval</t>
        </is>
      </c>
      <c r="I663" s="36" t="inlineStr">
        <is>
          <t>Yes</t>
        </is>
      </c>
      <c r="J663" s="25" t="inlineStr">
        <is>
          <t>Super Visa Insurance Laval, QC: Compare Quotes &amp; Costs (2026)</t>
        </is>
      </c>
      <c r="K663" s="36">
        <f>LEN(J663)</f>
        <v/>
      </c>
      <c r="L663" s="25" t="inlineStr">
        <is>
          <t>Compare super visa insurance in Laval, QC: instant estimate ($119–$184/mo example), example prices by visitor age and a waitlist for licensed advice in Quebec.</t>
        </is>
      </c>
      <c r="M663" s="36">
        <f>LEN(L663)</f>
        <v/>
      </c>
      <c r="N663" s="25" t="inlineStr">
        <is>
          <t>Super Visa Insurance in Laval, QC</t>
        </is>
      </c>
      <c r="O663" s="36" t="n"/>
      <c r="P663" s="37" t="n"/>
      <c r="Q663" s="36" t="n"/>
      <c r="R663" s="36" t="inlineStr">
        <is>
          <t>super visa insurance laval</t>
        </is>
      </c>
      <c r="S663" s="36">
        <f>COUNTIF('Page-Keyword Map'!$A$2:$A$675,B663)</f>
        <v/>
      </c>
      <c r="T663" s="37">
        <f>SUMIF('Page-Keyword Map'!$A$2:$A$675,B663,'Page-Keyword Map'!$H$2:$H$675)</f>
        <v/>
      </c>
      <c r="U663" s="36">
        <f>COUNTIFS('Page-Keyword Map'!$A$2:$A$675,B663,'Page-Keyword Map'!$E$2:$E$675,"Nationwide")</f>
        <v/>
      </c>
      <c r="V663" s="36">
        <f>COUNTIFS('Page-Keyword Map'!$A$2:$A$675,B663,'Page-Keyword Map'!$E$2:$E$675,"Provincial")</f>
        <v/>
      </c>
      <c r="W663" s="36">
        <f>COUNTIFS('Page-Keyword Map'!$A$2:$A$675,B663,'Page-Keyword Map'!$E$2:$E$675,"City")</f>
        <v/>
      </c>
      <c r="X663" s="36">
        <f>IF(O663="","",IF(ISNUMBER(SEARCH(O663,J663)),"Yes","No"))</f>
        <v/>
      </c>
      <c r="Y663" s="36" t="n">
        <v>0.7</v>
      </c>
      <c r="Z663" s="36" t="inlineStr">
        <is>
          <t>sitemap-cities.xml</t>
        </is>
      </c>
      <c r="AA663" s="36" t="inlineStr">
        <is>
          <t>Live – indexable</t>
        </is>
      </c>
      <c r="AB663" s="38" t="n"/>
      <c r="AC663" s="38" t="n"/>
    </row>
    <row r="664" ht="23.85" customHeight="1" s="22">
      <c r="A664" s="36" t="inlineStr">
        <is>
          <t>P0663</t>
        </is>
      </c>
      <c r="B664" s="36" t="inlineStr">
        <is>
          <t>https://instasure.ca/super-visa-insurance/quebec/longueuil/</t>
        </is>
      </c>
      <c r="C664" s="36" t="inlineStr">
        <is>
          <t>Product × city</t>
        </is>
      </c>
      <c r="D664" s="36" t="inlineStr">
        <is>
          <t>Super Visa &amp; visitors insurance</t>
        </is>
      </c>
      <c r="E664" s="36" t="inlineStr">
        <is>
          <t>Super Visa Insurance</t>
        </is>
      </c>
      <c r="F664" s="36" t="n"/>
      <c r="G664" s="36" t="inlineStr">
        <is>
          <t>Quebec</t>
        </is>
      </c>
      <c r="H664" s="36" t="inlineStr">
        <is>
          <t>Longueuil</t>
        </is>
      </c>
      <c r="I664" s="36" t="inlineStr">
        <is>
          <t>No</t>
        </is>
      </c>
      <c r="J664" s="25" t="inlineStr">
        <is>
          <t>Super Visa Insurance Longueuil, QC: Compare Quotes &amp; Costs (2026)</t>
        </is>
      </c>
      <c r="K664" s="36">
        <f>LEN(J664)</f>
        <v/>
      </c>
      <c r="L664" s="25" t="inlineStr">
        <is>
          <t>Compare super visa insurance in Longueuil, QC: instant estimate ($119–$184/mo example), example prices by visitor age and a waitlist for licensed advice in Quebec.</t>
        </is>
      </c>
      <c r="M664" s="36">
        <f>LEN(L664)</f>
        <v/>
      </c>
      <c r="N664" s="25" t="inlineStr">
        <is>
          <t>Super Visa Insurance in Longueuil, QC</t>
        </is>
      </c>
      <c r="O664" s="36" t="n"/>
      <c r="P664" s="37" t="n"/>
      <c r="Q664" s="36" t="n"/>
      <c r="R664" s="36" t="inlineStr">
        <is>
          <t>super visa insurance longueuil</t>
        </is>
      </c>
      <c r="S664" s="36">
        <f>COUNTIF('Page-Keyword Map'!$A$2:$A$675,B664)</f>
        <v/>
      </c>
      <c r="T664" s="37">
        <f>SUMIF('Page-Keyword Map'!$A$2:$A$675,B664,'Page-Keyword Map'!$H$2:$H$675)</f>
        <v/>
      </c>
      <c r="U664" s="36">
        <f>COUNTIFS('Page-Keyword Map'!$A$2:$A$675,B664,'Page-Keyword Map'!$E$2:$E$675,"Nationwide")</f>
        <v/>
      </c>
      <c r="V664" s="36">
        <f>COUNTIFS('Page-Keyword Map'!$A$2:$A$675,B664,'Page-Keyword Map'!$E$2:$E$675,"Provincial")</f>
        <v/>
      </c>
      <c r="W664" s="36">
        <f>COUNTIFS('Page-Keyword Map'!$A$2:$A$675,B664,'Page-Keyword Map'!$E$2:$E$675,"City")</f>
        <v/>
      </c>
      <c r="X664" s="36">
        <f>IF(O664="","",IF(ISNUMBER(SEARCH(O664,J664)),"Yes","No"))</f>
        <v/>
      </c>
      <c r="Y664" s="36" t="n">
        <v>0.5</v>
      </c>
      <c r="Z664" s="36" t="inlineStr">
        <is>
          <t>(not listed: noindex)</t>
        </is>
      </c>
      <c r="AA664" s="36" t="inlineStr">
        <is>
          <t>Live – noindex (enrich before indexing)</t>
        </is>
      </c>
      <c r="AB664" s="38" t="n"/>
      <c r="AC664" s="38" t="n"/>
    </row>
    <row r="665" ht="23.85" customHeight="1" s="22">
      <c r="A665" s="36" t="inlineStr">
        <is>
          <t>P0664</t>
        </is>
      </c>
      <c r="B665" s="36" t="inlineStr">
        <is>
          <t>https://instasure.ca/super-visa-insurance/quebec/montreal/</t>
        </is>
      </c>
      <c r="C665" s="36" t="inlineStr">
        <is>
          <t>Product × city</t>
        </is>
      </c>
      <c r="D665" s="36" t="inlineStr">
        <is>
          <t>Super Visa &amp; visitors insurance</t>
        </is>
      </c>
      <c r="E665" s="36" t="inlineStr">
        <is>
          <t>Super Visa Insurance</t>
        </is>
      </c>
      <c r="F665" s="36" t="n"/>
      <c r="G665" s="36" t="inlineStr">
        <is>
          <t>Quebec</t>
        </is>
      </c>
      <c r="H665" s="36" t="inlineStr">
        <is>
          <t>Montreal</t>
        </is>
      </c>
      <c r="I665" s="36" t="inlineStr">
        <is>
          <t>Yes</t>
        </is>
      </c>
      <c r="J665" s="25" t="inlineStr">
        <is>
          <t>Super Visa Insurance Montreal, QC: Compare Quotes &amp; Costs (2026)</t>
        </is>
      </c>
      <c r="K665" s="36">
        <f>LEN(J665)</f>
        <v/>
      </c>
      <c r="L665" s="25" t="inlineStr">
        <is>
          <t>Compare super visa insurance in Montreal, QC: instant estimate ($119–$184/mo example), example prices by visitor age and a waitlist for licensed advice in Quebec.</t>
        </is>
      </c>
      <c r="M665" s="36">
        <f>LEN(L665)</f>
        <v/>
      </c>
      <c r="N665" s="25" t="inlineStr">
        <is>
          <t>Super Visa Insurance in Montreal, QC</t>
        </is>
      </c>
      <c r="O665" s="36" t="inlineStr">
        <is>
          <t>super visa insurance montreal</t>
        </is>
      </c>
      <c r="P665" s="37" t="n">
        <v>46</v>
      </c>
      <c r="Q665" s="36" t="inlineStr">
        <is>
          <t>City</t>
        </is>
      </c>
      <c r="R665" s="36" t="n"/>
      <c r="S665" s="36">
        <f>COUNTIF('Page-Keyword Map'!$A$2:$A$675,B665)</f>
        <v/>
      </c>
      <c r="T665" s="37">
        <f>SUMIF('Page-Keyword Map'!$A$2:$A$675,B665,'Page-Keyword Map'!$H$2:$H$675)</f>
        <v/>
      </c>
      <c r="U665" s="36">
        <f>COUNTIFS('Page-Keyword Map'!$A$2:$A$675,B665,'Page-Keyword Map'!$E$2:$E$675,"Nationwide")</f>
        <v/>
      </c>
      <c r="V665" s="36">
        <f>COUNTIFS('Page-Keyword Map'!$A$2:$A$675,B665,'Page-Keyword Map'!$E$2:$E$675,"Provincial")</f>
        <v/>
      </c>
      <c r="W665" s="36">
        <f>COUNTIFS('Page-Keyword Map'!$A$2:$A$675,B665,'Page-Keyword Map'!$E$2:$E$675,"City")</f>
        <v/>
      </c>
      <c r="X665" s="36">
        <f>IF(O665="","",IF(ISNUMBER(SEARCH(O665,J665)),"Yes","No"))</f>
        <v/>
      </c>
      <c r="Y665" s="36" t="n">
        <v>0.7</v>
      </c>
      <c r="Z665" s="36" t="inlineStr">
        <is>
          <t>sitemap-cities.xml</t>
        </is>
      </c>
      <c r="AA665" s="36" t="inlineStr">
        <is>
          <t>Live – indexable</t>
        </is>
      </c>
      <c r="AB665" s="38" t="n"/>
      <c r="AC665" s="38" t="n"/>
    </row>
    <row r="666" ht="23.85" customHeight="1" s="22">
      <c r="A666" s="36" t="inlineStr">
        <is>
          <t>P0665</t>
        </is>
      </c>
      <c r="B666" s="36" t="inlineStr">
        <is>
          <t>https://instasure.ca/super-visa-insurance/quebec/quebec-city/</t>
        </is>
      </c>
      <c r="C666" s="36" t="inlineStr">
        <is>
          <t>Product × city</t>
        </is>
      </c>
      <c r="D666" s="36" t="inlineStr">
        <is>
          <t>Super Visa &amp; visitors insurance</t>
        </is>
      </c>
      <c r="E666" s="36" t="inlineStr">
        <is>
          <t>Super Visa Insurance</t>
        </is>
      </c>
      <c r="F666" s="36" t="n"/>
      <c r="G666" s="36" t="inlineStr">
        <is>
          <t>Quebec</t>
        </is>
      </c>
      <c r="H666" s="36" t="inlineStr">
        <is>
          <t>Quebec City</t>
        </is>
      </c>
      <c r="I666" s="36" t="inlineStr">
        <is>
          <t>Yes</t>
        </is>
      </c>
      <c r="J666" s="25" t="inlineStr">
        <is>
          <t>Super Visa Insurance Quebec City, QC: Compare Quotes &amp; Costs (2026)</t>
        </is>
      </c>
      <c r="K666" s="36">
        <f>LEN(J666)</f>
        <v/>
      </c>
      <c r="L666" s="25" t="inlineStr">
        <is>
          <t>Compare super visa insurance in Quebec City, QC: instant estimate ($119–$184/mo example), example prices by visitor age and a waitlist for licensed advice in Quebec.</t>
        </is>
      </c>
      <c r="M666" s="36">
        <f>LEN(L666)</f>
        <v/>
      </c>
      <c r="N666" s="25" t="inlineStr">
        <is>
          <t>Super Visa Insurance in Quebec City, QC</t>
        </is>
      </c>
      <c r="O666" s="36" t="n"/>
      <c r="P666" s="37" t="n"/>
      <c r="Q666" s="36" t="n"/>
      <c r="R666" s="36" t="inlineStr">
        <is>
          <t>super visa insurance quebec city</t>
        </is>
      </c>
      <c r="S666" s="36">
        <f>COUNTIF('Page-Keyword Map'!$A$2:$A$675,B666)</f>
        <v/>
      </c>
      <c r="T666" s="37">
        <f>SUMIF('Page-Keyword Map'!$A$2:$A$675,B666,'Page-Keyword Map'!$H$2:$H$675)</f>
        <v/>
      </c>
      <c r="U666" s="36">
        <f>COUNTIFS('Page-Keyword Map'!$A$2:$A$675,B666,'Page-Keyword Map'!$E$2:$E$675,"Nationwide")</f>
        <v/>
      </c>
      <c r="V666" s="36">
        <f>COUNTIFS('Page-Keyword Map'!$A$2:$A$675,B666,'Page-Keyword Map'!$E$2:$E$675,"Provincial")</f>
        <v/>
      </c>
      <c r="W666" s="36">
        <f>COUNTIFS('Page-Keyword Map'!$A$2:$A$675,B666,'Page-Keyword Map'!$E$2:$E$675,"City")</f>
        <v/>
      </c>
      <c r="X666" s="36">
        <f>IF(O666="","",IF(ISNUMBER(SEARCH(O666,J666)),"Yes","No"))</f>
        <v/>
      </c>
      <c r="Y666" s="36" t="n">
        <v>0.7</v>
      </c>
      <c r="Z666" s="36" t="inlineStr">
        <is>
          <t>sitemap-cities.xml</t>
        </is>
      </c>
      <c r="AA666" s="36" t="inlineStr">
        <is>
          <t>Live – indexable</t>
        </is>
      </c>
      <c r="AB666" s="38" t="n"/>
      <c r="AC666" s="38" t="n"/>
    </row>
    <row r="667" ht="23.85" customHeight="1" s="22">
      <c r="A667" s="36" t="inlineStr">
        <is>
          <t>P0666</t>
        </is>
      </c>
      <c r="B667" s="36" t="inlineStr">
        <is>
          <t>https://instasure.ca/super-visa-insurance/quebec/sherbrooke/</t>
        </is>
      </c>
      <c r="C667" s="36" t="inlineStr">
        <is>
          <t>Product × city</t>
        </is>
      </c>
      <c r="D667" s="36" t="inlineStr">
        <is>
          <t>Super Visa &amp; visitors insurance</t>
        </is>
      </c>
      <c r="E667" s="36" t="inlineStr">
        <is>
          <t>Super Visa Insurance</t>
        </is>
      </c>
      <c r="F667" s="36" t="n"/>
      <c r="G667" s="36" t="inlineStr">
        <is>
          <t>Quebec</t>
        </is>
      </c>
      <c r="H667" s="36" t="inlineStr">
        <is>
          <t>Sherbrooke</t>
        </is>
      </c>
      <c r="I667" s="36" t="inlineStr">
        <is>
          <t>No</t>
        </is>
      </c>
      <c r="J667" s="25" t="inlineStr">
        <is>
          <t>Super Visa Insurance Sherbrooke, QC: Compare Quotes &amp; Costs (2026)</t>
        </is>
      </c>
      <c r="K667" s="36">
        <f>LEN(J667)</f>
        <v/>
      </c>
      <c r="L667" s="25" t="inlineStr">
        <is>
          <t>Compare super visa insurance in Sherbrooke, QC: instant estimate ($119–$184/mo example), example prices by visitor age and a waitlist for licensed advice in Quebec.</t>
        </is>
      </c>
      <c r="M667" s="36">
        <f>LEN(L667)</f>
        <v/>
      </c>
      <c r="N667" s="25" t="inlineStr">
        <is>
          <t>Super Visa Insurance in Sherbrooke, QC</t>
        </is>
      </c>
      <c r="O667" s="36" t="n"/>
      <c r="P667" s="37" t="n"/>
      <c r="Q667" s="36" t="n"/>
      <c r="R667" s="36" t="inlineStr">
        <is>
          <t>super visa insurance sherbrooke</t>
        </is>
      </c>
      <c r="S667" s="36">
        <f>COUNTIF('Page-Keyword Map'!$A$2:$A$675,B667)</f>
        <v/>
      </c>
      <c r="T667" s="37">
        <f>SUMIF('Page-Keyword Map'!$A$2:$A$675,B667,'Page-Keyword Map'!$H$2:$H$675)</f>
        <v/>
      </c>
      <c r="U667" s="36">
        <f>COUNTIFS('Page-Keyword Map'!$A$2:$A$675,B667,'Page-Keyword Map'!$E$2:$E$675,"Nationwide")</f>
        <v/>
      </c>
      <c r="V667" s="36">
        <f>COUNTIFS('Page-Keyword Map'!$A$2:$A$675,B667,'Page-Keyword Map'!$E$2:$E$675,"Provincial")</f>
        <v/>
      </c>
      <c r="W667" s="36">
        <f>COUNTIFS('Page-Keyword Map'!$A$2:$A$675,B667,'Page-Keyword Map'!$E$2:$E$675,"City")</f>
        <v/>
      </c>
      <c r="X667" s="36">
        <f>IF(O667="","",IF(ISNUMBER(SEARCH(O667,J667)),"Yes","No"))</f>
        <v/>
      </c>
      <c r="Y667" s="36" t="n">
        <v>0.5</v>
      </c>
      <c r="Z667" s="36" t="inlineStr">
        <is>
          <t>(not listed: noindex)</t>
        </is>
      </c>
      <c r="AA667" s="36" t="inlineStr">
        <is>
          <t>Live – noindex (enrich before indexing)</t>
        </is>
      </c>
      <c r="AB667" s="38" t="n"/>
      <c r="AC667" s="38" t="n"/>
    </row>
    <row r="668" ht="23.85" customHeight="1" s="22">
      <c r="A668" s="36" t="inlineStr">
        <is>
          <t>P0667</t>
        </is>
      </c>
      <c r="B668" s="36" t="inlineStr">
        <is>
          <t>https://instasure.ca/super-visa-insurance/saskatchewan/regina/</t>
        </is>
      </c>
      <c r="C668" s="36" t="inlineStr">
        <is>
          <t>Product × city</t>
        </is>
      </c>
      <c r="D668" s="36" t="inlineStr">
        <is>
          <t>Super Visa &amp; visitors insurance</t>
        </is>
      </c>
      <c r="E668" s="36" t="inlineStr">
        <is>
          <t>Super Visa Insurance</t>
        </is>
      </c>
      <c r="F668" s="36" t="n"/>
      <c r="G668" s="36" t="inlineStr">
        <is>
          <t>Saskatchewan</t>
        </is>
      </c>
      <c r="H668" s="36" t="inlineStr">
        <is>
          <t>Regina</t>
        </is>
      </c>
      <c r="I668" s="36" t="inlineStr">
        <is>
          <t>Yes</t>
        </is>
      </c>
      <c r="J668" s="25" t="inlineStr">
        <is>
          <t>Super Visa Insurance Regina, SK: Compare Quotes &amp; Costs (2026)</t>
        </is>
      </c>
      <c r="K668" s="36">
        <f>LEN(J668)</f>
        <v/>
      </c>
      <c r="L668" s="25" t="inlineStr">
        <is>
          <t>Compare super visa insurance in Regina, SK: instant estimate ($119–$184/mo example), example prices by visitor age and advisors licensed in Saskatchewan.</t>
        </is>
      </c>
      <c r="M668" s="36">
        <f>LEN(L668)</f>
        <v/>
      </c>
      <c r="N668" s="25" t="inlineStr">
        <is>
          <t>Super Visa Insurance in Regina, SK</t>
        </is>
      </c>
      <c r="O668" s="36" t="inlineStr">
        <is>
          <t>super visa insurance regina</t>
        </is>
      </c>
      <c r="P668" s="37" t="n">
        <v>43</v>
      </c>
      <c r="Q668" s="36" t="inlineStr">
        <is>
          <t>City</t>
        </is>
      </c>
      <c r="R668" s="36" t="n"/>
      <c r="S668" s="36">
        <f>COUNTIF('Page-Keyword Map'!$A$2:$A$675,B668)</f>
        <v/>
      </c>
      <c r="T668" s="37">
        <f>SUMIF('Page-Keyword Map'!$A$2:$A$675,B668,'Page-Keyword Map'!$H$2:$H$675)</f>
        <v/>
      </c>
      <c r="U668" s="36">
        <f>COUNTIFS('Page-Keyword Map'!$A$2:$A$675,B668,'Page-Keyword Map'!$E$2:$E$675,"Nationwide")</f>
        <v/>
      </c>
      <c r="V668" s="36">
        <f>COUNTIFS('Page-Keyword Map'!$A$2:$A$675,B668,'Page-Keyword Map'!$E$2:$E$675,"Provincial")</f>
        <v/>
      </c>
      <c r="W668" s="36">
        <f>COUNTIFS('Page-Keyword Map'!$A$2:$A$675,B668,'Page-Keyword Map'!$E$2:$E$675,"City")</f>
        <v/>
      </c>
      <c r="X668" s="36">
        <f>IF(O668="","",IF(ISNUMBER(SEARCH(O668,J668)),"Yes","No"))</f>
        <v/>
      </c>
      <c r="Y668" s="36" t="n">
        <v>0.7</v>
      </c>
      <c r="Z668" s="36" t="inlineStr">
        <is>
          <t>sitemap-cities.xml</t>
        </is>
      </c>
      <c r="AA668" s="36" t="inlineStr">
        <is>
          <t>Live – indexable</t>
        </is>
      </c>
      <c r="AB668" s="38" t="n"/>
      <c r="AC668" s="38" t="n"/>
    </row>
    <row r="669" ht="23.85" customHeight="1" s="22">
      <c r="A669" s="36" t="inlineStr">
        <is>
          <t>P0668</t>
        </is>
      </c>
      <c r="B669" s="36" t="inlineStr">
        <is>
          <t>https://instasure.ca/super-visa-insurance/saskatchewan/saskatoon/</t>
        </is>
      </c>
      <c r="C669" s="36" t="inlineStr">
        <is>
          <t>Product × city</t>
        </is>
      </c>
      <c r="D669" s="36" t="inlineStr">
        <is>
          <t>Super Visa &amp; visitors insurance</t>
        </is>
      </c>
      <c r="E669" s="36" t="inlineStr">
        <is>
          <t>Super Visa Insurance</t>
        </is>
      </c>
      <c r="F669" s="36" t="n"/>
      <c r="G669" s="36" t="inlineStr">
        <is>
          <t>Saskatchewan</t>
        </is>
      </c>
      <c r="H669" s="36" t="inlineStr">
        <is>
          <t>Saskatoon</t>
        </is>
      </c>
      <c r="I669" s="36" t="inlineStr">
        <is>
          <t>Yes</t>
        </is>
      </c>
      <c r="J669" s="25" t="inlineStr">
        <is>
          <t>Super Visa Insurance Saskatoon, SK: Compare Quotes &amp; Costs (2026)</t>
        </is>
      </c>
      <c r="K669" s="36">
        <f>LEN(J669)</f>
        <v/>
      </c>
      <c r="L669" s="25" t="inlineStr">
        <is>
          <t>Compare super visa insurance in Saskatoon, SK: instant estimate ($119–$184/mo example), example prices by visitor age and advisors licensed in Saskatchewan.</t>
        </is>
      </c>
      <c r="M669" s="36">
        <f>LEN(L669)</f>
        <v/>
      </c>
      <c r="N669" s="25" t="inlineStr">
        <is>
          <t>Super Visa Insurance in Saskatoon, SK</t>
        </is>
      </c>
      <c r="O669" s="36" t="inlineStr">
        <is>
          <t>super visa insurance saskatoon</t>
        </is>
      </c>
      <c r="P669" s="37" t="n">
        <v>49</v>
      </c>
      <c r="Q669" s="36" t="inlineStr">
        <is>
          <t>City</t>
        </is>
      </c>
      <c r="R669" s="36" t="n"/>
      <c r="S669" s="36">
        <f>COUNTIF('Page-Keyword Map'!$A$2:$A$675,B669)</f>
        <v/>
      </c>
      <c r="T669" s="37">
        <f>SUMIF('Page-Keyword Map'!$A$2:$A$675,B669,'Page-Keyword Map'!$H$2:$H$675)</f>
        <v/>
      </c>
      <c r="U669" s="36">
        <f>COUNTIFS('Page-Keyword Map'!$A$2:$A$675,B669,'Page-Keyword Map'!$E$2:$E$675,"Nationwide")</f>
        <v/>
      </c>
      <c r="V669" s="36">
        <f>COUNTIFS('Page-Keyword Map'!$A$2:$A$675,B669,'Page-Keyword Map'!$E$2:$E$675,"Provincial")</f>
        <v/>
      </c>
      <c r="W669" s="36">
        <f>COUNTIFS('Page-Keyword Map'!$A$2:$A$675,B669,'Page-Keyword Map'!$E$2:$E$675,"City")</f>
        <v/>
      </c>
      <c r="X669" s="36">
        <f>IF(O669="","",IF(ISNUMBER(SEARCH(O669,J669)),"Yes","No"))</f>
        <v/>
      </c>
      <c r="Y669" s="36" t="n">
        <v>0.7</v>
      </c>
      <c r="Z669" s="36" t="inlineStr">
        <is>
          <t>sitemap-cities.xml</t>
        </is>
      </c>
      <c r="AA669" s="36" t="inlineStr">
        <is>
          <t>Live – indexable</t>
        </is>
      </c>
      <c r="AB669" s="38" t="n"/>
      <c r="AC669" s="38" t="n"/>
    </row>
    <row r="670" ht="23.85" customHeight="1" s="22">
      <c r="A670" s="36" t="inlineStr">
        <is>
          <t>P0669</t>
        </is>
      </c>
      <c r="B670" s="36" t="inlineStr">
        <is>
          <t>https://instasure.ca/super-visa-insurance/yukon/whitehorse/</t>
        </is>
      </c>
      <c r="C670" s="36" t="inlineStr">
        <is>
          <t>Product × city</t>
        </is>
      </c>
      <c r="D670" s="36" t="inlineStr">
        <is>
          <t>Super Visa &amp; visitors insurance</t>
        </is>
      </c>
      <c r="E670" s="36" t="inlineStr">
        <is>
          <t>Super Visa Insurance</t>
        </is>
      </c>
      <c r="F670" s="36" t="n"/>
      <c r="G670" s="36" t="inlineStr">
        <is>
          <t>Yukon</t>
        </is>
      </c>
      <c r="H670" s="36" t="inlineStr">
        <is>
          <t>Whitehorse</t>
        </is>
      </c>
      <c r="I670" s="36" t="inlineStr">
        <is>
          <t>No</t>
        </is>
      </c>
      <c r="J670" s="25" t="inlineStr">
        <is>
          <t>Super Visa Insurance Whitehorse, YT: Compare Quotes &amp; Costs (2026)</t>
        </is>
      </c>
      <c r="K670" s="36">
        <f>LEN(J670)</f>
        <v/>
      </c>
      <c r="L670" s="25" t="inlineStr">
        <is>
          <t>Compare super visa insurance in Whitehorse, YT: instant estimate ($119–$184/mo example), example prices by visitor age and a waitlist for licensed advice in Yukon.</t>
        </is>
      </c>
      <c r="M670" s="36">
        <f>LEN(L670)</f>
        <v/>
      </c>
      <c r="N670" s="25" t="inlineStr">
        <is>
          <t>Super Visa Insurance in Whitehorse, YT</t>
        </is>
      </c>
      <c r="O670" s="36" t="n"/>
      <c r="P670" s="37" t="n"/>
      <c r="Q670" s="36" t="n"/>
      <c r="R670" s="36" t="inlineStr">
        <is>
          <t>super visa insurance whitehorse</t>
        </is>
      </c>
      <c r="S670" s="36">
        <f>COUNTIF('Page-Keyword Map'!$A$2:$A$675,B670)</f>
        <v/>
      </c>
      <c r="T670" s="37">
        <f>SUMIF('Page-Keyword Map'!$A$2:$A$675,B670,'Page-Keyword Map'!$H$2:$H$675)</f>
        <v/>
      </c>
      <c r="U670" s="36">
        <f>COUNTIFS('Page-Keyword Map'!$A$2:$A$675,B670,'Page-Keyword Map'!$E$2:$E$675,"Nationwide")</f>
        <v/>
      </c>
      <c r="V670" s="36">
        <f>COUNTIFS('Page-Keyword Map'!$A$2:$A$675,B670,'Page-Keyword Map'!$E$2:$E$675,"Provincial")</f>
        <v/>
      </c>
      <c r="W670" s="36">
        <f>COUNTIFS('Page-Keyword Map'!$A$2:$A$675,B670,'Page-Keyword Map'!$E$2:$E$675,"City")</f>
        <v/>
      </c>
      <c r="X670" s="36">
        <f>IF(O670="","",IF(ISNUMBER(SEARCH(O670,J670)),"Yes","No"))</f>
        <v/>
      </c>
      <c r="Y670" s="36" t="n">
        <v>0.5</v>
      </c>
      <c r="Z670" s="36" t="inlineStr">
        <is>
          <t>(not listed: noindex)</t>
        </is>
      </c>
      <c r="AA670" s="36" t="inlineStr">
        <is>
          <t>Live – noindex (enrich before indexing)</t>
        </is>
      </c>
      <c r="AB670" s="38" t="n"/>
      <c r="AC670" s="38" t="n"/>
    </row>
    <row r="671" ht="23.85" customHeight="1" s="22">
      <c r="A671" s="36" t="inlineStr">
        <is>
          <t>P0670</t>
        </is>
      </c>
      <c r="B671" s="36" t="inlineStr">
        <is>
          <t>https://instasure.ca/tenant-insurance/alberta/airdrie/</t>
        </is>
      </c>
      <c r="C671" s="36" t="inlineStr">
        <is>
          <t>Product × city</t>
        </is>
      </c>
      <c r="D671" s="36" t="inlineStr">
        <is>
          <t>Tenant insurance</t>
        </is>
      </c>
      <c r="E671" s="36" t="inlineStr">
        <is>
          <t>Tenant Insurance</t>
        </is>
      </c>
      <c r="F671" s="36" t="n"/>
      <c r="G671" s="36" t="inlineStr">
        <is>
          <t>Alberta</t>
        </is>
      </c>
      <c r="H671" s="36" t="inlineStr">
        <is>
          <t>Airdrie</t>
        </is>
      </c>
      <c r="I671" s="36" t="inlineStr">
        <is>
          <t>No</t>
        </is>
      </c>
      <c r="J671" s="25" t="inlineStr">
        <is>
          <t>Tenant Insurance Airdrie, AB: Compare Quotes &amp; Costs (2026)</t>
        </is>
      </c>
      <c r="K671" s="36">
        <f>LEN(J671)</f>
        <v/>
      </c>
      <c r="L671" s="25" t="inlineStr">
        <is>
          <t>Compare tenant insurance in Airdrie, AB: instant estimate ($21.00–$35.00/mo example), local risk factors and advisors licensed in Alberta.</t>
        </is>
      </c>
      <c r="M671" s="36">
        <f>LEN(L671)</f>
        <v/>
      </c>
      <c r="N671" s="25" t="inlineStr">
        <is>
          <t>Tenant Insurance in Airdrie, AB</t>
        </is>
      </c>
      <c r="O671" s="36" t="inlineStr">
        <is>
          <t>tenant insurance airdrie</t>
        </is>
      </c>
      <c r="P671" s="37" t="n">
        <v>71</v>
      </c>
      <c r="Q671" s="36" t="inlineStr">
        <is>
          <t>City</t>
        </is>
      </c>
      <c r="R671" s="36" t="n"/>
      <c r="S671" s="36">
        <f>COUNTIF('Page-Keyword Map'!$A$2:$A$675,B671)</f>
        <v/>
      </c>
      <c r="T671" s="37">
        <f>SUMIF('Page-Keyword Map'!$A$2:$A$675,B671,'Page-Keyword Map'!$H$2:$H$675)</f>
        <v/>
      </c>
      <c r="U671" s="36">
        <f>COUNTIFS('Page-Keyword Map'!$A$2:$A$675,B671,'Page-Keyword Map'!$E$2:$E$675,"Nationwide")</f>
        <v/>
      </c>
      <c r="V671" s="36">
        <f>COUNTIFS('Page-Keyword Map'!$A$2:$A$675,B671,'Page-Keyword Map'!$E$2:$E$675,"Provincial")</f>
        <v/>
      </c>
      <c r="W671" s="36">
        <f>COUNTIFS('Page-Keyword Map'!$A$2:$A$675,B671,'Page-Keyword Map'!$E$2:$E$675,"City")</f>
        <v/>
      </c>
      <c r="X671" s="36">
        <f>IF(O671="","",IF(ISNUMBER(SEARCH(O671,J671)),"Yes","No"))</f>
        <v/>
      </c>
      <c r="Y671" s="36" t="n">
        <v>0.5</v>
      </c>
      <c r="Z671" s="36" t="inlineStr">
        <is>
          <t>(not listed: noindex)</t>
        </is>
      </c>
      <c r="AA671" s="36" t="inlineStr">
        <is>
          <t>Live – noindex (enrich before indexing)</t>
        </is>
      </c>
      <c r="AB671" s="38" t="n"/>
      <c r="AC671" s="38" t="n"/>
    </row>
    <row r="672" ht="23.85" customHeight="1" s="22">
      <c r="A672" s="36" t="inlineStr">
        <is>
          <t>P0671</t>
        </is>
      </c>
      <c r="B672" s="36" t="inlineStr">
        <is>
          <t>https://instasure.ca/tenant-insurance/alberta/calgary/</t>
        </is>
      </c>
      <c r="C672" s="36" t="inlineStr">
        <is>
          <t>Product × city</t>
        </is>
      </c>
      <c r="D672" s="36" t="inlineStr">
        <is>
          <t>Tenant insurance</t>
        </is>
      </c>
      <c r="E672" s="36" t="inlineStr">
        <is>
          <t>Tenant Insurance</t>
        </is>
      </c>
      <c r="F672" s="36" t="n"/>
      <c r="G672" s="36" t="inlineStr">
        <is>
          <t>Alberta</t>
        </is>
      </c>
      <c r="H672" s="36" t="inlineStr">
        <is>
          <t>Calgary</t>
        </is>
      </c>
      <c r="I672" s="36" t="inlineStr">
        <is>
          <t>Yes</t>
        </is>
      </c>
      <c r="J672" s="25" t="inlineStr">
        <is>
          <t>Tenant Insurance Calgary, AB: Compare Quotes &amp; Costs (2026)</t>
        </is>
      </c>
      <c r="K672" s="36">
        <f>LEN(J672)</f>
        <v/>
      </c>
      <c r="L672" s="25" t="inlineStr">
        <is>
          <t>Compare tenant insurance in Calgary, AB: instant estimate ($22.00–$36.00/mo example), local risk factors and advisors licensed in Alberta.</t>
        </is>
      </c>
      <c r="M672" s="36">
        <f>LEN(L672)</f>
        <v/>
      </c>
      <c r="N672" s="25" t="inlineStr">
        <is>
          <t>Tenant Insurance in Calgary, AB</t>
        </is>
      </c>
      <c r="O672" s="36" t="inlineStr">
        <is>
          <t>tenant insurance calgary</t>
        </is>
      </c>
      <c r="P672" s="37" t="n">
        <v>710</v>
      </c>
      <c r="Q672" s="36" t="inlineStr">
        <is>
          <t>City</t>
        </is>
      </c>
      <c r="R672" s="36" t="n"/>
      <c r="S672" s="36">
        <f>COUNTIF('Page-Keyword Map'!$A$2:$A$675,B672)</f>
        <v/>
      </c>
      <c r="T672" s="37">
        <f>SUMIF('Page-Keyword Map'!$A$2:$A$675,B672,'Page-Keyword Map'!$H$2:$H$675)</f>
        <v/>
      </c>
      <c r="U672" s="36">
        <f>COUNTIFS('Page-Keyword Map'!$A$2:$A$675,B672,'Page-Keyword Map'!$E$2:$E$675,"Nationwide")</f>
        <v/>
      </c>
      <c r="V672" s="36">
        <f>COUNTIFS('Page-Keyword Map'!$A$2:$A$675,B672,'Page-Keyword Map'!$E$2:$E$675,"Provincial")</f>
        <v/>
      </c>
      <c r="W672" s="36">
        <f>COUNTIFS('Page-Keyword Map'!$A$2:$A$675,B672,'Page-Keyword Map'!$E$2:$E$675,"City")</f>
        <v/>
      </c>
      <c r="X672" s="36">
        <f>IF(O672="","",IF(ISNUMBER(SEARCH(O672,J672)),"Yes","No"))</f>
        <v/>
      </c>
      <c r="Y672" s="36" t="n">
        <v>0.7</v>
      </c>
      <c r="Z672" s="36" t="inlineStr">
        <is>
          <t>sitemap-cities.xml</t>
        </is>
      </c>
      <c r="AA672" s="36" t="inlineStr">
        <is>
          <t>Live – indexable</t>
        </is>
      </c>
      <c r="AB672" s="38" t="n"/>
      <c r="AC672" s="38" t="n"/>
    </row>
    <row r="673" ht="23.85" customHeight="1" s="22">
      <c r="A673" s="36" t="inlineStr">
        <is>
          <t>P0672</t>
        </is>
      </c>
      <c r="B673" s="36" t="inlineStr">
        <is>
          <t>https://instasure.ca/tenant-insurance/alberta/edmonton/</t>
        </is>
      </c>
      <c r="C673" s="36" t="inlineStr">
        <is>
          <t>Product × city</t>
        </is>
      </c>
      <c r="D673" s="36" t="inlineStr">
        <is>
          <t>Tenant insurance</t>
        </is>
      </c>
      <c r="E673" s="36" t="inlineStr">
        <is>
          <t>Tenant Insurance</t>
        </is>
      </c>
      <c r="F673" s="36" t="n"/>
      <c r="G673" s="36" t="inlineStr">
        <is>
          <t>Alberta</t>
        </is>
      </c>
      <c r="H673" s="36" t="inlineStr">
        <is>
          <t>Edmonton</t>
        </is>
      </c>
      <c r="I673" s="36" t="inlineStr">
        <is>
          <t>Yes</t>
        </is>
      </c>
      <c r="J673" s="25" t="inlineStr">
        <is>
          <t>Tenant Insurance Edmonton, AB: Compare Quotes &amp; Costs (2026)</t>
        </is>
      </c>
      <c r="K673" s="36">
        <f>LEN(J673)</f>
        <v/>
      </c>
      <c r="L673" s="25" t="inlineStr">
        <is>
          <t>Compare tenant insurance in Edmonton, AB: instant estimate ($20.00–$33.00/mo example), local risk factors and advisors licensed in Alberta.</t>
        </is>
      </c>
      <c r="M673" s="36">
        <f>LEN(L673)</f>
        <v/>
      </c>
      <c r="N673" s="25" t="inlineStr">
        <is>
          <t>Tenant Insurance in Edmonton, AB</t>
        </is>
      </c>
      <c r="O673" s="36" t="inlineStr">
        <is>
          <t>tenant insurance edmonton</t>
        </is>
      </c>
      <c r="P673" s="37" t="n">
        <v>570</v>
      </c>
      <c r="Q673" s="36" t="inlineStr">
        <is>
          <t>City</t>
        </is>
      </c>
      <c r="R673" s="36" t="n"/>
      <c r="S673" s="36">
        <f>COUNTIF('Page-Keyword Map'!$A$2:$A$675,B673)</f>
        <v/>
      </c>
      <c r="T673" s="37">
        <f>SUMIF('Page-Keyword Map'!$A$2:$A$675,B673,'Page-Keyword Map'!$H$2:$H$675)</f>
        <v/>
      </c>
      <c r="U673" s="36">
        <f>COUNTIFS('Page-Keyword Map'!$A$2:$A$675,B673,'Page-Keyword Map'!$E$2:$E$675,"Nationwide")</f>
        <v/>
      </c>
      <c r="V673" s="36">
        <f>COUNTIFS('Page-Keyword Map'!$A$2:$A$675,B673,'Page-Keyword Map'!$E$2:$E$675,"Provincial")</f>
        <v/>
      </c>
      <c r="W673" s="36">
        <f>COUNTIFS('Page-Keyword Map'!$A$2:$A$675,B673,'Page-Keyword Map'!$E$2:$E$675,"City")</f>
        <v/>
      </c>
      <c r="X673" s="36">
        <f>IF(O673="","",IF(ISNUMBER(SEARCH(O673,J673)),"Yes","No"))</f>
        <v/>
      </c>
      <c r="Y673" s="36" t="n">
        <v>0.7</v>
      </c>
      <c r="Z673" s="36" t="inlineStr">
        <is>
          <t>sitemap-cities.xml</t>
        </is>
      </c>
      <c r="AA673" s="36" t="inlineStr">
        <is>
          <t>Live – indexable</t>
        </is>
      </c>
      <c r="AB673" s="38" t="n"/>
      <c r="AC673" s="38" t="n"/>
    </row>
    <row r="674" ht="23.85" customHeight="1" s="22">
      <c r="A674" s="36" t="inlineStr">
        <is>
          <t>P0673</t>
        </is>
      </c>
      <c r="B674" s="36" t="inlineStr">
        <is>
          <t>https://instasure.ca/tenant-insurance/alberta/lethbridge/</t>
        </is>
      </c>
      <c r="C674" s="36" t="inlineStr">
        <is>
          <t>Product × city</t>
        </is>
      </c>
      <c r="D674" s="36" t="inlineStr">
        <is>
          <t>Tenant insurance</t>
        </is>
      </c>
      <c r="E674" s="36" t="inlineStr">
        <is>
          <t>Tenant Insurance</t>
        </is>
      </c>
      <c r="F674" s="36" t="n"/>
      <c r="G674" s="36" t="inlineStr">
        <is>
          <t>Alberta</t>
        </is>
      </c>
      <c r="H674" s="36" t="inlineStr">
        <is>
          <t>Lethbridge</t>
        </is>
      </c>
      <c r="I674" s="36" t="inlineStr">
        <is>
          <t>Yes</t>
        </is>
      </c>
      <c r="J674" s="25" t="inlineStr">
        <is>
          <t>Tenant Insurance Lethbridge, AB: Compare Quotes &amp; Costs (2026)</t>
        </is>
      </c>
      <c r="K674" s="36">
        <f>LEN(J674)</f>
        <v/>
      </c>
      <c r="L674" s="25" t="inlineStr">
        <is>
          <t>Compare tenant insurance in Lethbridge, AB: instant estimate ($21.00–$33.00/mo example), local risk factors and advisors licensed in Alberta.</t>
        </is>
      </c>
      <c r="M674" s="36">
        <f>LEN(L674)</f>
        <v/>
      </c>
      <c r="N674" s="25" t="inlineStr">
        <is>
          <t>Tenant Insurance in Lethbridge, AB</t>
        </is>
      </c>
      <c r="O674" s="36" t="inlineStr">
        <is>
          <t>tenant insurance lethbridge</t>
        </is>
      </c>
      <c r="P674" s="37" t="n">
        <v>89</v>
      </c>
      <c r="Q674" s="36" t="inlineStr">
        <is>
          <t>City</t>
        </is>
      </c>
      <c r="R674" s="36" t="n"/>
      <c r="S674" s="36">
        <f>COUNTIF('Page-Keyword Map'!$A$2:$A$675,B674)</f>
        <v/>
      </c>
      <c r="T674" s="37">
        <f>SUMIF('Page-Keyword Map'!$A$2:$A$675,B674,'Page-Keyword Map'!$H$2:$H$675)</f>
        <v/>
      </c>
      <c r="U674" s="36">
        <f>COUNTIFS('Page-Keyword Map'!$A$2:$A$675,B674,'Page-Keyword Map'!$E$2:$E$675,"Nationwide")</f>
        <v/>
      </c>
      <c r="V674" s="36">
        <f>COUNTIFS('Page-Keyword Map'!$A$2:$A$675,B674,'Page-Keyword Map'!$E$2:$E$675,"Provincial")</f>
        <v/>
      </c>
      <c r="W674" s="36">
        <f>COUNTIFS('Page-Keyword Map'!$A$2:$A$675,B674,'Page-Keyword Map'!$E$2:$E$675,"City")</f>
        <v/>
      </c>
      <c r="X674" s="36">
        <f>IF(O674="","",IF(ISNUMBER(SEARCH(O674,J674)),"Yes","No"))</f>
        <v/>
      </c>
      <c r="Y674" s="36" t="n">
        <v>0.5</v>
      </c>
      <c r="Z674" s="36" t="inlineStr">
        <is>
          <t>sitemap-cities.xml</t>
        </is>
      </c>
      <c r="AA674" s="36" t="inlineStr">
        <is>
          <t>Live – indexable</t>
        </is>
      </c>
      <c r="AB674" s="38" t="n"/>
      <c r="AC674" s="38" t="n"/>
    </row>
    <row r="675" ht="23.85" customHeight="1" s="22">
      <c r="A675" s="36" t="inlineStr">
        <is>
          <t>P0674</t>
        </is>
      </c>
      <c r="B675" s="36" t="inlineStr">
        <is>
          <t>https://instasure.ca/tenant-insurance/alberta/red-deer/</t>
        </is>
      </c>
      <c r="C675" s="36" t="inlineStr">
        <is>
          <t>Product × city</t>
        </is>
      </c>
      <c r="D675" s="36" t="inlineStr">
        <is>
          <t>Tenant insurance</t>
        </is>
      </c>
      <c r="E675" s="36" t="inlineStr">
        <is>
          <t>Tenant Insurance</t>
        </is>
      </c>
      <c r="F675" s="36" t="n"/>
      <c r="G675" s="36" t="inlineStr">
        <is>
          <t>Alberta</t>
        </is>
      </c>
      <c r="H675" s="36" t="inlineStr">
        <is>
          <t>Red Deer</t>
        </is>
      </c>
      <c r="I675" s="36" t="inlineStr">
        <is>
          <t>Yes</t>
        </is>
      </c>
      <c r="J675" s="25" t="inlineStr">
        <is>
          <t>Tenant Insurance Red Deer, AB: Compare Quotes &amp; Costs (2026)</t>
        </is>
      </c>
      <c r="K675" s="36">
        <f>LEN(J675)</f>
        <v/>
      </c>
      <c r="L675" s="25" t="inlineStr">
        <is>
          <t>Compare tenant insurance in Red Deer, AB: instant estimate ($21.00–$34.00/mo example), local risk factors and advisors licensed in Alberta.</t>
        </is>
      </c>
      <c r="M675" s="36">
        <f>LEN(L675)</f>
        <v/>
      </c>
      <c r="N675" s="25" t="inlineStr">
        <is>
          <t>Tenant Insurance in Red Deer, AB</t>
        </is>
      </c>
      <c r="O675" s="36" t="inlineStr">
        <is>
          <t>tenant insurance red deer</t>
        </is>
      </c>
      <c r="P675" s="37" t="n">
        <v>91</v>
      </c>
      <c r="Q675" s="36" t="inlineStr">
        <is>
          <t>City</t>
        </is>
      </c>
      <c r="R675" s="36" t="n"/>
      <c r="S675" s="36">
        <f>COUNTIF('Page-Keyword Map'!$A$2:$A$675,B675)</f>
        <v/>
      </c>
      <c r="T675" s="37">
        <f>SUMIF('Page-Keyword Map'!$A$2:$A$675,B675,'Page-Keyword Map'!$H$2:$H$675)</f>
        <v/>
      </c>
      <c r="U675" s="36">
        <f>COUNTIFS('Page-Keyword Map'!$A$2:$A$675,B675,'Page-Keyword Map'!$E$2:$E$675,"Nationwide")</f>
        <v/>
      </c>
      <c r="V675" s="36">
        <f>COUNTIFS('Page-Keyword Map'!$A$2:$A$675,B675,'Page-Keyword Map'!$E$2:$E$675,"Provincial")</f>
        <v/>
      </c>
      <c r="W675" s="36">
        <f>COUNTIFS('Page-Keyword Map'!$A$2:$A$675,B675,'Page-Keyword Map'!$E$2:$E$675,"City")</f>
        <v/>
      </c>
      <c r="X675" s="36">
        <f>IF(O675="","",IF(ISNUMBER(SEARCH(O675,J675)),"Yes","No"))</f>
        <v/>
      </c>
      <c r="Y675" s="36" t="n">
        <v>0.5</v>
      </c>
      <c r="Z675" s="36" t="inlineStr">
        <is>
          <t>sitemap-cities.xml</t>
        </is>
      </c>
      <c r="AA675" s="36" t="inlineStr">
        <is>
          <t>Live – indexable</t>
        </is>
      </c>
      <c r="AB675" s="38" t="n"/>
      <c r="AC675" s="38" t="n"/>
    </row>
    <row r="676" ht="23.85" customHeight="1" s="22">
      <c r="A676" s="36" t="inlineStr">
        <is>
          <t>P0675</t>
        </is>
      </c>
      <c r="B676" s="36" t="inlineStr">
        <is>
          <t>https://instasure.ca/tenant-insurance/british-columbia/abbotsford/</t>
        </is>
      </c>
      <c r="C676" s="36" t="inlineStr">
        <is>
          <t>Product × city</t>
        </is>
      </c>
      <c r="D676" s="36" t="inlineStr">
        <is>
          <t>Tenant insurance</t>
        </is>
      </c>
      <c r="E676" s="36" t="inlineStr">
        <is>
          <t>Tenant Insurance</t>
        </is>
      </c>
      <c r="F676" s="36" t="n"/>
      <c r="G676" s="36" t="inlineStr">
        <is>
          <t>British Columbia</t>
        </is>
      </c>
      <c r="H676" s="36" t="inlineStr">
        <is>
          <t>Abbotsford</t>
        </is>
      </c>
      <c r="I676" s="36" t="inlineStr">
        <is>
          <t>Yes</t>
        </is>
      </c>
      <c r="J676" s="25" t="inlineStr">
        <is>
          <t>Tenant Insurance Abbotsford, BC: Compare Quotes &amp; Costs (2026)</t>
        </is>
      </c>
      <c r="K676" s="36">
        <f>LEN(J676)</f>
        <v/>
      </c>
      <c r="L676" s="25" t="inlineStr">
        <is>
          <t>Compare tenant insurance in Abbotsford, BC: instant estimate ($20.00–$32.00/mo example), local risk factors and advisors licensed in British Columbia.</t>
        </is>
      </c>
      <c r="M676" s="36">
        <f>LEN(L676)</f>
        <v/>
      </c>
      <c r="N676" s="25" t="inlineStr">
        <is>
          <t>Tenant Insurance in Abbotsford, BC</t>
        </is>
      </c>
      <c r="O676" s="36" t="inlineStr">
        <is>
          <t>tenant insurance abbotsford</t>
        </is>
      </c>
      <c r="P676" s="37" t="n">
        <v>130</v>
      </c>
      <c r="Q676" s="36" t="inlineStr">
        <is>
          <t>City</t>
        </is>
      </c>
      <c r="R676" s="36" t="n"/>
      <c r="S676" s="36">
        <f>COUNTIF('Page-Keyword Map'!$A$2:$A$675,B676)</f>
        <v/>
      </c>
      <c r="T676" s="37">
        <f>SUMIF('Page-Keyword Map'!$A$2:$A$675,B676,'Page-Keyword Map'!$H$2:$H$675)</f>
        <v/>
      </c>
      <c r="U676" s="36">
        <f>COUNTIFS('Page-Keyword Map'!$A$2:$A$675,B676,'Page-Keyword Map'!$E$2:$E$675,"Nationwide")</f>
        <v/>
      </c>
      <c r="V676" s="36">
        <f>COUNTIFS('Page-Keyword Map'!$A$2:$A$675,B676,'Page-Keyword Map'!$E$2:$E$675,"Provincial")</f>
        <v/>
      </c>
      <c r="W676" s="36">
        <f>COUNTIFS('Page-Keyword Map'!$A$2:$A$675,B676,'Page-Keyword Map'!$E$2:$E$675,"City")</f>
        <v/>
      </c>
      <c r="X676" s="36">
        <f>IF(O676="","",IF(ISNUMBER(SEARCH(O676,J676)),"Yes","No"))</f>
        <v/>
      </c>
      <c r="Y676" s="36" t="n">
        <v>0.5</v>
      </c>
      <c r="Z676" s="36" t="inlineStr">
        <is>
          <t>sitemap-cities.xml</t>
        </is>
      </c>
      <c r="AA676" s="36" t="inlineStr">
        <is>
          <t>Live – indexable</t>
        </is>
      </c>
      <c r="AB676" s="38" t="n"/>
      <c r="AC676" s="38" t="n"/>
    </row>
    <row r="677" ht="23.85" customHeight="1" s="22">
      <c r="A677" s="36" t="inlineStr">
        <is>
          <t>P0676</t>
        </is>
      </c>
      <c r="B677" s="36" t="inlineStr">
        <is>
          <t>https://instasure.ca/tenant-insurance/british-columbia/burnaby/</t>
        </is>
      </c>
      <c r="C677" s="36" t="inlineStr">
        <is>
          <t>Product × city</t>
        </is>
      </c>
      <c r="D677" s="36" t="inlineStr">
        <is>
          <t>Tenant insurance</t>
        </is>
      </c>
      <c r="E677" s="36" t="inlineStr">
        <is>
          <t>Tenant Insurance</t>
        </is>
      </c>
      <c r="F677" s="36" t="n"/>
      <c r="G677" s="36" t="inlineStr">
        <is>
          <t>British Columbia</t>
        </is>
      </c>
      <c r="H677" s="36" t="inlineStr">
        <is>
          <t>Burnaby</t>
        </is>
      </c>
      <c r="I677" s="36" t="inlineStr">
        <is>
          <t>Yes</t>
        </is>
      </c>
      <c r="J677" s="25" t="inlineStr">
        <is>
          <t>Tenant Insurance Burnaby, BC: Compare Quotes &amp; Costs (2026)</t>
        </is>
      </c>
      <c r="K677" s="36">
        <f>LEN(J677)</f>
        <v/>
      </c>
      <c r="L677" s="25" t="inlineStr">
        <is>
          <t>Compare tenant insurance in Burnaby, BC: instant estimate ($19.00–$30.00/mo example), local risk factors and advisors licensed in British Columbia.</t>
        </is>
      </c>
      <c r="M677" s="36">
        <f>LEN(L677)</f>
        <v/>
      </c>
      <c r="N677" s="25" t="inlineStr">
        <is>
          <t>Tenant Insurance in Burnaby, BC</t>
        </is>
      </c>
      <c r="O677" s="36" t="inlineStr">
        <is>
          <t>tenant insurance burnaby</t>
        </is>
      </c>
      <c r="P677" s="37" t="n">
        <v>190</v>
      </c>
      <c r="Q677" s="36" t="inlineStr">
        <is>
          <t>City</t>
        </is>
      </c>
      <c r="R677" s="36" t="n"/>
      <c r="S677" s="36">
        <f>COUNTIF('Page-Keyword Map'!$A$2:$A$675,B677)</f>
        <v/>
      </c>
      <c r="T677" s="37">
        <f>SUMIF('Page-Keyword Map'!$A$2:$A$675,B677,'Page-Keyword Map'!$H$2:$H$675)</f>
        <v/>
      </c>
      <c r="U677" s="36">
        <f>COUNTIFS('Page-Keyword Map'!$A$2:$A$675,B677,'Page-Keyword Map'!$E$2:$E$675,"Nationwide")</f>
        <v/>
      </c>
      <c r="V677" s="36">
        <f>COUNTIFS('Page-Keyword Map'!$A$2:$A$675,B677,'Page-Keyword Map'!$E$2:$E$675,"Provincial")</f>
        <v/>
      </c>
      <c r="W677" s="36">
        <f>COUNTIFS('Page-Keyword Map'!$A$2:$A$675,B677,'Page-Keyword Map'!$E$2:$E$675,"City")</f>
        <v/>
      </c>
      <c r="X677" s="36">
        <f>IF(O677="","",IF(ISNUMBER(SEARCH(O677,J677)),"Yes","No"))</f>
        <v/>
      </c>
      <c r="Y677" s="36" t="n">
        <v>0.7</v>
      </c>
      <c r="Z677" s="36" t="inlineStr">
        <is>
          <t>sitemap-cities.xml</t>
        </is>
      </c>
      <c r="AA677" s="36" t="inlineStr">
        <is>
          <t>Live – indexable</t>
        </is>
      </c>
      <c r="AB677" s="38" t="n"/>
      <c r="AC677" s="38" t="n"/>
    </row>
    <row r="678" ht="23.85" customHeight="1" s="22">
      <c r="A678" s="36" t="inlineStr">
        <is>
          <t>P0677</t>
        </is>
      </c>
      <c r="B678" s="36" t="inlineStr">
        <is>
          <t>https://instasure.ca/tenant-insurance/british-columbia/coquitlam/</t>
        </is>
      </c>
      <c r="C678" s="36" t="inlineStr">
        <is>
          <t>Product × city</t>
        </is>
      </c>
      <c r="D678" s="36" t="inlineStr">
        <is>
          <t>Tenant insurance</t>
        </is>
      </c>
      <c r="E678" s="36" t="inlineStr">
        <is>
          <t>Tenant Insurance</t>
        </is>
      </c>
      <c r="F678" s="36" t="n"/>
      <c r="G678" s="36" t="inlineStr">
        <is>
          <t>British Columbia</t>
        </is>
      </c>
      <c r="H678" s="36" t="inlineStr">
        <is>
          <t>Coquitlam</t>
        </is>
      </c>
      <c r="I678" s="36" t="inlineStr">
        <is>
          <t>Yes</t>
        </is>
      </c>
      <c r="J678" s="25" t="inlineStr">
        <is>
          <t>Tenant Insurance Coquitlam, BC: Compare Quotes &amp; Costs (2026)</t>
        </is>
      </c>
      <c r="K678" s="36">
        <f>LEN(J678)</f>
        <v/>
      </c>
      <c r="L678" s="25" t="inlineStr">
        <is>
          <t>Compare tenant insurance in Coquitlam, BC: instant estimate ($19.00–$30.00/mo example), local risk factors and advisors licensed in British Columbia.</t>
        </is>
      </c>
      <c r="M678" s="36">
        <f>LEN(L678)</f>
        <v/>
      </c>
      <c r="N678" s="25" t="inlineStr">
        <is>
          <t>Tenant Insurance in Coquitlam, BC</t>
        </is>
      </c>
      <c r="O678" s="36" t="inlineStr">
        <is>
          <t>tenant insurance coquitlam</t>
        </is>
      </c>
      <c r="P678" s="37" t="n">
        <v>120</v>
      </c>
      <c r="Q678" s="36" t="inlineStr">
        <is>
          <t>City</t>
        </is>
      </c>
      <c r="R678" s="36" t="n"/>
      <c r="S678" s="36">
        <f>COUNTIF('Page-Keyword Map'!$A$2:$A$675,B678)</f>
        <v/>
      </c>
      <c r="T678" s="37">
        <f>SUMIF('Page-Keyword Map'!$A$2:$A$675,B678,'Page-Keyword Map'!$H$2:$H$675)</f>
        <v/>
      </c>
      <c r="U678" s="36">
        <f>COUNTIFS('Page-Keyword Map'!$A$2:$A$675,B678,'Page-Keyword Map'!$E$2:$E$675,"Nationwide")</f>
        <v/>
      </c>
      <c r="V678" s="36">
        <f>COUNTIFS('Page-Keyword Map'!$A$2:$A$675,B678,'Page-Keyword Map'!$E$2:$E$675,"Provincial")</f>
        <v/>
      </c>
      <c r="W678" s="36">
        <f>COUNTIFS('Page-Keyword Map'!$A$2:$A$675,B678,'Page-Keyword Map'!$E$2:$E$675,"City")</f>
        <v/>
      </c>
      <c r="X678" s="36">
        <f>IF(O678="","",IF(ISNUMBER(SEARCH(O678,J678)),"Yes","No"))</f>
        <v/>
      </c>
      <c r="Y678" s="36" t="n">
        <v>0.5</v>
      </c>
      <c r="Z678" s="36" t="inlineStr">
        <is>
          <t>sitemap-cities.xml</t>
        </is>
      </c>
      <c r="AA678" s="36" t="inlineStr">
        <is>
          <t>Live – indexable</t>
        </is>
      </c>
      <c r="AB678" s="38" t="n"/>
      <c r="AC678" s="38" t="n"/>
    </row>
    <row r="679" ht="23.85" customHeight="1" s="22">
      <c r="A679" s="36" t="inlineStr">
        <is>
          <t>P0678</t>
        </is>
      </c>
      <c r="B679" s="36" t="inlineStr">
        <is>
          <t>https://instasure.ca/tenant-insurance/british-columbia/kelowna/</t>
        </is>
      </c>
      <c r="C679" s="36" t="inlineStr">
        <is>
          <t>Product × city</t>
        </is>
      </c>
      <c r="D679" s="36" t="inlineStr">
        <is>
          <t>Tenant insurance</t>
        </is>
      </c>
      <c r="E679" s="36" t="inlineStr">
        <is>
          <t>Tenant Insurance</t>
        </is>
      </c>
      <c r="F679" s="36" t="n"/>
      <c r="G679" s="36" t="inlineStr">
        <is>
          <t>British Columbia</t>
        </is>
      </c>
      <c r="H679" s="36" t="inlineStr">
        <is>
          <t>Kelowna</t>
        </is>
      </c>
      <c r="I679" s="36" t="inlineStr">
        <is>
          <t>Yes</t>
        </is>
      </c>
      <c r="J679" s="25" t="inlineStr">
        <is>
          <t>Tenant Insurance Kelowna, BC: Compare Quotes &amp; Costs (2026)</t>
        </is>
      </c>
      <c r="K679" s="36">
        <f>LEN(J679)</f>
        <v/>
      </c>
      <c r="L679" s="25" t="inlineStr">
        <is>
          <t>Compare tenant insurance in Kelowna, BC: instant estimate ($19.00–$30.00/mo example), local risk factors and advisors licensed in British Columbia.</t>
        </is>
      </c>
      <c r="M679" s="36">
        <f>LEN(L679)</f>
        <v/>
      </c>
      <c r="N679" s="25" t="inlineStr">
        <is>
          <t>Tenant Insurance in Kelowna, BC</t>
        </is>
      </c>
      <c r="O679" s="36" t="inlineStr">
        <is>
          <t>tenant insurance kelowna</t>
        </is>
      </c>
      <c r="P679" s="37" t="n">
        <v>120</v>
      </c>
      <c r="Q679" s="36" t="inlineStr">
        <is>
          <t>City</t>
        </is>
      </c>
      <c r="R679" s="36" t="n"/>
      <c r="S679" s="36">
        <f>COUNTIF('Page-Keyword Map'!$A$2:$A$675,B679)</f>
        <v/>
      </c>
      <c r="T679" s="37">
        <f>SUMIF('Page-Keyword Map'!$A$2:$A$675,B679,'Page-Keyword Map'!$H$2:$H$675)</f>
        <v/>
      </c>
      <c r="U679" s="36">
        <f>COUNTIFS('Page-Keyword Map'!$A$2:$A$675,B679,'Page-Keyword Map'!$E$2:$E$675,"Nationwide")</f>
        <v/>
      </c>
      <c r="V679" s="36">
        <f>COUNTIFS('Page-Keyword Map'!$A$2:$A$675,B679,'Page-Keyword Map'!$E$2:$E$675,"Provincial")</f>
        <v/>
      </c>
      <c r="W679" s="36">
        <f>COUNTIFS('Page-Keyword Map'!$A$2:$A$675,B679,'Page-Keyword Map'!$E$2:$E$675,"City")</f>
        <v/>
      </c>
      <c r="X679" s="36">
        <f>IF(O679="","",IF(ISNUMBER(SEARCH(O679,J679)),"Yes","No"))</f>
        <v/>
      </c>
      <c r="Y679" s="36" t="n">
        <v>0.7</v>
      </c>
      <c r="Z679" s="36" t="inlineStr">
        <is>
          <t>sitemap-cities.xml</t>
        </is>
      </c>
      <c r="AA679" s="36" t="inlineStr">
        <is>
          <t>Live – indexable</t>
        </is>
      </c>
      <c r="AB679" s="38" t="n"/>
      <c r="AC679" s="38" t="n"/>
    </row>
    <row r="680" ht="23.85" customHeight="1" s="22">
      <c r="A680" s="36" t="inlineStr">
        <is>
          <t>P0679</t>
        </is>
      </c>
      <c r="B680" s="36" t="inlineStr">
        <is>
          <t>https://instasure.ca/tenant-insurance/british-columbia/langley/</t>
        </is>
      </c>
      <c r="C680" s="36" t="inlineStr">
        <is>
          <t>Product × city</t>
        </is>
      </c>
      <c r="D680" s="36" t="inlineStr">
        <is>
          <t>Tenant insurance</t>
        </is>
      </c>
      <c r="E680" s="36" t="inlineStr">
        <is>
          <t>Tenant Insurance</t>
        </is>
      </c>
      <c r="F680" s="36" t="n"/>
      <c r="G680" s="36" t="inlineStr">
        <is>
          <t>British Columbia</t>
        </is>
      </c>
      <c r="H680" s="36" t="inlineStr">
        <is>
          <t>Langley</t>
        </is>
      </c>
      <c r="I680" s="36" t="inlineStr">
        <is>
          <t>No</t>
        </is>
      </c>
      <c r="J680" s="25" t="inlineStr">
        <is>
          <t>Tenant Insurance Langley, BC: Compare Quotes &amp; Costs (2026)</t>
        </is>
      </c>
      <c r="K680" s="36">
        <f>LEN(J680)</f>
        <v/>
      </c>
      <c r="L680" s="25" t="inlineStr">
        <is>
          <t>Compare tenant insurance in Langley, BC: instant estimate ($19.00–$30.00/mo example), local risk factors and advisors licensed in British Columbia.</t>
        </is>
      </c>
      <c r="M680" s="36">
        <f>LEN(L680)</f>
        <v/>
      </c>
      <c r="N680" s="25" t="inlineStr">
        <is>
          <t>Tenant Insurance in Langley, BC</t>
        </is>
      </c>
      <c r="O680" s="36" t="inlineStr">
        <is>
          <t>tenant insurance langley</t>
        </is>
      </c>
      <c r="P680" s="37" t="n">
        <v>110</v>
      </c>
      <c r="Q680" s="36" t="inlineStr">
        <is>
          <t>City</t>
        </is>
      </c>
      <c r="R680" s="36" t="n"/>
      <c r="S680" s="36">
        <f>COUNTIF('Page-Keyword Map'!$A$2:$A$675,B680)</f>
        <v/>
      </c>
      <c r="T680" s="37">
        <f>SUMIF('Page-Keyword Map'!$A$2:$A$675,B680,'Page-Keyword Map'!$H$2:$H$675)</f>
        <v/>
      </c>
      <c r="U680" s="36">
        <f>COUNTIFS('Page-Keyword Map'!$A$2:$A$675,B680,'Page-Keyword Map'!$E$2:$E$675,"Nationwide")</f>
        <v/>
      </c>
      <c r="V680" s="36">
        <f>COUNTIFS('Page-Keyword Map'!$A$2:$A$675,B680,'Page-Keyword Map'!$E$2:$E$675,"Provincial")</f>
        <v/>
      </c>
      <c r="W680" s="36">
        <f>COUNTIFS('Page-Keyword Map'!$A$2:$A$675,B680,'Page-Keyword Map'!$E$2:$E$675,"City")</f>
        <v/>
      </c>
      <c r="X680" s="36">
        <f>IF(O680="","",IF(ISNUMBER(SEARCH(O680,J680)),"Yes","No"))</f>
        <v/>
      </c>
      <c r="Y680" s="36" t="n">
        <v>0.5</v>
      </c>
      <c r="Z680" s="36" t="inlineStr">
        <is>
          <t>(not listed: noindex)</t>
        </is>
      </c>
      <c r="AA680" s="36" t="inlineStr">
        <is>
          <t>Live – noindex (enrich before indexing)</t>
        </is>
      </c>
      <c r="AB680" s="38" t="n"/>
      <c r="AC680" s="38" t="n"/>
    </row>
    <row r="681" ht="23.85" customHeight="1" s="22">
      <c r="A681" s="36" t="inlineStr">
        <is>
          <t>P0680</t>
        </is>
      </c>
      <c r="B681" s="36" t="inlineStr">
        <is>
          <t>https://instasure.ca/tenant-insurance/british-columbia/richmond/</t>
        </is>
      </c>
      <c r="C681" s="36" t="inlineStr">
        <is>
          <t>Product × city</t>
        </is>
      </c>
      <c r="D681" s="36" t="inlineStr">
        <is>
          <t>Tenant insurance</t>
        </is>
      </c>
      <c r="E681" s="36" t="inlineStr">
        <is>
          <t>Tenant Insurance</t>
        </is>
      </c>
      <c r="F681" s="36" t="n"/>
      <c r="G681" s="36" t="inlineStr">
        <is>
          <t>British Columbia</t>
        </is>
      </c>
      <c r="H681" s="36" t="inlineStr">
        <is>
          <t>Richmond</t>
        </is>
      </c>
      <c r="I681" s="36" t="inlineStr">
        <is>
          <t>Yes</t>
        </is>
      </c>
      <c r="J681" s="25" t="inlineStr">
        <is>
          <t>Tenant Insurance Richmond, BC: Compare Quotes &amp; Costs (2026)</t>
        </is>
      </c>
      <c r="K681" s="36">
        <f>LEN(J681)</f>
        <v/>
      </c>
      <c r="L681" s="25" t="inlineStr">
        <is>
          <t>Compare tenant insurance in Richmond, BC: instant estimate ($19.00–$31.00/mo example), local risk factors and advisors licensed in British Columbia.</t>
        </is>
      </c>
      <c r="M681" s="36">
        <f>LEN(L681)</f>
        <v/>
      </c>
      <c r="N681" s="25" t="inlineStr">
        <is>
          <t>Tenant Insurance in Richmond, BC</t>
        </is>
      </c>
      <c r="O681" s="36" t="inlineStr">
        <is>
          <t>tenant insurance richmond bc</t>
        </is>
      </c>
      <c r="P681" s="37" t="n">
        <v>160</v>
      </c>
      <c r="Q681" s="36" t="inlineStr">
        <is>
          <t>City</t>
        </is>
      </c>
      <c r="R681" s="36" t="n"/>
      <c r="S681" s="36">
        <f>COUNTIF('Page-Keyword Map'!$A$2:$A$675,B681)</f>
        <v/>
      </c>
      <c r="T681" s="37">
        <f>SUMIF('Page-Keyword Map'!$A$2:$A$675,B681,'Page-Keyword Map'!$H$2:$H$675)</f>
        <v/>
      </c>
      <c r="U681" s="36">
        <f>COUNTIFS('Page-Keyword Map'!$A$2:$A$675,B681,'Page-Keyword Map'!$E$2:$E$675,"Nationwide")</f>
        <v/>
      </c>
      <c r="V681" s="36">
        <f>COUNTIFS('Page-Keyword Map'!$A$2:$A$675,B681,'Page-Keyword Map'!$E$2:$E$675,"Provincial")</f>
        <v/>
      </c>
      <c r="W681" s="36">
        <f>COUNTIFS('Page-Keyword Map'!$A$2:$A$675,B681,'Page-Keyword Map'!$E$2:$E$675,"City")</f>
        <v/>
      </c>
      <c r="X681" s="36">
        <f>IF(O681="","",IF(ISNUMBER(SEARCH(O681,J681)),"Yes","No"))</f>
        <v/>
      </c>
      <c r="Y681" s="36" t="n">
        <v>0.5</v>
      </c>
      <c r="Z681" s="36" t="inlineStr">
        <is>
          <t>sitemap-cities.xml</t>
        </is>
      </c>
      <c r="AA681" s="36" t="inlineStr">
        <is>
          <t>Live – indexable</t>
        </is>
      </c>
      <c r="AB681" s="38" t="n"/>
      <c r="AC681" s="38" t="n"/>
    </row>
    <row r="682" ht="23.85" customHeight="1" s="22">
      <c r="A682" s="36" t="inlineStr">
        <is>
          <t>P0681</t>
        </is>
      </c>
      <c r="B682" s="36" t="inlineStr">
        <is>
          <t>https://instasure.ca/tenant-insurance/british-columbia/surrey/</t>
        </is>
      </c>
      <c r="C682" s="36" t="inlineStr">
        <is>
          <t>Product × city</t>
        </is>
      </c>
      <c r="D682" s="36" t="inlineStr">
        <is>
          <t>Tenant insurance</t>
        </is>
      </c>
      <c r="E682" s="36" t="inlineStr">
        <is>
          <t>Tenant Insurance</t>
        </is>
      </c>
      <c r="F682" s="36" t="n"/>
      <c r="G682" s="36" t="inlineStr">
        <is>
          <t>British Columbia</t>
        </is>
      </c>
      <c r="H682" s="36" t="inlineStr">
        <is>
          <t>Surrey</t>
        </is>
      </c>
      <c r="I682" s="36" t="inlineStr">
        <is>
          <t>Yes</t>
        </is>
      </c>
      <c r="J682" s="25" t="inlineStr">
        <is>
          <t>Tenant Insurance Surrey, BC: Compare Quotes &amp; Costs (2026)</t>
        </is>
      </c>
      <c r="K682" s="36">
        <f>LEN(J682)</f>
        <v/>
      </c>
      <c r="L682" s="25" t="inlineStr">
        <is>
          <t>Compare tenant insurance in Surrey, BC: instant estimate ($19.00–$30.00/mo example), local risk factors and advisors licensed in British Columbia.</t>
        </is>
      </c>
      <c r="M682" s="36">
        <f>LEN(L682)</f>
        <v/>
      </c>
      <c r="N682" s="25" t="inlineStr">
        <is>
          <t>Tenant Insurance in Surrey, BC</t>
        </is>
      </c>
      <c r="O682" s="36" t="inlineStr">
        <is>
          <t>tenant insurance surrey</t>
        </is>
      </c>
      <c r="P682" s="37" t="n">
        <v>360</v>
      </c>
      <c r="Q682" s="36" t="inlineStr">
        <is>
          <t>City</t>
        </is>
      </c>
      <c r="R682" s="36" t="n"/>
      <c r="S682" s="36">
        <f>COUNTIF('Page-Keyword Map'!$A$2:$A$675,B682)</f>
        <v/>
      </c>
      <c r="T682" s="37">
        <f>SUMIF('Page-Keyword Map'!$A$2:$A$675,B682,'Page-Keyword Map'!$H$2:$H$675)</f>
        <v/>
      </c>
      <c r="U682" s="36">
        <f>COUNTIFS('Page-Keyword Map'!$A$2:$A$675,B682,'Page-Keyword Map'!$E$2:$E$675,"Nationwide")</f>
        <v/>
      </c>
      <c r="V682" s="36">
        <f>COUNTIFS('Page-Keyword Map'!$A$2:$A$675,B682,'Page-Keyword Map'!$E$2:$E$675,"Provincial")</f>
        <v/>
      </c>
      <c r="W682" s="36">
        <f>COUNTIFS('Page-Keyword Map'!$A$2:$A$675,B682,'Page-Keyword Map'!$E$2:$E$675,"City")</f>
        <v/>
      </c>
      <c r="X682" s="36">
        <f>IF(O682="","",IF(ISNUMBER(SEARCH(O682,J682)),"Yes","No"))</f>
        <v/>
      </c>
      <c r="Y682" s="36" t="n">
        <v>0.7</v>
      </c>
      <c r="Z682" s="36" t="inlineStr">
        <is>
          <t>sitemap-cities.xml</t>
        </is>
      </c>
      <c r="AA682" s="36" t="inlineStr">
        <is>
          <t>Live – indexable</t>
        </is>
      </c>
      <c r="AB682" s="38" t="n"/>
      <c r="AC682" s="38" t="n"/>
    </row>
    <row r="683" ht="23.85" customHeight="1" s="22">
      <c r="A683" s="36" t="inlineStr">
        <is>
          <t>P0682</t>
        </is>
      </c>
      <c r="B683" s="36" t="inlineStr">
        <is>
          <t>https://instasure.ca/tenant-insurance/british-columbia/vancouver/</t>
        </is>
      </c>
      <c r="C683" s="36" t="inlineStr">
        <is>
          <t>Product × city</t>
        </is>
      </c>
      <c r="D683" s="36" t="inlineStr">
        <is>
          <t>Tenant insurance</t>
        </is>
      </c>
      <c r="E683" s="36" t="inlineStr">
        <is>
          <t>Tenant Insurance</t>
        </is>
      </c>
      <c r="F683" s="36" t="n"/>
      <c r="G683" s="36" t="inlineStr">
        <is>
          <t>British Columbia</t>
        </is>
      </c>
      <c r="H683" s="36" t="inlineStr">
        <is>
          <t>Vancouver</t>
        </is>
      </c>
      <c r="I683" s="36" t="inlineStr">
        <is>
          <t>Yes</t>
        </is>
      </c>
      <c r="J683" s="25" t="inlineStr">
        <is>
          <t>Tenant Insurance Vancouver, BC: Compare Quotes &amp; Costs (2026)</t>
        </is>
      </c>
      <c r="K683" s="36">
        <f>LEN(J683)</f>
        <v/>
      </c>
      <c r="L683" s="25" t="inlineStr">
        <is>
          <t>Compare tenant insurance in Vancouver, BC: instant estimate ($19.00–$30.00/mo example), local risk factors and advisors licensed in British Columbia.</t>
        </is>
      </c>
      <c r="M683" s="36">
        <f>LEN(L683)</f>
        <v/>
      </c>
      <c r="N683" s="25" t="inlineStr">
        <is>
          <t>Tenant Insurance in Vancouver, BC</t>
        </is>
      </c>
      <c r="O683" s="36" t="inlineStr">
        <is>
          <t>tenant insurance vancouver</t>
        </is>
      </c>
      <c r="P683" s="37" t="n">
        <v>410</v>
      </c>
      <c r="Q683" s="36" t="inlineStr">
        <is>
          <t>City</t>
        </is>
      </c>
      <c r="R683" s="36" t="n"/>
      <c r="S683" s="36">
        <f>COUNTIF('Page-Keyword Map'!$A$2:$A$675,B683)</f>
        <v/>
      </c>
      <c r="T683" s="37">
        <f>SUMIF('Page-Keyword Map'!$A$2:$A$675,B683,'Page-Keyword Map'!$H$2:$H$675)</f>
        <v/>
      </c>
      <c r="U683" s="36">
        <f>COUNTIFS('Page-Keyword Map'!$A$2:$A$675,B683,'Page-Keyword Map'!$E$2:$E$675,"Nationwide")</f>
        <v/>
      </c>
      <c r="V683" s="36">
        <f>COUNTIFS('Page-Keyword Map'!$A$2:$A$675,B683,'Page-Keyword Map'!$E$2:$E$675,"Provincial")</f>
        <v/>
      </c>
      <c r="W683" s="36">
        <f>COUNTIFS('Page-Keyword Map'!$A$2:$A$675,B683,'Page-Keyword Map'!$E$2:$E$675,"City")</f>
        <v/>
      </c>
      <c r="X683" s="36">
        <f>IF(O683="","",IF(ISNUMBER(SEARCH(O683,J683)),"Yes","No"))</f>
        <v/>
      </c>
      <c r="Y683" s="36" t="n">
        <v>0.7</v>
      </c>
      <c r="Z683" s="36" t="inlineStr">
        <is>
          <t>sitemap-cities.xml</t>
        </is>
      </c>
      <c r="AA683" s="36" t="inlineStr">
        <is>
          <t>Live – indexable</t>
        </is>
      </c>
      <c r="AB683" s="38" t="n"/>
      <c r="AC683" s="38" t="n"/>
    </row>
    <row r="684" ht="23.85" customHeight="1" s="22">
      <c r="A684" s="36" t="inlineStr">
        <is>
          <t>P0683</t>
        </is>
      </c>
      <c r="B684" s="36" t="inlineStr">
        <is>
          <t>https://instasure.ca/tenant-insurance/british-columbia/victoria/</t>
        </is>
      </c>
      <c r="C684" s="36" t="inlineStr">
        <is>
          <t>Product × city</t>
        </is>
      </c>
      <c r="D684" s="36" t="inlineStr">
        <is>
          <t>Tenant insurance</t>
        </is>
      </c>
      <c r="E684" s="36" t="inlineStr">
        <is>
          <t>Tenant Insurance</t>
        </is>
      </c>
      <c r="F684" s="36" t="n"/>
      <c r="G684" s="36" t="inlineStr">
        <is>
          <t>British Columbia</t>
        </is>
      </c>
      <c r="H684" s="36" t="inlineStr">
        <is>
          <t>Victoria</t>
        </is>
      </c>
      <c r="I684" s="36" t="inlineStr">
        <is>
          <t>Yes</t>
        </is>
      </c>
      <c r="J684" s="25" t="inlineStr">
        <is>
          <t>Tenant Insurance Victoria, BC: Compare Quotes &amp; Costs (2026)</t>
        </is>
      </c>
      <c r="K684" s="36">
        <f>LEN(J684)</f>
        <v/>
      </c>
      <c r="L684" s="25" t="inlineStr">
        <is>
          <t>Compare tenant insurance in Victoria, BC: instant estimate ($19.00–$30.00/mo example), local risk factors and advisors licensed in British Columbia.</t>
        </is>
      </c>
      <c r="M684" s="36">
        <f>LEN(L684)</f>
        <v/>
      </c>
      <c r="N684" s="25" t="inlineStr">
        <is>
          <t>Tenant Insurance in Victoria, BC</t>
        </is>
      </c>
      <c r="O684" s="36" t="inlineStr">
        <is>
          <t>tenant insurance victoria</t>
        </is>
      </c>
      <c r="P684" s="37" t="n">
        <v>84</v>
      </c>
      <c r="Q684" s="36" t="inlineStr">
        <is>
          <t>City</t>
        </is>
      </c>
      <c r="R684" s="36" t="n"/>
      <c r="S684" s="36">
        <f>COUNTIF('Page-Keyword Map'!$A$2:$A$675,B684)</f>
        <v/>
      </c>
      <c r="T684" s="37">
        <f>SUMIF('Page-Keyword Map'!$A$2:$A$675,B684,'Page-Keyword Map'!$H$2:$H$675)</f>
        <v/>
      </c>
      <c r="U684" s="36">
        <f>COUNTIFS('Page-Keyword Map'!$A$2:$A$675,B684,'Page-Keyword Map'!$E$2:$E$675,"Nationwide")</f>
        <v/>
      </c>
      <c r="V684" s="36">
        <f>COUNTIFS('Page-Keyword Map'!$A$2:$A$675,B684,'Page-Keyword Map'!$E$2:$E$675,"Provincial")</f>
        <v/>
      </c>
      <c r="W684" s="36">
        <f>COUNTIFS('Page-Keyword Map'!$A$2:$A$675,B684,'Page-Keyword Map'!$E$2:$E$675,"City")</f>
        <v/>
      </c>
      <c r="X684" s="36">
        <f>IF(O684="","",IF(ISNUMBER(SEARCH(O684,J684)),"Yes","No"))</f>
        <v/>
      </c>
      <c r="Y684" s="36" t="n">
        <v>0.7</v>
      </c>
      <c r="Z684" s="36" t="inlineStr">
        <is>
          <t>sitemap-cities.xml</t>
        </is>
      </c>
      <c r="AA684" s="36" t="inlineStr">
        <is>
          <t>Live – indexable</t>
        </is>
      </c>
      <c r="AB684" s="38" t="n"/>
      <c r="AC684" s="38" t="n"/>
    </row>
    <row r="685" ht="23.85" customHeight="1" s="22">
      <c r="A685" s="36" t="inlineStr">
        <is>
          <t>P0684</t>
        </is>
      </c>
      <c r="B685" s="36" t="inlineStr">
        <is>
          <t>https://instasure.ca/tenant-insurance/manitoba/brandon/</t>
        </is>
      </c>
      <c r="C685" s="36" t="inlineStr">
        <is>
          <t>Product × city</t>
        </is>
      </c>
      <c r="D685" s="36" t="inlineStr">
        <is>
          <t>Tenant insurance</t>
        </is>
      </c>
      <c r="E685" s="36" t="inlineStr">
        <is>
          <t>Tenant Insurance</t>
        </is>
      </c>
      <c r="F685" s="36" t="n"/>
      <c r="G685" s="36" t="inlineStr">
        <is>
          <t>Manitoba</t>
        </is>
      </c>
      <c r="H685" s="36" t="inlineStr">
        <is>
          <t>Brandon</t>
        </is>
      </c>
      <c r="I685" s="36" t="inlineStr">
        <is>
          <t>No</t>
        </is>
      </c>
      <c r="J685" s="25" t="inlineStr">
        <is>
          <t>Tenant Insurance Brandon, MB: Compare Quotes &amp; Costs (2026)</t>
        </is>
      </c>
      <c r="K685" s="36">
        <f>LEN(J685)</f>
        <v/>
      </c>
      <c r="L685" s="25" t="inlineStr">
        <is>
          <t>Compare tenant insurance in Brandon, MB: instant estimate ($18.00–$29.00/mo example), local risk factors and advisors licensed in Manitoba.</t>
        </is>
      </c>
      <c r="M685" s="36">
        <f>LEN(L685)</f>
        <v/>
      </c>
      <c r="N685" s="25" t="inlineStr">
        <is>
          <t>Tenant Insurance in Brandon, MB</t>
        </is>
      </c>
      <c r="O685" s="36" t="inlineStr">
        <is>
          <t>tenant insurance brandon</t>
        </is>
      </c>
      <c r="P685" s="37" t="n">
        <v>53</v>
      </c>
      <c r="Q685" s="36" t="inlineStr">
        <is>
          <t>City</t>
        </is>
      </c>
      <c r="R685" s="36" t="n"/>
      <c r="S685" s="36">
        <f>COUNTIF('Page-Keyword Map'!$A$2:$A$675,B685)</f>
        <v/>
      </c>
      <c r="T685" s="37">
        <f>SUMIF('Page-Keyword Map'!$A$2:$A$675,B685,'Page-Keyword Map'!$H$2:$H$675)</f>
        <v/>
      </c>
      <c r="U685" s="36">
        <f>COUNTIFS('Page-Keyword Map'!$A$2:$A$675,B685,'Page-Keyword Map'!$E$2:$E$675,"Nationwide")</f>
        <v/>
      </c>
      <c r="V685" s="36">
        <f>COUNTIFS('Page-Keyword Map'!$A$2:$A$675,B685,'Page-Keyword Map'!$E$2:$E$675,"Provincial")</f>
        <v/>
      </c>
      <c r="W685" s="36">
        <f>COUNTIFS('Page-Keyword Map'!$A$2:$A$675,B685,'Page-Keyword Map'!$E$2:$E$675,"City")</f>
        <v/>
      </c>
      <c r="X685" s="36">
        <f>IF(O685="","",IF(ISNUMBER(SEARCH(O685,J685)),"Yes","No"))</f>
        <v/>
      </c>
      <c r="Y685" s="36" t="n">
        <v>0.5</v>
      </c>
      <c r="Z685" s="36" t="inlineStr">
        <is>
          <t>(not listed: noindex)</t>
        </is>
      </c>
      <c r="AA685" s="36" t="inlineStr">
        <is>
          <t>Live – noindex (enrich before indexing)</t>
        </is>
      </c>
      <c r="AB685" s="38" t="n"/>
      <c r="AC685" s="38" t="n"/>
    </row>
    <row r="686" ht="23.85" customHeight="1" s="22">
      <c r="A686" s="36" t="inlineStr">
        <is>
          <t>P0685</t>
        </is>
      </c>
      <c r="B686" s="36" t="inlineStr">
        <is>
          <t>https://instasure.ca/tenant-insurance/manitoba/winnipeg/</t>
        </is>
      </c>
      <c r="C686" s="36" t="inlineStr">
        <is>
          <t>Product × city</t>
        </is>
      </c>
      <c r="D686" s="36" t="inlineStr">
        <is>
          <t>Tenant insurance</t>
        </is>
      </c>
      <c r="E686" s="36" t="inlineStr">
        <is>
          <t>Tenant Insurance</t>
        </is>
      </c>
      <c r="F686" s="36" t="n"/>
      <c r="G686" s="36" t="inlineStr">
        <is>
          <t>Manitoba</t>
        </is>
      </c>
      <c r="H686" s="36" t="inlineStr">
        <is>
          <t>Winnipeg</t>
        </is>
      </c>
      <c r="I686" s="36" t="inlineStr">
        <is>
          <t>Yes</t>
        </is>
      </c>
      <c r="J686" s="25" t="inlineStr">
        <is>
          <t>Tenant Insurance Winnipeg, MB: Compare Quotes &amp; Costs (2026)</t>
        </is>
      </c>
      <c r="K686" s="36">
        <f>LEN(J686)</f>
        <v/>
      </c>
      <c r="L686" s="25" t="inlineStr">
        <is>
          <t>Compare tenant insurance in Winnipeg, MB: instant estimate ($18.00–$30.00/mo example), local risk factors and advisors licensed in Manitoba.</t>
        </is>
      </c>
      <c r="M686" s="36">
        <f>LEN(L686)</f>
        <v/>
      </c>
      <c r="N686" s="25" t="inlineStr">
        <is>
          <t>Tenant Insurance in Winnipeg, MB</t>
        </is>
      </c>
      <c r="O686" s="36" t="inlineStr">
        <is>
          <t>tenant insurance winnipeg</t>
        </is>
      </c>
      <c r="P686" s="37" t="n">
        <v>450</v>
      </c>
      <c r="Q686" s="36" t="inlineStr">
        <is>
          <t>City</t>
        </is>
      </c>
      <c r="R686" s="36" t="n"/>
      <c r="S686" s="36">
        <f>COUNTIF('Page-Keyword Map'!$A$2:$A$675,B686)</f>
        <v/>
      </c>
      <c r="T686" s="37">
        <f>SUMIF('Page-Keyword Map'!$A$2:$A$675,B686,'Page-Keyword Map'!$H$2:$H$675)</f>
        <v/>
      </c>
      <c r="U686" s="36">
        <f>COUNTIFS('Page-Keyword Map'!$A$2:$A$675,B686,'Page-Keyword Map'!$E$2:$E$675,"Nationwide")</f>
        <v/>
      </c>
      <c r="V686" s="36">
        <f>COUNTIFS('Page-Keyword Map'!$A$2:$A$675,B686,'Page-Keyword Map'!$E$2:$E$675,"Provincial")</f>
        <v/>
      </c>
      <c r="W686" s="36">
        <f>COUNTIFS('Page-Keyword Map'!$A$2:$A$675,B686,'Page-Keyword Map'!$E$2:$E$675,"City")</f>
        <v/>
      </c>
      <c r="X686" s="36">
        <f>IF(O686="","",IF(ISNUMBER(SEARCH(O686,J686)),"Yes","No"))</f>
        <v/>
      </c>
      <c r="Y686" s="36" t="n">
        <v>0.7</v>
      </c>
      <c r="Z686" s="36" t="inlineStr">
        <is>
          <t>sitemap-cities.xml</t>
        </is>
      </c>
      <c r="AA686" s="36" t="inlineStr">
        <is>
          <t>Live – indexable</t>
        </is>
      </c>
      <c r="AB686" s="38" t="n"/>
      <c r="AC686" s="38" t="n"/>
    </row>
    <row r="687" ht="23.85" customHeight="1" s="22">
      <c r="A687" s="36" t="inlineStr">
        <is>
          <t>P0686</t>
        </is>
      </c>
      <c r="B687" s="36" t="inlineStr">
        <is>
          <t>https://instasure.ca/tenant-insurance/new-brunswick/fredericton/</t>
        </is>
      </c>
      <c r="C687" s="36" t="inlineStr">
        <is>
          <t>Product × city</t>
        </is>
      </c>
      <c r="D687" s="36" t="inlineStr">
        <is>
          <t>Tenant insurance</t>
        </is>
      </c>
      <c r="E687" s="36" t="inlineStr">
        <is>
          <t>Tenant Insurance</t>
        </is>
      </c>
      <c r="F687" s="36" t="n"/>
      <c r="G687" s="36" t="inlineStr">
        <is>
          <t>New Brunswick</t>
        </is>
      </c>
      <c r="H687" s="36" t="inlineStr">
        <is>
          <t>Fredericton</t>
        </is>
      </c>
      <c r="I687" s="36" t="inlineStr">
        <is>
          <t>Yes</t>
        </is>
      </c>
      <c r="J687" s="25" t="inlineStr">
        <is>
          <t>Tenant Insurance Fredericton, NB: Compare Quotes &amp; Costs (2026)</t>
        </is>
      </c>
      <c r="K687" s="36">
        <f>LEN(J687)</f>
        <v/>
      </c>
      <c r="L687" s="25" t="inlineStr">
        <is>
          <t>Compare tenant insurance in Fredericton, NB: instant estimate ($16.00–$26.00/mo example), local risk factors and advisors licensed in New Brunswick.</t>
        </is>
      </c>
      <c r="M687" s="36">
        <f>LEN(L687)</f>
        <v/>
      </c>
      <c r="N687" s="25" t="inlineStr">
        <is>
          <t>Tenant Insurance in Fredericton, NB</t>
        </is>
      </c>
      <c r="O687" s="36" t="inlineStr">
        <is>
          <t>tenant insurance fredericton</t>
        </is>
      </c>
      <c r="P687" s="37" t="n">
        <v>63</v>
      </c>
      <c r="Q687" s="36" t="inlineStr">
        <is>
          <t>City</t>
        </is>
      </c>
      <c r="R687" s="36" t="n"/>
      <c r="S687" s="36">
        <f>COUNTIF('Page-Keyword Map'!$A$2:$A$675,B687)</f>
        <v/>
      </c>
      <c r="T687" s="37">
        <f>SUMIF('Page-Keyword Map'!$A$2:$A$675,B687,'Page-Keyword Map'!$H$2:$H$675)</f>
        <v/>
      </c>
      <c r="U687" s="36">
        <f>COUNTIFS('Page-Keyword Map'!$A$2:$A$675,B687,'Page-Keyword Map'!$E$2:$E$675,"Nationwide")</f>
        <v/>
      </c>
      <c r="V687" s="36">
        <f>COUNTIFS('Page-Keyword Map'!$A$2:$A$675,B687,'Page-Keyword Map'!$E$2:$E$675,"Provincial")</f>
        <v/>
      </c>
      <c r="W687" s="36">
        <f>COUNTIFS('Page-Keyword Map'!$A$2:$A$675,B687,'Page-Keyword Map'!$E$2:$E$675,"City")</f>
        <v/>
      </c>
      <c r="X687" s="36">
        <f>IF(O687="","",IF(ISNUMBER(SEARCH(O687,J687)),"Yes","No"))</f>
        <v/>
      </c>
      <c r="Y687" s="36" t="n">
        <v>0.5</v>
      </c>
      <c r="Z687" s="36" t="inlineStr">
        <is>
          <t>sitemap-cities.xml</t>
        </is>
      </c>
      <c r="AA687" s="36" t="inlineStr">
        <is>
          <t>Live – indexable</t>
        </is>
      </c>
      <c r="AB687" s="38" t="n"/>
      <c r="AC687" s="38" t="n"/>
    </row>
    <row r="688" ht="23.85" customHeight="1" s="22">
      <c r="A688" s="36" t="inlineStr">
        <is>
          <t>P0687</t>
        </is>
      </c>
      <c r="B688" s="36" t="inlineStr">
        <is>
          <t>https://instasure.ca/tenant-insurance/new-brunswick/moncton/</t>
        </is>
      </c>
      <c r="C688" s="36" t="inlineStr">
        <is>
          <t>Product × city</t>
        </is>
      </c>
      <c r="D688" s="36" t="inlineStr">
        <is>
          <t>Tenant insurance</t>
        </is>
      </c>
      <c r="E688" s="36" t="inlineStr">
        <is>
          <t>Tenant Insurance</t>
        </is>
      </c>
      <c r="F688" s="36" t="n"/>
      <c r="G688" s="36" t="inlineStr">
        <is>
          <t>New Brunswick</t>
        </is>
      </c>
      <c r="H688" s="36" t="inlineStr">
        <is>
          <t>Moncton</t>
        </is>
      </c>
      <c r="I688" s="36" t="inlineStr">
        <is>
          <t>Yes</t>
        </is>
      </c>
      <c r="J688" s="25" t="inlineStr">
        <is>
          <t>Tenant Insurance Moncton, NB: Compare Quotes &amp; Costs (2026)</t>
        </is>
      </c>
      <c r="K688" s="36">
        <f>LEN(J688)</f>
        <v/>
      </c>
      <c r="L688" s="25" t="inlineStr">
        <is>
          <t>Compare tenant insurance in Moncton, NB: instant estimate ($16.00–$25.00/mo example), local risk factors and advisors licensed in New Brunswick.</t>
        </is>
      </c>
      <c r="M688" s="36">
        <f>LEN(L688)</f>
        <v/>
      </c>
      <c r="N688" s="25" t="inlineStr">
        <is>
          <t>Tenant Insurance in Moncton, NB</t>
        </is>
      </c>
      <c r="O688" s="36" t="inlineStr">
        <is>
          <t>tenant insurance moncton</t>
        </is>
      </c>
      <c r="P688" s="37" t="n">
        <v>75</v>
      </c>
      <c r="Q688" s="36" t="inlineStr">
        <is>
          <t>City</t>
        </is>
      </c>
      <c r="R688" s="36" t="n"/>
      <c r="S688" s="36">
        <f>COUNTIF('Page-Keyword Map'!$A$2:$A$675,B688)</f>
        <v/>
      </c>
      <c r="T688" s="37">
        <f>SUMIF('Page-Keyword Map'!$A$2:$A$675,B688,'Page-Keyword Map'!$H$2:$H$675)</f>
        <v/>
      </c>
      <c r="U688" s="36">
        <f>COUNTIFS('Page-Keyword Map'!$A$2:$A$675,B688,'Page-Keyword Map'!$E$2:$E$675,"Nationwide")</f>
        <v/>
      </c>
      <c r="V688" s="36">
        <f>COUNTIFS('Page-Keyword Map'!$A$2:$A$675,B688,'Page-Keyword Map'!$E$2:$E$675,"Provincial")</f>
        <v/>
      </c>
      <c r="W688" s="36">
        <f>COUNTIFS('Page-Keyword Map'!$A$2:$A$675,B688,'Page-Keyword Map'!$E$2:$E$675,"City")</f>
        <v/>
      </c>
      <c r="X688" s="36">
        <f>IF(O688="","",IF(ISNUMBER(SEARCH(O688,J688)),"Yes","No"))</f>
        <v/>
      </c>
      <c r="Y688" s="36" t="n">
        <v>0.5</v>
      </c>
      <c r="Z688" s="36" t="inlineStr">
        <is>
          <t>sitemap-cities.xml</t>
        </is>
      </c>
      <c r="AA688" s="36" t="inlineStr">
        <is>
          <t>Live – indexable</t>
        </is>
      </c>
      <c r="AB688" s="38" t="n"/>
      <c r="AC688" s="38" t="n"/>
    </row>
    <row r="689" ht="23.85" customHeight="1" s="22">
      <c r="A689" s="36" t="inlineStr">
        <is>
          <t>P0688</t>
        </is>
      </c>
      <c r="B689" s="36" t="inlineStr">
        <is>
          <t>https://instasure.ca/tenant-insurance/new-brunswick/saint-john/</t>
        </is>
      </c>
      <c r="C689" s="36" t="inlineStr">
        <is>
          <t>Product × city</t>
        </is>
      </c>
      <c r="D689" s="36" t="inlineStr">
        <is>
          <t>Tenant insurance</t>
        </is>
      </c>
      <c r="E689" s="36" t="inlineStr">
        <is>
          <t>Tenant Insurance</t>
        </is>
      </c>
      <c r="F689" s="36" t="n"/>
      <c r="G689" s="36" t="inlineStr">
        <is>
          <t>New Brunswick</t>
        </is>
      </c>
      <c r="H689" s="36" t="inlineStr">
        <is>
          <t>Saint John</t>
        </is>
      </c>
      <c r="I689" s="36" t="inlineStr">
        <is>
          <t>Yes</t>
        </is>
      </c>
      <c r="J689" s="25" t="inlineStr">
        <is>
          <t>Tenant Insurance Saint John, NB: Compare Quotes &amp; Costs (2026)</t>
        </is>
      </c>
      <c r="K689" s="36">
        <f>LEN(J689)</f>
        <v/>
      </c>
      <c r="L689" s="25" t="inlineStr">
        <is>
          <t>Compare tenant insurance in Saint John, NB: instant estimate ($16.00–$26.00/mo example), local risk factors and advisors licensed in New Brunswick.</t>
        </is>
      </c>
      <c r="M689" s="36">
        <f>LEN(L689)</f>
        <v/>
      </c>
      <c r="N689" s="25" t="inlineStr">
        <is>
          <t>Tenant Insurance in Saint John, NB</t>
        </is>
      </c>
      <c r="O689" s="36" t="inlineStr">
        <is>
          <t>tenant insurance saint john</t>
        </is>
      </c>
      <c r="P689" s="37" t="n">
        <v>68</v>
      </c>
      <c r="Q689" s="36" t="inlineStr">
        <is>
          <t>City</t>
        </is>
      </c>
      <c r="R689" s="36" t="n"/>
      <c r="S689" s="36">
        <f>COUNTIF('Page-Keyword Map'!$A$2:$A$675,B689)</f>
        <v/>
      </c>
      <c r="T689" s="37">
        <f>SUMIF('Page-Keyword Map'!$A$2:$A$675,B689,'Page-Keyword Map'!$H$2:$H$675)</f>
        <v/>
      </c>
      <c r="U689" s="36">
        <f>COUNTIFS('Page-Keyword Map'!$A$2:$A$675,B689,'Page-Keyword Map'!$E$2:$E$675,"Nationwide")</f>
        <v/>
      </c>
      <c r="V689" s="36">
        <f>COUNTIFS('Page-Keyword Map'!$A$2:$A$675,B689,'Page-Keyword Map'!$E$2:$E$675,"Provincial")</f>
        <v/>
      </c>
      <c r="W689" s="36">
        <f>COUNTIFS('Page-Keyword Map'!$A$2:$A$675,B689,'Page-Keyword Map'!$E$2:$E$675,"City")</f>
        <v/>
      </c>
      <c r="X689" s="36">
        <f>IF(O689="","",IF(ISNUMBER(SEARCH(O689,J689)),"Yes","No"))</f>
        <v/>
      </c>
      <c r="Y689" s="36" t="n">
        <v>0.5</v>
      </c>
      <c r="Z689" s="36" t="inlineStr">
        <is>
          <t>sitemap-cities.xml</t>
        </is>
      </c>
      <c r="AA689" s="36" t="inlineStr">
        <is>
          <t>Live – indexable</t>
        </is>
      </c>
      <c r="AB689" s="38" t="n"/>
      <c r="AC689" s="38" t="n"/>
    </row>
    <row r="690" ht="23.85" customHeight="1" s="22">
      <c r="A690" s="36" t="inlineStr">
        <is>
          <t>P0689</t>
        </is>
      </c>
      <c r="B690" s="36" t="inlineStr">
        <is>
          <t>https://instasure.ca/tenant-insurance/newfoundland-and-labrador/st-johns/</t>
        </is>
      </c>
      <c r="C690" s="36" t="inlineStr">
        <is>
          <t>Product × city</t>
        </is>
      </c>
      <c r="D690" s="36" t="inlineStr">
        <is>
          <t>Tenant insurance</t>
        </is>
      </c>
      <c r="E690" s="36" t="inlineStr">
        <is>
          <t>Tenant Insurance</t>
        </is>
      </c>
      <c r="F690" s="36" t="n"/>
      <c r="G690" s="36" t="inlineStr">
        <is>
          <t>Newfoundland and Labrador</t>
        </is>
      </c>
      <c r="H690" s="36" t="inlineStr">
        <is>
          <t>St. John’s</t>
        </is>
      </c>
      <c r="I690" s="36" t="inlineStr">
        <is>
          <t>Yes</t>
        </is>
      </c>
      <c r="J690" s="25" t="inlineStr">
        <is>
          <t>Tenant Insurance St. John’s, NL: Compare Quotes &amp; Costs (2026)</t>
        </is>
      </c>
      <c r="K690" s="36">
        <f>LEN(J690)</f>
        <v/>
      </c>
      <c r="L690" s="25" t="inlineStr">
        <is>
          <t>Compare tenant insurance in St. John’s, NL: instant estimate ($17.00–$28.00/mo example), local risk factors and advisors licensed in Newfoundland and Labrador.</t>
        </is>
      </c>
      <c r="M690" s="36">
        <f>LEN(L690)</f>
        <v/>
      </c>
      <c r="N690" s="25" t="inlineStr">
        <is>
          <t>Tenant Insurance in St. John’s, NL</t>
        </is>
      </c>
      <c r="O690" s="36" t="inlineStr">
        <is>
          <t>tenant insurance st johns</t>
        </is>
      </c>
      <c r="P690" s="37" t="n">
        <v>98</v>
      </c>
      <c r="Q690" s="36" t="inlineStr">
        <is>
          <t>City</t>
        </is>
      </c>
      <c r="R690" s="36" t="n"/>
      <c r="S690" s="36">
        <f>COUNTIF('Page-Keyword Map'!$A$2:$A$675,B690)</f>
        <v/>
      </c>
      <c r="T690" s="37">
        <f>SUMIF('Page-Keyword Map'!$A$2:$A$675,B690,'Page-Keyword Map'!$H$2:$H$675)</f>
        <v/>
      </c>
      <c r="U690" s="36">
        <f>COUNTIFS('Page-Keyword Map'!$A$2:$A$675,B690,'Page-Keyword Map'!$E$2:$E$675,"Nationwide")</f>
        <v/>
      </c>
      <c r="V690" s="36">
        <f>COUNTIFS('Page-Keyword Map'!$A$2:$A$675,B690,'Page-Keyword Map'!$E$2:$E$675,"Provincial")</f>
        <v/>
      </c>
      <c r="W690" s="36">
        <f>COUNTIFS('Page-Keyword Map'!$A$2:$A$675,B690,'Page-Keyword Map'!$E$2:$E$675,"City")</f>
        <v/>
      </c>
      <c r="X690" s="36">
        <f>IF(O690="","",IF(ISNUMBER(SEARCH(O690,J690)),"Yes","No"))</f>
        <v/>
      </c>
      <c r="Y690" s="36" t="n">
        <v>0.7</v>
      </c>
      <c r="Z690" s="36" t="inlineStr">
        <is>
          <t>sitemap-cities.xml</t>
        </is>
      </c>
      <c r="AA690" s="36" t="inlineStr">
        <is>
          <t>Live – indexable</t>
        </is>
      </c>
      <c r="AB690" s="38" t="n"/>
      <c r="AC690" s="38" t="n"/>
    </row>
    <row r="691" ht="23.85" customHeight="1" s="22">
      <c r="A691" s="36" t="inlineStr">
        <is>
          <t>P0690</t>
        </is>
      </c>
      <c r="B691" s="36" t="inlineStr">
        <is>
          <t>https://instasure.ca/tenant-insurance/northwest-territories/yellowknife/</t>
        </is>
      </c>
      <c r="C691" s="36" t="inlineStr">
        <is>
          <t>Product × city</t>
        </is>
      </c>
      <c r="D691" s="36" t="inlineStr">
        <is>
          <t>Tenant insurance</t>
        </is>
      </c>
      <c r="E691" s="36" t="inlineStr">
        <is>
          <t>Tenant Insurance</t>
        </is>
      </c>
      <c r="F691" s="36" t="n"/>
      <c r="G691" s="36" t="inlineStr">
        <is>
          <t>Northwest Territories</t>
        </is>
      </c>
      <c r="H691" s="36" t="inlineStr">
        <is>
          <t>Yellowknife</t>
        </is>
      </c>
      <c r="I691" s="36" t="inlineStr">
        <is>
          <t>No</t>
        </is>
      </c>
      <c r="J691" s="25" t="inlineStr">
        <is>
          <t>Tenant Insurance Yellowknife, NT: Compare Quotes &amp; Costs (2026)</t>
        </is>
      </c>
      <c r="K691" s="36">
        <f>LEN(J691)</f>
        <v/>
      </c>
      <c r="L691" s="25" t="inlineStr">
        <is>
          <t>Compare tenant insurance in Yellowknife, NT: instant estimate ($22.00–$35.00/mo example), local risk factors and a waitlist for licensed advice in Northwest…</t>
        </is>
      </c>
      <c r="M691" s="36">
        <f>LEN(L691)</f>
        <v/>
      </c>
      <c r="N691" s="25" t="inlineStr">
        <is>
          <t>Tenant Insurance in Yellowknife, NT</t>
        </is>
      </c>
      <c r="O691" s="36" t="n"/>
      <c r="P691" s="37" t="n"/>
      <c r="Q691" s="36" t="n"/>
      <c r="R691" s="36" t="inlineStr">
        <is>
          <t>tenant insurance yellowknife</t>
        </is>
      </c>
      <c r="S691" s="36">
        <f>COUNTIF('Page-Keyword Map'!$A$2:$A$675,B691)</f>
        <v/>
      </c>
      <c r="T691" s="37">
        <f>SUMIF('Page-Keyword Map'!$A$2:$A$675,B691,'Page-Keyword Map'!$H$2:$H$675)</f>
        <v/>
      </c>
      <c r="U691" s="36">
        <f>COUNTIFS('Page-Keyword Map'!$A$2:$A$675,B691,'Page-Keyword Map'!$E$2:$E$675,"Nationwide")</f>
        <v/>
      </c>
      <c r="V691" s="36">
        <f>COUNTIFS('Page-Keyword Map'!$A$2:$A$675,B691,'Page-Keyword Map'!$E$2:$E$675,"Provincial")</f>
        <v/>
      </c>
      <c r="W691" s="36">
        <f>COUNTIFS('Page-Keyword Map'!$A$2:$A$675,B691,'Page-Keyword Map'!$E$2:$E$675,"City")</f>
        <v/>
      </c>
      <c r="X691" s="36">
        <f>IF(O691="","",IF(ISNUMBER(SEARCH(O691,J691)),"Yes","No"))</f>
        <v/>
      </c>
      <c r="Y691" s="36" t="n">
        <v>0.5</v>
      </c>
      <c r="Z691" s="36" t="inlineStr">
        <is>
          <t>(not listed: noindex)</t>
        </is>
      </c>
      <c r="AA691" s="36" t="inlineStr">
        <is>
          <t>Live – noindex (enrich before indexing)</t>
        </is>
      </c>
      <c r="AB691" s="38" t="n"/>
      <c r="AC691" s="38" t="n"/>
    </row>
    <row r="692" ht="23.85" customHeight="1" s="22">
      <c r="A692" s="36" t="inlineStr">
        <is>
          <t>P0691</t>
        </is>
      </c>
      <c r="B692" s="36" t="inlineStr">
        <is>
          <t>https://instasure.ca/tenant-insurance/nova-scotia/halifax/</t>
        </is>
      </c>
      <c r="C692" s="36" t="inlineStr">
        <is>
          <t>Product × city</t>
        </is>
      </c>
      <c r="D692" s="36" t="inlineStr">
        <is>
          <t>Tenant insurance</t>
        </is>
      </c>
      <c r="E692" s="36" t="inlineStr">
        <is>
          <t>Tenant Insurance</t>
        </is>
      </c>
      <c r="F692" s="36" t="n"/>
      <c r="G692" s="36" t="inlineStr">
        <is>
          <t>Nova Scotia</t>
        </is>
      </c>
      <c r="H692" s="36" t="inlineStr">
        <is>
          <t>Halifax</t>
        </is>
      </c>
      <c r="I692" s="36" t="inlineStr">
        <is>
          <t>Yes</t>
        </is>
      </c>
      <c r="J692" s="25" t="inlineStr">
        <is>
          <t>Tenant Insurance Halifax, NS: Compare Quotes &amp; Costs (2026)</t>
        </is>
      </c>
      <c r="K692" s="36">
        <f>LEN(J692)</f>
        <v/>
      </c>
      <c r="L692" s="25" t="inlineStr">
        <is>
          <t>Compare tenant insurance in Halifax, NS: instant estimate ($17.00–$28.00/mo example), local risk factors and advisors licensed in Nova Scotia.</t>
        </is>
      </c>
      <c r="M692" s="36">
        <f>LEN(L692)</f>
        <v/>
      </c>
      <c r="N692" s="25" t="inlineStr">
        <is>
          <t>Tenant Insurance in Halifax, NS</t>
        </is>
      </c>
      <c r="O692" s="36" t="inlineStr">
        <is>
          <t>tenant insurance halifax</t>
        </is>
      </c>
      <c r="P692" s="37" t="n">
        <v>300</v>
      </c>
      <c r="Q692" s="36" t="inlineStr">
        <is>
          <t>City</t>
        </is>
      </c>
      <c r="R692" s="36" t="n"/>
      <c r="S692" s="36">
        <f>COUNTIF('Page-Keyword Map'!$A$2:$A$675,B692)</f>
        <v/>
      </c>
      <c r="T692" s="37">
        <f>SUMIF('Page-Keyword Map'!$A$2:$A$675,B692,'Page-Keyword Map'!$H$2:$H$675)</f>
        <v/>
      </c>
      <c r="U692" s="36">
        <f>COUNTIFS('Page-Keyword Map'!$A$2:$A$675,B692,'Page-Keyword Map'!$E$2:$E$675,"Nationwide")</f>
        <v/>
      </c>
      <c r="V692" s="36">
        <f>COUNTIFS('Page-Keyword Map'!$A$2:$A$675,B692,'Page-Keyword Map'!$E$2:$E$675,"Provincial")</f>
        <v/>
      </c>
      <c r="W692" s="36">
        <f>COUNTIFS('Page-Keyword Map'!$A$2:$A$675,B692,'Page-Keyword Map'!$E$2:$E$675,"City")</f>
        <v/>
      </c>
      <c r="X692" s="36">
        <f>IF(O692="","",IF(ISNUMBER(SEARCH(O692,J692)),"Yes","No"))</f>
        <v/>
      </c>
      <c r="Y692" s="36" t="n">
        <v>0.7</v>
      </c>
      <c r="Z692" s="36" t="inlineStr">
        <is>
          <t>sitemap-cities.xml</t>
        </is>
      </c>
      <c r="AA692" s="36" t="inlineStr">
        <is>
          <t>Live – indexable</t>
        </is>
      </c>
      <c r="AB692" s="38" t="n"/>
      <c r="AC692" s="38" t="n"/>
    </row>
    <row r="693" ht="23.85" customHeight="1" s="22">
      <c r="A693" s="36" t="inlineStr">
        <is>
          <t>P0692</t>
        </is>
      </c>
      <c r="B693" s="36" t="inlineStr">
        <is>
          <t>https://instasure.ca/tenant-insurance/ontario/ajax/</t>
        </is>
      </c>
      <c r="C693" s="36" t="inlineStr">
        <is>
          <t>Product × city</t>
        </is>
      </c>
      <c r="D693" s="36" t="inlineStr">
        <is>
          <t>Tenant insurance</t>
        </is>
      </c>
      <c r="E693" s="36" t="inlineStr">
        <is>
          <t>Tenant Insurance</t>
        </is>
      </c>
      <c r="F693" s="36" t="n"/>
      <c r="G693" s="36" t="inlineStr">
        <is>
          <t>Ontario</t>
        </is>
      </c>
      <c r="H693" s="36" t="inlineStr">
        <is>
          <t>Ajax</t>
        </is>
      </c>
      <c r="I693" s="36" t="inlineStr">
        <is>
          <t>No</t>
        </is>
      </c>
      <c r="J693" s="25" t="inlineStr">
        <is>
          <t>Tenant Insurance Ajax, ON: Compare Quotes &amp; Costs (2026)</t>
        </is>
      </c>
      <c r="K693" s="36">
        <f>LEN(J693)</f>
        <v/>
      </c>
      <c r="L693" s="25" t="inlineStr">
        <is>
          <t>Compare tenant insurance in Ajax, ON: instant estimate ($20.00–$33.00/mo example), local risk factors and advisors licensed in Ontario.</t>
        </is>
      </c>
      <c r="M693" s="36">
        <f>LEN(L693)</f>
        <v/>
      </c>
      <c r="N693" s="25" t="inlineStr">
        <is>
          <t>Tenant Insurance in Ajax, ON</t>
        </is>
      </c>
      <c r="O693" s="36" t="inlineStr">
        <is>
          <t>tenant insurance ajax</t>
        </is>
      </c>
      <c r="P693" s="37" t="n">
        <v>110</v>
      </c>
      <c r="Q693" s="36" t="inlineStr">
        <is>
          <t>City</t>
        </is>
      </c>
      <c r="R693" s="36" t="n"/>
      <c r="S693" s="36">
        <f>COUNTIF('Page-Keyword Map'!$A$2:$A$675,B693)</f>
        <v/>
      </c>
      <c r="T693" s="37">
        <f>SUMIF('Page-Keyword Map'!$A$2:$A$675,B693,'Page-Keyword Map'!$H$2:$H$675)</f>
        <v/>
      </c>
      <c r="U693" s="36">
        <f>COUNTIFS('Page-Keyword Map'!$A$2:$A$675,B693,'Page-Keyword Map'!$E$2:$E$675,"Nationwide")</f>
        <v/>
      </c>
      <c r="V693" s="36">
        <f>COUNTIFS('Page-Keyword Map'!$A$2:$A$675,B693,'Page-Keyword Map'!$E$2:$E$675,"Provincial")</f>
        <v/>
      </c>
      <c r="W693" s="36">
        <f>COUNTIFS('Page-Keyword Map'!$A$2:$A$675,B693,'Page-Keyword Map'!$E$2:$E$675,"City")</f>
        <v/>
      </c>
      <c r="X693" s="36">
        <f>IF(O693="","",IF(ISNUMBER(SEARCH(O693,J693)),"Yes","No"))</f>
        <v/>
      </c>
      <c r="Y693" s="36" t="n">
        <v>0.5</v>
      </c>
      <c r="Z693" s="36" t="inlineStr">
        <is>
          <t>(not listed: noindex)</t>
        </is>
      </c>
      <c r="AA693" s="36" t="inlineStr">
        <is>
          <t>Live – noindex (enrich before indexing)</t>
        </is>
      </c>
      <c r="AB693" s="38" t="n"/>
      <c r="AC693" s="38" t="n"/>
    </row>
    <row r="694" ht="23.85" customHeight="1" s="22">
      <c r="A694" s="36" t="inlineStr">
        <is>
          <t>P0693</t>
        </is>
      </c>
      <c r="B694" s="36" t="inlineStr">
        <is>
          <t>https://instasure.ca/tenant-insurance/ontario/barrie/</t>
        </is>
      </c>
      <c r="C694" s="36" t="inlineStr">
        <is>
          <t>Product × city</t>
        </is>
      </c>
      <c r="D694" s="36" t="inlineStr">
        <is>
          <t>Tenant insurance</t>
        </is>
      </c>
      <c r="E694" s="36" t="inlineStr">
        <is>
          <t>Tenant Insurance</t>
        </is>
      </c>
      <c r="F694" s="36" t="n"/>
      <c r="G694" s="36" t="inlineStr">
        <is>
          <t>Ontario</t>
        </is>
      </c>
      <c r="H694" s="36" t="inlineStr">
        <is>
          <t>Barrie</t>
        </is>
      </c>
      <c r="I694" s="36" t="inlineStr">
        <is>
          <t>Yes</t>
        </is>
      </c>
      <c r="J694" s="25" t="inlineStr">
        <is>
          <t>Tenant Insurance Barrie, ON: Compare Quotes &amp; Costs (2026)</t>
        </is>
      </c>
      <c r="K694" s="36">
        <f>LEN(J694)</f>
        <v/>
      </c>
      <c r="L694" s="25" t="inlineStr">
        <is>
          <t>Compare tenant insurance in Barrie, ON: instant estimate ($20.00–$33.00/mo example), local risk factors and advisors licensed in Ontario.</t>
        </is>
      </c>
      <c r="M694" s="36">
        <f>LEN(L694)</f>
        <v/>
      </c>
      <c r="N694" s="25" t="inlineStr">
        <is>
          <t>Tenant Insurance in Barrie, ON</t>
        </is>
      </c>
      <c r="O694" s="36" t="inlineStr">
        <is>
          <t>tenant insurance barrie</t>
        </is>
      </c>
      <c r="P694" s="37" t="n">
        <v>120</v>
      </c>
      <c r="Q694" s="36" t="inlineStr">
        <is>
          <t>City</t>
        </is>
      </c>
      <c r="R694" s="36" t="n"/>
      <c r="S694" s="36">
        <f>COUNTIF('Page-Keyword Map'!$A$2:$A$675,B694)</f>
        <v/>
      </c>
      <c r="T694" s="37">
        <f>SUMIF('Page-Keyword Map'!$A$2:$A$675,B694,'Page-Keyword Map'!$H$2:$H$675)</f>
        <v/>
      </c>
      <c r="U694" s="36">
        <f>COUNTIFS('Page-Keyword Map'!$A$2:$A$675,B694,'Page-Keyword Map'!$E$2:$E$675,"Nationwide")</f>
        <v/>
      </c>
      <c r="V694" s="36">
        <f>COUNTIFS('Page-Keyword Map'!$A$2:$A$675,B694,'Page-Keyword Map'!$E$2:$E$675,"Provincial")</f>
        <v/>
      </c>
      <c r="W694" s="36">
        <f>COUNTIFS('Page-Keyword Map'!$A$2:$A$675,B694,'Page-Keyword Map'!$E$2:$E$675,"City")</f>
        <v/>
      </c>
      <c r="X694" s="36">
        <f>IF(O694="","",IF(ISNUMBER(SEARCH(O694,J694)),"Yes","No"))</f>
        <v/>
      </c>
      <c r="Y694" s="36" t="n">
        <v>0.5</v>
      </c>
      <c r="Z694" s="36" t="inlineStr">
        <is>
          <t>sitemap-cities.xml</t>
        </is>
      </c>
      <c r="AA694" s="36" t="inlineStr">
        <is>
          <t>Live – indexable</t>
        </is>
      </c>
      <c r="AB694" s="38" t="n"/>
      <c r="AC694" s="38" t="n"/>
    </row>
    <row r="695" ht="23.85" customHeight="1" s="22">
      <c r="A695" s="36" t="inlineStr">
        <is>
          <t>P0694</t>
        </is>
      </c>
      <c r="B695" s="36" t="inlineStr">
        <is>
          <t>https://instasure.ca/tenant-insurance/ontario/brampton/</t>
        </is>
      </c>
      <c r="C695" s="36" t="inlineStr">
        <is>
          <t>Product × city</t>
        </is>
      </c>
      <c r="D695" s="36" t="inlineStr">
        <is>
          <t>Tenant insurance</t>
        </is>
      </c>
      <c r="E695" s="36" t="inlineStr">
        <is>
          <t>Tenant Insurance</t>
        </is>
      </c>
      <c r="F695" s="36" t="n"/>
      <c r="G695" s="36" t="inlineStr">
        <is>
          <t>Ontario</t>
        </is>
      </c>
      <c r="H695" s="36" t="inlineStr">
        <is>
          <t>Brampton</t>
        </is>
      </c>
      <c r="I695" s="36" t="inlineStr">
        <is>
          <t>Yes</t>
        </is>
      </c>
      <c r="J695" s="25" t="inlineStr">
        <is>
          <t>Tenant Insurance Brampton, ON: Compare Quotes &amp; Costs (2026)</t>
        </is>
      </c>
      <c r="K695" s="36">
        <f>LEN(J695)</f>
        <v/>
      </c>
      <c r="L695" s="25" t="inlineStr">
        <is>
          <t>Compare tenant insurance in Brampton, ON: instant estimate ($20.00–$33.00/mo example), local risk factors and advisors licensed in Ontario.</t>
        </is>
      </c>
      <c r="M695" s="36">
        <f>LEN(L695)</f>
        <v/>
      </c>
      <c r="N695" s="25" t="inlineStr">
        <is>
          <t>Tenant Insurance in Brampton, ON</t>
        </is>
      </c>
      <c r="O695" s="36" t="inlineStr">
        <is>
          <t>tenant insurance brampton</t>
        </is>
      </c>
      <c r="P695" s="37" t="n">
        <v>410</v>
      </c>
      <c r="Q695" s="36" t="inlineStr">
        <is>
          <t>City</t>
        </is>
      </c>
      <c r="R695" s="36" t="n"/>
      <c r="S695" s="36">
        <f>COUNTIF('Page-Keyword Map'!$A$2:$A$675,B695)</f>
        <v/>
      </c>
      <c r="T695" s="37">
        <f>SUMIF('Page-Keyword Map'!$A$2:$A$675,B695,'Page-Keyword Map'!$H$2:$H$675)</f>
        <v/>
      </c>
      <c r="U695" s="36">
        <f>COUNTIFS('Page-Keyword Map'!$A$2:$A$675,B695,'Page-Keyword Map'!$E$2:$E$675,"Nationwide")</f>
        <v/>
      </c>
      <c r="V695" s="36">
        <f>COUNTIFS('Page-Keyword Map'!$A$2:$A$675,B695,'Page-Keyword Map'!$E$2:$E$675,"Provincial")</f>
        <v/>
      </c>
      <c r="W695" s="36">
        <f>COUNTIFS('Page-Keyword Map'!$A$2:$A$675,B695,'Page-Keyword Map'!$E$2:$E$675,"City")</f>
        <v/>
      </c>
      <c r="X695" s="36">
        <f>IF(O695="","",IF(ISNUMBER(SEARCH(O695,J695)),"Yes","No"))</f>
        <v/>
      </c>
      <c r="Y695" s="36" t="n">
        <v>0.7</v>
      </c>
      <c r="Z695" s="36" t="inlineStr">
        <is>
          <t>sitemap-cities.xml</t>
        </is>
      </c>
      <c r="AA695" s="36" t="inlineStr">
        <is>
          <t>Live – indexable</t>
        </is>
      </c>
      <c r="AB695" s="38" t="n"/>
      <c r="AC695" s="38" t="n"/>
    </row>
    <row r="696" ht="23.85" customHeight="1" s="22">
      <c r="A696" s="36" t="inlineStr">
        <is>
          <t>P0695</t>
        </is>
      </c>
      <c r="B696" s="36" t="inlineStr">
        <is>
          <t>https://instasure.ca/tenant-insurance/ontario/burlington/</t>
        </is>
      </c>
      <c r="C696" s="36" t="inlineStr">
        <is>
          <t>Product × city</t>
        </is>
      </c>
      <c r="D696" s="36" t="inlineStr">
        <is>
          <t>Tenant insurance</t>
        </is>
      </c>
      <c r="E696" s="36" t="inlineStr">
        <is>
          <t>Tenant Insurance</t>
        </is>
      </c>
      <c r="F696" s="36" t="n"/>
      <c r="G696" s="36" t="inlineStr">
        <is>
          <t>Ontario</t>
        </is>
      </c>
      <c r="H696" s="36" t="inlineStr">
        <is>
          <t>Burlington</t>
        </is>
      </c>
      <c r="I696" s="36" t="inlineStr">
        <is>
          <t>Yes</t>
        </is>
      </c>
      <c r="J696" s="25" t="inlineStr">
        <is>
          <t>Tenant Insurance Burlington, ON: Compare Quotes &amp; Costs (2026)</t>
        </is>
      </c>
      <c r="K696" s="36">
        <f>LEN(J696)</f>
        <v/>
      </c>
      <c r="L696" s="25" t="inlineStr">
        <is>
          <t>Compare tenant insurance in Burlington, ON: instant estimate ($20.00–$33.00/mo example), local risk factors and advisors licensed in Ontario.</t>
        </is>
      </c>
      <c r="M696" s="36">
        <f>LEN(L696)</f>
        <v/>
      </c>
      <c r="N696" s="25" t="inlineStr">
        <is>
          <t>Tenant Insurance in Burlington, ON</t>
        </is>
      </c>
      <c r="O696" s="36" t="inlineStr">
        <is>
          <t>tenant insurance burlington</t>
        </is>
      </c>
      <c r="P696" s="37" t="n">
        <v>150</v>
      </c>
      <c r="Q696" s="36" t="inlineStr">
        <is>
          <t>City</t>
        </is>
      </c>
      <c r="R696" s="36" t="n"/>
      <c r="S696" s="36">
        <f>COUNTIF('Page-Keyword Map'!$A$2:$A$675,B696)</f>
        <v/>
      </c>
      <c r="T696" s="37">
        <f>SUMIF('Page-Keyword Map'!$A$2:$A$675,B696,'Page-Keyword Map'!$H$2:$H$675)</f>
        <v/>
      </c>
      <c r="U696" s="36">
        <f>COUNTIFS('Page-Keyword Map'!$A$2:$A$675,B696,'Page-Keyword Map'!$E$2:$E$675,"Nationwide")</f>
        <v/>
      </c>
      <c r="V696" s="36">
        <f>COUNTIFS('Page-Keyword Map'!$A$2:$A$675,B696,'Page-Keyword Map'!$E$2:$E$675,"Provincial")</f>
        <v/>
      </c>
      <c r="W696" s="36">
        <f>COUNTIFS('Page-Keyword Map'!$A$2:$A$675,B696,'Page-Keyword Map'!$E$2:$E$675,"City")</f>
        <v/>
      </c>
      <c r="X696" s="36">
        <f>IF(O696="","",IF(ISNUMBER(SEARCH(O696,J696)),"Yes","No"))</f>
        <v/>
      </c>
      <c r="Y696" s="36" t="n">
        <v>0.5</v>
      </c>
      <c r="Z696" s="36" t="inlineStr">
        <is>
          <t>sitemap-cities.xml</t>
        </is>
      </c>
      <c r="AA696" s="36" t="inlineStr">
        <is>
          <t>Live – indexable</t>
        </is>
      </c>
      <c r="AB696" s="38" t="n"/>
      <c r="AC696" s="38" t="n"/>
    </row>
    <row r="697" ht="23.85" customHeight="1" s="22">
      <c r="A697" s="36" t="inlineStr">
        <is>
          <t>P0696</t>
        </is>
      </c>
      <c r="B697" s="36" t="inlineStr">
        <is>
          <t>https://instasure.ca/tenant-insurance/ontario/cambridge/</t>
        </is>
      </c>
      <c r="C697" s="36" t="inlineStr">
        <is>
          <t>Product × city</t>
        </is>
      </c>
      <c r="D697" s="36" t="inlineStr">
        <is>
          <t>Tenant insurance</t>
        </is>
      </c>
      <c r="E697" s="36" t="inlineStr">
        <is>
          <t>Tenant Insurance</t>
        </is>
      </c>
      <c r="F697" s="36" t="n"/>
      <c r="G697" s="36" t="inlineStr">
        <is>
          <t>Ontario</t>
        </is>
      </c>
      <c r="H697" s="36" t="inlineStr">
        <is>
          <t>Cambridge</t>
        </is>
      </c>
      <c r="I697" s="36" t="inlineStr">
        <is>
          <t>No</t>
        </is>
      </c>
      <c r="J697" s="25" t="inlineStr">
        <is>
          <t>Tenant Insurance Cambridge, ON: Compare Quotes &amp; Costs (2026)</t>
        </is>
      </c>
      <c r="K697" s="36">
        <f>LEN(J697)</f>
        <v/>
      </c>
      <c r="L697" s="25" t="inlineStr">
        <is>
          <t>Compare tenant insurance in Cambridge, ON: instant estimate ($20.00–$33.00/mo example), local risk factors and advisors licensed in Ontario.</t>
        </is>
      </c>
      <c r="M697" s="36">
        <f>LEN(L697)</f>
        <v/>
      </c>
      <c r="N697" s="25" t="inlineStr">
        <is>
          <t>Tenant Insurance in Cambridge, ON</t>
        </is>
      </c>
      <c r="O697" s="36" t="inlineStr">
        <is>
          <t>tenant insurance cambridge</t>
        </is>
      </c>
      <c r="P697" s="37" t="n">
        <v>120</v>
      </c>
      <c r="Q697" s="36" t="inlineStr">
        <is>
          <t>City</t>
        </is>
      </c>
      <c r="R697" s="36" t="n"/>
      <c r="S697" s="36">
        <f>COUNTIF('Page-Keyword Map'!$A$2:$A$675,B697)</f>
        <v/>
      </c>
      <c r="T697" s="37">
        <f>SUMIF('Page-Keyword Map'!$A$2:$A$675,B697,'Page-Keyword Map'!$H$2:$H$675)</f>
        <v/>
      </c>
      <c r="U697" s="36">
        <f>COUNTIFS('Page-Keyword Map'!$A$2:$A$675,B697,'Page-Keyword Map'!$E$2:$E$675,"Nationwide")</f>
        <v/>
      </c>
      <c r="V697" s="36">
        <f>COUNTIFS('Page-Keyword Map'!$A$2:$A$675,B697,'Page-Keyword Map'!$E$2:$E$675,"Provincial")</f>
        <v/>
      </c>
      <c r="W697" s="36">
        <f>COUNTIFS('Page-Keyword Map'!$A$2:$A$675,B697,'Page-Keyword Map'!$E$2:$E$675,"City")</f>
        <v/>
      </c>
      <c r="X697" s="36">
        <f>IF(O697="","",IF(ISNUMBER(SEARCH(O697,J697)),"Yes","No"))</f>
        <v/>
      </c>
      <c r="Y697" s="36" t="n">
        <v>0.5</v>
      </c>
      <c r="Z697" s="36" t="inlineStr">
        <is>
          <t>(not listed: noindex)</t>
        </is>
      </c>
      <c r="AA697" s="36" t="inlineStr">
        <is>
          <t>Live – noindex (enrich before indexing)</t>
        </is>
      </c>
      <c r="AB697" s="38" t="n"/>
      <c r="AC697" s="38" t="n"/>
    </row>
    <row r="698" ht="23.85" customHeight="1" s="22">
      <c r="A698" s="36" t="inlineStr">
        <is>
          <t>P0697</t>
        </is>
      </c>
      <c r="B698" s="36" t="inlineStr">
        <is>
          <t>https://instasure.ca/tenant-insurance/ontario/guelph/</t>
        </is>
      </c>
      <c r="C698" s="36" t="inlineStr">
        <is>
          <t>Product × city</t>
        </is>
      </c>
      <c r="D698" s="36" t="inlineStr">
        <is>
          <t>Tenant insurance</t>
        </is>
      </c>
      <c r="E698" s="36" t="inlineStr">
        <is>
          <t>Tenant Insurance</t>
        </is>
      </c>
      <c r="F698" s="36" t="n"/>
      <c r="G698" s="36" t="inlineStr">
        <is>
          <t>Ontario</t>
        </is>
      </c>
      <c r="H698" s="36" t="inlineStr">
        <is>
          <t>Guelph</t>
        </is>
      </c>
      <c r="I698" s="36" t="inlineStr">
        <is>
          <t>Yes</t>
        </is>
      </c>
      <c r="J698" s="25" t="inlineStr">
        <is>
          <t>Tenant Insurance Guelph, ON: Compare Quotes &amp; Costs (2026)</t>
        </is>
      </c>
      <c r="K698" s="36">
        <f>LEN(J698)</f>
        <v/>
      </c>
      <c r="L698" s="25" t="inlineStr">
        <is>
          <t>Compare tenant insurance in Guelph, ON: instant estimate ($20.00–$33.00/mo example), local risk factors and advisors licensed in Ontario.</t>
        </is>
      </c>
      <c r="M698" s="36">
        <f>LEN(L698)</f>
        <v/>
      </c>
      <c r="N698" s="25" t="inlineStr">
        <is>
          <t>Tenant Insurance in Guelph, ON</t>
        </is>
      </c>
      <c r="O698" s="36" t="inlineStr">
        <is>
          <t>tenant insurance guelph</t>
        </is>
      </c>
      <c r="P698" s="37" t="n">
        <v>120</v>
      </c>
      <c r="Q698" s="36" t="inlineStr">
        <is>
          <t>City</t>
        </is>
      </c>
      <c r="R698" s="36" t="n"/>
      <c r="S698" s="36">
        <f>COUNTIF('Page-Keyword Map'!$A$2:$A$675,B698)</f>
        <v/>
      </c>
      <c r="T698" s="37">
        <f>SUMIF('Page-Keyword Map'!$A$2:$A$675,B698,'Page-Keyword Map'!$H$2:$H$675)</f>
        <v/>
      </c>
      <c r="U698" s="36">
        <f>COUNTIFS('Page-Keyword Map'!$A$2:$A$675,B698,'Page-Keyword Map'!$E$2:$E$675,"Nationwide")</f>
        <v/>
      </c>
      <c r="V698" s="36">
        <f>COUNTIFS('Page-Keyword Map'!$A$2:$A$675,B698,'Page-Keyword Map'!$E$2:$E$675,"Provincial")</f>
        <v/>
      </c>
      <c r="W698" s="36">
        <f>COUNTIFS('Page-Keyword Map'!$A$2:$A$675,B698,'Page-Keyword Map'!$E$2:$E$675,"City")</f>
        <v/>
      </c>
      <c r="X698" s="36">
        <f>IF(O698="","",IF(ISNUMBER(SEARCH(O698,J698)),"Yes","No"))</f>
        <v/>
      </c>
      <c r="Y698" s="36" t="n">
        <v>0.5</v>
      </c>
      <c r="Z698" s="36" t="inlineStr">
        <is>
          <t>sitemap-cities.xml</t>
        </is>
      </c>
      <c r="AA698" s="36" t="inlineStr">
        <is>
          <t>Live – indexable</t>
        </is>
      </c>
      <c r="AB698" s="38" t="n"/>
      <c r="AC698" s="38" t="n"/>
    </row>
    <row r="699" ht="23.85" customHeight="1" s="22">
      <c r="A699" s="36" t="inlineStr">
        <is>
          <t>P0698</t>
        </is>
      </c>
      <c r="B699" s="36" t="inlineStr">
        <is>
          <t>https://instasure.ca/tenant-insurance/ontario/hamilton/</t>
        </is>
      </c>
      <c r="C699" s="36" t="inlineStr">
        <is>
          <t>Product × city</t>
        </is>
      </c>
      <c r="D699" s="36" t="inlineStr">
        <is>
          <t>Tenant insurance</t>
        </is>
      </c>
      <c r="E699" s="36" t="inlineStr">
        <is>
          <t>Tenant Insurance</t>
        </is>
      </c>
      <c r="F699" s="36" t="n"/>
      <c r="G699" s="36" t="inlineStr">
        <is>
          <t>Ontario</t>
        </is>
      </c>
      <c r="H699" s="36" t="inlineStr">
        <is>
          <t>Hamilton</t>
        </is>
      </c>
      <c r="I699" s="36" t="inlineStr">
        <is>
          <t>Yes</t>
        </is>
      </c>
      <c r="J699" s="25" t="inlineStr">
        <is>
          <t>Tenant Insurance Hamilton, ON: Compare Quotes &amp; Costs (2026)</t>
        </is>
      </c>
      <c r="K699" s="36">
        <f>LEN(J699)</f>
        <v/>
      </c>
      <c r="L699" s="25" t="inlineStr">
        <is>
          <t>Compare tenant insurance in Hamilton, ON: instant estimate ($20.00–$33.00/mo example), local risk factors and advisors licensed in Ontario.</t>
        </is>
      </c>
      <c r="M699" s="36">
        <f>LEN(L699)</f>
        <v/>
      </c>
      <c r="N699" s="25" t="inlineStr">
        <is>
          <t>Tenant Insurance in Hamilton, ON</t>
        </is>
      </c>
      <c r="O699" s="36" t="inlineStr">
        <is>
          <t>tenant insurance hamilton</t>
        </is>
      </c>
      <c r="P699" s="37" t="n">
        <v>360</v>
      </c>
      <c r="Q699" s="36" t="inlineStr">
        <is>
          <t>City</t>
        </is>
      </c>
      <c r="R699" s="36" t="n"/>
      <c r="S699" s="36">
        <f>COUNTIF('Page-Keyword Map'!$A$2:$A$675,B699)</f>
        <v/>
      </c>
      <c r="T699" s="37">
        <f>SUMIF('Page-Keyword Map'!$A$2:$A$675,B699,'Page-Keyword Map'!$H$2:$H$675)</f>
        <v/>
      </c>
      <c r="U699" s="36">
        <f>COUNTIFS('Page-Keyword Map'!$A$2:$A$675,B699,'Page-Keyword Map'!$E$2:$E$675,"Nationwide")</f>
        <v/>
      </c>
      <c r="V699" s="36">
        <f>COUNTIFS('Page-Keyword Map'!$A$2:$A$675,B699,'Page-Keyword Map'!$E$2:$E$675,"Provincial")</f>
        <v/>
      </c>
      <c r="W699" s="36">
        <f>COUNTIFS('Page-Keyword Map'!$A$2:$A$675,B699,'Page-Keyword Map'!$E$2:$E$675,"City")</f>
        <v/>
      </c>
      <c r="X699" s="36">
        <f>IF(O699="","",IF(ISNUMBER(SEARCH(O699,J699)),"Yes","No"))</f>
        <v/>
      </c>
      <c r="Y699" s="36" t="n">
        <v>0.7</v>
      </c>
      <c r="Z699" s="36" t="inlineStr">
        <is>
          <t>sitemap-cities.xml</t>
        </is>
      </c>
      <c r="AA699" s="36" t="inlineStr">
        <is>
          <t>Live – indexable</t>
        </is>
      </c>
      <c r="AB699" s="38" t="n"/>
      <c r="AC699" s="38" t="n"/>
    </row>
    <row r="700" ht="23.85" customHeight="1" s="22">
      <c r="A700" s="36" t="inlineStr">
        <is>
          <t>P0699</t>
        </is>
      </c>
      <c r="B700" s="36" t="inlineStr">
        <is>
          <t>https://instasure.ca/tenant-insurance/ontario/kingston/</t>
        </is>
      </c>
      <c r="C700" s="36" t="inlineStr">
        <is>
          <t>Product × city</t>
        </is>
      </c>
      <c r="D700" s="36" t="inlineStr">
        <is>
          <t>Tenant insurance</t>
        </is>
      </c>
      <c r="E700" s="36" t="inlineStr">
        <is>
          <t>Tenant Insurance</t>
        </is>
      </c>
      <c r="F700" s="36" t="n"/>
      <c r="G700" s="36" t="inlineStr">
        <is>
          <t>Ontario</t>
        </is>
      </c>
      <c r="H700" s="36" t="inlineStr">
        <is>
          <t>Kingston</t>
        </is>
      </c>
      <c r="I700" s="36" t="inlineStr">
        <is>
          <t>Yes</t>
        </is>
      </c>
      <c r="J700" s="25" t="inlineStr">
        <is>
          <t>Tenant Insurance Kingston, ON: Compare Quotes &amp; Costs (2026)</t>
        </is>
      </c>
      <c r="K700" s="36">
        <f>LEN(J700)</f>
        <v/>
      </c>
      <c r="L700" s="25" t="inlineStr">
        <is>
          <t>Compare tenant insurance in Kingston, ON: instant estimate ($20.00–$33.00/mo example), local risk factors and advisors licensed in Ontario.</t>
        </is>
      </c>
      <c r="M700" s="36">
        <f>LEN(L700)</f>
        <v/>
      </c>
      <c r="N700" s="25" t="inlineStr">
        <is>
          <t>Tenant Insurance in Kingston, ON</t>
        </is>
      </c>
      <c r="O700" s="36" t="inlineStr">
        <is>
          <t>tenant insurance kingston</t>
        </is>
      </c>
      <c r="P700" s="37" t="n">
        <v>110</v>
      </c>
      <c r="Q700" s="36" t="inlineStr">
        <is>
          <t>City</t>
        </is>
      </c>
      <c r="R700" s="36" t="n"/>
      <c r="S700" s="36">
        <f>COUNTIF('Page-Keyword Map'!$A$2:$A$675,B700)</f>
        <v/>
      </c>
      <c r="T700" s="37">
        <f>SUMIF('Page-Keyword Map'!$A$2:$A$675,B700,'Page-Keyword Map'!$H$2:$H$675)</f>
        <v/>
      </c>
      <c r="U700" s="36">
        <f>COUNTIFS('Page-Keyword Map'!$A$2:$A$675,B700,'Page-Keyword Map'!$E$2:$E$675,"Nationwide")</f>
        <v/>
      </c>
      <c r="V700" s="36">
        <f>COUNTIFS('Page-Keyword Map'!$A$2:$A$675,B700,'Page-Keyword Map'!$E$2:$E$675,"Provincial")</f>
        <v/>
      </c>
      <c r="W700" s="36">
        <f>COUNTIFS('Page-Keyword Map'!$A$2:$A$675,B700,'Page-Keyword Map'!$E$2:$E$675,"City")</f>
        <v/>
      </c>
      <c r="X700" s="36">
        <f>IF(O700="","",IF(ISNUMBER(SEARCH(O700,J700)),"Yes","No"))</f>
        <v/>
      </c>
      <c r="Y700" s="36" t="n">
        <v>0.5</v>
      </c>
      <c r="Z700" s="36" t="inlineStr">
        <is>
          <t>sitemap-cities.xml</t>
        </is>
      </c>
      <c r="AA700" s="36" t="inlineStr">
        <is>
          <t>Live – indexable</t>
        </is>
      </c>
      <c r="AB700" s="38" t="n"/>
      <c r="AC700" s="38" t="n"/>
    </row>
    <row r="701" ht="23.85" customHeight="1" s="22">
      <c r="A701" s="36" t="inlineStr">
        <is>
          <t>P0700</t>
        </is>
      </c>
      <c r="B701" s="36" t="inlineStr">
        <is>
          <t>https://instasure.ca/tenant-insurance/ontario/kitchener/</t>
        </is>
      </c>
      <c r="C701" s="36" t="inlineStr">
        <is>
          <t>Product × city</t>
        </is>
      </c>
      <c r="D701" s="36" t="inlineStr">
        <is>
          <t>Tenant insurance</t>
        </is>
      </c>
      <c r="E701" s="36" t="inlineStr">
        <is>
          <t>Tenant Insurance</t>
        </is>
      </c>
      <c r="F701" s="36" t="n"/>
      <c r="G701" s="36" t="inlineStr">
        <is>
          <t>Ontario</t>
        </is>
      </c>
      <c r="H701" s="36" t="inlineStr">
        <is>
          <t>Kitchener</t>
        </is>
      </c>
      <c r="I701" s="36" t="inlineStr">
        <is>
          <t>Yes</t>
        </is>
      </c>
      <c r="J701" s="25" t="inlineStr">
        <is>
          <t>Tenant Insurance Kitchener, ON: Compare Quotes &amp; Costs (2026)</t>
        </is>
      </c>
      <c r="K701" s="36">
        <f>LEN(J701)</f>
        <v/>
      </c>
      <c r="L701" s="25" t="inlineStr">
        <is>
          <t>Compare tenant insurance in Kitchener, ON: instant estimate ($20.00–$33.00/mo example), local risk factors and advisors licensed in Ontario.</t>
        </is>
      </c>
      <c r="M701" s="36">
        <f>LEN(L701)</f>
        <v/>
      </c>
      <c r="N701" s="25" t="inlineStr">
        <is>
          <t>Tenant Insurance in Kitchener, ON</t>
        </is>
      </c>
      <c r="O701" s="36" t="inlineStr">
        <is>
          <t>tenant insurance kitchener</t>
        </is>
      </c>
      <c r="P701" s="37" t="n">
        <v>190</v>
      </c>
      <c r="Q701" s="36" t="inlineStr">
        <is>
          <t>City</t>
        </is>
      </c>
      <c r="R701" s="36" t="n"/>
      <c r="S701" s="36">
        <f>COUNTIF('Page-Keyword Map'!$A$2:$A$675,B701)</f>
        <v/>
      </c>
      <c r="T701" s="37">
        <f>SUMIF('Page-Keyword Map'!$A$2:$A$675,B701,'Page-Keyword Map'!$H$2:$H$675)</f>
        <v/>
      </c>
      <c r="U701" s="36">
        <f>COUNTIFS('Page-Keyword Map'!$A$2:$A$675,B701,'Page-Keyword Map'!$E$2:$E$675,"Nationwide")</f>
        <v/>
      </c>
      <c r="V701" s="36">
        <f>COUNTIFS('Page-Keyword Map'!$A$2:$A$675,B701,'Page-Keyword Map'!$E$2:$E$675,"Provincial")</f>
        <v/>
      </c>
      <c r="W701" s="36">
        <f>COUNTIFS('Page-Keyword Map'!$A$2:$A$675,B701,'Page-Keyword Map'!$E$2:$E$675,"City")</f>
        <v/>
      </c>
      <c r="X701" s="36">
        <f>IF(O701="","",IF(ISNUMBER(SEARCH(O701,J701)),"Yes","No"))</f>
        <v/>
      </c>
      <c r="Y701" s="36" t="n">
        <v>0.7</v>
      </c>
      <c r="Z701" s="36" t="inlineStr">
        <is>
          <t>sitemap-cities.xml</t>
        </is>
      </c>
      <c r="AA701" s="36" t="inlineStr">
        <is>
          <t>Live – indexable</t>
        </is>
      </c>
      <c r="AB701" s="38" t="n"/>
      <c r="AC701" s="38" t="n"/>
    </row>
    <row r="702" ht="23.85" customHeight="1" s="22">
      <c r="A702" s="36" t="inlineStr">
        <is>
          <t>P0701</t>
        </is>
      </c>
      <c r="B702" s="36" t="inlineStr">
        <is>
          <t>https://instasure.ca/tenant-insurance/ontario/london/</t>
        </is>
      </c>
      <c r="C702" s="36" t="inlineStr">
        <is>
          <t>Product × city</t>
        </is>
      </c>
      <c r="D702" s="36" t="inlineStr">
        <is>
          <t>Tenant insurance</t>
        </is>
      </c>
      <c r="E702" s="36" t="inlineStr">
        <is>
          <t>Tenant Insurance</t>
        </is>
      </c>
      <c r="F702" s="36" t="n"/>
      <c r="G702" s="36" t="inlineStr">
        <is>
          <t>Ontario</t>
        </is>
      </c>
      <c r="H702" s="36" t="inlineStr">
        <is>
          <t>London</t>
        </is>
      </c>
      <c r="I702" s="36" t="inlineStr">
        <is>
          <t>Yes</t>
        </is>
      </c>
      <c r="J702" s="25" t="inlineStr">
        <is>
          <t>Tenant Insurance London, ON: Compare Quotes &amp; Costs (2026)</t>
        </is>
      </c>
      <c r="K702" s="36">
        <f>LEN(J702)</f>
        <v/>
      </c>
      <c r="L702" s="25" t="inlineStr">
        <is>
          <t>Compare tenant insurance in London, ON: instant estimate ($20.00–$33.00/mo example), local risk factors and advisors licensed in Ontario.</t>
        </is>
      </c>
      <c r="M702" s="36">
        <f>LEN(L702)</f>
        <v/>
      </c>
      <c r="N702" s="25" t="inlineStr">
        <is>
          <t>Tenant Insurance in London, ON</t>
        </is>
      </c>
      <c r="O702" s="36" t="inlineStr">
        <is>
          <t>tenant insurance london ontario</t>
        </is>
      </c>
      <c r="P702" s="37" t="n">
        <v>290</v>
      </c>
      <c r="Q702" s="36" t="inlineStr">
        <is>
          <t>City</t>
        </is>
      </c>
      <c r="R702" s="36" t="n"/>
      <c r="S702" s="36">
        <f>COUNTIF('Page-Keyword Map'!$A$2:$A$675,B702)</f>
        <v/>
      </c>
      <c r="T702" s="37">
        <f>SUMIF('Page-Keyword Map'!$A$2:$A$675,B702,'Page-Keyword Map'!$H$2:$H$675)</f>
        <v/>
      </c>
      <c r="U702" s="36">
        <f>COUNTIFS('Page-Keyword Map'!$A$2:$A$675,B702,'Page-Keyword Map'!$E$2:$E$675,"Nationwide")</f>
        <v/>
      </c>
      <c r="V702" s="36">
        <f>COUNTIFS('Page-Keyword Map'!$A$2:$A$675,B702,'Page-Keyword Map'!$E$2:$E$675,"Provincial")</f>
        <v/>
      </c>
      <c r="W702" s="36">
        <f>COUNTIFS('Page-Keyword Map'!$A$2:$A$675,B702,'Page-Keyword Map'!$E$2:$E$675,"City")</f>
        <v/>
      </c>
      <c r="X702" s="36">
        <f>IF(O702="","",IF(ISNUMBER(SEARCH(O702,J702)),"Yes","No"))</f>
        <v/>
      </c>
      <c r="Y702" s="36" t="n">
        <v>0.7</v>
      </c>
      <c r="Z702" s="36" t="inlineStr">
        <is>
          <t>sitemap-cities.xml</t>
        </is>
      </c>
      <c r="AA702" s="36" t="inlineStr">
        <is>
          <t>Live – indexable</t>
        </is>
      </c>
      <c r="AB702" s="38" t="n"/>
      <c r="AC702" s="38" t="n"/>
    </row>
    <row r="703" ht="23.85" customHeight="1" s="22">
      <c r="A703" s="36" t="inlineStr">
        <is>
          <t>P0702</t>
        </is>
      </c>
      <c r="B703" s="36" t="inlineStr">
        <is>
          <t>https://instasure.ca/tenant-insurance/ontario/markham/</t>
        </is>
      </c>
      <c r="C703" s="36" t="inlineStr">
        <is>
          <t>Product × city</t>
        </is>
      </c>
      <c r="D703" s="36" t="inlineStr">
        <is>
          <t>Tenant insurance</t>
        </is>
      </c>
      <c r="E703" s="36" t="inlineStr">
        <is>
          <t>Tenant Insurance</t>
        </is>
      </c>
      <c r="F703" s="36" t="n"/>
      <c r="G703" s="36" t="inlineStr">
        <is>
          <t>Ontario</t>
        </is>
      </c>
      <c r="H703" s="36" t="inlineStr">
        <is>
          <t>Markham</t>
        </is>
      </c>
      <c r="I703" s="36" t="inlineStr">
        <is>
          <t>Yes</t>
        </is>
      </c>
      <c r="J703" s="25" t="inlineStr">
        <is>
          <t>Tenant Insurance Markham, ON: Compare Quotes &amp; Costs (2026)</t>
        </is>
      </c>
      <c r="K703" s="36">
        <f>LEN(J703)</f>
        <v/>
      </c>
      <c r="L703" s="25" t="inlineStr">
        <is>
          <t>Compare tenant insurance in Markham, ON: instant estimate ($20.00–$33.00/mo example), local risk factors and advisors licensed in Ontario.</t>
        </is>
      </c>
      <c r="M703" s="36">
        <f>LEN(L703)</f>
        <v/>
      </c>
      <c r="N703" s="25" t="inlineStr">
        <is>
          <t>Tenant Insurance in Markham, ON</t>
        </is>
      </c>
      <c r="O703" s="36" t="inlineStr">
        <is>
          <t>tenant insurance markham</t>
        </is>
      </c>
      <c r="P703" s="37" t="n">
        <v>240</v>
      </c>
      <c r="Q703" s="36" t="inlineStr">
        <is>
          <t>City</t>
        </is>
      </c>
      <c r="R703" s="36" t="n"/>
      <c r="S703" s="36">
        <f>COUNTIF('Page-Keyword Map'!$A$2:$A$675,B703)</f>
        <v/>
      </c>
      <c r="T703" s="37">
        <f>SUMIF('Page-Keyword Map'!$A$2:$A$675,B703,'Page-Keyword Map'!$H$2:$H$675)</f>
        <v/>
      </c>
      <c r="U703" s="36">
        <f>COUNTIFS('Page-Keyword Map'!$A$2:$A$675,B703,'Page-Keyword Map'!$E$2:$E$675,"Nationwide")</f>
        <v/>
      </c>
      <c r="V703" s="36">
        <f>COUNTIFS('Page-Keyword Map'!$A$2:$A$675,B703,'Page-Keyword Map'!$E$2:$E$675,"Provincial")</f>
        <v/>
      </c>
      <c r="W703" s="36">
        <f>COUNTIFS('Page-Keyword Map'!$A$2:$A$675,B703,'Page-Keyword Map'!$E$2:$E$675,"City")</f>
        <v/>
      </c>
      <c r="X703" s="36">
        <f>IF(O703="","",IF(ISNUMBER(SEARCH(O703,J703)),"Yes","No"))</f>
        <v/>
      </c>
      <c r="Y703" s="36" t="n">
        <v>0.7</v>
      </c>
      <c r="Z703" s="36" t="inlineStr">
        <is>
          <t>sitemap-cities.xml</t>
        </is>
      </c>
      <c r="AA703" s="36" t="inlineStr">
        <is>
          <t>Live – indexable</t>
        </is>
      </c>
      <c r="AB703" s="38" t="n"/>
      <c r="AC703" s="38" t="n"/>
    </row>
    <row r="704" ht="23.85" customHeight="1" s="22">
      <c r="A704" s="36" t="inlineStr">
        <is>
          <t>P0703</t>
        </is>
      </c>
      <c r="B704" s="36" t="inlineStr">
        <is>
          <t>https://instasure.ca/tenant-insurance/ontario/milton/</t>
        </is>
      </c>
      <c r="C704" s="36" t="inlineStr">
        <is>
          <t>Product × city</t>
        </is>
      </c>
      <c r="D704" s="36" t="inlineStr">
        <is>
          <t>Tenant insurance</t>
        </is>
      </c>
      <c r="E704" s="36" t="inlineStr">
        <is>
          <t>Tenant Insurance</t>
        </is>
      </c>
      <c r="F704" s="36" t="n"/>
      <c r="G704" s="36" t="inlineStr">
        <is>
          <t>Ontario</t>
        </is>
      </c>
      <c r="H704" s="36" t="inlineStr">
        <is>
          <t>Milton</t>
        </is>
      </c>
      <c r="I704" s="36" t="inlineStr">
        <is>
          <t>No</t>
        </is>
      </c>
      <c r="J704" s="25" t="inlineStr">
        <is>
          <t>Tenant Insurance Milton, ON: Compare Quotes &amp; Costs (2026)</t>
        </is>
      </c>
      <c r="K704" s="36">
        <f>LEN(J704)</f>
        <v/>
      </c>
      <c r="L704" s="25" t="inlineStr">
        <is>
          <t>Compare tenant insurance in Milton, ON: instant estimate ($20.00–$33.00/mo example), local risk factors and advisors licensed in Ontario.</t>
        </is>
      </c>
      <c r="M704" s="36">
        <f>LEN(L704)</f>
        <v/>
      </c>
      <c r="N704" s="25" t="inlineStr">
        <is>
          <t>Tenant Insurance in Milton, ON</t>
        </is>
      </c>
      <c r="O704" s="36" t="inlineStr">
        <is>
          <t>tenant insurance milton</t>
        </is>
      </c>
      <c r="P704" s="37" t="n">
        <v>110</v>
      </c>
      <c r="Q704" s="36" t="inlineStr">
        <is>
          <t>City</t>
        </is>
      </c>
      <c r="R704" s="36" t="n"/>
      <c r="S704" s="36">
        <f>COUNTIF('Page-Keyword Map'!$A$2:$A$675,B704)</f>
        <v/>
      </c>
      <c r="T704" s="37">
        <f>SUMIF('Page-Keyword Map'!$A$2:$A$675,B704,'Page-Keyword Map'!$H$2:$H$675)</f>
        <v/>
      </c>
      <c r="U704" s="36">
        <f>COUNTIFS('Page-Keyword Map'!$A$2:$A$675,B704,'Page-Keyword Map'!$E$2:$E$675,"Nationwide")</f>
        <v/>
      </c>
      <c r="V704" s="36">
        <f>COUNTIFS('Page-Keyword Map'!$A$2:$A$675,B704,'Page-Keyword Map'!$E$2:$E$675,"Provincial")</f>
        <v/>
      </c>
      <c r="W704" s="36">
        <f>COUNTIFS('Page-Keyword Map'!$A$2:$A$675,B704,'Page-Keyword Map'!$E$2:$E$675,"City")</f>
        <v/>
      </c>
      <c r="X704" s="36">
        <f>IF(O704="","",IF(ISNUMBER(SEARCH(O704,J704)),"Yes","No"))</f>
        <v/>
      </c>
      <c r="Y704" s="36" t="n">
        <v>0.5</v>
      </c>
      <c r="Z704" s="36" t="inlineStr">
        <is>
          <t>(not listed: noindex)</t>
        </is>
      </c>
      <c r="AA704" s="36" t="inlineStr">
        <is>
          <t>Live – noindex (enrich before indexing)</t>
        </is>
      </c>
      <c r="AB704" s="38" t="n"/>
      <c r="AC704" s="38" t="n"/>
    </row>
    <row r="705" ht="23.85" customHeight="1" s="22">
      <c r="A705" s="36" t="inlineStr">
        <is>
          <t>P0704</t>
        </is>
      </c>
      <c r="B705" s="36" t="inlineStr">
        <is>
          <t>https://instasure.ca/tenant-insurance/ontario/mississauga/</t>
        </is>
      </c>
      <c r="C705" s="36" t="inlineStr">
        <is>
          <t>Product × city</t>
        </is>
      </c>
      <c r="D705" s="36" t="inlineStr">
        <is>
          <t>Tenant insurance</t>
        </is>
      </c>
      <c r="E705" s="36" t="inlineStr">
        <is>
          <t>Tenant Insurance</t>
        </is>
      </c>
      <c r="F705" s="36" t="n"/>
      <c r="G705" s="36" t="inlineStr">
        <is>
          <t>Ontario</t>
        </is>
      </c>
      <c r="H705" s="36" t="inlineStr">
        <is>
          <t>Mississauga</t>
        </is>
      </c>
      <c r="I705" s="36" t="inlineStr">
        <is>
          <t>Yes</t>
        </is>
      </c>
      <c r="J705" s="25" t="inlineStr">
        <is>
          <t>Tenant Insurance Mississauga, ON: Compare Quotes &amp; Costs (2026)</t>
        </is>
      </c>
      <c r="K705" s="36">
        <f>LEN(J705)</f>
        <v/>
      </c>
      <c r="L705" s="25" t="inlineStr">
        <is>
          <t>Compare tenant insurance in Mississauga, ON: instant estimate ($20.00–$33.00/mo example), local risk factors and advisors licensed in Ontario.</t>
        </is>
      </c>
      <c r="M705" s="36">
        <f>LEN(L705)</f>
        <v/>
      </c>
      <c r="N705" s="25" t="inlineStr">
        <is>
          <t>Tenant Insurance in Mississauga, ON</t>
        </is>
      </c>
      <c r="O705" s="36" t="inlineStr">
        <is>
          <t>tenant insurance mississauga</t>
        </is>
      </c>
      <c r="P705" s="37" t="n">
        <v>440</v>
      </c>
      <c r="Q705" s="36" t="inlineStr">
        <is>
          <t>City</t>
        </is>
      </c>
      <c r="R705" s="36" t="n"/>
      <c r="S705" s="36">
        <f>COUNTIF('Page-Keyword Map'!$A$2:$A$675,B705)</f>
        <v/>
      </c>
      <c r="T705" s="37">
        <f>SUMIF('Page-Keyword Map'!$A$2:$A$675,B705,'Page-Keyword Map'!$H$2:$H$675)</f>
        <v/>
      </c>
      <c r="U705" s="36">
        <f>COUNTIFS('Page-Keyword Map'!$A$2:$A$675,B705,'Page-Keyword Map'!$E$2:$E$675,"Nationwide")</f>
        <v/>
      </c>
      <c r="V705" s="36">
        <f>COUNTIFS('Page-Keyword Map'!$A$2:$A$675,B705,'Page-Keyword Map'!$E$2:$E$675,"Provincial")</f>
        <v/>
      </c>
      <c r="W705" s="36">
        <f>COUNTIFS('Page-Keyword Map'!$A$2:$A$675,B705,'Page-Keyword Map'!$E$2:$E$675,"City")</f>
        <v/>
      </c>
      <c r="X705" s="36">
        <f>IF(O705="","",IF(ISNUMBER(SEARCH(O705,J705)),"Yes","No"))</f>
        <v/>
      </c>
      <c r="Y705" s="36" t="n">
        <v>0.7</v>
      </c>
      <c r="Z705" s="36" t="inlineStr">
        <is>
          <t>sitemap-cities.xml</t>
        </is>
      </c>
      <c r="AA705" s="36" t="inlineStr">
        <is>
          <t>Live – indexable</t>
        </is>
      </c>
      <c r="AB705" s="38" t="n"/>
      <c r="AC705" s="38" t="n"/>
    </row>
    <row r="706" ht="23.85" customHeight="1" s="22">
      <c r="A706" s="36" t="inlineStr">
        <is>
          <t>P0705</t>
        </is>
      </c>
      <c r="B706" s="36" t="inlineStr">
        <is>
          <t>https://instasure.ca/tenant-insurance/ontario/oakville/</t>
        </is>
      </c>
      <c r="C706" s="36" t="inlineStr">
        <is>
          <t>Product × city</t>
        </is>
      </c>
      <c r="D706" s="36" t="inlineStr">
        <is>
          <t>Tenant insurance</t>
        </is>
      </c>
      <c r="E706" s="36" t="inlineStr">
        <is>
          <t>Tenant Insurance</t>
        </is>
      </c>
      <c r="F706" s="36" t="n"/>
      <c r="G706" s="36" t="inlineStr">
        <is>
          <t>Ontario</t>
        </is>
      </c>
      <c r="H706" s="36" t="inlineStr">
        <is>
          <t>Oakville</t>
        </is>
      </c>
      <c r="I706" s="36" t="inlineStr">
        <is>
          <t>Yes</t>
        </is>
      </c>
      <c r="J706" s="25" t="inlineStr">
        <is>
          <t>Tenant Insurance Oakville, ON: Compare Quotes &amp; Costs (2026)</t>
        </is>
      </c>
      <c r="K706" s="36">
        <f>LEN(J706)</f>
        <v/>
      </c>
      <c r="L706" s="25" t="inlineStr">
        <is>
          <t>Compare tenant insurance in Oakville, ON: instant estimate ($20.00–$33.00/mo example), local risk factors and advisors licensed in Ontario.</t>
        </is>
      </c>
      <c r="M706" s="36">
        <f>LEN(L706)</f>
        <v/>
      </c>
      <c r="N706" s="25" t="inlineStr">
        <is>
          <t>Tenant Insurance in Oakville, ON</t>
        </is>
      </c>
      <c r="O706" s="36" t="inlineStr">
        <is>
          <t>tenant insurance oakville</t>
        </is>
      </c>
      <c r="P706" s="37" t="n">
        <v>170</v>
      </c>
      <c r="Q706" s="36" t="inlineStr">
        <is>
          <t>City</t>
        </is>
      </c>
      <c r="R706" s="36" t="n"/>
      <c r="S706" s="36">
        <f>COUNTIF('Page-Keyword Map'!$A$2:$A$675,B706)</f>
        <v/>
      </c>
      <c r="T706" s="37">
        <f>SUMIF('Page-Keyword Map'!$A$2:$A$675,B706,'Page-Keyword Map'!$H$2:$H$675)</f>
        <v/>
      </c>
      <c r="U706" s="36">
        <f>COUNTIFS('Page-Keyword Map'!$A$2:$A$675,B706,'Page-Keyword Map'!$E$2:$E$675,"Nationwide")</f>
        <v/>
      </c>
      <c r="V706" s="36">
        <f>COUNTIFS('Page-Keyword Map'!$A$2:$A$675,B706,'Page-Keyword Map'!$E$2:$E$675,"Provincial")</f>
        <v/>
      </c>
      <c r="W706" s="36">
        <f>COUNTIFS('Page-Keyword Map'!$A$2:$A$675,B706,'Page-Keyword Map'!$E$2:$E$675,"City")</f>
        <v/>
      </c>
      <c r="X706" s="36">
        <f>IF(O706="","",IF(ISNUMBER(SEARCH(O706,J706)),"Yes","No"))</f>
        <v/>
      </c>
      <c r="Y706" s="36" t="n">
        <v>0.5</v>
      </c>
      <c r="Z706" s="36" t="inlineStr">
        <is>
          <t>sitemap-cities.xml</t>
        </is>
      </c>
      <c r="AA706" s="36" t="inlineStr">
        <is>
          <t>Live – indexable</t>
        </is>
      </c>
      <c r="AB706" s="38" t="n"/>
      <c r="AC706" s="38" t="n"/>
    </row>
    <row r="707" ht="23.85" customHeight="1" s="22">
      <c r="A707" s="36" t="inlineStr">
        <is>
          <t>P0706</t>
        </is>
      </c>
      <c r="B707" s="36" t="inlineStr">
        <is>
          <t>https://instasure.ca/tenant-insurance/ontario/oshawa/</t>
        </is>
      </c>
      <c r="C707" s="36" t="inlineStr">
        <is>
          <t>Product × city</t>
        </is>
      </c>
      <c r="D707" s="36" t="inlineStr">
        <is>
          <t>Tenant insurance</t>
        </is>
      </c>
      <c r="E707" s="36" t="inlineStr">
        <is>
          <t>Tenant Insurance</t>
        </is>
      </c>
      <c r="F707" s="36" t="n"/>
      <c r="G707" s="36" t="inlineStr">
        <is>
          <t>Ontario</t>
        </is>
      </c>
      <c r="H707" s="36" t="inlineStr">
        <is>
          <t>Oshawa</t>
        </is>
      </c>
      <c r="I707" s="36" t="inlineStr">
        <is>
          <t>Yes</t>
        </is>
      </c>
      <c r="J707" s="25" t="inlineStr">
        <is>
          <t>Tenant Insurance Oshawa, ON: Compare Quotes &amp; Costs (2026)</t>
        </is>
      </c>
      <c r="K707" s="36">
        <f>LEN(J707)</f>
        <v/>
      </c>
      <c r="L707" s="25" t="inlineStr">
        <is>
          <t>Compare tenant insurance in Oshawa, ON: instant estimate ($20.00–$33.00/mo example), local risk factors and advisors licensed in Ontario.</t>
        </is>
      </c>
      <c r="M707" s="36">
        <f>LEN(L707)</f>
        <v/>
      </c>
      <c r="N707" s="25" t="inlineStr">
        <is>
          <t>Tenant Insurance in Oshawa, ON</t>
        </is>
      </c>
      <c r="O707" s="36" t="inlineStr">
        <is>
          <t>tenant insurance oshawa</t>
        </is>
      </c>
      <c r="P707" s="37" t="n">
        <v>140</v>
      </c>
      <c r="Q707" s="36" t="inlineStr">
        <is>
          <t>City</t>
        </is>
      </c>
      <c r="R707" s="36" t="n"/>
      <c r="S707" s="36">
        <f>COUNTIF('Page-Keyword Map'!$A$2:$A$675,B707)</f>
        <v/>
      </c>
      <c r="T707" s="37">
        <f>SUMIF('Page-Keyword Map'!$A$2:$A$675,B707,'Page-Keyword Map'!$H$2:$H$675)</f>
        <v/>
      </c>
      <c r="U707" s="36">
        <f>COUNTIFS('Page-Keyword Map'!$A$2:$A$675,B707,'Page-Keyword Map'!$E$2:$E$675,"Nationwide")</f>
        <v/>
      </c>
      <c r="V707" s="36">
        <f>COUNTIFS('Page-Keyword Map'!$A$2:$A$675,B707,'Page-Keyword Map'!$E$2:$E$675,"Provincial")</f>
        <v/>
      </c>
      <c r="W707" s="36">
        <f>COUNTIFS('Page-Keyword Map'!$A$2:$A$675,B707,'Page-Keyword Map'!$E$2:$E$675,"City")</f>
        <v/>
      </c>
      <c r="X707" s="36">
        <f>IF(O707="","",IF(ISNUMBER(SEARCH(O707,J707)),"Yes","No"))</f>
        <v/>
      </c>
      <c r="Y707" s="36" t="n">
        <v>0.5</v>
      </c>
      <c r="Z707" s="36" t="inlineStr">
        <is>
          <t>sitemap-cities.xml</t>
        </is>
      </c>
      <c r="AA707" s="36" t="inlineStr">
        <is>
          <t>Live – indexable</t>
        </is>
      </c>
      <c r="AB707" s="38" t="n"/>
      <c r="AC707" s="38" t="n"/>
    </row>
    <row r="708" ht="23.85" customHeight="1" s="22">
      <c r="A708" s="36" t="inlineStr">
        <is>
          <t>P0707</t>
        </is>
      </c>
      <c r="B708" s="36" t="inlineStr">
        <is>
          <t>https://instasure.ca/tenant-insurance/ontario/ottawa/</t>
        </is>
      </c>
      <c r="C708" s="36" t="inlineStr">
        <is>
          <t>Product × city</t>
        </is>
      </c>
      <c r="D708" s="36" t="inlineStr">
        <is>
          <t>Tenant insurance</t>
        </is>
      </c>
      <c r="E708" s="36" t="inlineStr">
        <is>
          <t>Tenant Insurance</t>
        </is>
      </c>
      <c r="F708" s="36" t="n"/>
      <c r="G708" s="36" t="inlineStr">
        <is>
          <t>Ontario</t>
        </is>
      </c>
      <c r="H708" s="36" t="inlineStr">
        <is>
          <t>Ottawa</t>
        </is>
      </c>
      <c r="I708" s="36" t="inlineStr">
        <is>
          <t>Yes</t>
        </is>
      </c>
      <c r="J708" s="25" t="inlineStr">
        <is>
          <t>Tenant Insurance Ottawa, ON: Compare Quotes &amp; Costs (2026)</t>
        </is>
      </c>
      <c r="K708" s="36">
        <f>LEN(J708)</f>
        <v/>
      </c>
      <c r="L708" s="25" t="inlineStr">
        <is>
          <t>Compare tenant insurance in Ottawa, ON: instant estimate ($20.00–$33.00/mo example), local risk factors and advisors licensed in Ontario.</t>
        </is>
      </c>
      <c r="M708" s="36">
        <f>LEN(L708)</f>
        <v/>
      </c>
      <c r="N708" s="25" t="inlineStr">
        <is>
          <t>Tenant Insurance in Ottawa, ON</t>
        </is>
      </c>
      <c r="O708" s="36" t="inlineStr">
        <is>
          <t>tenant insurance ottawa</t>
        </is>
      </c>
      <c r="P708" s="37" t="n">
        <v>580</v>
      </c>
      <c r="Q708" s="36" t="inlineStr">
        <is>
          <t>City</t>
        </is>
      </c>
      <c r="R708" s="36" t="n"/>
      <c r="S708" s="36">
        <f>COUNTIF('Page-Keyword Map'!$A$2:$A$675,B708)</f>
        <v/>
      </c>
      <c r="T708" s="37">
        <f>SUMIF('Page-Keyword Map'!$A$2:$A$675,B708,'Page-Keyword Map'!$H$2:$H$675)</f>
        <v/>
      </c>
      <c r="U708" s="36">
        <f>COUNTIFS('Page-Keyword Map'!$A$2:$A$675,B708,'Page-Keyword Map'!$E$2:$E$675,"Nationwide")</f>
        <v/>
      </c>
      <c r="V708" s="36">
        <f>COUNTIFS('Page-Keyword Map'!$A$2:$A$675,B708,'Page-Keyword Map'!$E$2:$E$675,"Provincial")</f>
        <v/>
      </c>
      <c r="W708" s="36">
        <f>COUNTIFS('Page-Keyword Map'!$A$2:$A$675,B708,'Page-Keyword Map'!$E$2:$E$675,"City")</f>
        <v/>
      </c>
      <c r="X708" s="36">
        <f>IF(O708="","",IF(ISNUMBER(SEARCH(O708,J708)),"Yes","No"))</f>
        <v/>
      </c>
      <c r="Y708" s="36" t="n">
        <v>0.7</v>
      </c>
      <c r="Z708" s="36" t="inlineStr">
        <is>
          <t>sitemap-cities.xml</t>
        </is>
      </c>
      <c r="AA708" s="36" t="inlineStr">
        <is>
          <t>Live – indexable</t>
        </is>
      </c>
      <c r="AB708" s="38" t="n"/>
      <c r="AC708" s="38" t="n"/>
    </row>
    <row r="709" ht="23.85" customHeight="1" s="22">
      <c r="A709" s="36" t="inlineStr">
        <is>
          <t>P0708</t>
        </is>
      </c>
      <c r="B709" s="36" t="inlineStr">
        <is>
          <t>https://instasure.ca/tenant-insurance/ontario/pickering/</t>
        </is>
      </c>
      <c r="C709" s="36" t="inlineStr">
        <is>
          <t>Product × city</t>
        </is>
      </c>
      <c r="D709" s="36" t="inlineStr">
        <is>
          <t>Tenant insurance</t>
        </is>
      </c>
      <c r="E709" s="36" t="inlineStr">
        <is>
          <t>Tenant Insurance</t>
        </is>
      </c>
      <c r="F709" s="36" t="n"/>
      <c r="G709" s="36" t="inlineStr">
        <is>
          <t>Ontario</t>
        </is>
      </c>
      <c r="H709" s="36" t="inlineStr">
        <is>
          <t>Pickering</t>
        </is>
      </c>
      <c r="I709" s="36" t="inlineStr">
        <is>
          <t>No</t>
        </is>
      </c>
      <c r="J709" s="25" t="inlineStr">
        <is>
          <t>Tenant Insurance Pickering, ON: Compare Quotes &amp; Costs (2026)</t>
        </is>
      </c>
      <c r="K709" s="36">
        <f>LEN(J709)</f>
        <v/>
      </c>
      <c r="L709" s="25" t="inlineStr">
        <is>
          <t>Compare tenant insurance in Pickering, ON: instant estimate ($20.00–$33.00/mo example), local risk factors and advisors licensed in Ontario.</t>
        </is>
      </c>
      <c r="M709" s="36">
        <f>LEN(L709)</f>
        <v/>
      </c>
      <c r="N709" s="25" t="inlineStr">
        <is>
          <t>Tenant Insurance in Pickering, ON</t>
        </is>
      </c>
      <c r="O709" s="36" t="inlineStr">
        <is>
          <t>tenant insurance pickering</t>
        </is>
      </c>
      <c r="P709" s="37" t="n">
        <v>90</v>
      </c>
      <c r="Q709" s="36" t="inlineStr">
        <is>
          <t>City</t>
        </is>
      </c>
      <c r="R709" s="36" t="n"/>
      <c r="S709" s="36">
        <f>COUNTIF('Page-Keyword Map'!$A$2:$A$675,B709)</f>
        <v/>
      </c>
      <c r="T709" s="37">
        <f>SUMIF('Page-Keyword Map'!$A$2:$A$675,B709,'Page-Keyword Map'!$H$2:$H$675)</f>
        <v/>
      </c>
      <c r="U709" s="36">
        <f>COUNTIFS('Page-Keyword Map'!$A$2:$A$675,B709,'Page-Keyword Map'!$E$2:$E$675,"Nationwide")</f>
        <v/>
      </c>
      <c r="V709" s="36">
        <f>COUNTIFS('Page-Keyword Map'!$A$2:$A$675,B709,'Page-Keyword Map'!$E$2:$E$675,"Provincial")</f>
        <v/>
      </c>
      <c r="W709" s="36">
        <f>COUNTIFS('Page-Keyword Map'!$A$2:$A$675,B709,'Page-Keyword Map'!$E$2:$E$675,"City")</f>
        <v/>
      </c>
      <c r="X709" s="36">
        <f>IF(O709="","",IF(ISNUMBER(SEARCH(O709,J709)),"Yes","No"))</f>
        <v/>
      </c>
      <c r="Y709" s="36" t="n">
        <v>0.5</v>
      </c>
      <c r="Z709" s="36" t="inlineStr">
        <is>
          <t>(not listed: noindex)</t>
        </is>
      </c>
      <c r="AA709" s="36" t="inlineStr">
        <is>
          <t>Live – noindex (enrich before indexing)</t>
        </is>
      </c>
      <c r="AB709" s="38" t="n"/>
      <c r="AC709" s="38" t="n"/>
    </row>
    <row r="710" ht="23.85" customHeight="1" s="22">
      <c r="A710" s="36" t="inlineStr">
        <is>
          <t>P0709</t>
        </is>
      </c>
      <c r="B710" s="36" t="inlineStr">
        <is>
          <t>https://instasure.ca/tenant-insurance/ontario/richmond-hill/</t>
        </is>
      </c>
      <c r="C710" s="36" t="inlineStr">
        <is>
          <t>Product × city</t>
        </is>
      </c>
      <c r="D710" s="36" t="inlineStr">
        <is>
          <t>Tenant insurance</t>
        </is>
      </c>
      <c r="E710" s="36" t="inlineStr">
        <is>
          <t>Tenant Insurance</t>
        </is>
      </c>
      <c r="F710" s="36" t="n"/>
      <c r="G710" s="36" t="inlineStr">
        <is>
          <t>Ontario</t>
        </is>
      </c>
      <c r="H710" s="36" t="inlineStr">
        <is>
          <t>Richmond Hill</t>
        </is>
      </c>
      <c r="I710" s="36" t="inlineStr">
        <is>
          <t>Yes</t>
        </is>
      </c>
      <c r="J710" s="25" t="inlineStr">
        <is>
          <t>Tenant Insurance Richmond Hill, ON: Compare Quotes &amp; Costs (2026)</t>
        </is>
      </c>
      <c r="K710" s="36">
        <f>LEN(J710)</f>
        <v/>
      </c>
      <c r="L710" s="25" t="inlineStr">
        <is>
          <t>Compare tenant insurance in Richmond Hill, ON: instant estimate ($20.00–$33.00/mo example), local risk factors and advisors licensed in Ontario.</t>
        </is>
      </c>
      <c r="M710" s="36">
        <f>LEN(L710)</f>
        <v/>
      </c>
      <c r="N710" s="25" t="inlineStr">
        <is>
          <t>Tenant Insurance in Richmond Hill, ON</t>
        </is>
      </c>
      <c r="O710" s="36" t="inlineStr">
        <is>
          <t>tenant insurance richmond hill</t>
        </is>
      </c>
      <c r="P710" s="37" t="n">
        <v>160</v>
      </c>
      <c r="Q710" s="36" t="inlineStr">
        <is>
          <t>City</t>
        </is>
      </c>
      <c r="R710" s="36" t="n"/>
      <c r="S710" s="36">
        <f>COUNTIF('Page-Keyword Map'!$A$2:$A$675,B710)</f>
        <v/>
      </c>
      <c r="T710" s="37">
        <f>SUMIF('Page-Keyword Map'!$A$2:$A$675,B710,'Page-Keyword Map'!$H$2:$H$675)</f>
        <v/>
      </c>
      <c r="U710" s="36">
        <f>COUNTIFS('Page-Keyword Map'!$A$2:$A$675,B710,'Page-Keyword Map'!$E$2:$E$675,"Nationwide")</f>
        <v/>
      </c>
      <c r="V710" s="36">
        <f>COUNTIFS('Page-Keyword Map'!$A$2:$A$675,B710,'Page-Keyword Map'!$E$2:$E$675,"Provincial")</f>
        <v/>
      </c>
      <c r="W710" s="36">
        <f>COUNTIFS('Page-Keyword Map'!$A$2:$A$675,B710,'Page-Keyword Map'!$E$2:$E$675,"City")</f>
        <v/>
      </c>
      <c r="X710" s="36">
        <f>IF(O710="","",IF(ISNUMBER(SEARCH(O710,J710)),"Yes","No"))</f>
        <v/>
      </c>
      <c r="Y710" s="36" t="n">
        <v>0.5</v>
      </c>
      <c r="Z710" s="36" t="inlineStr">
        <is>
          <t>sitemap-cities.xml</t>
        </is>
      </c>
      <c r="AA710" s="36" t="inlineStr">
        <is>
          <t>Live – indexable</t>
        </is>
      </c>
      <c r="AB710" s="38" t="n"/>
      <c r="AC710" s="38" t="n"/>
    </row>
    <row r="711" ht="23.85" customHeight="1" s="22">
      <c r="A711" s="36" t="inlineStr">
        <is>
          <t>P0710</t>
        </is>
      </c>
      <c r="B711" s="36" t="inlineStr">
        <is>
          <t>https://instasure.ca/tenant-insurance/ontario/st-catharines/</t>
        </is>
      </c>
      <c r="C711" s="36" t="inlineStr">
        <is>
          <t>Product × city</t>
        </is>
      </c>
      <c r="D711" s="36" t="inlineStr">
        <is>
          <t>Tenant insurance</t>
        </is>
      </c>
      <c r="E711" s="36" t="inlineStr">
        <is>
          <t>Tenant Insurance</t>
        </is>
      </c>
      <c r="F711" s="36" t="n"/>
      <c r="G711" s="36" t="inlineStr">
        <is>
          <t>Ontario</t>
        </is>
      </c>
      <c r="H711" s="36" t="inlineStr">
        <is>
          <t>St. Catharines</t>
        </is>
      </c>
      <c r="I711" s="36" t="inlineStr">
        <is>
          <t>Yes</t>
        </is>
      </c>
      <c r="J711" s="25" t="inlineStr">
        <is>
          <t>Tenant Insurance St. Catharines, ON: Compare Quotes &amp; Costs (2026)</t>
        </is>
      </c>
      <c r="K711" s="36">
        <f>LEN(J711)</f>
        <v/>
      </c>
      <c r="L711" s="25" t="inlineStr">
        <is>
          <t>Compare tenant insurance in St. Catharines, ON: instant estimate ($20.00–$33.00/mo example), local risk factors and advisors licensed in Ontario.</t>
        </is>
      </c>
      <c r="M711" s="36">
        <f>LEN(L711)</f>
        <v/>
      </c>
      <c r="N711" s="25" t="inlineStr">
        <is>
          <t>Tenant Insurance in St. Catharines, ON</t>
        </is>
      </c>
      <c r="O711" s="36" t="inlineStr">
        <is>
          <t>tenant insurance st catharines</t>
        </is>
      </c>
      <c r="P711" s="37" t="n">
        <v>120</v>
      </c>
      <c r="Q711" s="36" t="inlineStr">
        <is>
          <t>City</t>
        </is>
      </c>
      <c r="R711" s="36" t="n"/>
      <c r="S711" s="36">
        <f>COUNTIF('Page-Keyword Map'!$A$2:$A$675,B711)</f>
        <v/>
      </c>
      <c r="T711" s="37">
        <f>SUMIF('Page-Keyword Map'!$A$2:$A$675,B711,'Page-Keyword Map'!$H$2:$H$675)</f>
        <v/>
      </c>
      <c r="U711" s="36">
        <f>COUNTIFS('Page-Keyword Map'!$A$2:$A$675,B711,'Page-Keyword Map'!$E$2:$E$675,"Nationwide")</f>
        <v/>
      </c>
      <c r="V711" s="36">
        <f>COUNTIFS('Page-Keyword Map'!$A$2:$A$675,B711,'Page-Keyword Map'!$E$2:$E$675,"Provincial")</f>
        <v/>
      </c>
      <c r="W711" s="36">
        <f>COUNTIFS('Page-Keyword Map'!$A$2:$A$675,B711,'Page-Keyword Map'!$E$2:$E$675,"City")</f>
        <v/>
      </c>
      <c r="X711" s="36">
        <f>IF(O711="","",IF(ISNUMBER(SEARCH(O711,J711)),"Yes","No"))</f>
        <v/>
      </c>
      <c r="Y711" s="36" t="n">
        <v>0.5</v>
      </c>
      <c r="Z711" s="36" t="inlineStr">
        <is>
          <t>sitemap-cities.xml</t>
        </is>
      </c>
      <c r="AA711" s="36" t="inlineStr">
        <is>
          <t>Live – indexable</t>
        </is>
      </c>
      <c r="AB711" s="38" t="n"/>
      <c r="AC711" s="38" t="n"/>
    </row>
    <row r="712" ht="23.85" customHeight="1" s="22">
      <c r="A712" s="36" t="inlineStr">
        <is>
          <t>P0711</t>
        </is>
      </c>
      <c r="B712" s="36" t="inlineStr">
        <is>
          <t>https://instasure.ca/tenant-insurance/ontario/sudbury/</t>
        </is>
      </c>
      <c r="C712" s="36" t="inlineStr">
        <is>
          <t>Product × city</t>
        </is>
      </c>
      <c r="D712" s="36" t="inlineStr">
        <is>
          <t>Tenant insurance</t>
        </is>
      </c>
      <c r="E712" s="36" t="inlineStr">
        <is>
          <t>Tenant Insurance</t>
        </is>
      </c>
      <c r="F712" s="36" t="n"/>
      <c r="G712" s="36" t="inlineStr">
        <is>
          <t>Ontario</t>
        </is>
      </c>
      <c r="H712" s="36" t="inlineStr">
        <is>
          <t>Sudbury</t>
        </is>
      </c>
      <c r="I712" s="36" t="inlineStr">
        <is>
          <t>No</t>
        </is>
      </c>
      <c r="J712" s="25" t="inlineStr">
        <is>
          <t>Tenant Insurance Sudbury, ON: Compare Quotes &amp; Costs (2026)</t>
        </is>
      </c>
      <c r="K712" s="36">
        <f>LEN(J712)</f>
        <v/>
      </c>
      <c r="L712" s="25" t="inlineStr">
        <is>
          <t>Compare tenant insurance in Sudbury, ON: instant estimate ($20.00–$33.00/mo example), local risk factors and advisors licensed in Ontario.</t>
        </is>
      </c>
      <c r="M712" s="36">
        <f>LEN(L712)</f>
        <v/>
      </c>
      <c r="N712" s="25" t="inlineStr">
        <is>
          <t>Tenant Insurance in Sudbury, ON</t>
        </is>
      </c>
      <c r="O712" s="36" t="inlineStr">
        <is>
          <t>tenant insurance sudbury</t>
        </is>
      </c>
      <c r="P712" s="37" t="n">
        <v>140</v>
      </c>
      <c r="Q712" s="36" t="inlineStr">
        <is>
          <t>City</t>
        </is>
      </c>
      <c r="R712" s="36" t="n"/>
      <c r="S712" s="36">
        <f>COUNTIF('Page-Keyword Map'!$A$2:$A$675,B712)</f>
        <v/>
      </c>
      <c r="T712" s="37">
        <f>SUMIF('Page-Keyword Map'!$A$2:$A$675,B712,'Page-Keyword Map'!$H$2:$H$675)</f>
        <v/>
      </c>
      <c r="U712" s="36">
        <f>COUNTIFS('Page-Keyword Map'!$A$2:$A$675,B712,'Page-Keyword Map'!$E$2:$E$675,"Nationwide")</f>
        <v/>
      </c>
      <c r="V712" s="36">
        <f>COUNTIFS('Page-Keyword Map'!$A$2:$A$675,B712,'Page-Keyword Map'!$E$2:$E$675,"Provincial")</f>
        <v/>
      </c>
      <c r="W712" s="36">
        <f>COUNTIFS('Page-Keyword Map'!$A$2:$A$675,B712,'Page-Keyword Map'!$E$2:$E$675,"City")</f>
        <v/>
      </c>
      <c r="X712" s="36">
        <f>IF(O712="","",IF(ISNUMBER(SEARCH(O712,J712)),"Yes","No"))</f>
        <v/>
      </c>
      <c r="Y712" s="36" t="n">
        <v>0.5</v>
      </c>
      <c r="Z712" s="36" t="inlineStr">
        <is>
          <t>(not listed: noindex)</t>
        </is>
      </c>
      <c r="AA712" s="36" t="inlineStr">
        <is>
          <t>Live – noindex (enrich before indexing)</t>
        </is>
      </c>
      <c r="AB712" s="38" t="n"/>
      <c r="AC712" s="38" t="n"/>
    </row>
    <row r="713" ht="23.85" customHeight="1" s="22">
      <c r="A713" s="36" t="inlineStr">
        <is>
          <t>P0712</t>
        </is>
      </c>
      <c r="B713" s="36" t="inlineStr">
        <is>
          <t>https://instasure.ca/tenant-insurance/ontario/thunder-bay/</t>
        </is>
      </c>
      <c r="C713" s="36" t="inlineStr">
        <is>
          <t>Product × city</t>
        </is>
      </c>
      <c r="D713" s="36" t="inlineStr">
        <is>
          <t>Tenant insurance</t>
        </is>
      </c>
      <c r="E713" s="36" t="inlineStr">
        <is>
          <t>Tenant Insurance</t>
        </is>
      </c>
      <c r="F713" s="36" t="n"/>
      <c r="G713" s="36" t="inlineStr">
        <is>
          <t>Ontario</t>
        </is>
      </c>
      <c r="H713" s="36" t="inlineStr">
        <is>
          <t>Thunder Bay</t>
        </is>
      </c>
      <c r="I713" s="36" t="inlineStr">
        <is>
          <t>No</t>
        </is>
      </c>
      <c r="J713" s="25" t="inlineStr">
        <is>
          <t>Tenant Insurance Thunder Bay, ON: Compare Quotes &amp; Costs (2026)</t>
        </is>
      </c>
      <c r="K713" s="36">
        <f>LEN(J713)</f>
        <v/>
      </c>
      <c r="L713" s="25" t="inlineStr">
        <is>
          <t>Compare tenant insurance in Thunder Bay, ON: instant estimate ($20.00–$33.00/mo example), local risk factors and advisors licensed in Ontario.</t>
        </is>
      </c>
      <c r="M713" s="36">
        <f>LEN(L713)</f>
        <v/>
      </c>
      <c r="N713" s="25" t="inlineStr">
        <is>
          <t>Tenant Insurance in Thunder Bay, ON</t>
        </is>
      </c>
      <c r="O713" s="36" t="inlineStr">
        <is>
          <t>tenant insurance thunder bay</t>
        </is>
      </c>
      <c r="P713" s="37" t="n">
        <v>97</v>
      </c>
      <c r="Q713" s="36" t="inlineStr">
        <is>
          <t>City</t>
        </is>
      </c>
      <c r="R713" s="36" t="n"/>
      <c r="S713" s="36">
        <f>COUNTIF('Page-Keyword Map'!$A$2:$A$675,B713)</f>
        <v/>
      </c>
      <c r="T713" s="37">
        <f>SUMIF('Page-Keyword Map'!$A$2:$A$675,B713,'Page-Keyword Map'!$H$2:$H$675)</f>
        <v/>
      </c>
      <c r="U713" s="36">
        <f>COUNTIFS('Page-Keyword Map'!$A$2:$A$675,B713,'Page-Keyword Map'!$E$2:$E$675,"Nationwide")</f>
        <v/>
      </c>
      <c r="V713" s="36">
        <f>COUNTIFS('Page-Keyword Map'!$A$2:$A$675,B713,'Page-Keyword Map'!$E$2:$E$675,"Provincial")</f>
        <v/>
      </c>
      <c r="W713" s="36">
        <f>COUNTIFS('Page-Keyword Map'!$A$2:$A$675,B713,'Page-Keyword Map'!$E$2:$E$675,"City")</f>
        <v/>
      </c>
      <c r="X713" s="36">
        <f>IF(O713="","",IF(ISNUMBER(SEARCH(O713,J713)),"Yes","No"))</f>
        <v/>
      </c>
      <c r="Y713" s="36" t="n">
        <v>0.5</v>
      </c>
      <c r="Z713" s="36" t="inlineStr">
        <is>
          <t>(not listed: noindex)</t>
        </is>
      </c>
      <c r="AA713" s="36" t="inlineStr">
        <is>
          <t>Live – noindex (enrich before indexing)</t>
        </is>
      </c>
      <c r="AB713" s="38" t="n"/>
      <c r="AC713" s="38" t="n"/>
    </row>
    <row r="714" ht="23.85" customHeight="1" s="22">
      <c r="A714" s="36" t="inlineStr">
        <is>
          <t>P0713</t>
        </is>
      </c>
      <c r="B714" s="36" t="inlineStr">
        <is>
          <t>https://instasure.ca/tenant-insurance/ontario/toronto/</t>
        </is>
      </c>
      <c r="C714" s="36" t="inlineStr">
        <is>
          <t>Product × city</t>
        </is>
      </c>
      <c r="D714" s="36" t="inlineStr">
        <is>
          <t>Tenant insurance</t>
        </is>
      </c>
      <c r="E714" s="36" t="inlineStr">
        <is>
          <t>Tenant Insurance</t>
        </is>
      </c>
      <c r="F714" s="36" t="n"/>
      <c r="G714" s="36" t="inlineStr">
        <is>
          <t>Ontario</t>
        </is>
      </c>
      <c r="H714" s="36" t="inlineStr">
        <is>
          <t>Toronto</t>
        </is>
      </c>
      <c r="I714" s="36" t="inlineStr">
        <is>
          <t>Yes</t>
        </is>
      </c>
      <c r="J714" s="25" t="inlineStr">
        <is>
          <t>Tenant Insurance Toronto, ON: Compare Quotes &amp; Costs (2026)</t>
        </is>
      </c>
      <c r="K714" s="36">
        <f>LEN(J714)</f>
        <v/>
      </c>
      <c r="L714" s="25" t="inlineStr">
        <is>
          <t>Compare tenant insurance in Toronto, ON: instant estimate ($21.00–$34.00/mo example), local risk factors and advisors licensed in Ontario.</t>
        </is>
      </c>
      <c r="M714" s="36">
        <f>LEN(L714)</f>
        <v/>
      </c>
      <c r="N714" s="25" t="inlineStr">
        <is>
          <t>Tenant Insurance in Toronto, ON</t>
        </is>
      </c>
      <c r="O714" s="36" t="inlineStr">
        <is>
          <t>tenant insurance toronto</t>
        </is>
      </c>
      <c r="P714" s="37" t="n">
        <v>1300</v>
      </c>
      <c r="Q714" s="36" t="inlineStr">
        <is>
          <t>City</t>
        </is>
      </c>
      <c r="R714" s="36" t="n"/>
      <c r="S714" s="36">
        <f>COUNTIF('Page-Keyword Map'!$A$2:$A$675,B714)</f>
        <v/>
      </c>
      <c r="T714" s="37">
        <f>SUMIF('Page-Keyword Map'!$A$2:$A$675,B714,'Page-Keyword Map'!$H$2:$H$675)</f>
        <v/>
      </c>
      <c r="U714" s="36">
        <f>COUNTIFS('Page-Keyword Map'!$A$2:$A$675,B714,'Page-Keyword Map'!$E$2:$E$675,"Nationwide")</f>
        <v/>
      </c>
      <c r="V714" s="36">
        <f>COUNTIFS('Page-Keyword Map'!$A$2:$A$675,B714,'Page-Keyword Map'!$E$2:$E$675,"Provincial")</f>
        <v/>
      </c>
      <c r="W714" s="36">
        <f>COUNTIFS('Page-Keyword Map'!$A$2:$A$675,B714,'Page-Keyword Map'!$E$2:$E$675,"City")</f>
        <v/>
      </c>
      <c r="X714" s="36">
        <f>IF(O714="","",IF(ISNUMBER(SEARCH(O714,J714)),"Yes","No"))</f>
        <v/>
      </c>
      <c r="Y714" s="36" t="n">
        <v>0.7</v>
      </c>
      <c r="Z714" s="36" t="inlineStr">
        <is>
          <t>sitemap-cities.xml</t>
        </is>
      </c>
      <c r="AA714" s="36" t="inlineStr">
        <is>
          <t>Live – indexable</t>
        </is>
      </c>
      <c r="AB714" s="38" t="n"/>
      <c r="AC714" s="38" t="n"/>
    </row>
    <row r="715" ht="23.85" customHeight="1" s="22">
      <c r="A715" s="36" t="inlineStr">
        <is>
          <t>P0714</t>
        </is>
      </c>
      <c r="B715" s="36" t="inlineStr">
        <is>
          <t>https://instasure.ca/tenant-insurance/ontario/vaughan/</t>
        </is>
      </c>
      <c r="C715" s="36" t="inlineStr">
        <is>
          <t>Product × city</t>
        </is>
      </c>
      <c r="D715" s="36" t="inlineStr">
        <is>
          <t>Tenant insurance</t>
        </is>
      </c>
      <c r="E715" s="36" t="inlineStr">
        <is>
          <t>Tenant Insurance</t>
        </is>
      </c>
      <c r="F715" s="36" t="n"/>
      <c r="G715" s="36" t="inlineStr">
        <is>
          <t>Ontario</t>
        </is>
      </c>
      <c r="H715" s="36" t="inlineStr">
        <is>
          <t>Vaughan</t>
        </is>
      </c>
      <c r="I715" s="36" t="inlineStr">
        <is>
          <t>Yes</t>
        </is>
      </c>
      <c r="J715" s="25" t="inlineStr">
        <is>
          <t>Tenant Insurance Vaughan, ON: Compare Quotes &amp; Costs (2026)</t>
        </is>
      </c>
      <c r="K715" s="36">
        <f>LEN(J715)</f>
        <v/>
      </c>
      <c r="L715" s="25" t="inlineStr">
        <is>
          <t>Compare tenant insurance in Vaughan, ON: instant estimate ($20.00–$33.00/mo example), local risk factors and advisors licensed in Ontario.</t>
        </is>
      </c>
      <c r="M715" s="36">
        <f>LEN(L715)</f>
        <v/>
      </c>
      <c r="N715" s="25" t="inlineStr">
        <is>
          <t>Tenant Insurance in Vaughan, ON</t>
        </is>
      </c>
      <c r="O715" s="36" t="inlineStr">
        <is>
          <t>tenant insurance vaughan</t>
        </is>
      </c>
      <c r="P715" s="37" t="n">
        <v>230</v>
      </c>
      <c r="Q715" s="36" t="inlineStr">
        <is>
          <t>City</t>
        </is>
      </c>
      <c r="R715" s="36" t="n"/>
      <c r="S715" s="36">
        <f>COUNTIF('Page-Keyword Map'!$A$2:$A$675,B715)</f>
        <v/>
      </c>
      <c r="T715" s="37">
        <f>SUMIF('Page-Keyword Map'!$A$2:$A$675,B715,'Page-Keyword Map'!$H$2:$H$675)</f>
        <v/>
      </c>
      <c r="U715" s="36">
        <f>COUNTIFS('Page-Keyword Map'!$A$2:$A$675,B715,'Page-Keyword Map'!$E$2:$E$675,"Nationwide")</f>
        <v/>
      </c>
      <c r="V715" s="36">
        <f>COUNTIFS('Page-Keyword Map'!$A$2:$A$675,B715,'Page-Keyword Map'!$E$2:$E$675,"Provincial")</f>
        <v/>
      </c>
      <c r="W715" s="36">
        <f>COUNTIFS('Page-Keyword Map'!$A$2:$A$675,B715,'Page-Keyword Map'!$E$2:$E$675,"City")</f>
        <v/>
      </c>
      <c r="X715" s="36">
        <f>IF(O715="","",IF(ISNUMBER(SEARCH(O715,J715)),"Yes","No"))</f>
        <v/>
      </c>
      <c r="Y715" s="36" t="n">
        <v>0.7</v>
      </c>
      <c r="Z715" s="36" t="inlineStr">
        <is>
          <t>sitemap-cities.xml</t>
        </is>
      </c>
      <c r="AA715" s="36" t="inlineStr">
        <is>
          <t>Live – indexable</t>
        </is>
      </c>
      <c r="AB715" s="38" t="n"/>
      <c r="AC715" s="38" t="n"/>
    </row>
    <row r="716" ht="23.85" customHeight="1" s="22">
      <c r="A716" s="36" t="inlineStr">
        <is>
          <t>P0715</t>
        </is>
      </c>
      <c r="B716" s="36" t="inlineStr">
        <is>
          <t>https://instasure.ca/tenant-insurance/ontario/waterloo/</t>
        </is>
      </c>
      <c r="C716" s="36" t="inlineStr">
        <is>
          <t>Product × city</t>
        </is>
      </c>
      <c r="D716" s="36" t="inlineStr">
        <is>
          <t>Tenant insurance</t>
        </is>
      </c>
      <c r="E716" s="36" t="inlineStr">
        <is>
          <t>Tenant Insurance</t>
        </is>
      </c>
      <c r="F716" s="36" t="n"/>
      <c r="G716" s="36" t="inlineStr">
        <is>
          <t>Ontario</t>
        </is>
      </c>
      <c r="H716" s="36" t="inlineStr">
        <is>
          <t>Waterloo</t>
        </is>
      </c>
      <c r="I716" s="36" t="inlineStr">
        <is>
          <t>Yes</t>
        </is>
      </c>
      <c r="J716" s="25" t="inlineStr">
        <is>
          <t>Tenant Insurance Waterloo, ON: Compare Quotes &amp; Costs (2026)</t>
        </is>
      </c>
      <c r="K716" s="36">
        <f>LEN(J716)</f>
        <v/>
      </c>
      <c r="L716" s="25" t="inlineStr">
        <is>
          <t>Compare tenant insurance in Waterloo, ON: instant estimate ($20.00–$33.00/mo example), local risk factors and advisors licensed in Ontario.</t>
        </is>
      </c>
      <c r="M716" s="36">
        <f>LEN(L716)</f>
        <v/>
      </c>
      <c r="N716" s="25" t="inlineStr">
        <is>
          <t>Tenant Insurance in Waterloo, ON</t>
        </is>
      </c>
      <c r="O716" s="36" t="inlineStr">
        <is>
          <t>tenant insurance waterloo</t>
        </is>
      </c>
      <c r="P716" s="37" t="n">
        <v>110</v>
      </c>
      <c r="Q716" s="36" t="inlineStr">
        <is>
          <t>City</t>
        </is>
      </c>
      <c r="R716" s="36" t="n"/>
      <c r="S716" s="36">
        <f>COUNTIF('Page-Keyword Map'!$A$2:$A$675,B716)</f>
        <v/>
      </c>
      <c r="T716" s="37">
        <f>SUMIF('Page-Keyword Map'!$A$2:$A$675,B716,'Page-Keyword Map'!$H$2:$H$675)</f>
        <v/>
      </c>
      <c r="U716" s="36">
        <f>COUNTIFS('Page-Keyword Map'!$A$2:$A$675,B716,'Page-Keyword Map'!$E$2:$E$675,"Nationwide")</f>
        <v/>
      </c>
      <c r="V716" s="36">
        <f>COUNTIFS('Page-Keyword Map'!$A$2:$A$675,B716,'Page-Keyword Map'!$E$2:$E$675,"Provincial")</f>
        <v/>
      </c>
      <c r="W716" s="36">
        <f>COUNTIFS('Page-Keyword Map'!$A$2:$A$675,B716,'Page-Keyword Map'!$E$2:$E$675,"City")</f>
        <v/>
      </c>
      <c r="X716" s="36">
        <f>IF(O716="","",IF(ISNUMBER(SEARCH(O716,J716)),"Yes","No"))</f>
        <v/>
      </c>
      <c r="Y716" s="36" t="n">
        <v>0.5</v>
      </c>
      <c r="Z716" s="36" t="inlineStr">
        <is>
          <t>sitemap-cities.xml</t>
        </is>
      </c>
      <c r="AA716" s="36" t="inlineStr">
        <is>
          <t>Live – indexable</t>
        </is>
      </c>
      <c r="AB716" s="38" t="n"/>
      <c r="AC716" s="38" t="n"/>
    </row>
    <row r="717" ht="23.85" customHeight="1" s="22">
      <c r="A717" s="36" t="inlineStr">
        <is>
          <t>P0716</t>
        </is>
      </c>
      <c r="B717" s="36" t="inlineStr">
        <is>
          <t>https://instasure.ca/tenant-insurance/ontario/whitby/</t>
        </is>
      </c>
      <c r="C717" s="36" t="inlineStr">
        <is>
          <t>Product × city</t>
        </is>
      </c>
      <c r="D717" s="36" t="inlineStr">
        <is>
          <t>Tenant insurance</t>
        </is>
      </c>
      <c r="E717" s="36" t="inlineStr">
        <is>
          <t>Tenant Insurance</t>
        </is>
      </c>
      <c r="F717" s="36" t="n"/>
      <c r="G717" s="36" t="inlineStr">
        <is>
          <t>Ontario</t>
        </is>
      </c>
      <c r="H717" s="36" t="inlineStr">
        <is>
          <t>Whitby</t>
        </is>
      </c>
      <c r="I717" s="36" t="inlineStr">
        <is>
          <t>No</t>
        </is>
      </c>
      <c r="J717" s="25" t="inlineStr">
        <is>
          <t>Tenant Insurance Whitby, ON: Compare Quotes &amp; Costs (2026)</t>
        </is>
      </c>
      <c r="K717" s="36">
        <f>LEN(J717)</f>
        <v/>
      </c>
      <c r="L717" s="25" t="inlineStr">
        <is>
          <t>Compare tenant insurance in Whitby, ON: instant estimate ($20.00–$33.00/mo example), local risk factors and advisors licensed in Ontario.</t>
        </is>
      </c>
      <c r="M717" s="36">
        <f>LEN(L717)</f>
        <v/>
      </c>
      <c r="N717" s="25" t="inlineStr">
        <is>
          <t>Tenant Insurance in Whitby, ON</t>
        </is>
      </c>
      <c r="O717" s="36" t="inlineStr">
        <is>
          <t>tenant insurance whitby</t>
        </is>
      </c>
      <c r="P717" s="37" t="n">
        <v>120</v>
      </c>
      <c r="Q717" s="36" t="inlineStr">
        <is>
          <t>City</t>
        </is>
      </c>
      <c r="R717" s="36" t="n"/>
      <c r="S717" s="36">
        <f>COUNTIF('Page-Keyword Map'!$A$2:$A$675,B717)</f>
        <v/>
      </c>
      <c r="T717" s="37">
        <f>SUMIF('Page-Keyword Map'!$A$2:$A$675,B717,'Page-Keyword Map'!$H$2:$H$675)</f>
        <v/>
      </c>
      <c r="U717" s="36">
        <f>COUNTIFS('Page-Keyword Map'!$A$2:$A$675,B717,'Page-Keyword Map'!$E$2:$E$675,"Nationwide")</f>
        <v/>
      </c>
      <c r="V717" s="36">
        <f>COUNTIFS('Page-Keyword Map'!$A$2:$A$675,B717,'Page-Keyword Map'!$E$2:$E$675,"Provincial")</f>
        <v/>
      </c>
      <c r="W717" s="36">
        <f>COUNTIFS('Page-Keyword Map'!$A$2:$A$675,B717,'Page-Keyword Map'!$E$2:$E$675,"City")</f>
        <v/>
      </c>
      <c r="X717" s="36">
        <f>IF(O717="","",IF(ISNUMBER(SEARCH(O717,J717)),"Yes","No"))</f>
        <v/>
      </c>
      <c r="Y717" s="36" t="n">
        <v>0.5</v>
      </c>
      <c r="Z717" s="36" t="inlineStr">
        <is>
          <t>(not listed: noindex)</t>
        </is>
      </c>
      <c r="AA717" s="36" t="inlineStr">
        <is>
          <t>Live – noindex (enrich before indexing)</t>
        </is>
      </c>
      <c r="AB717" s="38" t="n"/>
      <c r="AC717" s="38" t="n"/>
    </row>
    <row r="718" ht="23.85" customHeight="1" s="22">
      <c r="A718" s="36" t="inlineStr">
        <is>
          <t>P0717</t>
        </is>
      </c>
      <c r="B718" s="36" t="inlineStr">
        <is>
          <t>https://instasure.ca/tenant-insurance/ontario/windsor/</t>
        </is>
      </c>
      <c r="C718" s="36" t="inlineStr">
        <is>
          <t>Product × city</t>
        </is>
      </c>
      <c r="D718" s="36" t="inlineStr">
        <is>
          <t>Tenant insurance</t>
        </is>
      </c>
      <c r="E718" s="36" t="inlineStr">
        <is>
          <t>Tenant Insurance</t>
        </is>
      </c>
      <c r="F718" s="36" t="n"/>
      <c r="G718" s="36" t="inlineStr">
        <is>
          <t>Ontario</t>
        </is>
      </c>
      <c r="H718" s="36" t="inlineStr">
        <is>
          <t>Windsor</t>
        </is>
      </c>
      <c r="I718" s="36" t="inlineStr">
        <is>
          <t>Yes</t>
        </is>
      </c>
      <c r="J718" s="25" t="inlineStr">
        <is>
          <t>Tenant Insurance Windsor, ON: Compare Quotes &amp; Costs (2026)</t>
        </is>
      </c>
      <c r="K718" s="36">
        <f>LEN(J718)</f>
        <v/>
      </c>
      <c r="L718" s="25" t="inlineStr">
        <is>
          <t>Compare tenant insurance in Windsor, ON: instant estimate ($20.00–$33.00/mo example), local risk factors and advisors licensed in Ontario.</t>
        </is>
      </c>
      <c r="M718" s="36">
        <f>LEN(L718)</f>
        <v/>
      </c>
      <c r="N718" s="25" t="inlineStr">
        <is>
          <t>Tenant Insurance in Windsor, ON</t>
        </is>
      </c>
      <c r="O718" s="36" t="inlineStr">
        <is>
          <t>tenant insurance windsor</t>
        </is>
      </c>
      <c r="P718" s="37" t="n">
        <v>180</v>
      </c>
      <c r="Q718" s="36" t="inlineStr">
        <is>
          <t>City</t>
        </is>
      </c>
      <c r="R718" s="36" t="n"/>
      <c r="S718" s="36">
        <f>COUNTIF('Page-Keyword Map'!$A$2:$A$675,B718)</f>
        <v/>
      </c>
      <c r="T718" s="37">
        <f>SUMIF('Page-Keyword Map'!$A$2:$A$675,B718,'Page-Keyword Map'!$H$2:$H$675)</f>
        <v/>
      </c>
      <c r="U718" s="36">
        <f>COUNTIFS('Page-Keyword Map'!$A$2:$A$675,B718,'Page-Keyword Map'!$E$2:$E$675,"Nationwide")</f>
        <v/>
      </c>
      <c r="V718" s="36">
        <f>COUNTIFS('Page-Keyword Map'!$A$2:$A$675,B718,'Page-Keyword Map'!$E$2:$E$675,"Provincial")</f>
        <v/>
      </c>
      <c r="W718" s="36">
        <f>COUNTIFS('Page-Keyword Map'!$A$2:$A$675,B718,'Page-Keyword Map'!$E$2:$E$675,"City")</f>
        <v/>
      </c>
      <c r="X718" s="36">
        <f>IF(O718="","",IF(ISNUMBER(SEARCH(O718,J718)),"Yes","No"))</f>
        <v/>
      </c>
      <c r="Y718" s="36" t="n">
        <v>0.7</v>
      </c>
      <c r="Z718" s="36" t="inlineStr">
        <is>
          <t>sitemap-cities.xml</t>
        </is>
      </c>
      <c r="AA718" s="36" t="inlineStr">
        <is>
          <t>Live – indexable</t>
        </is>
      </c>
      <c r="AB718" s="38" t="n"/>
      <c r="AC718" s="38" t="n"/>
    </row>
    <row r="719" ht="23.85" customHeight="1" s="22">
      <c r="A719" s="36" t="inlineStr">
        <is>
          <t>P0718</t>
        </is>
      </c>
      <c r="B719" s="36" t="inlineStr">
        <is>
          <t>https://instasure.ca/tenant-insurance/prince-edward-island/charlottetown/</t>
        </is>
      </c>
      <c r="C719" s="36" t="inlineStr">
        <is>
          <t>Product × city</t>
        </is>
      </c>
      <c r="D719" s="36" t="inlineStr">
        <is>
          <t>Tenant insurance</t>
        </is>
      </c>
      <c r="E719" s="36" t="inlineStr">
        <is>
          <t>Tenant Insurance</t>
        </is>
      </c>
      <c r="F719" s="36" t="n"/>
      <c r="G719" s="36" t="inlineStr">
        <is>
          <t>Prince Edward Island</t>
        </is>
      </c>
      <c r="H719" s="36" t="inlineStr">
        <is>
          <t>Charlottetown</t>
        </is>
      </c>
      <c r="I719" s="36" t="inlineStr">
        <is>
          <t>Yes</t>
        </is>
      </c>
      <c r="J719" s="25" t="inlineStr">
        <is>
          <t>Tenant Insurance Charlottetown, PE: Compare Quotes &amp; Costs (2026)</t>
        </is>
      </c>
      <c r="K719" s="36">
        <f>LEN(J719)</f>
        <v/>
      </c>
      <c r="L719" s="25" t="inlineStr">
        <is>
          <t>Compare tenant insurance in Charlottetown, PE: instant estimate ($16.00–$25.00/mo example), local risk factors and advisors licensed in Prince Edward Island.</t>
        </is>
      </c>
      <c r="M719" s="36">
        <f>LEN(L719)</f>
        <v/>
      </c>
      <c r="N719" s="25" t="inlineStr">
        <is>
          <t>Tenant Insurance in Charlottetown, PE</t>
        </is>
      </c>
      <c r="O719" s="36" t="inlineStr">
        <is>
          <t>tenant insurance charlottetown</t>
        </is>
      </c>
      <c r="P719" s="37" t="n">
        <v>42</v>
      </c>
      <c r="Q719" s="36" t="inlineStr">
        <is>
          <t>City</t>
        </is>
      </c>
      <c r="R719" s="36" t="n"/>
      <c r="S719" s="36">
        <f>COUNTIF('Page-Keyword Map'!$A$2:$A$675,B719)</f>
        <v/>
      </c>
      <c r="T719" s="37">
        <f>SUMIF('Page-Keyword Map'!$A$2:$A$675,B719,'Page-Keyword Map'!$H$2:$H$675)</f>
        <v/>
      </c>
      <c r="U719" s="36">
        <f>COUNTIFS('Page-Keyword Map'!$A$2:$A$675,B719,'Page-Keyword Map'!$E$2:$E$675,"Nationwide")</f>
        <v/>
      </c>
      <c r="V719" s="36">
        <f>COUNTIFS('Page-Keyword Map'!$A$2:$A$675,B719,'Page-Keyword Map'!$E$2:$E$675,"Provincial")</f>
        <v/>
      </c>
      <c r="W719" s="36">
        <f>COUNTIFS('Page-Keyword Map'!$A$2:$A$675,B719,'Page-Keyword Map'!$E$2:$E$675,"City")</f>
        <v/>
      </c>
      <c r="X719" s="36">
        <f>IF(O719="","",IF(ISNUMBER(SEARCH(O719,J719)),"Yes","No"))</f>
        <v/>
      </c>
      <c r="Y719" s="36" t="n">
        <v>0.5</v>
      </c>
      <c r="Z719" s="36" t="inlineStr">
        <is>
          <t>sitemap-cities.xml</t>
        </is>
      </c>
      <c r="AA719" s="36" t="inlineStr">
        <is>
          <t>Live – indexable</t>
        </is>
      </c>
      <c r="AB719" s="38" t="n"/>
      <c r="AC719" s="38" t="n"/>
    </row>
    <row r="720" ht="23.85" customHeight="1" s="22">
      <c r="A720" s="36" t="inlineStr">
        <is>
          <t>P0719</t>
        </is>
      </c>
      <c r="B720" s="36" t="inlineStr">
        <is>
          <t>https://instasure.ca/tenant-insurance/quebec/gatineau/</t>
        </is>
      </c>
      <c r="C720" s="36" t="inlineStr">
        <is>
          <t>Product × city</t>
        </is>
      </c>
      <c r="D720" s="36" t="inlineStr">
        <is>
          <t>Tenant insurance</t>
        </is>
      </c>
      <c r="E720" s="36" t="inlineStr">
        <is>
          <t>Tenant Insurance</t>
        </is>
      </c>
      <c r="F720" s="36" t="n"/>
      <c r="G720" s="36" t="inlineStr">
        <is>
          <t>Quebec</t>
        </is>
      </c>
      <c r="H720" s="36" t="inlineStr">
        <is>
          <t>Gatineau</t>
        </is>
      </c>
      <c r="I720" s="36" t="inlineStr">
        <is>
          <t>Yes</t>
        </is>
      </c>
      <c r="J720" s="25" t="inlineStr">
        <is>
          <t>Tenant Insurance Gatineau, QC: Compare Quotes &amp; Costs (2026)</t>
        </is>
      </c>
      <c r="K720" s="36">
        <f>LEN(J720)</f>
        <v/>
      </c>
      <c r="L720" s="25" t="inlineStr">
        <is>
          <t>Compare tenant insurance in Gatineau, QC: instant estimate ($16.00–$26.00/mo example), local risk factors and a waitlist for licensed advice in Quebec.</t>
        </is>
      </c>
      <c r="M720" s="36">
        <f>LEN(L720)</f>
        <v/>
      </c>
      <c r="N720" s="25" t="inlineStr">
        <is>
          <t>Tenant Insurance in Gatineau, QC</t>
        </is>
      </c>
      <c r="O720" s="36" t="inlineStr">
        <is>
          <t>tenant insurance gatineau</t>
        </is>
      </c>
      <c r="P720" s="37" t="n">
        <v>64</v>
      </c>
      <c r="Q720" s="36" t="inlineStr">
        <is>
          <t>City</t>
        </is>
      </c>
      <c r="R720" s="36" t="n"/>
      <c r="S720" s="36">
        <f>COUNTIF('Page-Keyword Map'!$A$2:$A$675,B720)</f>
        <v/>
      </c>
      <c r="T720" s="37">
        <f>SUMIF('Page-Keyword Map'!$A$2:$A$675,B720,'Page-Keyword Map'!$H$2:$H$675)</f>
        <v/>
      </c>
      <c r="U720" s="36">
        <f>COUNTIFS('Page-Keyword Map'!$A$2:$A$675,B720,'Page-Keyword Map'!$E$2:$E$675,"Nationwide")</f>
        <v/>
      </c>
      <c r="V720" s="36">
        <f>COUNTIFS('Page-Keyword Map'!$A$2:$A$675,B720,'Page-Keyword Map'!$E$2:$E$675,"Provincial")</f>
        <v/>
      </c>
      <c r="W720" s="36">
        <f>COUNTIFS('Page-Keyword Map'!$A$2:$A$675,B720,'Page-Keyword Map'!$E$2:$E$675,"City")</f>
        <v/>
      </c>
      <c r="X720" s="36">
        <f>IF(O720="","",IF(ISNUMBER(SEARCH(O720,J720)),"Yes","No"))</f>
        <v/>
      </c>
      <c r="Y720" s="36" t="n">
        <v>0.5</v>
      </c>
      <c r="Z720" s="36" t="inlineStr">
        <is>
          <t>sitemap-cities.xml</t>
        </is>
      </c>
      <c r="AA720" s="36" t="inlineStr">
        <is>
          <t>Live – indexable</t>
        </is>
      </c>
      <c r="AB720" s="38" t="n"/>
      <c r="AC720" s="38" t="n"/>
    </row>
    <row r="721" ht="23.85" customHeight="1" s="22">
      <c r="A721" s="36" t="inlineStr">
        <is>
          <t>P0720</t>
        </is>
      </c>
      <c r="B721" s="36" t="inlineStr">
        <is>
          <t>https://instasure.ca/tenant-insurance/quebec/laval/</t>
        </is>
      </c>
      <c r="C721" s="36" t="inlineStr">
        <is>
          <t>Product × city</t>
        </is>
      </c>
      <c r="D721" s="36" t="inlineStr">
        <is>
          <t>Tenant insurance</t>
        </is>
      </c>
      <c r="E721" s="36" t="inlineStr">
        <is>
          <t>Tenant Insurance</t>
        </is>
      </c>
      <c r="F721" s="36" t="n"/>
      <c r="G721" s="36" t="inlineStr">
        <is>
          <t>Quebec</t>
        </is>
      </c>
      <c r="H721" s="36" t="inlineStr">
        <is>
          <t>Laval</t>
        </is>
      </c>
      <c r="I721" s="36" t="inlineStr">
        <is>
          <t>Yes</t>
        </is>
      </c>
      <c r="J721" s="25" t="inlineStr">
        <is>
          <t>Tenant Insurance Laval, QC: Compare Quotes &amp; Costs (2026)</t>
        </is>
      </c>
      <c r="K721" s="36">
        <f>LEN(J721)</f>
        <v/>
      </c>
      <c r="L721" s="25" t="inlineStr">
        <is>
          <t>Compare tenant insurance in Laval, QC: instant estimate ($16.00–$26.00/mo example), local risk factors and a waitlist for licensed advice in Quebec.</t>
        </is>
      </c>
      <c r="M721" s="36">
        <f>LEN(L721)</f>
        <v/>
      </c>
      <c r="N721" s="25" t="inlineStr">
        <is>
          <t>Tenant Insurance in Laval, QC</t>
        </is>
      </c>
      <c r="O721" s="36" t="inlineStr">
        <is>
          <t>tenant insurance laval</t>
        </is>
      </c>
      <c r="P721" s="37" t="n">
        <v>88</v>
      </c>
      <c r="Q721" s="36" t="inlineStr">
        <is>
          <t>City</t>
        </is>
      </c>
      <c r="R721" s="36" t="n"/>
      <c r="S721" s="36">
        <f>COUNTIF('Page-Keyword Map'!$A$2:$A$675,B721)</f>
        <v/>
      </c>
      <c r="T721" s="37">
        <f>SUMIF('Page-Keyword Map'!$A$2:$A$675,B721,'Page-Keyword Map'!$H$2:$H$675)</f>
        <v/>
      </c>
      <c r="U721" s="36">
        <f>COUNTIFS('Page-Keyword Map'!$A$2:$A$675,B721,'Page-Keyword Map'!$E$2:$E$675,"Nationwide")</f>
        <v/>
      </c>
      <c r="V721" s="36">
        <f>COUNTIFS('Page-Keyword Map'!$A$2:$A$675,B721,'Page-Keyword Map'!$E$2:$E$675,"Provincial")</f>
        <v/>
      </c>
      <c r="W721" s="36">
        <f>COUNTIFS('Page-Keyword Map'!$A$2:$A$675,B721,'Page-Keyword Map'!$E$2:$E$675,"City")</f>
        <v/>
      </c>
      <c r="X721" s="36">
        <f>IF(O721="","",IF(ISNUMBER(SEARCH(O721,J721)),"Yes","No"))</f>
        <v/>
      </c>
      <c r="Y721" s="36" t="n">
        <v>0.7</v>
      </c>
      <c r="Z721" s="36" t="inlineStr">
        <is>
          <t>sitemap-cities.xml</t>
        </is>
      </c>
      <c r="AA721" s="36" t="inlineStr">
        <is>
          <t>Live – indexable</t>
        </is>
      </c>
      <c r="AB721" s="38" t="n"/>
      <c r="AC721" s="38" t="n"/>
    </row>
    <row r="722" ht="23.85" customHeight="1" s="22">
      <c r="A722" s="36" t="inlineStr">
        <is>
          <t>P0721</t>
        </is>
      </c>
      <c r="B722" s="36" t="inlineStr">
        <is>
          <t>https://instasure.ca/tenant-insurance/quebec/longueuil/</t>
        </is>
      </c>
      <c r="C722" s="36" t="inlineStr">
        <is>
          <t>Product × city</t>
        </is>
      </c>
      <c r="D722" s="36" t="inlineStr">
        <is>
          <t>Tenant insurance</t>
        </is>
      </c>
      <c r="E722" s="36" t="inlineStr">
        <is>
          <t>Tenant Insurance</t>
        </is>
      </c>
      <c r="F722" s="36" t="n"/>
      <c r="G722" s="36" t="inlineStr">
        <is>
          <t>Quebec</t>
        </is>
      </c>
      <c r="H722" s="36" t="inlineStr">
        <is>
          <t>Longueuil</t>
        </is>
      </c>
      <c r="I722" s="36" t="inlineStr">
        <is>
          <t>Yes</t>
        </is>
      </c>
      <c r="J722" s="25" t="inlineStr">
        <is>
          <t>Tenant Insurance Longueuil, QC: Compare Quotes &amp; Costs (2026)</t>
        </is>
      </c>
      <c r="K722" s="36">
        <f>LEN(J722)</f>
        <v/>
      </c>
      <c r="L722" s="25" t="inlineStr">
        <is>
          <t>Compare tenant insurance in Longueuil, QC: instant estimate ($16.00–$25.00/mo example), local risk factors and a waitlist for licensed advice in Quebec.</t>
        </is>
      </c>
      <c r="M722" s="36">
        <f>LEN(L722)</f>
        <v/>
      </c>
      <c r="N722" s="25" t="inlineStr">
        <is>
          <t>Tenant Insurance in Longueuil, QC</t>
        </is>
      </c>
      <c r="O722" s="36" t="inlineStr">
        <is>
          <t>tenant insurance longueuil</t>
        </is>
      </c>
      <c r="P722" s="37" t="n">
        <v>57</v>
      </c>
      <c r="Q722" s="36" t="inlineStr">
        <is>
          <t>City</t>
        </is>
      </c>
      <c r="R722" s="36" t="n"/>
      <c r="S722" s="36">
        <f>COUNTIF('Page-Keyword Map'!$A$2:$A$675,B722)</f>
        <v/>
      </c>
      <c r="T722" s="37">
        <f>SUMIF('Page-Keyword Map'!$A$2:$A$675,B722,'Page-Keyword Map'!$H$2:$H$675)</f>
        <v/>
      </c>
      <c r="U722" s="36">
        <f>COUNTIFS('Page-Keyword Map'!$A$2:$A$675,B722,'Page-Keyword Map'!$E$2:$E$675,"Nationwide")</f>
        <v/>
      </c>
      <c r="V722" s="36">
        <f>COUNTIFS('Page-Keyword Map'!$A$2:$A$675,B722,'Page-Keyword Map'!$E$2:$E$675,"Provincial")</f>
        <v/>
      </c>
      <c r="W722" s="36">
        <f>COUNTIFS('Page-Keyword Map'!$A$2:$A$675,B722,'Page-Keyword Map'!$E$2:$E$675,"City")</f>
        <v/>
      </c>
      <c r="X722" s="36">
        <f>IF(O722="","",IF(ISNUMBER(SEARCH(O722,J722)),"Yes","No"))</f>
        <v/>
      </c>
      <c r="Y722" s="36" t="n">
        <v>0.5</v>
      </c>
      <c r="Z722" s="36" t="inlineStr">
        <is>
          <t>sitemap-cities.xml</t>
        </is>
      </c>
      <c r="AA722" s="36" t="inlineStr">
        <is>
          <t>Live – indexable</t>
        </is>
      </c>
      <c r="AB722" s="38" t="n"/>
      <c r="AC722" s="38" t="n"/>
    </row>
    <row r="723" ht="23.85" customHeight="1" s="22">
      <c r="A723" s="36" t="inlineStr">
        <is>
          <t>P0722</t>
        </is>
      </c>
      <c r="B723" s="36" t="inlineStr">
        <is>
          <t>https://instasure.ca/tenant-insurance/quebec/montreal/</t>
        </is>
      </c>
      <c r="C723" s="36" t="inlineStr">
        <is>
          <t>Product × city</t>
        </is>
      </c>
      <c r="D723" s="36" t="inlineStr">
        <is>
          <t>Tenant insurance</t>
        </is>
      </c>
      <c r="E723" s="36" t="inlineStr">
        <is>
          <t>Tenant Insurance</t>
        </is>
      </c>
      <c r="F723" s="36" t="n"/>
      <c r="G723" s="36" t="inlineStr">
        <is>
          <t>Quebec</t>
        </is>
      </c>
      <c r="H723" s="36" t="inlineStr">
        <is>
          <t>Montreal</t>
        </is>
      </c>
      <c r="I723" s="36" t="inlineStr">
        <is>
          <t>Yes</t>
        </is>
      </c>
      <c r="J723" s="25" t="inlineStr">
        <is>
          <t>Tenant Insurance Montreal, QC: Compare Quotes &amp; Costs (2026)</t>
        </is>
      </c>
      <c r="K723" s="36">
        <f>LEN(J723)</f>
        <v/>
      </c>
      <c r="L723" s="25" t="inlineStr">
        <is>
          <t>Compare tenant insurance in Montreal, QC: instant estimate ($16.00–$25.00/mo example), local risk factors and a waitlist for licensed advice in Quebec.</t>
        </is>
      </c>
      <c r="M723" s="36">
        <f>LEN(L723)</f>
        <v/>
      </c>
      <c r="N723" s="25" t="inlineStr">
        <is>
          <t>Tenant Insurance in Montreal, QC</t>
        </is>
      </c>
      <c r="O723" s="36" t="inlineStr">
        <is>
          <t>tenant insurance montreal</t>
        </is>
      </c>
      <c r="P723" s="37" t="n">
        <v>270</v>
      </c>
      <c r="Q723" s="36" t="inlineStr">
        <is>
          <t>City</t>
        </is>
      </c>
      <c r="R723" s="36" t="n"/>
      <c r="S723" s="36">
        <f>COUNTIF('Page-Keyword Map'!$A$2:$A$675,B723)</f>
        <v/>
      </c>
      <c r="T723" s="37">
        <f>SUMIF('Page-Keyword Map'!$A$2:$A$675,B723,'Page-Keyword Map'!$H$2:$H$675)</f>
        <v/>
      </c>
      <c r="U723" s="36">
        <f>COUNTIFS('Page-Keyword Map'!$A$2:$A$675,B723,'Page-Keyword Map'!$E$2:$E$675,"Nationwide")</f>
        <v/>
      </c>
      <c r="V723" s="36">
        <f>COUNTIFS('Page-Keyword Map'!$A$2:$A$675,B723,'Page-Keyword Map'!$E$2:$E$675,"Provincial")</f>
        <v/>
      </c>
      <c r="W723" s="36">
        <f>COUNTIFS('Page-Keyword Map'!$A$2:$A$675,B723,'Page-Keyword Map'!$E$2:$E$675,"City")</f>
        <v/>
      </c>
      <c r="X723" s="36">
        <f>IF(O723="","",IF(ISNUMBER(SEARCH(O723,J723)),"Yes","No"))</f>
        <v/>
      </c>
      <c r="Y723" s="36" t="n">
        <v>0.7</v>
      </c>
      <c r="Z723" s="36" t="inlineStr">
        <is>
          <t>sitemap-cities.xml</t>
        </is>
      </c>
      <c r="AA723" s="36" t="inlineStr">
        <is>
          <t>Live – indexable</t>
        </is>
      </c>
      <c r="AB723" s="38" t="n"/>
      <c r="AC723" s="38" t="n"/>
    </row>
    <row r="724" ht="23.85" customHeight="1" s="22">
      <c r="A724" s="36" t="inlineStr">
        <is>
          <t>P0723</t>
        </is>
      </c>
      <c r="B724" s="36" t="inlineStr">
        <is>
          <t>https://instasure.ca/tenant-insurance/quebec/quebec-city/</t>
        </is>
      </c>
      <c r="C724" s="36" t="inlineStr">
        <is>
          <t>Product × city</t>
        </is>
      </c>
      <c r="D724" s="36" t="inlineStr">
        <is>
          <t>Tenant insurance</t>
        </is>
      </c>
      <c r="E724" s="36" t="inlineStr">
        <is>
          <t>Tenant Insurance</t>
        </is>
      </c>
      <c r="F724" s="36" t="n"/>
      <c r="G724" s="36" t="inlineStr">
        <is>
          <t>Quebec</t>
        </is>
      </c>
      <c r="H724" s="36" t="inlineStr">
        <is>
          <t>Quebec City</t>
        </is>
      </c>
      <c r="I724" s="36" t="inlineStr">
        <is>
          <t>Yes</t>
        </is>
      </c>
      <c r="J724" s="25" t="inlineStr">
        <is>
          <t>Tenant Insurance Quebec City, QC: Compare Quotes &amp; Costs (2026)</t>
        </is>
      </c>
      <c r="K724" s="36">
        <f>LEN(J724)</f>
        <v/>
      </c>
      <c r="L724" s="25" t="inlineStr">
        <is>
          <t>Compare tenant insurance in Quebec City, QC: instant estimate ($16.00–$25.00/mo example), local risk factors and a waitlist for licensed advice in Quebec.</t>
        </is>
      </c>
      <c r="M724" s="36">
        <f>LEN(L724)</f>
        <v/>
      </c>
      <c r="N724" s="25" t="inlineStr">
        <is>
          <t>Tenant Insurance in Quebec City, QC</t>
        </is>
      </c>
      <c r="O724" s="36" t="inlineStr">
        <is>
          <t>tenant insurance quebec city</t>
        </is>
      </c>
      <c r="P724" s="37" t="n">
        <v>110</v>
      </c>
      <c r="Q724" s="36" t="inlineStr">
        <is>
          <t>City</t>
        </is>
      </c>
      <c r="R724" s="36" t="n"/>
      <c r="S724" s="36">
        <f>COUNTIF('Page-Keyword Map'!$A$2:$A$675,B724)</f>
        <v/>
      </c>
      <c r="T724" s="37">
        <f>SUMIF('Page-Keyword Map'!$A$2:$A$675,B724,'Page-Keyword Map'!$H$2:$H$675)</f>
        <v/>
      </c>
      <c r="U724" s="36">
        <f>COUNTIFS('Page-Keyword Map'!$A$2:$A$675,B724,'Page-Keyword Map'!$E$2:$E$675,"Nationwide")</f>
        <v/>
      </c>
      <c r="V724" s="36">
        <f>COUNTIFS('Page-Keyword Map'!$A$2:$A$675,B724,'Page-Keyword Map'!$E$2:$E$675,"Provincial")</f>
        <v/>
      </c>
      <c r="W724" s="36">
        <f>COUNTIFS('Page-Keyword Map'!$A$2:$A$675,B724,'Page-Keyword Map'!$E$2:$E$675,"City")</f>
        <v/>
      </c>
      <c r="X724" s="36">
        <f>IF(O724="","",IF(ISNUMBER(SEARCH(O724,J724)),"Yes","No"))</f>
        <v/>
      </c>
      <c r="Y724" s="36" t="n">
        <v>0.7</v>
      </c>
      <c r="Z724" s="36" t="inlineStr">
        <is>
          <t>sitemap-cities.xml</t>
        </is>
      </c>
      <c r="AA724" s="36" t="inlineStr">
        <is>
          <t>Live – indexable</t>
        </is>
      </c>
      <c r="AB724" s="38" t="n"/>
      <c r="AC724" s="38" t="n"/>
    </row>
    <row r="725" ht="23.85" customHeight="1" s="22">
      <c r="A725" s="36" t="inlineStr">
        <is>
          <t>P0724</t>
        </is>
      </c>
      <c r="B725" s="36" t="inlineStr">
        <is>
          <t>https://instasure.ca/tenant-insurance/quebec/sherbrooke/</t>
        </is>
      </c>
      <c r="C725" s="36" t="inlineStr">
        <is>
          <t>Product × city</t>
        </is>
      </c>
      <c r="D725" s="36" t="inlineStr">
        <is>
          <t>Tenant insurance</t>
        </is>
      </c>
      <c r="E725" s="36" t="inlineStr">
        <is>
          <t>Tenant Insurance</t>
        </is>
      </c>
      <c r="F725" s="36" t="n"/>
      <c r="G725" s="36" t="inlineStr">
        <is>
          <t>Quebec</t>
        </is>
      </c>
      <c r="H725" s="36" t="inlineStr">
        <is>
          <t>Sherbrooke</t>
        </is>
      </c>
      <c r="I725" s="36" t="inlineStr">
        <is>
          <t>No</t>
        </is>
      </c>
      <c r="J725" s="25" t="inlineStr">
        <is>
          <t>Tenant Insurance Sherbrooke, QC: Compare Quotes &amp; Costs (2026)</t>
        </is>
      </c>
      <c r="K725" s="36">
        <f>LEN(J725)</f>
        <v/>
      </c>
      <c r="L725" s="25" t="inlineStr">
        <is>
          <t>Compare tenant insurance in Sherbrooke, QC: instant estimate ($16.00–$25.00/mo example), local risk factors and a waitlist for licensed advice in Quebec.</t>
        </is>
      </c>
      <c r="M725" s="36">
        <f>LEN(L725)</f>
        <v/>
      </c>
      <c r="N725" s="25" t="inlineStr">
        <is>
          <t>Tenant Insurance in Sherbrooke, QC</t>
        </is>
      </c>
      <c r="O725" s="36" t="inlineStr">
        <is>
          <t>tenant insurance sherbrooke</t>
        </is>
      </c>
      <c r="P725" s="37" t="n">
        <v>42</v>
      </c>
      <c r="Q725" s="36" t="inlineStr">
        <is>
          <t>City</t>
        </is>
      </c>
      <c r="R725" s="36" t="n"/>
      <c r="S725" s="36">
        <f>COUNTIF('Page-Keyword Map'!$A$2:$A$675,B725)</f>
        <v/>
      </c>
      <c r="T725" s="37">
        <f>SUMIF('Page-Keyword Map'!$A$2:$A$675,B725,'Page-Keyword Map'!$H$2:$H$675)</f>
        <v/>
      </c>
      <c r="U725" s="36">
        <f>COUNTIFS('Page-Keyword Map'!$A$2:$A$675,B725,'Page-Keyword Map'!$E$2:$E$675,"Nationwide")</f>
        <v/>
      </c>
      <c r="V725" s="36">
        <f>COUNTIFS('Page-Keyword Map'!$A$2:$A$675,B725,'Page-Keyword Map'!$E$2:$E$675,"Provincial")</f>
        <v/>
      </c>
      <c r="W725" s="36">
        <f>COUNTIFS('Page-Keyword Map'!$A$2:$A$675,B725,'Page-Keyword Map'!$E$2:$E$675,"City")</f>
        <v/>
      </c>
      <c r="X725" s="36">
        <f>IF(O725="","",IF(ISNUMBER(SEARCH(O725,J725)),"Yes","No"))</f>
        <v/>
      </c>
      <c r="Y725" s="36" t="n">
        <v>0.5</v>
      </c>
      <c r="Z725" s="36" t="inlineStr">
        <is>
          <t>(not listed: noindex)</t>
        </is>
      </c>
      <c r="AA725" s="36" t="inlineStr">
        <is>
          <t>Live – noindex (enrich before indexing)</t>
        </is>
      </c>
      <c r="AB725" s="38" t="n"/>
      <c r="AC725" s="38" t="n"/>
    </row>
    <row r="726" ht="23.85" customHeight="1" s="22">
      <c r="A726" s="36" t="inlineStr">
        <is>
          <t>P0725</t>
        </is>
      </c>
      <c r="B726" s="36" t="inlineStr">
        <is>
          <t>https://instasure.ca/tenant-insurance/saskatchewan/regina/</t>
        </is>
      </c>
      <c r="C726" s="36" t="inlineStr">
        <is>
          <t>Product × city</t>
        </is>
      </c>
      <c r="D726" s="36" t="inlineStr">
        <is>
          <t>Tenant insurance</t>
        </is>
      </c>
      <c r="E726" s="36" t="inlineStr">
        <is>
          <t>Tenant Insurance</t>
        </is>
      </c>
      <c r="F726" s="36" t="n"/>
      <c r="G726" s="36" t="inlineStr">
        <is>
          <t>Saskatchewan</t>
        </is>
      </c>
      <c r="H726" s="36" t="inlineStr">
        <is>
          <t>Regina</t>
        </is>
      </c>
      <c r="I726" s="36" t="inlineStr">
        <is>
          <t>Yes</t>
        </is>
      </c>
      <c r="J726" s="25" t="inlineStr">
        <is>
          <t>Tenant Insurance Regina, SK: Compare Quotes &amp; Costs (2026)</t>
        </is>
      </c>
      <c r="K726" s="36">
        <f>LEN(J726)</f>
        <v/>
      </c>
      <c r="L726" s="25" t="inlineStr">
        <is>
          <t>Compare tenant insurance in Regina, SK: instant estimate ($18.00–$29.00/mo example), local risk factors and advisors licensed in Saskatchewan.</t>
        </is>
      </c>
      <c r="M726" s="36">
        <f>LEN(L726)</f>
        <v/>
      </c>
      <c r="N726" s="25" t="inlineStr">
        <is>
          <t>Tenant Insurance in Regina, SK</t>
        </is>
      </c>
      <c r="O726" s="36" t="inlineStr">
        <is>
          <t>tenant insurance regina</t>
        </is>
      </c>
      <c r="P726" s="37" t="n">
        <v>170</v>
      </c>
      <c r="Q726" s="36" t="inlineStr">
        <is>
          <t>City</t>
        </is>
      </c>
      <c r="R726" s="36" t="n"/>
      <c r="S726" s="36">
        <f>COUNTIF('Page-Keyword Map'!$A$2:$A$675,B726)</f>
        <v/>
      </c>
      <c r="T726" s="37">
        <f>SUMIF('Page-Keyword Map'!$A$2:$A$675,B726,'Page-Keyword Map'!$H$2:$H$675)</f>
        <v/>
      </c>
      <c r="U726" s="36">
        <f>COUNTIFS('Page-Keyword Map'!$A$2:$A$675,B726,'Page-Keyword Map'!$E$2:$E$675,"Nationwide")</f>
        <v/>
      </c>
      <c r="V726" s="36">
        <f>COUNTIFS('Page-Keyword Map'!$A$2:$A$675,B726,'Page-Keyword Map'!$E$2:$E$675,"Provincial")</f>
        <v/>
      </c>
      <c r="W726" s="36">
        <f>COUNTIFS('Page-Keyword Map'!$A$2:$A$675,B726,'Page-Keyword Map'!$E$2:$E$675,"City")</f>
        <v/>
      </c>
      <c r="X726" s="36">
        <f>IF(O726="","",IF(ISNUMBER(SEARCH(O726,J726)),"Yes","No"))</f>
        <v/>
      </c>
      <c r="Y726" s="36" t="n">
        <v>0.7</v>
      </c>
      <c r="Z726" s="36" t="inlineStr">
        <is>
          <t>sitemap-cities.xml</t>
        </is>
      </c>
      <c r="AA726" s="36" t="inlineStr">
        <is>
          <t>Live – indexable</t>
        </is>
      </c>
      <c r="AB726" s="38" t="n"/>
      <c r="AC726" s="38" t="n"/>
    </row>
    <row r="727" ht="23.85" customHeight="1" s="22">
      <c r="A727" s="36" t="inlineStr">
        <is>
          <t>P0726</t>
        </is>
      </c>
      <c r="B727" s="36" t="inlineStr">
        <is>
          <t>https://instasure.ca/tenant-insurance/saskatchewan/saskatoon/</t>
        </is>
      </c>
      <c r="C727" s="36" t="inlineStr">
        <is>
          <t>Product × city</t>
        </is>
      </c>
      <c r="D727" s="36" t="inlineStr">
        <is>
          <t>Tenant insurance</t>
        </is>
      </c>
      <c r="E727" s="36" t="inlineStr">
        <is>
          <t>Tenant Insurance</t>
        </is>
      </c>
      <c r="F727" s="36" t="n"/>
      <c r="G727" s="36" t="inlineStr">
        <is>
          <t>Saskatchewan</t>
        </is>
      </c>
      <c r="H727" s="36" t="inlineStr">
        <is>
          <t>Saskatoon</t>
        </is>
      </c>
      <c r="I727" s="36" t="inlineStr">
        <is>
          <t>Yes</t>
        </is>
      </c>
      <c r="J727" s="25" t="inlineStr">
        <is>
          <t>Tenant Insurance Saskatoon, SK: Compare Quotes &amp; Costs (2026)</t>
        </is>
      </c>
      <c r="K727" s="36">
        <f>LEN(J727)</f>
        <v/>
      </c>
      <c r="L727" s="25" t="inlineStr">
        <is>
          <t>Compare tenant insurance in Saskatoon, SK: instant estimate ($18.00–$29.00/mo example), local risk factors and advisors licensed in Saskatchewan.</t>
        </is>
      </c>
      <c r="M727" s="36">
        <f>LEN(L727)</f>
        <v/>
      </c>
      <c r="N727" s="25" t="inlineStr">
        <is>
          <t>Tenant Insurance in Saskatoon, SK</t>
        </is>
      </c>
      <c r="O727" s="36" t="inlineStr">
        <is>
          <t>tenant insurance saskatoon</t>
        </is>
      </c>
      <c r="P727" s="37" t="n">
        <v>200</v>
      </c>
      <c r="Q727" s="36" t="inlineStr">
        <is>
          <t>City</t>
        </is>
      </c>
      <c r="R727" s="36" t="n"/>
      <c r="S727" s="36">
        <f>COUNTIF('Page-Keyword Map'!$A$2:$A$675,B727)</f>
        <v/>
      </c>
      <c r="T727" s="37">
        <f>SUMIF('Page-Keyword Map'!$A$2:$A$675,B727,'Page-Keyword Map'!$H$2:$H$675)</f>
        <v/>
      </c>
      <c r="U727" s="36">
        <f>COUNTIFS('Page-Keyword Map'!$A$2:$A$675,B727,'Page-Keyword Map'!$E$2:$E$675,"Nationwide")</f>
        <v/>
      </c>
      <c r="V727" s="36">
        <f>COUNTIFS('Page-Keyword Map'!$A$2:$A$675,B727,'Page-Keyword Map'!$E$2:$E$675,"Provincial")</f>
        <v/>
      </c>
      <c r="W727" s="36">
        <f>COUNTIFS('Page-Keyword Map'!$A$2:$A$675,B727,'Page-Keyword Map'!$E$2:$E$675,"City")</f>
        <v/>
      </c>
      <c r="X727" s="36">
        <f>IF(O727="","",IF(ISNUMBER(SEARCH(O727,J727)),"Yes","No"))</f>
        <v/>
      </c>
      <c r="Y727" s="36" t="n">
        <v>0.7</v>
      </c>
      <c r="Z727" s="36" t="inlineStr">
        <is>
          <t>sitemap-cities.xml</t>
        </is>
      </c>
      <c r="AA727" s="36" t="inlineStr">
        <is>
          <t>Live – indexable</t>
        </is>
      </c>
      <c r="AB727" s="38" t="n"/>
      <c r="AC727" s="38" t="n"/>
    </row>
    <row r="728" ht="23.85" customHeight="1" s="22">
      <c r="A728" s="36" t="inlineStr">
        <is>
          <t>P0727</t>
        </is>
      </c>
      <c r="B728" s="36" t="inlineStr">
        <is>
          <t>https://instasure.ca/tenant-insurance/yukon/whitehorse/</t>
        </is>
      </c>
      <c r="C728" s="36" t="inlineStr">
        <is>
          <t>Product × city</t>
        </is>
      </c>
      <c r="D728" s="36" t="inlineStr">
        <is>
          <t>Tenant insurance</t>
        </is>
      </c>
      <c r="E728" s="36" t="inlineStr">
        <is>
          <t>Tenant Insurance</t>
        </is>
      </c>
      <c r="F728" s="36" t="n"/>
      <c r="G728" s="36" t="inlineStr">
        <is>
          <t>Yukon</t>
        </is>
      </c>
      <c r="H728" s="36" t="inlineStr">
        <is>
          <t>Whitehorse</t>
        </is>
      </c>
      <c r="I728" s="36" t="inlineStr">
        <is>
          <t>No</t>
        </is>
      </c>
      <c r="J728" s="25" t="inlineStr">
        <is>
          <t>Tenant Insurance Whitehorse, YT: Compare Quotes &amp; Costs (2026)</t>
        </is>
      </c>
      <c r="K728" s="36">
        <f>LEN(J728)</f>
        <v/>
      </c>
      <c r="L728" s="25" t="inlineStr">
        <is>
          <t>Compare tenant insurance in Whitehorse, YT: instant estimate ($22.00–$35.00/mo example), local risk factors and a waitlist for licensed advice in Yukon.</t>
        </is>
      </c>
      <c r="M728" s="36">
        <f>LEN(L728)</f>
        <v/>
      </c>
      <c r="N728" s="25" t="inlineStr">
        <is>
          <t>Tenant Insurance in Whitehorse, YT</t>
        </is>
      </c>
      <c r="O728" s="36" t="n"/>
      <c r="P728" s="37" t="n"/>
      <c r="Q728" s="36" t="n"/>
      <c r="R728" s="36" t="inlineStr">
        <is>
          <t>tenant insurance whitehorse</t>
        </is>
      </c>
      <c r="S728" s="36">
        <f>COUNTIF('Page-Keyword Map'!$A$2:$A$675,B728)</f>
        <v/>
      </c>
      <c r="T728" s="37">
        <f>SUMIF('Page-Keyword Map'!$A$2:$A$675,B728,'Page-Keyword Map'!$H$2:$H$675)</f>
        <v/>
      </c>
      <c r="U728" s="36">
        <f>COUNTIFS('Page-Keyword Map'!$A$2:$A$675,B728,'Page-Keyword Map'!$E$2:$E$675,"Nationwide")</f>
        <v/>
      </c>
      <c r="V728" s="36">
        <f>COUNTIFS('Page-Keyword Map'!$A$2:$A$675,B728,'Page-Keyword Map'!$E$2:$E$675,"Provincial")</f>
        <v/>
      </c>
      <c r="W728" s="36">
        <f>COUNTIFS('Page-Keyword Map'!$A$2:$A$675,B728,'Page-Keyword Map'!$E$2:$E$675,"City")</f>
        <v/>
      </c>
      <c r="X728" s="36">
        <f>IF(O728="","",IF(ISNUMBER(SEARCH(O728,J728)),"Yes","No"))</f>
        <v/>
      </c>
      <c r="Y728" s="36" t="n">
        <v>0.5</v>
      </c>
      <c r="Z728" s="36" t="inlineStr">
        <is>
          <t>(not listed: noindex)</t>
        </is>
      </c>
      <c r="AA728" s="36" t="inlineStr">
        <is>
          <t>Live – noindex (enrich before indexing)</t>
        </is>
      </c>
      <c r="AB728" s="38" t="n"/>
      <c r="AC728" s="38" t="n"/>
    </row>
    <row r="729" ht="23.85" customHeight="1" s="22">
      <c r="A729" s="36" t="inlineStr">
        <is>
          <t>P0728</t>
        </is>
      </c>
      <c r="B729" s="36" t="inlineStr">
        <is>
          <t>https://instasure.ca/insurance/alberta/</t>
        </is>
      </c>
      <c r="C729" s="36" t="inlineStr">
        <is>
          <t>Place hub</t>
        </is>
      </c>
      <c r="D729" s="36" t="inlineStr">
        <is>
          <t>Multi-line (place hubs)</t>
        </is>
      </c>
      <c r="E729" s="36" t="n"/>
      <c r="F729" s="36" t="n"/>
      <c r="G729" s="36" t="inlineStr">
        <is>
          <t>Alberta</t>
        </is>
      </c>
      <c r="H729" s="36" t="n"/>
      <c r="I729" s="36" t="inlineStr">
        <is>
          <t>Yes</t>
        </is>
      </c>
      <c r="J729" s="25" t="inlineStr">
        <is>
          <t>Insurance in Alberta: Life, Home, Car &amp; Business Coverage</t>
        </is>
      </c>
      <c r="K729" s="36">
        <f>LEN(J729)</f>
        <v/>
      </c>
      <c r="L729" s="25" t="inlineStr">
        <is>
          <t>How insurance works in Alberta: private insurers with a government rate cap, regulator (Superintendent of Insurance), local risks and licensed advisors. Get…</t>
        </is>
      </c>
      <c r="M729" s="36">
        <f>LEN(L729)</f>
        <v/>
      </c>
      <c r="N729" s="25" t="inlineStr">
        <is>
          <t>Insurance in Alberta</t>
        </is>
      </c>
      <c r="O729" s="36" t="n"/>
      <c r="P729" s="37" t="n"/>
      <c r="Q729" s="36" t="n"/>
      <c r="R729" s="36" t="inlineStr">
        <is>
          <t>insurance alberta</t>
        </is>
      </c>
      <c r="S729" s="36">
        <f>COUNTIF('Page-Keyword Map'!$A$2:$A$675,B729)</f>
        <v/>
      </c>
      <c r="T729" s="37">
        <f>SUMIF('Page-Keyword Map'!$A$2:$A$675,B729,'Page-Keyword Map'!$H$2:$H$675)</f>
        <v/>
      </c>
      <c r="U729" s="36">
        <f>COUNTIFS('Page-Keyword Map'!$A$2:$A$675,B729,'Page-Keyword Map'!$E$2:$E$675,"Nationwide")</f>
        <v/>
      </c>
      <c r="V729" s="36">
        <f>COUNTIFS('Page-Keyword Map'!$A$2:$A$675,B729,'Page-Keyword Map'!$E$2:$E$675,"Provincial")</f>
        <v/>
      </c>
      <c r="W729" s="36">
        <f>COUNTIFS('Page-Keyword Map'!$A$2:$A$675,B729,'Page-Keyword Map'!$E$2:$E$675,"City")</f>
        <v/>
      </c>
      <c r="X729" s="36">
        <f>IF(O729="","",IF(ISNUMBER(SEARCH(O729,J729)),"Yes","No"))</f>
        <v/>
      </c>
      <c r="Y729" s="36" t="n">
        <v>0.6</v>
      </c>
      <c r="Z729" s="36" t="inlineStr">
        <is>
          <t>sitemap-places.xml</t>
        </is>
      </c>
      <c r="AA729" s="36" t="inlineStr">
        <is>
          <t>Live – indexable</t>
        </is>
      </c>
      <c r="AB729" s="38" t="n"/>
      <c r="AC729" s="38" t="n"/>
    </row>
    <row r="730" ht="23.85" customHeight="1" s="22">
      <c r="A730" s="36" t="inlineStr">
        <is>
          <t>P0729</t>
        </is>
      </c>
      <c r="B730" s="36" t="inlineStr">
        <is>
          <t>https://instasure.ca/insurance/alberta/airdrie/</t>
        </is>
      </c>
      <c r="C730" s="36" t="inlineStr">
        <is>
          <t>Place hub</t>
        </is>
      </c>
      <c r="D730" s="36" t="inlineStr">
        <is>
          <t>Multi-line (place hubs)</t>
        </is>
      </c>
      <c r="E730" s="36" t="n"/>
      <c r="F730" s="36" t="n"/>
      <c r="G730" s="36" t="inlineStr">
        <is>
          <t>Alberta</t>
        </is>
      </c>
      <c r="H730" s="36" t="inlineStr">
        <is>
          <t>Airdrie</t>
        </is>
      </c>
      <c r="I730" s="36" t="inlineStr">
        <is>
          <t>No</t>
        </is>
      </c>
      <c r="J730" s="25" t="inlineStr">
        <is>
          <t>Insurance in Airdrie, AB: Compare Quotes &amp; Licensed Advisors</t>
        </is>
      </c>
      <c r="K730" s="36">
        <f>LEN(J730)</f>
        <v/>
      </c>
      <c r="L730" s="25" t="inlineStr">
        <is>
          <t>Insurance in Airdrie: instant estimates for car, home, tenant, life and business coverage, local risk factors, and advisors licensed in Alberta.</t>
        </is>
      </c>
      <c r="M730" s="36">
        <f>LEN(L730)</f>
        <v/>
      </c>
      <c r="N730" s="25" t="inlineStr">
        <is>
          <t>Insurance in Airdrie, AB</t>
        </is>
      </c>
      <c r="O730" s="36" t="n"/>
      <c r="P730" s="37" t="n"/>
      <c r="Q730" s="36" t="n"/>
      <c r="R730" s="36" t="inlineStr">
        <is>
          <t>insurance airdrie</t>
        </is>
      </c>
      <c r="S730" s="36">
        <f>COUNTIF('Page-Keyword Map'!$A$2:$A$675,B730)</f>
        <v/>
      </c>
      <c r="T730" s="37">
        <f>SUMIF('Page-Keyword Map'!$A$2:$A$675,B730,'Page-Keyword Map'!$H$2:$H$675)</f>
        <v/>
      </c>
      <c r="U730" s="36">
        <f>COUNTIFS('Page-Keyword Map'!$A$2:$A$675,B730,'Page-Keyword Map'!$E$2:$E$675,"Nationwide")</f>
        <v/>
      </c>
      <c r="V730" s="36">
        <f>COUNTIFS('Page-Keyword Map'!$A$2:$A$675,B730,'Page-Keyword Map'!$E$2:$E$675,"Provincial")</f>
        <v/>
      </c>
      <c r="W730" s="36">
        <f>COUNTIFS('Page-Keyword Map'!$A$2:$A$675,B730,'Page-Keyword Map'!$E$2:$E$675,"City")</f>
        <v/>
      </c>
      <c r="X730" s="36">
        <f>IF(O730="","",IF(ISNUMBER(SEARCH(O730,J730)),"Yes","No"))</f>
        <v/>
      </c>
      <c r="Y730" s="36" t="n">
        <v>0.5</v>
      </c>
      <c r="Z730" s="36" t="inlineStr">
        <is>
          <t>(not listed: noindex)</t>
        </is>
      </c>
      <c r="AA730" s="36" t="inlineStr">
        <is>
          <t>Live – noindex (enrich before indexing)</t>
        </is>
      </c>
      <c r="AB730" s="38" t="n"/>
      <c r="AC730" s="38" t="n"/>
    </row>
    <row r="731" ht="23.85" customHeight="1" s="22">
      <c r="A731" s="36" t="inlineStr">
        <is>
          <t>P0730</t>
        </is>
      </c>
      <c r="B731" s="36" t="inlineStr">
        <is>
          <t>https://instasure.ca/insurance/alberta/calgary/</t>
        </is>
      </c>
      <c r="C731" s="36" t="inlineStr">
        <is>
          <t>Place hub</t>
        </is>
      </c>
      <c r="D731" s="36" t="inlineStr">
        <is>
          <t>Multi-line (place hubs)</t>
        </is>
      </c>
      <c r="E731" s="36" t="n"/>
      <c r="F731" s="36" t="n"/>
      <c r="G731" s="36" t="inlineStr">
        <is>
          <t>Alberta</t>
        </is>
      </c>
      <c r="H731" s="36" t="inlineStr">
        <is>
          <t>Calgary</t>
        </is>
      </c>
      <c r="I731" s="36" t="inlineStr">
        <is>
          <t>Yes</t>
        </is>
      </c>
      <c r="J731" s="25" t="inlineStr">
        <is>
          <t>Insurance in Calgary, AB: Compare Quotes &amp; Licensed Advisors</t>
        </is>
      </c>
      <c r="K731" s="36">
        <f>LEN(J731)</f>
        <v/>
      </c>
      <c r="L731" s="25" t="inlineStr">
        <is>
          <t>Insurance in Calgary: instant estimates for car, home, tenant, life and business coverage, local risk factors, and advisors licensed in Alberta.</t>
        </is>
      </c>
      <c r="M731" s="36">
        <f>LEN(L731)</f>
        <v/>
      </c>
      <c r="N731" s="25" t="inlineStr">
        <is>
          <t>Insurance in Calgary, AB</t>
        </is>
      </c>
      <c r="O731" s="36" t="inlineStr">
        <is>
          <t>insurance advisor calgary</t>
        </is>
      </c>
      <c r="P731" s="37" t="n">
        <v>370</v>
      </c>
      <c r="Q731" s="36" t="inlineStr">
        <is>
          <t>City</t>
        </is>
      </c>
      <c r="R731" s="36" t="n"/>
      <c r="S731" s="36">
        <f>COUNTIF('Page-Keyword Map'!$A$2:$A$675,B731)</f>
        <v/>
      </c>
      <c r="T731" s="37">
        <f>SUMIF('Page-Keyword Map'!$A$2:$A$675,B731,'Page-Keyword Map'!$H$2:$H$675)</f>
        <v/>
      </c>
      <c r="U731" s="36">
        <f>COUNTIFS('Page-Keyword Map'!$A$2:$A$675,B731,'Page-Keyword Map'!$E$2:$E$675,"Nationwide")</f>
        <v/>
      </c>
      <c r="V731" s="36">
        <f>COUNTIFS('Page-Keyword Map'!$A$2:$A$675,B731,'Page-Keyword Map'!$E$2:$E$675,"Provincial")</f>
        <v/>
      </c>
      <c r="W731" s="36">
        <f>COUNTIFS('Page-Keyword Map'!$A$2:$A$675,B731,'Page-Keyword Map'!$E$2:$E$675,"City")</f>
        <v/>
      </c>
      <c r="X731" s="36">
        <f>IF(O731="","",IF(ISNUMBER(SEARCH(O731,J731)),"Yes","No"))</f>
        <v/>
      </c>
      <c r="Y731" s="36" t="n">
        <v>0.5</v>
      </c>
      <c r="Z731" s="36" t="inlineStr">
        <is>
          <t>sitemap-places.xml</t>
        </is>
      </c>
      <c r="AA731" s="36" t="inlineStr">
        <is>
          <t>Live – indexable</t>
        </is>
      </c>
      <c r="AB731" s="38" t="n"/>
      <c r="AC731" s="38" t="n"/>
    </row>
    <row r="732" ht="23.85" customHeight="1" s="22">
      <c r="A732" s="36" t="inlineStr">
        <is>
          <t>P0731</t>
        </is>
      </c>
      <c r="B732" s="36" t="inlineStr">
        <is>
          <t>https://instasure.ca/insurance/alberta/edmonton/</t>
        </is>
      </c>
      <c r="C732" s="36" t="inlineStr">
        <is>
          <t>Place hub</t>
        </is>
      </c>
      <c r="D732" s="36" t="inlineStr">
        <is>
          <t>Multi-line (place hubs)</t>
        </is>
      </c>
      <c r="E732" s="36" t="n"/>
      <c r="F732" s="36" t="n"/>
      <c r="G732" s="36" t="inlineStr">
        <is>
          <t>Alberta</t>
        </is>
      </c>
      <c r="H732" s="36" t="inlineStr">
        <is>
          <t>Edmonton</t>
        </is>
      </c>
      <c r="I732" s="36" t="inlineStr">
        <is>
          <t>Yes</t>
        </is>
      </c>
      <c r="J732" s="25" t="inlineStr">
        <is>
          <t>Insurance in Edmonton, AB: Compare Quotes &amp; Licensed Advisors</t>
        </is>
      </c>
      <c r="K732" s="36">
        <f>LEN(J732)</f>
        <v/>
      </c>
      <c r="L732" s="25" t="inlineStr">
        <is>
          <t>Insurance in Edmonton: instant estimates for car, home, tenant, life and business coverage, local risk factors, and advisors licensed in Alberta.</t>
        </is>
      </c>
      <c r="M732" s="36">
        <f>LEN(L732)</f>
        <v/>
      </c>
      <c r="N732" s="25" t="inlineStr">
        <is>
          <t>Insurance in Edmonton, AB</t>
        </is>
      </c>
      <c r="O732" s="36" t="inlineStr">
        <is>
          <t>insurance advisor edmonton</t>
        </is>
      </c>
      <c r="P732" s="37" t="n">
        <v>300</v>
      </c>
      <c r="Q732" s="36" t="inlineStr">
        <is>
          <t>City</t>
        </is>
      </c>
      <c r="R732" s="36" t="n"/>
      <c r="S732" s="36">
        <f>COUNTIF('Page-Keyword Map'!$A$2:$A$675,B732)</f>
        <v/>
      </c>
      <c r="T732" s="37">
        <f>SUMIF('Page-Keyword Map'!$A$2:$A$675,B732,'Page-Keyword Map'!$H$2:$H$675)</f>
        <v/>
      </c>
      <c r="U732" s="36">
        <f>COUNTIFS('Page-Keyword Map'!$A$2:$A$675,B732,'Page-Keyword Map'!$E$2:$E$675,"Nationwide")</f>
        <v/>
      </c>
      <c r="V732" s="36">
        <f>COUNTIFS('Page-Keyword Map'!$A$2:$A$675,B732,'Page-Keyword Map'!$E$2:$E$675,"Provincial")</f>
        <v/>
      </c>
      <c r="W732" s="36">
        <f>COUNTIFS('Page-Keyword Map'!$A$2:$A$675,B732,'Page-Keyword Map'!$E$2:$E$675,"City")</f>
        <v/>
      </c>
      <c r="X732" s="36">
        <f>IF(O732="","",IF(ISNUMBER(SEARCH(O732,J732)),"Yes","No"))</f>
        <v/>
      </c>
      <c r="Y732" s="36" t="n">
        <v>0.5</v>
      </c>
      <c r="Z732" s="36" t="inlineStr">
        <is>
          <t>sitemap-places.xml</t>
        </is>
      </c>
      <c r="AA732" s="36" t="inlineStr">
        <is>
          <t>Live – indexable</t>
        </is>
      </c>
      <c r="AB732" s="38" t="n"/>
      <c r="AC732" s="38" t="n"/>
    </row>
    <row r="733" ht="23.85" customHeight="1" s="22">
      <c r="A733" s="36" t="inlineStr">
        <is>
          <t>P0732</t>
        </is>
      </c>
      <c r="B733" s="36" t="inlineStr">
        <is>
          <t>https://instasure.ca/insurance/alberta/lethbridge/</t>
        </is>
      </c>
      <c r="C733" s="36" t="inlineStr">
        <is>
          <t>Place hub</t>
        </is>
      </c>
      <c r="D733" s="36" t="inlineStr">
        <is>
          <t>Multi-line (place hubs)</t>
        </is>
      </c>
      <c r="E733" s="36" t="n"/>
      <c r="F733" s="36" t="n"/>
      <c r="G733" s="36" t="inlineStr">
        <is>
          <t>Alberta</t>
        </is>
      </c>
      <c r="H733" s="36" t="inlineStr">
        <is>
          <t>Lethbridge</t>
        </is>
      </c>
      <c r="I733" s="36" t="inlineStr">
        <is>
          <t>Yes</t>
        </is>
      </c>
      <c r="J733" s="25" t="inlineStr">
        <is>
          <t>Insurance in Lethbridge, AB: Compare Quotes &amp; Licensed Advisors</t>
        </is>
      </c>
      <c r="K733" s="36">
        <f>LEN(J733)</f>
        <v/>
      </c>
      <c r="L733" s="25" t="inlineStr">
        <is>
          <t>Insurance in Lethbridge: instant estimates for car, home, tenant, life and business coverage, local risk factors, and advisors licensed in Alberta.</t>
        </is>
      </c>
      <c r="M733" s="36">
        <f>LEN(L733)</f>
        <v/>
      </c>
      <c r="N733" s="25" t="inlineStr">
        <is>
          <t>Insurance in Lethbridge, AB</t>
        </is>
      </c>
      <c r="O733" s="36" t="n"/>
      <c r="P733" s="37" t="n"/>
      <c r="Q733" s="36" t="n"/>
      <c r="R733" s="36" t="inlineStr">
        <is>
          <t>insurance lethbridge</t>
        </is>
      </c>
      <c r="S733" s="36">
        <f>COUNTIF('Page-Keyword Map'!$A$2:$A$675,B733)</f>
        <v/>
      </c>
      <c r="T733" s="37">
        <f>SUMIF('Page-Keyword Map'!$A$2:$A$675,B733,'Page-Keyword Map'!$H$2:$H$675)</f>
        <v/>
      </c>
      <c r="U733" s="36">
        <f>COUNTIFS('Page-Keyword Map'!$A$2:$A$675,B733,'Page-Keyword Map'!$E$2:$E$675,"Nationwide")</f>
        <v/>
      </c>
      <c r="V733" s="36">
        <f>COUNTIFS('Page-Keyword Map'!$A$2:$A$675,B733,'Page-Keyword Map'!$E$2:$E$675,"Provincial")</f>
        <v/>
      </c>
      <c r="W733" s="36">
        <f>COUNTIFS('Page-Keyword Map'!$A$2:$A$675,B733,'Page-Keyword Map'!$E$2:$E$675,"City")</f>
        <v/>
      </c>
      <c r="X733" s="36">
        <f>IF(O733="","",IF(ISNUMBER(SEARCH(O733,J733)),"Yes","No"))</f>
        <v/>
      </c>
      <c r="Y733" s="36" t="n">
        <v>0.5</v>
      </c>
      <c r="Z733" s="36" t="inlineStr">
        <is>
          <t>sitemap-places.xml</t>
        </is>
      </c>
      <c r="AA733" s="36" t="inlineStr">
        <is>
          <t>Live – indexable</t>
        </is>
      </c>
      <c r="AB733" s="38" t="n"/>
      <c r="AC733" s="38" t="n"/>
    </row>
    <row r="734" ht="23.85" customHeight="1" s="22">
      <c r="A734" s="36" t="inlineStr">
        <is>
          <t>P0733</t>
        </is>
      </c>
      <c r="B734" s="36" t="inlineStr">
        <is>
          <t>https://instasure.ca/insurance/alberta/red-deer/</t>
        </is>
      </c>
      <c r="C734" s="36" t="inlineStr">
        <is>
          <t>Place hub</t>
        </is>
      </c>
      <c r="D734" s="36" t="inlineStr">
        <is>
          <t>Multi-line (place hubs)</t>
        </is>
      </c>
      <c r="E734" s="36" t="n"/>
      <c r="F734" s="36" t="n"/>
      <c r="G734" s="36" t="inlineStr">
        <is>
          <t>Alberta</t>
        </is>
      </c>
      <c r="H734" s="36" t="inlineStr">
        <is>
          <t>Red Deer</t>
        </is>
      </c>
      <c r="I734" s="36" t="inlineStr">
        <is>
          <t>Yes</t>
        </is>
      </c>
      <c r="J734" s="25" t="inlineStr">
        <is>
          <t>Insurance in Red Deer, AB: Compare Quotes &amp; Licensed Advisors</t>
        </is>
      </c>
      <c r="K734" s="36">
        <f>LEN(J734)</f>
        <v/>
      </c>
      <c r="L734" s="25" t="inlineStr">
        <is>
          <t>Insurance in Red Deer: instant estimates for car, home, tenant, life and business coverage, local risk factors, and advisors licensed in Alberta.</t>
        </is>
      </c>
      <c r="M734" s="36">
        <f>LEN(L734)</f>
        <v/>
      </c>
      <c r="N734" s="25" t="inlineStr">
        <is>
          <t>Insurance in Red Deer, AB</t>
        </is>
      </c>
      <c r="O734" s="36" t="n"/>
      <c r="P734" s="37" t="n"/>
      <c r="Q734" s="36" t="n"/>
      <c r="R734" s="36" t="inlineStr">
        <is>
          <t>insurance red deer</t>
        </is>
      </c>
      <c r="S734" s="36">
        <f>COUNTIF('Page-Keyword Map'!$A$2:$A$675,B734)</f>
        <v/>
      </c>
      <c r="T734" s="37">
        <f>SUMIF('Page-Keyword Map'!$A$2:$A$675,B734,'Page-Keyword Map'!$H$2:$H$675)</f>
        <v/>
      </c>
      <c r="U734" s="36">
        <f>COUNTIFS('Page-Keyword Map'!$A$2:$A$675,B734,'Page-Keyword Map'!$E$2:$E$675,"Nationwide")</f>
        <v/>
      </c>
      <c r="V734" s="36">
        <f>COUNTIFS('Page-Keyword Map'!$A$2:$A$675,B734,'Page-Keyword Map'!$E$2:$E$675,"Provincial")</f>
        <v/>
      </c>
      <c r="W734" s="36">
        <f>COUNTIFS('Page-Keyword Map'!$A$2:$A$675,B734,'Page-Keyword Map'!$E$2:$E$675,"City")</f>
        <v/>
      </c>
      <c r="X734" s="36">
        <f>IF(O734="","",IF(ISNUMBER(SEARCH(O734,J734)),"Yes","No"))</f>
        <v/>
      </c>
      <c r="Y734" s="36" t="n">
        <v>0.5</v>
      </c>
      <c r="Z734" s="36" t="inlineStr">
        <is>
          <t>sitemap-places.xml</t>
        </is>
      </c>
      <c r="AA734" s="36" t="inlineStr">
        <is>
          <t>Live – indexable</t>
        </is>
      </c>
      <c r="AB734" s="38" t="n"/>
      <c r="AC734" s="38" t="n"/>
    </row>
    <row r="735" ht="23.85" customHeight="1" s="22">
      <c r="A735" s="36" t="inlineStr">
        <is>
          <t>P0734</t>
        </is>
      </c>
      <c r="B735" s="36" t="inlineStr">
        <is>
          <t>https://instasure.ca/insurance/british-columbia/</t>
        </is>
      </c>
      <c r="C735" s="36" t="inlineStr">
        <is>
          <t>Place hub</t>
        </is>
      </c>
      <c r="D735" s="36" t="inlineStr">
        <is>
          <t>Multi-line (place hubs)</t>
        </is>
      </c>
      <c r="E735" s="36" t="n"/>
      <c r="F735" s="36" t="n"/>
      <c r="G735" s="36" t="inlineStr">
        <is>
          <t>British Columbia</t>
        </is>
      </c>
      <c r="H735" s="36" t="n"/>
      <c r="I735" s="36" t="inlineStr">
        <is>
          <t>Yes</t>
        </is>
      </c>
      <c r="J735" s="25" t="inlineStr">
        <is>
          <t>Insurance in British Columbia: Life, Home, Car &amp; Business Coverage</t>
        </is>
      </c>
      <c r="K735" s="36">
        <f>LEN(J735)</f>
        <v/>
      </c>
      <c r="L735" s="25" t="inlineStr">
        <is>
          <t>How insurance works in British Columbia: icbc basic is mandatory; optional coverage from icbc or private insurers, regulator (BCFSA), local risks and licensed…</t>
        </is>
      </c>
      <c r="M735" s="36">
        <f>LEN(L735)</f>
        <v/>
      </c>
      <c r="N735" s="25" t="inlineStr">
        <is>
          <t>Insurance in British Columbia</t>
        </is>
      </c>
      <c r="O735" s="36" t="n"/>
      <c r="P735" s="37" t="n"/>
      <c r="Q735" s="36" t="n"/>
      <c r="R735" s="36" t="inlineStr">
        <is>
          <t>insurance british columbia</t>
        </is>
      </c>
      <c r="S735" s="36">
        <f>COUNTIF('Page-Keyword Map'!$A$2:$A$675,B735)</f>
        <v/>
      </c>
      <c r="T735" s="37">
        <f>SUMIF('Page-Keyword Map'!$A$2:$A$675,B735,'Page-Keyword Map'!$H$2:$H$675)</f>
        <v/>
      </c>
      <c r="U735" s="36">
        <f>COUNTIFS('Page-Keyword Map'!$A$2:$A$675,B735,'Page-Keyword Map'!$E$2:$E$675,"Nationwide")</f>
        <v/>
      </c>
      <c r="V735" s="36">
        <f>COUNTIFS('Page-Keyword Map'!$A$2:$A$675,B735,'Page-Keyword Map'!$E$2:$E$675,"Provincial")</f>
        <v/>
      </c>
      <c r="W735" s="36">
        <f>COUNTIFS('Page-Keyword Map'!$A$2:$A$675,B735,'Page-Keyword Map'!$E$2:$E$675,"City")</f>
        <v/>
      </c>
      <c r="X735" s="36">
        <f>IF(O735="","",IF(ISNUMBER(SEARCH(O735,J735)),"Yes","No"))</f>
        <v/>
      </c>
      <c r="Y735" s="36" t="n">
        <v>0.6</v>
      </c>
      <c r="Z735" s="36" t="inlineStr">
        <is>
          <t>sitemap-places.xml</t>
        </is>
      </c>
      <c r="AA735" s="36" t="inlineStr">
        <is>
          <t>Live – indexable</t>
        </is>
      </c>
      <c r="AB735" s="38" t="n"/>
      <c r="AC735" s="38" t="n"/>
    </row>
    <row r="736" ht="23.85" customHeight="1" s="22">
      <c r="A736" s="36" t="inlineStr">
        <is>
          <t>P0735</t>
        </is>
      </c>
      <c r="B736" s="36" t="inlineStr">
        <is>
          <t>https://instasure.ca/insurance/british-columbia/abbotsford/</t>
        </is>
      </c>
      <c r="C736" s="36" t="inlineStr">
        <is>
          <t>Place hub</t>
        </is>
      </c>
      <c r="D736" s="36" t="inlineStr">
        <is>
          <t>Multi-line (place hubs)</t>
        </is>
      </c>
      <c r="E736" s="36" t="n"/>
      <c r="F736" s="36" t="n"/>
      <c r="G736" s="36" t="inlineStr">
        <is>
          <t>British Columbia</t>
        </is>
      </c>
      <c r="H736" s="36" t="inlineStr">
        <is>
          <t>Abbotsford</t>
        </is>
      </c>
      <c r="I736" s="36" t="inlineStr">
        <is>
          <t>Yes</t>
        </is>
      </c>
      <c r="J736" s="25" t="inlineStr">
        <is>
          <t>Insurance in Abbotsford, BC: Compare Quotes &amp; Licensed Advisors</t>
        </is>
      </c>
      <c r="K736" s="36">
        <f>LEN(J736)</f>
        <v/>
      </c>
      <c r="L736" s="25" t="inlineStr">
        <is>
          <t>Insurance in Abbotsford: instant estimates for car, home, tenant, life and business coverage, local risk factors, and advisors licensed in British Columbia.</t>
        </is>
      </c>
      <c r="M736" s="36">
        <f>LEN(L736)</f>
        <v/>
      </c>
      <c r="N736" s="25" t="inlineStr">
        <is>
          <t>Insurance in Abbotsford, BC</t>
        </is>
      </c>
      <c r="O736" s="36" t="n"/>
      <c r="P736" s="37" t="n"/>
      <c r="Q736" s="36" t="n"/>
      <c r="R736" s="36" t="inlineStr">
        <is>
          <t>insurance abbotsford</t>
        </is>
      </c>
      <c r="S736" s="36">
        <f>COUNTIF('Page-Keyword Map'!$A$2:$A$675,B736)</f>
        <v/>
      </c>
      <c r="T736" s="37">
        <f>SUMIF('Page-Keyword Map'!$A$2:$A$675,B736,'Page-Keyword Map'!$H$2:$H$675)</f>
        <v/>
      </c>
      <c r="U736" s="36">
        <f>COUNTIFS('Page-Keyword Map'!$A$2:$A$675,B736,'Page-Keyword Map'!$E$2:$E$675,"Nationwide")</f>
        <v/>
      </c>
      <c r="V736" s="36">
        <f>COUNTIFS('Page-Keyword Map'!$A$2:$A$675,B736,'Page-Keyword Map'!$E$2:$E$675,"Provincial")</f>
        <v/>
      </c>
      <c r="W736" s="36">
        <f>COUNTIFS('Page-Keyword Map'!$A$2:$A$675,B736,'Page-Keyword Map'!$E$2:$E$675,"City")</f>
        <v/>
      </c>
      <c r="X736" s="36">
        <f>IF(O736="","",IF(ISNUMBER(SEARCH(O736,J736)),"Yes","No"))</f>
        <v/>
      </c>
      <c r="Y736" s="36" t="n">
        <v>0.5</v>
      </c>
      <c r="Z736" s="36" t="inlineStr">
        <is>
          <t>sitemap-places.xml</t>
        </is>
      </c>
      <c r="AA736" s="36" t="inlineStr">
        <is>
          <t>Live – indexable</t>
        </is>
      </c>
      <c r="AB736" s="38" t="n"/>
      <c r="AC736" s="38" t="n"/>
    </row>
    <row r="737" ht="23.85" customHeight="1" s="22">
      <c r="A737" s="36" t="inlineStr">
        <is>
          <t>P0736</t>
        </is>
      </c>
      <c r="B737" s="36" t="inlineStr">
        <is>
          <t>https://instasure.ca/insurance/british-columbia/burnaby/</t>
        </is>
      </c>
      <c r="C737" s="36" t="inlineStr">
        <is>
          <t>Place hub</t>
        </is>
      </c>
      <c r="D737" s="36" t="inlineStr">
        <is>
          <t>Multi-line (place hubs)</t>
        </is>
      </c>
      <c r="E737" s="36" t="n"/>
      <c r="F737" s="36" t="n"/>
      <c r="G737" s="36" t="inlineStr">
        <is>
          <t>British Columbia</t>
        </is>
      </c>
      <c r="H737" s="36" t="inlineStr">
        <is>
          <t>Burnaby</t>
        </is>
      </c>
      <c r="I737" s="36" t="inlineStr">
        <is>
          <t>Yes</t>
        </is>
      </c>
      <c r="J737" s="25" t="inlineStr">
        <is>
          <t>Insurance in Burnaby, BC: Compare Quotes &amp; Licensed Advisors</t>
        </is>
      </c>
      <c r="K737" s="36">
        <f>LEN(J737)</f>
        <v/>
      </c>
      <c r="L737" s="25" t="inlineStr">
        <is>
          <t>Insurance in Burnaby: instant estimates for car, home, tenant, life and business coverage, local risk factors, and advisors licensed in British Columbia.</t>
        </is>
      </c>
      <c r="M737" s="36">
        <f>LEN(L737)</f>
        <v/>
      </c>
      <c r="N737" s="25" t="inlineStr">
        <is>
          <t>Insurance in Burnaby, BC</t>
        </is>
      </c>
      <c r="O737" s="36" t="inlineStr">
        <is>
          <t>insurance advisor burnaby</t>
        </is>
      </c>
      <c r="P737" s="37" t="n">
        <v>99</v>
      </c>
      <c r="Q737" s="36" t="inlineStr">
        <is>
          <t>City</t>
        </is>
      </c>
      <c r="R737" s="36" t="n"/>
      <c r="S737" s="36">
        <f>COUNTIF('Page-Keyword Map'!$A$2:$A$675,B737)</f>
        <v/>
      </c>
      <c r="T737" s="37">
        <f>SUMIF('Page-Keyword Map'!$A$2:$A$675,B737,'Page-Keyword Map'!$H$2:$H$675)</f>
        <v/>
      </c>
      <c r="U737" s="36">
        <f>COUNTIFS('Page-Keyword Map'!$A$2:$A$675,B737,'Page-Keyword Map'!$E$2:$E$675,"Nationwide")</f>
        <v/>
      </c>
      <c r="V737" s="36">
        <f>COUNTIFS('Page-Keyword Map'!$A$2:$A$675,B737,'Page-Keyword Map'!$E$2:$E$675,"Provincial")</f>
        <v/>
      </c>
      <c r="W737" s="36">
        <f>COUNTIFS('Page-Keyword Map'!$A$2:$A$675,B737,'Page-Keyword Map'!$E$2:$E$675,"City")</f>
        <v/>
      </c>
      <c r="X737" s="36">
        <f>IF(O737="","",IF(ISNUMBER(SEARCH(O737,J737)),"Yes","No"))</f>
        <v/>
      </c>
      <c r="Y737" s="36" t="n">
        <v>0.5</v>
      </c>
      <c r="Z737" s="36" t="inlineStr">
        <is>
          <t>sitemap-places.xml</t>
        </is>
      </c>
      <c r="AA737" s="36" t="inlineStr">
        <is>
          <t>Live – indexable</t>
        </is>
      </c>
      <c r="AB737" s="38" t="n"/>
      <c r="AC737" s="38" t="n"/>
    </row>
    <row r="738" ht="23.85" customHeight="1" s="22">
      <c r="A738" s="36" t="inlineStr">
        <is>
          <t>P0737</t>
        </is>
      </c>
      <c r="B738" s="36" t="inlineStr">
        <is>
          <t>https://instasure.ca/insurance/british-columbia/coquitlam/</t>
        </is>
      </c>
      <c r="C738" s="36" t="inlineStr">
        <is>
          <t>Place hub</t>
        </is>
      </c>
      <c r="D738" s="36" t="inlineStr">
        <is>
          <t>Multi-line (place hubs)</t>
        </is>
      </c>
      <c r="E738" s="36" t="n"/>
      <c r="F738" s="36" t="n"/>
      <c r="G738" s="36" t="inlineStr">
        <is>
          <t>British Columbia</t>
        </is>
      </c>
      <c r="H738" s="36" t="inlineStr">
        <is>
          <t>Coquitlam</t>
        </is>
      </c>
      <c r="I738" s="36" t="inlineStr">
        <is>
          <t>Yes</t>
        </is>
      </c>
      <c r="J738" s="25" t="inlineStr">
        <is>
          <t>Insurance in Coquitlam, BC: Compare Quotes &amp; Licensed Advisors</t>
        </is>
      </c>
      <c r="K738" s="36">
        <f>LEN(J738)</f>
        <v/>
      </c>
      <c r="L738" s="25" t="inlineStr">
        <is>
          <t>Insurance in Coquitlam: instant estimates for car, home, tenant, life and business coverage, local risk factors, and advisors licensed in British Columbia.</t>
        </is>
      </c>
      <c r="M738" s="36">
        <f>LEN(L738)</f>
        <v/>
      </c>
      <c r="N738" s="25" t="inlineStr">
        <is>
          <t>Insurance in Coquitlam, BC</t>
        </is>
      </c>
      <c r="O738" s="36" t="n"/>
      <c r="P738" s="37" t="n"/>
      <c r="Q738" s="36" t="n"/>
      <c r="R738" s="36" t="inlineStr">
        <is>
          <t>insurance coquitlam</t>
        </is>
      </c>
      <c r="S738" s="36">
        <f>COUNTIF('Page-Keyword Map'!$A$2:$A$675,B738)</f>
        <v/>
      </c>
      <c r="T738" s="37">
        <f>SUMIF('Page-Keyword Map'!$A$2:$A$675,B738,'Page-Keyword Map'!$H$2:$H$675)</f>
        <v/>
      </c>
      <c r="U738" s="36">
        <f>COUNTIFS('Page-Keyword Map'!$A$2:$A$675,B738,'Page-Keyword Map'!$E$2:$E$675,"Nationwide")</f>
        <v/>
      </c>
      <c r="V738" s="36">
        <f>COUNTIFS('Page-Keyword Map'!$A$2:$A$675,B738,'Page-Keyword Map'!$E$2:$E$675,"Provincial")</f>
        <v/>
      </c>
      <c r="W738" s="36">
        <f>COUNTIFS('Page-Keyword Map'!$A$2:$A$675,B738,'Page-Keyword Map'!$E$2:$E$675,"City")</f>
        <v/>
      </c>
      <c r="X738" s="36">
        <f>IF(O738="","",IF(ISNUMBER(SEARCH(O738,J738)),"Yes","No"))</f>
        <v/>
      </c>
      <c r="Y738" s="36" t="n">
        <v>0.5</v>
      </c>
      <c r="Z738" s="36" t="inlineStr">
        <is>
          <t>sitemap-places.xml</t>
        </is>
      </c>
      <c r="AA738" s="36" t="inlineStr">
        <is>
          <t>Live – indexable</t>
        </is>
      </c>
      <c r="AB738" s="38" t="n"/>
      <c r="AC738" s="38" t="n"/>
    </row>
    <row r="739" ht="23.85" customHeight="1" s="22">
      <c r="A739" s="36" t="inlineStr">
        <is>
          <t>P0738</t>
        </is>
      </c>
      <c r="B739" s="36" t="inlineStr">
        <is>
          <t>https://instasure.ca/insurance/british-columbia/kelowna/</t>
        </is>
      </c>
      <c r="C739" s="36" t="inlineStr">
        <is>
          <t>Place hub</t>
        </is>
      </c>
      <c r="D739" s="36" t="inlineStr">
        <is>
          <t>Multi-line (place hubs)</t>
        </is>
      </c>
      <c r="E739" s="36" t="n"/>
      <c r="F739" s="36" t="n"/>
      <c r="G739" s="36" t="inlineStr">
        <is>
          <t>British Columbia</t>
        </is>
      </c>
      <c r="H739" s="36" t="inlineStr">
        <is>
          <t>Kelowna</t>
        </is>
      </c>
      <c r="I739" s="36" t="inlineStr">
        <is>
          <t>Yes</t>
        </is>
      </c>
      <c r="J739" s="25" t="inlineStr">
        <is>
          <t>Insurance in Kelowna, BC: Compare Quotes &amp; Licensed Advisors</t>
        </is>
      </c>
      <c r="K739" s="36">
        <f>LEN(J739)</f>
        <v/>
      </c>
      <c r="L739" s="25" t="inlineStr">
        <is>
          <t>Insurance in Kelowna: instant estimates for car, home, tenant, life and business coverage, local risk factors, and advisors licensed in British Columbia.</t>
        </is>
      </c>
      <c r="M739" s="36">
        <f>LEN(L739)</f>
        <v/>
      </c>
      <c r="N739" s="25" t="inlineStr">
        <is>
          <t>Insurance in Kelowna, BC</t>
        </is>
      </c>
      <c r="O739" s="36" t="inlineStr">
        <is>
          <t>insurance advisor kelowna</t>
        </is>
      </c>
      <c r="P739" s="37" t="n">
        <v>64</v>
      </c>
      <c r="Q739" s="36" t="inlineStr">
        <is>
          <t>City</t>
        </is>
      </c>
      <c r="R739" s="36" t="n"/>
      <c r="S739" s="36">
        <f>COUNTIF('Page-Keyword Map'!$A$2:$A$675,B739)</f>
        <v/>
      </c>
      <c r="T739" s="37">
        <f>SUMIF('Page-Keyword Map'!$A$2:$A$675,B739,'Page-Keyword Map'!$H$2:$H$675)</f>
        <v/>
      </c>
      <c r="U739" s="36">
        <f>COUNTIFS('Page-Keyword Map'!$A$2:$A$675,B739,'Page-Keyword Map'!$E$2:$E$675,"Nationwide")</f>
        <v/>
      </c>
      <c r="V739" s="36">
        <f>COUNTIFS('Page-Keyword Map'!$A$2:$A$675,B739,'Page-Keyword Map'!$E$2:$E$675,"Provincial")</f>
        <v/>
      </c>
      <c r="W739" s="36">
        <f>COUNTIFS('Page-Keyword Map'!$A$2:$A$675,B739,'Page-Keyword Map'!$E$2:$E$675,"City")</f>
        <v/>
      </c>
      <c r="X739" s="36">
        <f>IF(O739="","",IF(ISNUMBER(SEARCH(O739,J739)),"Yes","No"))</f>
        <v/>
      </c>
      <c r="Y739" s="36" t="n">
        <v>0.5</v>
      </c>
      <c r="Z739" s="36" t="inlineStr">
        <is>
          <t>sitemap-places.xml</t>
        </is>
      </c>
      <c r="AA739" s="36" t="inlineStr">
        <is>
          <t>Live – indexable</t>
        </is>
      </c>
      <c r="AB739" s="38" t="n"/>
      <c r="AC739" s="38" t="n"/>
    </row>
    <row r="740" ht="23.85" customHeight="1" s="22">
      <c r="A740" s="36" t="inlineStr">
        <is>
          <t>P0739</t>
        </is>
      </c>
      <c r="B740" s="36" t="inlineStr">
        <is>
          <t>https://instasure.ca/insurance/british-columbia/langley/</t>
        </is>
      </c>
      <c r="C740" s="36" t="inlineStr">
        <is>
          <t>Place hub</t>
        </is>
      </c>
      <c r="D740" s="36" t="inlineStr">
        <is>
          <t>Multi-line (place hubs)</t>
        </is>
      </c>
      <c r="E740" s="36" t="n"/>
      <c r="F740" s="36" t="n"/>
      <c r="G740" s="36" t="inlineStr">
        <is>
          <t>British Columbia</t>
        </is>
      </c>
      <c r="H740" s="36" t="inlineStr">
        <is>
          <t>Langley</t>
        </is>
      </c>
      <c r="I740" s="36" t="inlineStr">
        <is>
          <t>No</t>
        </is>
      </c>
      <c r="J740" s="25" t="inlineStr">
        <is>
          <t>Insurance in Langley, BC: Compare Quotes &amp; Licensed Advisors</t>
        </is>
      </c>
      <c r="K740" s="36">
        <f>LEN(J740)</f>
        <v/>
      </c>
      <c r="L740" s="25" t="inlineStr">
        <is>
          <t>Insurance in Langley: instant estimates for car, home, tenant, life and business coverage, local risk factors, and advisors licensed in British Columbia.</t>
        </is>
      </c>
      <c r="M740" s="36">
        <f>LEN(L740)</f>
        <v/>
      </c>
      <c r="N740" s="25" t="inlineStr">
        <is>
          <t>Insurance in Langley, BC</t>
        </is>
      </c>
      <c r="O740" s="36" t="n"/>
      <c r="P740" s="37" t="n"/>
      <c r="Q740" s="36" t="n"/>
      <c r="R740" s="36" t="inlineStr">
        <is>
          <t>insurance langley</t>
        </is>
      </c>
      <c r="S740" s="36">
        <f>COUNTIF('Page-Keyword Map'!$A$2:$A$675,B740)</f>
        <v/>
      </c>
      <c r="T740" s="37">
        <f>SUMIF('Page-Keyword Map'!$A$2:$A$675,B740,'Page-Keyword Map'!$H$2:$H$675)</f>
        <v/>
      </c>
      <c r="U740" s="36">
        <f>COUNTIFS('Page-Keyword Map'!$A$2:$A$675,B740,'Page-Keyword Map'!$E$2:$E$675,"Nationwide")</f>
        <v/>
      </c>
      <c r="V740" s="36">
        <f>COUNTIFS('Page-Keyword Map'!$A$2:$A$675,B740,'Page-Keyword Map'!$E$2:$E$675,"Provincial")</f>
        <v/>
      </c>
      <c r="W740" s="36">
        <f>COUNTIFS('Page-Keyword Map'!$A$2:$A$675,B740,'Page-Keyword Map'!$E$2:$E$675,"City")</f>
        <v/>
      </c>
      <c r="X740" s="36">
        <f>IF(O740="","",IF(ISNUMBER(SEARCH(O740,J740)),"Yes","No"))</f>
        <v/>
      </c>
      <c r="Y740" s="36" t="n">
        <v>0.5</v>
      </c>
      <c r="Z740" s="36" t="inlineStr">
        <is>
          <t>(not listed: noindex)</t>
        </is>
      </c>
      <c r="AA740" s="36" t="inlineStr">
        <is>
          <t>Live – noindex (enrich before indexing)</t>
        </is>
      </c>
      <c r="AB740" s="38" t="n"/>
      <c r="AC740" s="38" t="n"/>
    </row>
    <row r="741" ht="23.85" customHeight="1" s="22">
      <c r="A741" s="36" t="inlineStr">
        <is>
          <t>P0740</t>
        </is>
      </c>
      <c r="B741" s="36" t="inlineStr">
        <is>
          <t>https://instasure.ca/insurance/british-columbia/richmond/</t>
        </is>
      </c>
      <c r="C741" s="36" t="inlineStr">
        <is>
          <t>Place hub</t>
        </is>
      </c>
      <c r="D741" s="36" t="inlineStr">
        <is>
          <t>Multi-line (place hubs)</t>
        </is>
      </c>
      <c r="E741" s="36" t="n"/>
      <c r="F741" s="36" t="n"/>
      <c r="G741" s="36" t="inlineStr">
        <is>
          <t>British Columbia</t>
        </is>
      </c>
      <c r="H741" s="36" t="inlineStr">
        <is>
          <t>Richmond</t>
        </is>
      </c>
      <c r="I741" s="36" t="inlineStr">
        <is>
          <t>Yes</t>
        </is>
      </c>
      <c r="J741" s="25" t="inlineStr">
        <is>
          <t>Insurance in Richmond, BC: Compare Quotes &amp; Licensed Advisors</t>
        </is>
      </c>
      <c r="K741" s="36">
        <f>LEN(J741)</f>
        <v/>
      </c>
      <c r="L741" s="25" t="inlineStr">
        <is>
          <t>Insurance in Richmond: instant estimates for car, home, tenant, life and business coverage, local risk factors, and advisors licensed in British Columbia.</t>
        </is>
      </c>
      <c r="M741" s="36">
        <f>LEN(L741)</f>
        <v/>
      </c>
      <c r="N741" s="25" t="inlineStr">
        <is>
          <t>Insurance in Richmond, BC</t>
        </is>
      </c>
      <c r="O741" s="36" t="n"/>
      <c r="P741" s="37" t="n"/>
      <c r="Q741" s="36" t="n"/>
      <c r="R741" s="36" t="inlineStr">
        <is>
          <t>insurance richmond</t>
        </is>
      </c>
      <c r="S741" s="36">
        <f>COUNTIF('Page-Keyword Map'!$A$2:$A$675,B741)</f>
        <v/>
      </c>
      <c r="T741" s="37">
        <f>SUMIF('Page-Keyword Map'!$A$2:$A$675,B741,'Page-Keyword Map'!$H$2:$H$675)</f>
        <v/>
      </c>
      <c r="U741" s="36">
        <f>COUNTIFS('Page-Keyword Map'!$A$2:$A$675,B741,'Page-Keyword Map'!$E$2:$E$675,"Nationwide")</f>
        <v/>
      </c>
      <c r="V741" s="36">
        <f>COUNTIFS('Page-Keyword Map'!$A$2:$A$675,B741,'Page-Keyword Map'!$E$2:$E$675,"Provincial")</f>
        <v/>
      </c>
      <c r="W741" s="36">
        <f>COUNTIFS('Page-Keyword Map'!$A$2:$A$675,B741,'Page-Keyword Map'!$E$2:$E$675,"City")</f>
        <v/>
      </c>
      <c r="X741" s="36">
        <f>IF(O741="","",IF(ISNUMBER(SEARCH(O741,J741)),"Yes","No"))</f>
        <v/>
      </c>
      <c r="Y741" s="36" t="n">
        <v>0.5</v>
      </c>
      <c r="Z741" s="36" t="inlineStr">
        <is>
          <t>sitemap-places.xml</t>
        </is>
      </c>
      <c r="AA741" s="36" t="inlineStr">
        <is>
          <t>Live – indexable</t>
        </is>
      </c>
      <c r="AB741" s="38" t="n"/>
      <c r="AC741" s="38" t="n"/>
    </row>
    <row r="742" ht="23.85" customHeight="1" s="22">
      <c r="A742" s="36" t="inlineStr">
        <is>
          <t>P0741</t>
        </is>
      </c>
      <c r="B742" s="36" t="inlineStr">
        <is>
          <t>https://instasure.ca/insurance/british-columbia/surrey/</t>
        </is>
      </c>
      <c r="C742" s="36" t="inlineStr">
        <is>
          <t>Place hub</t>
        </is>
      </c>
      <c r="D742" s="36" t="inlineStr">
        <is>
          <t>Multi-line (place hubs)</t>
        </is>
      </c>
      <c r="E742" s="36" t="n"/>
      <c r="F742" s="36" t="n"/>
      <c r="G742" s="36" t="inlineStr">
        <is>
          <t>British Columbia</t>
        </is>
      </c>
      <c r="H742" s="36" t="inlineStr">
        <is>
          <t>Surrey</t>
        </is>
      </c>
      <c r="I742" s="36" t="inlineStr">
        <is>
          <t>Yes</t>
        </is>
      </c>
      <c r="J742" s="25" t="inlineStr">
        <is>
          <t>Insurance in Surrey, BC: Compare Quotes &amp; Licensed Advisors</t>
        </is>
      </c>
      <c r="K742" s="36">
        <f>LEN(J742)</f>
        <v/>
      </c>
      <c r="L742" s="25" t="inlineStr">
        <is>
          <t>Insurance in Surrey: instant estimates for car, home, tenant, life and business coverage, local risk factors, and advisors licensed in British Columbia.</t>
        </is>
      </c>
      <c r="M742" s="36">
        <f>LEN(L742)</f>
        <v/>
      </c>
      <c r="N742" s="25" t="inlineStr">
        <is>
          <t>Insurance in Surrey, BC</t>
        </is>
      </c>
      <c r="O742" s="36" t="inlineStr">
        <is>
          <t>insurance advisor surrey</t>
        </is>
      </c>
      <c r="P742" s="37" t="n">
        <v>190</v>
      </c>
      <c r="Q742" s="36" t="inlineStr">
        <is>
          <t>City</t>
        </is>
      </c>
      <c r="R742" s="36" t="n"/>
      <c r="S742" s="36">
        <f>COUNTIF('Page-Keyword Map'!$A$2:$A$675,B742)</f>
        <v/>
      </c>
      <c r="T742" s="37">
        <f>SUMIF('Page-Keyword Map'!$A$2:$A$675,B742,'Page-Keyword Map'!$H$2:$H$675)</f>
        <v/>
      </c>
      <c r="U742" s="36">
        <f>COUNTIFS('Page-Keyword Map'!$A$2:$A$675,B742,'Page-Keyword Map'!$E$2:$E$675,"Nationwide")</f>
        <v/>
      </c>
      <c r="V742" s="36">
        <f>COUNTIFS('Page-Keyword Map'!$A$2:$A$675,B742,'Page-Keyword Map'!$E$2:$E$675,"Provincial")</f>
        <v/>
      </c>
      <c r="W742" s="36">
        <f>COUNTIFS('Page-Keyword Map'!$A$2:$A$675,B742,'Page-Keyword Map'!$E$2:$E$675,"City")</f>
        <v/>
      </c>
      <c r="X742" s="36">
        <f>IF(O742="","",IF(ISNUMBER(SEARCH(O742,J742)),"Yes","No"))</f>
        <v/>
      </c>
      <c r="Y742" s="36" t="n">
        <v>0.5</v>
      </c>
      <c r="Z742" s="36" t="inlineStr">
        <is>
          <t>sitemap-places.xml</t>
        </is>
      </c>
      <c r="AA742" s="36" t="inlineStr">
        <is>
          <t>Live – indexable</t>
        </is>
      </c>
      <c r="AB742" s="38" t="n"/>
      <c r="AC742" s="38" t="n"/>
    </row>
    <row r="743" ht="23.85" customHeight="1" s="22">
      <c r="A743" s="36" t="inlineStr">
        <is>
          <t>P0742</t>
        </is>
      </c>
      <c r="B743" s="36" t="inlineStr">
        <is>
          <t>https://instasure.ca/insurance/british-columbia/vancouver/</t>
        </is>
      </c>
      <c r="C743" s="36" t="inlineStr">
        <is>
          <t>Place hub</t>
        </is>
      </c>
      <c r="D743" s="36" t="inlineStr">
        <is>
          <t>Multi-line (place hubs)</t>
        </is>
      </c>
      <c r="E743" s="36" t="n"/>
      <c r="F743" s="36" t="n"/>
      <c r="G743" s="36" t="inlineStr">
        <is>
          <t>British Columbia</t>
        </is>
      </c>
      <c r="H743" s="36" t="inlineStr">
        <is>
          <t>Vancouver</t>
        </is>
      </c>
      <c r="I743" s="36" t="inlineStr">
        <is>
          <t>Yes</t>
        </is>
      </c>
      <c r="J743" s="25" t="inlineStr">
        <is>
          <t>Insurance in Vancouver, BC: Compare Quotes &amp; Licensed Advisors</t>
        </is>
      </c>
      <c r="K743" s="36">
        <f>LEN(J743)</f>
        <v/>
      </c>
      <c r="L743" s="25" t="inlineStr">
        <is>
          <t>Insurance in Vancouver: instant estimates for car, home, tenant, life and business coverage, local risk factors, and advisors licensed in British Columbia.</t>
        </is>
      </c>
      <c r="M743" s="36">
        <f>LEN(L743)</f>
        <v/>
      </c>
      <c r="N743" s="25" t="inlineStr">
        <is>
          <t>Insurance in Vancouver, BC</t>
        </is>
      </c>
      <c r="O743" s="36" t="inlineStr">
        <is>
          <t>insurance advisor vancouver</t>
        </is>
      </c>
      <c r="P743" s="37" t="n">
        <v>220</v>
      </c>
      <c r="Q743" s="36" t="inlineStr">
        <is>
          <t>City</t>
        </is>
      </c>
      <c r="R743" s="36" t="n"/>
      <c r="S743" s="36">
        <f>COUNTIF('Page-Keyword Map'!$A$2:$A$675,B743)</f>
        <v/>
      </c>
      <c r="T743" s="37">
        <f>SUMIF('Page-Keyword Map'!$A$2:$A$675,B743,'Page-Keyword Map'!$H$2:$H$675)</f>
        <v/>
      </c>
      <c r="U743" s="36">
        <f>COUNTIFS('Page-Keyword Map'!$A$2:$A$675,B743,'Page-Keyword Map'!$E$2:$E$675,"Nationwide")</f>
        <v/>
      </c>
      <c r="V743" s="36">
        <f>COUNTIFS('Page-Keyword Map'!$A$2:$A$675,B743,'Page-Keyword Map'!$E$2:$E$675,"Provincial")</f>
        <v/>
      </c>
      <c r="W743" s="36">
        <f>COUNTIFS('Page-Keyword Map'!$A$2:$A$675,B743,'Page-Keyword Map'!$E$2:$E$675,"City")</f>
        <v/>
      </c>
      <c r="X743" s="36">
        <f>IF(O743="","",IF(ISNUMBER(SEARCH(O743,J743)),"Yes","No"))</f>
        <v/>
      </c>
      <c r="Y743" s="36" t="n">
        <v>0.5</v>
      </c>
      <c r="Z743" s="36" t="inlineStr">
        <is>
          <t>sitemap-places.xml</t>
        </is>
      </c>
      <c r="AA743" s="36" t="inlineStr">
        <is>
          <t>Live – indexable</t>
        </is>
      </c>
      <c r="AB743" s="38" t="n"/>
      <c r="AC743" s="38" t="n"/>
    </row>
    <row r="744" ht="23.85" customHeight="1" s="22">
      <c r="A744" s="36" t="inlineStr">
        <is>
          <t>P0743</t>
        </is>
      </c>
      <c r="B744" s="36" t="inlineStr">
        <is>
          <t>https://instasure.ca/insurance/british-columbia/victoria/</t>
        </is>
      </c>
      <c r="C744" s="36" t="inlineStr">
        <is>
          <t>Place hub</t>
        </is>
      </c>
      <c r="D744" s="36" t="inlineStr">
        <is>
          <t>Multi-line (place hubs)</t>
        </is>
      </c>
      <c r="E744" s="36" t="n"/>
      <c r="F744" s="36" t="n"/>
      <c r="G744" s="36" t="inlineStr">
        <is>
          <t>British Columbia</t>
        </is>
      </c>
      <c r="H744" s="36" t="inlineStr">
        <is>
          <t>Victoria</t>
        </is>
      </c>
      <c r="I744" s="36" t="inlineStr">
        <is>
          <t>Yes</t>
        </is>
      </c>
      <c r="J744" s="25" t="inlineStr">
        <is>
          <t>Insurance in Victoria, BC: Compare Quotes &amp; Licensed Advisors</t>
        </is>
      </c>
      <c r="K744" s="36">
        <f>LEN(J744)</f>
        <v/>
      </c>
      <c r="L744" s="25" t="inlineStr">
        <is>
          <t>Insurance in Victoria: instant estimates for car, home, tenant, life and business coverage, local risk factors, and advisors licensed in British Columbia.</t>
        </is>
      </c>
      <c r="M744" s="36">
        <f>LEN(L744)</f>
        <v/>
      </c>
      <c r="N744" s="25" t="inlineStr">
        <is>
          <t>Insurance in Victoria, BC</t>
        </is>
      </c>
      <c r="O744" s="36" t="inlineStr">
        <is>
          <t>insurance advisor victoria</t>
        </is>
      </c>
      <c r="P744" s="37" t="n">
        <v>44</v>
      </c>
      <c r="Q744" s="36" t="inlineStr">
        <is>
          <t>City</t>
        </is>
      </c>
      <c r="R744" s="36" t="n"/>
      <c r="S744" s="36">
        <f>COUNTIF('Page-Keyword Map'!$A$2:$A$675,B744)</f>
        <v/>
      </c>
      <c r="T744" s="37">
        <f>SUMIF('Page-Keyword Map'!$A$2:$A$675,B744,'Page-Keyword Map'!$H$2:$H$675)</f>
        <v/>
      </c>
      <c r="U744" s="36">
        <f>COUNTIFS('Page-Keyword Map'!$A$2:$A$675,B744,'Page-Keyword Map'!$E$2:$E$675,"Nationwide")</f>
        <v/>
      </c>
      <c r="V744" s="36">
        <f>COUNTIFS('Page-Keyword Map'!$A$2:$A$675,B744,'Page-Keyword Map'!$E$2:$E$675,"Provincial")</f>
        <v/>
      </c>
      <c r="W744" s="36">
        <f>COUNTIFS('Page-Keyword Map'!$A$2:$A$675,B744,'Page-Keyword Map'!$E$2:$E$675,"City")</f>
        <v/>
      </c>
      <c r="X744" s="36">
        <f>IF(O744="","",IF(ISNUMBER(SEARCH(O744,J744)),"Yes","No"))</f>
        <v/>
      </c>
      <c r="Y744" s="36" t="n">
        <v>0.5</v>
      </c>
      <c r="Z744" s="36" t="inlineStr">
        <is>
          <t>sitemap-places.xml</t>
        </is>
      </c>
      <c r="AA744" s="36" t="inlineStr">
        <is>
          <t>Live – indexable</t>
        </is>
      </c>
      <c r="AB744" s="38" t="n"/>
      <c r="AC744" s="38" t="n"/>
    </row>
    <row r="745" ht="23.85" customHeight="1" s="22">
      <c r="A745" s="36" t="inlineStr">
        <is>
          <t>P0744</t>
        </is>
      </c>
      <c r="B745" s="36" t="inlineStr">
        <is>
          <t>https://instasure.ca/insurance/manitoba/</t>
        </is>
      </c>
      <c r="C745" s="36" t="inlineStr">
        <is>
          <t>Place hub</t>
        </is>
      </c>
      <c r="D745" s="36" t="inlineStr">
        <is>
          <t>Multi-line (place hubs)</t>
        </is>
      </c>
      <c r="E745" s="36" t="n"/>
      <c r="F745" s="36" t="n"/>
      <c r="G745" s="36" t="inlineStr">
        <is>
          <t>Manitoba</t>
        </is>
      </c>
      <c r="H745" s="36" t="n"/>
      <c r="I745" s="36" t="inlineStr">
        <is>
          <t>Yes</t>
        </is>
      </c>
      <c r="J745" s="25" t="inlineStr">
        <is>
          <t>Insurance in Manitoba: Life, Home, Car &amp; Business Coverage</t>
        </is>
      </c>
      <c r="K745" s="36">
        <f>LEN(J745)</f>
        <v/>
      </c>
      <c r="L745" s="25" t="inlineStr">
        <is>
          <t>How insurance works in Manitoba: manitoba public insurance (mpi) provides basic autopac, regulator (FIRB), local risks and licensed advisors. Get instant estimates…</t>
        </is>
      </c>
      <c r="M745" s="36">
        <f>LEN(L745)</f>
        <v/>
      </c>
      <c r="N745" s="25" t="inlineStr">
        <is>
          <t>Insurance in Manitoba</t>
        </is>
      </c>
      <c r="O745" s="36" t="n"/>
      <c r="P745" s="37" t="n"/>
      <c r="Q745" s="36" t="n"/>
      <c r="R745" s="36" t="inlineStr">
        <is>
          <t>insurance manitoba</t>
        </is>
      </c>
      <c r="S745" s="36">
        <f>COUNTIF('Page-Keyword Map'!$A$2:$A$675,B745)</f>
        <v/>
      </c>
      <c r="T745" s="37">
        <f>SUMIF('Page-Keyword Map'!$A$2:$A$675,B745,'Page-Keyword Map'!$H$2:$H$675)</f>
        <v/>
      </c>
      <c r="U745" s="36">
        <f>COUNTIFS('Page-Keyword Map'!$A$2:$A$675,B745,'Page-Keyword Map'!$E$2:$E$675,"Nationwide")</f>
        <v/>
      </c>
      <c r="V745" s="36">
        <f>COUNTIFS('Page-Keyword Map'!$A$2:$A$675,B745,'Page-Keyword Map'!$E$2:$E$675,"Provincial")</f>
        <v/>
      </c>
      <c r="W745" s="36">
        <f>COUNTIFS('Page-Keyword Map'!$A$2:$A$675,B745,'Page-Keyword Map'!$E$2:$E$675,"City")</f>
        <v/>
      </c>
      <c r="X745" s="36">
        <f>IF(O745="","",IF(ISNUMBER(SEARCH(O745,J745)),"Yes","No"))</f>
        <v/>
      </c>
      <c r="Y745" s="36" t="n">
        <v>0.6</v>
      </c>
      <c r="Z745" s="36" t="inlineStr">
        <is>
          <t>sitemap-places.xml</t>
        </is>
      </c>
      <c r="AA745" s="36" t="inlineStr">
        <is>
          <t>Live – indexable</t>
        </is>
      </c>
      <c r="AB745" s="38" t="n"/>
      <c r="AC745" s="38" t="n"/>
    </row>
    <row r="746" ht="23.85" customHeight="1" s="22">
      <c r="A746" s="36" t="inlineStr">
        <is>
          <t>P0745</t>
        </is>
      </c>
      <c r="B746" s="36" t="inlineStr">
        <is>
          <t>https://instasure.ca/insurance/manitoba/brandon/</t>
        </is>
      </c>
      <c r="C746" s="36" t="inlineStr">
        <is>
          <t>Place hub</t>
        </is>
      </c>
      <c r="D746" s="36" t="inlineStr">
        <is>
          <t>Multi-line (place hubs)</t>
        </is>
      </c>
      <c r="E746" s="36" t="n"/>
      <c r="F746" s="36" t="n"/>
      <c r="G746" s="36" t="inlineStr">
        <is>
          <t>Manitoba</t>
        </is>
      </c>
      <c r="H746" s="36" t="inlineStr">
        <is>
          <t>Brandon</t>
        </is>
      </c>
      <c r="I746" s="36" t="inlineStr">
        <is>
          <t>No</t>
        </is>
      </c>
      <c r="J746" s="25" t="inlineStr">
        <is>
          <t>Insurance in Brandon, MB: Compare Quotes &amp; Licensed Advisors</t>
        </is>
      </c>
      <c r="K746" s="36">
        <f>LEN(J746)</f>
        <v/>
      </c>
      <c r="L746" s="25" t="inlineStr">
        <is>
          <t>Insurance in Brandon: instant estimates for car, home, tenant, life and business coverage, local risk factors, and advisors licensed in Manitoba.</t>
        </is>
      </c>
      <c r="M746" s="36">
        <f>LEN(L746)</f>
        <v/>
      </c>
      <c r="N746" s="25" t="inlineStr">
        <is>
          <t>Insurance in Brandon, MB</t>
        </is>
      </c>
      <c r="O746" s="36" t="n"/>
      <c r="P746" s="37" t="n"/>
      <c r="Q746" s="36" t="n"/>
      <c r="R746" s="36" t="inlineStr">
        <is>
          <t>insurance brandon</t>
        </is>
      </c>
      <c r="S746" s="36">
        <f>COUNTIF('Page-Keyword Map'!$A$2:$A$675,B746)</f>
        <v/>
      </c>
      <c r="T746" s="37">
        <f>SUMIF('Page-Keyword Map'!$A$2:$A$675,B746,'Page-Keyword Map'!$H$2:$H$675)</f>
        <v/>
      </c>
      <c r="U746" s="36">
        <f>COUNTIFS('Page-Keyword Map'!$A$2:$A$675,B746,'Page-Keyword Map'!$E$2:$E$675,"Nationwide")</f>
        <v/>
      </c>
      <c r="V746" s="36">
        <f>COUNTIFS('Page-Keyword Map'!$A$2:$A$675,B746,'Page-Keyword Map'!$E$2:$E$675,"Provincial")</f>
        <v/>
      </c>
      <c r="W746" s="36">
        <f>COUNTIFS('Page-Keyword Map'!$A$2:$A$675,B746,'Page-Keyword Map'!$E$2:$E$675,"City")</f>
        <v/>
      </c>
      <c r="X746" s="36">
        <f>IF(O746="","",IF(ISNUMBER(SEARCH(O746,J746)),"Yes","No"))</f>
        <v/>
      </c>
      <c r="Y746" s="36" t="n">
        <v>0.5</v>
      </c>
      <c r="Z746" s="36" t="inlineStr">
        <is>
          <t>(not listed: noindex)</t>
        </is>
      </c>
      <c r="AA746" s="36" t="inlineStr">
        <is>
          <t>Live – noindex (enrich before indexing)</t>
        </is>
      </c>
      <c r="AB746" s="38" t="n"/>
      <c r="AC746" s="38" t="n"/>
    </row>
    <row r="747" ht="23.85" customHeight="1" s="22">
      <c r="A747" s="36" t="inlineStr">
        <is>
          <t>P0746</t>
        </is>
      </c>
      <c r="B747" s="36" t="inlineStr">
        <is>
          <t>https://instasure.ca/insurance/manitoba/winnipeg/</t>
        </is>
      </c>
      <c r="C747" s="36" t="inlineStr">
        <is>
          <t>Place hub</t>
        </is>
      </c>
      <c r="D747" s="36" t="inlineStr">
        <is>
          <t>Multi-line (place hubs)</t>
        </is>
      </c>
      <c r="E747" s="36" t="n"/>
      <c r="F747" s="36" t="n"/>
      <c r="G747" s="36" t="inlineStr">
        <is>
          <t>Manitoba</t>
        </is>
      </c>
      <c r="H747" s="36" t="inlineStr">
        <is>
          <t>Winnipeg</t>
        </is>
      </c>
      <c r="I747" s="36" t="inlineStr">
        <is>
          <t>Yes</t>
        </is>
      </c>
      <c r="J747" s="25" t="inlineStr">
        <is>
          <t>Insurance in Winnipeg, MB: Compare Quotes &amp; Licensed Advisors</t>
        </is>
      </c>
      <c r="K747" s="36">
        <f>LEN(J747)</f>
        <v/>
      </c>
      <c r="L747" s="25" t="inlineStr">
        <is>
          <t>Insurance in Winnipeg: instant estimates for car, home, tenant, life and business coverage, local risk factors, and advisors licensed in Manitoba.</t>
        </is>
      </c>
      <c r="M747" s="36">
        <f>LEN(L747)</f>
        <v/>
      </c>
      <c r="N747" s="25" t="inlineStr">
        <is>
          <t>Insurance in Winnipeg, MB</t>
        </is>
      </c>
      <c r="O747" s="36" t="inlineStr">
        <is>
          <t>insurance advisor winnipeg</t>
        </is>
      </c>
      <c r="P747" s="37" t="n">
        <v>240</v>
      </c>
      <c r="Q747" s="36" t="inlineStr">
        <is>
          <t>City</t>
        </is>
      </c>
      <c r="R747" s="36" t="n"/>
      <c r="S747" s="36">
        <f>COUNTIF('Page-Keyword Map'!$A$2:$A$675,B747)</f>
        <v/>
      </c>
      <c r="T747" s="37">
        <f>SUMIF('Page-Keyword Map'!$A$2:$A$675,B747,'Page-Keyword Map'!$H$2:$H$675)</f>
        <v/>
      </c>
      <c r="U747" s="36">
        <f>COUNTIFS('Page-Keyword Map'!$A$2:$A$675,B747,'Page-Keyword Map'!$E$2:$E$675,"Nationwide")</f>
        <v/>
      </c>
      <c r="V747" s="36">
        <f>COUNTIFS('Page-Keyword Map'!$A$2:$A$675,B747,'Page-Keyword Map'!$E$2:$E$675,"Provincial")</f>
        <v/>
      </c>
      <c r="W747" s="36">
        <f>COUNTIFS('Page-Keyword Map'!$A$2:$A$675,B747,'Page-Keyword Map'!$E$2:$E$675,"City")</f>
        <v/>
      </c>
      <c r="X747" s="36">
        <f>IF(O747="","",IF(ISNUMBER(SEARCH(O747,J747)),"Yes","No"))</f>
        <v/>
      </c>
      <c r="Y747" s="36" t="n">
        <v>0.5</v>
      </c>
      <c r="Z747" s="36" t="inlineStr">
        <is>
          <t>sitemap-places.xml</t>
        </is>
      </c>
      <c r="AA747" s="36" t="inlineStr">
        <is>
          <t>Live – indexable</t>
        </is>
      </c>
      <c r="AB747" s="38" t="n"/>
      <c r="AC747" s="38" t="n"/>
    </row>
    <row r="748" ht="23.85" customHeight="1" s="22">
      <c r="A748" s="36" t="inlineStr">
        <is>
          <t>P0747</t>
        </is>
      </c>
      <c r="B748" s="36" t="inlineStr">
        <is>
          <t>https://instasure.ca/insurance/new-brunswick/</t>
        </is>
      </c>
      <c r="C748" s="36" t="inlineStr">
        <is>
          <t>Place hub</t>
        </is>
      </c>
      <c r="D748" s="36" t="inlineStr">
        <is>
          <t>Multi-line (place hubs)</t>
        </is>
      </c>
      <c r="E748" s="36" t="n"/>
      <c r="F748" s="36" t="n"/>
      <c r="G748" s="36" t="inlineStr">
        <is>
          <t>New Brunswick</t>
        </is>
      </c>
      <c r="H748" s="36" t="n"/>
      <c r="I748" s="36" t="inlineStr">
        <is>
          <t>Yes</t>
        </is>
      </c>
      <c r="J748" s="25" t="inlineStr">
        <is>
          <t>Insurance in New Brunswick: Life, Home, Car &amp; Business Coverage</t>
        </is>
      </c>
      <c r="K748" s="36">
        <f>LEN(J748)</f>
        <v/>
      </c>
      <c r="L748" s="25" t="inlineStr">
        <is>
          <t>How insurance works in New Brunswick: private insurers, regulator (FCNB), local risks and licensed advisors. Get instant estimates for every type of coverage.</t>
        </is>
      </c>
      <c r="M748" s="36">
        <f>LEN(L748)</f>
        <v/>
      </c>
      <c r="N748" s="25" t="inlineStr">
        <is>
          <t>Insurance in New Brunswick</t>
        </is>
      </c>
      <c r="O748" s="36" t="n"/>
      <c r="P748" s="37" t="n"/>
      <c r="Q748" s="36" t="n"/>
      <c r="R748" s="36" t="inlineStr">
        <is>
          <t>insurance new brunswick</t>
        </is>
      </c>
      <c r="S748" s="36">
        <f>COUNTIF('Page-Keyword Map'!$A$2:$A$675,B748)</f>
        <v/>
      </c>
      <c r="T748" s="37">
        <f>SUMIF('Page-Keyword Map'!$A$2:$A$675,B748,'Page-Keyword Map'!$H$2:$H$675)</f>
        <v/>
      </c>
      <c r="U748" s="36">
        <f>COUNTIFS('Page-Keyword Map'!$A$2:$A$675,B748,'Page-Keyword Map'!$E$2:$E$675,"Nationwide")</f>
        <v/>
      </c>
      <c r="V748" s="36">
        <f>COUNTIFS('Page-Keyword Map'!$A$2:$A$675,B748,'Page-Keyword Map'!$E$2:$E$675,"Provincial")</f>
        <v/>
      </c>
      <c r="W748" s="36">
        <f>COUNTIFS('Page-Keyword Map'!$A$2:$A$675,B748,'Page-Keyword Map'!$E$2:$E$675,"City")</f>
        <v/>
      </c>
      <c r="X748" s="36">
        <f>IF(O748="","",IF(ISNUMBER(SEARCH(O748,J748)),"Yes","No"))</f>
        <v/>
      </c>
      <c r="Y748" s="36" t="n">
        <v>0.6</v>
      </c>
      <c r="Z748" s="36" t="inlineStr">
        <is>
          <t>sitemap-places.xml</t>
        </is>
      </c>
      <c r="AA748" s="36" t="inlineStr">
        <is>
          <t>Live – indexable</t>
        </is>
      </c>
      <c r="AB748" s="38" t="n"/>
      <c r="AC748" s="38" t="n"/>
    </row>
    <row r="749" ht="23.85" customHeight="1" s="22">
      <c r="A749" s="36" t="inlineStr">
        <is>
          <t>P0748</t>
        </is>
      </c>
      <c r="B749" s="36" t="inlineStr">
        <is>
          <t>https://instasure.ca/insurance/new-brunswick/fredericton/</t>
        </is>
      </c>
      <c r="C749" s="36" t="inlineStr">
        <is>
          <t>Place hub</t>
        </is>
      </c>
      <c r="D749" s="36" t="inlineStr">
        <is>
          <t>Multi-line (place hubs)</t>
        </is>
      </c>
      <c r="E749" s="36" t="n"/>
      <c r="F749" s="36" t="n"/>
      <c r="G749" s="36" t="inlineStr">
        <is>
          <t>New Brunswick</t>
        </is>
      </c>
      <c r="H749" s="36" t="inlineStr">
        <is>
          <t>Fredericton</t>
        </is>
      </c>
      <c r="I749" s="36" t="inlineStr">
        <is>
          <t>Yes</t>
        </is>
      </c>
      <c r="J749" s="25" t="inlineStr">
        <is>
          <t>Insurance in Fredericton, NB: Compare Quotes &amp; Licensed Advisors</t>
        </is>
      </c>
      <c r="K749" s="36">
        <f>LEN(J749)</f>
        <v/>
      </c>
      <c r="L749" s="25" t="inlineStr">
        <is>
          <t>Insurance in Fredericton: instant estimates for car, home, tenant, life and business coverage, local risk factors, and advisors licensed in New Brunswick.</t>
        </is>
      </c>
      <c r="M749" s="36">
        <f>LEN(L749)</f>
        <v/>
      </c>
      <c r="N749" s="25" t="inlineStr">
        <is>
          <t>Insurance in Fredericton, NB</t>
        </is>
      </c>
      <c r="O749" s="36" t="n"/>
      <c r="P749" s="37" t="n"/>
      <c r="Q749" s="36" t="n"/>
      <c r="R749" s="36" t="inlineStr">
        <is>
          <t>insurance fredericton</t>
        </is>
      </c>
      <c r="S749" s="36">
        <f>COUNTIF('Page-Keyword Map'!$A$2:$A$675,B749)</f>
        <v/>
      </c>
      <c r="T749" s="37">
        <f>SUMIF('Page-Keyword Map'!$A$2:$A$675,B749,'Page-Keyword Map'!$H$2:$H$675)</f>
        <v/>
      </c>
      <c r="U749" s="36">
        <f>COUNTIFS('Page-Keyword Map'!$A$2:$A$675,B749,'Page-Keyword Map'!$E$2:$E$675,"Nationwide")</f>
        <v/>
      </c>
      <c r="V749" s="36">
        <f>COUNTIFS('Page-Keyword Map'!$A$2:$A$675,B749,'Page-Keyword Map'!$E$2:$E$675,"Provincial")</f>
        <v/>
      </c>
      <c r="W749" s="36">
        <f>COUNTIFS('Page-Keyword Map'!$A$2:$A$675,B749,'Page-Keyword Map'!$E$2:$E$675,"City")</f>
        <v/>
      </c>
      <c r="X749" s="36">
        <f>IF(O749="","",IF(ISNUMBER(SEARCH(O749,J749)),"Yes","No"))</f>
        <v/>
      </c>
      <c r="Y749" s="36" t="n">
        <v>0.5</v>
      </c>
      <c r="Z749" s="36" t="inlineStr">
        <is>
          <t>sitemap-places.xml</t>
        </is>
      </c>
      <c r="AA749" s="36" t="inlineStr">
        <is>
          <t>Live – indexable</t>
        </is>
      </c>
      <c r="AB749" s="38" t="n"/>
      <c r="AC749" s="38" t="n"/>
    </row>
    <row r="750" ht="23.85" customHeight="1" s="22">
      <c r="A750" s="36" t="inlineStr">
        <is>
          <t>P0749</t>
        </is>
      </c>
      <c r="B750" s="36" t="inlineStr">
        <is>
          <t>https://instasure.ca/insurance/new-brunswick/moncton/</t>
        </is>
      </c>
      <c r="C750" s="36" t="inlineStr">
        <is>
          <t>Place hub</t>
        </is>
      </c>
      <c r="D750" s="36" t="inlineStr">
        <is>
          <t>Multi-line (place hubs)</t>
        </is>
      </c>
      <c r="E750" s="36" t="n"/>
      <c r="F750" s="36" t="n"/>
      <c r="G750" s="36" t="inlineStr">
        <is>
          <t>New Brunswick</t>
        </is>
      </c>
      <c r="H750" s="36" t="inlineStr">
        <is>
          <t>Moncton</t>
        </is>
      </c>
      <c r="I750" s="36" t="inlineStr">
        <is>
          <t>Yes</t>
        </is>
      </c>
      <c r="J750" s="25" t="inlineStr">
        <is>
          <t>Insurance in Moncton, NB: Compare Quotes &amp; Licensed Advisors</t>
        </is>
      </c>
      <c r="K750" s="36">
        <f>LEN(J750)</f>
        <v/>
      </c>
      <c r="L750" s="25" t="inlineStr">
        <is>
          <t>Insurance in Moncton: instant estimates for car, home, tenant, life and business coverage, local risk factors, and advisors licensed in New Brunswick.</t>
        </is>
      </c>
      <c r="M750" s="36">
        <f>LEN(L750)</f>
        <v/>
      </c>
      <c r="N750" s="25" t="inlineStr">
        <is>
          <t>Insurance in Moncton, NB</t>
        </is>
      </c>
      <c r="O750" s="36" t="n"/>
      <c r="P750" s="37" t="n"/>
      <c r="Q750" s="36" t="n"/>
      <c r="R750" s="36" t="inlineStr">
        <is>
          <t>insurance moncton</t>
        </is>
      </c>
      <c r="S750" s="36">
        <f>COUNTIF('Page-Keyword Map'!$A$2:$A$675,B750)</f>
        <v/>
      </c>
      <c r="T750" s="37">
        <f>SUMIF('Page-Keyword Map'!$A$2:$A$675,B750,'Page-Keyword Map'!$H$2:$H$675)</f>
        <v/>
      </c>
      <c r="U750" s="36">
        <f>COUNTIFS('Page-Keyword Map'!$A$2:$A$675,B750,'Page-Keyword Map'!$E$2:$E$675,"Nationwide")</f>
        <v/>
      </c>
      <c r="V750" s="36">
        <f>COUNTIFS('Page-Keyword Map'!$A$2:$A$675,B750,'Page-Keyword Map'!$E$2:$E$675,"Provincial")</f>
        <v/>
      </c>
      <c r="W750" s="36">
        <f>COUNTIFS('Page-Keyword Map'!$A$2:$A$675,B750,'Page-Keyword Map'!$E$2:$E$675,"City")</f>
        <v/>
      </c>
      <c r="X750" s="36">
        <f>IF(O750="","",IF(ISNUMBER(SEARCH(O750,J750)),"Yes","No"))</f>
        <v/>
      </c>
      <c r="Y750" s="36" t="n">
        <v>0.5</v>
      </c>
      <c r="Z750" s="36" t="inlineStr">
        <is>
          <t>sitemap-places.xml</t>
        </is>
      </c>
      <c r="AA750" s="36" t="inlineStr">
        <is>
          <t>Live – indexable</t>
        </is>
      </c>
      <c r="AB750" s="38" t="n"/>
      <c r="AC750" s="38" t="n"/>
    </row>
    <row r="751" ht="23.85" customHeight="1" s="22">
      <c r="A751" s="36" t="inlineStr">
        <is>
          <t>P0750</t>
        </is>
      </c>
      <c r="B751" s="36" t="inlineStr">
        <is>
          <t>https://instasure.ca/insurance/new-brunswick/saint-john/</t>
        </is>
      </c>
      <c r="C751" s="36" t="inlineStr">
        <is>
          <t>Place hub</t>
        </is>
      </c>
      <c r="D751" s="36" t="inlineStr">
        <is>
          <t>Multi-line (place hubs)</t>
        </is>
      </c>
      <c r="E751" s="36" t="n"/>
      <c r="F751" s="36" t="n"/>
      <c r="G751" s="36" t="inlineStr">
        <is>
          <t>New Brunswick</t>
        </is>
      </c>
      <c r="H751" s="36" t="inlineStr">
        <is>
          <t>Saint John</t>
        </is>
      </c>
      <c r="I751" s="36" t="inlineStr">
        <is>
          <t>Yes</t>
        </is>
      </c>
      <c r="J751" s="25" t="inlineStr">
        <is>
          <t>Insurance in Saint John, NB: Compare Quotes &amp; Licensed Advisors</t>
        </is>
      </c>
      <c r="K751" s="36">
        <f>LEN(J751)</f>
        <v/>
      </c>
      <c r="L751" s="25" t="inlineStr">
        <is>
          <t>Insurance in Saint John: instant estimates for car, home, tenant, life and business coverage, local risk factors, and advisors licensed in New Brunswick.</t>
        </is>
      </c>
      <c r="M751" s="36">
        <f>LEN(L751)</f>
        <v/>
      </c>
      <c r="N751" s="25" t="inlineStr">
        <is>
          <t>Insurance in Saint John, NB</t>
        </is>
      </c>
      <c r="O751" s="36" t="n"/>
      <c r="P751" s="37" t="n"/>
      <c r="Q751" s="36" t="n"/>
      <c r="R751" s="36" t="inlineStr">
        <is>
          <t>insurance saint john</t>
        </is>
      </c>
      <c r="S751" s="36">
        <f>COUNTIF('Page-Keyword Map'!$A$2:$A$675,B751)</f>
        <v/>
      </c>
      <c r="T751" s="37">
        <f>SUMIF('Page-Keyword Map'!$A$2:$A$675,B751,'Page-Keyword Map'!$H$2:$H$675)</f>
        <v/>
      </c>
      <c r="U751" s="36">
        <f>COUNTIFS('Page-Keyword Map'!$A$2:$A$675,B751,'Page-Keyword Map'!$E$2:$E$675,"Nationwide")</f>
        <v/>
      </c>
      <c r="V751" s="36">
        <f>COUNTIFS('Page-Keyword Map'!$A$2:$A$675,B751,'Page-Keyword Map'!$E$2:$E$675,"Provincial")</f>
        <v/>
      </c>
      <c r="W751" s="36">
        <f>COUNTIFS('Page-Keyword Map'!$A$2:$A$675,B751,'Page-Keyword Map'!$E$2:$E$675,"City")</f>
        <v/>
      </c>
      <c r="X751" s="36">
        <f>IF(O751="","",IF(ISNUMBER(SEARCH(O751,J751)),"Yes","No"))</f>
        <v/>
      </c>
      <c r="Y751" s="36" t="n">
        <v>0.5</v>
      </c>
      <c r="Z751" s="36" t="inlineStr">
        <is>
          <t>sitemap-places.xml</t>
        </is>
      </c>
      <c r="AA751" s="36" t="inlineStr">
        <is>
          <t>Live – indexable</t>
        </is>
      </c>
      <c r="AB751" s="38" t="n"/>
      <c r="AC751" s="38" t="n"/>
    </row>
    <row r="752" ht="23.85" customHeight="1" s="22">
      <c r="A752" s="36" t="inlineStr">
        <is>
          <t>P0751</t>
        </is>
      </c>
      <c r="B752" s="36" t="inlineStr">
        <is>
          <t>https://instasure.ca/insurance/newfoundland-and-labrador/</t>
        </is>
      </c>
      <c r="C752" s="36" t="inlineStr">
        <is>
          <t>Place hub</t>
        </is>
      </c>
      <c r="D752" s="36" t="inlineStr">
        <is>
          <t>Multi-line (place hubs)</t>
        </is>
      </c>
      <c r="E752" s="36" t="n"/>
      <c r="F752" s="36" t="n"/>
      <c r="G752" s="36" t="inlineStr">
        <is>
          <t>Newfoundland and Labrador</t>
        </is>
      </c>
      <c r="H752" s="36" t="n"/>
      <c r="I752" s="36" t="inlineStr">
        <is>
          <t>Yes</t>
        </is>
      </c>
      <c r="J752" s="25" t="inlineStr">
        <is>
          <t>Insurance in Newfoundland and Labrador: Life, Home, Car &amp; Business Coverage</t>
        </is>
      </c>
      <c r="K752" s="36">
        <f>LEN(J752)</f>
        <v/>
      </c>
      <c r="L752" s="25" t="inlineStr">
        <is>
          <t>How insurance works in Newfoundland and Labrador: private insurers, regulator (Service NL), local risks and licensed advisors. Get instant estimates for every type…</t>
        </is>
      </c>
      <c r="M752" s="36">
        <f>LEN(L752)</f>
        <v/>
      </c>
      <c r="N752" s="25" t="inlineStr">
        <is>
          <t>Insurance in Newfoundland and Labrador</t>
        </is>
      </c>
      <c r="O752" s="36" t="n"/>
      <c r="P752" s="37" t="n"/>
      <c r="Q752" s="36" t="n"/>
      <c r="R752" s="36" t="inlineStr">
        <is>
          <t>insurance newfoundland and labrador</t>
        </is>
      </c>
      <c r="S752" s="36">
        <f>COUNTIF('Page-Keyword Map'!$A$2:$A$675,B752)</f>
        <v/>
      </c>
      <c r="T752" s="37">
        <f>SUMIF('Page-Keyword Map'!$A$2:$A$675,B752,'Page-Keyword Map'!$H$2:$H$675)</f>
        <v/>
      </c>
      <c r="U752" s="36">
        <f>COUNTIFS('Page-Keyword Map'!$A$2:$A$675,B752,'Page-Keyword Map'!$E$2:$E$675,"Nationwide")</f>
        <v/>
      </c>
      <c r="V752" s="36">
        <f>COUNTIFS('Page-Keyword Map'!$A$2:$A$675,B752,'Page-Keyword Map'!$E$2:$E$675,"Provincial")</f>
        <v/>
      </c>
      <c r="W752" s="36">
        <f>COUNTIFS('Page-Keyword Map'!$A$2:$A$675,B752,'Page-Keyword Map'!$E$2:$E$675,"City")</f>
        <v/>
      </c>
      <c r="X752" s="36">
        <f>IF(O752="","",IF(ISNUMBER(SEARCH(O752,J752)),"Yes","No"))</f>
        <v/>
      </c>
      <c r="Y752" s="36" t="n">
        <v>0.6</v>
      </c>
      <c r="Z752" s="36" t="inlineStr">
        <is>
          <t>sitemap-places.xml</t>
        </is>
      </c>
      <c r="AA752" s="36" t="inlineStr">
        <is>
          <t>Live – indexable</t>
        </is>
      </c>
      <c r="AB752" s="38" t="n"/>
      <c r="AC752" s="38" t="n"/>
    </row>
    <row r="753" ht="23.85" customHeight="1" s="22">
      <c r="A753" s="36" t="inlineStr">
        <is>
          <t>P0752</t>
        </is>
      </c>
      <c r="B753" s="36" t="inlineStr">
        <is>
          <t>https://instasure.ca/insurance/newfoundland-and-labrador/st-johns/</t>
        </is>
      </c>
      <c r="C753" s="36" t="inlineStr">
        <is>
          <t>Place hub</t>
        </is>
      </c>
      <c r="D753" s="36" t="inlineStr">
        <is>
          <t>Multi-line (place hubs)</t>
        </is>
      </c>
      <c r="E753" s="36" t="n"/>
      <c r="F753" s="36" t="n"/>
      <c r="G753" s="36" t="inlineStr">
        <is>
          <t>Newfoundland and Labrador</t>
        </is>
      </c>
      <c r="H753" s="36" t="inlineStr">
        <is>
          <t>St. John’s</t>
        </is>
      </c>
      <c r="I753" s="36" t="inlineStr">
        <is>
          <t>Yes</t>
        </is>
      </c>
      <c r="J753" s="25" t="inlineStr">
        <is>
          <t>Insurance in St. John’s, NL: Compare Quotes &amp; Licensed Advisors</t>
        </is>
      </c>
      <c r="K753" s="36">
        <f>LEN(J753)</f>
        <v/>
      </c>
      <c r="L753" s="25" t="inlineStr">
        <is>
          <t>Insurance in St. John’s: instant estimates for car, home, tenant, life and business coverage, local risk factors, and advisors licensed in Newfoundland and Labrador.</t>
        </is>
      </c>
      <c r="M753" s="36">
        <f>LEN(L753)</f>
        <v/>
      </c>
      <c r="N753" s="25" t="inlineStr">
        <is>
          <t>Insurance in St. John’s, NL</t>
        </is>
      </c>
      <c r="O753" s="36" t="inlineStr">
        <is>
          <t>insurance advisor st johns</t>
        </is>
      </c>
      <c r="P753" s="37" t="n">
        <v>52</v>
      </c>
      <c r="Q753" s="36" t="inlineStr">
        <is>
          <t>City</t>
        </is>
      </c>
      <c r="R753" s="36" t="n"/>
      <c r="S753" s="36">
        <f>COUNTIF('Page-Keyword Map'!$A$2:$A$675,B753)</f>
        <v/>
      </c>
      <c r="T753" s="37">
        <f>SUMIF('Page-Keyword Map'!$A$2:$A$675,B753,'Page-Keyword Map'!$H$2:$H$675)</f>
        <v/>
      </c>
      <c r="U753" s="36">
        <f>COUNTIFS('Page-Keyword Map'!$A$2:$A$675,B753,'Page-Keyword Map'!$E$2:$E$675,"Nationwide")</f>
        <v/>
      </c>
      <c r="V753" s="36">
        <f>COUNTIFS('Page-Keyword Map'!$A$2:$A$675,B753,'Page-Keyword Map'!$E$2:$E$675,"Provincial")</f>
        <v/>
      </c>
      <c r="W753" s="36">
        <f>COUNTIFS('Page-Keyword Map'!$A$2:$A$675,B753,'Page-Keyword Map'!$E$2:$E$675,"City")</f>
        <v/>
      </c>
      <c r="X753" s="36">
        <f>IF(O753="","",IF(ISNUMBER(SEARCH(O753,J753)),"Yes","No"))</f>
        <v/>
      </c>
      <c r="Y753" s="36" t="n">
        <v>0.5</v>
      </c>
      <c r="Z753" s="36" t="inlineStr">
        <is>
          <t>sitemap-places.xml</t>
        </is>
      </c>
      <c r="AA753" s="36" t="inlineStr">
        <is>
          <t>Live – indexable</t>
        </is>
      </c>
      <c r="AB753" s="38" t="n"/>
      <c r="AC753" s="38" t="n"/>
    </row>
    <row r="754" ht="23.85" customHeight="1" s="22">
      <c r="A754" s="36" t="inlineStr">
        <is>
          <t>P0753</t>
        </is>
      </c>
      <c r="B754" s="36" t="inlineStr">
        <is>
          <t>https://instasure.ca/insurance/northwest-territories/</t>
        </is>
      </c>
      <c r="C754" s="36" t="inlineStr">
        <is>
          <t>Place hub</t>
        </is>
      </c>
      <c r="D754" s="36" t="inlineStr">
        <is>
          <t>Multi-line (place hubs)</t>
        </is>
      </c>
      <c r="E754" s="36" t="n"/>
      <c r="F754" s="36" t="n"/>
      <c r="G754" s="36" t="inlineStr">
        <is>
          <t>Northwest Territories</t>
        </is>
      </c>
      <c r="H754" s="36" t="n"/>
      <c r="I754" s="36" t="inlineStr">
        <is>
          <t>Yes</t>
        </is>
      </c>
      <c r="J754" s="25" t="inlineStr">
        <is>
          <t>Insurance in Northwest Territories: Life, Home, Car &amp; Business Coverage</t>
        </is>
      </c>
      <c r="K754" s="36">
        <f>LEN(J754)</f>
        <v/>
      </c>
      <c r="L754" s="25" t="inlineStr">
        <is>
          <t>How insurance works in Northwest Territories: private insurers, regulator (NWT Superintendent), local risks and licensed advisors. Get instant estimates for every…</t>
        </is>
      </c>
      <c r="M754" s="36">
        <f>LEN(L754)</f>
        <v/>
      </c>
      <c r="N754" s="25" t="inlineStr">
        <is>
          <t>Insurance in Northwest Territories</t>
        </is>
      </c>
      <c r="O754" s="36" t="n"/>
      <c r="P754" s="37" t="n"/>
      <c r="Q754" s="36" t="n"/>
      <c r="R754" s="36" t="inlineStr">
        <is>
          <t>insurance northwest territories</t>
        </is>
      </c>
      <c r="S754" s="36">
        <f>COUNTIF('Page-Keyword Map'!$A$2:$A$675,B754)</f>
        <v/>
      </c>
      <c r="T754" s="37">
        <f>SUMIF('Page-Keyword Map'!$A$2:$A$675,B754,'Page-Keyword Map'!$H$2:$H$675)</f>
        <v/>
      </c>
      <c r="U754" s="36">
        <f>COUNTIFS('Page-Keyword Map'!$A$2:$A$675,B754,'Page-Keyword Map'!$E$2:$E$675,"Nationwide")</f>
        <v/>
      </c>
      <c r="V754" s="36">
        <f>COUNTIFS('Page-Keyword Map'!$A$2:$A$675,B754,'Page-Keyword Map'!$E$2:$E$675,"Provincial")</f>
        <v/>
      </c>
      <c r="W754" s="36">
        <f>COUNTIFS('Page-Keyword Map'!$A$2:$A$675,B754,'Page-Keyword Map'!$E$2:$E$675,"City")</f>
        <v/>
      </c>
      <c r="X754" s="36">
        <f>IF(O754="","",IF(ISNUMBER(SEARCH(O754,J754)),"Yes","No"))</f>
        <v/>
      </c>
      <c r="Y754" s="36" t="n">
        <v>0.6</v>
      </c>
      <c r="Z754" s="36" t="inlineStr">
        <is>
          <t>sitemap-places.xml</t>
        </is>
      </c>
      <c r="AA754" s="36" t="inlineStr">
        <is>
          <t>Live – indexable</t>
        </is>
      </c>
      <c r="AB754" s="38" t="n"/>
      <c r="AC754" s="38" t="n"/>
    </row>
    <row r="755" ht="23.85" customHeight="1" s="22">
      <c r="A755" s="36" t="inlineStr">
        <is>
          <t>P0754</t>
        </is>
      </c>
      <c r="B755" s="36" t="inlineStr">
        <is>
          <t>https://instasure.ca/insurance/northwest-territories/yellowknife/</t>
        </is>
      </c>
      <c r="C755" s="36" t="inlineStr">
        <is>
          <t>Place hub</t>
        </is>
      </c>
      <c r="D755" s="36" t="inlineStr">
        <is>
          <t>Multi-line (place hubs)</t>
        </is>
      </c>
      <c r="E755" s="36" t="n"/>
      <c r="F755" s="36" t="n"/>
      <c r="G755" s="36" t="inlineStr">
        <is>
          <t>Northwest Territories</t>
        </is>
      </c>
      <c r="H755" s="36" t="inlineStr">
        <is>
          <t>Yellowknife</t>
        </is>
      </c>
      <c r="I755" s="36" t="inlineStr">
        <is>
          <t>No</t>
        </is>
      </c>
      <c r="J755" s="25" t="inlineStr">
        <is>
          <t>Insurance in Yellowknife, NT: Compare Quotes &amp; Licensed Advisors</t>
        </is>
      </c>
      <c r="K755" s="36">
        <f>LEN(J755)</f>
        <v/>
      </c>
      <c r="L755" s="25" t="inlineStr">
        <is>
          <t>Insurance in Yellowknife: instant estimates for car, home, tenant, life and business coverage, local risk factors, and advisors licensed in Northwest Territories.</t>
        </is>
      </c>
      <c r="M755" s="36">
        <f>LEN(L755)</f>
        <v/>
      </c>
      <c r="N755" s="25" t="inlineStr">
        <is>
          <t>Insurance in Yellowknife, NT</t>
        </is>
      </c>
      <c r="O755" s="36" t="n"/>
      <c r="P755" s="37" t="n"/>
      <c r="Q755" s="36" t="n"/>
      <c r="R755" s="36" t="inlineStr">
        <is>
          <t>insurance yellowknife</t>
        </is>
      </c>
      <c r="S755" s="36">
        <f>COUNTIF('Page-Keyword Map'!$A$2:$A$675,B755)</f>
        <v/>
      </c>
      <c r="T755" s="37">
        <f>SUMIF('Page-Keyword Map'!$A$2:$A$675,B755,'Page-Keyword Map'!$H$2:$H$675)</f>
        <v/>
      </c>
      <c r="U755" s="36">
        <f>COUNTIFS('Page-Keyword Map'!$A$2:$A$675,B755,'Page-Keyword Map'!$E$2:$E$675,"Nationwide")</f>
        <v/>
      </c>
      <c r="V755" s="36">
        <f>COUNTIFS('Page-Keyword Map'!$A$2:$A$675,B755,'Page-Keyword Map'!$E$2:$E$675,"Provincial")</f>
        <v/>
      </c>
      <c r="W755" s="36">
        <f>COUNTIFS('Page-Keyword Map'!$A$2:$A$675,B755,'Page-Keyword Map'!$E$2:$E$675,"City")</f>
        <v/>
      </c>
      <c r="X755" s="36">
        <f>IF(O755="","",IF(ISNUMBER(SEARCH(O755,J755)),"Yes","No"))</f>
        <v/>
      </c>
      <c r="Y755" s="36" t="n">
        <v>0.5</v>
      </c>
      <c r="Z755" s="36" t="inlineStr">
        <is>
          <t>(not listed: noindex)</t>
        </is>
      </c>
      <c r="AA755" s="36" t="inlineStr">
        <is>
          <t>Live – noindex (enrich before indexing)</t>
        </is>
      </c>
      <c r="AB755" s="38" t="n"/>
      <c r="AC755" s="38" t="n"/>
    </row>
    <row r="756" ht="23.85" customHeight="1" s="22">
      <c r="A756" s="36" t="inlineStr">
        <is>
          <t>P0755</t>
        </is>
      </c>
      <c r="B756" s="36" t="inlineStr">
        <is>
          <t>https://instasure.ca/insurance/nova-scotia/</t>
        </is>
      </c>
      <c r="C756" s="36" t="inlineStr">
        <is>
          <t>Place hub</t>
        </is>
      </c>
      <c r="D756" s="36" t="inlineStr">
        <is>
          <t>Multi-line (place hubs)</t>
        </is>
      </c>
      <c r="E756" s="36" t="n"/>
      <c r="F756" s="36" t="n"/>
      <c r="G756" s="36" t="inlineStr">
        <is>
          <t>Nova Scotia</t>
        </is>
      </c>
      <c r="H756" s="36" t="n"/>
      <c r="I756" s="36" t="inlineStr">
        <is>
          <t>Yes</t>
        </is>
      </c>
      <c r="J756" s="25" t="inlineStr">
        <is>
          <t>Insurance in Nova Scotia: Life, Home, Car &amp; Business Coverage</t>
        </is>
      </c>
      <c r="K756" s="36">
        <f>LEN(J756)</f>
        <v/>
      </c>
      <c r="L756" s="25" t="inlineStr">
        <is>
          <t>How insurance works in Nova Scotia: private insurers, regulator (NS Superintendent of Insurance), local risks and licensed advisors. Get instant estimates for…</t>
        </is>
      </c>
      <c r="M756" s="36">
        <f>LEN(L756)</f>
        <v/>
      </c>
      <c r="N756" s="25" t="inlineStr">
        <is>
          <t>Insurance in Nova Scotia</t>
        </is>
      </c>
      <c r="O756" s="36" t="n"/>
      <c r="P756" s="37" t="n"/>
      <c r="Q756" s="36" t="n"/>
      <c r="R756" s="36" t="inlineStr">
        <is>
          <t>insurance nova scotia</t>
        </is>
      </c>
      <c r="S756" s="36">
        <f>COUNTIF('Page-Keyword Map'!$A$2:$A$675,B756)</f>
        <v/>
      </c>
      <c r="T756" s="37">
        <f>SUMIF('Page-Keyword Map'!$A$2:$A$675,B756,'Page-Keyword Map'!$H$2:$H$675)</f>
        <v/>
      </c>
      <c r="U756" s="36">
        <f>COUNTIFS('Page-Keyword Map'!$A$2:$A$675,B756,'Page-Keyword Map'!$E$2:$E$675,"Nationwide")</f>
        <v/>
      </c>
      <c r="V756" s="36">
        <f>COUNTIFS('Page-Keyword Map'!$A$2:$A$675,B756,'Page-Keyword Map'!$E$2:$E$675,"Provincial")</f>
        <v/>
      </c>
      <c r="W756" s="36">
        <f>COUNTIFS('Page-Keyword Map'!$A$2:$A$675,B756,'Page-Keyword Map'!$E$2:$E$675,"City")</f>
        <v/>
      </c>
      <c r="X756" s="36">
        <f>IF(O756="","",IF(ISNUMBER(SEARCH(O756,J756)),"Yes","No"))</f>
        <v/>
      </c>
      <c r="Y756" s="36" t="n">
        <v>0.6</v>
      </c>
      <c r="Z756" s="36" t="inlineStr">
        <is>
          <t>sitemap-places.xml</t>
        </is>
      </c>
      <c r="AA756" s="36" t="inlineStr">
        <is>
          <t>Live – indexable</t>
        </is>
      </c>
      <c r="AB756" s="38" t="n"/>
      <c r="AC756" s="38" t="n"/>
    </row>
    <row r="757" ht="23.85" customHeight="1" s="22">
      <c r="A757" s="36" t="inlineStr">
        <is>
          <t>P0756</t>
        </is>
      </c>
      <c r="B757" s="36" t="inlineStr">
        <is>
          <t>https://instasure.ca/insurance/nova-scotia/halifax/</t>
        </is>
      </c>
      <c r="C757" s="36" t="inlineStr">
        <is>
          <t>Place hub</t>
        </is>
      </c>
      <c r="D757" s="36" t="inlineStr">
        <is>
          <t>Multi-line (place hubs)</t>
        </is>
      </c>
      <c r="E757" s="36" t="n"/>
      <c r="F757" s="36" t="n"/>
      <c r="G757" s="36" t="inlineStr">
        <is>
          <t>Nova Scotia</t>
        </is>
      </c>
      <c r="H757" s="36" t="inlineStr">
        <is>
          <t>Halifax</t>
        </is>
      </c>
      <c r="I757" s="36" t="inlineStr">
        <is>
          <t>Yes</t>
        </is>
      </c>
      <c r="J757" s="25" t="inlineStr">
        <is>
          <t>Insurance in Halifax, NS: Compare Quotes &amp; Licensed Advisors</t>
        </is>
      </c>
      <c r="K757" s="36">
        <f>LEN(J757)</f>
        <v/>
      </c>
      <c r="L757" s="25" t="inlineStr">
        <is>
          <t>Insurance in Halifax: instant estimates for car, home, tenant, life and business coverage, local risk factors, and advisors licensed in Nova Scotia.</t>
        </is>
      </c>
      <c r="M757" s="36">
        <f>LEN(L757)</f>
        <v/>
      </c>
      <c r="N757" s="25" t="inlineStr">
        <is>
          <t>Insurance in Halifax, NS</t>
        </is>
      </c>
      <c r="O757" s="36" t="inlineStr">
        <is>
          <t>insurance advisor halifax</t>
        </is>
      </c>
      <c r="P757" s="37" t="n">
        <v>160</v>
      </c>
      <c r="Q757" s="36" t="inlineStr">
        <is>
          <t>City</t>
        </is>
      </c>
      <c r="R757" s="36" t="n"/>
      <c r="S757" s="36">
        <f>COUNTIF('Page-Keyword Map'!$A$2:$A$675,B757)</f>
        <v/>
      </c>
      <c r="T757" s="37">
        <f>SUMIF('Page-Keyword Map'!$A$2:$A$675,B757,'Page-Keyword Map'!$H$2:$H$675)</f>
        <v/>
      </c>
      <c r="U757" s="36">
        <f>COUNTIFS('Page-Keyword Map'!$A$2:$A$675,B757,'Page-Keyword Map'!$E$2:$E$675,"Nationwide")</f>
        <v/>
      </c>
      <c r="V757" s="36">
        <f>COUNTIFS('Page-Keyword Map'!$A$2:$A$675,B757,'Page-Keyword Map'!$E$2:$E$675,"Provincial")</f>
        <v/>
      </c>
      <c r="W757" s="36">
        <f>COUNTIFS('Page-Keyword Map'!$A$2:$A$675,B757,'Page-Keyword Map'!$E$2:$E$675,"City")</f>
        <v/>
      </c>
      <c r="X757" s="36">
        <f>IF(O757="","",IF(ISNUMBER(SEARCH(O757,J757)),"Yes","No"))</f>
        <v/>
      </c>
      <c r="Y757" s="36" t="n">
        <v>0.5</v>
      </c>
      <c r="Z757" s="36" t="inlineStr">
        <is>
          <t>sitemap-places.xml</t>
        </is>
      </c>
      <c r="AA757" s="36" t="inlineStr">
        <is>
          <t>Live – indexable</t>
        </is>
      </c>
      <c r="AB757" s="38" t="n"/>
      <c r="AC757" s="38" t="n"/>
    </row>
    <row r="758" ht="23.85" customHeight="1" s="22">
      <c r="A758" s="36" t="inlineStr">
        <is>
          <t>P0757</t>
        </is>
      </c>
      <c r="B758" s="36" t="inlineStr">
        <is>
          <t>https://instasure.ca/insurance/nunavut/</t>
        </is>
      </c>
      <c r="C758" s="36" t="inlineStr">
        <is>
          <t>Place hub</t>
        </is>
      </c>
      <c r="D758" s="36" t="inlineStr">
        <is>
          <t>Multi-line (place hubs)</t>
        </is>
      </c>
      <c r="E758" s="36" t="n"/>
      <c r="F758" s="36" t="n"/>
      <c r="G758" s="36" t="inlineStr">
        <is>
          <t>Nunavut</t>
        </is>
      </c>
      <c r="H758" s="36" t="n"/>
      <c r="I758" s="36" t="inlineStr">
        <is>
          <t>Yes</t>
        </is>
      </c>
      <c r="J758" s="25" t="inlineStr">
        <is>
          <t>Insurance in Nunavut: Life, Home, Car &amp; Business Coverage</t>
        </is>
      </c>
      <c r="K758" s="36">
        <f>LEN(J758)</f>
        <v/>
      </c>
      <c r="L758" s="25" t="inlineStr">
        <is>
          <t>How insurance works in Nunavut: private insurers, regulator (Nunavut Superintendent), local risks and licensed advisors. Get instant estimates for every type of…</t>
        </is>
      </c>
      <c r="M758" s="36">
        <f>LEN(L758)</f>
        <v/>
      </c>
      <c r="N758" s="25" t="inlineStr">
        <is>
          <t>Insurance in Nunavut</t>
        </is>
      </c>
      <c r="O758" s="36" t="n"/>
      <c r="P758" s="37" t="n"/>
      <c r="Q758" s="36" t="n"/>
      <c r="R758" s="36" t="inlineStr">
        <is>
          <t>insurance nunavut</t>
        </is>
      </c>
      <c r="S758" s="36">
        <f>COUNTIF('Page-Keyword Map'!$A$2:$A$675,B758)</f>
        <v/>
      </c>
      <c r="T758" s="37">
        <f>SUMIF('Page-Keyword Map'!$A$2:$A$675,B758,'Page-Keyword Map'!$H$2:$H$675)</f>
        <v/>
      </c>
      <c r="U758" s="36">
        <f>COUNTIFS('Page-Keyword Map'!$A$2:$A$675,B758,'Page-Keyword Map'!$E$2:$E$675,"Nationwide")</f>
        <v/>
      </c>
      <c r="V758" s="36">
        <f>COUNTIFS('Page-Keyword Map'!$A$2:$A$675,B758,'Page-Keyword Map'!$E$2:$E$675,"Provincial")</f>
        <v/>
      </c>
      <c r="W758" s="36">
        <f>COUNTIFS('Page-Keyword Map'!$A$2:$A$675,B758,'Page-Keyword Map'!$E$2:$E$675,"City")</f>
        <v/>
      </c>
      <c r="X758" s="36">
        <f>IF(O758="","",IF(ISNUMBER(SEARCH(O758,J758)),"Yes","No"))</f>
        <v/>
      </c>
      <c r="Y758" s="36" t="n">
        <v>0.6</v>
      </c>
      <c r="Z758" s="36" t="inlineStr">
        <is>
          <t>sitemap-places.xml</t>
        </is>
      </c>
      <c r="AA758" s="36" t="inlineStr">
        <is>
          <t>Live – indexable</t>
        </is>
      </c>
      <c r="AB758" s="38" t="n"/>
      <c r="AC758" s="38" t="n"/>
    </row>
    <row r="759" ht="23.85" customHeight="1" s="22">
      <c r="A759" s="36" t="inlineStr">
        <is>
          <t>P0758</t>
        </is>
      </c>
      <c r="B759" s="36" t="inlineStr">
        <is>
          <t>https://instasure.ca/insurance/ontario/</t>
        </is>
      </c>
      <c r="C759" s="36" t="inlineStr">
        <is>
          <t>Place hub</t>
        </is>
      </c>
      <c r="D759" s="36" t="inlineStr">
        <is>
          <t>Multi-line (place hubs)</t>
        </is>
      </c>
      <c r="E759" s="36" t="n"/>
      <c r="F759" s="36" t="n"/>
      <c r="G759" s="36" t="inlineStr">
        <is>
          <t>Ontario</t>
        </is>
      </c>
      <c r="H759" s="36" t="n"/>
      <c r="I759" s="36" t="inlineStr">
        <is>
          <t>Yes</t>
        </is>
      </c>
      <c r="J759" s="25" t="inlineStr">
        <is>
          <t>Insurance in Ontario: Life, Home, Car &amp; Business Coverage</t>
        </is>
      </c>
      <c r="K759" s="36">
        <f>LEN(J759)</f>
        <v/>
      </c>
      <c r="L759" s="25" t="inlineStr">
        <is>
          <t>How insurance works in Ontario: private insurers compete on price, regulator (FSRA), local risks and licensed advisors. Get instant estimates for every type of…</t>
        </is>
      </c>
      <c r="M759" s="36">
        <f>LEN(L759)</f>
        <v/>
      </c>
      <c r="N759" s="25" t="inlineStr">
        <is>
          <t>Insurance in Ontario</t>
        </is>
      </c>
      <c r="O759" s="36" t="n"/>
      <c r="P759" s="37" t="n"/>
      <c r="Q759" s="36" t="n"/>
      <c r="R759" s="36" t="inlineStr">
        <is>
          <t>insurance ontario</t>
        </is>
      </c>
      <c r="S759" s="36">
        <f>COUNTIF('Page-Keyword Map'!$A$2:$A$675,B759)</f>
        <v/>
      </c>
      <c r="T759" s="37">
        <f>SUMIF('Page-Keyword Map'!$A$2:$A$675,B759,'Page-Keyword Map'!$H$2:$H$675)</f>
        <v/>
      </c>
      <c r="U759" s="36">
        <f>COUNTIFS('Page-Keyword Map'!$A$2:$A$675,B759,'Page-Keyword Map'!$E$2:$E$675,"Nationwide")</f>
        <v/>
      </c>
      <c r="V759" s="36">
        <f>COUNTIFS('Page-Keyword Map'!$A$2:$A$675,B759,'Page-Keyword Map'!$E$2:$E$675,"Provincial")</f>
        <v/>
      </c>
      <c r="W759" s="36">
        <f>COUNTIFS('Page-Keyword Map'!$A$2:$A$675,B759,'Page-Keyword Map'!$E$2:$E$675,"City")</f>
        <v/>
      </c>
      <c r="X759" s="36">
        <f>IF(O759="","",IF(ISNUMBER(SEARCH(O759,J759)),"Yes","No"))</f>
        <v/>
      </c>
      <c r="Y759" s="36" t="n">
        <v>0.6</v>
      </c>
      <c r="Z759" s="36" t="inlineStr">
        <is>
          <t>sitemap-places.xml</t>
        </is>
      </c>
      <c r="AA759" s="36" t="inlineStr">
        <is>
          <t>Live – indexable</t>
        </is>
      </c>
      <c r="AB759" s="38" t="n"/>
      <c r="AC759" s="38" t="n"/>
    </row>
    <row r="760" ht="23.85" customHeight="1" s="22">
      <c r="A760" s="36" t="inlineStr">
        <is>
          <t>P0759</t>
        </is>
      </c>
      <c r="B760" s="36" t="inlineStr">
        <is>
          <t>https://instasure.ca/insurance/ontario/ajax/</t>
        </is>
      </c>
      <c r="C760" s="36" t="inlineStr">
        <is>
          <t>Place hub</t>
        </is>
      </c>
      <c r="D760" s="36" t="inlineStr">
        <is>
          <t>Multi-line (place hubs)</t>
        </is>
      </c>
      <c r="E760" s="36" t="n"/>
      <c r="F760" s="36" t="n"/>
      <c r="G760" s="36" t="inlineStr">
        <is>
          <t>Ontario</t>
        </is>
      </c>
      <c r="H760" s="36" t="inlineStr">
        <is>
          <t>Ajax</t>
        </is>
      </c>
      <c r="I760" s="36" t="inlineStr">
        <is>
          <t>No</t>
        </is>
      </c>
      <c r="J760" s="25" t="inlineStr">
        <is>
          <t>Insurance in Ajax, ON: Compare Quotes &amp; Licensed Advisors</t>
        </is>
      </c>
      <c r="K760" s="36">
        <f>LEN(J760)</f>
        <v/>
      </c>
      <c r="L760" s="25" t="inlineStr">
        <is>
          <t>Insurance in Ajax: instant estimates for car, home, tenant, life and business coverage, local risk factors, and advisors licensed in Ontario.</t>
        </is>
      </c>
      <c r="M760" s="36">
        <f>LEN(L760)</f>
        <v/>
      </c>
      <c r="N760" s="25" t="inlineStr">
        <is>
          <t>Insurance in Ajax, ON</t>
        </is>
      </c>
      <c r="O760" s="36" t="n"/>
      <c r="P760" s="37" t="n"/>
      <c r="Q760" s="36" t="n"/>
      <c r="R760" s="36" t="inlineStr">
        <is>
          <t>insurance ajax</t>
        </is>
      </c>
      <c r="S760" s="36">
        <f>COUNTIF('Page-Keyword Map'!$A$2:$A$675,B760)</f>
        <v/>
      </c>
      <c r="T760" s="37">
        <f>SUMIF('Page-Keyword Map'!$A$2:$A$675,B760,'Page-Keyword Map'!$H$2:$H$675)</f>
        <v/>
      </c>
      <c r="U760" s="36">
        <f>COUNTIFS('Page-Keyword Map'!$A$2:$A$675,B760,'Page-Keyword Map'!$E$2:$E$675,"Nationwide")</f>
        <v/>
      </c>
      <c r="V760" s="36">
        <f>COUNTIFS('Page-Keyword Map'!$A$2:$A$675,B760,'Page-Keyword Map'!$E$2:$E$675,"Provincial")</f>
        <v/>
      </c>
      <c r="W760" s="36">
        <f>COUNTIFS('Page-Keyword Map'!$A$2:$A$675,B760,'Page-Keyword Map'!$E$2:$E$675,"City")</f>
        <v/>
      </c>
      <c r="X760" s="36">
        <f>IF(O760="","",IF(ISNUMBER(SEARCH(O760,J760)),"Yes","No"))</f>
        <v/>
      </c>
      <c r="Y760" s="36" t="n">
        <v>0.5</v>
      </c>
      <c r="Z760" s="36" t="inlineStr">
        <is>
          <t>(not listed: noindex)</t>
        </is>
      </c>
      <c r="AA760" s="36" t="inlineStr">
        <is>
          <t>Live – noindex (enrich before indexing)</t>
        </is>
      </c>
      <c r="AB760" s="38" t="n"/>
      <c r="AC760" s="38" t="n"/>
    </row>
    <row r="761" ht="23.85" customHeight="1" s="22">
      <c r="A761" s="36" t="inlineStr">
        <is>
          <t>P0760</t>
        </is>
      </c>
      <c r="B761" s="36" t="inlineStr">
        <is>
          <t>https://instasure.ca/insurance/ontario/barrie/</t>
        </is>
      </c>
      <c r="C761" s="36" t="inlineStr">
        <is>
          <t>Place hub</t>
        </is>
      </c>
      <c r="D761" s="36" t="inlineStr">
        <is>
          <t>Multi-line (place hubs)</t>
        </is>
      </c>
      <c r="E761" s="36" t="n"/>
      <c r="F761" s="36" t="n"/>
      <c r="G761" s="36" t="inlineStr">
        <is>
          <t>Ontario</t>
        </is>
      </c>
      <c r="H761" s="36" t="inlineStr">
        <is>
          <t>Barrie</t>
        </is>
      </c>
      <c r="I761" s="36" t="inlineStr">
        <is>
          <t>Yes</t>
        </is>
      </c>
      <c r="J761" s="25" t="inlineStr">
        <is>
          <t>Insurance in Barrie, ON: Compare Quotes &amp; Licensed Advisors</t>
        </is>
      </c>
      <c r="K761" s="36">
        <f>LEN(J761)</f>
        <v/>
      </c>
      <c r="L761" s="25" t="inlineStr">
        <is>
          <t>Insurance in Barrie: instant estimates for car, home, tenant, life and business coverage, local risk factors, and advisors licensed in Ontario.</t>
        </is>
      </c>
      <c r="M761" s="36">
        <f>LEN(L761)</f>
        <v/>
      </c>
      <c r="N761" s="25" t="inlineStr">
        <is>
          <t>Insurance in Barrie, ON</t>
        </is>
      </c>
      <c r="O761" s="36" t="n"/>
      <c r="P761" s="37" t="n"/>
      <c r="Q761" s="36" t="n"/>
      <c r="R761" s="36" t="inlineStr">
        <is>
          <t>insurance barrie</t>
        </is>
      </c>
      <c r="S761" s="36">
        <f>COUNTIF('Page-Keyword Map'!$A$2:$A$675,B761)</f>
        <v/>
      </c>
      <c r="T761" s="37">
        <f>SUMIF('Page-Keyword Map'!$A$2:$A$675,B761,'Page-Keyword Map'!$H$2:$H$675)</f>
        <v/>
      </c>
      <c r="U761" s="36">
        <f>COUNTIFS('Page-Keyword Map'!$A$2:$A$675,B761,'Page-Keyword Map'!$E$2:$E$675,"Nationwide")</f>
        <v/>
      </c>
      <c r="V761" s="36">
        <f>COUNTIFS('Page-Keyword Map'!$A$2:$A$675,B761,'Page-Keyword Map'!$E$2:$E$675,"Provincial")</f>
        <v/>
      </c>
      <c r="W761" s="36">
        <f>COUNTIFS('Page-Keyword Map'!$A$2:$A$675,B761,'Page-Keyword Map'!$E$2:$E$675,"City")</f>
        <v/>
      </c>
      <c r="X761" s="36">
        <f>IF(O761="","",IF(ISNUMBER(SEARCH(O761,J761)),"Yes","No"))</f>
        <v/>
      </c>
      <c r="Y761" s="36" t="n">
        <v>0.5</v>
      </c>
      <c r="Z761" s="36" t="inlineStr">
        <is>
          <t>sitemap-places.xml</t>
        </is>
      </c>
      <c r="AA761" s="36" t="inlineStr">
        <is>
          <t>Live – indexable</t>
        </is>
      </c>
      <c r="AB761" s="38" t="n"/>
      <c r="AC761" s="38" t="n"/>
    </row>
    <row r="762" ht="23.85" customHeight="1" s="22">
      <c r="A762" s="36" t="inlineStr">
        <is>
          <t>P0761</t>
        </is>
      </c>
      <c r="B762" s="36" t="inlineStr">
        <is>
          <t>https://instasure.ca/insurance/ontario/brampton/</t>
        </is>
      </c>
      <c r="C762" s="36" t="inlineStr">
        <is>
          <t>Place hub</t>
        </is>
      </c>
      <c r="D762" s="36" t="inlineStr">
        <is>
          <t>Multi-line (place hubs)</t>
        </is>
      </c>
      <c r="E762" s="36" t="n"/>
      <c r="F762" s="36" t="n"/>
      <c r="G762" s="36" t="inlineStr">
        <is>
          <t>Ontario</t>
        </is>
      </c>
      <c r="H762" s="36" t="inlineStr">
        <is>
          <t>Brampton</t>
        </is>
      </c>
      <c r="I762" s="36" t="inlineStr">
        <is>
          <t>Yes</t>
        </is>
      </c>
      <c r="J762" s="25" t="inlineStr">
        <is>
          <t>Insurance in Brampton, ON: Compare Quotes &amp; Licensed Advisors</t>
        </is>
      </c>
      <c r="K762" s="36">
        <f>LEN(J762)</f>
        <v/>
      </c>
      <c r="L762" s="25" t="inlineStr">
        <is>
          <t>Insurance in Brampton: instant estimates for car, home, tenant, life and business coverage, local risk factors, and advisors licensed in Ontario.</t>
        </is>
      </c>
      <c r="M762" s="36">
        <f>LEN(L762)</f>
        <v/>
      </c>
      <c r="N762" s="25" t="inlineStr">
        <is>
          <t>Insurance in Brampton, ON</t>
        </is>
      </c>
      <c r="O762" s="36" t="inlineStr">
        <is>
          <t>insurance advisor brampton</t>
        </is>
      </c>
      <c r="P762" s="37" t="n">
        <v>210</v>
      </c>
      <c r="Q762" s="36" t="inlineStr">
        <is>
          <t>City</t>
        </is>
      </c>
      <c r="R762" s="36" t="n"/>
      <c r="S762" s="36">
        <f>COUNTIF('Page-Keyword Map'!$A$2:$A$675,B762)</f>
        <v/>
      </c>
      <c r="T762" s="37">
        <f>SUMIF('Page-Keyword Map'!$A$2:$A$675,B762,'Page-Keyword Map'!$H$2:$H$675)</f>
        <v/>
      </c>
      <c r="U762" s="36">
        <f>COUNTIFS('Page-Keyword Map'!$A$2:$A$675,B762,'Page-Keyword Map'!$E$2:$E$675,"Nationwide")</f>
        <v/>
      </c>
      <c r="V762" s="36">
        <f>COUNTIFS('Page-Keyword Map'!$A$2:$A$675,B762,'Page-Keyword Map'!$E$2:$E$675,"Provincial")</f>
        <v/>
      </c>
      <c r="W762" s="36">
        <f>COUNTIFS('Page-Keyword Map'!$A$2:$A$675,B762,'Page-Keyword Map'!$E$2:$E$675,"City")</f>
        <v/>
      </c>
      <c r="X762" s="36">
        <f>IF(O762="","",IF(ISNUMBER(SEARCH(O762,J762)),"Yes","No"))</f>
        <v/>
      </c>
      <c r="Y762" s="36" t="n">
        <v>0.5</v>
      </c>
      <c r="Z762" s="36" t="inlineStr">
        <is>
          <t>sitemap-places.xml</t>
        </is>
      </c>
      <c r="AA762" s="36" t="inlineStr">
        <is>
          <t>Live – indexable</t>
        </is>
      </c>
      <c r="AB762" s="38" t="n"/>
      <c r="AC762" s="38" t="n"/>
    </row>
    <row r="763" ht="23.85" customHeight="1" s="22">
      <c r="A763" s="36" t="inlineStr">
        <is>
          <t>P0762</t>
        </is>
      </c>
      <c r="B763" s="36" t="inlineStr">
        <is>
          <t>https://instasure.ca/insurance/ontario/burlington/</t>
        </is>
      </c>
      <c r="C763" s="36" t="inlineStr">
        <is>
          <t>Place hub</t>
        </is>
      </c>
      <c r="D763" s="36" t="inlineStr">
        <is>
          <t>Multi-line (place hubs)</t>
        </is>
      </c>
      <c r="E763" s="36" t="n"/>
      <c r="F763" s="36" t="n"/>
      <c r="G763" s="36" t="inlineStr">
        <is>
          <t>Ontario</t>
        </is>
      </c>
      <c r="H763" s="36" t="inlineStr">
        <is>
          <t>Burlington</t>
        </is>
      </c>
      <c r="I763" s="36" t="inlineStr">
        <is>
          <t>Yes</t>
        </is>
      </c>
      <c r="J763" s="25" t="inlineStr">
        <is>
          <t>Insurance in Burlington, ON: Compare Quotes &amp; Licensed Advisors</t>
        </is>
      </c>
      <c r="K763" s="36">
        <f>LEN(J763)</f>
        <v/>
      </c>
      <c r="L763" s="25" t="inlineStr">
        <is>
          <t>Insurance in Burlington: instant estimates for car, home, tenant, life and business coverage, local risk factors, and advisors licensed in Ontario.</t>
        </is>
      </c>
      <c r="M763" s="36">
        <f>LEN(L763)</f>
        <v/>
      </c>
      <c r="N763" s="25" t="inlineStr">
        <is>
          <t>Insurance in Burlington, ON</t>
        </is>
      </c>
      <c r="O763" s="36" t="n"/>
      <c r="P763" s="37" t="n"/>
      <c r="Q763" s="36" t="n"/>
      <c r="R763" s="36" t="inlineStr">
        <is>
          <t>insurance burlington</t>
        </is>
      </c>
      <c r="S763" s="36">
        <f>COUNTIF('Page-Keyword Map'!$A$2:$A$675,B763)</f>
        <v/>
      </c>
      <c r="T763" s="37">
        <f>SUMIF('Page-Keyword Map'!$A$2:$A$675,B763,'Page-Keyword Map'!$H$2:$H$675)</f>
        <v/>
      </c>
      <c r="U763" s="36">
        <f>COUNTIFS('Page-Keyword Map'!$A$2:$A$675,B763,'Page-Keyword Map'!$E$2:$E$675,"Nationwide")</f>
        <v/>
      </c>
      <c r="V763" s="36">
        <f>COUNTIFS('Page-Keyword Map'!$A$2:$A$675,B763,'Page-Keyword Map'!$E$2:$E$675,"Provincial")</f>
        <v/>
      </c>
      <c r="W763" s="36">
        <f>COUNTIFS('Page-Keyword Map'!$A$2:$A$675,B763,'Page-Keyword Map'!$E$2:$E$675,"City")</f>
        <v/>
      </c>
      <c r="X763" s="36">
        <f>IF(O763="","",IF(ISNUMBER(SEARCH(O763,J763)),"Yes","No"))</f>
        <v/>
      </c>
      <c r="Y763" s="36" t="n">
        <v>0.5</v>
      </c>
      <c r="Z763" s="36" t="inlineStr">
        <is>
          <t>sitemap-places.xml</t>
        </is>
      </c>
      <c r="AA763" s="36" t="inlineStr">
        <is>
          <t>Live – indexable</t>
        </is>
      </c>
      <c r="AB763" s="38" t="n"/>
      <c r="AC763" s="38" t="n"/>
    </row>
    <row r="764" ht="23.85" customHeight="1" s="22">
      <c r="A764" s="36" t="inlineStr">
        <is>
          <t>P0763</t>
        </is>
      </c>
      <c r="B764" s="36" t="inlineStr">
        <is>
          <t>https://instasure.ca/insurance/ontario/cambridge/</t>
        </is>
      </c>
      <c r="C764" s="36" t="inlineStr">
        <is>
          <t>Place hub</t>
        </is>
      </c>
      <c r="D764" s="36" t="inlineStr">
        <is>
          <t>Multi-line (place hubs)</t>
        </is>
      </c>
      <c r="E764" s="36" t="n"/>
      <c r="F764" s="36" t="n"/>
      <c r="G764" s="36" t="inlineStr">
        <is>
          <t>Ontario</t>
        </is>
      </c>
      <c r="H764" s="36" t="inlineStr">
        <is>
          <t>Cambridge</t>
        </is>
      </c>
      <c r="I764" s="36" t="inlineStr">
        <is>
          <t>No</t>
        </is>
      </c>
      <c r="J764" s="25" t="inlineStr">
        <is>
          <t>Insurance in Cambridge, ON: Compare Quotes &amp; Licensed Advisors</t>
        </is>
      </c>
      <c r="K764" s="36">
        <f>LEN(J764)</f>
        <v/>
      </c>
      <c r="L764" s="25" t="inlineStr">
        <is>
          <t>Insurance in Cambridge: instant estimates for car, home, tenant, life and business coverage, local risk factors, and advisors licensed in Ontario.</t>
        </is>
      </c>
      <c r="M764" s="36">
        <f>LEN(L764)</f>
        <v/>
      </c>
      <c r="N764" s="25" t="inlineStr">
        <is>
          <t>Insurance in Cambridge, ON</t>
        </is>
      </c>
      <c r="O764" s="36" t="n"/>
      <c r="P764" s="37" t="n"/>
      <c r="Q764" s="36" t="n"/>
      <c r="R764" s="36" t="inlineStr">
        <is>
          <t>insurance cambridge</t>
        </is>
      </c>
      <c r="S764" s="36">
        <f>COUNTIF('Page-Keyword Map'!$A$2:$A$675,B764)</f>
        <v/>
      </c>
      <c r="T764" s="37">
        <f>SUMIF('Page-Keyword Map'!$A$2:$A$675,B764,'Page-Keyword Map'!$H$2:$H$675)</f>
        <v/>
      </c>
      <c r="U764" s="36">
        <f>COUNTIFS('Page-Keyword Map'!$A$2:$A$675,B764,'Page-Keyword Map'!$E$2:$E$675,"Nationwide")</f>
        <v/>
      </c>
      <c r="V764" s="36">
        <f>COUNTIFS('Page-Keyword Map'!$A$2:$A$675,B764,'Page-Keyword Map'!$E$2:$E$675,"Provincial")</f>
        <v/>
      </c>
      <c r="W764" s="36">
        <f>COUNTIFS('Page-Keyword Map'!$A$2:$A$675,B764,'Page-Keyword Map'!$E$2:$E$675,"City")</f>
        <v/>
      </c>
      <c r="X764" s="36">
        <f>IF(O764="","",IF(ISNUMBER(SEARCH(O764,J764)),"Yes","No"))</f>
        <v/>
      </c>
      <c r="Y764" s="36" t="n">
        <v>0.5</v>
      </c>
      <c r="Z764" s="36" t="inlineStr">
        <is>
          <t>(not listed: noindex)</t>
        </is>
      </c>
      <c r="AA764" s="36" t="inlineStr">
        <is>
          <t>Live – noindex (enrich before indexing)</t>
        </is>
      </c>
      <c r="AB764" s="38" t="n"/>
      <c r="AC764" s="38" t="n"/>
    </row>
    <row r="765" ht="23.85" customHeight="1" s="22">
      <c r="A765" s="36" t="inlineStr">
        <is>
          <t>P0764</t>
        </is>
      </c>
      <c r="B765" s="36" t="inlineStr">
        <is>
          <t>https://instasure.ca/insurance/ontario/guelph/</t>
        </is>
      </c>
      <c r="C765" s="36" t="inlineStr">
        <is>
          <t>Place hub</t>
        </is>
      </c>
      <c r="D765" s="36" t="inlineStr">
        <is>
          <t>Multi-line (place hubs)</t>
        </is>
      </c>
      <c r="E765" s="36" t="n"/>
      <c r="F765" s="36" t="n"/>
      <c r="G765" s="36" t="inlineStr">
        <is>
          <t>Ontario</t>
        </is>
      </c>
      <c r="H765" s="36" t="inlineStr">
        <is>
          <t>Guelph</t>
        </is>
      </c>
      <c r="I765" s="36" t="inlineStr">
        <is>
          <t>Yes</t>
        </is>
      </c>
      <c r="J765" s="25" t="inlineStr">
        <is>
          <t>Insurance in Guelph, ON: Compare Quotes &amp; Licensed Advisors</t>
        </is>
      </c>
      <c r="K765" s="36">
        <f>LEN(J765)</f>
        <v/>
      </c>
      <c r="L765" s="25" t="inlineStr">
        <is>
          <t>Insurance in Guelph: instant estimates for car, home, tenant, life and business coverage, local risk factors, and advisors licensed in Ontario.</t>
        </is>
      </c>
      <c r="M765" s="36">
        <f>LEN(L765)</f>
        <v/>
      </c>
      <c r="N765" s="25" t="inlineStr">
        <is>
          <t>Insurance in Guelph, ON</t>
        </is>
      </c>
      <c r="O765" s="36" t="n"/>
      <c r="P765" s="37" t="n"/>
      <c r="Q765" s="36" t="n"/>
      <c r="R765" s="36" t="inlineStr">
        <is>
          <t>insurance guelph</t>
        </is>
      </c>
      <c r="S765" s="36">
        <f>COUNTIF('Page-Keyword Map'!$A$2:$A$675,B765)</f>
        <v/>
      </c>
      <c r="T765" s="37">
        <f>SUMIF('Page-Keyword Map'!$A$2:$A$675,B765,'Page-Keyword Map'!$H$2:$H$675)</f>
        <v/>
      </c>
      <c r="U765" s="36">
        <f>COUNTIFS('Page-Keyword Map'!$A$2:$A$675,B765,'Page-Keyword Map'!$E$2:$E$675,"Nationwide")</f>
        <v/>
      </c>
      <c r="V765" s="36">
        <f>COUNTIFS('Page-Keyword Map'!$A$2:$A$675,B765,'Page-Keyword Map'!$E$2:$E$675,"Provincial")</f>
        <v/>
      </c>
      <c r="W765" s="36">
        <f>COUNTIFS('Page-Keyword Map'!$A$2:$A$675,B765,'Page-Keyword Map'!$E$2:$E$675,"City")</f>
        <v/>
      </c>
      <c r="X765" s="36">
        <f>IF(O765="","",IF(ISNUMBER(SEARCH(O765,J765)),"Yes","No"))</f>
        <v/>
      </c>
      <c r="Y765" s="36" t="n">
        <v>0.5</v>
      </c>
      <c r="Z765" s="36" t="inlineStr">
        <is>
          <t>sitemap-places.xml</t>
        </is>
      </c>
      <c r="AA765" s="36" t="inlineStr">
        <is>
          <t>Live – indexable</t>
        </is>
      </c>
      <c r="AB765" s="38" t="n"/>
      <c r="AC765" s="38" t="n"/>
    </row>
    <row r="766" ht="23.85" customHeight="1" s="22">
      <c r="A766" s="36" t="inlineStr">
        <is>
          <t>P0765</t>
        </is>
      </c>
      <c r="B766" s="36" t="inlineStr">
        <is>
          <t>https://instasure.ca/insurance/ontario/hamilton/</t>
        </is>
      </c>
      <c r="C766" s="36" t="inlineStr">
        <is>
          <t>Place hub</t>
        </is>
      </c>
      <c r="D766" s="36" t="inlineStr">
        <is>
          <t>Multi-line (place hubs)</t>
        </is>
      </c>
      <c r="E766" s="36" t="n"/>
      <c r="F766" s="36" t="n"/>
      <c r="G766" s="36" t="inlineStr">
        <is>
          <t>Ontario</t>
        </is>
      </c>
      <c r="H766" s="36" t="inlineStr">
        <is>
          <t>Hamilton</t>
        </is>
      </c>
      <c r="I766" s="36" t="inlineStr">
        <is>
          <t>Yes</t>
        </is>
      </c>
      <c r="J766" s="25" t="inlineStr">
        <is>
          <t>Insurance in Hamilton, ON: Compare Quotes &amp; Licensed Advisors</t>
        </is>
      </c>
      <c r="K766" s="36">
        <f>LEN(J766)</f>
        <v/>
      </c>
      <c r="L766" s="25" t="inlineStr">
        <is>
          <t>Insurance in Hamilton: instant estimates for car, home, tenant, life and business coverage, local risk factors, and advisors licensed in Ontario.</t>
        </is>
      </c>
      <c r="M766" s="36">
        <f>LEN(L766)</f>
        <v/>
      </c>
      <c r="N766" s="25" t="inlineStr">
        <is>
          <t>Insurance in Hamilton, ON</t>
        </is>
      </c>
      <c r="O766" s="36" t="inlineStr">
        <is>
          <t>insurance advisor hamilton</t>
        </is>
      </c>
      <c r="P766" s="37" t="n">
        <v>190</v>
      </c>
      <c r="Q766" s="36" t="inlineStr">
        <is>
          <t>City</t>
        </is>
      </c>
      <c r="R766" s="36" t="n"/>
      <c r="S766" s="36">
        <f>COUNTIF('Page-Keyword Map'!$A$2:$A$675,B766)</f>
        <v/>
      </c>
      <c r="T766" s="37">
        <f>SUMIF('Page-Keyword Map'!$A$2:$A$675,B766,'Page-Keyword Map'!$H$2:$H$675)</f>
        <v/>
      </c>
      <c r="U766" s="36">
        <f>COUNTIFS('Page-Keyword Map'!$A$2:$A$675,B766,'Page-Keyword Map'!$E$2:$E$675,"Nationwide")</f>
        <v/>
      </c>
      <c r="V766" s="36">
        <f>COUNTIFS('Page-Keyword Map'!$A$2:$A$675,B766,'Page-Keyword Map'!$E$2:$E$675,"Provincial")</f>
        <v/>
      </c>
      <c r="W766" s="36">
        <f>COUNTIFS('Page-Keyword Map'!$A$2:$A$675,B766,'Page-Keyword Map'!$E$2:$E$675,"City")</f>
        <v/>
      </c>
      <c r="X766" s="36">
        <f>IF(O766="","",IF(ISNUMBER(SEARCH(O766,J766)),"Yes","No"))</f>
        <v/>
      </c>
      <c r="Y766" s="36" t="n">
        <v>0.5</v>
      </c>
      <c r="Z766" s="36" t="inlineStr">
        <is>
          <t>sitemap-places.xml</t>
        </is>
      </c>
      <c r="AA766" s="36" t="inlineStr">
        <is>
          <t>Live – indexable</t>
        </is>
      </c>
      <c r="AB766" s="38" t="n"/>
      <c r="AC766" s="38" t="n"/>
    </row>
    <row r="767" ht="23.85" customHeight="1" s="22">
      <c r="A767" s="36" t="inlineStr">
        <is>
          <t>P0766</t>
        </is>
      </c>
      <c r="B767" s="36" t="inlineStr">
        <is>
          <t>https://instasure.ca/insurance/ontario/kingston/</t>
        </is>
      </c>
      <c r="C767" s="36" t="inlineStr">
        <is>
          <t>Place hub</t>
        </is>
      </c>
      <c r="D767" s="36" t="inlineStr">
        <is>
          <t>Multi-line (place hubs)</t>
        </is>
      </c>
      <c r="E767" s="36" t="n"/>
      <c r="F767" s="36" t="n"/>
      <c r="G767" s="36" t="inlineStr">
        <is>
          <t>Ontario</t>
        </is>
      </c>
      <c r="H767" s="36" t="inlineStr">
        <is>
          <t>Kingston</t>
        </is>
      </c>
      <c r="I767" s="36" t="inlineStr">
        <is>
          <t>Yes</t>
        </is>
      </c>
      <c r="J767" s="25" t="inlineStr">
        <is>
          <t>Insurance in Kingston, ON: Compare Quotes &amp; Licensed Advisors</t>
        </is>
      </c>
      <c r="K767" s="36">
        <f>LEN(J767)</f>
        <v/>
      </c>
      <c r="L767" s="25" t="inlineStr">
        <is>
          <t>Insurance in Kingston: instant estimates for car, home, tenant, life and business coverage, local risk factors, and advisors licensed in Ontario.</t>
        </is>
      </c>
      <c r="M767" s="36">
        <f>LEN(L767)</f>
        <v/>
      </c>
      <c r="N767" s="25" t="inlineStr">
        <is>
          <t>Insurance in Kingston, ON</t>
        </is>
      </c>
      <c r="O767" s="36" t="n"/>
      <c r="P767" s="37" t="n"/>
      <c r="Q767" s="36" t="n"/>
      <c r="R767" s="36" t="inlineStr">
        <is>
          <t>insurance kingston</t>
        </is>
      </c>
      <c r="S767" s="36">
        <f>COUNTIF('Page-Keyword Map'!$A$2:$A$675,B767)</f>
        <v/>
      </c>
      <c r="T767" s="37">
        <f>SUMIF('Page-Keyword Map'!$A$2:$A$675,B767,'Page-Keyword Map'!$H$2:$H$675)</f>
        <v/>
      </c>
      <c r="U767" s="36">
        <f>COUNTIFS('Page-Keyword Map'!$A$2:$A$675,B767,'Page-Keyword Map'!$E$2:$E$675,"Nationwide")</f>
        <v/>
      </c>
      <c r="V767" s="36">
        <f>COUNTIFS('Page-Keyword Map'!$A$2:$A$675,B767,'Page-Keyword Map'!$E$2:$E$675,"Provincial")</f>
        <v/>
      </c>
      <c r="W767" s="36">
        <f>COUNTIFS('Page-Keyword Map'!$A$2:$A$675,B767,'Page-Keyword Map'!$E$2:$E$675,"City")</f>
        <v/>
      </c>
      <c r="X767" s="36">
        <f>IF(O767="","",IF(ISNUMBER(SEARCH(O767,J767)),"Yes","No"))</f>
        <v/>
      </c>
      <c r="Y767" s="36" t="n">
        <v>0.5</v>
      </c>
      <c r="Z767" s="36" t="inlineStr">
        <is>
          <t>sitemap-places.xml</t>
        </is>
      </c>
      <c r="AA767" s="36" t="inlineStr">
        <is>
          <t>Live – indexable</t>
        </is>
      </c>
      <c r="AB767" s="38" t="n"/>
      <c r="AC767" s="38" t="n"/>
    </row>
    <row r="768" ht="23.85" customHeight="1" s="22">
      <c r="A768" s="36" t="inlineStr">
        <is>
          <t>P0767</t>
        </is>
      </c>
      <c r="B768" s="36" t="inlineStr">
        <is>
          <t>https://instasure.ca/insurance/ontario/kitchener/</t>
        </is>
      </c>
      <c r="C768" s="36" t="inlineStr">
        <is>
          <t>Place hub</t>
        </is>
      </c>
      <c r="D768" s="36" t="inlineStr">
        <is>
          <t>Multi-line (place hubs)</t>
        </is>
      </c>
      <c r="E768" s="36" t="n"/>
      <c r="F768" s="36" t="n"/>
      <c r="G768" s="36" t="inlineStr">
        <is>
          <t>Ontario</t>
        </is>
      </c>
      <c r="H768" s="36" t="inlineStr">
        <is>
          <t>Kitchener</t>
        </is>
      </c>
      <c r="I768" s="36" t="inlineStr">
        <is>
          <t>Yes</t>
        </is>
      </c>
      <c r="J768" s="25" t="inlineStr">
        <is>
          <t>Insurance in Kitchener, ON: Compare Quotes &amp; Licensed Advisors</t>
        </is>
      </c>
      <c r="K768" s="36">
        <f>LEN(J768)</f>
        <v/>
      </c>
      <c r="L768" s="25" t="inlineStr">
        <is>
          <t>Insurance in Kitchener: instant estimates for car, home, tenant, life and business coverage, local risk factors, and advisors licensed in Ontario.</t>
        </is>
      </c>
      <c r="M768" s="36">
        <f>LEN(L768)</f>
        <v/>
      </c>
      <c r="N768" s="25" t="inlineStr">
        <is>
          <t>Insurance in Kitchener, ON</t>
        </is>
      </c>
      <c r="O768" s="36" t="inlineStr">
        <is>
          <t>insurance advisor kitchener</t>
        </is>
      </c>
      <c r="P768" s="37" t="n">
        <v>100</v>
      </c>
      <c r="Q768" s="36" t="inlineStr">
        <is>
          <t>City</t>
        </is>
      </c>
      <c r="R768" s="36" t="n"/>
      <c r="S768" s="36">
        <f>COUNTIF('Page-Keyword Map'!$A$2:$A$675,B768)</f>
        <v/>
      </c>
      <c r="T768" s="37">
        <f>SUMIF('Page-Keyword Map'!$A$2:$A$675,B768,'Page-Keyword Map'!$H$2:$H$675)</f>
        <v/>
      </c>
      <c r="U768" s="36">
        <f>COUNTIFS('Page-Keyword Map'!$A$2:$A$675,B768,'Page-Keyword Map'!$E$2:$E$675,"Nationwide")</f>
        <v/>
      </c>
      <c r="V768" s="36">
        <f>COUNTIFS('Page-Keyword Map'!$A$2:$A$675,B768,'Page-Keyword Map'!$E$2:$E$675,"Provincial")</f>
        <v/>
      </c>
      <c r="W768" s="36">
        <f>COUNTIFS('Page-Keyword Map'!$A$2:$A$675,B768,'Page-Keyword Map'!$E$2:$E$675,"City")</f>
        <v/>
      </c>
      <c r="X768" s="36">
        <f>IF(O768="","",IF(ISNUMBER(SEARCH(O768,J768)),"Yes","No"))</f>
        <v/>
      </c>
      <c r="Y768" s="36" t="n">
        <v>0.5</v>
      </c>
      <c r="Z768" s="36" t="inlineStr">
        <is>
          <t>sitemap-places.xml</t>
        </is>
      </c>
      <c r="AA768" s="36" t="inlineStr">
        <is>
          <t>Live – indexable</t>
        </is>
      </c>
      <c r="AB768" s="38" t="n"/>
      <c r="AC768" s="38" t="n"/>
    </row>
    <row r="769" ht="23.85" customHeight="1" s="22">
      <c r="A769" s="36" t="inlineStr">
        <is>
          <t>P0768</t>
        </is>
      </c>
      <c r="B769" s="36" t="inlineStr">
        <is>
          <t>https://instasure.ca/insurance/ontario/london/</t>
        </is>
      </c>
      <c r="C769" s="36" t="inlineStr">
        <is>
          <t>Place hub</t>
        </is>
      </c>
      <c r="D769" s="36" t="inlineStr">
        <is>
          <t>Multi-line (place hubs)</t>
        </is>
      </c>
      <c r="E769" s="36" t="n"/>
      <c r="F769" s="36" t="n"/>
      <c r="G769" s="36" t="inlineStr">
        <is>
          <t>Ontario</t>
        </is>
      </c>
      <c r="H769" s="36" t="inlineStr">
        <is>
          <t>London</t>
        </is>
      </c>
      <c r="I769" s="36" t="inlineStr">
        <is>
          <t>Yes</t>
        </is>
      </c>
      <c r="J769" s="25" t="inlineStr">
        <is>
          <t>Insurance in London, ON: Compare Quotes &amp; Licensed Advisors</t>
        </is>
      </c>
      <c r="K769" s="36">
        <f>LEN(J769)</f>
        <v/>
      </c>
      <c r="L769" s="25" t="inlineStr">
        <is>
          <t>Insurance in London: instant estimates for car, home, tenant, life and business coverage, local risk factors, and advisors licensed in Ontario.</t>
        </is>
      </c>
      <c r="M769" s="36">
        <f>LEN(L769)</f>
        <v/>
      </c>
      <c r="N769" s="25" t="inlineStr">
        <is>
          <t>Insurance in London, ON</t>
        </is>
      </c>
      <c r="O769" s="36" t="inlineStr">
        <is>
          <t>insurance advisor london ontario</t>
        </is>
      </c>
      <c r="P769" s="37" t="n">
        <v>150</v>
      </c>
      <c r="Q769" s="36" t="inlineStr">
        <is>
          <t>City</t>
        </is>
      </c>
      <c r="R769" s="36" t="n"/>
      <c r="S769" s="36">
        <f>COUNTIF('Page-Keyword Map'!$A$2:$A$675,B769)</f>
        <v/>
      </c>
      <c r="T769" s="37">
        <f>SUMIF('Page-Keyword Map'!$A$2:$A$675,B769,'Page-Keyword Map'!$H$2:$H$675)</f>
        <v/>
      </c>
      <c r="U769" s="36">
        <f>COUNTIFS('Page-Keyword Map'!$A$2:$A$675,B769,'Page-Keyword Map'!$E$2:$E$675,"Nationwide")</f>
        <v/>
      </c>
      <c r="V769" s="36">
        <f>COUNTIFS('Page-Keyword Map'!$A$2:$A$675,B769,'Page-Keyword Map'!$E$2:$E$675,"Provincial")</f>
        <v/>
      </c>
      <c r="W769" s="36">
        <f>COUNTIFS('Page-Keyword Map'!$A$2:$A$675,B769,'Page-Keyword Map'!$E$2:$E$675,"City")</f>
        <v/>
      </c>
      <c r="X769" s="36">
        <f>IF(O769="","",IF(ISNUMBER(SEARCH(O769,J769)),"Yes","No"))</f>
        <v/>
      </c>
      <c r="Y769" s="36" t="n">
        <v>0.5</v>
      </c>
      <c r="Z769" s="36" t="inlineStr">
        <is>
          <t>sitemap-places.xml</t>
        </is>
      </c>
      <c r="AA769" s="36" t="inlineStr">
        <is>
          <t>Live – indexable</t>
        </is>
      </c>
      <c r="AB769" s="38" t="n"/>
      <c r="AC769" s="38" t="n"/>
    </row>
    <row r="770" ht="23.85" customHeight="1" s="22">
      <c r="A770" s="36" t="inlineStr">
        <is>
          <t>P0769</t>
        </is>
      </c>
      <c r="B770" s="36" t="inlineStr">
        <is>
          <t>https://instasure.ca/insurance/ontario/markham/</t>
        </is>
      </c>
      <c r="C770" s="36" t="inlineStr">
        <is>
          <t>Place hub</t>
        </is>
      </c>
      <c r="D770" s="36" t="inlineStr">
        <is>
          <t>Multi-line (place hubs)</t>
        </is>
      </c>
      <c r="E770" s="36" t="n"/>
      <c r="F770" s="36" t="n"/>
      <c r="G770" s="36" t="inlineStr">
        <is>
          <t>Ontario</t>
        </is>
      </c>
      <c r="H770" s="36" t="inlineStr">
        <is>
          <t>Markham</t>
        </is>
      </c>
      <c r="I770" s="36" t="inlineStr">
        <is>
          <t>Yes</t>
        </is>
      </c>
      <c r="J770" s="25" t="inlineStr">
        <is>
          <t>Insurance in Markham, ON: Compare Quotes &amp; Licensed Advisors</t>
        </is>
      </c>
      <c r="K770" s="36">
        <f>LEN(J770)</f>
        <v/>
      </c>
      <c r="L770" s="25" t="inlineStr">
        <is>
          <t>Insurance in Markham: instant estimates for car, home, tenant, life and business coverage, local risk factors, and advisors licensed in Ontario.</t>
        </is>
      </c>
      <c r="M770" s="36">
        <f>LEN(L770)</f>
        <v/>
      </c>
      <c r="N770" s="25" t="inlineStr">
        <is>
          <t>Insurance in Markham, ON</t>
        </is>
      </c>
      <c r="O770" s="36" t="inlineStr">
        <is>
          <t>insurance advisor markham</t>
        </is>
      </c>
      <c r="P770" s="37" t="n">
        <v>130</v>
      </c>
      <c r="Q770" s="36" t="inlineStr">
        <is>
          <t>City</t>
        </is>
      </c>
      <c r="R770" s="36" t="n"/>
      <c r="S770" s="36">
        <f>COUNTIF('Page-Keyword Map'!$A$2:$A$675,B770)</f>
        <v/>
      </c>
      <c r="T770" s="37">
        <f>SUMIF('Page-Keyword Map'!$A$2:$A$675,B770,'Page-Keyword Map'!$H$2:$H$675)</f>
        <v/>
      </c>
      <c r="U770" s="36">
        <f>COUNTIFS('Page-Keyword Map'!$A$2:$A$675,B770,'Page-Keyword Map'!$E$2:$E$675,"Nationwide")</f>
        <v/>
      </c>
      <c r="V770" s="36">
        <f>COUNTIFS('Page-Keyword Map'!$A$2:$A$675,B770,'Page-Keyword Map'!$E$2:$E$675,"Provincial")</f>
        <v/>
      </c>
      <c r="W770" s="36">
        <f>COUNTIFS('Page-Keyword Map'!$A$2:$A$675,B770,'Page-Keyword Map'!$E$2:$E$675,"City")</f>
        <v/>
      </c>
      <c r="X770" s="36">
        <f>IF(O770="","",IF(ISNUMBER(SEARCH(O770,J770)),"Yes","No"))</f>
        <v/>
      </c>
      <c r="Y770" s="36" t="n">
        <v>0.5</v>
      </c>
      <c r="Z770" s="36" t="inlineStr">
        <is>
          <t>sitemap-places.xml</t>
        </is>
      </c>
      <c r="AA770" s="36" t="inlineStr">
        <is>
          <t>Live – indexable</t>
        </is>
      </c>
      <c r="AB770" s="38" t="n"/>
      <c r="AC770" s="38" t="n"/>
    </row>
    <row r="771" ht="23.85" customHeight="1" s="22">
      <c r="A771" s="36" t="inlineStr">
        <is>
          <t>P0770</t>
        </is>
      </c>
      <c r="B771" s="36" t="inlineStr">
        <is>
          <t>https://instasure.ca/insurance/ontario/milton/</t>
        </is>
      </c>
      <c r="C771" s="36" t="inlineStr">
        <is>
          <t>Place hub</t>
        </is>
      </c>
      <c r="D771" s="36" t="inlineStr">
        <is>
          <t>Multi-line (place hubs)</t>
        </is>
      </c>
      <c r="E771" s="36" t="n"/>
      <c r="F771" s="36" t="n"/>
      <c r="G771" s="36" t="inlineStr">
        <is>
          <t>Ontario</t>
        </is>
      </c>
      <c r="H771" s="36" t="inlineStr">
        <is>
          <t>Milton</t>
        </is>
      </c>
      <c r="I771" s="36" t="inlineStr">
        <is>
          <t>No</t>
        </is>
      </c>
      <c r="J771" s="25" t="inlineStr">
        <is>
          <t>Insurance in Milton, ON: Compare Quotes &amp; Licensed Advisors</t>
        </is>
      </c>
      <c r="K771" s="36">
        <f>LEN(J771)</f>
        <v/>
      </c>
      <c r="L771" s="25" t="inlineStr">
        <is>
          <t>Insurance in Milton: instant estimates for car, home, tenant, life and business coverage, local risk factors, and advisors licensed in Ontario.</t>
        </is>
      </c>
      <c r="M771" s="36">
        <f>LEN(L771)</f>
        <v/>
      </c>
      <c r="N771" s="25" t="inlineStr">
        <is>
          <t>Insurance in Milton, ON</t>
        </is>
      </c>
      <c r="O771" s="36" t="n"/>
      <c r="P771" s="37" t="n"/>
      <c r="Q771" s="36" t="n"/>
      <c r="R771" s="36" t="inlineStr">
        <is>
          <t>insurance milton</t>
        </is>
      </c>
      <c r="S771" s="36">
        <f>COUNTIF('Page-Keyword Map'!$A$2:$A$675,B771)</f>
        <v/>
      </c>
      <c r="T771" s="37">
        <f>SUMIF('Page-Keyword Map'!$A$2:$A$675,B771,'Page-Keyword Map'!$H$2:$H$675)</f>
        <v/>
      </c>
      <c r="U771" s="36">
        <f>COUNTIFS('Page-Keyword Map'!$A$2:$A$675,B771,'Page-Keyword Map'!$E$2:$E$675,"Nationwide")</f>
        <v/>
      </c>
      <c r="V771" s="36">
        <f>COUNTIFS('Page-Keyword Map'!$A$2:$A$675,B771,'Page-Keyword Map'!$E$2:$E$675,"Provincial")</f>
        <v/>
      </c>
      <c r="W771" s="36">
        <f>COUNTIFS('Page-Keyword Map'!$A$2:$A$675,B771,'Page-Keyword Map'!$E$2:$E$675,"City")</f>
        <v/>
      </c>
      <c r="X771" s="36">
        <f>IF(O771="","",IF(ISNUMBER(SEARCH(O771,J771)),"Yes","No"))</f>
        <v/>
      </c>
      <c r="Y771" s="36" t="n">
        <v>0.5</v>
      </c>
      <c r="Z771" s="36" t="inlineStr">
        <is>
          <t>(not listed: noindex)</t>
        </is>
      </c>
      <c r="AA771" s="36" t="inlineStr">
        <is>
          <t>Live – noindex (enrich before indexing)</t>
        </is>
      </c>
      <c r="AB771" s="38" t="n"/>
      <c r="AC771" s="38" t="n"/>
    </row>
    <row r="772" ht="23.85" customHeight="1" s="22">
      <c r="A772" s="36" t="inlineStr">
        <is>
          <t>P0771</t>
        </is>
      </c>
      <c r="B772" s="36" t="inlineStr">
        <is>
          <t>https://instasure.ca/insurance/ontario/mississauga/</t>
        </is>
      </c>
      <c r="C772" s="36" t="inlineStr">
        <is>
          <t>Place hub</t>
        </is>
      </c>
      <c r="D772" s="36" t="inlineStr">
        <is>
          <t>Multi-line (place hubs)</t>
        </is>
      </c>
      <c r="E772" s="36" t="n"/>
      <c r="F772" s="36" t="n"/>
      <c r="G772" s="36" t="inlineStr">
        <is>
          <t>Ontario</t>
        </is>
      </c>
      <c r="H772" s="36" t="inlineStr">
        <is>
          <t>Mississauga</t>
        </is>
      </c>
      <c r="I772" s="36" t="inlineStr">
        <is>
          <t>Yes</t>
        </is>
      </c>
      <c r="J772" s="25" t="inlineStr">
        <is>
          <t>Insurance in Mississauga, ON: Compare Quotes &amp; Licensed Advisors</t>
        </is>
      </c>
      <c r="K772" s="36">
        <f>LEN(J772)</f>
        <v/>
      </c>
      <c r="L772" s="25" t="inlineStr">
        <is>
          <t>Insurance in Mississauga: instant estimates for car, home, tenant, life and business coverage, local risk factors, and advisors licensed in Ontario.</t>
        </is>
      </c>
      <c r="M772" s="36">
        <f>LEN(L772)</f>
        <v/>
      </c>
      <c r="N772" s="25" t="inlineStr">
        <is>
          <t>Insurance in Mississauga, ON</t>
        </is>
      </c>
      <c r="O772" s="36" t="inlineStr">
        <is>
          <t>insurance advisor mississauga</t>
        </is>
      </c>
      <c r="P772" s="37" t="n">
        <v>230</v>
      </c>
      <c r="Q772" s="36" t="inlineStr">
        <is>
          <t>City</t>
        </is>
      </c>
      <c r="R772" s="36" t="n"/>
      <c r="S772" s="36">
        <f>COUNTIF('Page-Keyword Map'!$A$2:$A$675,B772)</f>
        <v/>
      </c>
      <c r="T772" s="37">
        <f>SUMIF('Page-Keyword Map'!$A$2:$A$675,B772,'Page-Keyword Map'!$H$2:$H$675)</f>
        <v/>
      </c>
      <c r="U772" s="36">
        <f>COUNTIFS('Page-Keyword Map'!$A$2:$A$675,B772,'Page-Keyword Map'!$E$2:$E$675,"Nationwide")</f>
        <v/>
      </c>
      <c r="V772" s="36">
        <f>COUNTIFS('Page-Keyword Map'!$A$2:$A$675,B772,'Page-Keyword Map'!$E$2:$E$675,"Provincial")</f>
        <v/>
      </c>
      <c r="W772" s="36">
        <f>COUNTIFS('Page-Keyword Map'!$A$2:$A$675,B772,'Page-Keyword Map'!$E$2:$E$675,"City")</f>
        <v/>
      </c>
      <c r="X772" s="36">
        <f>IF(O772="","",IF(ISNUMBER(SEARCH(O772,J772)),"Yes","No"))</f>
        <v/>
      </c>
      <c r="Y772" s="36" t="n">
        <v>0.5</v>
      </c>
      <c r="Z772" s="36" t="inlineStr">
        <is>
          <t>sitemap-places.xml</t>
        </is>
      </c>
      <c r="AA772" s="36" t="inlineStr">
        <is>
          <t>Live – indexable</t>
        </is>
      </c>
      <c r="AB772" s="38" t="n"/>
      <c r="AC772" s="38" t="n"/>
    </row>
    <row r="773" ht="23.85" customHeight="1" s="22">
      <c r="A773" s="36" t="inlineStr">
        <is>
          <t>P0772</t>
        </is>
      </c>
      <c r="B773" s="36" t="inlineStr">
        <is>
          <t>https://instasure.ca/insurance/ontario/oakville/</t>
        </is>
      </c>
      <c r="C773" s="36" t="inlineStr">
        <is>
          <t>Place hub</t>
        </is>
      </c>
      <c r="D773" s="36" t="inlineStr">
        <is>
          <t>Multi-line (place hubs)</t>
        </is>
      </c>
      <c r="E773" s="36" t="n"/>
      <c r="F773" s="36" t="n"/>
      <c r="G773" s="36" t="inlineStr">
        <is>
          <t>Ontario</t>
        </is>
      </c>
      <c r="H773" s="36" t="inlineStr">
        <is>
          <t>Oakville</t>
        </is>
      </c>
      <c r="I773" s="36" t="inlineStr">
        <is>
          <t>Yes</t>
        </is>
      </c>
      <c r="J773" s="25" t="inlineStr">
        <is>
          <t>Insurance in Oakville, ON: Compare Quotes &amp; Licensed Advisors</t>
        </is>
      </c>
      <c r="K773" s="36">
        <f>LEN(J773)</f>
        <v/>
      </c>
      <c r="L773" s="25" t="inlineStr">
        <is>
          <t>Insurance in Oakville: instant estimates for car, home, tenant, life and business coverage, local risk factors, and advisors licensed in Ontario.</t>
        </is>
      </c>
      <c r="M773" s="36">
        <f>LEN(L773)</f>
        <v/>
      </c>
      <c r="N773" s="25" t="inlineStr">
        <is>
          <t>Insurance in Oakville, ON</t>
        </is>
      </c>
      <c r="O773" s="36" t="n"/>
      <c r="P773" s="37" t="n"/>
      <c r="Q773" s="36" t="n"/>
      <c r="R773" s="36" t="inlineStr">
        <is>
          <t>insurance oakville</t>
        </is>
      </c>
      <c r="S773" s="36">
        <f>COUNTIF('Page-Keyword Map'!$A$2:$A$675,B773)</f>
        <v/>
      </c>
      <c r="T773" s="37">
        <f>SUMIF('Page-Keyword Map'!$A$2:$A$675,B773,'Page-Keyword Map'!$H$2:$H$675)</f>
        <v/>
      </c>
      <c r="U773" s="36">
        <f>COUNTIFS('Page-Keyword Map'!$A$2:$A$675,B773,'Page-Keyword Map'!$E$2:$E$675,"Nationwide")</f>
        <v/>
      </c>
      <c r="V773" s="36">
        <f>COUNTIFS('Page-Keyword Map'!$A$2:$A$675,B773,'Page-Keyword Map'!$E$2:$E$675,"Provincial")</f>
        <v/>
      </c>
      <c r="W773" s="36">
        <f>COUNTIFS('Page-Keyword Map'!$A$2:$A$675,B773,'Page-Keyword Map'!$E$2:$E$675,"City")</f>
        <v/>
      </c>
      <c r="X773" s="36">
        <f>IF(O773="","",IF(ISNUMBER(SEARCH(O773,J773)),"Yes","No"))</f>
        <v/>
      </c>
      <c r="Y773" s="36" t="n">
        <v>0.5</v>
      </c>
      <c r="Z773" s="36" t="inlineStr">
        <is>
          <t>sitemap-places.xml</t>
        </is>
      </c>
      <c r="AA773" s="36" t="inlineStr">
        <is>
          <t>Live – indexable</t>
        </is>
      </c>
      <c r="AB773" s="38" t="n"/>
      <c r="AC773" s="38" t="n"/>
    </row>
    <row r="774" ht="23.85" customHeight="1" s="22">
      <c r="A774" s="36" t="inlineStr">
        <is>
          <t>P0773</t>
        </is>
      </c>
      <c r="B774" s="36" t="inlineStr">
        <is>
          <t>https://instasure.ca/insurance/ontario/oshawa/</t>
        </is>
      </c>
      <c r="C774" s="36" t="inlineStr">
        <is>
          <t>Place hub</t>
        </is>
      </c>
      <c r="D774" s="36" t="inlineStr">
        <is>
          <t>Multi-line (place hubs)</t>
        </is>
      </c>
      <c r="E774" s="36" t="n"/>
      <c r="F774" s="36" t="n"/>
      <c r="G774" s="36" t="inlineStr">
        <is>
          <t>Ontario</t>
        </is>
      </c>
      <c r="H774" s="36" t="inlineStr">
        <is>
          <t>Oshawa</t>
        </is>
      </c>
      <c r="I774" s="36" t="inlineStr">
        <is>
          <t>Yes</t>
        </is>
      </c>
      <c r="J774" s="25" t="inlineStr">
        <is>
          <t>Insurance in Oshawa, ON: Compare Quotes &amp; Licensed Advisors</t>
        </is>
      </c>
      <c r="K774" s="36">
        <f>LEN(J774)</f>
        <v/>
      </c>
      <c r="L774" s="25" t="inlineStr">
        <is>
          <t>Insurance in Oshawa: instant estimates for car, home, tenant, life and business coverage, local risk factors, and advisors licensed in Ontario.</t>
        </is>
      </c>
      <c r="M774" s="36">
        <f>LEN(L774)</f>
        <v/>
      </c>
      <c r="N774" s="25" t="inlineStr">
        <is>
          <t>Insurance in Oshawa, ON</t>
        </is>
      </c>
      <c r="O774" s="36" t="n"/>
      <c r="P774" s="37" t="n"/>
      <c r="Q774" s="36" t="n"/>
      <c r="R774" s="36" t="inlineStr">
        <is>
          <t>insurance oshawa</t>
        </is>
      </c>
      <c r="S774" s="36">
        <f>COUNTIF('Page-Keyword Map'!$A$2:$A$675,B774)</f>
        <v/>
      </c>
      <c r="T774" s="37">
        <f>SUMIF('Page-Keyword Map'!$A$2:$A$675,B774,'Page-Keyword Map'!$H$2:$H$675)</f>
        <v/>
      </c>
      <c r="U774" s="36">
        <f>COUNTIFS('Page-Keyword Map'!$A$2:$A$675,B774,'Page-Keyword Map'!$E$2:$E$675,"Nationwide")</f>
        <v/>
      </c>
      <c r="V774" s="36">
        <f>COUNTIFS('Page-Keyword Map'!$A$2:$A$675,B774,'Page-Keyword Map'!$E$2:$E$675,"Provincial")</f>
        <v/>
      </c>
      <c r="W774" s="36">
        <f>COUNTIFS('Page-Keyword Map'!$A$2:$A$675,B774,'Page-Keyword Map'!$E$2:$E$675,"City")</f>
        <v/>
      </c>
      <c r="X774" s="36">
        <f>IF(O774="","",IF(ISNUMBER(SEARCH(O774,J774)),"Yes","No"))</f>
        <v/>
      </c>
      <c r="Y774" s="36" t="n">
        <v>0.5</v>
      </c>
      <c r="Z774" s="36" t="inlineStr">
        <is>
          <t>sitemap-places.xml</t>
        </is>
      </c>
      <c r="AA774" s="36" t="inlineStr">
        <is>
          <t>Live – indexable</t>
        </is>
      </c>
      <c r="AB774" s="38" t="n"/>
      <c r="AC774" s="38" t="n"/>
    </row>
    <row r="775" ht="23.85" customHeight="1" s="22">
      <c r="A775" s="36" t="inlineStr">
        <is>
          <t>P0774</t>
        </is>
      </c>
      <c r="B775" s="36" t="inlineStr">
        <is>
          <t>https://instasure.ca/insurance/ontario/ottawa/</t>
        </is>
      </c>
      <c r="C775" s="36" t="inlineStr">
        <is>
          <t>Place hub</t>
        </is>
      </c>
      <c r="D775" s="36" t="inlineStr">
        <is>
          <t>Multi-line (place hubs)</t>
        </is>
      </c>
      <c r="E775" s="36" t="n"/>
      <c r="F775" s="36" t="n"/>
      <c r="G775" s="36" t="inlineStr">
        <is>
          <t>Ontario</t>
        </is>
      </c>
      <c r="H775" s="36" t="inlineStr">
        <is>
          <t>Ottawa</t>
        </is>
      </c>
      <c r="I775" s="36" t="inlineStr">
        <is>
          <t>Yes</t>
        </is>
      </c>
      <c r="J775" s="25" t="inlineStr">
        <is>
          <t>Insurance in Ottawa, ON: Compare Quotes &amp; Licensed Advisors</t>
        </is>
      </c>
      <c r="K775" s="36">
        <f>LEN(J775)</f>
        <v/>
      </c>
      <c r="L775" s="25" t="inlineStr">
        <is>
          <t>Insurance in Ottawa: instant estimates for car, home, tenant, life and business coverage, local risk factors, and advisors licensed in Ontario.</t>
        </is>
      </c>
      <c r="M775" s="36">
        <f>LEN(L775)</f>
        <v/>
      </c>
      <c r="N775" s="25" t="inlineStr">
        <is>
          <t>Insurance in Ottawa, ON</t>
        </is>
      </c>
      <c r="O775" s="36" t="inlineStr">
        <is>
          <t>insurance advisor ottawa</t>
        </is>
      </c>
      <c r="P775" s="37" t="n">
        <v>300</v>
      </c>
      <c r="Q775" s="36" t="inlineStr">
        <is>
          <t>City</t>
        </is>
      </c>
      <c r="R775" s="36" t="n"/>
      <c r="S775" s="36">
        <f>COUNTIF('Page-Keyword Map'!$A$2:$A$675,B775)</f>
        <v/>
      </c>
      <c r="T775" s="37">
        <f>SUMIF('Page-Keyword Map'!$A$2:$A$675,B775,'Page-Keyword Map'!$H$2:$H$675)</f>
        <v/>
      </c>
      <c r="U775" s="36">
        <f>COUNTIFS('Page-Keyword Map'!$A$2:$A$675,B775,'Page-Keyword Map'!$E$2:$E$675,"Nationwide")</f>
        <v/>
      </c>
      <c r="V775" s="36">
        <f>COUNTIFS('Page-Keyword Map'!$A$2:$A$675,B775,'Page-Keyword Map'!$E$2:$E$675,"Provincial")</f>
        <v/>
      </c>
      <c r="W775" s="36">
        <f>COUNTIFS('Page-Keyword Map'!$A$2:$A$675,B775,'Page-Keyword Map'!$E$2:$E$675,"City")</f>
        <v/>
      </c>
      <c r="X775" s="36">
        <f>IF(O775="","",IF(ISNUMBER(SEARCH(O775,J775)),"Yes","No"))</f>
        <v/>
      </c>
      <c r="Y775" s="36" t="n">
        <v>0.5</v>
      </c>
      <c r="Z775" s="36" t="inlineStr">
        <is>
          <t>sitemap-places.xml</t>
        </is>
      </c>
      <c r="AA775" s="36" t="inlineStr">
        <is>
          <t>Live – indexable</t>
        </is>
      </c>
      <c r="AB775" s="38" t="n"/>
      <c r="AC775" s="38" t="n"/>
    </row>
    <row r="776" ht="23.85" customHeight="1" s="22">
      <c r="A776" s="36" t="inlineStr">
        <is>
          <t>P0775</t>
        </is>
      </c>
      <c r="B776" s="36" t="inlineStr">
        <is>
          <t>https://instasure.ca/insurance/ontario/pickering/</t>
        </is>
      </c>
      <c r="C776" s="36" t="inlineStr">
        <is>
          <t>Place hub</t>
        </is>
      </c>
      <c r="D776" s="36" t="inlineStr">
        <is>
          <t>Multi-line (place hubs)</t>
        </is>
      </c>
      <c r="E776" s="36" t="n"/>
      <c r="F776" s="36" t="n"/>
      <c r="G776" s="36" t="inlineStr">
        <is>
          <t>Ontario</t>
        </is>
      </c>
      <c r="H776" s="36" t="inlineStr">
        <is>
          <t>Pickering</t>
        </is>
      </c>
      <c r="I776" s="36" t="inlineStr">
        <is>
          <t>No</t>
        </is>
      </c>
      <c r="J776" s="25" t="inlineStr">
        <is>
          <t>Insurance in Pickering, ON: Compare Quotes &amp; Licensed Advisors</t>
        </is>
      </c>
      <c r="K776" s="36">
        <f>LEN(J776)</f>
        <v/>
      </c>
      <c r="L776" s="25" t="inlineStr">
        <is>
          <t>Insurance in Pickering: instant estimates for car, home, tenant, life and business coverage, local risk factors, and advisors licensed in Ontario.</t>
        </is>
      </c>
      <c r="M776" s="36">
        <f>LEN(L776)</f>
        <v/>
      </c>
      <c r="N776" s="25" t="inlineStr">
        <is>
          <t>Insurance in Pickering, ON</t>
        </is>
      </c>
      <c r="O776" s="36" t="n"/>
      <c r="P776" s="37" t="n"/>
      <c r="Q776" s="36" t="n"/>
      <c r="R776" s="36" t="inlineStr">
        <is>
          <t>insurance pickering</t>
        </is>
      </c>
      <c r="S776" s="36">
        <f>COUNTIF('Page-Keyword Map'!$A$2:$A$675,B776)</f>
        <v/>
      </c>
      <c r="T776" s="37">
        <f>SUMIF('Page-Keyword Map'!$A$2:$A$675,B776,'Page-Keyword Map'!$H$2:$H$675)</f>
        <v/>
      </c>
      <c r="U776" s="36">
        <f>COUNTIFS('Page-Keyword Map'!$A$2:$A$675,B776,'Page-Keyword Map'!$E$2:$E$675,"Nationwide")</f>
        <v/>
      </c>
      <c r="V776" s="36">
        <f>COUNTIFS('Page-Keyword Map'!$A$2:$A$675,B776,'Page-Keyword Map'!$E$2:$E$675,"Provincial")</f>
        <v/>
      </c>
      <c r="W776" s="36">
        <f>COUNTIFS('Page-Keyword Map'!$A$2:$A$675,B776,'Page-Keyword Map'!$E$2:$E$675,"City")</f>
        <v/>
      </c>
      <c r="X776" s="36">
        <f>IF(O776="","",IF(ISNUMBER(SEARCH(O776,J776)),"Yes","No"))</f>
        <v/>
      </c>
      <c r="Y776" s="36" t="n">
        <v>0.5</v>
      </c>
      <c r="Z776" s="36" t="inlineStr">
        <is>
          <t>(not listed: noindex)</t>
        </is>
      </c>
      <c r="AA776" s="36" t="inlineStr">
        <is>
          <t>Live – noindex (enrich before indexing)</t>
        </is>
      </c>
      <c r="AB776" s="38" t="n"/>
      <c r="AC776" s="38" t="n"/>
    </row>
    <row r="777" ht="23.85" customHeight="1" s="22">
      <c r="A777" s="36" t="inlineStr">
        <is>
          <t>P0776</t>
        </is>
      </c>
      <c r="B777" s="36" t="inlineStr">
        <is>
          <t>https://instasure.ca/insurance/ontario/richmond-hill/</t>
        </is>
      </c>
      <c r="C777" s="36" t="inlineStr">
        <is>
          <t>Place hub</t>
        </is>
      </c>
      <c r="D777" s="36" t="inlineStr">
        <is>
          <t>Multi-line (place hubs)</t>
        </is>
      </c>
      <c r="E777" s="36" t="n"/>
      <c r="F777" s="36" t="n"/>
      <c r="G777" s="36" t="inlineStr">
        <is>
          <t>Ontario</t>
        </is>
      </c>
      <c r="H777" s="36" t="inlineStr">
        <is>
          <t>Richmond Hill</t>
        </is>
      </c>
      <c r="I777" s="36" t="inlineStr">
        <is>
          <t>Yes</t>
        </is>
      </c>
      <c r="J777" s="25" t="inlineStr">
        <is>
          <t>Insurance in Richmond Hill, ON: Compare Quotes &amp; Licensed Advisors</t>
        </is>
      </c>
      <c r="K777" s="36">
        <f>LEN(J777)</f>
        <v/>
      </c>
      <c r="L777" s="25" t="inlineStr">
        <is>
          <t>Insurance in Richmond Hill: instant estimates for car, home, tenant, life and business coverage, local risk factors, and advisors licensed in Ontario.</t>
        </is>
      </c>
      <c r="M777" s="36">
        <f>LEN(L777)</f>
        <v/>
      </c>
      <c r="N777" s="25" t="inlineStr">
        <is>
          <t>Insurance in Richmond Hill, ON</t>
        </is>
      </c>
      <c r="O777" s="36" t="n"/>
      <c r="P777" s="37" t="n"/>
      <c r="Q777" s="36" t="n"/>
      <c r="R777" s="36" t="inlineStr">
        <is>
          <t>insurance richmond hill</t>
        </is>
      </c>
      <c r="S777" s="36">
        <f>COUNTIF('Page-Keyword Map'!$A$2:$A$675,B777)</f>
        <v/>
      </c>
      <c r="T777" s="37">
        <f>SUMIF('Page-Keyword Map'!$A$2:$A$675,B777,'Page-Keyword Map'!$H$2:$H$675)</f>
        <v/>
      </c>
      <c r="U777" s="36">
        <f>COUNTIFS('Page-Keyword Map'!$A$2:$A$675,B777,'Page-Keyword Map'!$E$2:$E$675,"Nationwide")</f>
        <v/>
      </c>
      <c r="V777" s="36">
        <f>COUNTIFS('Page-Keyword Map'!$A$2:$A$675,B777,'Page-Keyword Map'!$E$2:$E$675,"Provincial")</f>
        <v/>
      </c>
      <c r="W777" s="36">
        <f>COUNTIFS('Page-Keyword Map'!$A$2:$A$675,B777,'Page-Keyword Map'!$E$2:$E$675,"City")</f>
        <v/>
      </c>
      <c r="X777" s="36">
        <f>IF(O777="","",IF(ISNUMBER(SEARCH(O777,J777)),"Yes","No"))</f>
        <v/>
      </c>
      <c r="Y777" s="36" t="n">
        <v>0.5</v>
      </c>
      <c r="Z777" s="36" t="inlineStr">
        <is>
          <t>sitemap-places.xml</t>
        </is>
      </c>
      <c r="AA777" s="36" t="inlineStr">
        <is>
          <t>Live – indexable</t>
        </is>
      </c>
      <c r="AB777" s="38" t="n"/>
      <c r="AC777" s="38" t="n"/>
    </row>
    <row r="778" ht="23.85" customHeight="1" s="22">
      <c r="A778" s="36" t="inlineStr">
        <is>
          <t>P0777</t>
        </is>
      </c>
      <c r="B778" s="36" t="inlineStr">
        <is>
          <t>https://instasure.ca/insurance/ontario/st-catharines/</t>
        </is>
      </c>
      <c r="C778" s="36" t="inlineStr">
        <is>
          <t>Place hub</t>
        </is>
      </c>
      <c r="D778" s="36" t="inlineStr">
        <is>
          <t>Multi-line (place hubs)</t>
        </is>
      </c>
      <c r="E778" s="36" t="n"/>
      <c r="F778" s="36" t="n"/>
      <c r="G778" s="36" t="inlineStr">
        <is>
          <t>Ontario</t>
        </is>
      </c>
      <c r="H778" s="36" t="inlineStr">
        <is>
          <t>St. Catharines</t>
        </is>
      </c>
      <c r="I778" s="36" t="inlineStr">
        <is>
          <t>Yes</t>
        </is>
      </c>
      <c r="J778" s="25" t="inlineStr">
        <is>
          <t>Insurance in St. Catharines, ON: Compare Quotes &amp; Licensed Advisors</t>
        </is>
      </c>
      <c r="K778" s="36">
        <f>LEN(J778)</f>
        <v/>
      </c>
      <c r="L778" s="25" t="inlineStr">
        <is>
          <t>Insurance in St. Catharines: instant estimates for car, home, tenant, life and business coverage, local risk factors, and advisors licensed in Ontario.</t>
        </is>
      </c>
      <c r="M778" s="36">
        <f>LEN(L778)</f>
        <v/>
      </c>
      <c r="N778" s="25" t="inlineStr">
        <is>
          <t>Insurance in St. Catharines, ON</t>
        </is>
      </c>
      <c r="O778" s="36" t="n"/>
      <c r="P778" s="37" t="n"/>
      <c r="Q778" s="36" t="n"/>
      <c r="R778" s="36" t="inlineStr">
        <is>
          <t>insurance st. catharines</t>
        </is>
      </c>
      <c r="S778" s="36">
        <f>COUNTIF('Page-Keyword Map'!$A$2:$A$675,B778)</f>
        <v/>
      </c>
      <c r="T778" s="37">
        <f>SUMIF('Page-Keyword Map'!$A$2:$A$675,B778,'Page-Keyword Map'!$H$2:$H$675)</f>
        <v/>
      </c>
      <c r="U778" s="36">
        <f>COUNTIFS('Page-Keyword Map'!$A$2:$A$675,B778,'Page-Keyword Map'!$E$2:$E$675,"Nationwide")</f>
        <v/>
      </c>
      <c r="V778" s="36">
        <f>COUNTIFS('Page-Keyword Map'!$A$2:$A$675,B778,'Page-Keyword Map'!$E$2:$E$675,"Provincial")</f>
        <v/>
      </c>
      <c r="W778" s="36">
        <f>COUNTIFS('Page-Keyword Map'!$A$2:$A$675,B778,'Page-Keyword Map'!$E$2:$E$675,"City")</f>
        <v/>
      </c>
      <c r="X778" s="36">
        <f>IF(O778="","",IF(ISNUMBER(SEARCH(O778,J778)),"Yes","No"))</f>
        <v/>
      </c>
      <c r="Y778" s="36" t="n">
        <v>0.5</v>
      </c>
      <c r="Z778" s="36" t="inlineStr">
        <is>
          <t>sitemap-places.xml</t>
        </is>
      </c>
      <c r="AA778" s="36" t="inlineStr">
        <is>
          <t>Live – indexable</t>
        </is>
      </c>
      <c r="AB778" s="38" t="n"/>
      <c r="AC778" s="38" t="n"/>
    </row>
    <row r="779" ht="23.85" customHeight="1" s="22">
      <c r="A779" s="36" t="inlineStr">
        <is>
          <t>P0778</t>
        </is>
      </c>
      <c r="B779" s="36" t="inlineStr">
        <is>
          <t>https://instasure.ca/insurance/ontario/sudbury/</t>
        </is>
      </c>
      <c r="C779" s="36" t="inlineStr">
        <is>
          <t>Place hub</t>
        </is>
      </c>
      <c r="D779" s="36" t="inlineStr">
        <is>
          <t>Multi-line (place hubs)</t>
        </is>
      </c>
      <c r="E779" s="36" t="n"/>
      <c r="F779" s="36" t="n"/>
      <c r="G779" s="36" t="inlineStr">
        <is>
          <t>Ontario</t>
        </is>
      </c>
      <c r="H779" s="36" t="inlineStr">
        <is>
          <t>Sudbury</t>
        </is>
      </c>
      <c r="I779" s="36" t="inlineStr">
        <is>
          <t>No</t>
        </is>
      </c>
      <c r="J779" s="25" t="inlineStr">
        <is>
          <t>Insurance in Sudbury, ON: Compare Quotes &amp; Licensed Advisors</t>
        </is>
      </c>
      <c r="K779" s="36">
        <f>LEN(J779)</f>
        <v/>
      </c>
      <c r="L779" s="25" t="inlineStr">
        <is>
          <t>Insurance in Sudbury: instant estimates for car, home, tenant, life and business coverage, local risk factors, and advisors licensed in Ontario.</t>
        </is>
      </c>
      <c r="M779" s="36">
        <f>LEN(L779)</f>
        <v/>
      </c>
      <c r="N779" s="25" t="inlineStr">
        <is>
          <t>Insurance in Sudbury, ON</t>
        </is>
      </c>
      <c r="O779" s="36" t="n"/>
      <c r="P779" s="37" t="n"/>
      <c r="Q779" s="36" t="n"/>
      <c r="R779" s="36" t="inlineStr">
        <is>
          <t>insurance sudbury</t>
        </is>
      </c>
      <c r="S779" s="36">
        <f>COUNTIF('Page-Keyword Map'!$A$2:$A$675,B779)</f>
        <v/>
      </c>
      <c r="T779" s="37">
        <f>SUMIF('Page-Keyword Map'!$A$2:$A$675,B779,'Page-Keyword Map'!$H$2:$H$675)</f>
        <v/>
      </c>
      <c r="U779" s="36">
        <f>COUNTIFS('Page-Keyword Map'!$A$2:$A$675,B779,'Page-Keyword Map'!$E$2:$E$675,"Nationwide")</f>
        <v/>
      </c>
      <c r="V779" s="36">
        <f>COUNTIFS('Page-Keyword Map'!$A$2:$A$675,B779,'Page-Keyword Map'!$E$2:$E$675,"Provincial")</f>
        <v/>
      </c>
      <c r="W779" s="36">
        <f>COUNTIFS('Page-Keyword Map'!$A$2:$A$675,B779,'Page-Keyword Map'!$E$2:$E$675,"City")</f>
        <v/>
      </c>
      <c r="X779" s="36">
        <f>IF(O779="","",IF(ISNUMBER(SEARCH(O779,J779)),"Yes","No"))</f>
        <v/>
      </c>
      <c r="Y779" s="36" t="n">
        <v>0.5</v>
      </c>
      <c r="Z779" s="36" t="inlineStr">
        <is>
          <t>(not listed: noindex)</t>
        </is>
      </c>
      <c r="AA779" s="36" t="inlineStr">
        <is>
          <t>Live – noindex (enrich before indexing)</t>
        </is>
      </c>
      <c r="AB779" s="38" t="n"/>
      <c r="AC779" s="38" t="n"/>
    </row>
    <row r="780" ht="23.85" customHeight="1" s="22">
      <c r="A780" s="36" t="inlineStr">
        <is>
          <t>P0779</t>
        </is>
      </c>
      <c r="B780" s="36" t="inlineStr">
        <is>
          <t>https://instasure.ca/insurance/ontario/thunder-bay/</t>
        </is>
      </c>
      <c r="C780" s="36" t="inlineStr">
        <is>
          <t>Place hub</t>
        </is>
      </c>
      <c r="D780" s="36" t="inlineStr">
        <is>
          <t>Multi-line (place hubs)</t>
        </is>
      </c>
      <c r="E780" s="36" t="n"/>
      <c r="F780" s="36" t="n"/>
      <c r="G780" s="36" t="inlineStr">
        <is>
          <t>Ontario</t>
        </is>
      </c>
      <c r="H780" s="36" t="inlineStr">
        <is>
          <t>Thunder Bay</t>
        </is>
      </c>
      <c r="I780" s="36" t="inlineStr">
        <is>
          <t>No</t>
        </is>
      </c>
      <c r="J780" s="25" t="inlineStr">
        <is>
          <t>Insurance in Thunder Bay, ON: Compare Quotes &amp; Licensed Advisors</t>
        </is>
      </c>
      <c r="K780" s="36">
        <f>LEN(J780)</f>
        <v/>
      </c>
      <c r="L780" s="25" t="inlineStr">
        <is>
          <t>Insurance in Thunder Bay: instant estimates for car, home, tenant, life and business coverage, local risk factors, and advisors licensed in Ontario.</t>
        </is>
      </c>
      <c r="M780" s="36">
        <f>LEN(L780)</f>
        <v/>
      </c>
      <c r="N780" s="25" t="inlineStr">
        <is>
          <t>Insurance in Thunder Bay, ON</t>
        </is>
      </c>
      <c r="O780" s="36" t="n"/>
      <c r="P780" s="37" t="n"/>
      <c r="Q780" s="36" t="n"/>
      <c r="R780" s="36" t="inlineStr">
        <is>
          <t>insurance thunder bay</t>
        </is>
      </c>
      <c r="S780" s="36">
        <f>COUNTIF('Page-Keyword Map'!$A$2:$A$675,B780)</f>
        <v/>
      </c>
      <c r="T780" s="37">
        <f>SUMIF('Page-Keyword Map'!$A$2:$A$675,B780,'Page-Keyword Map'!$H$2:$H$675)</f>
        <v/>
      </c>
      <c r="U780" s="36">
        <f>COUNTIFS('Page-Keyword Map'!$A$2:$A$675,B780,'Page-Keyword Map'!$E$2:$E$675,"Nationwide")</f>
        <v/>
      </c>
      <c r="V780" s="36">
        <f>COUNTIFS('Page-Keyword Map'!$A$2:$A$675,B780,'Page-Keyword Map'!$E$2:$E$675,"Provincial")</f>
        <v/>
      </c>
      <c r="W780" s="36">
        <f>COUNTIFS('Page-Keyword Map'!$A$2:$A$675,B780,'Page-Keyword Map'!$E$2:$E$675,"City")</f>
        <v/>
      </c>
      <c r="X780" s="36">
        <f>IF(O780="","",IF(ISNUMBER(SEARCH(O780,J780)),"Yes","No"))</f>
        <v/>
      </c>
      <c r="Y780" s="36" t="n">
        <v>0.5</v>
      </c>
      <c r="Z780" s="36" t="inlineStr">
        <is>
          <t>(not listed: noindex)</t>
        </is>
      </c>
      <c r="AA780" s="36" t="inlineStr">
        <is>
          <t>Live – noindex (enrich before indexing)</t>
        </is>
      </c>
      <c r="AB780" s="38" t="n"/>
      <c r="AC780" s="38" t="n"/>
    </row>
    <row r="781" ht="23.85" customHeight="1" s="22">
      <c r="A781" s="36" t="inlineStr">
        <is>
          <t>P0780</t>
        </is>
      </c>
      <c r="B781" s="36" t="inlineStr">
        <is>
          <t>https://instasure.ca/insurance/ontario/toronto/</t>
        </is>
      </c>
      <c r="C781" s="36" t="inlineStr">
        <is>
          <t>Place hub</t>
        </is>
      </c>
      <c r="D781" s="36" t="inlineStr">
        <is>
          <t>Multi-line (place hubs)</t>
        </is>
      </c>
      <c r="E781" s="36" t="n"/>
      <c r="F781" s="36" t="n"/>
      <c r="G781" s="36" t="inlineStr">
        <is>
          <t>Ontario</t>
        </is>
      </c>
      <c r="H781" s="36" t="inlineStr">
        <is>
          <t>Toronto</t>
        </is>
      </c>
      <c r="I781" s="36" t="inlineStr">
        <is>
          <t>Yes</t>
        </is>
      </c>
      <c r="J781" s="25" t="inlineStr">
        <is>
          <t>Insurance in Toronto, ON: Compare Quotes &amp; Licensed Advisors</t>
        </is>
      </c>
      <c r="K781" s="36">
        <f>LEN(J781)</f>
        <v/>
      </c>
      <c r="L781" s="25" t="inlineStr">
        <is>
          <t>Insurance in Toronto: instant estimates for car, home, tenant, life and business coverage, local risk factors, and advisors licensed in Ontario.</t>
        </is>
      </c>
      <c r="M781" s="36">
        <f>LEN(L781)</f>
        <v/>
      </c>
      <c r="N781" s="25" t="inlineStr">
        <is>
          <t>Insurance in Toronto, ON</t>
        </is>
      </c>
      <c r="O781" s="36" t="inlineStr">
        <is>
          <t>insurance advisor toronto</t>
        </is>
      </c>
      <c r="P781" s="37" t="n">
        <v>680</v>
      </c>
      <c r="Q781" s="36" t="inlineStr">
        <is>
          <t>City</t>
        </is>
      </c>
      <c r="R781" s="36" t="n"/>
      <c r="S781" s="36">
        <f>COUNTIF('Page-Keyword Map'!$A$2:$A$675,B781)</f>
        <v/>
      </c>
      <c r="T781" s="37">
        <f>SUMIF('Page-Keyword Map'!$A$2:$A$675,B781,'Page-Keyword Map'!$H$2:$H$675)</f>
        <v/>
      </c>
      <c r="U781" s="36">
        <f>COUNTIFS('Page-Keyword Map'!$A$2:$A$675,B781,'Page-Keyword Map'!$E$2:$E$675,"Nationwide")</f>
        <v/>
      </c>
      <c r="V781" s="36">
        <f>COUNTIFS('Page-Keyword Map'!$A$2:$A$675,B781,'Page-Keyword Map'!$E$2:$E$675,"Provincial")</f>
        <v/>
      </c>
      <c r="W781" s="36">
        <f>COUNTIFS('Page-Keyword Map'!$A$2:$A$675,B781,'Page-Keyword Map'!$E$2:$E$675,"City")</f>
        <v/>
      </c>
      <c r="X781" s="36">
        <f>IF(O781="","",IF(ISNUMBER(SEARCH(O781,J781)),"Yes","No"))</f>
        <v/>
      </c>
      <c r="Y781" s="36" t="n">
        <v>0.5</v>
      </c>
      <c r="Z781" s="36" t="inlineStr">
        <is>
          <t>sitemap-places.xml</t>
        </is>
      </c>
      <c r="AA781" s="36" t="inlineStr">
        <is>
          <t>Live – indexable</t>
        </is>
      </c>
      <c r="AB781" s="38" t="n"/>
      <c r="AC781" s="38" t="n"/>
    </row>
    <row r="782" ht="23.85" customHeight="1" s="22">
      <c r="A782" s="36" t="inlineStr">
        <is>
          <t>P0781</t>
        </is>
      </c>
      <c r="B782" s="36" t="inlineStr">
        <is>
          <t>https://instasure.ca/insurance/ontario/vaughan/</t>
        </is>
      </c>
      <c r="C782" s="36" t="inlineStr">
        <is>
          <t>Place hub</t>
        </is>
      </c>
      <c r="D782" s="36" t="inlineStr">
        <is>
          <t>Multi-line (place hubs)</t>
        </is>
      </c>
      <c r="E782" s="36" t="n"/>
      <c r="F782" s="36" t="n"/>
      <c r="G782" s="36" t="inlineStr">
        <is>
          <t>Ontario</t>
        </is>
      </c>
      <c r="H782" s="36" t="inlineStr">
        <is>
          <t>Vaughan</t>
        </is>
      </c>
      <c r="I782" s="36" t="inlineStr">
        <is>
          <t>Yes</t>
        </is>
      </c>
      <c r="J782" s="25" t="inlineStr">
        <is>
          <t>Insurance in Vaughan, ON: Compare Quotes &amp; Licensed Advisors</t>
        </is>
      </c>
      <c r="K782" s="36">
        <f>LEN(J782)</f>
        <v/>
      </c>
      <c r="L782" s="25" t="inlineStr">
        <is>
          <t>Insurance in Vaughan: instant estimates for car, home, tenant, life and business coverage, local risk factors, and advisors licensed in Ontario.</t>
        </is>
      </c>
      <c r="M782" s="36">
        <f>LEN(L782)</f>
        <v/>
      </c>
      <c r="N782" s="25" t="inlineStr">
        <is>
          <t>Insurance in Vaughan, ON</t>
        </is>
      </c>
      <c r="O782" s="36" t="inlineStr">
        <is>
          <t>insurance advisor vaughan</t>
        </is>
      </c>
      <c r="P782" s="37" t="n">
        <v>120</v>
      </c>
      <c r="Q782" s="36" t="inlineStr">
        <is>
          <t>City</t>
        </is>
      </c>
      <c r="R782" s="36" t="n"/>
      <c r="S782" s="36">
        <f>COUNTIF('Page-Keyword Map'!$A$2:$A$675,B782)</f>
        <v/>
      </c>
      <c r="T782" s="37">
        <f>SUMIF('Page-Keyword Map'!$A$2:$A$675,B782,'Page-Keyword Map'!$H$2:$H$675)</f>
        <v/>
      </c>
      <c r="U782" s="36">
        <f>COUNTIFS('Page-Keyword Map'!$A$2:$A$675,B782,'Page-Keyword Map'!$E$2:$E$675,"Nationwide")</f>
        <v/>
      </c>
      <c r="V782" s="36">
        <f>COUNTIFS('Page-Keyword Map'!$A$2:$A$675,B782,'Page-Keyword Map'!$E$2:$E$675,"Provincial")</f>
        <v/>
      </c>
      <c r="W782" s="36">
        <f>COUNTIFS('Page-Keyword Map'!$A$2:$A$675,B782,'Page-Keyword Map'!$E$2:$E$675,"City")</f>
        <v/>
      </c>
      <c r="X782" s="36">
        <f>IF(O782="","",IF(ISNUMBER(SEARCH(O782,J782)),"Yes","No"))</f>
        <v/>
      </c>
      <c r="Y782" s="36" t="n">
        <v>0.5</v>
      </c>
      <c r="Z782" s="36" t="inlineStr">
        <is>
          <t>sitemap-places.xml</t>
        </is>
      </c>
      <c r="AA782" s="36" t="inlineStr">
        <is>
          <t>Live – indexable</t>
        </is>
      </c>
      <c r="AB782" s="38" t="n"/>
      <c r="AC782" s="38" t="n"/>
    </row>
    <row r="783" ht="23.85" customHeight="1" s="22">
      <c r="A783" s="36" t="inlineStr">
        <is>
          <t>P0782</t>
        </is>
      </c>
      <c r="B783" s="36" t="inlineStr">
        <is>
          <t>https://instasure.ca/insurance/ontario/waterloo/</t>
        </is>
      </c>
      <c r="C783" s="36" t="inlineStr">
        <is>
          <t>Place hub</t>
        </is>
      </c>
      <c r="D783" s="36" t="inlineStr">
        <is>
          <t>Multi-line (place hubs)</t>
        </is>
      </c>
      <c r="E783" s="36" t="n"/>
      <c r="F783" s="36" t="n"/>
      <c r="G783" s="36" t="inlineStr">
        <is>
          <t>Ontario</t>
        </is>
      </c>
      <c r="H783" s="36" t="inlineStr">
        <is>
          <t>Waterloo</t>
        </is>
      </c>
      <c r="I783" s="36" t="inlineStr">
        <is>
          <t>Yes</t>
        </is>
      </c>
      <c r="J783" s="25" t="inlineStr">
        <is>
          <t>Insurance in Waterloo, ON: Compare Quotes &amp; Licensed Advisors</t>
        </is>
      </c>
      <c r="K783" s="36">
        <f>LEN(J783)</f>
        <v/>
      </c>
      <c r="L783" s="25" t="inlineStr">
        <is>
          <t>Insurance in Waterloo: instant estimates for car, home, tenant, life and business coverage, local risk factors, and advisors licensed in Ontario.</t>
        </is>
      </c>
      <c r="M783" s="36">
        <f>LEN(L783)</f>
        <v/>
      </c>
      <c r="N783" s="25" t="inlineStr">
        <is>
          <t>Insurance in Waterloo, ON</t>
        </is>
      </c>
      <c r="O783" s="36" t="n"/>
      <c r="P783" s="37" t="n"/>
      <c r="Q783" s="36" t="n"/>
      <c r="R783" s="36" t="inlineStr">
        <is>
          <t>insurance waterloo</t>
        </is>
      </c>
      <c r="S783" s="36">
        <f>COUNTIF('Page-Keyword Map'!$A$2:$A$675,B783)</f>
        <v/>
      </c>
      <c r="T783" s="37">
        <f>SUMIF('Page-Keyword Map'!$A$2:$A$675,B783,'Page-Keyword Map'!$H$2:$H$675)</f>
        <v/>
      </c>
      <c r="U783" s="36">
        <f>COUNTIFS('Page-Keyword Map'!$A$2:$A$675,B783,'Page-Keyword Map'!$E$2:$E$675,"Nationwide")</f>
        <v/>
      </c>
      <c r="V783" s="36">
        <f>COUNTIFS('Page-Keyword Map'!$A$2:$A$675,B783,'Page-Keyword Map'!$E$2:$E$675,"Provincial")</f>
        <v/>
      </c>
      <c r="W783" s="36">
        <f>COUNTIFS('Page-Keyword Map'!$A$2:$A$675,B783,'Page-Keyword Map'!$E$2:$E$675,"City")</f>
        <v/>
      </c>
      <c r="X783" s="36">
        <f>IF(O783="","",IF(ISNUMBER(SEARCH(O783,J783)),"Yes","No"))</f>
        <v/>
      </c>
      <c r="Y783" s="36" t="n">
        <v>0.5</v>
      </c>
      <c r="Z783" s="36" t="inlineStr">
        <is>
          <t>sitemap-places.xml</t>
        </is>
      </c>
      <c r="AA783" s="36" t="inlineStr">
        <is>
          <t>Live – indexable</t>
        </is>
      </c>
      <c r="AB783" s="38" t="n"/>
      <c r="AC783" s="38" t="n"/>
    </row>
    <row r="784" ht="23.85" customHeight="1" s="22">
      <c r="A784" s="36" t="inlineStr">
        <is>
          <t>P0783</t>
        </is>
      </c>
      <c r="B784" s="36" t="inlineStr">
        <is>
          <t>https://instasure.ca/insurance/ontario/whitby/</t>
        </is>
      </c>
      <c r="C784" s="36" t="inlineStr">
        <is>
          <t>Place hub</t>
        </is>
      </c>
      <c r="D784" s="36" t="inlineStr">
        <is>
          <t>Multi-line (place hubs)</t>
        </is>
      </c>
      <c r="E784" s="36" t="n"/>
      <c r="F784" s="36" t="n"/>
      <c r="G784" s="36" t="inlineStr">
        <is>
          <t>Ontario</t>
        </is>
      </c>
      <c r="H784" s="36" t="inlineStr">
        <is>
          <t>Whitby</t>
        </is>
      </c>
      <c r="I784" s="36" t="inlineStr">
        <is>
          <t>No</t>
        </is>
      </c>
      <c r="J784" s="25" t="inlineStr">
        <is>
          <t>Insurance in Whitby, ON: Compare Quotes &amp; Licensed Advisors</t>
        </is>
      </c>
      <c r="K784" s="36">
        <f>LEN(J784)</f>
        <v/>
      </c>
      <c r="L784" s="25" t="inlineStr">
        <is>
          <t>Insurance in Whitby: instant estimates for car, home, tenant, life and business coverage, local risk factors, and advisors licensed in Ontario.</t>
        </is>
      </c>
      <c r="M784" s="36">
        <f>LEN(L784)</f>
        <v/>
      </c>
      <c r="N784" s="25" t="inlineStr">
        <is>
          <t>Insurance in Whitby, ON</t>
        </is>
      </c>
      <c r="O784" s="36" t="n"/>
      <c r="P784" s="37" t="n"/>
      <c r="Q784" s="36" t="n"/>
      <c r="R784" s="36" t="inlineStr">
        <is>
          <t>insurance whitby</t>
        </is>
      </c>
      <c r="S784" s="36">
        <f>COUNTIF('Page-Keyword Map'!$A$2:$A$675,B784)</f>
        <v/>
      </c>
      <c r="T784" s="37">
        <f>SUMIF('Page-Keyword Map'!$A$2:$A$675,B784,'Page-Keyword Map'!$H$2:$H$675)</f>
        <v/>
      </c>
      <c r="U784" s="36">
        <f>COUNTIFS('Page-Keyword Map'!$A$2:$A$675,B784,'Page-Keyword Map'!$E$2:$E$675,"Nationwide")</f>
        <v/>
      </c>
      <c r="V784" s="36">
        <f>COUNTIFS('Page-Keyword Map'!$A$2:$A$675,B784,'Page-Keyword Map'!$E$2:$E$675,"Provincial")</f>
        <v/>
      </c>
      <c r="W784" s="36">
        <f>COUNTIFS('Page-Keyword Map'!$A$2:$A$675,B784,'Page-Keyword Map'!$E$2:$E$675,"City")</f>
        <v/>
      </c>
      <c r="X784" s="36">
        <f>IF(O784="","",IF(ISNUMBER(SEARCH(O784,J784)),"Yes","No"))</f>
        <v/>
      </c>
      <c r="Y784" s="36" t="n">
        <v>0.5</v>
      </c>
      <c r="Z784" s="36" t="inlineStr">
        <is>
          <t>(not listed: noindex)</t>
        </is>
      </c>
      <c r="AA784" s="36" t="inlineStr">
        <is>
          <t>Live – noindex (enrich before indexing)</t>
        </is>
      </c>
      <c r="AB784" s="38" t="n"/>
      <c r="AC784" s="38" t="n"/>
    </row>
    <row r="785" ht="23.85" customHeight="1" s="22">
      <c r="A785" s="36" t="inlineStr">
        <is>
          <t>P0784</t>
        </is>
      </c>
      <c r="B785" s="36" t="inlineStr">
        <is>
          <t>https://instasure.ca/insurance/ontario/windsor/</t>
        </is>
      </c>
      <c r="C785" s="36" t="inlineStr">
        <is>
          <t>Place hub</t>
        </is>
      </c>
      <c r="D785" s="36" t="inlineStr">
        <is>
          <t>Multi-line (place hubs)</t>
        </is>
      </c>
      <c r="E785" s="36" t="n"/>
      <c r="F785" s="36" t="n"/>
      <c r="G785" s="36" t="inlineStr">
        <is>
          <t>Ontario</t>
        </is>
      </c>
      <c r="H785" s="36" t="inlineStr">
        <is>
          <t>Windsor</t>
        </is>
      </c>
      <c r="I785" s="36" t="inlineStr">
        <is>
          <t>Yes</t>
        </is>
      </c>
      <c r="J785" s="25" t="inlineStr">
        <is>
          <t>Insurance in Windsor, ON: Compare Quotes &amp; Licensed Advisors</t>
        </is>
      </c>
      <c r="K785" s="36">
        <f>LEN(J785)</f>
        <v/>
      </c>
      <c r="L785" s="25" t="inlineStr">
        <is>
          <t>Insurance in Windsor: instant estimates for car, home, tenant, life and business coverage, local risk factors, and advisors licensed in Ontario.</t>
        </is>
      </c>
      <c r="M785" s="36">
        <f>LEN(L785)</f>
        <v/>
      </c>
      <c r="N785" s="25" t="inlineStr">
        <is>
          <t>Insurance in Windsor, ON</t>
        </is>
      </c>
      <c r="O785" s="36" t="inlineStr">
        <is>
          <t>insurance advisor windsor</t>
        </is>
      </c>
      <c r="P785" s="37" t="n">
        <v>92</v>
      </c>
      <c r="Q785" s="36" t="inlineStr">
        <is>
          <t>City</t>
        </is>
      </c>
      <c r="R785" s="36" t="n"/>
      <c r="S785" s="36">
        <f>COUNTIF('Page-Keyword Map'!$A$2:$A$675,B785)</f>
        <v/>
      </c>
      <c r="T785" s="37">
        <f>SUMIF('Page-Keyword Map'!$A$2:$A$675,B785,'Page-Keyword Map'!$H$2:$H$675)</f>
        <v/>
      </c>
      <c r="U785" s="36">
        <f>COUNTIFS('Page-Keyword Map'!$A$2:$A$675,B785,'Page-Keyword Map'!$E$2:$E$675,"Nationwide")</f>
        <v/>
      </c>
      <c r="V785" s="36">
        <f>COUNTIFS('Page-Keyword Map'!$A$2:$A$675,B785,'Page-Keyword Map'!$E$2:$E$675,"Provincial")</f>
        <v/>
      </c>
      <c r="W785" s="36">
        <f>COUNTIFS('Page-Keyword Map'!$A$2:$A$675,B785,'Page-Keyword Map'!$E$2:$E$675,"City")</f>
        <v/>
      </c>
      <c r="X785" s="36">
        <f>IF(O785="","",IF(ISNUMBER(SEARCH(O785,J785)),"Yes","No"))</f>
        <v/>
      </c>
      <c r="Y785" s="36" t="n">
        <v>0.5</v>
      </c>
      <c r="Z785" s="36" t="inlineStr">
        <is>
          <t>sitemap-places.xml</t>
        </is>
      </c>
      <c r="AA785" s="36" t="inlineStr">
        <is>
          <t>Live – indexable</t>
        </is>
      </c>
      <c r="AB785" s="38" t="n"/>
      <c r="AC785" s="38" t="n"/>
    </row>
    <row r="786" ht="23.85" customHeight="1" s="22">
      <c r="A786" s="36" t="inlineStr">
        <is>
          <t>P0785</t>
        </is>
      </c>
      <c r="B786" s="36" t="inlineStr">
        <is>
          <t>https://instasure.ca/insurance/prince-edward-island/</t>
        </is>
      </c>
      <c r="C786" s="36" t="inlineStr">
        <is>
          <t>Place hub</t>
        </is>
      </c>
      <c r="D786" s="36" t="inlineStr">
        <is>
          <t>Multi-line (place hubs)</t>
        </is>
      </c>
      <c r="E786" s="36" t="n"/>
      <c r="F786" s="36" t="n"/>
      <c r="G786" s="36" t="inlineStr">
        <is>
          <t>Prince Edward Island</t>
        </is>
      </c>
      <c r="H786" s="36" t="n"/>
      <c r="I786" s="36" t="inlineStr">
        <is>
          <t>Yes</t>
        </is>
      </c>
      <c r="J786" s="25" t="inlineStr">
        <is>
          <t>Insurance in Prince Edward Island: Life, Home, Car &amp; Business Coverage</t>
        </is>
      </c>
      <c r="K786" s="36">
        <f>LEN(J786)</f>
        <v/>
      </c>
      <c r="L786" s="25" t="inlineStr">
        <is>
          <t>How insurance works in Prince Edward Island: private insurers, regulator (PEI Superintendent), local risks and licensed advisors. Get instant estimates for every…</t>
        </is>
      </c>
      <c r="M786" s="36">
        <f>LEN(L786)</f>
        <v/>
      </c>
      <c r="N786" s="25" t="inlineStr">
        <is>
          <t>Insurance in Prince Edward Island</t>
        </is>
      </c>
      <c r="O786" s="36" t="n"/>
      <c r="P786" s="37" t="n"/>
      <c r="Q786" s="36" t="n"/>
      <c r="R786" s="36" t="inlineStr">
        <is>
          <t>insurance prince edward island</t>
        </is>
      </c>
      <c r="S786" s="36">
        <f>COUNTIF('Page-Keyword Map'!$A$2:$A$675,B786)</f>
        <v/>
      </c>
      <c r="T786" s="37">
        <f>SUMIF('Page-Keyword Map'!$A$2:$A$675,B786,'Page-Keyword Map'!$H$2:$H$675)</f>
        <v/>
      </c>
      <c r="U786" s="36">
        <f>COUNTIFS('Page-Keyword Map'!$A$2:$A$675,B786,'Page-Keyword Map'!$E$2:$E$675,"Nationwide")</f>
        <v/>
      </c>
      <c r="V786" s="36">
        <f>COUNTIFS('Page-Keyword Map'!$A$2:$A$675,B786,'Page-Keyword Map'!$E$2:$E$675,"Provincial")</f>
        <v/>
      </c>
      <c r="W786" s="36">
        <f>COUNTIFS('Page-Keyword Map'!$A$2:$A$675,B786,'Page-Keyword Map'!$E$2:$E$675,"City")</f>
        <v/>
      </c>
      <c r="X786" s="36">
        <f>IF(O786="","",IF(ISNUMBER(SEARCH(O786,J786)),"Yes","No"))</f>
        <v/>
      </c>
      <c r="Y786" s="36" t="n">
        <v>0.6</v>
      </c>
      <c r="Z786" s="36" t="inlineStr">
        <is>
          <t>sitemap-places.xml</t>
        </is>
      </c>
      <c r="AA786" s="36" t="inlineStr">
        <is>
          <t>Live – indexable</t>
        </is>
      </c>
      <c r="AB786" s="38" t="n"/>
      <c r="AC786" s="38" t="n"/>
    </row>
    <row r="787" ht="23.85" customHeight="1" s="22">
      <c r="A787" s="36" t="inlineStr">
        <is>
          <t>P0786</t>
        </is>
      </c>
      <c r="B787" s="36" t="inlineStr">
        <is>
          <t>https://instasure.ca/insurance/prince-edward-island/charlottetown/</t>
        </is>
      </c>
      <c r="C787" s="36" t="inlineStr">
        <is>
          <t>Place hub</t>
        </is>
      </c>
      <c r="D787" s="36" t="inlineStr">
        <is>
          <t>Multi-line (place hubs)</t>
        </is>
      </c>
      <c r="E787" s="36" t="n"/>
      <c r="F787" s="36" t="n"/>
      <c r="G787" s="36" t="inlineStr">
        <is>
          <t>Prince Edward Island</t>
        </is>
      </c>
      <c r="H787" s="36" t="inlineStr">
        <is>
          <t>Charlottetown</t>
        </is>
      </c>
      <c r="I787" s="36" t="inlineStr">
        <is>
          <t>Yes</t>
        </is>
      </c>
      <c r="J787" s="25" t="inlineStr">
        <is>
          <t>Insurance in Charlottetown, PE: Compare Quotes &amp; Licensed Advisors</t>
        </is>
      </c>
      <c r="K787" s="36">
        <f>LEN(J787)</f>
        <v/>
      </c>
      <c r="L787" s="25" t="inlineStr">
        <is>
          <t>Insurance in Charlottetown: instant estimates for car, home, tenant, life and business coverage, local risk factors, and advisors licensed in Prince Edward Island.</t>
        </is>
      </c>
      <c r="M787" s="36">
        <f>LEN(L787)</f>
        <v/>
      </c>
      <c r="N787" s="25" t="inlineStr">
        <is>
          <t>Insurance in Charlottetown, PE</t>
        </is>
      </c>
      <c r="O787" s="36" t="n"/>
      <c r="P787" s="37" t="n"/>
      <c r="Q787" s="36" t="n"/>
      <c r="R787" s="36" t="inlineStr">
        <is>
          <t>insurance charlottetown</t>
        </is>
      </c>
      <c r="S787" s="36">
        <f>COUNTIF('Page-Keyword Map'!$A$2:$A$675,B787)</f>
        <v/>
      </c>
      <c r="T787" s="37">
        <f>SUMIF('Page-Keyword Map'!$A$2:$A$675,B787,'Page-Keyword Map'!$H$2:$H$675)</f>
        <v/>
      </c>
      <c r="U787" s="36">
        <f>COUNTIFS('Page-Keyword Map'!$A$2:$A$675,B787,'Page-Keyword Map'!$E$2:$E$675,"Nationwide")</f>
        <v/>
      </c>
      <c r="V787" s="36">
        <f>COUNTIFS('Page-Keyword Map'!$A$2:$A$675,B787,'Page-Keyword Map'!$E$2:$E$675,"Provincial")</f>
        <v/>
      </c>
      <c r="W787" s="36">
        <f>COUNTIFS('Page-Keyword Map'!$A$2:$A$675,B787,'Page-Keyword Map'!$E$2:$E$675,"City")</f>
        <v/>
      </c>
      <c r="X787" s="36">
        <f>IF(O787="","",IF(ISNUMBER(SEARCH(O787,J787)),"Yes","No"))</f>
        <v/>
      </c>
      <c r="Y787" s="36" t="n">
        <v>0.5</v>
      </c>
      <c r="Z787" s="36" t="inlineStr">
        <is>
          <t>sitemap-places.xml</t>
        </is>
      </c>
      <c r="AA787" s="36" t="inlineStr">
        <is>
          <t>Live – indexable</t>
        </is>
      </c>
      <c r="AB787" s="38" t="n"/>
      <c r="AC787" s="38" t="n"/>
    </row>
    <row r="788" ht="23.85" customHeight="1" s="22">
      <c r="A788" s="36" t="inlineStr">
        <is>
          <t>P0787</t>
        </is>
      </c>
      <c r="B788" s="36" t="inlineStr">
        <is>
          <t>https://instasure.ca/insurance/quebec/</t>
        </is>
      </c>
      <c r="C788" s="36" t="inlineStr">
        <is>
          <t>Place hub</t>
        </is>
      </c>
      <c r="D788" s="36" t="inlineStr">
        <is>
          <t>Multi-line (place hubs)</t>
        </is>
      </c>
      <c r="E788" s="36" t="n"/>
      <c r="F788" s="36" t="n"/>
      <c r="G788" s="36" t="inlineStr">
        <is>
          <t>Quebec</t>
        </is>
      </c>
      <c r="H788" s="36" t="n"/>
      <c r="I788" s="36" t="inlineStr">
        <is>
          <t>Yes</t>
        </is>
      </c>
      <c r="J788" s="25" t="inlineStr">
        <is>
          <t>Insurance in Quebec: Life, Home, Car &amp; Business Coverage</t>
        </is>
      </c>
      <c r="K788" s="36">
        <f>LEN(J788)</f>
        <v/>
      </c>
      <c r="L788" s="25" t="inlineStr">
        <is>
          <t>How insurance works in Quebec: saaq covers bodily injury; private insurers cover property damage, regulator (AMF), local risks and licensed advisors. Get instant…</t>
        </is>
      </c>
      <c r="M788" s="36">
        <f>LEN(L788)</f>
        <v/>
      </c>
      <c r="N788" s="25" t="inlineStr">
        <is>
          <t>Insurance in Quebec</t>
        </is>
      </c>
      <c r="O788" s="36" t="n"/>
      <c r="P788" s="37" t="n"/>
      <c r="Q788" s="36" t="n"/>
      <c r="R788" s="36" t="inlineStr">
        <is>
          <t>insurance quebec</t>
        </is>
      </c>
      <c r="S788" s="36">
        <f>COUNTIF('Page-Keyword Map'!$A$2:$A$675,B788)</f>
        <v/>
      </c>
      <c r="T788" s="37">
        <f>SUMIF('Page-Keyword Map'!$A$2:$A$675,B788,'Page-Keyword Map'!$H$2:$H$675)</f>
        <v/>
      </c>
      <c r="U788" s="36">
        <f>COUNTIFS('Page-Keyword Map'!$A$2:$A$675,B788,'Page-Keyword Map'!$E$2:$E$675,"Nationwide")</f>
        <v/>
      </c>
      <c r="V788" s="36">
        <f>COUNTIFS('Page-Keyword Map'!$A$2:$A$675,B788,'Page-Keyword Map'!$E$2:$E$675,"Provincial")</f>
        <v/>
      </c>
      <c r="W788" s="36">
        <f>COUNTIFS('Page-Keyword Map'!$A$2:$A$675,B788,'Page-Keyword Map'!$E$2:$E$675,"City")</f>
        <v/>
      </c>
      <c r="X788" s="36">
        <f>IF(O788="","",IF(ISNUMBER(SEARCH(O788,J788)),"Yes","No"))</f>
        <v/>
      </c>
      <c r="Y788" s="36" t="n">
        <v>0.6</v>
      </c>
      <c r="Z788" s="36" t="inlineStr">
        <is>
          <t>sitemap-places.xml</t>
        </is>
      </c>
      <c r="AA788" s="36" t="inlineStr">
        <is>
          <t>Live – indexable</t>
        </is>
      </c>
      <c r="AB788" s="38" t="n"/>
      <c r="AC788" s="38" t="n"/>
    </row>
    <row r="789" ht="23.85" customHeight="1" s="22">
      <c r="A789" s="36" t="inlineStr">
        <is>
          <t>P0788</t>
        </is>
      </c>
      <c r="B789" s="36" t="inlineStr">
        <is>
          <t>https://instasure.ca/insurance/quebec/gatineau/</t>
        </is>
      </c>
      <c r="C789" s="36" t="inlineStr">
        <is>
          <t>Place hub</t>
        </is>
      </c>
      <c r="D789" s="36" t="inlineStr">
        <is>
          <t>Multi-line (place hubs)</t>
        </is>
      </c>
      <c r="E789" s="36" t="n"/>
      <c r="F789" s="36" t="n"/>
      <c r="G789" s="36" t="inlineStr">
        <is>
          <t>Quebec</t>
        </is>
      </c>
      <c r="H789" s="36" t="inlineStr">
        <is>
          <t>Gatineau</t>
        </is>
      </c>
      <c r="I789" s="36" t="inlineStr">
        <is>
          <t>Yes</t>
        </is>
      </c>
      <c r="J789" s="25" t="inlineStr">
        <is>
          <t>Insurance in Gatineau, QC: Compare Quotes &amp; Licensed Advisors</t>
        </is>
      </c>
      <c r="K789" s="36">
        <f>LEN(J789)</f>
        <v/>
      </c>
      <c r="L789" s="25" t="inlineStr">
        <is>
          <t>Insurance in Gatineau: instant estimates for car, home, tenant, life and business coverage, local risk factors, and advisors licensed in Quebec.</t>
        </is>
      </c>
      <c r="M789" s="36">
        <f>LEN(L789)</f>
        <v/>
      </c>
      <c r="N789" s="25" t="inlineStr">
        <is>
          <t>Insurance in Gatineau, QC</t>
        </is>
      </c>
      <c r="O789" s="36" t="n"/>
      <c r="P789" s="37" t="n"/>
      <c r="Q789" s="36" t="n"/>
      <c r="R789" s="36" t="inlineStr">
        <is>
          <t>insurance gatineau</t>
        </is>
      </c>
      <c r="S789" s="36">
        <f>COUNTIF('Page-Keyword Map'!$A$2:$A$675,B789)</f>
        <v/>
      </c>
      <c r="T789" s="37">
        <f>SUMIF('Page-Keyword Map'!$A$2:$A$675,B789,'Page-Keyword Map'!$H$2:$H$675)</f>
        <v/>
      </c>
      <c r="U789" s="36">
        <f>COUNTIFS('Page-Keyword Map'!$A$2:$A$675,B789,'Page-Keyword Map'!$E$2:$E$675,"Nationwide")</f>
        <v/>
      </c>
      <c r="V789" s="36">
        <f>COUNTIFS('Page-Keyword Map'!$A$2:$A$675,B789,'Page-Keyword Map'!$E$2:$E$675,"Provincial")</f>
        <v/>
      </c>
      <c r="W789" s="36">
        <f>COUNTIFS('Page-Keyword Map'!$A$2:$A$675,B789,'Page-Keyword Map'!$E$2:$E$675,"City")</f>
        <v/>
      </c>
      <c r="X789" s="36">
        <f>IF(O789="","",IF(ISNUMBER(SEARCH(O789,J789)),"Yes","No"))</f>
        <v/>
      </c>
      <c r="Y789" s="36" t="n">
        <v>0.5</v>
      </c>
      <c r="Z789" s="36" t="inlineStr">
        <is>
          <t>sitemap-places.xml</t>
        </is>
      </c>
      <c r="AA789" s="36" t="inlineStr">
        <is>
          <t>Live – indexable</t>
        </is>
      </c>
      <c r="AB789" s="38" t="n"/>
      <c r="AC789" s="38" t="n"/>
    </row>
    <row r="790" ht="23.85" customHeight="1" s="22">
      <c r="A790" s="36" t="inlineStr">
        <is>
          <t>P0789</t>
        </is>
      </c>
      <c r="B790" s="36" t="inlineStr">
        <is>
          <t>https://instasure.ca/insurance/quebec/laval/</t>
        </is>
      </c>
      <c r="C790" s="36" t="inlineStr">
        <is>
          <t>Place hub</t>
        </is>
      </c>
      <c r="D790" s="36" t="inlineStr">
        <is>
          <t>Multi-line (place hubs)</t>
        </is>
      </c>
      <c r="E790" s="36" t="n"/>
      <c r="F790" s="36" t="n"/>
      <c r="G790" s="36" t="inlineStr">
        <is>
          <t>Quebec</t>
        </is>
      </c>
      <c r="H790" s="36" t="inlineStr">
        <is>
          <t>Laval</t>
        </is>
      </c>
      <c r="I790" s="36" t="inlineStr">
        <is>
          <t>Yes</t>
        </is>
      </c>
      <c r="J790" s="25" t="inlineStr">
        <is>
          <t>Insurance in Laval, QC: Compare Quotes &amp; Licensed Advisors</t>
        </is>
      </c>
      <c r="K790" s="36">
        <f>LEN(J790)</f>
        <v/>
      </c>
      <c r="L790" s="25" t="inlineStr">
        <is>
          <t>Insurance in Laval: instant estimates for car, home, tenant, life and business coverage, local risk factors, and advisors licensed in Quebec.</t>
        </is>
      </c>
      <c r="M790" s="36">
        <f>LEN(L790)</f>
        <v/>
      </c>
      <c r="N790" s="25" t="inlineStr">
        <is>
          <t>Insurance in Laval, QC</t>
        </is>
      </c>
      <c r="O790" s="36" t="n"/>
      <c r="P790" s="37" t="n"/>
      <c r="Q790" s="36" t="n"/>
      <c r="R790" s="36" t="inlineStr">
        <is>
          <t>insurance laval</t>
        </is>
      </c>
      <c r="S790" s="36">
        <f>COUNTIF('Page-Keyword Map'!$A$2:$A$675,B790)</f>
        <v/>
      </c>
      <c r="T790" s="37">
        <f>SUMIF('Page-Keyword Map'!$A$2:$A$675,B790,'Page-Keyword Map'!$H$2:$H$675)</f>
        <v/>
      </c>
      <c r="U790" s="36">
        <f>COUNTIFS('Page-Keyword Map'!$A$2:$A$675,B790,'Page-Keyword Map'!$E$2:$E$675,"Nationwide")</f>
        <v/>
      </c>
      <c r="V790" s="36">
        <f>COUNTIFS('Page-Keyword Map'!$A$2:$A$675,B790,'Page-Keyword Map'!$E$2:$E$675,"Provincial")</f>
        <v/>
      </c>
      <c r="W790" s="36">
        <f>COUNTIFS('Page-Keyword Map'!$A$2:$A$675,B790,'Page-Keyword Map'!$E$2:$E$675,"City")</f>
        <v/>
      </c>
      <c r="X790" s="36">
        <f>IF(O790="","",IF(ISNUMBER(SEARCH(O790,J790)),"Yes","No"))</f>
        <v/>
      </c>
      <c r="Y790" s="36" t="n">
        <v>0.5</v>
      </c>
      <c r="Z790" s="36" t="inlineStr">
        <is>
          <t>sitemap-places.xml</t>
        </is>
      </c>
      <c r="AA790" s="36" t="inlineStr">
        <is>
          <t>Live – indexable</t>
        </is>
      </c>
      <c r="AB790" s="38" t="n"/>
      <c r="AC790" s="38" t="n"/>
    </row>
    <row r="791" ht="23.85" customHeight="1" s="22">
      <c r="A791" s="36" t="inlineStr">
        <is>
          <t>P0790</t>
        </is>
      </c>
      <c r="B791" s="36" t="inlineStr">
        <is>
          <t>https://instasure.ca/insurance/quebec/longueuil/</t>
        </is>
      </c>
      <c r="C791" s="36" t="inlineStr">
        <is>
          <t>Place hub</t>
        </is>
      </c>
      <c r="D791" s="36" t="inlineStr">
        <is>
          <t>Multi-line (place hubs)</t>
        </is>
      </c>
      <c r="E791" s="36" t="n"/>
      <c r="F791" s="36" t="n"/>
      <c r="G791" s="36" t="inlineStr">
        <is>
          <t>Quebec</t>
        </is>
      </c>
      <c r="H791" s="36" t="inlineStr">
        <is>
          <t>Longueuil</t>
        </is>
      </c>
      <c r="I791" s="36" t="inlineStr">
        <is>
          <t>Yes</t>
        </is>
      </c>
      <c r="J791" s="25" t="inlineStr">
        <is>
          <t>Insurance in Longueuil, QC: Compare Quotes &amp; Licensed Advisors</t>
        </is>
      </c>
      <c r="K791" s="36">
        <f>LEN(J791)</f>
        <v/>
      </c>
      <c r="L791" s="25" t="inlineStr">
        <is>
          <t>Insurance in Longueuil: instant estimates for car, home, tenant, life and business coverage, local risk factors, and advisors licensed in Quebec.</t>
        </is>
      </c>
      <c r="M791" s="36">
        <f>LEN(L791)</f>
        <v/>
      </c>
      <c r="N791" s="25" t="inlineStr">
        <is>
          <t>Insurance in Longueuil, QC</t>
        </is>
      </c>
      <c r="O791" s="36" t="n"/>
      <c r="P791" s="37" t="n"/>
      <c r="Q791" s="36" t="n"/>
      <c r="R791" s="36" t="inlineStr">
        <is>
          <t>insurance longueuil</t>
        </is>
      </c>
      <c r="S791" s="36">
        <f>COUNTIF('Page-Keyword Map'!$A$2:$A$675,B791)</f>
        <v/>
      </c>
      <c r="T791" s="37">
        <f>SUMIF('Page-Keyword Map'!$A$2:$A$675,B791,'Page-Keyword Map'!$H$2:$H$675)</f>
        <v/>
      </c>
      <c r="U791" s="36">
        <f>COUNTIFS('Page-Keyword Map'!$A$2:$A$675,B791,'Page-Keyword Map'!$E$2:$E$675,"Nationwide")</f>
        <v/>
      </c>
      <c r="V791" s="36">
        <f>COUNTIFS('Page-Keyword Map'!$A$2:$A$675,B791,'Page-Keyword Map'!$E$2:$E$675,"Provincial")</f>
        <v/>
      </c>
      <c r="W791" s="36">
        <f>COUNTIFS('Page-Keyword Map'!$A$2:$A$675,B791,'Page-Keyword Map'!$E$2:$E$675,"City")</f>
        <v/>
      </c>
      <c r="X791" s="36">
        <f>IF(O791="","",IF(ISNUMBER(SEARCH(O791,J791)),"Yes","No"))</f>
        <v/>
      </c>
      <c r="Y791" s="36" t="n">
        <v>0.5</v>
      </c>
      <c r="Z791" s="36" t="inlineStr">
        <is>
          <t>sitemap-places.xml</t>
        </is>
      </c>
      <c r="AA791" s="36" t="inlineStr">
        <is>
          <t>Live – indexable</t>
        </is>
      </c>
      <c r="AB791" s="38" t="n"/>
      <c r="AC791" s="38" t="n"/>
    </row>
    <row r="792" ht="23.85" customHeight="1" s="22">
      <c r="A792" s="36" t="inlineStr">
        <is>
          <t>P0791</t>
        </is>
      </c>
      <c r="B792" s="36" t="inlineStr">
        <is>
          <t>https://instasure.ca/insurance/quebec/montreal/</t>
        </is>
      </c>
      <c r="C792" s="36" t="inlineStr">
        <is>
          <t>Place hub</t>
        </is>
      </c>
      <c r="D792" s="36" t="inlineStr">
        <is>
          <t>Multi-line (place hubs)</t>
        </is>
      </c>
      <c r="E792" s="36" t="n"/>
      <c r="F792" s="36" t="n"/>
      <c r="G792" s="36" t="inlineStr">
        <is>
          <t>Quebec</t>
        </is>
      </c>
      <c r="H792" s="36" t="inlineStr">
        <is>
          <t>Montreal</t>
        </is>
      </c>
      <c r="I792" s="36" t="inlineStr">
        <is>
          <t>Yes</t>
        </is>
      </c>
      <c r="J792" s="25" t="inlineStr">
        <is>
          <t>Insurance in Montreal, QC: Compare Quotes &amp; Licensed Advisors</t>
        </is>
      </c>
      <c r="K792" s="36">
        <f>LEN(J792)</f>
        <v/>
      </c>
      <c r="L792" s="25" t="inlineStr">
        <is>
          <t>Insurance in Montreal: instant estimates for car, home, tenant, life and business coverage, local risk factors, and advisors licensed in Quebec.</t>
        </is>
      </c>
      <c r="M792" s="36">
        <f>LEN(L792)</f>
        <v/>
      </c>
      <c r="N792" s="25" t="inlineStr">
        <is>
          <t>Insurance in Montreal, QC</t>
        </is>
      </c>
      <c r="O792" s="36" t="n"/>
      <c r="P792" s="37" t="n"/>
      <c r="Q792" s="36" t="n"/>
      <c r="R792" s="36" t="inlineStr">
        <is>
          <t>insurance montreal</t>
        </is>
      </c>
      <c r="S792" s="36">
        <f>COUNTIF('Page-Keyword Map'!$A$2:$A$675,B792)</f>
        <v/>
      </c>
      <c r="T792" s="37">
        <f>SUMIF('Page-Keyword Map'!$A$2:$A$675,B792,'Page-Keyword Map'!$H$2:$H$675)</f>
        <v/>
      </c>
      <c r="U792" s="36">
        <f>COUNTIFS('Page-Keyword Map'!$A$2:$A$675,B792,'Page-Keyword Map'!$E$2:$E$675,"Nationwide")</f>
        <v/>
      </c>
      <c r="V792" s="36">
        <f>COUNTIFS('Page-Keyword Map'!$A$2:$A$675,B792,'Page-Keyword Map'!$E$2:$E$675,"Provincial")</f>
        <v/>
      </c>
      <c r="W792" s="36">
        <f>COUNTIFS('Page-Keyword Map'!$A$2:$A$675,B792,'Page-Keyword Map'!$E$2:$E$675,"City")</f>
        <v/>
      </c>
      <c r="X792" s="36">
        <f>IF(O792="","",IF(ISNUMBER(SEARCH(O792,J792)),"Yes","No"))</f>
        <v/>
      </c>
      <c r="Y792" s="36" t="n">
        <v>0.5</v>
      </c>
      <c r="Z792" s="36" t="inlineStr">
        <is>
          <t>sitemap-places.xml</t>
        </is>
      </c>
      <c r="AA792" s="36" t="inlineStr">
        <is>
          <t>Live – indexable</t>
        </is>
      </c>
      <c r="AB792" s="38" t="n"/>
      <c r="AC792" s="38" t="n"/>
    </row>
    <row r="793" ht="23.85" customHeight="1" s="22">
      <c r="A793" s="36" t="inlineStr">
        <is>
          <t>P0792</t>
        </is>
      </c>
      <c r="B793" s="36" t="inlineStr">
        <is>
          <t>https://instasure.ca/insurance/quebec/quebec-city/</t>
        </is>
      </c>
      <c r="C793" s="36" t="inlineStr">
        <is>
          <t>Place hub</t>
        </is>
      </c>
      <c r="D793" s="36" t="inlineStr">
        <is>
          <t>Multi-line (place hubs)</t>
        </is>
      </c>
      <c r="E793" s="36" t="n"/>
      <c r="F793" s="36" t="n"/>
      <c r="G793" s="36" t="inlineStr">
        <is>
          <t>Quebec</t>
        </is>
      </c>
      <c r="H793" s="36" t="inlineStr">
        <is>
          <t>Quebec City</t>
        </is>
      </c>
      <c r="I793" s="36" t="inlineStr">
        <is>
          <t>Yes</t>
        </is>
      </c>
      <c r="J793" s="25" t="inlineStr">
        <is>
          <t>Insurance in Quebec City, QC: Compare Quotes &amp; Licensed Advisors</t>
        </is>
      </c>
      <c r="K793" s="36">
        <f>LEN(J793)</f>
        <v/>
      </c>
      <c r="L793" s="25" t="inlineStr">
        <is>
          <t>Insurance in Quebec City: instant estimates for car, home, tenant, life and business coverage, local risk factors, and advisors licensed in Quebec.</t>
        </is>
      </c>
      <c r="M793" s="36">
        <f>LEN(L793)</f>
        <v/>
      </c>
      <c r="N793" s="25" t="inlineStr">
        <is>
          <t>Insurance in Quebec City, QC</t>
        </is>
      </c>
      <c r="O793" s="36" t="n"/>
      <c r="P793" s="37" t="n"/>
      <c r="Q793" s="36" t="n"/>
      <c r="R793" s="36" t="inlineStr">
        <is>
          <t>insurance quebec city</t>
        </is>
      </c>
      <c r="S793" s="36">
        <f>COUNTIF('Page-Keyword Map'!$A$2:$A$675,B793)</f>
        <v/>
      </c>
      <c r="T793" s="37">
        <f>SUMIF('Page-Keyword Map'!$A$2:$A$675,B793,'Page-Keyword Map'!$H$2:$H$675)</f>
        <v/>
      </c>
      <c r="U793" s="36">
        <f>COUNTIFS('Page-Keyword Map'!$A$2:$A$675,B793,'Page-Keyword Map'!$E$2:$E$675,"Nationwide")</f>
        <v/>
      </c>
      <c r="V793" s="36">
        <f>COUNTIFS('Page-Keyword Map'!$A$2:$A$675,B793,'Page-Keyword Map'!$E$2:$E$675,"Provincial")</f>
        <v/>
      </c>
      <c r="W793" s="36">
        <f>COUNTIFS('Page-Keyword Map'!$A$2:$A$675,B793,'Page-Keyword Map'!$E$2:$E$675,"City")</f>
        <v/>
      </c>
      <c r="X793" s="36">
        <f>IF(O793="","",IF(ISNUMBER(SEARCH(O793,J793)),"Yes","No"))</f>
        <v/>
      </c>
      <c r="Y793" s="36" t="n">
        <v>0.5</v>
      </c>
      <c r="Z793" s="36" t="inlineStr">
        <is>
          <t>sitemap-places.xml</t>
        </is>
      </c>
      <c r="AA793" s="36" t="inlineStr">
        <is>
          <t>Live – indexable</t>
        </is>
      </c>
      <c r="AB793" s="38" t="n"/>
      <c r="AC793" s="38" t="n"/>
    </row>
    <row r="794" ht="23.85" customHeight="1" s="22">
      <c r="A794" s="36" t="inlineStr">
        <is>
          <t>P0793</t>
        </is>
      </c>
      <c r="B794" s="36" t="inlineStr">
        <is>
          <t>https://instasure.ca/insurance/quebec/sherbrooke/</t>
        </is>
      </c>
      <c r="C794" s="36" t="inlineStr">
        <is>
          <t>Place hub</t>
        </is>
      </c>
      <c r="D794" s="36" t="inlineStr">
        <is>
          <t>Multi-line (place hubs)</t>
        </is>
      </c>
      <c r="E794" s="36" t="n"/>
      <c r="F794" s="36" t="n"/>
      <c r="G794" s="36" t="inlineStr">
        <is>
          <t>Quebec</t>
        </is>
      </c>
      <c r="H794" s="36" t="inlineStr">
        <is>
          <t>Sherbrooke</t>
        </is>
      </c>
      <c r="I794" s="36" t="inlineStr">
        <is>
          <t>No</t>
        </is>
      </c>
      <c r="J794" s="25" t="inlineStr">
        <is>
          <t>Insurance in Sherbrooke, QC: Compare Quotes &amp; Licensed Advisors</t>
        </is>
      </c>
      <c r="K794" s="36">
        <f>LEN(J794)</f>
        <v/>
      </c>
      <c r="L794" s="25" t="inlineStr">
        <is>
          <t>Insurance in Sherbrooke: instant estimates for car, home, tenant, life and business coverage, local risk factors, and advisors licensed in Quebec.</t>
        </is>
      </c>
      <c r="M794" s="36">
        <f>LEN(L794)</f>
        <v/>
      </c>
      <c r="N794" s="25" t="inlineStr">
        <is>
          <t>Insurance in Sherbrooke, QC</t>
        </is>
      </c>
      <c r="O794" s="36" t="n"/>
      <c r="P794" s="37" t="n"/>
      <c r="Q794" s="36" t="n"/>
      <c r="R794" s="36" t="inlineStr">
        <is>
          <t>insurance sherbrooke</t>
        </is>
      </c>
      <c r="S794" s="36">
        <f>COUNTIF('Page-Keyword Map'!$A$2:$A$675,B794)</f>
        <v/>
      </c>
      <c r="T794" s="37">
        <f>SUMIF('Page-Keyword Map'!$A$2:$A$675,B794,'Page-Keyword Map'!$H$2:$H$675)</f>
        <v/>
      </c>
      <c r="U794" s="36">
        <f>COUNTIFS('Page-Keyword Map'!$A$2:$A$675,B794,'Page-Keyword Map'!$E$2:$E$675,"Nationwide")</f>
        <v/>
      </c>
      <c r="V794" s="36">
        <f>COUNTIFS('Page-Keyword Map'!$A$2:$A$675,B794,'Page-Keyword Map'!$E$2:$E$675,"Provincial")</f>
        <v/>
      </c>
      <c r="W794" s="36">
        <f>COUNTIFS('Page-Keyword Map'!$A$2:$A$675,B794,'Page-Keyword Map'!$E$2:$E$675,"City")</f>
        <v/>
      </c>
      <c r="X794" s="36">
        <f>IF(O794="","",IF(ISNUMBER(SEARCH(O794,J794)),"Yes","No"))</f>
        <v/>
      </c>
      <c r="Y794" s="36" t="n">
        <v>0.5</v>
      </c>
      <c r="Z794" s="36" t="inlineStr">
        <is>
          <t>(not listed: noindex)</t>
        </is>
      </c>
      <c r="AA794" s="36" t="inlineStr">
        <is>
          <t>Live – noindex (enrich before indexing)</t>
        </is>
      </c>
      <c r="AB794" s="38" t="n"/>
      <c r="AC794" s="38" t="n"/>
    </row>
    <row r="795" ht="23.85" customHeight="1" s="22">
      <c r="A795" s="36" t="inlineStr">
        <is>
          <t>P0794</t>
        </is>
      </c>
      <c r="B795" s="36" t="inlineStr">
        <is>
          <t>https://instasure.ca/insurance/saskatchewan/</t>
        </is>
      </c>
      <c r="C795" s="36" t="inlineStr">
        <is>
          <t>Place hub</t>
        </is>
      </c>
      <c r="D795" s="36" t="inlineStr">
        <is>
          <t>Multi-line (place hubs)</t>
        </is>
      </c>
      <c r="E795" s="36" t="n"/>
      <c r="F795" s="36" t="n"/>
      <c r="G795" s="36" t="inlineStr">
        <is>
          <t>Saskatchewan</t>
        </is>
      </c>
      <c r="H795" s="36" t="n"/>
      <c r="I795" s="36" t="inlineStr">
        <is>
          <t>Yes</t>
        </is>
      </c>
      <c r="J795" s="25" t="inlineStr">
        <is>
          <t>Insurance in Saskatchewan: Life, Home, Car &amp; Business Coverage</t>
        </is>
      </c>
      <c r="K795" s="36">
        <f>LEN(J795)</f>
        <v/>
      </c>
      <c r="L795" s="25" t="inlineStr">
        <is>
          <t>How insurance works in Saskatchewan: sgi provides basic plate coverage; optional packages available, regulator (FCAA), local risks and licensed advisors. Get…</t>
        </is>
      </c>
      <c r="M795" s="36">
        <f>LEN(L795)</f>
        <v/>
      </c>
      <c r="N795" s="25" t="inlineStr">
        <is>
          <t>Insurance in Saskatchewan</t>
        </is>
      </c>
      <c r="O795" s="36" t="n"/>
      <c r="P795" s="37" t="n"/>
      <c r="Q795" s="36" t="n"/>
      <c r="R795" s="36" t="inlineStr">
        <is>
          <t>insurance saskatchewan</t>
        </is>
      </c>
      <c r="S795" s="36">
        <f>COUNTIF('Page-Keyword Map'!$A$2:$A$675,B795)</f>
        <v/>
      </c>
      <c r="T795" s="37">
        <f>SUMIF('Page-Keyword Map'!$A$2:$A$675,B795,'Page-Keyword Map'!$H$2:$H$675)</f>
        <v/>
      </c>
      <c r="U795" s="36">
        <f>COUNTIFS('Page-Keyword Map'!$A$2:$A$675,B795,'Page-Keyword Map'!$E$2:$E$675,"Nationwide")</f>
        <v/>
      </c>
      <c r="V795" s="36">
        <f>COUNTIFS('Page-Keyword Map'!$A$2:$A$675,B795,'Page-Keyword Map'!$E$2:$E$675,"Provincial")</f>
        <v/>
      </c>
      <c r="W795" s="36">
        <f>COUNTIFS('Page-Keyword Map'!$A$2:$A$675,B795,'Page-Keyword Map'!$E$2:$E$675,"City")</f>
        <v/>
      </c>
      <c r="X795" s="36">
        <f>IF(O795="","",IF(ISNUMBER(SEARCH(O795,J795)),"Yes","No"))</f>
        <v/>
      </c>
      <c r="Y795" s="36" t="n">
        <v>0.6</v>
      </c>
      <c r="Z795" s="36" t="inlineStr">
        <is>
          <t>sitemap-places.xml</t>
        </is>
      </c>
      <c r="AA795" s="36" t="inlineStr">
        <is>
          <t>Live – indexable</t>
        </is>
      </c>
      <c r="AB795" s="38" t="n"/>
      <c r="AC795" s="38" t="n"/>
    </row>
    <row r="796" ht="23.85" customHeight="1" s="22">
      <c r="A796" s="36" t="inlineStr">
        <is>
          <t>P0795</t>
        </is>
      </c>
      <c r="B796" s="36" t="inlineStr">
        <is>
          <t>https://instasure.ca/insurance/saskatchewan/regina/</t>
        </is>
      </c>
      <c r="C796" s="36" t="inlineStr">
        <is>
          <t>Place hub</t>
        </is>
      </c>
      <c r="D796" s="36" t="inlineStr">
        <is>
          <t>Multi-line (place hubs)</t>
        </is>
      </c>
      <c r="E796" s="36" t="n"/>
      <c r="F796" s="36" t="n"/>
      <c r="G796" s="36" t="inlineStr">
        <is>
          <t>Saskatchewan</t>
        </is>
      </c>
      <c r="H796" s="36" t="inlineStr">
        <is>
          <t>Regina</t>
        </is>
      </c>
      <c r="I796" s="36" t="inlineStr">
        <is>
          <t>Yes</t>
        </is>
      </c>
      <c r="J796" s="25" t="inlineStr">
        <is>
          <t>Insurance in Regina, SK: Compare Quotes &amp; Licensed Advisors</t>
        </is>
      </c>
      <c r="K796" s="36">
        <f>LEN(J796)</f>
        <v/>
      </c>
      <c r="L796" s="25" t="inlineStr">
        <is>
          <t>Insurance in Regina: instant estimates for car, home, tenant, life and business coverage, local risk factors, and advisors licensed in Saskatchewan.</t>
        </is>
      </c>
      <c r="M796" s="36">
        <f>LEN(L796)</f>
        <v/>
      </c>
      <c r="N796" s="25" t="inlineStr">
        <is>
          <t>Insurance in Regina, SK</t>
        </is>
      </c>
      <c r="O796" s="36" t="inlineStr">
        <is>
          <t>insurance advisor regina</t>
        </is>
      </c>
      <c r="P796" s="37" t="n">
        <v>91</v>
      </c>
      <c r="Q796" s="36" t="inlineStr">
        <is>
          <t>City</t>
        </is>
      </c>
      <c r="R796" s="36" t="n"/>
      <c r="S796" s="36">
        <f>COUNTIF('Page-Keyword Map'!$A$2:$A$675,B796)</f>
        <v/>
      </c>
      <c r="T796" s="37">
        <f>SUMIF('Page-Keyword Map'!$A$2:$A$675,B796,'Page-Keyword Map'!$H$2:$H$675)</f>
        <v/>
      </c>
      <c r="U796" s="36">
        <f>COUNTIFS('Page-Keyword Map'!$A$2:$A$675,B796,'Page-Keyword Map'!$E$2:$E$675,"Nationwide")</f>
        <v/>
      </c>
      <c r="V796" s="36">
        <f>COUNTIFS('Page-Keyword Map'!$A$2:$A$675,B796,'Page-Keyword Map'!$E$2:$E$675,"Provincial")</f>
        <v/>
      </c>
      <c r="W796" s="36">
        <f>COUNTIFS('Page-Keyword Map'!$A$2:$A$675,B796,'Page-Keyword Map'!$E$2:$E$675,"City")</f>
        <v/>
      </c>
      <c r="X796" s="36">
        <f>IF(O796="","",IF(ISNUMBER(SEARCH(O796,J796)),"Yes","No"))</f>
        <v/>
      </c>
      <c r="Y796" s="36" t="n">
        <v>0.5</v>
      </c>
      <c r="Z796" s="36" t="inlineStr">
        <is>
          <t>sitemap-places.xml</t>
        </is>
      </c>
      <c r="AA796" s="36" t="inlineStr">
        <is>
          <t>Live – indexable</t>
        </is>
      </c>
      <c r="AB796" s="38" t="n"/>
      <c r="AC796" s="38" t="n"/>
    </row>
    <row r="797" ht="23.85" customHeight="1" s="22">
      <c r="A797" s="36" t="inlineStr">
        <is>
          <t>P0796</t>
        </is>
      </c>
      <c r="B797" s="36" t="inlineStr">
        <is>
          <t>https://instasure.ca/insurance/saskatchewan/saskatoon/</t>
        </is>
      </c>
      <c r="C797" s="36" t="inlineStr">
        <is>
          <t>Place hub</t>
        </is>
      </c>
      <c r="D797" s="36" t="inlineStr">
        <is>
          <t>Multi-line (place hubs)</t>
        </is>
      </c>
      <c r="E797" s="36" t="n"/>
      <c r="F797" s="36" t="n"/>
      <c r="G797" s="36" t="inlineStr">
        <is>
          <t>Saskatchewan</t>
        </is>
      </c>
      <c r="H797" s="36" t="inlineStr">
        <is>
          <t>Saskatoon</t>
        </is>
      </c>
      <c r="I797" s="36" t="inlineStr">
        <is>
          <t>Yes</t>
        </is>
      </c>
      <c r="J797" s="25" t="inlineStr">
        <is>
          <t>Insurance in Saskatoon, SK: Compare Quotes &amp; Licensed Advisors</t>
        </is>
      </c>
      <c r="K797" s="36">
        <f>LEN(J797)</f>
        <v/>
      </c>
      <c r="L797" s="25" t="inlineStr">
        <is>
          <t>Insurance in Saskatoon: instant estimates for car, home, tenant, life and business coverage, local risk factors, and advisors licensed in Saskatchewan.</t>
        </is>
      </c>
      <c r="M797" s="36">
        <f>LEN(L797)</f>
        <v/>
      </c>
      <c r="N797" s="25" t="inlineStr">
        <is>
          <t>Insurance in Saskatoon, SK</t>
        </is>
      </c>
      <c r="O797" s="36" t="inlineStr">
        <is>
          <t>insurance advisor saskatoon</t>
        </is>
      </c>
      <c r="P797" s="37" t="n">
        <v>100</v>
      </c>
      <c r="Q797" s="36" t="inlineStr">
        <is>
          <t>City</t>
        </is>
      </c>
      <c r="R797" s="36" t="n"/>
      <c r="S797" s="36">
        <f>COUNTIF('Page-Keyword Map'!$A$2:$A$675,B797)</f>
        <v/>
      </c>
      <c r="T797" s="37">
        <f>SUMIF('Page-Keyword Map'!$A$2:$A$675,B797,'Page-Keyword Map'!$H$2:$H$675)</f>
        <v/>
      </c>
      <c r="U797" s="36">
        <f>COUNTIFS('Page-Keyword Map'!$A$2:$A$675,B797,'Page-Keyword Map'!$E$2:$E$675,"Nationwide")</f>
        <v/>
      </c>
      <c r="V797" s="36">
        <f>COUNTIFS('Page-Keyword Map'!$A$2:$A$675,B797,'Page-Keyword Map'!$E$2:$E$675,"Provincial")</f>
        <v/>
      </c>
      <c r="W797" s="36">
        <f>COUNTIFS('Page-Keyword Map'!$A$2:$A$675,B797,'Page-Keyword Map'!$E$2:$E$675,"City")</f>
        <v/>
      </c>
      <c r="X797" s="36">
        <f>IF(O797="","",IF(ISNUMBER(SEARCH(O797,J797)),"Yes","No"))</f>
        <v/>
      </c>
      <c r="Y797" s="36" t="n">
        <v>0.5</v>
      </c>
      <c r="Z797" s="36" t="inlineStr">
        <is>
          <t>sitemap-places.xml</t>
        </is>
      </c>
      <c r="AA797" s="36" t="inlineStr">
        <is>
          <t>Live – indexable</t>
        </is>
      </c>
      <c r="AB797" s="38" t="n"/>
      <c r="AC797" s="38" t="n"/>
    </row>
    <row r="798" ht="23.85" customHeight="1" s="22">
      <c r="A798" s="36" t="inlineStr">
        <is>
          <t>P0797</t>
        </is>
      </c>
      <c r="B798" s="36" t="inlineStr">
        <is>
          <t>https://instasure.ca/insurance/yukon/</t>
        </is>
      </c>
      <c r="C798" s="36" t="inlineStr">
        <is>
          <t>Place hub</t>
        </is>
      </c>
      <c r="D798" s="36" t="inlineStr">
        <is>
          <t>Multi-line (place hubs)</t>
        </is>
      </c>
      <c r="E798" s="36" t="n"/>
      <c r="F798" s="36" t="n"/>
      <c r="G798" s="36" t="inlineStr">
        <is>
          <t>Yukon</t>
        </is>
      </c>
      <c r="H798" s="36" t="n"/>
      <c r="I798" s="36" t="inlineStr">
        <is>
          <t>Yes</t>
        </is>
      </c>
      <c r="J798" s="25" t="inlineStr">
        <is>
          <t>Insurance in Yukon: Life, Home, Car &amp; Business Coverage</t>
        </is>
      </c>
      <c r="K798" s="36">
        <f>LEN(J798)</f>
        <v/>
      </c>
      <c r="L798" s="25" t="inlineStr">
        <is>
          <t>How insurance works in Yukon: private insurers, regulator (Yukon Superintendent), local risks and licensed advisors. Get instant estimates for every type of…</t>
        </is>
      </c>
      <c r="M798" s="36">
        <f>LEN(L798)</f>
        <v/>
      </c>
      <c r="N798" s="25" t="inlineStr">
        <is>
          <t>Insurance in Yukon</t>
        </is>
      </c>
      <c r="O798" s="36" t="n"/>
      <c r="P798" s="37" t="n"/>
      <c r="Q798" s="36" t="n"/>
      <c r="R798" s="36" t="inlineStr">
        <is>
          <t>insurance yukon</t>
        </is>
      </c>
      <c r="S798" s="36">
        <f>COUNTIF('Page-Keyword Map'!$A$2:$A$675,B798)</f>
        <v/>
      </c>
      <c r="T798" s="37">
        <f>SUMIF('Page-Keyword Map'!$A$2:$A$675,B798,'Page-Keyword Map'!$H$2:$H$675)</f>
        <v/>
      </c>
      <c r="U798" s="36">
        <f>COUNTIFS('Page-Keyword Map'!$A$2:$A$675,B798,'Page-Keyword Map'!$E$2:$E$675,"Nationwide")</f>
        <v/>
      </c>
      <c r="V798" s="36">
        <f>COUNTIFS('Page-Keyword Map'!$A$2:$A$675,B798,'Page-Keyword Map'!$E$2:$E$675,"Provincial")</f>
        <v/>
      </c>
      <c r="W798" s="36">
        <f>COUNTIFS('Page-Keyword Map'!$A$2:$A$675,B798,'Page-Keyword Map'!$E$2:$E$675,"City")</f>
        <v/>
      </c>
      <c r="X798" s="36">
        <f>IF(O798="","",IF(ISNUMBER(SEARCH(O798,J798)),"Yes","No"))</f>
        <v/>
      </c>
      <c r="Y798" s="36" t="n">
        <v>0.6</v>
      </c>
      <c r="Z798" s="36" t="inlineStr">
        <is>
          <t>sitemap-places.xml</t>
        </is>
      </c>
      <c r="AA798" s="36" t="inlineStr">
        <is>
          <t>Live – indexable</t>
        </is>
      </c>
      <c r="AB798" s="38" t="n"/>
      <c r="AC798" s="38" t="n"/>
    </row>
    <row r="799" ht="23.85" customHeight="1" s="22">
      <c r="A799" s="36" t="inlineStr">
        <is>
          <t>P0798</t>
        </is>
      </c>
      <c r="B799" s="36" t="inlineStr">
        <is>
          <t>https://instasure.ca/insurance/yukon/whitehorse/</t>
        </is>
      </c>
      <c r="C799" s="36" t="inlineStr">
        <is>
          <t>Place hub</t>
        </is>
      </c>
      <c r="D799" s="36" t="inlineStr">
        <is>
          <t>Multi-line (place hubs)</t>
        </is>
      </c>
      <c r="E799" s="36" t="n"/>
      <c r="F799" s="36" t="n"/>
      <c r="G799" s="36" t="inlineStr">
        <is>
          <t>Yukon</t>
        </is>
      </c>
      <c r="H799" s="36" t="inlineStr">
        <is>
          <t>Whitehorse</t>
        </is>
      </c>
      <c r="I799" s="36" t="inlineStr">
        <is>
          <t>No</t>
        </is>
      </c>
      <c r="J799" s="25" t="inlineStr">
        <is>
          <t>Insurance in Whitehorse, YT: Compare Quotes &amp; Licensed Advisors</t>
        </is>
      </c>
      <c r="K799" s="36">
        <f>LEN(J799)</f>
        <v/>
      </c>
      <c r="L799" s="25" t="inlineStr">
        <is>
          <t>Insurance in Whitehorse: instant estimates for car, home, tenant, life and business coverage, local risk factors, and advisors licensed in Yukon.</t>
        </is>
      </c>
      <c r="M799" s="36">
        <f>LEN(L799)</f>
        <v/>
      </c>
      <c r="N799" s="25" t="inlineStr">
        <is>
          <t>Insurance in Whitehorse, YT</t>
        </is>
      </c>
      <c r="O799" s="36" t="n"/>
      <c r="P799" s="37" t="n"/>
      <c r="Q799" s="36" t="n"/>
      <c r="R799" s="36" t="inlineStr">
        <is>
          <t>insurance whitehorse</t>
        </is>
      </c>
      <c r="S799" s="36">
        <f>COUNTIF('Page-Keyword Map'!$A$2:$A$675,B799)</f>
        <v/>
      </c>
      <c r="T799" s="37">
        <f>SUMIF('Page-Keyword Map'!$A$2:$A$675,B799,'Page-Keyword Map'!$H$2:$H$675)</f>
        <v/>
      </c>
      <c r="U799" s="36">
        <f>COUNTIFS('Page-Keyword Map'!$A$2:$A$675,B799,'Page-Keyword Map'!$E$2:$E$675,"Nationwide")</f>
        <v/>
      </c>
      <c r="V799" s="36">
        <f>COUNTIFS('Page-Keyword Map'!$A$2:$A$675,B799,'Page-Keyword Map'!$E$2:$E$675,"Provincial")</f>
        <v/>
      </c>
      <c r="W799" s="36">
        <f>COUNTIFS('Page-Keyword Map'!$A$2:$A$675,B799,'Page-Keyword Map'!$E$2:$E$675,"City")</f>
        <v/>
      </c>
      <c r="X799" s="36">
        <f>IF(O799="","",IF(ISNUMBER(SEARCH(O799,J799)),"Yes","No"))</f>
        <v/>
      </c>
      <c r="Y799" s="36" t="n">
        <v>0.5</v>
      </c>
      <c r="Z799" s="36" t="inlineStr">
        <is>
          <t>(not listed: noindex)</t>
        </is>
      </c>
      <c r="AA799" s="36" t="inlineStr">
        <is>
          <t>Live – noindex (enrich before indexing)</t>
        </is>
      </c>
      <c r="AB799" s="38" t="n"/>
      <c r="AC799" s="38" t="n"/>
    </row>
    <row r="800" ht="23.85" customHeight="1" s="22">
      <c r="A800" s="36" t="inlineStr">
        <is>
          <t>P0799</t>
        </is>
      </c>
      <c r="B800" s="36" t="inlineStr">
        <is>
          <t>https://instasure.ca/guides/alberta-car-insurance-2026-care-first/</t>
        </is>
      </c>
      <c r="C800" s="36" t="inlineStr">
        <is>
          <t>Guide (blog)</t>
        </is>
      </c>
      <c r="D800" s="36" t="inlineStr">
        <is>
          <t>Car insurance</t>
        </is>
      </c>
      <c r="E800" s="36" t="inlineStr">
        <is>
          <t>Car Insurance</t>
        </is>
      </c>
      <c r="F800" s="36" t="n"/>
      <c r="G800" s="36" t="n"/>
      <c r="H800" s="36" t="n"/>
      <c r="I800" s="36" t="inlineStr">
        <is>
          <t>Yes</t>
        </is>
      </c>
      <c r="J800" s="25" t="inlineStr">
        <is>
          <t>Alberta Car Insurance 2026: Rate Cap and Care-First</t>
        </is>
      </c>
      <c r="K800" s="36">
        <f>LEN(J800)</f>
        <v/>
      </c>
      <c r="L800" s="25" t="inlineStr">
        <is>
          <t>Alberta car insurance in 2026: how the 7.5% good-driver rate cap works, what Care-First changes from January 1, 2027, and how to shop your renewal now.</t>
        </is>
      </c>
      <c r="M800" s="36">
        <f>LEN(L800)</f>
        <v/>
      </c>
      <c r="N800" s="25" t="inlineStr">
        <is>
          <t>Alberta Car Insurance 2026: Rate Cap, Care-First and How to Shop</t>
        </is>
      </c>
      <c r="O800" s="36" t="inlineStr">
        <is>
          <t>alberta car insurance increase 2026</t>
        </is>
      </c>
      <c r="P800" s="37" t="n">
        <v>1900</v>
      </c>
      <c r="Q800" s="36" t="inlineStr">
        <is>
          <t>Provincial</t>
        </is>
      </c>
      <c r="R800" s="36" t="n"/>
      <c r="S800" s="36">
        <f>COUNTIF('Page-Keyword Map'!$A$2:$A$675,B800)</f>
        <v/>
      </c>
      <c r="T800" s="37">
        <f>SUMIF('Page-Keyword Map'!$A$2:$A$675,B800,'Page-Keyword Map'!$H$2:$H$675)</f>
        <v/>
      </c>
      <c r="U800" s="36">
        <f>COUNTIFS('Page-Keyword Map'!$A$2:$A$675,B800,'Page-Keyword Map'!$E$2:$E$675,"Nationwide")</f>
        <v/>
      </c>
      <c r="V800" s="36">
        <f>COUNTIFS('Page-Keyword Map'!$A$2:$A$675,B800,'Page-Keyword Map'!$E$2:$E$675,"Provincial")</f>
        <v/>
      </c>
      <c r="W800" s="36">
        <f>COUNTIFS('Page-Keyword Map'!$A$2:$A$675,B800,'Page-Keyword Map'!$E$2:$E$675,"City")</f>
        <v/>
      </c>
      <c r="X800" s="36">
        <f>IF(O800="","",IF(ISNUMBER(SEARCH(O800,J800)),"Yes","No"))</f>
        <v/>
      </c>
      <c r="Y800" s="36" t="n">
        <v>0.7</v>
      </c>
      <c r="Z800" s="36" t="inlineStr">
        <is>
          <t>sitemap-guides.xml</t>
        </is>
      </c>
      <c r="AA800" s="36" t="inlineStr">
        <is>
          <t>Live – indexable</t>
        </is>
      </c>
      <c r="AB800" s="38" t="n"/>
      <c r="AC800" s="38" t="n"/>
    </row>
    <row r="801" ht="23.85" customHeight="1" s="22">
      <c r="A801" s="36" t="inlineStr">
        <is>
          <t>P0800</t>
        </is>
      </c>
      <c r="B801" s="36" t="inlineStr">
        <is>
          <t>https://instasure.ca/guides/average-car-insurance-cost-canada-by-province/</t>
        </is>
      </c>
      <c r="C801" s="36" t="inlineStr">
        <is>
          <t>Guide (blog)</t>
        </is>
      </c>
      <c r="D801" s="36" t="inlineStr">
        <is>
          <t>Car insurance</t>
        </is>
      </c>
      <c r="E801" s="36" t="inlineStr">
        <is>
          <t>Car Insurance</t>
        </is>
      </c>
      <c r="F801" s="36" t="n"/>
      <c r="G801" s="36" t="n"/>
      <c r="H801" s="36" t="n"/>
      <c r="I801" s="36" t="inlineStr">
        <is>
          <t>Yes</t>
        </is>
      </c>
      <c r="J801" s="25" t="inlineStr">
        <is>
          <t>Average Car Insurance Cost Canada: All Provinces Compared</t>
        </is>
      </c>
      <c r="K801" s="36">
        <f>LEN(J801)</f>
        <v/>
      </c>
      <c r="L801" s="25" t="inlineStr">
        <is>
          <t>Average car insurance cost Canada-wide: compare every province and territory, see why some cost far more, and get your own estimate in a minute.</t>
        </is>
      </c>
      <c r="M801" s="36">
        <f>LEN(L801)</f>
        <v/>
      </c>
      <c r="N801" s="25" t="inlineStr">
        <is>
          <t>Average Car Insurance Cost in Canada by Province and City</t>
        </is>
      </c>
      <c r="O801" s="36" t="n"/>
      <c r="P801" s="37" t="n"/>
      <c r="Q801" s="36" t="n"/>
      <c r="R801" s="36" t="inlineStr">
        <is>
          <t>average car insurance cost canada</t>
        </is>
      </c>
      <c r="S801" s="36">
        <f>COUNTIF('Page-Keyword Map'!$A$2:$A$675,B801)</f>
        <v/>
      </c>
      <c r="T801" s="37">
        <f>SUMIF('Page-Keyword Map'!$A$2:$A$675,B801,'Page-Keyword Map'!$H$2:$H$675)</f>
        <v/>
      </c>
      <c r="U801" s="36">
        <f>COUNTIFS('Page-Keyword Map'!$A$2:$A$675,B801,'Page-Keyword Map'!$E$2:$E$675,"Nationwide")</f>
        <v/>
      </c>
      <c r="V801" s="36">
        <f>COUNTIFS('Page-Keyword Map'!$A$2:$A$675,B801,'Page-Keyword Map'!$E$2:$E$675,"Provincial")</f>
        <v/>
      </c>
      <c r="W801" s="36">
        <f>COUNTIFS('Page-Keyword Map'!$A$2:$A$675,B801,'Page-Keyword Map'!$E$2:$E$675,"City")</f>
        <v/>
      </c>
      <c r="X801" s="36">
        <f>IF(O801="","",IF(ISNUMBER(SEARCH(O801,J801)),"Yes","No"))</f>
        <v/>
      </c>
      <c r="Y801" s="36" t="n">
        <v>0.7</v>
      </c>
      <c r="Z801" s="36" t="inlineStr">
        <is>
          <t>sitemap-guides.xml</t>
        </is>
      </c>
      <c r="AA801" s="36" t="inlineStr">
        <is>
          <t>Live – indexable</t>
        </is>
      </c>
      <c r="AB801" s="38" t="n"/>
      <c r="AC801" s="38" t="n"/>
    </row>
    <row r="802" ht="23.85" customHeight="1" s="22">
      <c r="A802" s="36" t="inlineStr">
        <is>
          <t>P0801</t>
        </is>
      </c>
      <c r="B802" s="36" t="inlineStr">
        <is>
          <t>https://instasure.ca/guides/average-home-insurance-cost-canada/</t>
        </is>
      </c>
      <c r="C802" s="36" t="inlineStr">
        <is>
          <t>Guide (blog)</t>
        </is>
      </c>
      <c r="D802" s="36" t="inlineStr">
        <is>
          <t>Home insurance</t>
        </is>
      </c>
      <c r="E802" s="36" t="inlineStr">
        <is>
          <t>Home Insurance</t>
        </is>
      </c>
      <c r="F802" s="36" t="n"/>
      <c r="G802" s="36" t="n"/>
      <c r="H802" s="36" t="n"/>
      <c r="I802" s="36" t="inlineStr">
        <is>
          <t>Yes</t>
        </is>
      </c>
      <c r="J802" s="25" t="inlineStr">
        <is>
          <t>Average Home Insurance Cost Canada-Wide by Province</t>
        </is>
      </c>
      <c r="K802" s="36">
        <f>LEN(J802)</f>
        <v/>
      </c>
      <c r="L802" s="25" t="inlineStr">
        <is>
          <t>The average home insurance cost Canada-wide, by province and city: dated October 2026 estimates, why Alberta costs more and how to pay less.</t>
        </is>
      </c>
      <c r="M802" s="36">
        <f>LEN(L802)</f>
        <v/>
      </c>
      <c r="N802" s="25" t="inlineStr">
        <is>
          <t>Average Home Insurance Cost in Canada by Province and City</t>
        </is>
      </c>
      <c r="O802" s="36" t="n"/>
      <c r="P802" s="37" t="n"/>
      <c r="Q802" s="36" t="n"/>
      <c r="R802" s="36" t="inlineStr">
        <is>
          <t>average home insurance cost canada</t>
        </is>
      </c>
      <c r="S802" s="36">
        <f>COUNTIF('Page-Keyword Map'!$A$2:$A$675,B802)</f>
        <v/>
      </c>
      <c r="T802" s="37">
        <f>SUMIF('Page-Keyword Map'!$A$2:$A$675,B802,'Page-Keyword Map'!$H$2:$H$675)</f>
        <v/>
      </c>
      <c r="U802" s="36">
        <f>COUNTIFS('Page-Keyword Map'!$A$2:$A$675,B802,'Page-Keyword Map'!$E$2:$E$675,"Nationwide")</f>
        <v/>
      </c>
      <c r="V802" s="36">
        <f>COUNTIFS('Page-Keyword Map'!$A$2:$A$675,B802,'Page-Keyword Map'!$E$2:$E$675,"Provincial")</f>
        <v/>
      </c>
      <c r="W802" s="36">
        <f>COUNTIFS('Page-Keyword Map'!$A$2:$A$675,B802,'Page-Keyword Map'!$E$2:$E$675,"City")</f>
        <v/>
      </c>
      <c r="X802" s="36">
        <f>IF(O802="","",IF(ISNUMBER(SEARCH(O802,J802)),"Yes","No"))</f>
        <v/>
      </c>
      <c r="Y802" s="36" t="n">
        <v>0.7</v>
      </c>
      <c r="Z802" s="36" t="inlineStr">
        <is>
          <t>sitemap-guides.xml</t>
        </is>
      </c>
      <c r="AA802" s="36" t="inlineStr">
        <is>
          <t>Live – indexable</t>
        </is>
      </c>
      <c r="AB802" s="38" t="n"/>
      <c r="AC802" s="38" t="n"/>
    </row>
    <row r="803" ht="23.85" customHeight="1" s="22">
      <c r="A803" s="36" t="inlineStr">
        <is>
          <t>P0802</t>
        </is>
      </c>
      <c r="B803" s="36" t="inlineStr">
        <is>
          <t>https://instasure.ca/guides/calgary-hail-insurance-guide/</t>
        </is>
      </c>
      <c r="C803" s="36" t="inlineStr">
        <is>
          <t>Guide (blog)</t>
        </is>
      </c>
      <c r="D803" s="36" t="inlineStr">
        <is>
          <t>Home insurance</t>
        </is>
      </c>
      <c r="E803" s="36" t="inlineStr">
        <is>
          <t>Home Insurance</t>
        </is>
      </c>
      <c r="F803" s="36" t="n"/>
      <c r="G803" s="36" t="n"/>
      <c r="H803" s="36" t="n"/>
      <c r="I803" s="36" t="inlineStr">
        <is>
          <t>Yes</t>
        </is>
      </c>
      <c r="J803" s="25" t="inlineStr">
        <is>
          <t>Calgary Hail Insurance Guide: Home and Car Coverage</t>
        </is>
      </c>
      <c r="K803" s="36">
        <f>LEN(J803)</f>
        <v/>
      </c>
      <c r="L803" s="25" t="inlineStr">
        <is>
          <t>Calgary hail insurance guide: how comprehensive covers hail on your car, how home roof claims and deductibles work, and how to reduce future hail costs.</t>
        </is>
      </c>
      <c r="M803" s="36">
        <f>LEN(L803)</f>
        <v/>
      </c>
      <c r="N803" s="25" t="inlineStr">
        <is>
          <t>Calgary Hail Insurance Guide: Home and Car Coverage Explained</t>
        </is>
      </c>
      <c r="O803" s="36" t="inlineStr">
        <is>
          <t>hail damage insurance</t>
        </is>
      </c>
      <c r="P803" s="37" t="n">
        <v>590</v>
      </c>
      <c r="Q803" s="36" t="inlineStr">
        <is>
          <t>Nationwide</t>
        </is>
      </c>
      <c r="R803" s="36" t="n"/>
      <c r="S803" s="36">
        <f>COUNTIF('Page-Keyword Map'!$A$2:$A$675,B803)</f>
        <v/>
      </c>
      <c r="T803" s="37">
        <f>SUMIF('Page-Keyword Map'!$A$2:$A$675,B803,'Page-Keyword Map'!$H$2:$H$675)</f>
        <v/>
      </c>
      <c r="U803" s="36">
        <f>COUNTIFS('Page-Keyword Map'!$A$2:$A$675,B803,'Page-Keyword Map'!$E$2:$E$675,"Nationwide")</f>
        <v/>
      </c>
      <c r="V803" s="36">
        <f>COUNTIFS('Page-Keyword Map'!$A$2:$A$675,B803,'Page-Keyword Map'!$E$2:$E$675,"Provincial")</f>
        <v/>
      </c>
      <c r="W803" s="36">
        <f>COUNTIFS('Page-Keyword Map'!$A$2:$A$675,B803,'Page-Keyword Map'!$E$2:$E$675,"City")</f>
        <v/>
      </c>
      <c r="X803" s="36">
        <f>IF(O803="","",IF(ISNUMBER(SEARCH(O803,J803)),"Yes","No"))</f>
        <v/>
      </c>
      <c r="Y803" s="36" t="n">
        <v>0.7</v>
      </c>
      <c r="Z803" s="36" t="inlineStr">
        <is>
          <t>sitemap-guides.xml</t>
        </is>
      </c>
      <c r="AA803" s="36" t="inlineStr">
        <is>
          <t>Live – indexable</t>
        </is>
      </c>
      <c r="AB803" s="38" t="n"/>
      <c r="AC803" s="38" t="n"/>
    </row>
    <row r="804" ht="23.85" customHeight="1" s="22">
      <c r="A804" s="36" t="inlineStr">
        <is>
          <t>P0803</t>
        </is>
      </c>
      <c r="B804" s="36" t="inlineStr">
        <is>
          <t>https://instasure.ca/guides/condo-insurance-deductible-assessment-explained/</t>
        </is>
      </c>
      <c r="C804" s="36" t="inlineStr">
        <is>
          <t>Guide (blog)</t>
        </is>
      </c>
      <c r="D804" s="36" t="inlineStr">
        <is>
          <t>Condo insurance</t>
        </is>
      </c>
      <c r="E804" s="36" t="inlineStr">
        <is>
          <t>Condo Insurance</t>
        </is>
      </c>
      <c r="F804" s="36" t="n"/>
      <c r="G804" s="36" t="n"/>
      <c r="H804" s="36" t="n"/>
      <c r="I804" s="36" t="inlineStr">
        <is>
          <t>Yes</t>
        </is>
      </c>
      <c r="J804" s="25" t="inlineStr">
        <is>
          <t>Condo Insurance Deductible Assessment, Explained | Instasure.ca</t>
        </is>
      </c>
      <c r="K804" s="36">
        <f>LEN(J804)</f>
        <v/>
      </c>
      <c r="L804" s="25" t="inlineStr">
        <is>
          <t>How a condo insurance deductible assessment works in Ontario and BC: master vs unit policy, the standard unit, loss assessment and how to choose your limits.</t>
        </is>
      </c>
      <c r="M804" s="36">
        <f>LEN(L804)</f>
        <v/>
      </c>
      <c r="N804" s="25" t="inlineStr">
        <is>
          <t>Condo Insurance Deductible Assessment, Explained</t>
        </is>
      </c>
      <c r="O804" s="36" t="inlineStr">
        <is>
          <t>strata insurance deductible bc</t>
        </is>
      </c>
      <c r="P804" s="37" t="n">
        <v>480</v>
      </c>
      <c r="Q804" s="36" t="inlineStr">
        <is>
          <t>Provincial</t>
        </is>
      </c>
      <c r="R804" s="36" t="n"/>
      <c r="S804" s="36">
        <f>COUNTIF('Page-Keyword Map'!$A$2:$A$675,B804)</f>
        <v/>
      </c>
      <c r="T804" s="37">
        <f>SUMIF('Page-Keyword Map'!$A$2:$A$675,B804,'Page-Keyword Map'!$H$2:$H$675)</f>
        <v/>
      </c>
      <c r="U804" s="36">
        <f>COUNTIFS('Page-Keyword Map'!$A$2:$A$675,B804,'Page-Keyword Map'!$E$2:$E$675,"Nationwide")</f>
        <v/>
      </c>
      <c r="V804" s="36">
        <f>COUNTIFS('Page-Keyword Map'!$A$2:$A$675,B804,'Page-Keyword Map'!$E$2:$E$675,"Provincial")</f>
        <v/>
      </c>
      <c r="W804" s="36">
        <f>COUNTIFS('Page-Keyword Map'!$A$2:$A$675,B804,'Page-Keyword Map'!$E$2:$E$675,"City")</f>
        <v/>
      </c>
      <c r="X804" s="36">
        <f>IF(O804="","",IF(ISNUMBER(SEARCH(O804,J804)),"Yes","No"))</f>
        <v/>
      </c>
      <c r="Y804" s="36" t="n">
        <v>0.7</v>
      </c>
      <c r="Z804" s="36" t="inlineStr">
        <is>
          <t>sitemap-guides.xml</t>
        </is>
      </c>
      <c r="AA804" s="36" t="inlineStr">
        <is>
          <t>Live – indexable</t>
        </is>
      </c>
      <c r="AB804" s="38" t="n"/>
      <c r="AC804" s="38" t="n"/>
    </row>
    <row r="805" ht="23.85" customHeight="1" s="22">
      <c r="A805" s="36" t="inlineStr">
        <is>
          <t>P0804</t>
        </is>
      </c>
      <c r="B805" s="36" t="inlineStr">
        <is>
          <t>https://instasure.ca/guides/critical-illness-vs-disability-insurance/</t>
        </is>
      </c>
      <c r="C805" s="36" t="inlineStr">
        <is>
          <t>Guide (blog)</t>
        </is>
      </c>
      <c r="D805" s="36" t="inlineStr">
        <is>
          <t>Critical illness insurance</t>
        </is>
      </c>
      <c r="E805" s="36" t="inlineStr">
        <is>
          <t>Critical Illness Insurance</t>
        </is>
      </c>
      <c r="F805" s="36" t="n"/>
      <c r="G805" s="36" t="n"/>
      <c r="H805" s="36" t="n"/>
      <c r="I805" s="36" t="inlineStr">
        <is>
          <t>Yes</t>
        </is>
      </c>
      <c r="J805" s="25" t="inlineStr">
        <is>
          <t>Critical Illness vs Disability Insurance in Canada | Instasure.ca</t>
        </is>
      </c>
      <c r="K805" s="36">
        <f>LEN(J805)</f>
        <v/>
      </c>
      <c r="L805" s="25" t="inlineStr">
        <is>
          <t>Critical illness vs disability insurance in Canada: lump sum vs monthly income, who needs which, how they work together and how benefits are taxed.</t>
        </is>
      </c>
      <c r="M805" s="36">
        <f>LEN(L805)</f>
        <v/>
      </c>
      <c r="N805" s="25" t="inlineStr">
        <is>
          <t>Critical Illness vs Disability Insurance: Which Do You Need?</t>
        </is>
      </c>
      <c r="O805" s="36" t="inlineStr">
        <is>
          <t>critical illness vs disability insurance</t>
        </is>
      </c>
      <c r="P805" s="37" t="n">
        <v>390</v>
      </c>
      <c r="Q805" s="36" t="inlineStr">
        <is>
          <t>Nationwide</t>
        </is>
      </c>
      <c r="R805" s="36" t="n"/>
      <c r="S805" s="36">
        <f>COUNTIF('Page-Keyword Map'!$A$2:$A$675,B805)</f>
        <v/>
      </c>
      <c r="T805" s="37">
        <f>SUMIF('Page-Keyword Map'!$A$2:$A$675,B805,'Page-Keyword Map'!$H$2:$H$675)</f>
        <v/>
      </c>
      <c r="U805" s="36">
        <f>COUNTIFS('Page-Keyword Map'!$A$2:$A$675,B805,'Page-Keyword Map'!$E$2:$E$675,"Nationwide")</f>
        <v/>
      </c>
      <c r="V805" s="36">
        <f>COUNTIFS('Page-Keyword Map'!$A$2:$A$675,B805,'Page-Keyword Map'!$E$2:$E$675,"Provincial")</f>
        <v/>
      </c>
      <c r="W805" s="36">
        <f>COUNTIFS('Page-Keyword Map'!$A$2:$A$675,B805,'Page-Keyword Map'!$E$2:$E$675,"City")</f>
        <v/>
      </c>
      <c r="X805" s="36">
        <f>IF(O805="","",IF(ISNUMBER(SEARCH(O805,J805)),"Yes","No"))</f>
        <v/>
      </c>
      <c r="Y805" s="36" t="n">
        <v>0.7</v>
      </c>
      <c r="Z805" s="36" t="inlineStr">
        <is>
          <t>sitemap-guides.xml</t>
        </is>
      </c>
      <c r="AA805" s="36" t="inlineStr">
        <is>
          <t>Live – indexable</t>
        </is>
      </c>
      <c r="AB805" s="38" t="n"/>
      <c r="AC805" s="38" t="n"/>
    </row>
    <row r="806" ht="23.85" customHeight="1" s="22">
      <c r="A806" s="36" t="inlineStr">
        <is>
          <t>P0805</t>
        </is>
      </c>
      <c r="B806" s="36" t="inlineStr">
        <is>
          <t>https://instasure.ca/guides/does-home-insurance-cover-water-damage-canada/</t>
        </is>
      </c>
      <c r="C806" s="36" t="inlineStr">
        <is>
          <t>Guide (blog)</t>
        </is>
      </c>
      <c r="D806" s="36" t="inlineStr">
        <is>
          <t>Home insurance</t>
        </is>
      </c>
      <c r="E806" s="36" t="inlineStr">
        <is>
          <t>Home Insurance</t>
        </is>
      </c>
      <c r="F806" s="36" t="n"/>
      <c r="G806" s="36" t="n"/>
      <c r="H806" s="36" t="n"/>
      <c r="I806" s="36" t="inlineStr">
        <is>
          <t>Yes</t>
        </is>
      </c>
      <c r="J806" s="25" t="inlineStr">
        <is>
          <t>Does Home Insurance Cover Water Damage in Canada? | Instasure.ca</t>
        </is>
      </c>
      <c r="K806" s="36">
        <f>LEN(J806)</f>
        <v/>
      </c>
      <c r="L806" s="25" t="inlineStr">
        <is>
          <t>Does home insurance cover water damage? Sudden leaks usually are covered, but sewer backup and overland flood need add-ons. What's covered and what to ask.</t>
        </is>
      </c>
      <c r="M806" s="36">
        <f>LEN(L806)</f>
        <v/>
      </c>
      <c r="N806" s="25" t="inlineStr">
        <is>
          <t>Does Home Insurance Cover Water Damage in Canada?</t>
        </is>
      </c>
      <c r="O806" s="36" t="inlineStr">
        <is>
          <t>does home insurance cover water damage</t>
        </is>
      </c>
      <c r="P806" s="37" t="n">
        <v>1600</v>
      </c>
      <c r="Q806" s="36" t="inlineStr">
        <is>
          <t>Nationwide</t>
        </is>
      </c>
      <c r="R806" s="36" t="n"/>
      <c r="S806" s="36">
        <f>COUNTIF('Page-Keyword Map'!$A$2:$A$675,B806)</f>
        <v/>
      </c>
      <c r="T806" s="37">
        <f>SUMIF('Page-Keyword Map'!$A$2:$A$675,B806,'Page-Keyword Map'!$H$2:$H$675)</f>
        <v/>
      </c>
      <c r="U806" s="36">
        <f>COUNTIFS('Page-Keyword Map'!$A$2:$A$675,B806,'Page-Keyword Map'!$E$2:$E$675,"Nationwide")</f>
        <v/>
      </c>
      <c r="V806" s="36">
        <f>COUNTIFS('Page-Keyword Map'!$A$2:$A$675,B806,'Page-Keyword Map'!$E$2:$E$675,"Provincial")</f>
        <v/>
      </c>
      <c r="W806" s="36">
        <f>COUNTIFS('Page-Keyword Map'!$A$2:$A$675,B806,'Page-Keyword Map'!$E$2:$E$675,"City")</f>
        <v/>
      </c>
      <c r="X806" s="36">
        <f>IF(O806="","",IF(ISNUMBER(SEARCH(O806,J806)),"Yes","No"))</f>
        <v/>
      </c>
      <c r="Y806" s="36" t="n">
        <v>0.7</v>
      </c>
      <c r="Z806" s="36" t="inlineStr">
        <is>
          <t>sitemap-guides.xml</t>
        </is>
      </c>
      <c r="AA806" s="36" t="inlineStr">
        <is>
          <t>Live – indexable</t>
        </is>
      </c>
      <c r="AB806" s="38" t="n"/>
      <c r="AC806" s="38" t="n"/>
    </row>
    <row r="807" ht="23.85" customHeight="1" s="22">
      <c r="A807" s="36" t="inlineStr">
        <is>
          <t>P0806</t>
        </is>
      </c>
      <c r="B807" s="36" t="inlineStr">
        <is>
          <t>https://instasure.ca/guides/gig-driver-insurance-uber-doordash-ontario/</t>
        </is>
      </c>
      <c r="C807" s="36" t="inlineStr">
        <is>
          <t>Guide (blog)</t>
        </is>
      </c>
      <c r="D807" s="36" t="inlineStr">
        <is>
          <t>Car insurance</t>
        </is>
      </c>
      <c r="E807" s="36" t="inlineStr">
        <is>
          <t>Car Insurance</t>
        </is>
      </c>
      <c r="F807" s="36" t="n"/>
      <c r="G807" s="36" t="n"/>
      <c r="H807" s="36" t="n"/>
      <c r="I807" s="36" t="inlineStr">
        <is>
          <t>Yes</t>
        </is>
      </c>
      <c r="J807" s="25" t="inlineStr">
        <is>
          <t>Gig Driver Insurance in Ontario: Uber and DoorDash | Instasure.ca</t>
        </is>
      </c>
      <c r="K807" s="36">
        <f>LEN(J807)</f>
        <v/>
      </c>
      <c r="L807" s="25" t="inlineStr">
        <is>
          <t>Gig driver insurance in Ontario: how Uber and DoorDash coverage works, where gaps are, when you need OPCF 6A and which accident benefits to keep.</t>
        </is>
      </c>
      <c r="M807" s="36">
        <f>LEN(L807)</f>
        <v/>
      </c>
      <c r="N807" s="25" t="inlineStr">
        <is>
          <t>Gig Driver Insurance in Ontario: Uber, Lyft, DoorDash and Skip</t>
        </is>
      </c>
      <c r="O807" s="36" t="n"/>
      <c r="P807" s="37" t="n"/>
      <c r="Q807" s="36" t="n"/>
      <c r="R807" s="36" t="inlineStr">
        <is>
          <t>gig driver insurance</t>
        </is>
      </c>
      <c r="S807" s="36">
        <f>COUNTIF('Page-Keyword Map'!$A$2:$A$675,B807)</f>
        <v/>
      </c>
      <c r="T807" s="37">
        <f>SUMIF('Page-Keyword Map'!$A$2:$A$675,B807,'Page-Keyword Map'!$H$2:$H$675)</f>
        <v/>
      </c>
      <c r="U807" s="36">
        <f>COUNTIFS('Page-Keyword Map'!$A$2:$A$675,B807,'Page-Keyword Map'!$E$2:$E$675,"Nationwide")</f>
        <v/>
      </c>
      <c r="V807" s="36">
        <f>COUNTIFS('Page-Keyword Map'!$A$2:$A$675,B807,'Page-Keyword Map'!$E$2:$E$675,"Provincial")</f>
        <v/>
      </c>
      <c r="W807" s="36">
        <f>COUNTIFS('Page-Keyword Map'!$A$2:$A$675,B807,'Page-Keyword Map'!$E$2:$E$675,"City")</f>
        <v/>
      </c>
      <c r="X807" s="36">
        <f>IF(O807="","",IF(ISNUMBER(SEARCH(O807,J807)),"Yes","No"))</f>
        <v/>
      </c>
      <c r="Y807" s="36" t="n">
        <v>0.7</v>
      </c>
      <c r="Z807" s="36" t="inlineStr">
        <is>
          <t>sitemap-guides.xml</t>
        </is>
      </c>
      <c r="AA807" s="36" t="inlineStr">
        <is>
          <t>Live – indexable</t>
        </is>
      </c>
      <c r="AB807" s="38" t="n"/>
      <c r="AC807" s="38" t="n"/>
    </row>
    <row r="808" ht="23.85" customHeight="1" s="22">
      <c r="A808" s="36" t="inlineStr">
        <is>
          <t>P0807</t>
        </is>
      </c>
      <c r="B808" s="36" t="inlineStr">
        <is>
          <t>https://instasure.ca/guides/how-much-does-life-insurance-cost-canada/</t>
        </is>
      </c>
      <c r="C808" s="36" t="inlineStr">
        <is>
          <t>Guide (blog)</t>
        </is>
      </c>
      <c r="D808" s="36" t="inlineStr">
        <is>
          <t>Life insurance</t>
        </is>
      </c>
      <c r="E808" s="36" t="inlineStr">
        <is>
          <t>Term Life Insurance</t>
        </is>
      </c>
      <c r="F808" s="36" t="n"/>
      <c r="G808" s="36" t="n"/>
      <c r="H808" s="36" t="n"/>
      <c r="I808" s="36" t="inlineStr">
        <is>
          <t>Yes</t>
        </is>
      </c>
      <c r="J808" s="25" t="inlineStr">
        <is>
          <t>How Much Does Life Insurance Cost in Canada? (2026)</t>
        </is>
      </c>
      <c r="K808" s="36">
        <f>LEN(J808)</f>
        <v/>
      </c>
      <c r="L808" s="25" t="inlineStr">
        <is>
          <t>How much does life insurance cost in Canada? See example term life prices by age, smoker vs non-smoker rates, what insurers look at and how to pay less.</t>
        </is>
      </c>
      <c r="M808" s="36">
        <f>LEN(L808)</f>
        <v/>
      </c>
      <c r="N808" s="25" t="inlineStr">
        <is>
          <t>How Much Does Life Insurance Cost in Canada? Prices by Age</t>
        </is>
      </c>
      <c r="O808" s="36" t="inlineStr">
        <is>
          <t>how much does life insurance cost</t>
        </is>
      </c>
      <c r="P808" s="37" t="n">
        <v>1600</v>
      </c>
      <c r="Q808" s="36" t="inlineStr">
        <is>
          <t>Nationwide</t>
        </is>
      </c>
      <c r="R808" s="36" t="n"/>
      <c r="S808" s="36">
        <f>COUNTIF('Page-Keyword Map'!$A$2:$A$675,B808)</f>
        <v/>
      </c>
      <c r="T808" s="37">
        <f>SUMIF('Page-Keyword Map'!$A$2:$A$675,B808,'Page-Keyword Map'!$H$2:$H$675)</f>
        <v/>
      </c>
      <c r="U808" s="36">
        <f>COUNTIFS('Page-Keyword Map'!$A$2:$A$675,B808,'Page-Keyword Map'!$E$2:$E$675,"Nationwide")</f>
        <v/>
      </c>
      <c r="V808" s="36">
        <f>COUNTIFS('Page-Keyword Map'!$A$2:$A$675,B808,'Page-Keyword Map'!$E$2:$E$675,"Provincial")</f>
        <v/>
      </c>
      <c r="W808" s="36">
        <f>COUNTIFS('Page-Keyword Map'!$A$2:$A$675,B808,'Page-Keyword Map'!$E$2:$E$675,"City")</f>
        <v/>
      </c>
      <c r="X808" s="36">
        <f>IF(O808="","",IF(ISNUMBER(SEARCH(O808,J808)),"Yes","No"))</f>
        <v/>
      </c>
      <c r="Y808" s="36" t="n">
        <v>0.7</v>
      </c>
      <c r="Z808" s="36" t="inlineStr">
        <is>
          <t>sitemap-guides.xml</t>
        </is>
      </c>
      <c r="AA808" s="36" t="inlineStr">
        <is>
          <t>Live – indexable</t>
        </is>
      </c>
      <c r="AB808" s="38" t="n"/>
      <c r="AC808" s="38" t="n"/>
    </row>
    <row r="809" ht="23.85" customHeight="1" s="22">
      <c r="A809" s="36" t="inlineStr">
        <is>
          <t>P0808</t>
        </is>
      </c>
      <c r="B809" s="36" t="inlineStr">
        <is>
          <t>https://instasure.ca/guides/how-much-life-insurance-do-i-need-canada/</t>
        </is>
      </c>
      <c r="C809" s="36" t="inlineStr">
        <is>
          <t>Guide (blog)</t>
        </is>
      </c>
      <c r="D809" s="36" t="inlineStr">
        <is>
          <t>Life insurance</t>
        </is>
      </c>
      <c r="E809" s="36" t="inlineStr">
        <is>
          <t>Life Insurance</t>
        </is>
      </c>
      <c r="F809" s="36" t="n"/>
      <c r="G809" s="36" t="n"/>
      <c r="H809" s="36" t="n"/>
      <c r="I809" s="36" t="inlineStr">
        <is>
          <t>Yes</t>
        </is>
      </c>
      <c r="J809" s="25" t="inlineStr">
        <is>
          <t>How Much Life Insurance Do I Need? Canada Guide (2026)</t>
        </is>
      </c>
      <c r="K809" s="36">
        <f>LEN(J809)</f>
        <v/>
      </c>
      <c r="L809" s="25" t="inlineStr">
        <is>
          <t>How much life insurance do I need? Use the DIME method, a worked Canadian example, and your group and CPP benefits to size your coverage in minutes.</t>
        </is>
      </c>
      <c r="M809" s="36">
        <f>LEN(L809)</f>
        <v/>
      </c>
      <c r="N809" s="25" t="inlineStr">
        <is>
          <t>How Much Life Insurance Do I Need in Canada?</t>
        </is>
      </c>
      <c r="O809" s="36" t="n"/>
      <c r="P809" s="37" t="n"/>
      <c r="Q809" s="36" t="n"/>
      <c r="R809" s="36" t="inlineStr">
        <is>
          <t>how much life insurance do i need</t>
        </is>
      </c>
      <c r="S809" s="36">
        <f>COUNTIF('Page-Keyword Map'!$A$2:$A$675,B809)</f>
        <v/>
      </c>
      <c r="T809" s="37">
        <f>SUMIF('Page-Keyword Map'!$A$2:$A$675,B809,'Page-Keyword Map'!$H$2:$H$675)</f>
        <v/>
      </c>
      <c r="U809" s="36">
        <f>COUNTIFS('Page-Keyword Map'!$A$2:$A$675,B809,'Page-Keyword Map'!$E$2:$E$675,"Nationwide")</f>
        <v/>
      </c>
      <c r="V809" s="36">
        <f>COUNTIFS('Page-Keyword Map'!$A$2:$A$675,B809,'Page-Keyword Map'!$E$2:$E$675,"Provincial")</f>
        <v/>
      </c>
      <c r="W809" s="36">
        <f>COUNTIFS('Page-Keyword Map'!$A$2:$A$675,B809,'Page-Keyword Map'!$E$2:$E$675,"City")</f>
        <v/>
      </c>
      <c r="X809" s="36">
        <f>IF(O809="","",IF(ISNUMBER(SEARCH(O809,J809)),"Yes","No"))</f>
        <v/>
      </c>
      <c r="Y809" s="36" t="n">
        <v>0.7</v>
      </c>
      <c r="Z809" s="36" t="inlineStr">
        <is>
          <t>sitemap-guides.xml</t>
        </is>
      </c>
      <c r="AA809" s="36" t="inlineStr">
        <is>
          <t>Live – indexable</t>
        </is>
      </c>
      <c r="AB809" s="38" t="n"/>
      <c r="AC809" s="38" t="n"/>
    </row>
    <row r="810" ht="23.85" customHeight="1" s="22">
      <c r="A810" s="36" t="inlineStr">
        <is>
          <t>P0809</t>
        </is>
      </c>
      <c r="B810" s="36" t="inlineStr">
        <is>
          <t>https://instasure.ca/guides/icbc-optional-insurance-explained/</t>
        </is>
      </c>
      <c r="C810" s="36" t="inlineStr">
        <is>
          <t>Guide (blog)</t>
        </is>
      </c>
      <c r="D810" s="36" t="inlineStr">
        <is>
          <t>Car insurance</t>
        </is>
      </c>
      <c r="E810" s="36" t="inlineStr">
        <is>
          <t>Car Insurance</t>
        </is>
      </c>
      <c r="F810" s="36" t="n"/>
      <c r="G810" s="36" t="n"/>
      <c r="H810" s="36" t="n"/>
      <c r="I810" s="36" t="inlineStr">
        <is>
          <t>Yes</t>
        </is>
      </c>
      <c r="J810" s="25" t="inlineStr">
        <is>
          <t>ICBC Optional Insurance Explained: What to Buy in BC</t>
        </is>
      </c>
      <c r="K810" s="36">
        <f>LEN(J810)</f>
        <v/>
      </c>
      <c r="L810" s="25" t="inlineStr">
        <is>
          <t>ICBC optional insurance explained: what Basic Autoplan covers, which optional coverage to add, private insurer options and the low-kilometre discount in BC.</t>
        </is>
      </c>
      <c r="M810" s="36">
        <f>LEN(L810)</f>
        <v/>
      </c>
      <c r="N810" s="25" t="inlineStr">
        <is>
          <t>ICBC Optional Insurance Explained: What to Buy on Top of Basic</t>
        </is>
      </c>
      <c r="O810" s="36" t="inlineStr">
        <is>
          <t>icbc optional insurance</t>
        </is>
      </c>
      <c r="P810" s="37" t="n">
        <v>1300</v>
      </c>
      <c r="Q810" s="36" t="inlineStr">
        <is>
          <t>Provincial</t>
        </is>
      </c>
      <c r="R810" s="36" t="n"/>
      <c r="S810" s="36">
        <f>COUNTIF('Page-Keyword Map'!$A$2:$A$675,B810)</f>
        <v/>
      </c>
      <c r="T810" s="37">
        <f>SUMIF('Page-Keyword Map'!$A$2:$A$675,B810,'Page-Keyword Map'!$H$2:$H$675)</f>
        <v/>
      </c>
      <c r="U810" s="36">
        <f>COUNTIFS('Page-Keyword Map'!$A$2:$A$675,B810,'Page-Keyword Map'!$E$2:$E$675,"Nationwide")</f>
        <v/>
      </c>
      <c r="V810" s="36">
        <f>COUNTIFS('Page-Keyword Map'!$A$2:$A$675,B810,'Page-Keyword Map'!$E$2:$E$675,"Provincial")</f>
        <v/>
      </c>
      <c r="W810" s="36">
        <f>COUNTIFS('Page-Keyword Map'!$A$2:$A$675,B810,'Page-Keyword Map'!$E$2:$E$675,"City")</f>
        <v/>
      </c>
      <c r="X810" s="36">
        <f>IF(O810="","",IF(ISNUMBER(SEARCH(O810,J810)),"Yes","No"))</f>
        <v/>
      </c>
      <c r="Y810" s="36" t="n">
        <v>0.7</v>
      </c>
      <c r="Z810" s="36" t="inlineStr">
        <is>
          <t>sitemap-guides.xml</t>
        </is>
      </c>
      <c r="AA810" s="36" t="inlineStr">
        <is>
          <t>Live – indexable</t>
        </is>
      </c>
      <c r="AB810" s="38" t="n"/>
      <c r="AC810" s="38" t="n"/>
    </row>
    <row r="811" ht="23.85" customHeight="1" s="22">
      <c r="A811" s="36" t="inlineStr">
        <is>
          <t>P0810</t>
        </is>
      </c>
      <c r="B811" s="36" t="inlineStr">
        <is>
          <t>https://instasure.ca/guides/life-insurance-for-newcomers-to-canada/</t>
        </is>
      </c>
      <c r="C811" s="36" t="inlineStr">
        <is>
          <t>Guide (blog)</t>
        </is>
      </c>
      <c r="D811" s="36" t="inlineStr">
        <is>
          <t>Life insurance</t>
        </is>
      </c>
      <c r="E811" s="36" t="inlineStr">
        <is>
          <t>Life Insurance</t>
        </is>
      </c>
      <c r="F811" s="36" t="n"/>
      <c r="G811" s="36" t="n"/>
      <c r="H811" s="36" t="n"/>
      <c r="I811" s="36" t="inlineStr">
        <is>
          <t>Yes</t>
        </is>
      </c>
      <c r="J811" s="25" t="inlineStr">
        <is>
          <t>Life Insurance for Newcomers to Canada (2026 Guide)</t>
        </is>
      </c>
      <c r="K811" s="36">
        <f>LEN(J811)</f>
        <v/>
      </c>
      <c r="L811" s="25" t="inlineStr">
        <is>
          <t>Life insurance for newcomers to Canada: who qualifies on PR, work and study permits, coverage limits, underwriting abroad, group benefits and Super Visa tips.</t>
        </is>
      </c>
      <c r="M811" s="36">
        <f>LEN(L811)</f>
        <v/>
      </c>
      <c r="N811" s="25" t="inlineStr">
        <is>
          <t>Life Insurance for Newcomers to Canada: PR, Work Permits and Students</t>
        </is>
      </c>
      <c r="O811" s="36" t="inlineStr">
        <is>
          <t>life insurance for newcomers to canada</t>
        </is>
      </c>
      <c r="P811" s="37" t="n">
        <v>480</v>
      </c>
      <c r="Q811" s="36" t="inlineStr">
        <is>
          <t>Nationwide</t>
        </is>
      </c>
      <c r="R811" s="36" t="n"/>
      <c r="S811" s="36">
        <f>COUNTIF('Page-Keyword Map'!$A$2:$A$675,B811)</f>
        <v/>
      </c>
      <c r="T811" s="37">
        <f>SUMIF('Page-Keyword Map'!$A$2:$A$675,B811,'Page-Keyword Map'!$H$2:$H$675)</f>
        <v/>
      </c>
      <c r="U811" s="36">
        <f>COUNTIFS('Page-Keyword Map'!$A$2:$A$675,B811,'Page-Keyword Map'!$E$2:$E$675,"Nationwide")</f>
        <v/>
      </c>
      <c r="V811" s="36">
        <f>COUNTIFS('Page-Keyword Map'!$A$2:$A$675,B811,'Page-Keyword Map'!$E$2:$E$675,"Provincial")</f>
        <v/>
      </c>
      <c r="W811" s="36">
        <f>COUNTIFS('Page-Keyword Map'!$A$2:$A$675,B811,'Page-Keyword Map'!$E$2:$E$675,"City")</f>
        <v/>
      </c>
      <c r="X811" s="36">
        <f>IF(O811="","",IF(ISNUMBER(SEARCH(O811,J811)),"Yes","No"))</f>
        <v/>
      </c>
      <c r="Y811" s="36" t="n">
        <v>0.7</v>
      </c>
      <c r="Z811" s="36" t="inlineStr">
        <is>
          <t>sitemap-guides.xml</t>
        </is>
      </c>
      <c r="AA811" s="36" t="inlineStr">
        <is>
          <t>Live – indexable</t>
        </is>
      </c>
      <c r="AB811" s="38" t="n"/>
      <c r="AC811" s="38" t="n"/>
    </row>
    <row r="812" ht="23.85" customHeight="1" s="22">
      <c r="A812" s="36" t="inlineStr">
        <is>
          <t>P0811</t>
        </is>
      </c>
      <c r="B812" s="36" t="inlineStr">
        <is>
          <t>https://instasure.ca/guides/mortgage-life-insurance-vs-term-life-insurance/</t>
        </is>
      </c>
      <c r="C812" s="36" t="inlineStr">
        <is>
          <t>Guide (blog)</t>
        </is>
      </c>
      <c r="D812" s="36" t="inlineStr">
        <is>
          <t>Mortgage protection</t>
        </is>
      </c>
      <c r="E812" s="36" t="inlineStr">
        <is>
          <t>Mortgage Life Insurance</t>
        </is>
      </c>
      <c r="F812" s="36" t="n"/>
      <c r="G812" s="36" t="n"/>
      <c r="H812" s="36" t="n"/>
      <c r="I812" s="36" t="inlineStr">
        <is>
          <t>Yes</t>
        </is>
      </c>
      <c r="J812" s="25" t="inlineStr">
        <is>
          <t>Mortgage Life Insurance vs Term Life Insurance (2026)</t>
        </is>
      </c>
      <c r="K812" s="36">
        <f>LEN(J812)</f>
        <v/>
      </c>
      <c r="L812" s="25" t="inlineStr">
        <is>
          <t>Mortgage life insurance vs term life insurance: how bank creditor coverage, declining benefits and post-claim underwriting compare at your 2026 renewal.</t>
        </is>
      </c>
      <c r="M812" s="36">
        <f>LEN(L812)</f>
        <v/>
      </c>
      <c r="N812" s="25" t="inlineStr">
        <is>
          <t>Mortgage Life Insurance vs Term Life Insurance: What to Choose in 2026</t>
        </is>
      </c>
      <c r="O812" s="36" t="inlineStr">
        <is>
          <t>mortgage insurance vs life insurance</t>
        </is>
      </c>
      <c r="P812" s="37" t="n">
        <v>1300</v>
      </c>
      <c r="Q812" s="36" t="inlineStr">
        <is>
          <t>Nationwide</t>
        </is>
      </c>
      <c r="R812" s="36" t="n"/>
      <c r="S812" s="36">
        <f>COUNTIF('Page-Keyword Map'!$A$2:$A$675,B812)</f>
        <v/>
      </c>
      <c r="T812" s="37">
        <f>SUMIF('Page-Keyword Map'!$A$2:$A$675,B812,'Page-Keyword Map'!$H$2:$H$675)</f>
        <v/>
      </c>
      <c r="U812" s="36">
        <f>COUNTIFS('Page-Keyword Map'!$A$2:$A$675,B812,'Page-Keyword Map'!$E$2:$E$675,"Nationwide")</f>
        <v/>
      </c>
      <c r="V812" s="36">
        <f>COUNTIFS('Page-Keyword Map'!$A$2:$A$675,B812,'Page-Keyword Map'!$E$2:$E$675,"Provincial")</f>
        <v/>
      </c>
      <c r="W812" s="36">
        <f>COUNTIFS('Page-Keyword Map'!$A$2:$A$675,B812,'Page-Keyword Map'!$E$2:$E$675,"City")</f>
        <v/>
      </c>
      <c r="X812" s="36">
        <f>IF(O812="","",IF(ISNUMBER(SEARCH(O812,J812)),"Yes","No"))</f>
        <v/>
      </c>
      <c r="Y812" s="36" t="n">
        <v>0.7</v>
      </c>
      <c r="Z812" s="36" t="inlineStr">
        <is>
          <t>sitemap-guides.xml</t>
        </is>
      </c>
      <c r="AA812" s="36" t="inlineStr">
        <is>
          <t>Live – indexable</t>
        </is>
      </c>
      <c r="AB812" s="38" t="n"/>
      <c r="AC812" s="38" t="n"/>
    </row>
    <row r="813" ht="23.85" customHeight="1" s="22">
      <c r="A813" s="36" t="inlineStr">
        <is>
          <t>P0812</t>
        </is>
      </c>
      <c r="B813" s="36" t="inlineStr">
        <is>
          <t>https://instasure.ca/guides/ontario-auto-insurance-changes-july-2026/</t>
        </is>
      </c>
      <c r="C813" s="36" t="inlineStr">
        <is>
          <t>Guide (blog)</t>
        </is>
      </c>
      <c r="D813" s="36" t="inlineStr">
        <is>
          <t>Car insurance</t>
        </is>
      </c>
      <c r="E813" s="36" t="inlineStr">
        <is>
          <t>Car Insurance</t>
        </is>
      </c>
      <c r="F813" s="36" t="n"/>
      <c r="G813" s="36" t="n"/>
      <c r="H813" s="36" t="n"/>
      <c r="I813" s="36" t="inlineStr">
        <is>
          <t>Yes</t>
        </is>
      </c>
      <c r="J813" s="25" t="inlineStr">
        <is>
          <t>Ontario Auto Insurance Changes July 2026: What's Optional</t>
        </is>
      </c>
      <c r="K813" s="36">
        <f>LEN(J813)</f>
        <v/>
      </c>
      <c r="L813" s="25" t="inlineStr">
        <is>
          <t>Ontario auto insurance changes took effect July 1, 2026. See which accident benefits are optional, who should keep income replacement and what to ask.</t>
        </is>
      </c>
      <c r="M813" s="36">
        <f>LEN(L813)</f>
        <v/>
      </c>
      <c r="N813" s="25" t="inlineStr">
        <is>
          <t>Ontario Auto Insurance Changes (July 2026): What's Optional Now</t>
        </is>
      </c>
      <c r="O813" s="36" t="inlineStr">
        <is>
          <t>ontario auto insurance changes 2026</t>
        </is>
      </c>
      <c r="P813" s="37" t="n">
        <v>4400</v>
      </c>
      <c r="Q813" s="36" t="inlineStr">
        <is>
          <t>Provincial</t>
        </is>
      </c>
      <c r="R813" s="36" t="n"/>
      <c r="S813" s="36">
        <f>COUNTIF('Page-Keyword Map'!$A$2:$A$675,B813)</f>
        <v/>
      </c>
      <c r="T813" s="37">
        <f>SUMIF('Page-Keyword Map'!$A$2:$A$675,B813,'Page-Keyword Map'!$H$2:$H$675)</f>
        <v/>
      </c>
      <c r="U813" s="36">
        <f>COUNTIFS('Page-Keyword Map'!$A$2:$A$675,B813,'Page-Keyword Map'!$E$2:$E$675,"Nationwide")</f>
        <v/>
      </c>
      <c r="V813" s="36">
        <f>COUNTIFS('Page-Keyword Map'!$A$2:$A$675,B813,'Page-Keyword Map'!$E$2:$E$675,"Provincial")</f>
        <v/>
      </c>
      <c r="W813" s="36">
        <f>COUNTIFS('Page-Keyword Map'!$A$2:$A$675,B813,'Page-Keyword Map'!$E$2:$E$675,"City")</f>
        <v/>
      </c>
      <c r="X813" s="36">
        <f>IF(O813="","",IF(ISNUMBER(SEARCH(O813,J813)),"Yes","No"))</f>
        <v/>
      </c>
      <c r="Y813" s="36" t="n">
        <v>0.7</v>
      </c>
      <c r="Z813" s="36" t="inlineStr">
        <is>
          <t>sitemap-guides.xml</t>
        </is>
      </c>
      <c r="AA813" s="36" t="inlineStr">
        <is>
          <t>Live – indexable</t>
        </is>
      </c>
      <c r="AB813" s="38" t="n"/>
      <c r="AC813" s="38" t="n"/>
    </row>
    <row r="814" ht="23.85" customHeight="1" s="22">
      <c r="A814" s="36" t="inlineStr">
        <is>
          <t>P0813</t>
        </is>
      </c>
      <c r="B814" s="36" t="inlineStr">
        <is>
          <t>https://instasure.ca/guides/private-dental-insurance-vs-cdcp/</t>
        </is>
      </c>
      <c r="C814" s="36" t="inlineStr">
        <is>
          <t>Guide (blog)</t>
        </is>
      </c>
      <c r="D814" s="36" t="inlineStr">
        <is>
          <t>Health &amp; dental insurance</t>
        </is>
      </c>
      <c r="E814" s="36" t="inlineStr">
        <is>
          <t>Health &amp; Dental Insurance</t>
        </is>
      </c>
      <c r="F814" s="36" t="n"/>
      <c r="G814" s="36" t="n"/>
      <c r="H814" s="36" t="n"/>
      <c r="I814" s="36" t="inlineStr">
        <is>
          <t>Yes</t>
        </is>
      </c>
      <c r="J814" s="25" t="inlineStr">
        <is>
          <t>Private Dental Insurance vs CDCP: Who Should Buy What</t>
        </is>
      </c>
      <c r="K814" s="36">
        <f>LEN(J814)</f>
        <v/>
      </c>
      <c r="L814" s="25" t="inlineStr">
        <is>
          <t>Private dental insurance vs the Canadian Dental Care Plan: who qualifies for the CDCP, why private coverage can affect eligibility, and who should buy what.</t>
        </is>
      </c>
      <c r="M814" s="36">
        <f>LEN(L814)</f>
        <v/>
      </c>
      <c r="N814" s="25" t="inlineStr">
        <is>
          <t>Private Dental Insurance vs the CDCP: Who Should Buy What?</t>
        </is>
      </c>
      <c r="O814" s="36" t="inlineStr">
        <is>
          <t>canadian dental care plan vs private insurance</t>
        </is>
      </c>
      <c r="P814" s="37" t="n">
        <v>720</v>
      </c>
      <c r="Q814" s="36" t="inlineStr">
        <is>
          <t>Nationwide</t>
        </is>
      </c>
      <c r="R814" s="36" t="n"/>
      <c r="S814" s="36">
        <f>COUNTIF('Page-Keyword Map'!$A$2:$A$675,B814)</f>
        <v/>
      </c>
      <c r="T814" s="37">
        <f>SUMIF('Page-Keyword Map'!$A$2:$A$675,B814,'Page-Keyword Map'!$H$2:$H$675)</f>
        <v/>
      </c>
      <c r="U814" s="36">
        <f>COUNTIFS('Page-Keyword Map'!$A$2:$A$675,B814,'Page-Keyword Map'!$E$2:$E$675,"Nationwide")</f>
        <v/>
      </c>
      <c r="V814" s="36">
        <f>COUNTIFS('Page-Keyword Map'!$A$2:$A$675,B814,'Page-Keyword Map'!$E$2:$E$675,"Provincial")</f>
        <v/>
      </c>
      <c r="W814" s="36">
        <f>COUNTIFS('Page-Keyword Map'!$A$2:$A$675,B814,'Page-Keyword Map'!$E$2:$E$675,"City")</f>
        <v/>
      </c>
      <c r="X814" s="36">
        <f>IF(O814="","",IF(ISNUMBER(SEARCH(O814,J814)),"Yes","No"))</f>
        <v/>
      </c>
      <c r="Y814" s="36" t="n">
        <v>0.7</v>
      </c>
      <c r="Z814" s="36" t="inlineStr">
        <is>
          <t>sitemap-guides.xml</t>
        </is>
      </c>
      <c r="AA814" s="36" t="inlineStr">
        <is>
          <t>Live – indexable</t>
        </is>
      </c>
      <c r="AB814" s="38" t="n"/>
      <c r="AC814" s="38" t="n"/>
    </row>
    <row r="815" ht="23.85" customHeight="1" s="22">
      <c r="A815" s="36" t="inlineStr">
        <is>
          <t>P0814</t>
        </is>
      </c>
      <c r="B815" s="36" t="inlineStr">
        <is>
          <t>https://instasure.ca/guides/small-business-insurance-cost-canada/</t>
        </is>
      </c>
      <c r="C815" s="36" t="inlineStr">
        <is>
          <t>Guide (blog)</t>
        </is>
      </c>
      <c r="D815" s="36" t="inlineStr">
        <is>
          <t>Business insurance</t>
        </is>
      </c>
      <c r="E815" s="36" t="inlineStr">
        <is>
          <t>Business Insurance</t>
        </is>
      </c>
      <c r="F815" s="36" t="n"/>
      <c r="G815" s="36" t="n"/>
      <c r="H815" s="36" t="n"/>
      <c r="I815" s="36" t="inlineStr">
        <is>
          <t>Yes</t>
        </is>
      </c>
      <c r="J815" s="25" t="inlineStr">
        <is>
          <t>Small Business Insurance Cost in Canada: What Drives It</t>
        </is>
      </c>
      <c r="K815" s="36">
        <f>LEN(J815)</f>
        <v/>
      </c>
      <c r="L815" s="25" t="inlineStr">
        <is>
          <t>Small business insurance cost in Canada depends on your industry, revenue, limits and claims. See illustrative ranges by business type and ways to lower cost.</t>
        </is>
      </c>
      <c r="M815" s="36">
        <f>LEN(L815)</f>
        <v/>
      </c>
      <c r="N815" s="25" t="inlineStr">
        <is>
          <t>How Much Does Small Business Insurance Cost in Canada?</t>
        </is>
      </c>
      <c r="O815" s="36" t="inlineStr">
        <is>
          <t>small business insurance cost</t>
        </is>
      </c>
      <c r="P815" s="37" t="n">
        <v>720</v>
      </c>
      <c r="Q815" s="36" t="inlineStr">
        <is>
          <t>Nationwide</t>
        </is>
      </c>
      <c r="R815" s="36" t="n"/>
      <c r="S815" s="36">
        <f>COUNTIF('Page-Keyword Map'!$A$2:$A$675,B815)</f>
        <v/>
      </c>
      <c r="T815" s="37">
        <f>SUMIF('Page-Keyword Map'!$A$2:$A$675,B815,'Page-Keyword Map'!$H$2:$H$675)</f>
        <v/>
      </c>
      <c r="U815" s="36">
        <f>COUNTIFS('Page-Keyword Map'!$A$2:$A$675,B815,'Page-Keyword Map'!$E$2:$E$675,"Nationwide")</f>
        <v/>
      </c>
      <c r="V815" s="36">
        <f>COUNTIFS('Page-Keyword Map'!$A$2:$A$675,B815,'Page-Keyword Map'!$E$2:$E$675,"Provincial")</f>
        <v/>
      </c>
      <c r="W815" s="36">
        <f>COUNTIFS('Page-Keyword Map'!$A$2:$A$675,B815,'Page-Keyword Map'!$E$2:$E$675,"City")</f>
        <v/>
      </c>
      <c r="X815" s="36">
        <f>IF(O815="","",IF(ISNUMBER(SEARCH(O815,J815)),"Yes","No"))</f>
        <v/>
      </c>
      <c r="Y815" s="36" t="n">
        <v>0.7</v>
      </c>
      <c r="Z815" s="36" t="inlineStr">
        <is>
          <t>sitemap-guides.xml</t>
        </is>
      </c>
      <c r="AA815" s="36" t="inlineStr">
        <is>
          <t>Live – indexable</t>
        </is>
      </c>
      <c r="AB815" s="38" t="n"/>
      <c r="AC815" s="38" t="n"/>
    </row>
    <row r="816" ht="23.85" customHeight="1" s="22">
      <c r="A816" s="36" t="inlineStr">
        <is>
          <t>P0815</t>
        </is>
      </c>
      <c r="B816" s="36" t="inlineStr">
        <is>
          <t>https://instasure.ca/guides/super-visa-insurance-requirements-cost/</t>
        </is>
      </c>
      <c r="C816" s="36" t="inlineStr">
        <is>
          <t>Guide (blog)</t>
        </is>
      </c>
      <c r="D816" s="36" t="inlineStr">
        <is>
          <t>Super Visa &amp; visitors insurance</t>
        </is>
      </c>
      <c r="E816" s="36" t="inlineStr">
        <is>
          <t>Super Visa Insurance</t>
        </is>
      </c>
      <c r="F816" s="36" t="n"/>
      <c r="G816" s="36" t="n"/>
      <c r="H816" s="36" t="n"/>
      <c r="I816" s="36" t="inlineStr">
        <is>
          <t>Yes</t>
        </is>
      </c>
      <c r="J816" s="25" t="inlineStr">
        <is>
          <t>Super Visa Insurance Requirements and Cost by Age | Instasure.ca</t>
        </is>
      </c>
      <c r="K816" s="36">
        <f>LEN(J816)</f>
        <v/>
      </c>
      <c r="L816" s="25" t="inlineStr">
        <is>
          <t>Super Visa insurance requirements explained: $100,000 minimum, one-year validity and eligible insurers, plus illustrative costs by age, deductibles and refunds.</t>
        </is>
      </c>
      <c r="M816" s="36">
        <f>LEN(L816)</f>
        <v/>
      </c>
      <c r="N816" s="25" t="inlineStr">
        <is>
          <t>Super Visa Insurance: Requirements and Cost by Age</t>
        </is>
      </c>
      <c r="O816" s="36" t="inlineStr">
        <is>
          <t>super visa insurance cost</t>
        </is>
      </c>
      <c r="P816" s="37" t="n">
        <v>1600</v>
      </c>
      <c r="Q816" s="36" t="inlineStr">
        <is>
          <t>Nationwide</t>
        </is>
      </c>
      <c r="R816" s="36" t="n"/>
      <c r="S816" s="36">
        <f>COUNTIF('Page-Keyword Map'!$A$2:$A$675,B816)</f>
        <v/>
      </c>
      <c r="T816" s="37">
        <f>SUMIF('Page-Keyword Map'!$A$2:$A$675,B816,'Page-Keyword Map'!$H$2:$H$675)</f>
        <v/>
      </c>
      <c r="U816" s="36">
        <f>COUNTIFS('Page-Keyword Map'!$A$2:$A$675,B816,'Page-Keyword Map'!$E$2:$E$675,"Nationwide")</f>
        <v/>
      </c>
      <c r="V816" s="36">
        <f>COUNTIFS('Page-Keyword Map'!$A$2:$A$675,B816,'Page-Keyword Map'!$E$2:$E$675,"Provincial")</f>
        <v/>
      </c>
      <c r="W816" s="36">
        <f>COUNTIFS('Page-Keyword Map'!$A$2:$A$675,B816,'Page-Keyword Map'!$E$2:$E$675,"City")</f>
        <v/>
      </c>
      <c r="X816" s="36">
        <f>IF(O816="","",IF(ISNUMBER(SEARCH(O816,J816)),"Yes","No"))</f>
        <v/>
      </c>
      <c r="Y816" s="36" t="n">
        <v>0.7</v>
      </c>
      <c r="Z816" s="36" t="inlineStr">
        <is>
          <t>sitemap-guides.xml</t>
        </is>
      </c>
      <c r="AA816" s="36" t="inlineStr">
        <is>
          <t>Live – indexable</t>
        </is>
      </c>
      <c r="AB816" s="38" t="n"/>
      <c r="AC816" s="38" t="n"/>
    </row>
    <row r="817" ht="23.85" customHeight="1" s="22">
      <c r="A817" s="36" t="inlineStr">
        <is>
          <t>P0816</t>
        </is>
      </c>
      <c r="B817" s="36" t="inlineStr">
        <is>
          <t>https://instasure.ca/guides/tenant-insurance-ontario-landlord-require/</t>
        </is>
      </c>
      <c r="C817" s="36" t="inlineStr">
        <is>
          <t>Guide (blog)</t>
        </is>
      </c>
      <c r="D817" s="36" t="inlineStr">
        <is>
          <t>Tenant insurance</t>
        </is>
      </c>
      <c r="E817" s="36" t="inlineStr">
        <is>
          <t>Tenant Insurance</t>
        </is>
      </c>
      <c r="F817" s="36" t="n"/>
      <c r="G817" s="36" t="n"/>
      <c r="H817" s="36" t="n"/>
      <c r="I817" s="36" t="inlineStr">
        <is>
          <t>Yes</t>
        </is>
      </c>
      <c r="J817" s="25" t="inlineStr">
        <is>
          <t>Tenant Insurance Ontario: Can a Landlord Require It?</t>
        </is>
      </c>
      <c r="K817" s="36">
        <f>LEN(J817)</f>
        <v/>
      </c>
      <c r="L817" s="25" t="inlineStr">
        <is>
          <t>Tenant insurance Ontario guide: a landlord can require liability coverage through the standard lease. See what it covers, typical costs and tips for students.</t>
        </is>
      </c>
      <c r="M817" s="36">
        <f>LEN(L817)</f>
        <v/>
      </c>
      <c r="N817" s="25" t="inlineStr">
        <is>
          <t>Can a Landlord Require Tenant Insurance in Ontario?</t>
        </is>
      </c>
      <c r="O817" s="36" t="inlineStr">
        <is>
          <t>is tenant insurance mandatory</t>
        </is>
      </c>
      <c r="P817" s="37" t="n">
        <v>1000</v>
      </c>
      <c r="Q817" s="36" t="inlineStr">
        <is>
          <t>Nationwide</t>
        </is>
      </c>
      <c r="R817" s="36" t="n"/>
      <c r="S817" s="36">
        <f>COUNTIF('Page-Keyword Map'!$A$2:$A$675,B817)</f>
        <v/>
      </c>
      <c r="T817" s="37">
        <f>SUMIF('Page-Keyword Map'!$A$2:$A$675,B817,'Page-Keyword Map'!$H$2:$H$675)</f>
        <v/>
      </c>
      <c r="U817" s="36">
        <f>COUNTIFS('Page-Keyword Map'!$A$2:$A$675,B817,'Page-Keyword Map'!$E$2:$E$675,"Nationwide")</f>
        <v/>
      </c>
      <c r="V817" s="36">
        <f>COUNTIFS('Page-Keyword Map'!$A$2:$A$675,B817,'Page-Keyword Map'!$E$2:$E$675,"Provincial")</f>
        <v/>
      </c>
      <c r="W817" s="36">
        <f>COUNTIFS('Page-Keyword Map'!$A$2:$A$675,B817,'Page-Keyword Map'!$E$2:$E$675,"City")</f>
        <v/>
      </c>
      <c r="X817" s="36">
        <f>IF(O817="","",IF(ISNUMBER(SEARCH(O817,J817)),"Yes","No"))</f>
        <v/>
      </c>
      <c r="Y817" s="36" t="n">
        <v>0.7</v>
      </c>
      <c r="Z817" s="36" t="inlineStr">
        <is>
          <t>sitemap-guides.xml</t>
        </is>
      </c>
      <c r="AA817" s="36" t="inlineStr">
        <is>
          <t>Live – indexable</t>
        </is>
      </c>
      <c r="AB817" s="38" t="n"/>
      <c r="AC817" s="38" t="n"/>
    </row>
    <row r="818" ht="23.85" customHeight="1" s="22">
      <c r="A818" s="36" t="inlineStr">
        <is>
          <t>P0817</t>
        </is>
      </c>
      <c r="B818" s="36" t="inlineStr">
        <is>
          <t>https://instasure.ca/guides/term-vs-whole-life-insurance-canada/</t>
        </is>
      </c>
      <c r="C818" s="36" t="inlineStr">
        <is>
          <t>Guide (blog)</t>
        </is>
      </c>
      <c r="D818" s="36" t="inlineStr">
        <is>
          <t>Life insurance</t>
        </is>
      </c>
      <c r="E818" s="36" t="inlineStr">
        <is>
          <t>Term Life Insurance</t>
        </is>
      </c>
      <c r="F818" s="36" t="n"/>
      <c r="G818" s="36" t="n"/>
      <c r="H818" s="36" t="n"/>
      <c r="I818" s="36" t="inlineStr">
        <is>
          <t>Yes</t>
        </is>
      </c>
      <c r="J818" s="25" t="inlineStr">
        <is>
          <t>Term vs Whole Life Insurance in Canada (2026) | Instasure.ca</t>
        </is>
      </c>
      <c r="K818" s="36">
        <f>LEN(J818)</f>
        <v/>
      </c>
      <c r="L818" s="25" t="inlineStr">
        <is>
          <t>Term vs whole life insurance in Canada: compare cost, cash value and flexibility, see when each fits, and learn how laddering and conversion work.</t>
        </is>
      </c>
      <c r="M818" s="36">
        <f>LEN(L818)</f>
        <v/>
      </c>
      <c r="N818" s="25" t="inlineStr">
        <is>
          <t>Term vs Whole Life Insurance in Canada: Which Fits You?</t>
        </is>
      </c>
      <c r="O818" s="36" t="inlineStr">
        <is>
          <t>term vs whole life insurance</t>
        </is>
      </c>
      <c r="P818" s="37" t="n">
        <v>1900</v>
      </c>
      <c r="Q818" s="36" t="inlineStr">
        <is>
          <t>Nationwide</t>
        </is>
      </c>
      <c r="R818" s="36" t="n"/>
      <c r="S818" s="36">
        <f>COUNTIF('Page-Keyword Map'!$A$2:$A$675,B818)</f>
        <v/>
      </c>
      <c r="T818" s="37">
        <f>SUMIF('Page-Keyword Map'!$A$2:$A$675,B818,'Page-Keyword Map'!$H$2:$H$675)</f>
        <v/>
      </c>
      <c r="U818" s="36">
        <f>COUNTIFS('Page-Keyword Map'!$A$2:$A$675,B818,'Page-Keyword Map'!$E$2:$E$675,"Nationwide")</f>
        <v/>
      </c>
      <c r="V818" s="36">
        <f>COUNTIFS('Page-Keyword Map'!$A$2:$A$675,B818,'Page-Keyword Map'!$E$2:$E$675,"Provincial")</f>
        <v/>
      </c>
      <c r="W818" s="36">
        <f>COUNTIFS('Page-Keyword Map'!$A$2:$A$675,B818,'Page-Keyword Map'!$E$2:$E$675,"City")</f>
        <v/>
      </c>
      <c r="X818" s="36">
        <f>IF(O818="","",IF(ISNUMBER(SEARCH(O818,J818)),"Yes","No"))</f>
        <v/>
      </c>
      <c r="Y818" s="36" t="n">
        <v>0.7</v>
      </c>
      <c r="Z818" s="36" t="inlineStr">
        <is>
          <t>sitemap-guides.xml</t>
        </is>
      </c>
      <c r="AA818" s="36" t="inlineStr">
        <is>
          <t>Live – indexable</t>
        </is>
      </c>
      <c r="AB818" s="38" t="n"/>
      <c r="AC818" s="38" t="n"/>
    </row>
    <row r="819" ht="23.85" customHeight="1" s="22">
      <c r="A819" s="36" t="inlineStr">
        <is>
          <t>P0818</t>
        </is>
      </c>
      <c r="B819" s="36" t="inlineStr">
        <is>
          <t>https://instasure.ca/guides/trucking-insurance-cost-canada/</t>
        </is>
      </c>
      <c r="C819" s="36" t="inlineStr">
        <is>
          <t>Guide (blog)</t>
        </is>
      </c>
      <c r="D819" s="36" t="inlineStr">
        <is>
          <t>Business insurance</t>
        </is>
      </c>
      <c r="E819" s="36" t="inlineStr">
        <is>
          <t>Business Insurance</t>
        </is>
      </c>
      <c r="F819" s="36" t="n"/>
      <c r="G819" s="36" t="n"/>
      <c r="H819" s="36" t="n"/>
      <c r="I819" s="36" t="inlineStr">
        <is>
          <t>Yes</t>
        </is>
      </c>
      <c r="J819" s="25" t="inlineStr">
        <is>
          <t>Trucking Insurance Cost in Canada: What Drives It | Instasure.ca</t>
        </is>
      </c>
      <c r="K819" s="36">
        <f>LEN(J819)</f>
        <v/>
      </c>
      <c r="L819" s="25" t="inlineStr">
        <is>
          <t>Trucking insurance cost in Canada depends on cargo, radius, driver history and operating authority. See coverages and price drivers. Talk to a specialist.</t>
        </is>
      </c>
      <c r="M819" s="36">
        <f>LEN(L819)</f>
        <v/>
      </c>
      <c r="N819" s="25" t="inlineStr">
        <is>
          <t>Trucking Insurance Cost in Canada: Owner-Operators, Cargo and For-Hire Carriers</t>
        </is>
      </c>
      <c r="O819" s="36" t="n"/>
      <c r="P819" s="37" t="n"/>
      <c r="Q819" s="36" t="n"/>
      <c r="R819" s="36" t="inlineStr">
        <is>
          <t>trucking insurance</t>
        </is>
      </c>
      <c r="S819" s="36">
        <f>COUNTIF('Page-Keyword Map'!$A$2:$A$675,B819)</f>
        <v/>
      </c>
      <c r="T819" s="37">
        <f>SUMIF('Page-Keyword Map'!$A$2:$A$675,B819,'Page-Keyword Map'!$H$2:$H$675)</f>
        <v/>
      </c>
      <c r="U819" s="36">
        <f>COUNTIFS('Page-Keyword Map'!$A$2:$A$675,B819,'Page-Keyword Map'!$E$2:$E$675,"Nationwide")</f>
        <v/>
      </c>
      <c r="V819" s="36">
        <f>COUNTIFS('Page-Keyword Map'!$A$2:$A$675,B819,'Page-Keyword Map'!$E$2:$E$675,"Provincial")</f>
        <v/>
      </c>
      <c r="W819" s="36">
        <f>COUNTIFS('Page-Keyword Map'!$A$2:$A$675,B819,'Page-Keyword Map'!$E$2:$E$675,"City")</f>
        <v/>
      </c>
      <c r="X819" s="36">
        <f>IF(O819="","",IF(ISNUMBER(SEARCH(O819,J819)),"Yes","No"))</f>
        <v/>
      </c>
      <c r="Y819" s="36" t="n">
        <v>0.7</v>
      </c>
      <c r="Z819" s="36" t="inlineStr">
        <is>
          <t>sitemap-guides.xml</t>
        </is>
      </c>
      <c r="AA819" s="36" t="inlineStr">
        <is>
          <t>Live – indexable</t>
        </is>
      </c>
      <c r="AB819" s="38" t="n"/>
      <c r="AC819" s="38" t="n"/>
    </row>
    <row r="820" ht="23.85" customHeight="1" s="22">
      <c r="A820" s="36" t="inlineStr">
        <is>
          <t>P0819</t>
        </is>
      </c>
      <c r="B820" s="36" t="inlineStr">
        <is>
          <t>https://instasure.ca/guides/why-is-my-car-insurance-going-up-2026/</t>
        </is>
      </c>
      <c r="C820" s="36" t="inlineStr">
        <is>
          <t>Guide (blog)</t>
        </is>
      </c>
      <c r="D820" s="36" t="inlineStr">
        <is>
          <t>Car insurance</t>
        </is>
      </c>
      <c r="E820" s="36" t="inlineStr">
        <is>
          <t>Car Insurance</t>
        </is>
      </c>
      <c r="F820" s="36" t="n"/>
      <c r="G820" s="36" t="n"/>
      <c r="H820" s="36" t="n"/>
      <c r="I820" s="36" t="inlineStr">
        <is>
          <t>Yes</t>
        </is>
      </c>
      <c r="J820" s="25" t="inlineStr">
        <is>
          <t>Why Is My Car Insurance Going Up in 2026? | Instasure.ca</t>
        </is>
      </c>
      <c r="K820" s="36">
        <f>LEN(J820)</f>
        <v/>
      </c>
      <c r="L820" s="25" t="inlineStr">
        <is>
          <t>Why is my car insurance going up? Repair costs, theft, claims and weather are pushing 2026 premiums higher. See what's driving it and 10 ways to lower it.</t>
        </is>
      </c>
      <c r="M820" s="36">
        <f>LEN(L820)</f>
        <v/>
      </c>
      <c r="N820" s="25" t="inlineStr">
        <is>
          <t>Why Is My Car Insurance Going Up in 2026? Causes and 10 Ways to Save</t>
        </is>
      </c>
      <c r="O820" s="36" t="inlineStr">
        <is>
          <t>why is my car insurance going up</t>
        </is>
      </c>
      <c r="P820" s="37" t="n">
        <v>1600</v>
      </c>
      <c r="Q820" s="36" t="inlineStr">
        <is>
          <t>Nationwide</t>
        </is>
      </c>
      <c r="R820" s="36" t="n"/>
      <c r="S820" s="36">
        <f>COUNTIF('Page-Keyword Map'!$A$2:$A$675,B820)</f>
        <v/>
      </c>
      <c r="T820" s="37">
        <f>SUMIF('Page-Keyword Map'!$A$2:$A$675,B820,'Page-Keyword Map'!$H$2:$H$675)</f>
        <v/>
      </c>
      <c r="U820" s="36">
        <f>COUNTIFS('Page-Keyword Map'!$A$2:$A$675,B820,'Page-Keyword Map'!$E$2:$E$675,"Nationwide")</f>
        <v/>
      </c>
      <c r="V820" s="36">
        <f>COUNTIFS('Page-Keyword Map'!$A$2:$A$675,B820,'Page-Keyword Map'!$E$2:$E$675,"Provincial")</f>
        <v/>
      </c>
      <c r="W820" s="36">
        <f>COUNTIFS('Page-Keyword Map'!$A$2:$A$675,B820,'Page-Keyword Map'!$E$2:$E$675,"City")</f>
        <v/>
      </c>
      <c r="X820" s="36">
        <f>IF(O820="","",IF(ISNUMBER(SEARCH(O820,J820)),"Yes","No"))</f>
        <v/>
      </c>
      <c r="Y820" s="36" t="n">
        <v>0.7</v>
      </c>
      <c r="Z820" s="36" t="inlineStr">
        <is>
          <t>sitemap-guides.xml</t>
        </is>
      </c>
      <c r="AA820" s="36" t="inlineStr">
        <is>
          <t>Live – indexable</t>
        </is>
      </c>
      <c r="AB820" s="38" t="n"/>
      <c r="AC820" s="38" t="n"/>
    </row>
    <row r="821" ht="15" customHeight="1" s="22">
      <c r="A821" s="36" t="inlineStr">
        <is>
          <t>P0820</t>
        </is>
      </c>
      <c r="B821" s="36" t="inlineStr">
        <is>
          <t>https://instasure.ca/guides/category/auto/</t>
        </is>
      </c>
      <c r="C821" s="36" t="inlineStr">
        <is>
          <t>Guide category</t>
        </is>
      </c>
      <c r="D821" s="36" t="inlineStr">
        <is>
          <t>Site, tools &amp; trust</t>
        </is>
      </c>
      <c r="E821" s="36" t="n"/>
      <c r="F821" s="36" t="n"/>
      <c r="G821" s="36" t="n"/>
      <c r="H821" s="36" t="n"/>
      <c r="I821" s="36" t="inlineStr">
        <is>
          <t>Yes</t>
        </is>
      </c>
      <c r="J821" s="25" t="inlineStr">
        <is>
          <t>Auto insurance Guides for Canadians | Instasure.ca</t>
        </is>
      </c>
      <c r="K821" s="36">
        <f>LEN(J821)</f>
        <v/>
      </c>
      <c r="L821" s="25" t="inlineStr">
        <is>
          <t>Car insurance rules, costs and changes by province.</t>
        </is>
      </c>
      <c r="M821" s="36">
        <f>LEN(L821)</f>
        <v/>
      </c>
      <c r="N821" s="25" t="inlineStr">
        <is>
          <t>Auto insurance guides</t>
        </is>
      </c>
      <c r="O821" s="36" t="n"/>
      <c r="P821" s="37" t="n"/>
      <c r="Q821" s="36" t="n"/>
      <c r="R821" s="36" t="n"/>
      <c r="S821" s="36">
        <f>COUNTIF('Page-Keyword Map'!$A$2:$A$675,B821)</f>
        <v/>
      </c>
      <c r="T821" s="37">
        <f>SUMIF('Page-Keyword Map'!$A$2:$A$675,B821,'Page-Keyword Map'!$H$2:$H$675)</f>
        <v/>
      </c>
      <c r="U821" s="36">
        <f>COUNTIFS('Page-Keyword Map'!$A$2:$A$675,B821,'Page-Keyword Map'!$E$2:$E$675,"Nationwide")</f>
        <v/>
      </c>
      <c r="V821" s="36">
        <f>COUNTIFS('Page-Keyword Map'!$A$2:$A$675,B821,'Page-Keyword Map'!$E$2:$E$675,"Provincial")</f>
        <v/>
      </c>
      <c r="W821" s="36">
        <f>COUNTIFS('Page-Keyword Map'!$A$2:$A$675,B821,'Page-Keyword Map'!$E$2:$E$675,"City")</f>
        <v/>
      </c>
      <c r="X821" s="36">
        <f>IF(O821="","",IF(ISNUMBER(SEARCH(O821,J821)),"Yes","No"))</f>
        <v/>
      </c>
      <c r="Y821" s="36" t="n">
        <v>0.5</v>
      </c>
      <c r="Z821" s="36" t="inlineStr">
        <is>
          <t>sitemap-guides.xml</t>
        </is>
      </c>
      <c r="AA821" s="36" t="inlineStr">
        <is>
          <t>Live – indexable</t>
        </is>
      </c>
      <c r="AB821" s="38" t="n"/>
      <c r="AC821" s="38" t="n"/>
    </row>
    <row r="822" ht="15" customHeight="1" s="22">
      <c r="A822" s="36" t="inlineStr">
        <is>
          <t>P0821</t>
        </is>
      </c>
      <c r="B822" s="36" t="inlineStr">
        <is>
          <t>https://instasure.ca/guides/category/business/</t>
        </is>
      </c>
      <c r="C822" s="36" t="inlineStr">
        <is>
          <t>Guide category</t>
        </is>
      </c>
      <c r="D822" s="36" t="inlineStr">
        <is>
          <t>Site, tools &amp; trust</t>
        </is>
      </c>
      <c r="E822" s="36" t="n"/>
      <c r="F822" s="36" t="n"/>
      <c r="G822" s="36" t="n"/>
      <c r="H822" s="36" t="n"/>
      <c r="I822" s="36" t="inlineStr">
        <is>
          <t>Yes</t>
        </is>
      </c>
      <c r="J822" s="25" t="inlineStr">
        <is>
          <t>Business insurance Guides for Canadians | Instasure.ca</t>
        </is>
      </c>
      <c r="K822" s="36">
        <f>LEN(J822)</f>
        <v/>
      </c>
      <c r="L822" s="25" t="inlineStr">
        <is>
          <t>Liability, property and benefits for Canadian small businesses.</t>
        </is>
      </c>
      <c r="M822" s="36">
        <f>LEN(L822)</f>
        <v/>
      </c>
      <c r="N822" s="25" t="inlineStr">
        <is>
          <t>Business insurance guides</t>
        </is>
      </c>
      <c r="O822" s="36" t="n"/>
      <c r="P822" s="37" t="n"/>
      <c r="Q822" s="36" t="n"/>
      <c r="R822" s="36" t="n"/>
      <c r="S822" s="36">
        <f>COUNTIF('Page-Keyword Map'!$A$2:$A$675,B822)</f>
        <v/>
      </c>
      <c r="T822" s="37">
        <f>SUMIF('Page-Keyword Map'!$A$2:$A$675,B822,'Page-Keyword Map'!$H$2:$H$675)</f>
        <v/>
      </c>
      <c r="U822" s="36">
        <f>COUNTIFS('Page-Keyword Map'!$A$2:$A$675,B822,'Page-Keyword Map'!$E$2:$E$675,"Nationwide")</f>
        <v/>
      </c>
      <c r="V822" s="36">
        <f>COUNTIFS('Page-Keyword Map'!$A$2:$A$675,B822,'Page-Keyword Map'!$E$2:$E$675,"Provincial")</f>
        <v/>
      </c>
      <c r="W822" s="36">
        <f>COUNTIFS('Page-Keyword Map'!$A$2:$A$675,B822,'Page-Keyword Map'!$E$2:$E$675,"City")</f>
        <v/>
      </c>
      <c r="X822" s="36">
        <f>IF(O822="","",IF(ISNUMBER(SEARCH(O822,J822)),"Yes","No"))</f>
        <v/>
      </c>
      <c r="Y822" s="36" t="n">
        <v>0.5</v>
      </c>
      <c r="Z822" s="36" t="inlineStr">
        <is>
          <t>sitemap-guides.xml</t>
        </is>
      </c>
      <c r="AA822" s="36" t="inlineStr">
        <is>
          <t>Live – indexable</t>
        </is>
      </c>
      <c r="AB822" s="38" t="n"/>
      <c r="AC822" s="38" t="n"/>
    </row>
    <row r="823" ht="15" customHeight="1" s="22">
      <c r="A823" s="36" t="inlineStr">
        <is>
          <t>P0822</t>
        </is>
      </c>
      <c r="B823" s="36" t="inlineStr">
        <is>
          <t>https://instasure.ca/guides/category/claims-rules/</t>
        </is>
      </c>
      <c r="C823" s="36" t="inlineStr">
        <is>
          <t>Guide category</t>
        </is>
      </c>
      <c r="D823" s="36" t="inlineStr">
        <is>
          <t>Site, tools &amp; trust</t>
        </is>
      </c>
      <c r="E823" s="36" t="n"/>
      <c r="F823" s="36" t="n"/>
      <c r="G823" s="36" t="n"/>
      <c r="H823" s="36" t="n"/>
      <c r="I823" s="36" t="inlineStr">
        <is>
          <t>Yes</t>
        </is>
      </c>
      <c r="J823" s="25" t="inlineStr">
        <is>
          <t>Claims &amp; provincial rules Guides for Canadians | Instasure.ca</t>
        </is>
      </c>
      <c r="K823" s="36">
        <f>LEN(J823)</f>
        <v/>
      </c>
      <c r="L823" s="25" t="inlineStr">
        <is>
          <t>How claims, complaints and provincial regulation work.</t>
        </is>
      </c>
      <c r="M823" s="36">
        <f>LEN(L823)</f>
        <v/>
      </c>
      <c r="N823" s="25" t="inlineStr">
        <is>
          <t>Claims &amp; provincial rules guides</t>
        </is>
      </c>
      <c r="O823" s="36" t="n"/>
      <c r="P823" s="37" t="n"/>
      <c r="Q823" s="36" t="n"/>
      <c r="R823" s="36" t="n"/>
      <c r="S823" s="36">
        <f>COUNTIF('Page-Keyword Map'!$A$2:$A$675,B823)</f>
        <v/>
      </c>
      <c r="T823" s="37">
        <f>SUMIF('Page-Keyword Map'!$A$2:$A$675,B823,'Page-Keyword Map'!$H$2:$H$675)</f>
        <v/>
      </c>
      <c r="U823" s="36">
        <f>COUNTIFS('Page-Keyword Map'!$A$2:$A$675,B823,'Page-Keyword Map'!$E$2:$E$675,"Nationwide")</f>
        <v/>
      </c>
      <c r="V823" s="36">
        <f>COUNTIFS('Page-Keyword Map'!$A$2:$A$675,B823,'Page-Keyword Map'!$E$2:$E$675,"Provincial")</f>
        <v/>
      </c>
      <c r="W823" s="36">
        <f>COUNTIFS('Page-Keyword Map'!$A$2:$A$675,B823,'Page-Keyword Map'!$E$2:$E$675,"City")</f>
        <v/>
      </c>
      <c r="X823" s="36">
        <f>IF(O823="","",IF(ISNUMBER(SEARCH(O823,J823)),"Yes","No"))</f>
        <v/>
      </c>
      <c r="Y823" s="36" t="n">
        <v>0.5</v>
      </c>
      <c r="Z823" s="36" t="inlineStr">
        <is>
          <t>sitemap-guides.xml</t>
        </is>
      </c>
      <c r="AA823" s="36" t="inlineStr">
        <is>
          <t>Live – indexable</t>
        </is>
      </c>
      <c r="AB823" s="38" t="n"/>
      <c r="AC823" s="38" t="n"/>
    </row>
    <row r="824" ht="15" customHeight="1" s="22">
      <c r="A824" s="36" t="inlineStr">
        <is>
          <t>P0823</t>
        </is>
      </c>
      <c r="B824" s="36" t="inlineStr">
        <is>
          <t>https://instasure.ca/guides/category/home-property/</t>
        </is>
      </c>
      <c r="C824" s="36" t="inlineStr">
        <is>
          <t>Guide category</t>
        </is>
      </c>
      <c r="D824" s="36" t="inlineStr">
        <is>
          <t>Site, tools &amp; trust</t>
        </is>
      </c>
      <c r="E824" s="36" t="n"/>
      <c r="F824" s="36" t="n"/>
      <c r="G824" s="36" t="n"/>
      <c r="H824" s="36" t="n"/>
      <c r="I824" s="36" t="inlineStr">
        <is>
          <t>Yes</t>
        </is>
      </c>
      <c r="J824" s="25" t="inlineStr">
        <is>
          <t>Home, condo &amp; tenant Guides for Canadians | Instasure.ca</t>
        </is>
      </c>
      <c r="K824" s="36">
        <f>LEN(J824)</f>
        <v/>
      </c>
      <c r="L824" s="25" t="inlineStr">
        <is>
          <t>Protecting your home, belongings and liability across Canada.</t>
        </is>
      </c>
      <c r="M824" s="36">
        <f>LEN(L824)</f>
        <v/>
      </c>
      <c r="N824" s="25" t="inlineStr">
        <is>
          <t>Home, condo &amp; tenant guides</t>
        </is>
      </c>
      <c r="O824" s="36" t="n"/>
      <c r="P824" s="37" t="n"/>
      <c r="Q824" s="36" t="n"/>
      <c r="R824" s="36" t="n"/>
      <c r="S824" s="36">
        <f>COUNTIF('Page-Keyword Map'!$A$2:$A$675,B824)</f>
        <v/>
      </c>
      <c r="T824" s="37">
        <f>SUMIF('Page-Keyword Map'!$A$2:$A$675,B824,'Page-Keyword Map'!$H$2:$H$675)</f>
        <v/>
      </c>
      <c r="U824" s="36">
        <f>COUNTIFS('Page-Keyword Map'!$A$2:$A$675,B824,'Page-Keyword Map'!$E$2:$E$675,"Nationwide")</f>
        <v/>
      </c>
      <c r="V824" s="36">
        <f>COUNTIFS('Page-Keyword Map'!$A$2:$A$675,B824,'Page-Keyword Map'!$E$2:$E$675,"Provincial")</f>
        <v/>
      </c>
      <c r="W824" s="36">
        <f>COUNTIFS('Page-Keyword Map'!$A$2:$A$675,B824,'Page-Keyword Map'!$E$2:$E$675,"City")</f>
        <v/>
      </c>
      <c r="X824" s="36">
        <f>IF(O824="","",IF(ISNUMBER(SEARCH(O824,J824)),"Yes","No"))</f>
        <v/>
      </c>
      <c r="Y824" s="36" t="n">
        <v>0.5</v>
      </c>
      <c r="Z824" s="36" t="inlineStr">
        <is>
          <t>sitemap-guides.xml</t>
        </is>
      </c>
      <c r="AA824" s="36" t="inlineStr">
        <is>
          <t>Live – indexable</t>
        </is>
      </c>
      <c r="AB824" s="38" t="n"/>
      <c r="AC824" s="38" t="n"/>
    </row>
    <row r="825" ht="15" customHeight="1" s="22">
      <c r="A825" s="36" t="inlineStr">
        <is>
          <t>P0824</t>
        </is>
      </c>
      <c r="B825" s="36" t="inlineStr">
        <is>
          <t>https://instasure.ca/guides/category/life-insurance/</t>
        </is>
      </c>
      <c r="C825" s="36" t="inlineStr">
        <is>
          <t>Guide category</t>
        </is>
      </c>
      <c r="D825" s="36" t="inlineStr">
        <is>
          <t>Site, tools &amp; trust</t>
        </is>
      </c>
      <c r="E825" s="36" t="n"/>
      <c r="F825" s="36" t="n"/>
      <c r="G825" s="36" t="n"/>
      <c r="H825" s="36" t="n"/>
      <c r="I825" s="36" t="inlineStr">
        <is>
          <t>Yes</t>
        </is>
      </c>
      <c r="J825" s="25" t="inlineStr">
        <is>
          <t>Life insurance Guides for Canadians | Instasure.ca</t>
        </is>
      </c>
      <c r="K825" s="36">
        <f>LEN(J825)</f>
        <v/>
      </c>
      <c r="L825" s="25" t="inlineStr">
        <is>
          <t>Term, whole and no-medical life insurance explained for Canadians.</t>
        </is>
      </c>
      <c r="M825" s="36">
        <f>LEN(L825)</f>
        <v/>
      </c>
      <c r="N825" s="25" t="inlineStr">
        <is>
          <t>Life insurance guides</t>
        </is>
      </c>
      <c r="O825" s="36" t="n"/>
      <c r="P825" s="37" t="n"/>
      <c r="Q825" s="36" t="n"/>
      <c r="R825" s="36" t="n"/>
      <c r="S825" s="36">
        <f>COUNTIF('Page-Keyword Map'!$A$2:$A$675,B825)</f>
        <v/>
      </c>
      <c r="T825" s="37">
        <f>SUMIF('Page-Keyword Map'!$A$2:$A$675,B825,'Page-Keyword Map'!$H$2:$H$675)</f>
        <v/>
      </c>
      <c r="U825" s="36">
        <f>COUNTIFS('Page-Keyword Map'!$A$2:$A$675,B825,'Page-Keyword Map'!$E$2:$E$675,"Nationwide")</f>
        <v/>
      </c>
      <c r="V825" s="36">
        <f>COUNTIFS('Page-Keyword Map'!$A$2:$A$675,B825,'Page-Keyword Map'!$E$2:$E$675,"Provincial")</f>
        <v/>
      </c>
      <c r="W825" s="36">
        <f>COUNTIFS('Page-Keyword Map'!$A$2:$A$675,B825,'Page-Keyword Map'!$E$2:$E$675,"City")</f>
        <v/>
      </c>
      <c r="X825" s="36">
        <f>IF(O825="","",IF(ISNUMBER(SEARCH(O825,J825)),"Yes","No"))</f>
        <v/>
      </c>
      <c r="Y825" s="36" t="n">
        <v>0.5</v>
      </c>
      <c r="Z825" s="36" t="inlineStr">
        <is>
          <t>sitemap-guides.xml</t>
        </is>
      </c>
      <c r="AA825" s="36" t="inlineStr">
        <is>
          <t>Live – indexable</t>
        </is>
      </c>
      <c r="AB825" s="38" t="n"/>
      <c r="AC825" s="38" t="n"/>
    </row>
    <row r="826" ht="15" customHeight="1" s="22">
      <c r="A826" s="36" t="inlineStr">
        <is>
          <t>P0825</t>
        </is>
      </c>
      <c r="B826" s="36" t="inlineStr">
        <is>
          <t>https://instasure.ca/guides/category/living-benefits/</t>
        </is>
      </c>
      <c r="C826" s="36" t="inlineStr">
        <is>
          <t>Guide category</t>
        </is>
      </c>
      <c r="D826" s="36" t="inlineStr">
        <is>
          <t>Site, tools &amp; trust</t>
        </is>
      </c>
      <c r="E826" s="36" t="n"/>
      <c r="F826" s="36" t="n"/>
      <c r="G826" s="36" t="n"/>
      <c r="H826" s="36" t="n"/>
      <c r="I826" s="36" t="inlineStr">
        <is>
          <t>Yes</t>
        </is>
      </c>
      <c r="J826" s="25" t="inlineStr">
        <is>
          <t>Health &amp; living benefits Guides for Canadians | Instasure.ca</t>
        </is>
      </c>
      <c r="K826" s="36">
        <f>LEN(J826)</f>
        <v/>
      </c>
      <c r="L826" s="25" t="inlineStr">
        <is>
          <t>Critical illness, disability and health &amp; dental coverage.</t>
        </is>
      </c>
      <c r="M826" s="36">
        <f>LEN(L826)</f>
        <v/>
      </c>
      <c r="N826" s="25" t="inlineStr">
        <is>
          <t>Health &amp; living benefits guides</t>
        </is>
      </c>
      <c r="O826" s="36" t="n"/>
      <c r="P826" s="37" t="n"/>
      <c r="Q826" s="36" t="n"/>
      <c r="R826" s="36" t="n"/>
      <c r="S826" s="36">
        <f>COUNTIF('Page-Keyword Map'!$A$2:$A$675,B826)</f>
        <v/>
      </c>
      <c r="T826" s="37">
        <f>SUMIF('Page-Keyword Map'!$A$2:$A$675,B826,'Page-Keyword Map'!$H$2:$H$675)</f>
        <v/>
      </c>
      <c r="U826" s="36">
        <f>COUNTIFS('Page-Keyword Map'!$A$2:$A$675,B826,'Page-Keyword Map'!$E$2:$E$675,"Nationwide")</f>
        <v/>
      </c>
      <c r="V826" s="36">
        <f>COUNTIFS('Page-Keyword Map'!$A$2:$A$675,B826,'Page-Keyword Map'!$E$2:$E$675,"Provincial")</f>
        <v/>
      </c>
      <c r="W826" s="36">
        <f>COUNTIFS('Page-Keyword Map'!$A$2:$A$675,B826,'Page-Keyword Map'!$E$2:$E$675,"City")</f>
        <v/>
      </c>
      <c r="X826" s="36">
        <f>IF(O826="","",IF(ISNUMBER(SEARCH(O826,J826)),"Yes","No"))</f>
        <v/>
      </c>
      <c r="Y826" s="36" t="n">
        <v>0.5</v>
      </c>
      <c r="Z826" s="36" t="inlineStr">
        <is>
          <t>sitemap-guides.xml</t>
        </is>
      </c>
      <c r="AA826" s="36" t="inlineStr">
        <is>
          <t>Live – indexable</t>
        </is>
      </c>
      <c r="AB826" s="38" t="n"/>
      <c r="AC826" s="38" t="n"/>
    </row>
    <row r="827" ht="15" customHeight="1" s="22">
      <c r="A827" s="36" t="inlineStr">
        <is>
          <t>P0826</t>
        </is>
      </c>
      <c r="B827" s="36" t="inlineStr">
        <is>
          <t>https://instasure.ca/guides/category/travel-visitors/</t>
        </is>
      </c>
      <c r="C827" s="36" t="inlineStr">
        <is>
          <t>Guide category</t>
        </is>
      </c>
      <c r="D827" s="36" t="inlineStr">
        <is>
          <t>Site, tools &amp; trust</t>
        </is>
      </c>
      <c r="E827" s="36" t="n"/>
      <c r="F827" s="36" t="n"/>
      <c r="G827" s="36" t="n"/>
      <c r="H827" s="36" t="n"/>
      <c r="I827" s="36" t="inlineStr">
        <is>
          <t>Yes</t>
        </is>
      </c>
      <c r="J827" s="25" t="inlineStr">
        <is>
          <t>Travel &amp; visitors Guides for Canadians | Instasure.ca</t>
        </is>
      </c>
      <c r="K827" s="36">
        <f>LEN(J827)</f>
        <v/>
      </c>
      <c r="L827" s="25" t="inlineStr">
        <is>
          <t>Travel medical and Super Visa insurance.</t>
        </is>
      </c>
      <c r="M827" s="36">
        <f>LEN(L827)</f>
        <v/>
      </c>
      <c r="N827" s="25" t="inlineStr">
        <is>
          <t>Travel &amp; visitors guides</t>
        </is>
      </c>
      <c r="O827" s="36" t="n"/>
      <c r="P827" s="37" t="n"/>
      <c r="Q827" s="36" t="n"/>
      <c r="R827" s="36" t="n"/>
      <c r="S827" s="36">
        <f>COUNTIF('Page-Keyword Map'!$A$2:$A$675,B827)</f>
        <v/>
      </c>
      <c r="T827" s="37">
        <f>SUMIF('Page-Keyword Map'!$A$2:$A$675,B827,'Page-Keyword Map'!$H$2:$H$675)</f>
        <v/>
      </c>
      <c r="U827" s="36">
        <f>COUNTIFS('Page-Keyword Map'!$A$2:$A$675,B827,'Page-Keyword Map'!$E$2:$E$675,"Nationwide")</f>
        <v/>
      </c>
      <c r="V827" s="36">
        <f>COUNTIFS('Page-Keyword Map'!$A$2:$A$675,B827,'Page-Keyword Map'!$E$2:$E$675,"Provincial")</f>
        <v/>
      </c>
      <c r="W827" s="36">
        <f>COUNTIFS('Page-Keyword Map'!$A$2:$A$675,B827,'Page-Keyword Map'!$E$2:$E$675,"City")</f>
        <v/>
      </c>
      <c r="X827" s="36">
        <f>IF(O827="","",IF(ISNUMBER(SEARCH(O827,J827)),"Yes","No"))</f>
        <v/>
      </c>
      <c r="Y827" s="36" t="n">
        <v>0.5</v>
      </c>
      <c r="Z827" s="36" t="inlineStr">
        <is>
          <t>sitemap-guides.xml</t>
        </is>
      </c>
      <c r="AA827" s="36" t="inlineStr">
        <is>
          <t>Live – indexable</t>
        </is>
      </c>
      <c r="AB827" s="38" t="n"/>
      <c r="AC827" s="38" t="n"/>
    </row>
    <row r="828" ht="23.85" customHeight="1" s="22">
      <c r="A828" s="36" t="inlineStr">
        <is>
          <t>P0827</t>
        </is>
      </c>
      <c r="B828" s="36" t="inlineStr">
        <is>
          <t>https://instasure.ca/advisors/instasure-advisor-team/</t>
        </is>
      </c>
      <c r="C828" s="36" t="inlineStr">
        <is>
          <t>Advisor profile</t>
        </is>
      </c>
      <c r="D828" s="36" t="inlineStr">
        <is>
          <t>Site, tools &amp; trust</t>
        </is>
      </c>
      <c r="E828" s="36" t="n"/>
      <c r="F828" s="36" t="n"/>
      <c r="G828" s="36" t="n"/>
      <c r="H828" s="36" t="n"/>
      <c r="I828" s="36" t="inlineStr">
        <is>
          <t>No</t>
        </is>
      </c>
      <c r="J828" s="25" t="inlineStr">
        <is>
          <t>Instasure Advisor Team — Licensed advisor team | Instasure.ca</t>
        </is>
      </c>
      <c r="K828" s="36">
        <f>LEN(J828)</f>
        <v/>
      </c>
      <c r="L828" s="25" t="inlineStr">
        <is>
          <t>The Instasure advisor team reviews every request you send us: instant estimates, specialist desk call backs and questions. We connect you with an insurance…</t>
        </is>
      </c>
      <c r="M828" s="36">
        <f>LEN(L828)</f>
        <v/>
      </c>
      <c r="N828" s="25" t="inlineStr">
        <is>
          <t>Instasure Advisor Team</t>
        </is>
      </c>
      <c r="O828" s="36" t="n"/>
      <c r="P828" s="37" t="n"/>
      <c r="Q828" s="36" t="n"/>
      <c r="R828" s="36" t="n"/>
      <c r="S828" s="36">
        <f>COUNTIF('Page-Keyword Map'!$A$2:$A$675,B828)</f>
        <v/>
      </c>
      <c r="T828" s="37">
        <f>SUMIF('Page-Keyword Map'!$A$2:$A$675,B828,'Page-Keyword Map'!$H$2:$H$675)</f>
        <v/>
      </c>
      <c r="U828" s="36">
        <f>COUNTIFS('Page-Keyword Map'!$A$2:$A$675,B828,'Page-Keyword Map'!$E$2:$E$675,"Nationwide")</f>
        <v/>
      </c>
      <c r="V828" s="36">
        <f>COUNTIFS('Page-Keyword Map'!$A$2:$A$675,B828,'Page-Keyword Map'!$E$2:$E$675,"Provincial")</f>
        <v/>
      </c>
      <c r="W828" s="36">
        <f>COUNTIFS('Page-Keyword Map'!$A$2:$A$675,B828,'Page-Keyword Map'!$E$2:$E$675,"City")</f>
        <v/>
      </c>
      <c r="X828" s="36">
        <f>IF(O828="","",IF(ISNUMBER(SEARCH(O828,J828)),"Yes","No"))</f>
        <v/>
      </c>
      <c r="Y828" s="36" t="n">
        <v>0.5</v>
      </c>
      <c r="Z828" s="36" t="inlineStr">
        <is>
          <t>(not listed: noindex)</t>
        </is>
      </c>
      <c r="AA828" s="36" t="inlineStr">
        <is>
          <t>Live – noindex (enrich before indexing)</t>
        </is>
      </c>
      <c r="AB828" s="38" t="n"/>
      <c r="AC828" s="38" t="n"/>
    </row>
    <row r="829" ht="23.85" customHeight="1" s="22">
      <c r="A829" s="36" t="inlineStr">
        <is>
          <t>P0828</t>
        </is>
      </c>
      <c r="B829" s="36" t="inlineStr">
        <is>
          <t>https://instasure.ca/advisors/michael-le-chi/</t>
        </is>
      </c>
      <c r="C829" s="36" t="inlineStr">
        <is>
          <t>Advisor profile</t>
        </is>
      </c>
      <c r="D829" s="36" t="inlineStr">
        <is>
          <t>Site, tools &amp; trust</t>
        </is>
      </c>
      <c r="E829" s="36" t="n"/>
      <c r="F829" s="36" t="n"/>
      <c r="G829" s="36" t="n"/>
      <c r="H829" s="36" t="n"/>
      <c r="I829" s="36" t="inlineStr">
        <is>
          <t>Yes</t>
        </is>
      </c>
      <c r="J829" s="25" t="inlineStr">
        <is>
          <t>Michael Le Chi, CFP — Certified Financial Planner · Contributing author</t>
        </is>
      </c>
      <c r="K829" s="36">
        <f>LEN(J829)</f>
        <v/>
      </c>
      <c r="L829" s="25" t="inlineStr">
        <is>
          <t>Michael Minh Le Chi is a Certified Financial Planner (CFP) and wealth manager based in Toronto, Ontario, with more than a decade in financial planning. His…</t>
        </is>
      </c>
      <c r="M829" s="36">
        <f>LEN(L829)</f>
        <v/>
      </c>
      <c r="N829" s="25" t="inlineStr">
        <is>
          <t>Michael Le Chi, CFP</t>
        </is>
      </c>
      <c r="O829" s="36" t="n"/>
      <c r="P829" s="37" t="n"/>
      <c r="Q829" s="36" t="n"/>
      <c r="R829" s="36" t="n"/>
      <c r="S829" s="36">
        <f>COUNTIF('Page-Keyword Map'!$A$2:$A$675,B829)</f>
        <v/>
      </c>
      <c r="T829" s="37">
        <f>SUMIF('Page-Keyword Map'!$A$2:$A$675,B829,'Page-Keyword Map'!$H$2:$H$675)</f>
        <v/>
      </c>
      <c r="U829" s="36">
        <f>COUNTIFS('Page-Keyword Map'!$A$2:$A$675,B829,'Page-Keyword Map'!$E$2:$E$675,"Nationwide")</f>
        <v/>
      </c>
      <c r="V829" s="36">
        <f>COUNTIFS('Page-Keyword Map'!$A$2:$A$675,B829,'Page-Keyword Map'!$E$2:$E$675,"Provincial")</f>
        <v/>
      </c>
      <c r="W829" s="36">
        <f>COUNTIFS('Page-Keyword Map'!$A$2:$A$675,B829,'Page-Keyword Map'!$E$2:$E$675,"City")</f>
        <v/>
      </c>
      <c r="X829" s="36">
        <f>IF(O829="","",IF(ISNUMBER(SEARCH(O829,J829)),"Yes","No"))</f>
        <v/>
      </c>
      <c r="Y829" s="36" t="n">
        <v>0.5</v>
      </c>
      <c r="Z829" s="36" t="inlineStr">
        <is>
          <t>sitemap-advisors.xml</t>
        </is>
      </c>
      <c r="AA829" s="36" t="inlineStr">
        <is>
          <t>Live – indexable</t>
        </is>
      </c>
      <c r="AB829" s="38" t="n"/>
      <c r="AC829" s="38" t="n"/>
    </row>
  </sheetData>
  <autoFilter ref="A1:AC8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tabColor rgb="FF7A8CA0"/>
    <outlinePr summaryBelow="1" summaryRight="1"/>
    <pageSetUpPr fitToPage="0"/>
  </sheetPr>
  <dimension ref="A1:P675"/>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5390625" defaultRowHeight="15" zeroHeight="0" outlineLevelRow="0"/>
  <cols>
    <col width="52" customWidth="1" style="21" min="1" max="1"/>
    <col width="16" customWidth="1" style="21" min="2" max="2"/>
    <col width="24" customWidth="1" style="21" min="3" max="3"/>
    <col width="38" customWidth="1" style="21" min="4" max="4"/>
    <col width="11" customWidth="1" style="21" min="5" max="5"/>
    <col width="16" customWidth="1" style="21" min="6" max="6"/>
    <col width="14" customWidth="1" style="21" min="7" max="7"/>
    <col width="12" customWidth="1" style="21" min="8" max="8"/>
    <col width="10" customWidth="1" style="21" min="9" max="9"/>
    <col width="13" customWidth="1" style="21" min="10" max="10"/>
    <col width="18" customWidth="1" style="21" min="11" max="11"/>
    <col width="9" customWidth="1" style="21" min="12" max="12"/>
    <col width="11" customWidth="1" style="21" min="13" max="14"/>
    <col width="40" customWidth="1" style="21" min="15" max="15"/>
    <col width="60" customWidth="1" style="21" min="16" max="16"/>
  </cols>
  <sheetData>
    <row r="1" ht="31.5" customHeight="1" s="22">
      <c r="A1" s="30" t="inlineStr">
        <is>
          <t>URL</t>
        </is>
      </c>
      <c r="B1" s="30" t="inlineStr">
        <is>
          <t>Page type</t>
        </is>
      </c>
      <c r="C1" s="30" t="inlineStr">
        <is>
          <t>Insurance segment</t>
        </is>
      </c>
      <c r="D1" s="30" t="inlineStr">
        <is>
          <t>Keyword</t>
        </is>
      </c>
      <c r="E1" s="30" t="inlineStr">
        <is>
          <t>Level</t>
        </is>
      </c>
      <c r="F1" s="30" t="inlineStr">
        <is>
          <t>Province</t>
        </is>
      </c>
      <c r="G1" s="30" t="inlineStr">
        <is>
          <t>City</t>
        </is>
      </c>
      <c r="H1" s="30" t="inlineStr">
        <is>
          <t>Volume / mo (modelled)</t>
        </is>
      </c>
      <c r="I1" s="30" t="inlineStr">
        <is>
          <t>Difficulty (0–100)</t>
        </is>
      </c>
      <c r="J1" s="30" t="inlineStr">
        <is>
          <t>Intent</t>
        </is>
      </c>
      <c r="K1" s="30" t="inlineStr">
        <is>
          <t>Cluster</t>
        </is>
      </c>
      <c r="L1" s="30" t="inlineStr">
        <is>
          <t>Priority (1 = first)</t>
        </is>
      </c>
      <c r="M1" s="30" t="inlineStr">
        <is>
          <t>Role on page</t>
        </is>
      </c>
      <c r="N1" s="30" t="inlineStr">
        <is>
          <t>Keyword in page title?</t>
        </is>
      </c>
      <c r="O1" s="30" t="inlineStr">
        <is>
          <t>Competitors seen</t>
        </is>
      </c>
      <c r="P1" s="30" t="inlineStr">
        <is>
          <t>Notes</t>
        </is>
      </c>
    </row>
    <row r="2" ht="15" customHeight="1" s="22">
      <c r="A2" s="36" t="inlineStr">
        <is>
          <t>https://instasure.ca/car-insurance/</t>
        </is>
      </c>
      <c r="B2" s="36" t="inlineStr">
        <is>
          <t>Product pillar</t>
        </is>
      </c>
      <c r="C2" s="36" t="inlineStr">
        <is>
          <t>Car insurance</t>
        </is>
      </c>
      <c r="D2" s="36" t="inlineStr">
        <is>
          <t>car insurance</t>
        </is>
      </c>
      <c r="E2" s="36" t="inlineStr">
        <is>
          <t>Nationwide</t>
        </is>
      </c>
      <c r="F2" s="36" t="n"/>
      <c r="G2" s="36" t="n"/>
      <c r="H2" s="37" t="n">
        <v>74000</v>
      </c>
      <c r="I2" s="36" t="n">
        <v>85</v>
      </c>
      <c r="J2" s="36" t="inlineStr">
        <is>
          <t>commercial</t>
        </is>
      </c>
      <c r="K2" s="36" t="inlineStr">
        <is>
          <t>auto-core</t>
        </is>
      </c>
      <c r="L2" s="36" t="n">
        <v>2</v>
      </c>
      <c r="M2" s="36" t="inlineStr">
        <is>
          <t>Primary</t>
        </is>
      </c>
      <c r="N2" s="39">
        <f>IFERROR(IF(ISNUMBER(SEARCH(D2,INDEX(Pages!$J$2:$J$829,MATCH(A2,Pages!$B$2:$B$829,0)))),"Yes","No"),"Page not found")</f>
        <v/>
      </c>
      <c r="O2" s="25" t="inlineStr">
        <is>
          <t>ratehub, rates.ca, kanetix, mychoice, insurer brands</t>
        </is>
      </c>
      <c r="P2" s="25" t="inlineStr">
        <is>
          <t>Head term. Win through province and city depth rather than head-on.</t>
        </is>
      </c>
    </row>
    <row r="3" ht="15" customHeight="1" s="22">
      <c r="A3" s="36" t="inlineStr">
        <is>
          <t>https://instasure.ca/car-insurance/</t>
        </is>
      </c>
      <c r="B3" s="36" t="inlineStr">
        <is>
          <t>Product pillar</t>
        </is>
      </c>
      <c r="C3" s="36" t="inlineStr">
        <is>
          <t>Car insurance</t>
        </is>
      </c>
      <c r="D3" s="36" t="inlineStr">
        <is>
          <t>auto insurance</t>
        </is>
      </c>
      <c r="E3" s="36" t="inlineStr">
        <is>
          <t>Nationwide</t>
        </is>
      </c>
      <c r="F3" s="36" t="n"/>
      <c r="G3" s="36" t="n"/>
      <c r="H3" s="37" t="n">
        <v>33000</v>
      </c>
      <c r="I3" s="36" t="n">
        <v>82</v>
      </c>
      <c r="J3" s="36" t="inlineStr">
        <is>
          <t>commercial</t>
        </is>
      </c>
      <c r="K3" s="36" t="inlineStr">
        <is>
          <t>auto-core</t>
        </is>
      </c>
      <c r="L3" s="36" t="n">
        <v>3</v>
      </c>
      <c r="M3" s="36" t="inlineStr">
        <is>
          <t>Secondary</t>
        </is>
      </c>
      <c r="N3" s="39">
        <f>IFERROR(IF(ISNUMBER(SEARCH(D3,INDEX(Pages!$J$2:$J$829,MATCH(A3,Pages!$B$2:$B$829,0)))),"Yes","No"),"Page not found")</f>
        <v/>
      </c>
      <c r="O3" s="25" t="inlineStr">
        <is>
          <t>ratehub, rates.ca, insurer brands</t>
        </is>
      </c>
      <c r="P3" s="25" t="inlineStr">
        <is>
          <t>Synonym. Use in H2s and meta descriptions, not a separate page.</t>
        </is>
      </c>
    </row>
    <row r="4" ht="23.85" customHeight="1" s="22">
      <c r="A4" s="36" t="inlineStr">
        <is>
          <t>https://instasure.ca/car-insurance/</t>
        </is>
      </c>
      <c r="B4" s="36" t="inlineStr">
        <is>
          <t>Product pillar</t>
        </is>
      </c>
      <c r="C4" s="36" t="inlineStr">
        <is>
          <t>Car insurance</t>
        </is>
      </c>
      <c r="D4" s="36" t="inlineStr">
        <is>
          <t>cheap car insurance</t>
        </is>
      </c>
      <c r="E4" s="36" t="inlineStr">
        <is>
          <t>Nationwide</t>
        </is>
      </c>
      <c r="F4" s="36" t="n"/>
      <c r="G4" s="36" t="n"/>
      <c r="H4" s="37" t="n">
        <v>9900</v>
      </c>
      <c r="I4" s="36" t="n">
        <v>75</v>
      </c>
      <c r="J4" s="36" t="inlineStr">
        <is>
          <t>transactional</t>
        </is>
      </c>
      <c r="K4" s="36" t="inlineStr">
        <is>
          <t>auto-cost</t>
        </is>
      </c>
      <c r="L4" s="36" t="n">
        <v>2</v>
      </c>
      <c r="M4" s="36" t="inlineStr">
        <is>
          <t>Secondary</t>
        </is>
      </c>
      <c r="N4" s="39">
        <f>IFERROR(IF(ISNUMBER(SEARCH(D4,INDEX(Pages!$J$2:$J$829,MATCH(A4,Pages!$B$2:$B$829,0)))),"Yes","No"),"Page not found")</f>
        <v/>
      </c>
      <c r="O4" s="25" t="inlineStr">
        <is>
          <t>ratehub (15 ways), rates.ca, mychoice</t>
        </is>
      </c>
      <c r="P4" s="25" t="inlineStr">
        <is>
          <t>Answer with savings factors and compare. No "cheapest" claim without a published methodology.</t>
        </is>
      </c>
    </row>
    <row r="5" ht="15" customHeight="1" s="22">
      <c r="A5" s="36" t="inlineStr">
        <is>
          <t>https://instasure.ca/travel-insurance/</t>
        </is>
      </c>
      <c r="B5" s="36" t="inlineStr">
        <is>
          <t>Product pillar</t>
        </is>
      </c>
      <c r="C5" s="36" t="inlineStr">
        <is>
          <t>Travel insurance</t>
        </is>
      </c>
      <c r="D5" s="36" t="inlineStr">
        <is>
          <t>travel insurance</t>
        </is>
      </c>
      <c r="E5" s="36" t="inlineStr">
        <is>
          <t>Nationwide</t>
        </is>
      </c>
      <c r="F5" s="36" t="n"/>
      <c r="G5" s="36" t="n"/>
      <c r="H5" s="37" t="n">
        <v>40000</v>
      </c>
      <c r="I5" s="36" t="n">
        <v>80</v>
      </c>
      <c r="J5" s="36" t="inlineStr">
        <is>
          <t>commercial</t>
        </is>
      </c>
      <c r="K5" s="36" t="inlineStr">
        <is>
          <t>travel</t>
        </is>
      </c>
      <c r="L5" s="36" t="n">
        <v>3</v>
      </c>
      <c r="M5" s="36" t="inlineStr">
        <is>
          <t>Primary</t>
        </is>
      </c>
      <c r="N5" s="39">
        <f>IFERROR(IF(ISNUMBER(SEARCH(D5,INDEX(Pages!$J$2:$J$829,MATCH(A5,Pages!$B$2:$B$829,0)))),"Yes","No"),"Page not found")</f>
        <v/>
      </c>
      <c r="O5" s="25" t="inlineStr">
        <is>
          <t>sun life, manulife, credit cards, ratehub</t>
        </is>
      </c>
      <c r="P5" s="25" t="inlineStr">
        <is>
          <t>Huge but low lead value. Capture through super visa, snowbird and visitors.</t>
        </is>
      </c>
    </row>
    <row r="6" ht="15" customHeight="1" s="22">
      <c r="A6" s="36" t="inlineStr">
        <is>
          <t>https://instasure.ca/travel-insurance/</t>
        </is>
      </c>
      <c r="B6" s="36" t="inlineStr">
        <is>
          <t>Product pillar</t>
        </is>
      </c>
      <c r="C6" s="36" t="inlineStr">
        <is>
          <t>Travel insurance</t>
        </is>
      </c>
      <c r="D6" s="36" t="inlineStr">
        <is>
          <t>out of province travel insurance</t>
        </is>
      </c>
      <c r="E6" s="36" t="inlineStr">
        <is>
          <t>Nationwide</t>
        </is>
      </c>
      <c r="F6" s="36" t="n"/>
      <c r="G6" s="36" t="n"/>
      <c r="H6" s="37" t="n">
        <v>480</v>
      </c>
      <c r="I6" s="36" t="n">
        <v>35</v>
      </c>
      <c r="J6" s="36" t="inlineStr">
        <is>
          <t>informational</t>
        </is>
      </c>
      <c r="K6" s="36" t="inlineStr">
        <is>
          <t>travel</t>
        </is>
      </c>
      <c r="L6" s="36" t="n">
        <v>3</v>
      </c>
      <c r="M6" s="36" t="inlineStr">
        <is>
          <t>Secondary</t>
        </is>
      </c>
      <c r="N6" s="39">
        <f>IFERROR(IF(ISNUMBER(SEARCH(D6,INDEX(Pages!$J$2:$J$829,MATCH(A6,Pages!$B$2:$B$829,0)))),"Yes","No"),"Page not found")</f>
        <v/>
      </c>
      <c r="O6" s="25" t="inlineStr">
        <is>
          <t>sun life</t>
        </is>
      </c>
      <c r="P6" s="25" t="n"/>
    </row>
    <row r="7" ht="15" customHeight="1" s="22">
      <c r="A7" s="36" t="inlineStr">
        <is>
          <t>https://instasure.ca/home-insurance/</t>
        </is>
      </c>
      <c r="B7" s="36" t="inlineStr">
        <is>
          <t>Product pillar</t>
        </is>
      </c>
      <c r="C7" s="36" t="inlineStr">
        <is>
          <t>Home insurance</t>
        </is>
      </c>
      <c r="D7" s="36" t="inlineStr">
        <is>
          <t>home insurance</t>
        </is>
      </c>
      <c r="E7" s="36" t="inlineStr">
        <is>
          <t>Nationwide</t>
        </is>
      </c>
      <c r="F7" s="36" t="n"/>
      <c r="G7" s="36" t="n"/>
      <c r="H7" s="37" t="n">
        <v>27000</v>
      </c>
      <c r="I7" s="36" t="n">
        <v>82</v>
      </c>
      <c r="J7" s="36" t="inlineStr">
        <is>
          <t>commercial</t>
        </is>
      </c>
      <c r="K7" s="36" t="inlineStr">
        <is>
          <t>property-core</t>
        </is>
      </c>
      <c r="L7" s="36" t="n">
        <v>1</v>
      </c>
      <c r="M7" s="36" t="inlineStr">
        <is>
          <t>Primary</t>
        </is>
      </c>
      <c r="N7" s="39">
        <f>IFERROR(IF(ISNUMBER(SEARCH(D7,INDEX(Pages!$J$2:$J$829,MATCH(A7,Pages!$B$2:$B$829,0)))),"Yes","No"),"Page not found")</f>
        <v/>
      </c>
      <c r="O7" s="25" t="inlineStr">
        <is>
          <t>ratehub, rates.ca, sonnet, insurer brands</t>
        </is>
      </c>
      <c r="P7" s="25" t="n"/>
    </row>
    <row r="8" ht="15" customHeight="1" s="22">
      <c r="A8" s="36" t="inlineStr">
        <is>
          <t>https://instasure.ca/home-insurance/</t>
        </is>
      </c>
      <c r="B8" s="36" t="inlineStr">
        <is>
          <t>Product pillar</t>
        </is>
      </c>
      <c r="C8" s="36" t="inlineStr">
        <is>
          <t>Home insurance</t>
        </is>
      </c>
      <c r="D8" s="36" t="inlineStr">
        <is>
          <t>house insurance</t>
        </is>
      </c>
      <c r="E8" s="36" t="inlineStr">
        <is>
          <t>Nationwide</t>
        </is>
      </c>
      <c r="F8" s="36" t="n"/>
      <c r="G8" s="36" t="n"/>
      <c r="H8" s="37" t="n">
        <v>8100</v>
      </c>
      <c r="I8" s="36" t="n">
        <v>75</v>
      </c>
      <c r="J8" s="36" t="inlineStr">
        <is>
          <t>commercial</t>
        </is>
      </c>
      <c r="K8" s="36" t="inlineStr">
        <is>
          <t>property-core</t>
        </is>
      </c>
      <c r="L8" s="36" t="n">
        <v>2</v>
      </c>
      <c r="M8" s="36" t="inlineStr">
        <is>
          <t>Secondary</t>
        </is>
      </c>
      <c r="N8" s="39">
        <f>IFERROR(IF(ISNUMBER(SEARCH(D8,INDEX(Pages!$J$2:$J$829,MATCH(A8,Pages!$B$2:$B$829,0)))),"Yes","No"),"Page not found")</f>
        <v/>
      </c>
      <c r="O8" s="25" t="inlineStr">
        <is>
          <t>ratehub, rates.ca</t>
        </is>
      </c>
      <c r="P8" s="25" t="n"/>
    </row>
    <row r="9" ht="23.85" customHeight="1" s="22">
      <c r="A9" s="36" t="inlineStr">
        <is>
          <t>https://instasure.ca/life-insurance/</t>
        </is>
      </c>
      <c r="B9" s="36" t="inlineStr">
        <is>
          <t>Product pillar</t>
        </is>
      </c>
      <c r="C9" s="36" t="inlineStr">
        <is>
          <t>Life insurance</t>
        </is>
      </c>
      <c r="D9" s="36" t="inlineStr">
        <is>
          <t>life insurance</t>
        </is>
      </c>
      <c r="E9" s="36" t="inlineStr">
        <is>
          <t>Nationwide</t>
        </is>
      </c>
      <c r="F9" s="36" t="n"/>
      <c r="G9" s="36" t="n"/>
      <c r="H9" s="37" t="n">
        <v>33000</v>
      </c>
      <c r="I9" s="36" t="n">
        <v>85</v>
      </c>
      <c r="J9" s="36" t="inlineStr">
        <is>
          <t>commercial</t>
        </is>
      </c>
      <c r="K9" s="36" t="inlineStr">
        <is>
          <t>life-core</t>
        </is>
      </c>
      <c r="L9" s="36" t="n">
        <v>1</v>
      </c>
      <c r="M9" s="36" t="inlineStr">
        <is>
          <t>Primary</t>
        </is>
      </c>
      <c r="N9" s="39">
        <f>IFERROR(IF(ISNUMBER(SEARCH(D9,INDEX(Pages!$J$2:$J$829,MATCH(A9,Pages!$B$2:$B$829,0)))),"Yes","No"),"Page not found")</f>
        <v/>
      </c>
      <c r="O9" s="25" t="inlineStr">
        <is>
          <t>policyadvisor, sun life, manulife, policyme, ratehub, canada life</t>
        </is>
      </c>
      <c r="P9" s="25" t="inlineStr">
        <is>
          <t>Highest-value head term. Province, city and cost pages feed it.</t>
        </is>
      </c>
    </row>
    <row r="10" ht="15" customHeight="1" s="22">
      <c r="A10" s="36" t="inlineStr">
        <is>
          <t>https://instasure.ca/tenant-insurance/</t>
        </is>
      </c>
      <c r="B10" s="36" t="inlineStr">
        <is>
          <t>Product pillar</t>
        </is>
      </c>
      <c r="C10" s="36" t="inlineStr">
        <is>
          <t>Tenant insurance</t>
        </is>
      </c>
      <c r="D10" s="36" t="inlineStr">
        <is>
          <t>tenant insurance</t>
        </is>
      </c>
      <c r="E10" s="36" t="inlineStr">
        <is>
          <t>Nationwide</t>
        </is>
      </c>
      <c r="F10" s="36" t="n"/>
      <c r="G10" s="36" t="n"/>
      <c r="H10" s="37" t="n">
        <v>15000</v>
      </c>
      <c r="I10" s="36" t="n">
        <v>70</v>
      </c>
      <c r="J10" s="36" t="inlineStr">
        <is>
          <t>commercial</t>
        </is>
      </c>
      <c r="K10" s="36" t="inlineStr">
        <is>
          <t>property-core</t>
        </is>
      </c>
      <c r="L10" s="36" t="n">
        <v>1</v>
      </c>
      <c r="M10" s="36" t="inlineStr">
        <is>
          <t>Primary</t>
        </is>
      </c>
      <c r="N10" s="39">
        <f>IFERROR(IF(ISNUMBER(SEARCH(D10,INDEX(Pages!$J$2:$J$829,MATCH(A10,Pages!$B$2:$B$829,0)))),"Yes","No"),"Page not found")</f>
        <v/>
      </c>
      <c r="O10" s="25" t="inlineStr">
        <is>
          <t>sonnet, ratehub, rates.ca, squareone</t>
        </is>
      </c>
      <c r="P10" s="25" t="n"/>
    </row>
    <row r="11" ht="15" customHeight="1" s="22">
      <c r="A11" s="36" t="inlineStr">
        <is>
          <t>https://instasure.ca/tenant-insurance/</t>
        </is>
      </c>
      <c r="B11" s="36" t="inlineStr">
        <is>
          <t>Product pillar</t>
        </is>
      </c>
      <c r="C11" s="36" t="inlineStr">
        <is>
          <t>Tenant insurance</t>
        </is>
      </c>
      <c r="D11" s="36" t="inlineStr">
        <is>
          <t>renters insurance</t>
        </is>
      </c>
      <c r="E11" s="36" t="inlineStr">
        <is>
          <t>Nationwide</t>
        </is>
      </c>
      <c r="F11" s="36" t="n"/>
      <c r="G11" s="36" t="n"/>
      <c r="H11" s="37" t="n">
        <v>9900</v>
      </c>
      <c r="I11" s="36" t="n">
        <v>65</v>
      </c>
      <c r="J11" s="36" t="inlineStr">
        <is>
          <t>commercial</t>
        </is>
      </c>
      <c r="K11" s="36" t="inlineStr">
        <is>
          <t>property-core</t>
        </is>
      </c>
      <c r="L11" s="36" t="n">
        <v>2</v>
      </c>
      <c r="M11" s="36" t="inlineStr">
        <is>
          <t>Secondary</t>
        </is>
      </c>
      <c r="N11" s="39">
        <f>IFERROR(IF(ISNUMBER(SEARCH(D11,INDEX(Pages!$J$2:$J$829,MATCH(A11,Pages!$B$2:$B$829,0)))),"Yes","No"),"Page not found")</f>
        <v/>
      </c>
      <c r="O11" s="25" t="inlineStr">
        <is>
          <t>sonnet, ratehub</t>
        </is>
      </c>
      <c r="P11" s="25" t="inlineStr">
        <is>
          <t>Synonym used in titles ("Tenant (Renters) Insurance").</t>
        </is>
      </c>
    </row>
    <row r="12" ht="15" customHeight="1" s="22">
      <c r="A12" s="36" t="inlineStr">
        <is>
          <t>https://instasure.ca/tenant-insurance/</t>
        </is>
      </c>
      <c r="B12" s="36" t="inlineStr">
        <is>
          <t>Product pillar</t>
        </is>
      </c>
      <c r="C12" s="36" t="inlineStr">
        <is>
          <t>Tenant insurance</t>
        </is>
      </c>
      <c r="D12" s="36" t="inlineStr">
        <is>
          <t>tenant insurance cost</t>
        </is>
      </c>
      <c r="E12" s="36" t="inlineStr">
        <is>
          <t>Nationwide</t>
        </is>
      </c>
      <c r="F12" s="36" t="n"/>
      <c r="G12" s="36" t="n"/>
      <c r="H12" s="37" t="n">
        <v>1300</v>
      </c>
      <c r="I12" s="36" t="n">
        <v>40</v>
      </c>
      <c r="J12" s="36" t="inlineStr">
        <is>
          <t>informational</t>
        </is>
      </c>
      <c r="K12" s="36" t="inlineStr">
        <is>
          <t>property-cost</t>
        </is>
      </c>
      <c r="L12" s="36" t="n">
        <v>1</v>
      </c>
      <c r="M12" s="36" t="inlineStr">
        <is>
          <t>Secondary</t>
        </is>
      </c>
      <c r="N12" s="39">
        <f>IFERROR(IF(ISNUMBER(SEARCH(D12,INDEX(Pages!$J$2:$J$829,MATCH(A12,Pages!$B$2:$B$829,0)))),"Yes","No"),"Page not found")</f>
        <v/>
      </c>
      <c r="O12" s="25" t="inlineStr">
        <is>
          <t>ratehub, sonnet</t>
        </is>
      </c>
      <c r="P12" s="25" t="n"/>
    </row>
    <row r="13" ht="15" customHeight="1" s="22">
      <c r="A13" s="36" t="inlineStr">
        <is>
          <t>https://instasure.ca/business-insurance/</t>
        </is>
      </c>
      <c r="B13" s="36" t="inlineStr">
        <is>
          <t>Product pillar</t>
        </is>
      </c>
      <c r="C13" s="36" t="inlineStr">
        <is>
          <t>Business insurance</t>
        </is>
      </c>
      <c r="D13" s="36" t="inlineStr">
        <is>
          <t>business insurance</t>
        </is>
      </c>
      <c r="E13" s="36" t="inlineStr">
        <is>
          <t>Nationwide</t>
        </is>
      </c>
      <c r="F13" s="36" t="n"/>
      <c r="G13" s="36" t="n"/>
      <c r="H13" s="37" t="n">
        <v>8100</v>
      </c>
      <c r="I13" s="36" t="n">
        <v>70</v>
      </c>
      <c r="J13" s="36" t="inlineStr">
        <is>
          <t>commercial</t>
        </is>
      </c>
      <c r="K13" s="36" t="inlineStr">
        <is>
          <t>business</t>
        </is>
      </c>
      <c r="L13" s="36" t="n">
        <v>1</v>
      </c>
      <c r="M13" s="36" t="inlineStr">
        <is>
          <t>Primary</t>
        </is>
      </c>
      <c r="N13" s="39">
        <f>IFERROR(IF(ISNUMBER(SEARCH(D13,INDEX(Pages!$J$2:$J$829,MATCH(A13,Pages!$B$2:$B$829,0)))),"Yes","No"),"Page not found")</f>
        <v/>
      </c>
      <c r="O13" s="25" t="inlineStr">
        <is>
          <t>ratehub, rates.ca, zensurance, apollo</t>
        </is>
      </c>
      <c r="P13" s="25" t="n"/>
    </row>
    <row r="14" ht="15" customHeight="1" s="22">
      <c r="A14" s="36" t="inlineStr">
        <is>
          <t>https://instasure.ca/business-insurance/</t>
        </is>
      </c>
      <c r="B14" s="36" t="inlineStr">
        <is>
          <t>Product pillar</t>
        </is>
      </c>
      <c r="C14" s="36" t="inlineStr">
        <is>
          <t>Business insurance</t>
        </is>
      </c>
      <c r="D14" s="36" t="inlineStr">
        <is>
          <t>liability insurance</t>
        </is>
      </c>
      <c r="E14" s="36" t="inlineStr">
        <is>
          <t>Nationwide</t>
        </is>
      </c>
      <c r="F14" s="36" t="n"/>
      <c r="G14" s="36" t="n"/>
      <c r="H14" s="37" t="n">
        <v>5400</v>
      </c>
      <c r="I14" s="36" t="n">
        <v>65</v>
      </c>
      <c r="J14" s="36" t="inlineStr">
        <is>
          <t>commercial</t>
        </is>
      </c>
      <c r="K14" s="36" t="inlineStr">
        <is>
          <t>business</t>
        </is>
      </c>
      <c r="L14" s="36" t="n">
        <v>3</v>
      </c>
      <c r="M14" s="36" t="inlineStr">
        <is>
          <t>Secondary</t>
        </is>
      </c>
      <c r="N14" s="39">
        <f>IFERROR(IF(ISNUMBER(SEARCH(D14,INDEX(Pages!$J$2:$J$829,MATCH(A14,Pages!$B$2:$B$829,0)))),"Yes","No"),"Page not found")</f>
        <v/>
      </c>
      <c r="O14" s="25" t="inlineStr">
        <is>
          <t>ratehub, rates.ca</t>
        </is>
      </c>
      <c r="P14" s="25" t="n"/>
    </row>
    <row r="15" ht="15" customHeight="1" s="22">
      <c r="A15" s="36" t="inlineStr">
        <is>
          <t>https://instasure.ca/business-insurance/</t>
        </is>
      </c>
      <c r="B15" s="36" t="inlineStr">
        <is>
          <t>Product pillar</t>
        </is>
      </c>
      <c r="C15" s="36" t="inlineStr">
        <is>
          <t>Business insurance</t>
        </is>
      </c>
      <c r="D15" s="36" t="inlineStr">
        <is>
          <t>small business insurance</t>
        </is>
      </c>
      <c r="E15" s="36" t="inlineStr">
        <is>
          <t>Nationwide</t>
        </is>
      </c>
      <c r="F15" s="36" t="n"/>
      <c r="G15" s="36" t="n"/>
      <c r="H15" s="37" t="n">
        <v>2900</v>
      </c>
      <c r="I15" s="36" t="n">
        <v>60</v>
      </c>
      <c r="J15" s="36" t="inlineStr">
        <is>
          <t>commercial</t>
        </is>
      </c>
      <c r="K15" s="36" t="inlineStr">
        <is>
          <t>business</t>
        </is>
      </c>
      <c r="L15" s="36" t="n">
        <v>1</v>
      </c>
      <c r="M15" s="36" t="inlineStr">
        <is>
          <t>Secondary</t>
        </is>
      </c>
      <c r="N15" s="39">
        <f>IFERROR(IF(ISNUMBER(SEARCH(D15,INDEX(Pages!$J$2:$J$829,MATCH(A15,Pages!$B$2:$B$829,0)))),"Yes","No"),"Page not found")</f>
        <v/>
      </c>
      <c r="O15" s="25" t="inlineStr">
        <is>
          <t>rates.ca, ratehub</t>
        </is>
      </c>
      <c r="P15" s="25" t="n"/>
    </row>
    <row r="16" ht="15" customHeight="1" s="22">
      <c r="A16" s="36" t="inlineStr">
        <is>
          <t>https://instasure.ca/business-insurance/</t>
        </is>
      </c>
      <c r="B16" s="36" t="inlineStr">
        <is>
          <t>Product pillar</t>
        </is>
      </c>
      <c r="C16" s="36" t="inlineStr">
        <is>
          <t>Business insurance</t>
        </is>
      </c>
      <c r="D16" s="36" t="inlineStr">
        <is>
          <t>general liability insurance</t>
        </is>
      </c>
      <c r="E16" s="36" t="inlineStr">
        <is>
          <t>Nationwide</t>
        </is>
      </c>
      <c r="F16" s="36" t="n"/>
      <c r="G16" s="36" t="n"/>
      <c r="H16" s="37" t="n">
        <v>2400</v>
      </c>
      <c r="I16" s="36" t="n">
        <v>55</v>
      </c>
      <c r="J16" s="36" t="inlineStr">
        <is>
          <t>commercial</t>
        </is>
      </c>
      <c r="K16" s="36" t="inlineStr">
        <is>
          <t>business</t>
        </is>
      </c>
      <c r="L16" s="36" t="n">
        <v>2</v>
      </c>
      <c r="M16" s="36" t="inlineStr">
        <is>
          <t>Secondary</t>
        </is>
      </c>
      <c r="N16" s="39">
        <f>IFERROR(IF(ISNUMBER(SEARCH(D16,INDEX(Pages!$J$2:$J$829,MATCH(A16,Pages!$B$2:$B$829,0)))),"Yes","No"),"Page not found")</f>
        <v/>
      </c>
      <c r="O16" s="25" t="inlineStr">
        <is>
          <t>ratehub (CGL), rates.ca</t>
        </is>
      </c>
      <c r="P16" s="25" t="n"/>
    </row>
    <row r="17" ht="15" customHeight="1" s="22">
      <c r="A17" s="36" t="inlineStr">
        <is>
          <t>https://instasure.ca/quote/car-insurance/</t>
        </is>
      </c>
      <c r="B17" s="36" t="inlineStr">
        <is>
          <t>(not a live page)</t>
        </is>
      </c>
      <c r="C17" s="36" t="inlineStr">
        <is>
          <t>Car insurance</t>
        </is>
      </c>
      <c r="D17" s="36" t="inlineStr">
        <is>
          <t>car insurance quotes</t>
        </is>
      </c>
      <c r="E17" s="36" t="inlineStr">
        <is>
          <t>Nationwide</t>
        </is>
      </c>
      <c r="F17" s="36" t="n"/>
      <c r="G17" s="36" t="n"/>
      <c r="H17" s="37" t="n">
        <v>14000</v>
      </c>
      <c r="I17" s="36" t="n">
        <v>78</v>
      </c>
      <c r="J17" s="36" t="inlineStr">
        <is>
          <t>transactional</t>
        </is>
      </c>
      <c r="K17" s="36" t="inlineStr">
        <is>
          <t>auto-core</t>
        </is>
      </c>
      <c r="L17" s="36" t="n">
        <v>1</v>
      </c>
      <c r="M17" s="36" t="inlineStr">
        <is>
          <t>Primary</t>
        </is>
      </c>
      <c r="N17" s="39">
        <f>IFERROR(IF(ISNUMBER(SEARCH(D17,INDEX(Pages!$J$2:$J$829,MATCH(A17,Pages!$B$2:$B$829,0)))),"Yes","No"),"Page not found")</f>
        <v/>
      </c>
      <c r="O17" s="25" t="inlineStr">
        <is>
          <t>ratehub, rates.ca, kanetix, lowestrates</t>
        </is>
      </c>
      <c r="P17" s="25" t="inlineStr">
        <is>
          <t>Money term: send to the instant estimate flow.</t>
        </is>
      </c>
    </row>
    <row r="18" ht="23.85" customHeight="1" s="22">
      <c r="A18" s="36" t="inlineStr">
        <is>
          <t>https://instasure.ca/quote/car-insurance/</t>
        </is>
      </c>
      <c r="B18" s="36" t="inlineStr">
        <is>
          <t>(not a live page)</t>
        </is>
      </c>
      <c r="C18" s="36" t="inlineStr">
        <is>
          <t>Car insurance</t>
        </is>
      </c>
      <c r="D18" s="36" t="inlineStr">
        <is>
          <t>car insurance calculator</t>
        </is>
      </c>
      <c r="E18" s="36" t="inlineStr">
        <is>
          <t>Nationwide</t>
        </is>
      </c>
      <c r="F18" s="36" t="n"/>
      <c r="G18" s="36" t="n"/>
      <c r="H18" s="37" t="n">
        <v>2400</v>
      </c>
      <c r="I18" s="36" t="n">
        <v>55</v>
      </c>
      <c r="J18" s="36" t="inlineStr">
        <is>
          <t>transactional</t>
        </is>
      </c>
      <c r="K18" s="36" t="inlineStr">
        <is>
          <t>auto-tools</t>
        </is>
      </c>
      <c r="L18" s="36" t="n">
        <v>2</v>
      </c>
      <c r="M18" s="36" t="inlineStr">
        <is>
          <t>Secondary</t>
        </is>
      </c>
      <c r="N18" s="39">
        <f>IFERROR(IF(ISNUMBER(SEARCH(D18,INDEX(Pages!$J$2:$J$829,MATCH(A18,Pages!$B$2:$B$829,0)))),"Yes","No"),"Page not found")</f>
        <v/>
      </c>
      <c r="O18" s="25" t="inlineStr">
        <is>
          <t>rates.ca (ON, AB), lowestrates (ON)</t>
        </is>
      </c>
      <c r="P18" s="25" t="inlineStr">
        <is>
          <t>Instant estimate covers the intent. Planned: /calculators/car-insurance-cost/ with province selector.</t>
        </is>
      </c>
    </row>
    <row r="19" ht="15" customHeight="1" s="22">
      <c r="A19" s="36" t="inlineStr">
        <is>
          <t>https://instasure.ca/quote/car-insurance/</t>
        </is>
      </c>
      <c r="B19" s="36" t="inlineStr">
        <is>
          <t>(not a live page)</t>
        </is>
      </c>
      <c r="C19" s="36" t="inlineStr">
        <is>
          <t>Car insurance</t>
        </is>
      </c>
      <c r="D19" s="36" t="inlineStr">
        <is>
          <t>ontario car insurance calculator</t>
        </is>
      </c>
      <c r="E19" s="36" t="inlineStr">
        <is>
          <t>Provincial</t>
        </is>
      </c>
      <c r="F19" s="36" t="inlineStr">
        <is>
          <t>Ontario</t>
        </is>
      </c>
      <c r="G19" s="36" t="n"/>
      <c r="H19" s="37" t="n">
        <v>880</v>
      </c>
      <c r="I19" s="36" t="n">
        <v>45</v>
      </c>
      <c r="J19" s="36" t="inlineStr">
        <is>
          <t>transactional</t>
        </is>
      </c>
      <c r="K19" s="36" t="inlineStr">
        <is>
          <t>auto-tools</t>
        </is>
      </c>
      <c r="L19" s="36" t="n">
        <v>2</v>
      </c>
      <c r="M19" s="36" t="inlineStr">
        <is>
          <t>Secondary</t>
        </is>
      </c>
      <c r="N19" s="39">
        <f>IFERROR(IF(ISNUMBER(SEARCH(D19,INDEX(Pages!$J$2:$J$829,MATCH(A19,Pages!$B$2:$B$829,0)))),"Yes","No"),"Page not found")</f>
        <v/>
      </c>
      <c r="O19" s="25" t="inlineStr">
        <is>
          <t>rates.ca, lowestrates</t>
        </is>
      </c>
      <c r="P19" s="25" t="n"/>
    </row>
    <row r="20" ht="15" customHeight="1" s="22">
      <c r="A20" s="36" t="inlineStr">
        <is>
          <t>https://instasure.ca/quote/car-insurance/</t>
        </is>
      </c>
      <c r="B20" s="36" t="inlineStr">
        <is>
          <t>(not a live page)</t>
        </is>
      </c>
      <c r="C20" s="36" t="inlineStr">
        <is>
          <t>Car insurance</t>
        </is>
      </c>
      <c r="D20" s="36" t="inlineStr">
        <is>
          <t>alberta car insurance calculator</t>
        </is>
      </c>
      <c r="E20" s="36" t="inlineStr">
        <is>
          <t>Provincial</t>
        </is>
      </c>
      <c r="F20" s="36" t="inlineStr">
        <is>
          <t>Alberta</t>
        </is>
      </c>
      <c r="G20" s="36" t="n"/>
      <c r="H20" s="37" t="n">
        <v>390</v>
      </c>
      <c r="I20" s="36" t="n">
        <v>35</v>
      </c>
      <c r="J20" s="36" t="inlineStr">
        <is>
          <t>transactional</t>
        </is>
      </c>
      <c r="K20" s="36" t="inlineStr">
        <is>
          <t>auto-tools</t>
        </is>
      </c>
      <c r="L20" s="36" t="n">
        <v>2</v>
      </c>
      <c r="M20" s="36" t="inlineStr">
        <is>
          <t>Secondary</t>
        </is>
      </c>
      <c r="N20" s="39">
        <f>IFERROR(IF(ISNUMBER(SEARCH(D20,INDEX(Pages!$J$2:$J$829,MATCH(A20,Pages!$B$2:$B$829,0)))),"Yes","No"),"Page not found")</f>
        <v/>
      </c>
      <c r="O20" s="25" t="inlineStr">
        <is>
          <t>rates.ca</t>
        </is>
      </c>
      <c r="P20" s="25" t="n"/>
    </row>
    <row r="21" ht="23.85" customHeight="1" s="22">
      <c r="A21" s="36" t="inlineStr">
        <is>
          <t>https://instasure.ca/pet-insurance/</t>
        </is>
      </c>
      <c r="B21" s="36" t="inlineStr">
        <is>
          <t>Service page</t>
        </is>
      </c>
      <c r="C21" s="36" t="inlineStr">
        <is>
          <t>Pet insurance</t>
        </is>
      </c>
      <c r="D21" s="36" t="inlineStr">
        <is>
          <t>pet insurance</t>
        </is>
      </c>
      <c r="E21" s="36" t="inlineStr">
        <is>
          <t>Nationwide</t>
        </is>
      </c>
      <c r="F21" s="36" t="n"/>
      <c r="G21" s="36" t="n"/>
      <c r="H21" s="37" t="n">
        <v>14000</v>
      </c>
      <c r="I21" s="36" t="n">
        <v>70</v>
      </c>
      <c r="J21" s="36" t="inlineStr">
        <is>
          <t>commercial</t>
        </is>
      </c>
      <c r="K21" s="36" t="inlineStr">
        <is>
          <t>specialty-personal</t>
        </is>
      </c>
      <c r="L21" s="36" t="n">
        <v>4</v>
      </c>
      <c r="M21" s="36" t="inlineStr">
        <is>
          <t>Primary</t>
        </is>
      </c>
      <c r="N21" s="39">
        <f>IFERROR(IF(ISNUMBER(SEARCH(D21,INDEX(Pages!$J$2:$J$829,MATCH(A21,Pages!$B$2:$B$829,0)))),"Yes","No"),"Page not found")</f>
        <v/>
      </c>
      <c r="O21" s="25" t="inlineStr">
        <is>
          <t>sonnet (pet product), trupanion, petsecure, pets plus us</t>
        </is>
      </c>
      <c r="P21" s="25" t="inlineStr">
        <is>
          <t>Big but low advisor fit: most pet insurers sell direct. A completeness page that keeps visitors on site.</t>
        </is>
      </c>
    </row>
    <row r="22" ht="15" customHeight="1" s="22">
      <c r="A22" s="36" t="inlineStr">
        <is>
          <t>https://instasure.ca/health-dental-insurance/</t>
        </is>
      </c>
      <c r="B22" s="36" t="inlineStr">
        <is>
          <t>Product pillar</t>
        </is>
      </c>
      <c r="C22" s="36" t="inlineStr">
        <is>
          <t>Health &amp; dental insurance</t>
        </is>
      </c>
      <c r="D22" s="36" t="inlineStr">
        <is>
          <t>dental insurance</t>
        </is>
      </c>
      <c r="E22" s="36" t="inlineStr">
        <is>
          <t>Nationwide</t>
        </is>
      </c>
      <c r="F22" s="36" t="n"/>
      <c r="G22" s="36" t="n"/>
      <c r="H22" s="37" t="n">
        <v>8100</v>
      </c>
      <c r="I22" s="36" t="n">
        <v>65</v>
      </c>
      <c r="J22" s="36" t="inlineStr">
        <is>
          <t>commercial</t>
        </is>
      </c>
      <c r="K22" s="36" t="inlineStr">
        <is>
          <t>health-dental</t>
        </is>
      </c>
      <c r="L22" s="36" t="n">
        <v>2</v>
      </c>
      <c r="M22" s="36" t="inlineStr">
        <is>
          <t>Primary</t>
        </is>
      </c>
      <c r="N22" s="39">
        <f>IFERROR(IF(ISNUMBER(SEARCH(D22,INDEX(Pages!$J$2:$J$829,MATCH(A22,Pages!$B$2:$B$829,0)))),"Yes","No"),"Page not found")</f>
        <v/>
      </c>
      <c r="O22" s="25" t="inlineStr">
        <is>
          <t>sun life, manulife, blue cross, policyadvisor</t>
        </is>
      </c>
      <c r="P22" s="25" t="inlineStr">
        <is>
          <t>Much of the volume is CDCP navigation; target the self-employed and CDCP-ineligible.</t>
        </is>
      </c>
    </row>
    <row r="23" ht="15" customHeight="1" s="22">
      <c r="A23" s="36" t="inlineStr">
        <is>
          <t>https://instasure.ca/health-dental-insurance/</t>
        </is>
      </c>
      <c r="B23" s="36" t="inlineStr">
        <is>
          <t>Product pillar</t>
        </is>
      </c>
      <c r="C23" s="36" t="inlineStr">
        <is>
          <t>Health &amp; dental insurance</t>
        </is>
      </c>
      <c r="D23" s="36" t="inlineStr">
        <is>
          <t>private health insurance canada</t>
        </is>
      </c>
      <c r="E23" s="36" t="inlineStr">
        <is>
          <t>Nationwide</t>
        </is>
      </c>
      <c r="F23" s="36" t="n"/>
      <c r="G23" s="36" t="n"/>
      <c r="H23" s="37" t="n">
        <v>2900</v>
      </c>
      <c r="I23" s="36" t="n">
        <v>60</v>
      </c>
      <c r="J23" s="36" t="inlineStr">
        <is>
          <t>commercial</t>
        </is>
      </c>
      <c r="K23" s="36" t="inlineStr">
        <is>
          <t>health-dental</t>
        </is>
      </c>
      <c r="L23" s="36" t="n">
        <v>2</v>
      </c>
      <c r="M23" s="36" t="inlineStr">
        <is>
          <t>Secondary</t>
        </is>
      </c>
      <c r="N23" s="39">
        <f>IFERROR(IF(ISNUMBER(SEARCH(D23,INDEX(Pages!$J$2:$J$829,MATCH(A23,Pages!$B$2:$B$829,0)))),"Yes","No"),"Page not found")</f>
        <v/>
      </c>
      <c r="O23" s="25" t="inlineStr">
        <is>
          <t>policyadvisor, sun life, manulife, blue cross</t>
        </is>
      </c>
      <c r="P23" s="25" t="n"/>
    </row>
    <row r="24" ht="15" customHeight="1" s="22">
      <c r="A24" s="36" t="inlineStr">
        <is>
          <t>https://instasure.ca/health-dental-insurance/</t>
        </is>
      </c>
      <c r="B24" s="36" t="inlineStr">
        <is>
          <t>Product pillar</t>
        </is>
      </c>
      <c r="C24" s="36" t="inlineStr">
        <is>
          <t>Health &amp; dental insurance</t>
        </is>
      </c>
      <c r="D24" s="36" t="inlineStr">
        <is>
          <t>health and dental insurance</t>
        </is>
      </c>
      <c r="E24" s="36" t="inlineStr">
        <is>
          <t>Nationwide</t>
        </is>
      </c>
      <c r="F24" s="36" t="n"/>
      <c r="G24" s="36" t="n"/>
      <c r="H24" s="37" t="n">
        <v>2400</v>
      </c>
      <c r="I24" s="36" t="n">
        <v>55</v>
      </c>
      <c r="J24" s="36" t="inlineStr">
        <is>
          <t>commercial</t>
        </is>
      </c>
      <c r="K24" s="36" t="inlineStr">
        <is>
          <t>health-dental</t>
        </is>
      </c>
      <c r="L24" s="36" t="n">
        <v>1</v>
      </c>
      <c r="M24" s="36" t="inlineStr">
        <is>
          <t>Secondary</t>
        </is>
      </c>
      <c r="N24" s="39">
        <f>IFERROR(IF(ISNUMBER(SEARCH(D24,INDEX(Pages!$J$2:$J$829,MATCH(A24,Pages!$B$2:$B$829,0)))),"Yes","No"),"Page not found")</f>
        <v/>
      </c>
      <c r="O24" s="25" t="inlineStr">
        <is>
          <t>policyadvisor, sun life, blue cross</t>
        </is>
      </c>
      <c r="P24" s="25" t="n"/>
    </row>
    <row r="25" ht="15" customHeight="1" s="22">
      <c r="A25" s="36" t="inlineStr">
        <is>
          <t>https://instasure.ca/health-dental-insurance/</t>
        </is>
      </c>
      <c r="B25" s="36" t="inlineStr">
        <is>
          <t>Product pillar</t>
        </is>
      </c>
      <c r="C25" s="36" t="inlineStr">
        <is>
          <t>Health &amp; dental insurance</t>
        </is>
      </c>
      <c r="D25" s="36" t="inlineStr">
        <is>
          <t>health insurance for self employed</t>
        </is>
      </c>
      <c r="E25" s="36" t="inlineStr">
        <is>
          <t>Nationwide</t>
        </is>
      </c>
      <c r="F25" s="36" t="n"/>
      <c r="G25" s="36" t="n"/>
      <c r="H25" s="37" t="n">
        <v>590</v>
      </c>
      <c r="I25" s="36" t="n">
        <v>35</v>
      </c>
      <c r="J25" s="36" t="inlineStr">
        <is>
          <t>commercial</t>
        </is>
      </c>
      <c r="K25" s="36" t="inlineStr">
        <is>
          <t>health-dental</t>
        </is>
      </c>
      <c r="L25" s="36" t="n">
        <v>2</v>
      </c>
      <c r="M25" s="36" t="inlineStr">
        <is>
          <t>Secondary</t>
        </is>
      </c>
      <c r="N25" s="39">
        <f>IFERROR(IF(ISNUMBER(SEARCH(D25,INDEX(Pages!$J$2:$J$829,MATCH(A25,Pages!$B$2:$B$829,0)))),"Yes","No"),"Page not found")</f>
        <v/>
      </c>
      <c r="O25" s="25" t="inlineStr">
        <is>
          <t>policyadvisor</t>
        </is>
      </c>
      <c r="P25" s="25" t="n"/>
    </row>
    <row r="26" ht="15" customHeight="1" s="22">
      <c r="A26" s="36" t="inlineStr">
        <is>
          <t>https://instasure.ca/car-insurance/ontario/</t>
        </is>
      </c>
      <c r="B26" s="36" t="inlineStr">
        <is>
          <t>Product × province</t>
        </is>
      </c>
      <c r="C26" s="36" t="inlineStr">
        <is>
          <t>Car insurance</t>
        </is>
      </c>
      <c r="D26" s="36" t="inlineStr">
        <is>
          <t>car insurance ontario</t>
        </is>
      </c>
      <c r="E26" s="36" t="inlineStr">
        <is>
          <t>Provincial</t>
        </is>
      </c>
      <c r="F26" s="36" t="inlineStr">
        <is>
          <t>Ontario</t>
        </is>
      </c>
      <c r="G26" s="36" t="n"/>
      <c r="H26" s="37" t="n">
        <v>12000</v>
      </c>
      <c r="I26" s="36" t="n">
        <v>79</v>
      </c>
      <c r="J26" s="36" t="inlineStr">
        <is>
          <t>commercial</t>
        </is>
      </c>
      <c r="K26" s="36" t="inlineStr">
        <is>
          <t>auto-province</t>
        </is>
      </c>
      <c r="L26" s="36" t="n">
        <v>1</v>
      </c>
      <c r="M26" s="36" t="inlineStr">
        <is>
          <t>Primary</t>
        </is>
      </c>
      <c r="N26" s="39">
        <f>IFERROR(IF(ISNUMBER(SEARCH(D26,INDEX(Pages!$J$2:$J$829,MATCH(A26,Pages!$B$2:$B$829,0)))),"Yes","No"),"Page not found")</f>
        <v/>
      </c>
      <c r="O26" s="25" t="inlineStr">
        <is>
          <t>ratehub, rates.ca, sonnet</t>
        </is>
      </c>
      <c r="P26" s="25" t="n"/>
    </row>
    <row r="27" ht="23.85" customHeight="1" s="22">
      <c r="A27" s="36" t="inlineStr">
        <is>
          <t>https://instasure.ca/car-insurance/ontario/toronto/</t>
        </is>
      </c>
      <c r="B27" s="36" t="inlineStr">
        <is>
          <t>Product × city</t>
        </is>
      </c>
      <c r="C27" s="36" t="inlineStr">
        <is>
          <t>Car insurance</t>
        </is>
      </c>
      <c r="D27" s="36" t="inlineStr">
        <is>
          <t>car insurance toronto</t>
        </is>
      </c>
      <c r="E27" s="36" t="inlineStr">
        <is>
          <t>City</t>
        </is>
      </c>
      <c r="F27" s="36" t="inlineStr">
        <is>
          <t>Ontario</t>
        </is>
      </c>
      <c r="G27" s="36" t="inlineStr">
        <is>
          <t>Toronto</t>
        </is>
      </c>
      <c r="H27" s="37" t="n">
        <v>6600</v>
      </c>
      <c r="I27" s="36" t="n">
        <v>84</v>
      </c>
      <c r="J27" s="36" t="inlineStr">
        <is>
          <t>local</t>
        </is>
      </c>
      <c r="K27" s="36" t="inlineStr">
        <is>
          <t>auto-local</t>
        </is>
      </c>
      <c r="L27" s="36" t="n">
        <v>1</v>
      </c>
      <c r="M27" s="36" t="inlineStr">
        <is>
          <t>Primary</t>
        </is>
      </c>
      <c r="N27" s="39">
        <f>IFERROR(IF(ISNUMBER(SEARCH(D27,INDEX(Pages!$J$2:$J$829,MATCH(A27,Pages!$B$2:$B$829,0)))),"Yes","No"),"Page not found")</f>
        <v/>
      </c>
      <c r="O27" s="25" t="inlineStr">
        <is>
          <t>ratehub, rates.ca, sonnet, mychoice/squareone/thinkinsure</t>
        </is>
      </c>
      <c r="P27" s="25" t="inlineStr">
        <is>
          <t>Competitor city pages here are thin or carry stale dates (October 2026 review): freshness opening.</t>
        </is>
      </c>
    </row>
    <row r="28" ht="15" customHeight="1" s="22">
      <c r="A28" s="36" t="inlineStr">
        <is>
          <t>https://instasure.ca/car-insurance/ontario/toronto/</t>
        </is>
      </c>
      <c r="B28" s="36" t="inlineStr">
        <is>
          <t>Product × city</t>
        </is>
      </c>
      <c r="C28" s="36" t="inlineStr">
        <is>
          <t>Car insurance</t>
        </is>
      </c>
      <c r="D28" s="36" t="inlineStr">
        <is>
          <t>cheap car insurance toronto</t>
        </is>
      </c>
      <c r="E28" s="36" t="inlineStr">
        <is>
          <t>City</t>
        </is>
      </c>
      <c r="F28" s="36" t="inlineStr">
        <is>
          <t>Ontario</t>
        </is>
      </c>
      <c r="G28" s="36" t="inlineStr">
        <is>
          <t>Toronto</t>
        </is>
      </c>
      <c r="H28" s="37" t="n">
        <v>2300</v>
      </c>
      <c r="I28" s="36" t="n">
        <v>79</v>
      </c>
      <c r="J28" s="36" t="inlineStr">
        <is>
          <t>transactional</t>
        </is>
      </c>
      <c r="K28" s="36" t="inlineStr">
        <is>
          <t>auto-local</t>
        </is>
      </c>
      <c r="L28" s="36" t="n">
        <v>1</v>
      </c>
      <c r="M28" s="36" t="inlineStr">
        <is>
          <t>Secondary</t>
        </is>
      </c>
      <c r="N28" s="39">
        <f>IFERROR(IF(ISNUMBER(SEARCH(D28,INDEX(Pages!$J$2:$J$829,MATCH(A28,Pages!$B$2:$B$829,0)))),"Yes","No"),"Page not found")</f>
        <v/>
      </c>
      <c r="O28" s="25" t="inlineStr">
        <is>
          <t>ratehub, rates.ca, sonnet, mychoice/squareone/thinkinsure</t>
        </is>
      </c>
      <c r="P28" s="25" t="inlineStr">
        <is>
          <t>Rates.ca titles lead with "Cheap"; answer with factors and FSA data, not a price promise.</t>
        </is>
      </c>
    </row>
    <row r="29" ht="23.85" customHeight="1" s="22">
      <c r="A29" s="36" t="inlineStr">
        <is>
          <t>https://instasure.ca/car-insurance/ontario/toronto/</t>
        </is>
      </c>
      <c r="B29" s="36" t="inlineStr">
        <is>
          <t>Product × city</t>
        </is>
      </c>
      <c r="C29" s="36" t="inlineStr">
        <is>
          <t>Car insurance</t>
        </is>
      </c>
      <c r="D29" s="36" t="inlineStr">
        <is>
          <t>how much is car insurance in toronto</t>
        </is>
      </c>
      <c r="E29" s="36" t="inlineStr">
        <is>
          <t>City</t>
        </is>
      </c>
      <c r="F29" s="36" t="inlineStr">
        <is>
          <t>Ontario</t>
        </is>
      </c>
      <c r="G29" s="36" t="inlineStr">
        <is>
          <t>Toronto</t>
        </is>
      </c>
      <c r="H29" s="37" t="n">
        <v>1300</v>
      </c>
      <c r="I29" s="36" t="n">
        <v>79</v>
      </c>
      <c r="J29" s="36" t="inlineStr">
        <is>
          <t>informational</t>
        </is>
      </c>
      <c r="K29" s="36" t="inlineStr">
        <is>
          <t>auto-local</t>
        </is>
      </c>
      <c r="L29" s="36" t="n">
        <v>2</v>
      </c>
      <c r="M29" s="36" t="inlineStr">
        <is>
          <t>Secondary</t>
        </is>
      </c>
      <c r="N29" s="39">
        <f>IFERROR(IF(ISNUMBER(SEARCH(D29,INDEX(Pages!$J$2:$J$829,MATCH(A29,Pages!$B$2:$B$829,0)))),"Yes","No"),"Page not found")</f>
        <v/>
      </c>
      <c r="O29" s="25" t="inlineStr">
        <is>
          <t>ratehub, rates.ca, sonnet, mychoice/squareone/thinkinsure</t>
        </is>
      </c>
      <c r="P29" s="25" t="inlineStr">
        <is>
          <t>Ratehub ranks a blog post for this. The city page answers it in the first two sentences with a dated average.</t>
        </is>
      </c>
    </row>
    <row r="30" ht="23.85" customHeight="1" s="22">
      <c r="A30" s="36" t="inlineStr">
        <is>
          <t>https://instasure.ca/super-visa-insurance/</t>
        </is>
      </c>
      <c r="B30" s="36" t="inlineStr">
        <is>
          <t>Product pillar</t>
        </is>
      </c>
      <c r="C30" s="36" t="inlineStr">
        <is>
          <t>Super Visa &amp; visitors insurance</t>
        </is>
      </c>
      <c r="D30" s="36" t="inlineStr">
        <is>
          <t>super visa insurance</t>
        </is>
      </c>
      <c r="E30" s="36" t="inlineStr">
        <is>
          <t>Nationwide</t>
        </is>
      </c>
      <c r="F30" s="36" t="n"/>
      <c r="G30" s="36" t="n"/>
      <c r="H30" s="37" t="n">
        <v>9900</v>
      </c>
      <c r="I30" s="36" t="n">
        <v>55</v>
      </c>
      <c r="J30" s="36" t="inlineStr">
        <is>
          <t>transactional</t>
        </is>
      </c>
      <c r="K30" s="36" t="inlineStr">
        <is>
          <t>travel-visitors</t>
        </is>
      </c>
      <c r="L30" s="36" t="n">
        <v>1</v>
      </c>
      <c r="M30" s="36" t="inlineStr">
        <is>
          <t>Primary</t>
        </is>
      </c>
      <c r="N30" s="39">
        <f>IFERROR(IF(ISNUMBER(SEARCH(D30,INDEX(Pages!$J$2:$J$829,MATCH(A30,Pages!$B$2:$B$829,0)))),"Yes","No"),"Page not found")</f>
        <v/>
      </c>
      <c r="O30" s="25" t="inlineStr">
        <is>
          <t>policyadvisor (38 visitor pages incl. insurer reviews), ratehub, hellosafe, bestquote, coverme</t>
        </is>
      </c>
      <c r="P30" s="25" t="inlineStr">
        <is>
          <t>Mandatory purchase with high intent and a strong newcomer-community fit.</t>
        </is>
      </c>
    </row>
    <row r="31" ht="15" customHeight="1" s="22">
      <c r="A31" s="36" t="inlineStr">
        <is>
          <t>https://instasure.ca/term-life-insurance/</t>
        </is>
      </c>
      <c r="B31" s="36" t="inlineStr">
        <is>
          <t>Product pillar</t>
        </is>
      </c>
      <c r="C31" s="36" t="inlineStr">
        <is>
          <t>Life insurance</t>
        </is>
      </c>
      <c r="D31" s="36" t="inlineStr">
        <is>
          <t>term life insurance</t>
        </is>
      </c>
      <c r="E31" s="36" t="inlineStr">
        <is>
          <t>Nationwide</t>
        </is>
      </c>
      <c r="F31" s="36" t="n"/>
      <c r="G31" s="36" t="n"/>
      <c r="H31" s="37" t="n">
        <v>6600</v>
      </c>
      <c r="I31" s="36" t="n">
        <v>70</v>
      </c>
      <c r="J31" s="36" t="inlineStr">
        <is>
          <t>commercial</t>
        </is>
      </c>
      <c r="K31" s="36" t="inlineStr">
        <is>
          <t>life-core</t>
        </is>
      </c>
      <c r="L31" s="36" t="n">
        <v>1</v>
      </c>
      <c r="M31" s="36" t="inlineStr">
        <is>
          <t>Primary</t>
        </is>
      </c>
      <c r="N31" s="39">
        <f>IFERROR(IF(ISNUMBER(SEARCH(D31,INDEX(Pages!$J$2:$J$829,MATCH(A31,Pages!$B$2:$B$829,0)))),"Yes","No"),"Page not found")</f>
        <v/>
      </c>
      <c r="O31" s="25" t="inlineStr">
        <is>
          <t>policyadvisor, sun life, ratehub, policyme</t>
        </is>
      </c>
      <c r="P31" s="25" t="n"/>
    </row>
    <row r="32" ht="15" customHeight="1" s="22">
      <c r="A32" s="36" t="inlineStr">
        <is>
          <t>https://instasure.ca/term-life-insurance/</t>
        </is>
      </c>
      <c r="B32" s="36" t="inlineStr">
        <is>
          <t>Product pillar</t>
        </is>
      </c>
      <c r="C32" s="36" t="inlineStr">
        <is>
          <t>Life insurance</t>
        </is>
      </c>
      <c r="D32" s="36" t="inlineStr">
        <is>
          <t>term life insurance rates</t>
        </is>
      </c>
      <c r="E32" s="36" t="inlineStr">
        <is>
          <t>Nationwide</t>
        </is>
      </c>
      <c r="F32" s="36" t="n"/>
      <c r="G32" s="36" t="n"/>
      <c r="H32" s="37" t="n">
        <v>880</v>
      </c>
      <c r="I32" s="36" t="n">
        <v>55</v>
      </c>
      <c r="J32" s="36" t="inlineStr">
        <is>
          <t>commercial</t>
        </is>
      </c>
      <c r="K32" s="36" t="inlineStr">
        <is>
          <t>life-cost</t>
        </is>
      </c>
      <c r="L32" s="36" t="n">
        <v>2</v>
      </c>
      <c r="M32" s="36" t="inlineStr">
        <is>
          <t>Secondary</t>
        </is>
      </c>
      <c r="N32" s="39">
        <f>IFERROR(IF(ISNUMBER(SEARCH(D32,INDEX(Pages!$J$2:$J$829,MATCH(A32,Pages!$B$2:$B$829,0)))),"Yes","No"),"Page not found")</f>
        <v/>
      </c>
      <c r="O32" s="25" t="inlineStr">
        <is>
          <t>sun life (rates page), policyadvisor</t>
        </is>
      </c>
      <c r="P32" s="25" t="n"/>
    </row>
    <row r="33" ht="15" customHeight="1" s="22">
      <c r="A33" s="36" t="inlineStr">
        <is>
          <t>https://instasure.ca/term-life-insurance/</t>
        </is>
      </c>
      <c r="B33" s="36" t="inlineStr">
        <is>
          <t>Product pillar</t>
        </is>
      </c>
      <c r="C33" s="36" t="inlineStr">
        <is>
          <t>Life insurance</t>
        </is>
      </c>
      <c r="D33" s="36" t="inlineStr">
        <is>
          <t>20 year term life insurance</t>
        </is>
      </c>
      <c r="E33" s="36" t="inlineStr">
        <is>
          <t>Nationwide</t>
        </is>
      </c>
      <c r="F33" s="36" t="n"/>
      <c r="G33" s="36" t="n"/>
      <c r="H33" s="37" t="n">
        <v>480</v>
      </c>
      <c r="I33" s="36" t="n">
        <v>40</v>
      </c>
      <c r="J33" s="36" t="inlineStr">
        <is>
          <t>commercial</t>
        </is>
      </c>
      <c r="K33" s="36" t="inlineStr">
        <is>
          <t>life-core</t>
        </is>
      </c>
      <c r="L33" s="36" t="n">
        <v>3</v>
      </c>
      <c r="M33" s="36" t="inlineStr">
        <is>
          <t>Secondary</t>
        </is>
      </c>
      <c r="N33" s="39">
        <f>IFERROR(IF(ISNUMBER(SEARCH(D33,INDEX(Pages!$J$2:$J$829,MATCH(A33,Pages!$B$2:$B$829,0)))),"Yes","No"),"Page not found")</f>
        <v/>
      </c>
      <c r="O33" s="25" t="inlineStr">
        <is>
          <t>sun life</t>
        </is>
      </c>
      <c r="P33" s="25" t="n"/>
    </row>
    <row r="34" ht="23.85" customHeight="1" s="22">
      <c r="A34" s="36" t="inlineStr">
        <is>
          <t>https://instasure.ca/advisors/</t>
        </is>
      </c>
      <c r="B34" s="36" t="inlineStr">
        <is>
          <t>Static / tool</t>
        </is>
      </c>
      <c r="C34" s="36" t="inlineStr">
        <is>
          <t>Cross-product &amp; brand</t>
        </is>
      </c>
      <c r="D34" s="36" t="inlineStr">
        <is>
          <t>insurance broker near me</t>
        </is>
      </c>
      <c r="E34" s="36" t="inlineStr">
        <is>
          <t>Nationwide</t>
        </is>
      </c>
      <c r="F34" s="36" t="n"/>
      <c r="G34" s="36" t="n"/>
      <c r="H34" s="37" t="n">
        <v>6600</v>
      </c>
      <c r="I34" s="36" t="n">
        <v>60</v>
      </c>
      <c r="J34" s="36" t="inlineStr">
        <is>
          <t>local</t>
        </is>
      </c>
      <c r="K34" s="36" t="inlineStr">
        <is>
          <t>advisors</t>
        </is>
      </c>
      <c r="L34" s="36" t="n">
        <v>2</v>
      </c>
      <c r="M34" s="36" t="inlineStr">
        <is>
          <t>Primary</t>
        </is>
      </c>
      <c r="N34" s="39">
        <f>IFERROR(IF(ISNUMBER(SEARCH(D34,INDEX(Pages!$J$2:$J$829,MATCH(A34,Pages!$B$2:$B$829,0)))),"Yes","No"),"Page not found")</f>
        <v/>
      </c>
      <c r="O34" s="25" t="inlineStr">
        <is>
          <t>local brokers, thinkinsure</t>
        </is>
      </c>
      <c r="P34" s="25" t="inlineStr">
        <is>
          <t>Needs Google Business Profiles. Say "licensed advisor" unless the entity is a registered brokerage.</t>
        </is>
      </c>
    </row>
    <row r="35" ht="15" customHeight="1" s="22">
      <c r="A35" s="36" t="inlineStr">
        <is>
          <t>https://instasure.ca/advisors/</t>
        </is>
      </c>
      <c r="B35" s="36" t="inlineStr">
        <is>
          <t>Static / tool</t>
        </is>
      </c>
      <c r="C35" s="36" t="inlineStr">
        <is>
          <t>Cross-product &amp; brand</t>
        </is>
      </c>
      <c r="D35" s="36" t="inlineStr">
        <is>
          <t>insurance advisor near me</t>
        </is>
      </c>
      <c r="E35" s="36" t="inlineStr">
        <is>
          <t>Nationwide</t>
        </is>
      </c>
      <c r="F35" s="36" t="n"/>
      <c r="G35" s="36" t="n"/>
      <c r="H35" s="37" t="n">
        <v>1300</v>
      </c>
      <c r="I35" s="36" t="n">
        <v>40</v>
      </c>
      <c r="J35" s="36" t="inlineStr">
        <is>
          <t>local</t>
        </is>
      </c>
      <c r="K35" s="36" t="inlineStr">
        <is>
          <t>advisors</t>
        </is>
      </c>
      <c r="L35" s="36" t="n">
        <v>1</v>
      </c>
      <c r="M35" s="36" t="inlineStr">
        <is>
          <t>Secondary</t>
        </is>
      </c>
      <c r="N35" s="39">
        <f>IFERROR(IF(ISNUMBER(SEARCH(D35,INDEX(Pages!$J$2:$J$829,MATCH(A35,Pages!$B$2:$B$829,0)))),"Yes","No"),"Page not found")</f>
        <v/>
      </c>
      <c r="O35" s="25" t="inlineStr">
        <is>
          <t>policyadvisor (advisor pages), sun life advisor microsites</t>
        </is>
      </c>
      <c r="P35" s="25" t="n"/>
    </row>
    <row r="36" ht="15" customHeight="1" s="22">
      <c r="A36" s="36" t="inlineStr">
        <is>
          <t>https://instasure.ca/quote/home-insurance/</t>
        </is>
      </c>
      <c r="B36" s="36" t="inlineStr">
        <is>
          <t>(not a live page)</t>
        </is>
      </c>
      <c r="C36" s="36" t="inlineStr">
        <is>
          <t>Home insurance</t>
        </is>
      </c>
      <c r="D36" s="36" t="inlineStr">
        <is>
          <t>home insurance quotes</t>
        </is>
      </c>
      <c r="E36" s="36" t="inlineStr">
        <is>
          <t>Nationwide</t>
        </is>
      </c>
      <c r="F36" s="36" t="n"/>
      <c r="G36" s="36" t="n"/>
      <c r="H36" s="37" t="n">
        <v>6600</v>
      </c>
      <c r="I36" s="36" t="n">
        <v>75</v>
      </c>
      <c r="J36" s="36" t="inlineStr">
        <is>
          <t>transactional</t>
        </is>
      </c>
      <c r="K36" s="36" t="inlineStr">
        <is>
          <t>property-core</t>
        </is>
      </c>
      <c r="L36" s="36" t="n">
        <v>1</v>
      </c>
      <c r="M36" s="36" t="inlineStr">
        <is>
          <t>Primary</t>
        </is>
      </c>
      <c r="N36" s="39">
        <f>IFERROR(IF(ISNUMBER(SEARCH(D36,INDEX(Pages!$J$2:$J$829,MATCH(A36,Pages!$B$2:$B$829,0)))),"Yes","No"),"Page not found")</f>
        <v/>
      </c>
      <c r="O36" s="25" t="inlineStr">
        <is>
          <t>ratehub, rates.ca, sonnet, squareone</t>
        </is>
      </c>
      <c r="P36" s="25" t="n"/>
    </row>
    <row r="37" ht="15" customHeight="1" s="22">
      <c r="A37" s="36" t="inlineStr">
        <is>
          <t>https://instasure.ca/quote/home-insurance/</t>
        </is>
      </c>
      <c r="B37" s="36" t="inlineStr">
        <is>
          <t>(not a live page)</t>
        </is>
      </c>
      <c r="C37" s="36" t="inlineStr">
        <is>
          <t>Home insurance</t>
        </is>
      </c>
      <c r="D37" s="36" t="inlineStr">
        <is>
          <t>home insurance calculator</t>
        </is>
      </c>
      <c r="E37" s="36" t="inlineStr">
        <is>
          <t>Nationwide</t>
        </is>
      </c>
      <c r="F37" s="36" t="n"/>
      <c r="G37" s="36" t="n"/>
      <c r="H37" s="37" t="n">
        <v>1000</v>
      </c>
      <c r="I37" s="36" t="n">
        <v>45</v>
      </c>
      <c r="J37" s="36" t="inlineStr">
        <is>
          <t>transactional</t>
        </is>
      </c>
      <c r="K37" s="36" t="inlineStr">
        <is>
          <t>property-tools</t>
        </is>
      </c>
      <c r="L37" s="36" t="n">
        <v>2</v>
      </c>
      <c r="M37" s="36" t="inlineStr">
        <is>
          <t>Secondary</t>
        </is>
      </c>
      <c r="N37" s="39">
        <f>IFERROR(IF(ISNUMBER(SEARCH(D37,INDEX(Pages!$J$2:$J$829,MATCH(A37,Pages!$B$2:$B$829,0)))),"Yes","No"),"Page not found")</f>
        <v/>
      </c>
      <c r="O37" s="25" t="inlineStr">
        <is>
          <t>rates.ca (AB)</t>
        </is>
      </c>
      <c r="P37" s="25" t="n"/>
    </row>
    <row r="38" ht="15" customHeight="1" s="22">
      <c r="A38" s="36" t="inlineStr">
        <is>
          <t>https://instasure.ca/critical-illness-insurance/</t>
        </is>
      </c>
      <c r="B38" s="36" t="inlineStr">
        <is>
          <t>Product pillar</t>
        </is>
      </c>
      <c r="C38" s="36" t="inlineStr">
        <is>
          <t>Critical illness insurance</t>
        </is>
      </c>
      <c r="D38" s="36" t="inlineStr">
        <is>
          <t>critical illness insurance</t>
        </is>
      </c>
      <c r="E38" s="36" t="inlineStr">
        <is>
          <t>Nationwide</t>
        </is>
      </c>
      <c r="F38" s="36" t="n"/>
      <c r="G38" s="36" t="n"/>
      <c r="H38" s="37" t="n">
        <v>6600</v>
      </c>
      <c r="I38" s="36" t="n">
        <v>65</v>
      </c>
      <c r="J38" s="36" t="inlineStr">
        <is>
          <t>commercial</t>
        </is>
      </c>
      <c r="K38" s="36" t="inlineStr">
        <is>
          <t>living-benefits</t>
        </is>
      </c>
      <c r="L38" s="36" t="n">
        <v>1</v>
      </c>
      <c r="M38" s="36" t="inlineStr">
        <is>
          <t>Primary</t>
        </is>
      </c>
      <c r="N38" s="39">
        <f>IFERROR(IF(ISNUMBER(SEARCH(D38,INDEX(Pages!$J$2:$J$829,MATCH(A38,Pages!$B$2:$B$829,0)))),"Yes","No"),"Page not found")</f>
        <v/>
      </c>
      <c r="O38" s="25" t="inlineStr">
        <is>
          <t>policyadvisor, sun life, policyme, ratehub</t>
        </is>
      </c>
      <c r="P38" s="25" t="n"/>
    </row>
    <row r="39" ht="23.85" customHeight="1" s="22">
      <c r="A39" s="36" t="inlineStr">
        <is>
          <t>https://instasure.ca/critical-illness-insurance/</t>
        </is>
      </c>
      <c r="B39" s="36" t="inlineStr">
        <is>
          <t>Product pillar</t>
        </is>
      </c>
      <c r="C39" s="36" t="inlineStr">
        <is>
          <t>Critical illness insurance</t>
        </is>
      </c>
      <c r="D39" s="36" t="inlineStr">
        <is>
          <t>critical illness insurance cost</t>
        </is>
      </c>
      <c r="E39" s="36" t="inlineStr">
        <is>
          <t>Nationwide</t>
        </is>
      </c>
      <c r="F39" s="36" t="n"/>
      <c r="G39" s="36" t="n"/>
      <c r="H39" s="37" t="n">
        <v>880</v>
      </c>
      <c r="I39" s="36" t="n">
        <v>45</v>
      </c>
      <c r="J39" s="36" t="inlineStr">
        <is>
          <t>informational</t>
        </is>
      </c>
      <c r="K39" s="36" t="inlineStr">
        <is>
          <t>living-benefits</t>
        </is>
      </c>
      <c r="L39" s="36" t="n">
        <v>1</v>
      </c>
      <c r="M39" s="36" t="inlineStr">
        <is>
          <t>Secondary</t>
        </is>
      </c>
      <c r="N39" s="39">
        <f>IFERROR(IF(ISNUMBER(SEARCH(D39,INDEX(Pages!$J$2:$J$829,MATCH(A39,Pages!$B$2:$B$829,0)))),"Yes","No"),"Page not found")</f>
        <v/>
      </c>
      <c r="O39" s="25" t="inlineStr">
        <is>
          <t>policyadvisor (cost page + calculator), ratehub (age table), policyme</t>
        </is>
      </c>
      <c r="P39" s="25" t="n"/>
    </row>
    <row r="40" ht="15" customHeight="1" s="22">
      <c r="A40" s="36" t="inlineStr">
        <is>
          <t>https://instasure.ca/condo-insurance/</t>
        </is>
      </c>
      <c r="B40" s="36" t="inlineStr">
        <is>
          <t>Product pillar</t>
        </is>
      </c>
      <c r="C40" s="36" t="inlineStr">
        <is>
          <t>Condo insurance</t>
        </is>
      </c>
      <c r="D40" s="36" t="inlineStr">
        <is>
          <t>condo insurance</t>
        </is>
      </c>
      <c r="E40" s="36" t="inlineStr">
        <is>
          <t>Nationwide</t>
        </is>
      </c>
      <c r="F40" s="36" t="n"/>
      <c r="G40" s="36" t="n"/>
      <c r="H40" s="37" t="n">
        <v>6600</v>
      </c>
      <c r="I40" s="36" t="n">
        <v>65</v>
      </c>
      <c r="J40" s="36" t="inlineStr">
        <is>
          <t>commercial</t>
        </is>
      </c>
      <c r="K40" s="36" t="inlineStr">
        <is>
          <t>property-core</t>
        </is>
      </c>
      <c r="L40" s="36" t="n">
        <v>1</v>
      </c>
      <c r="M40" s="36" t="inlineStr">
        <is>
          <t>Primary</t>
        </is>
      </c>
      <c r="N40" s="39">
        <f>IFERROR(IF(ISNUMBER(SEARCH(D40,INDEX(Pages!$J$2:$J$829,MATCH(A40,Pages!$B$2:$B$829,0)))),"Yes","No"),"Page not found")</f>
        <v/>
      </c>
      <c r="O40" s="25" t="inlineStr">
        <is>
          <t>sonnet, ratehub, rates.ca</t>
        </is>
      </c>
      <c r="P40" s="25" t="n"/>
    </row>
    <row r="41" ht="15" customHeight="1" s="22">
      <c r="A41" s="36" t="inlineStr">
        <is>
          <t>https://instasure.ca/condo-insurance/</t>
        </is>
      </c>
      <c r="B41" s="36" t="inlineStr">
        <is>
          <t>Product pillar</t>
        </is>
      </c>
      <c r="C41" s="36" t="inlineStr">
        <is>
          <t>Condo insurance</t>
        </is>
      </c>
      <c r="D41" s="36" t="inlineStr">
        <is>
          <t>condo insurance cost</t>
        </is>
      </c>
      <c r="E41" s="36" t="inlineStr">
        <is>
          <t>Nationwide</t>
        </is>
      </c>
      <c r="F41" s="36" t="n"/>
      <c r="G41" s="36" t="n"/>
      <c r="H41" s="37" t="n">
        <v>720</v>
      </c>
      <c r="I41" s="36" t="n">
        <v>40</v>
      </c>
      <c r="J41" s="36" t="inlineStr">
        <is>
          <t>informational</t>
        </is>
      </c>
      <c r="K41" s="36" t="inlineStr">
        <is>
          <t>property-cost</t>
        </is>
      </c>
      <c r="L41" s="36" t="n">
        <v>2</v>
      </c>
      <c r="M41" s="36" t="inlineStr">
        <is>
          <t>Secondary</t>
        </is>
      </c>
      <c r="N41" s="39">
        <f>IFERROR(IF(ISNUMBER(SEARCH(D41,INDEX(Pages!$J$2:$J$829,MATCH(A41,Pages!$B$2:$B$829,0)))),"Yes","No"),"Page not found")</f>
        <v/>
      </c>
      <c r="O41" s="25" t="inlineStr">
        <is>
          <t>ratehub, rates.ca</t>
        </is>
      </c>
      <c r="P41" s="25" t="n"/>
    </row>
    <row r="42" ht="15" customHeight="1" s="22">
      <c r="A42" s="36" t="inlineStr">
        <is>
          <t>https://instasure.ca/disability-insurance/</t>
        </is>
      </c>
      <c r="B42" s="36" t="inlineStr">
        <is>
          <t>Product pillar</t>
        </is>
      </c>
      <c r="C42" s="36" t="inlineStr">
        <is>
          <t>Disability insurance</t>
        </is>
      </c>
      <c r="D42" s="36" t="inlineStr">
        <is>
          <t>disability insurance</t>
        </is>
      </c>
      <c r="E42" s="36" t="inlineStr">
        <is>
          <t>Nationwide</t>
        </is>
      </c>
      <c r="F42" s="36" t="n"/>
      <c r="G42" s="36" t="n"/>
      <c r="H42" s="37" t="n">
        <v>4400</v>
      </c>
      <c r="I42" s="36" t="n">
        <v>60</v>
      </c>
      <c r="J42" s="36" t="inlineStr">
        <is>
          <t>commercial</t>
        </is>
      </c>
      <c r="K42" s="36" t="inlineStr">
        <is>
          <t>living-benefits</t>
        </is>
      </c>
      <c r="L42" s="36" t="n">
        <v>1</v>
      </c>
      <c r="M42" s="36" t="inlineStr">
        <is>
          <t>Primary</t>
        </is>
      </c>
      <c r="N42" s="39">
        <f>IFERROR(IF(ISNUMBER(SEARCH(D42,INDEX(Pages!$J$2:$J$829,MATCH(A42,Pages!$B$2:$B$829,0)))),"Yes","No"),"Page not found")</f>
        <v/>
      </c>
      <c r="O42" s="25" t="inlineStr">
        <is>
          <t>policyadvisor, sun life</t>
        </is>
      </c>
      <c r="P42" s="25" t="n"/>
    </row>
    <row r="43" ht="15" customHeight="1" s="22">
      <c r="A43" s="36" t="inlineStr">
        <is>
          <t>https://instasure.ca/disability-insurance/</t>
        </is>
      </c>
      <c r="B43" s="36" t="inlineStr">
        <is>
          <t>Product pillar</t>
        </is>
      </c>
      <c r="C43" s="36" t="inlineStr">
        <is>
          <t>Disability insurance</t>
        </is>
      </c>
      <c r="D43" s="36" t="inlineStr">
        <is>
          <t>long term disability insurance</t>
        </is>
      </c>
      <c r="E43" s="36" t="inlineStr">
        <is>
          <t>Nationwide</t>
        </is>
      </c>
      <c r="F43" s="36" t="n"/>
      <c r="G43" s="36" t="n"/>
      <c r="H43" s="37" t="n">
        <v>2900</v>
      </c>
      <c r="I43" s="36" t="n">
        <v>55</v>
      </c>
      <c r="J43" s="36" t="inlineStr">
        <is>
          <t>informational</t>
        </is>
      </c>
      <c r="K43" s="36" t="inlineStr">
        <is>
          <t>living-benefits</t>
        </is>
      </c>
      <c r="L43" s="36" t="n">
        <v>3</v>
      </c>
      <c r="M43" s="36" t="inlineStr">
        <is>
          <t>Secondary</t>
        </is>
      </c>
      <c r="N43" s="39">
        <f>IFERROR(IF(ISNUMBER(SEARCH(D43,INDEX(Pages!$J$2:$J$829,MATCH(A43,Pages!$B$2:$B$829,0)))),"Yes","No"),"Page not found")</f>
        <v/>
      </c>
      <c r="O43" s="25" t="inlineStr">
        <is>
          <t>policyadvisor</t>
        </is>
      </c>
      <c r="P43" s="25" t="inlineStr">
        <is>
          <t>Much of the volume is about group or claims; qualify carefully.</t>
        </is>
      </c>
    </row>
    <row r="44" ht="15" customHeight="1" s="22">
      <c r="A44" s="36" t="inlineStr">
        <is>
          <t>https://instasure.ca/quote/</t>
        </is>
      </c>
      <c r="B44" s="36" t="inlineStr">
        <is>
          <t>Static / tool</t>
        </is>
      </c>
      <c r="C44" s="36" t="inlineStr">
        <is>
          <t>Cross-product &amp; brand</t>
        </is>
      </c>
      <c r="D44" s="36" t="inlineStr">
        <is>
          <t>insurance quotes</t>
        </is>
      </c>
      <c r="E44" s="36" t="inlineStr">
        <is>
          <t>Nationwide</t>
        </is>
      </c>
      <c r="F44" s="36" t="n"/>
      <c r="G44" s="36" t="n"/>
      <c r="H44" s="37" t="n">
        <v>6600</v>
      </c>
      <c r="I44" s="36" t="n">
        <v>75</v>
      </c>
      <c r="J44" s="36" t="inlineStr">
        <is>
          <t>transactional</t>
        </is>
      </c>
      <c r="K44" s="36" t="inlineStr">
        <is>
          <t>brand-instant</t>
        </is>
      </c>
      <c r="L44" s="36" t="n">
        <v>1</v>
      </c>
      <c r="M44" s="36" t="inlineStr">
        <is>
          <t>Primary</t>
        </is>
      </c>
      <c r="N44" s="39">
        <f>IFERROR(IF(ISNUMBER(SEARCH(D44,INDEX(Pages!$J$2:$J$829,MATCH(A44,Pages!$B$2:$B$829,0)))),"Yes","No"),"Page not found")</f>
        <v/>
      </c>
      <c r="O44" s="25" t="inlineStr">
        <is>
          <t>ratehub, rates.ca, kanetix</t>
        </is>
      </c>
      <c r="P44" s="25" t="n"/>
    </row>
    <row r="45" ht="15" customHeight="1" s="22">
      <c r="A45" s="36" t="inlineStr">
        <is>
          <t>https://instasure.ca/quote/</t>
        </is>
      </c>
      <c r="B45" s="36" t="inlineStr">
        <is>
          <t>Static / tool</t>
        </is>
      </c>
      <c r="C45" s="36" t="inlineStr">
        <is>
          <t>Cross-product &amp; brand</t>
        </is>
      </c>
      <c r="D45" s="36" t="inlineStr">
        <is>
          <t>instant insurance quote</t>
        </is>
      </c>
      <c r="E45" s="36" t="inlineStr">
        <is>
          <t>Nationwide</t>
        </is>
      </c>
      <c r="F45" s="36" t="n"/>
      <c r="G45" s="36" t="n"/>
      <c r="H45" s="37" t="n">
        <v>320</v>
      </c>
      <c r="I45" s="36" t="n">
        <v>30</v>
      </c>
      <c r="J45" s="36" t="inlineStr">
        <is>
          <t>transactional</t>
        </is>
      </c>
      <c r="K45" s="36" t="inlineStr">
        <is>
          <t>brand-instant</t>
        </is>
      </c>
      <c r="L45" s="36" t="n">
        <v>1</v>
      </c>
      <c r="M45" s="36" t="inlineStr">
        <is>
          <t>Secondary</t>
        </is>
      </c>
      <c r="N45" s="39">
        <f>IFERROR(IF(ISNUMBER(SEARCH(D45,INDEX(Pages!$J$2:$J$829,MATCH(A45,Pages!$B$2:$B$829,0)))),"Yes","No"),"Page not found")</f>
        <v/>
      </c>
      <c r="O45" s="25" t="inlineStr">
        <is>
          <t>(fragmented)</t>
        </is>
      </c>
      <c r="P45" s="25" t="inlineStr">
        <is>
          <t>Brand-defining term for instasure.ca.</t>
        </is>
      </c>
    </row>
    <row r="46" ht="15" customHeight="1" s="22">
      <c r="A46" s="36" t="inlineStr">
        <is>
          <t>https://instasure.ca/guides/ontario-auto-insurance-changes-july-2026/</t>
        </is>
      </c>
      <c r="B46" s="36" t="inlineStr">
        <is>
          <t>Guide (blog)</t>
        </is>
      </c>
      <c r="C46" s="36" t="inlineStr">
        <is>
          <t>Car insurance</t>
        </is>
      </c>
      <c r="D46" s="36" t="inlineStr">
        <is>
          <t>ontario auto insurance changes 2026</t>
        </is>
      </c>
      <c r="E46" s="36" t="inlineStr">
        <is>
          <t>Provincial</t>
        </is>
      </c>
      <c r="F46" s="36" t="inlineStr">
        <is>
          <t>Ontario</t>
        </is>
      </c>
      <c r="G46" s="36" t="n"/>
      <c r="H46" s="37" t="n">
        <v>4400</v>
      </c>
      <c r="I46" s="36" t="n">
        <v>45</v>
      </c>
      <c r="J46" s="36" t="inlineStr">
        <is>
          <t>informational</t>
        </is>
      </c>
      <c r="K46" s="36" t="inlineStr">
        <is>
          <t>auto-regulation</t>
        </is>
      </c>
      <c r="L46" s="36" t="n">
        <v>1</v>
      </c>
      <c r="M46" s="36" t="inlineStr">
        <is>
          <t>Primary</t>
        </is>
      </c>
      <c r="N46" s="39">
        <f>IFERROR(IF(ISNUMBER(SEARCH(D46,INDEX(Pages!$J$2:$J$829,MATCH(A46,Pages!$B$2:$B$829,0)))),"Yes","No"),"Page not found")</f>
        <v/>
      </c>
      <c r="O46" s="25" t="inlineStr">
        <is>
          <t>rates.ca, ratelab, thinkinsure, intact, IBC, RIBO, CP24</t>
        </is>
      </c>
      <c r="P46" s="25" t="inlineStr">
        <is>
          <t>Every Ontario renewal from July 2026 to June 2027 forces the opt-out decision.</t>
        </is>
      </c>
    </row>
    <row r="47" ht="15" customHeight="1" s="22">
      <c r="A47" s="36" t="inlineStr">
        <is>
          <t>https://instasure.ca/guides/ontario-auto-insurance-changes-july-2026/</t>
        </is>
      </c>
      <c r="B47" s="36" t="inlineStr">
        <is>
          <t>Guide (blog)</t>
        </is>
      </c>
      <c r="C47" s="36" t="inlineStr">
        <is>
          <t>Car insurance</t>
        </is>
      </c>
      <c r="D47" s="36" t="inlineStr">
        <is>
          <t>optional accident benefits ontario</t>
        </is>
      </c>
      <c r="E47" s="36" t="inlineStr">
        <is>
          <t>Provincial</t>
        </is>
      </c>
      <c r="F47" s="36" t="inlineStr">
        <is>
          <t>Ontario</t>
        </is>
      </c>
      <c r="G47" s="36" t="n"/>
      <c r="H47" s="37" t="n">
        <v>1300</v>
      </c>
      <c r="I47" s="36" t="n">
        <v>35</v>
      </c>
      <c r="J47" s="36" t="inlineStr">
        <is>
          <t>informational</t>
        </is>
      </c>
      <c r="K47" s="36" t="inlineStr">
        <is>
          <t>auto-regulation</t>
        </is>
      </c>
      <c r="L47" s="36" t="n">
        <v>1</v>
      </c>
      <c r="M47" s="36" t="inlineStr">
        <is>
          <t>Secondary</t>
        </is>
      </c>
      <c r="N47" s="39">
        <f>IFERROR(IF(ISNUMBER(SEARCH(D47,INDEX(Pages!$J$2:$J$829,MATCH(A47,Pages!$B$2:$B$829,0)))),"Yes","No"),"Page not found")</f>
        <v/>
      </c>
      <c r="O47" s="25" t="inlineStr">
        <is>
          <t>intact, northbridge, thebig.ca</t>
        </is>
      </c>
      <c r="P47" s="25" t="n"/>
    </row>
    <row r="48" ht="15" customHeight="1" s="22">
      <c r="A48" s="36" t="inlineStr">
        <is>
          <t>https://instasure.ca/guides/ontario-auto-insurance-changes-july-2026/</t>
        </is>
      </c>
      <c r="B48" s="36" t="inlineStr">
        <is>
          <t>Guide (blog)</t>
        </is>
      </c>
      <c r="C48" s="36" t="inlineStr">
        <is>
          <t>Car insurance</t>
        </is>
      </c>
      <c r="D48" s="36" t="inlineStr">
        <is>
          <t>income replacement benefit ontario opt out</t>
        </is>
      </c>
      <c r="E48" s="36" t="inlineStr">
        <is>
          <t>Provincial</t>
        </is>
      </c>
      <c r="F48" s="36" t="inlineStr">
        <is>
          <t>Ontario</t>
        </is>
      </c>
      <c r="G48" s="36" t="n"/>
      <c r="H48" s="37" t="n">
        <v>480</v>
      </c>
      <c r="I48" s="36" t="n">
        <v>25</v>
      </c>
      <c r="J48" s="36" t="inlineStr">
        <is>
          <t>informational</t>
        </is>
      </c>
      <c r="K48" s="36" t="inlineStr">
        <is>
          <t>auto-regulation</t>
        </is>
      </c>
      <c r="L48" s="36" t="n">
        <v>1</v>
      </c>
      <c r="M48" s="36" t="inlineStr">
        <is>
          <t>Secondary</t>
        </is>
      </c>
      <c r="N48" s="39">
        <f>IFERROR(IF(ISNUMBER(SEARCH(D48,INDEX(Pages!$J$2:$J$829,MATCH(A48,Pages!$B$2:$B$829,0)))),"Yes","No"),"Page not found")</f>
        <v/>
      </c>
      <c r="O48" s="25" t="inlineStr">
        <is>
          <t>thebig.ca, thinkinsure</t>
        </is>
      </c>
      <c r="P48" s="25" t="inlineStr">
        <is>
          <t>Pair with the disability insurance page for self-employed drivers.</t>
        </is>
      </c>
    </row>
    <row r="49" ht="23.85" customHeight="1" s="22">
      <c r="A49" s="36" t="inlineStr">
        <is>
          <t>https://instasure.ca/motorcycle-insurance/</t>
        </is>
      </c>
      <c r="B49" s="36" t="inlineStr">
        <is>
          <t>Service page</t>
        </is>
      </c>
      <c r="C49" s="36" t="inlineStr">
        <is>
          <t>Recreational vehicles</t>
        </is>
      </c>
      <c r="D49" s="36" t="inlineStr">
        <is>
          <t>motorcycle insurance</t>
        </is>
      </c>
      <c r="E49" s="36" t="inlineStr">
        <is>
          <t>Nationwide</t>
        </is>
      </c>
      <c r="F49" s="36" t="n"/>
      <c r="G49" s="36" t="n"/>
      <c r="H49" s="37" t="n">
        <v>5400</v>
      </c>
      <c r="I49" s="36" t="n">
        <v>60</v>
      </c>
      <c r="J49" s="36" t="inlineStr">
        <is>
          <t>commercial</t>
        </is>
      </c>
      <c r="K49" s="36" t="inlineStr">
        <is>
          <t>auto-recreational</t>
        </is>
      </c>
      <c r="L49" s="36" t="n">
        <v>3</v>
      </c>
      <c r="M49" s="36" t="inlineStr">
        <is>
          <t>Primary</t>
        </is>
      </c>
      <c r="N49" s="39">
        <f>IFERROR(IF(ISNUMBER(SEARCH(D49,INDEX(Pages!$J$2:$J$829,MATCH(A49,Pages!$B$2:$B$829,0)))),"Yes","No"),"Page not found")</f>
        <v/>
      </c>
      <c r="O49" s="25" t="inlineStr">
        <is>
          <t>ratehub (ON, AB), rates.ca, insurer brands</t>
        </is>
      </c>
      <c r="P49" s="25" t="inlineStr">
        <is>
          <t>Seasonal: searches peak March to May. Province pages are the next step if quote volume justifies them.</t>
        </is>
      </c>
    </row>
    <row r="50" ht="15" customHeight="1" s="22">
      <c r="A50" s="36" t="inlineStr">
        <is>
          <t>https://instasure.ca/whole-life-insurance/</t>
        </is>
      </c>
      <c r="B50" s="36" t="inlineStr">
        <is>
          <t>Product pillar</t>
        </is>
      </c>
      <c r="C50" s="36" t="inlineStr">
        <is>
          <t>Life insurance</t>
        </is>
      </c>
      <c r="D50" s="36" t="inlineStr">
        <is>
          <t>whole life insurance</t>
        </is>
      </c>
      <c r="E50" s="36" t="inlineStr">
        <is>
          <t>Nationwide</t>
        </is>
      </c>
      <c r="F50" s="36" t="n"/>
      <c r="G50" s="36" t="n"/>
      <c r="H50" s="37" t="n">
        <v>5400</v>
      </c>
      <c r="I50" s="36" t="n">
        <v>70</v>
      </c>
      <c r="J50" s="36" t="inlineStr">
        <is>
          <t>commercial</t>
        </is>
      </c>
      <c r="K50" s="36" t="inlineStr">
        <is>
          <t>life-core</t>
        </is>
      </c>
      <c r="L50" s="36" t="n">
        <v>1</v>
      </c>
      <c r="M50" s="36" t="inlineStr">
        <is>
          <t>Primary</t>
        </is>
      </c>
      <c r="N50" s="39">
        <f>IFERROR(IF(ISNUMBER(SEARCH(D50,INDEX(Pages!$J$2:$J$829,MATCH(A50,Pages!$B$2:$B$829,0)))),"Yes","No"),"Page not found")</f>
        <v/>
      </c>
      <c r="O50" s="25" t="inlineStr">
        <is>
          <t>policyadvisor, sun life, ratehub</t>
        </is>
      </c>
      <c r="P50" s="25" t="n"/>
    </row>
    <row r="51" ht="23.85" customHeight="1" s="22">
      <c r="A51" s="36" t="inlineStr">
        <is>
          <t>https://instasure.ca/insights/rate-index/</t>
        </is>
      </c>
      <c r="B51" s="36" t="inlineStr">
        <is>
          <t>Static / tool</t>
        </is>
      </c>
      <c r="C51" s="36" t="inlineStr">
        <is>
          <t>Car insurance</t>
        </is>
      </c>
      <c r="D51" s="36" t="inlineStr">
        <is>
          <t>average car insurance cost canada</t>
        </is>
      </c>
      <c r="E51" s="36" t="inlineStr">
        <is>
          <t>Nationwide</t>
        </is>
      </c>
      <c r="F51" s="36" t="n"/>
      <c r="G51" s="36" t="n"/>
      <c r="H51" s="37" t="n">
        <v>2900</v>
      </c>
      <c r="I51" s="36" t="n">
        <v>55</v>
      </c>
      <c r="J51" s="36" t="inlineStr">
        <is>
          <t>informational</t>
        </is>
      </c>
      <c r="K51" s="36" t="inlineStr">
        <is>
          <t>auto-cost</t>
        </is>
      </c>
      <c r="L51" s="36" t="n">
        <v>1</v>
      </c>
      <c r="M51" s="36" t="inlineStr">
        <is>
          <t>Primary</t>
        </is>
      </c>
      <c r="N51" s="39">
        <f>IFERROR(IF(ISNUMBER(SEARCH(D51,INDEX(Pages!$J$2:$J$829,MATCH(A51,Pages!$B$2:$B$829,0)))),"Yes","No"),"Page not found")</f>
        <v/>
      </c>
      <c r="O51" s="25" t="inlineStr">
        <is>
          <t>ratehub, rates.ca, sonnet, hellosafe barometer</t>
        </is>
      </c>
      <c r="P51" s="25" t="inlineStr">
        <is>
          <t>Rate Index page. It stays noindex until a product × province cell has 25 quote requests; the province pages carry the published averages meanwhile.</t>
        </is>
      </c>
    </row>
    <row r="52" ht="15" customHeight="1" s="22">
      <c r="A52" s="36" t="inlineStr">
        <is>
          <t>https://instasure.ca/insights/rate-index/</t>
        </is>
      </c>
      <c r="B52" s="36" t="inlineStr">
        <is>
          <t>Static / tool</t>
        </is>
      </c>
      <c r="C52" s="36" t="inlineStr">
        <is>
          <t>Home insurance</t>
        </is>
      </c>
      <c r="D52" s="36" t="inlineStr">
        <is>
          <t>average home insurance cost canada</t>
        </is>
      </c>
      <c r="E52" s="36" t="inlineStr">
        <is>
          <t>Nationwide</t>
        </is>
      </c>
      <c r="F52" s="36" t="n"/>
      <c r="G52" s="36" t="n"/>
      <c r="H52" s="37" t="n">
        <v>1300</v>
      </c>
      <c r="I52" s="36" t="n">
        <v>50</v>
      </c>
      <c r="J52" s="36" t="inlineStr">
        <is>
          <t>informational</t>
        </is>
      </c>
      <c r="K52" s="36" t="inlineStr">
        <is>
          <t>property-cost</t>
        </is>
      </c>
      <c r="L52" s="36" t="n">
        <v>1</v>
      </c>
      <c r="M52" s="36" t="inlineStr">
        <is>
          <t>Secondary</t>
        </is>
      </c>
      <c r="N52" s="39">
        <f>IFERROR(IF(ISNUMBER(SEARCH(D52,INDEX(Pages!$J$2:$J$829,MATCH(A52,Pages!$B$2:$B$829,0)))),"Yes","No"),"Page not found")</f>
        <v/>
      </c>
      <c r="O52" s="25" t="inlineStr">
        <is>
          <t>ratehub, rates.ca</t>
        </is>
      </c>
      <c r="P52" s="25" t="n"/>
    </row>
    <row r="53" ht="15" customHeight="1" s="22">
      <c r="A53" s="36" t="inlineStr">
        <is>
          <t>https://instasure.ca/insights/rate-index/</t>
        </is>
      </c>
      <c r="B53" s="36" t="inlineStr">
        <is>
          <t>Static / tool</t>
        </is>
      </c>
      <c r="C53" s="36" t="inlineStr">
        <is>
          <t>Car insurance</t>
        </is>
      </c>
      <c r="D53" s="36" t="inlineStr">
        <is>
          <t>car insurance rates by province</t>
        </is>
      </c>
      <c r="E53" s="36" t="inlineStr">
        <is>
          <t>Nationwide</t>
        </is>
      </c>
      <c r="F53" s="36" t="n"/>
      <c r="G53" s="36" t="n"/>
      <c r="H53" s="37" t="n">
        <v>1000</v>
      </c>
      <c r="I53" s="36" t="n">
        <v>45</v>
      </c>
      <c r="J53" s="36" t="inlineStr">
        <is>
          <t>informational</t>
        </is>
      </c>
      <c r="K53" s="36" t="inlineStr">
        <is>
          <t>auto-cost</t>
        </is>
      </c>
      <c r="L53" s="36" t="n">
        <v>2</v>
      </c>
      <c r="M53" s="36" t="inlineStr">
        <is>
          <t>Secondary</t>
        </is>
      </c>
      <c r="N53" s="39">
        <f>IFERROR(IF(ISNUMBER(SEARCH(D53,INDEX(Pages!$J$2:$J$829,MATCH(A53,Pages!$B$2:$B$829,0)))),"Yes","No"),"Page not found")</f>
        <v/>
      </c>
      <c r="O53" s="25" t="inlineStr">
        <is>
          <t>sonnet, rates.ca</t>
        </is>
      </c>
      <c r="P53" s="25" t="n"/>
    </row>
    <row r="54" ht="15" customHeight="1" s="22">
      <c r="A54" s="36" t="inlineStr">
        <is>
          <t>https://instasure.ca/guides/does-home-insurance-cover-water-damage-canada/</t>
        </is>
      </c>
      <c r="B54" s="36" t="inlineStr">
        <is>
          <t>Guide (blog)</t>
        </is>
      </c>
      <c r="C54" s="36" t="inlineStr">
        <is>
          <t>Home insurance</t>
        </is>
      </c>
      <c r="D54" s="36" t="inlineStr">
        <is>
          <t>does home insurance cover water damage</t>
        </is>
      </c>
      <c r="E54" s="36" t="inlineStr">
        <is>
          <t>Nationwide</t>
        </is>
      </c>
      <c r="F54" s="36" t="n"/>
      <c r="G54" s="36" t="n"/>
      <c r="H54" s="37" t="n">
        <v>1600</v>
      </c>
      <c r="I54" s="36" t="n">
        <v>40</v>
      </c>
      <c r="J54" s="36" t="inlineStr">
        <is>
          <t>informational</t>
        </is>
      </c>
      <c r="K54" s="36" t="inlineStr">
        <is>
          <t>property-coverage</t>
        </is>
      </c>
      <c r="L54" s="36" t="n">
        <v>1</v>
      </c>
      <c r="M54" s="36" t="inlineStr">
        <is>
          <t>Primary</t>
        </is>
      </c>
      <c r="N54" s="39">
        <f>IFERROR(IF(ISNUMBER(SEARCH(D54,INDEX(Pages!$J$2:$J$829,MATCH(A54,Pages!$B$2:$B$829,0)))),"Yes","No"),"Page not found")</f>
        <v/>
      </c>
      <c r="O54" s="25" t="inlineStr">
        <is>
          <t>ratehub, CAA, RBC, westland</t>
        </is>
      </c>
      <c r="P54" s="25" t="inlineStr">
        <is>
          <t>Peaks after storms. A strong AI-citation format.</t>
        </is>
      </c>
    </row>
    <row r="55" ht="15" customHeight="1" s="22">
      <c r="A55" s="36" t="inlineStr">
        <is>
          <t>https://instasure.ca/guides/does-home-insurance-cover-water-damage-canada/</t>
        </is>
      </c>
      <c r="B55" s="36" t="inlineStr">
        <is>
          <t>Guide (blog)</t>
        </is>
      </c>
      <c r="C55" s="36" t="inlineStr">
        <is>
          <t>Home insurance</t>
        </is>
      </c>
      <c r="D55" s="36" t="inlineStr">
        <is>
          <t>flood insurance canada</t>
        </is>
      </c>
      <c r="E55" s="36" t="inlineStr">
        <is>
          <t>Nationwide</t>
        </is>
      </c>
      <c r="F55" s="36" t="n"/>
      <c r="G55" s="36" t="n"/>
      <c r="H55" s="37" t="n">
        <v>1300</v>
      </c>
      <c r="I55" s="36" t="n">
        <v>45</v>
      </c>
      <c r="J55" s="36" t="inlineStr">
        <is>
          <t>informational</t>
        </is>
      </c>
      <c r="K55" s="36" t="inlineStr">
        <is>
          <t>property-coverage</t>
        </is>
      </c>
      <c r="L55" s="36" t="n">
        <v>2</v>
      </c>
      <c r="M55" s="36" t="inlineStr">
        <is>
          <t>Secondary</t>
        </is>
      </c>
      <c r="N55" s="39">
        <f>IFERROR(IF(ISNUMBER(SEARCH(D55,INDEX(Pages!$J$2:$J$829,MATCH(A55,Pages!$B$2:$B$829,0)))),"Yes","No"),"Page not found")</f>
        <v/>
      </c>
      <c r="O55" s="25" t="inlineStr">
        <is>
          <t>money.ca, mychoice, IBC</t>
        </is>
      </c>
      <c r="P55" s="25" t="inlineStr">
        <is>
          <t>The national flood program is delayed. Planned: a tracker page.</t>
        </is>
      </c>
    </row>
    <row r="56" ht="15" customHeight="1" s="22">
      <c r="A56" s="36" t="inlineStr">
        <is>
          <t>https://instasure.ca/guides/does-home-insurance-cover-water-damage-canada/</t>
        </is>
      </c>
      <c r="B56" s="36" t="inlineStr">
        <is>
          <t>Guide (blog)</t>
        </is>
      </c>
      <c r="C56" s="36" t="inlineStr">
        <is>
          <t>Home insurance</t>
        </is>
      </c>
      <c r="D56" s="36" t="inlineStr">
        <is>
          <t>overland flood insurance</t>
        </is>
      </c>
      <c r="E56" s="36" t="inlineStr">
        <is>
          <t>Nationwide</t>
        </is>
      </c>
      <c r="F56" s="36" t="n"/>
      <c r="G56" s="36" t="n"/>
      <c r="H56" s="37" t="n">
        <v>880</v>
      </c>
      <c r="I56" s="36" t="n">
        <v>40</v>
      </c>
      <c r="J56" s="36" t="inlineStr">
        <is>
          <t>informational</t>
        </is>
      </c>
      <c r="K56" s="36" t="inlineStr">
        <is>
          <t>property-coverage</t>
        </is>
      </c>
      <c r="L56" s="36" t="n">
        <v>1</v>
      </c>
      <c r="M56" s="36" t="inlineStr">
        <is>
          <t>Secondary</t>
        </is>
      </c>
      <c r="N56" s="39">
        <f>IFERROR(IF(ISNUMBER(SEARCH(D56,INDEX(Pages!$J$2:$J$829,MATCH(A56,Pages!$B$2:$B$829,0)))),"Yes","No"),"Page not found")</f>
        <v/>
      </c>
      <c r="O56" s="25" t="inlineStr">
        <is>
          <t>ratehub, CAA</t>
        </is>
      </c>
      <c r="P56" s="25" t="n"/>
    </row>
    <row r="57" ht="15" customHeight="1" s="22">
      <c r="A57" s="36" t="inlineStr">
        <is>
          <t>https://instasure.ca/guides/does-home-insurance-cover-water-damage-canada/</t>
        </is>
      </c>
      <c r="B57" s="36" t="inlineStr">
        <is>
          <t>Guide (blog)</t>
        </is>
      </c>
      <c r="C57" s="36" t="inlineStr">
        <is>
          <t>Home insurance</t>
        </is>
      </c>
      <c r="D57" s="36" t="inlineStr">
        <is>
          <t>sewer backup insurance</t>
        </is>
      </c>
      <c r="E57" s="36" t="inlineStr">
        <is>
          <t>Nationwide</t>
        </is>
      </c>
      <c r="F57" s="36" t="n"/>
      <c r="G57" s="36" t="n"/>
      <c r="H57" s="37" t="n">
        <v>590</v>
      </c>
      <c r="I57" s="36" t="n">
        <v>35</v>
      </c>
      <c r="J57" s="36" t="inlineStr">
        <is>
          <t>informational</t>
        </is>
      </c>
      <c r="K57" s="36" t="inlineStr">
        <is>
          <t>property-coverage</t>
        </is>
      </c>
      <c r="L57" s="36" t="n">
        <v>2</v>
      </c>
      <c r="M57" s="36" t="inlineStr">
        <is>
          <t>Secondary</t>
        </is>
      </c>
      <c r="N57" s="39">
        <f>IFERROR(IF(ISNUMBER(SEARCH(D57,INDEX(Pages!$J$2:$J$829,MATCH(A57,Pages!$B$2:$B$829,0)))),"Yes","No"),"Page not found")</f>
        <v/>
      </c>
      <c r="O57" s="25" t="inlineStr">
        <is>
          <t>(brokers)</t>
        </is>
      </c>
      <c r="P57" s="25" t="n"/>
    </row>
    <row r="58" ht="15" customHeight="1" s="22">
      <c r="A58" s="36" t="inlineStr">
        <is>
          <t>https://instasure.ca/guides/does-home-insurance-cover-water-damage-canada/</t>
        </is>
      </c>
      <c r="B58" s="36" t="inlineStr">
        <is>
          <t>Guide (blog)</t>
        </is>
      </c>
      <c r="C58" s="36" t="inlineStr">
        <is>
          <t>Home insurance</t>
        </is>
      </c>
      <c r="D58" s="36" t="inlineStr">
        <is>
          <t>basement flood insurance toronto</t>
        </is>
      </c>
      <c r="E58" s="36" t="inlineStr">
        <is>
          <t>City</t>
        </is>
      </c>
      <c r="F58" s="36" t="inlineStr">
        <is>
          <t>Ontario</t>
        </is>
      </c>
      <c r="G58" s="36" t="inlineStr">
        <is>
          <t>Toronto</t>
        </is>
      </c>
      <c r="H58" s="37" t="n">
        <v>210</v>
      </c>
      <c r="I58" s="36" t="n">
        <v>25</v>
      </c>
      <c r="J58" s="36" t="inlineStr">
        <is>
          <t>local</t>
        </is>
      </c>
      <c r="K58" s="36" t="inlineStr">
        <is>
          <t>property-coverage</t>
        </is>
      </c>
      <c r="L58" s="36" t="n">
        <v>2</v>
      </c>
      <c r="M58" s="36" t="inlineStr">
        <is>
          <t>Secondary</t>
        </is>
      </c>
      <c r="N58" s="39">
        <f>IFERROR(IF(ISNUMBER(SEARCH(D58,INDEX(Pages!$J$2:$J$829,MATCH(A58,Pages!$B$2:$B$829,0)))),"Yes","No"),"Page not found")</f>
        <v/>
      </c>
      <c r="O58" s="25" t="inlineStr">
        <is>
          <t>mcdougall, brokers</t>
        </is>
      </c>
      <c r="P58" s="25" t="n"/>
    </row>
    <row r="59" ht="23.85" customHeight="1" s="22">
      <c r="A59" s="36" t="inlineStr">
        <is>
          <t>https://instasure.ca/life-insurance/funeral-expense/</t>
        </is>
      </c>
      <c r="B59" s="36" t="inlineStr">
        <is>
          <t>Service page</t>
        </is>
      </c>
      <c r="C59" s="36" t="inlineStr">
        <is>
          <t>Life insurance</t>
        </is>
      </c>
      <c r="D59" s="36" t="inlineStr">
        <is>
          <t>funeral insurance</t>
        </is>
      </c>
      <c r="E59" s="36" t="inlineStr">
        <is>
          <t>Nationwide</t>
        </is>
      </c>
      <c r="F59" s="36" t="n"/>
      <c r="G59" s="36" t="n"/>
      <c r="H59" s="37" t="n">
        <v>1900</v>
      </c>
      <c r="I59" s="36" t="n">
        <v>35</v>
      </c>
      <c r="J59" s="36" t="inlineStr">
        <is>
          <t>commercial</t>
        </is>
      </c>
      <c r="K59" s="36" t="inlineStr">
        <is>
          <t>life-audience</t>
        </is>
      </c>
      <c r="L59" s="36" t="n">
        <v>1</v>
      </c>
      <c r="M59" s="36" t="inlineStr">
        <is>
          <t>Primary</t>
        </is>
      </c>
      <c r="N59" s="39">
        <f>IFERROR(IF(ISNUMBER(SEARCH(D59,INDEX(Pages!$J$2:$J$829,MATCH(A59,Pages!$B$2:$B$829,0)))),"Yes","No"),"Page not found")</f>
        <v/>
      </c>
      <c r="O59" s="25" t="inlineStr">
        <is>
          <t>policyadvisor (final expense), sun life (funeral page), carrier direct plans</t>
        </is>
      </c>
      <c r="P59" s="25" t="inlineStr">
        <is>
          <t>Funeral expense desk. H1 "from $1 a day" is backed by a labelled example estimate (50-year-old female non-smoker, $10,000) and hides itself if the model rises above $1 a day.</t>
        </is>
      </c>
    </row>
    <row r="60" ht="15" customHeight="1" s="22">
      <c r="A60" s="36" t="inlineStr">
        <is>
          <t>https://instasure.ca/life-insurance/funeral-expense/</t>
        </is>
      </c>
      <c r="B60" s="36" t="inlineStr">
        <is>
          <t>Service page</t>
        </is>
      </c>
      <c r="C60" s="36" t="inlineStr">
        <is>
          <t>Life insurance</t>
        </is>
      </c>
      <c r="D60" s="36" t="inlineStr">
        <is>
          <t>funeral insurance canada</t>
        </is>
      </c>
      <c r="E60" s="36" t="inlineStr">
        <is>
          <t>Nationwide</t>
        </is>
      </c>
      <c r="F60" s="36" t="n"/>
      <c r="G60" s="36" t="n"/>
      <c r="H60" s="37" t="n">
        <v>880</v>
      </c>
      <c r="I60" s="36" t="n">
        <v>35</v>
      </c>
      <c r="J60" s="36" t="inlineStr">
        <is>
          <t>commercial</t>
        </is>
      </c>
      <c r="K60" s="36" t="inlineStr">
        <is>
          <t>life-audience</t>
        </is>
      </c>
      <c r="L60" s="36" t="n">
        <v>1</v>
      </c>
      <c r="M60" s="36" t="inlineStr">
        <is>
          <t>Secondary</t>
        </is>
      </c>
      <c r="N60" s="39">
        <f>IFERROR(IF(ISNUMBER(SEARCH(D60,INDEX(Pages!$J$2:$J$829,MATCH(A60,Pages!$B$2:$B$829,0)))),"Yes","No"),"Page not found")</f>
        <v/>
      </c>
      <c r="O60" s="25" t="inlineStr">
        <is>
          <t>policyadvisor, sun life</t>
        </is>
      </c>
      <c r="P60" s="25" t="n"/>
    </row>
    <row r="61" ht="15" customHeight="1" s="22">
      <c r="A61" s="36" t="inlineStr">
        <is>
          <t>https://instasure.ca/life-insurance/funeral-expense/</t>
        </is>
      </c>
      <c r="B61" s="36" t="inlineStr">
        <is>
          <t>Service page</t>
        </is>
      </c>
      <c r="C61" s="36" t="inlineStr">
        <is>
          <t>Life insurance</t>
        </is>
      </c>
      <c r="D61" s="36" t="inlineStr">
        <is>
          <t>burial insurance canada</t>
        </is>
      </c>
      <c r="E61" s="36" t="inlineStr">
        <is>
          <t>Nationwide</t>
        </is>
      </c>
      <c r="F61" s="36" t="n"/>
      <c r="G61" s="36" t="n"/>
      <c r="H61" s="37" t="n">
        <v>480</v>
      </c>
      <c r="I61" s="36" t="n">
        <v>30</v>
      </c>
      <c r="J61" s="36" t="inlineStr">
        <is>
          <t>commercial</t>
        </is>
      </c>
      <c r="K61" s="36" t="inlineStr">
        <is>
          <t>life-audience</t>
        </is>
      </c>
      <c r="L61" s="36" t="n">
        <v>2</v>
      </c>
      <c r="M61" s="36" t="inlineStr">
        <is>
          <t>Secondary</t>
        </is>
      </c>
      <c r="N61" s="39">
        <f>IFERROR(IF(ISNUMBER(SEARCH(D61,INDEX(Pages!$J$2:$J$829,MATCH(A61,Pages!$B$2:$B$829,0)))),"Yes","No"),"Page not found")</f>
        <v/>
      </c>
      <c r="O61" s="25" t="inlineStr">
        <is>
          <t>US-style phrasing, carrier direct plans</t>
        </is>
      </c>
      <c r="P61" s="25" t="inlineStr">
        <is>
          <t>Same page; use "burial" in an H2 and FAQ.</t>
        </is>
      </c>
    </row>
    <row r="62" ht="23.85" customHeight="1" s="22">
      <c r="A62" s="36" t="inlineStr">
        <is>
          <t>https://instasure.ca/life-insurance/funeral-expense/</t>
        </is>
      </c>
      <c r="B62" s="36" t="inlineStr">
        <is>
          <t>Service page</t>
        </is>
      </c>
      <c r="C62" s="36" t="inlineStr">
        <is>
          <t>Life insurance</t>
        </is>
      </c>
      <c r="D62" s="36" t="inlineStr">
        <is>
          <t>funeral expense insurance</t>
        </is>
      </c>
      <c r="E62" s="36" t="inlineStr">
        <is>
          <t>Nationwide</t>
        </is>
      </c>
      <c r="F62" s="36" t="n"/>
      <c r="G62" s="36" t="n"/>
      <c r="H62" s="37" t="n">
        <v>390</v>
      </c>
      <c r="I62" s="36" t="n">
        <v>30</v>
      </c>
      <c r="J62" s="36" t="inlineStr">
        <is>
          <t>commercial</t>
        </is>
      </c>
      <c r="K62" s="36" t="inlineStr">
        <is>
          <t>life-audience</t>
        </is>
      </c>
      <c r="L62" s="36" t="n">
        <v>1</v>
      </c>
      <c r="M62" s="36" t="inlineStr">
        <is>
          <t>Secondary</t>
        </is>
      </c>
      <c r="N62" s="39">
        <f>IFERROR(IF(ISNUMBER(SEARCH(D62,INDEX(Pages!$J$2:$J$829,MATCH(A62,Pages!$B$2:$B$829,0)))),"Yes","No"),"Page not found")</f>
        <v/>
      </c>
      <c r="O62" s="25" t="inlineStr">
        <is>
          <t>policyadvisor (final expense), ratehub (final expense)</t>
        </is>
      </c>
      <c r="P62" s="25" t="inlineStr">
        <is>
          <t>Page primary keyword (title, H1, slug). Final expense insurance keeps its own page; the two cross-link.</t>
        </is>
      </c>
    </row>
    <row r="63" ht="15" customHeight="1" s="22">
      <c r="A63" s="36" t="inlineStr">
        <is>
          <t>https://instasure.ca/life-insurance/funeral-expense/</t>
        </is>
      </c>
      <c r="B63" s="36" t="inlineStr">
        <is>
          <t>Service page</t>
        </is>
      </c>
      <c r="C63" s="36" t="inlineStr">
        <is>
          <t>Life insurance</t>
        </is>
      </c>
      <c r="D63" s="36" t="inlineStr">
        <is>
          <t>funeral insurance for seniors</t>
        </is>
      </c>
      <c r="E63" s="36" t="inlineStr">
        <is>
          <t>Nationwide</t>
        </is>
      </c>
      <c r="F63" s="36" t="n"/>
      <c r="G63" s="36" t="n"/>
      <c r="H63" s="37" t="n">
        <v>390</v>
      </c>
      <c r="I63" s="36" t="n">
        <v>30</v>
      </c>
      <c r="J63" s="36" t="inlineStr">
        <is>
          <t>commercial</t>
        </is>
      </c>
      <c r="K63" s="36" t="inlineStr">
        <is>
          <t>life-audience</t>
        </is>
      </c>
      <c r="L63" s="36" t="n">
        <v>2</v>
      </c>
      <c r="M63" s="36" t="inlineStr">
        <is>
          <t>Secondary</t>
        </is>
      </c>
      <c r="N63" s="39">
        <f>IFERROR(IF(ISNUMBER(SEARCH(D63,INDEX(Pages!$J$2:$J$829,MATCH(A63,Pages!$B$2:$B$829,0)))),"Yes","No"),"Page not found")</f>
        <v/>
      </c>
      <c r="O63" s="25" t="inlineStr">
        <is>
          <t>policyadvisor, sun life</t>
        </is>
      </c>
      <c r="P63" s="25" t="n"/>
    </row>
    <row r="64" ht="23.85" customHeight="1" s="22">
      <c r="A64" s="36" t="inlineStr">
        <is>
          <t>https://instasure.ca/life-insurance/funeral-expense/</t>
        </is>
      </c>
      <c r="B64" s="36" t="inlineStr">
        <is>
          <t>Service page</t>
        </is>
      </c>
      <c r="C64" s="36" t="inlineStr">
        <is>
          <t>Life insurance</t>
        </is>
      </c>
      <c r="D64" s="36" t="inlineStr">
        <is>
          <t>funeral insurance cost</t>
        </is>
      </c>
      <c r="E64" s="36" t="inlineStr">
        <is>
          <t>Nationwide</t>
        </is>
      </c>
      <c r="F64" s="36" t="n"/>
      <c r="G64" s="36" t="n"/>
      <c r="H64" s="37" t="n">
        <v>260</v>
      </c>
      <c r="I64" s="36" t="n">
        <v>25</v>
      </c>
      <c r="J64" s="36" t="inlineStr">
        <is>
          <t>commercial</t>
        </is>
      </c>
      <c r="K64" s="36" t="inlineStr">
        <is>
          <t>life-audience</t>
        </is>
      </c>
      <c r="L64" s="36" t="n">
        <v>2</v>
      </c>
      <c r="M64" s="36" t="inlineStr">
        <is>
          <t>Secondary</t>
        </is>
      </c>
      <c r="N64" s="39">
        <f>IFERROR(IF(ISNUMBER(SEARCH(D64,INDEX(Pages!$J$2:$J$829,MATCH(A64,Pages!$B$2:$B$829,0)))),"Yes","No"),"Page not found")</f>
        <v/>
      </c>
      <c r="O64" s="25" t="inlineStr">
        <is>
          <t>policyadvisor</t>
        </is>
      </c>
      <c r="P64" s="25" t="inlineStr">
        <is>
          <t>Answered by the example estimate and the quote flow (small-policy mode, $5,000 to $50,000).</t>
        </is>
      </c>
    </row>
    <row r="65" ht="15" customHeight="1" s="22">
      <c r="A65" s="36" t="inlineStr">
        <is>
          <t>https://instasure.ca/life-insurance/funeral-expense/</t>
        </is>
      </c>
      <c r="B65" s="36" t="inlineStr">
        <is>
          <t>Service page</t>
        </is>
      </c>
      <c r="C65" s="36" t="inlineStr">
        <is>
          <t>Life insurance</t>
        </is>
      </c>
      <c r="D65" s="36" t="inlineStr">
        <is>
          <t>funeral insurance no medical</t>
        </is>
      </c>
      <c r="E65" s="36" t="inlineStr">
        <is>
          <t>Nationwide</t>
        </is>
      </c>
      <c r="F65" s="36" t="n"/>
      <c r="G65" s="36" t="n"/>
      <c r="H65" s="37" t="n">
        <v>210</v>
      </c>
      <c r="I65" s="36" t="n">
        <v>25</v>
      </c>
      <c r="J65" s="36" t="inlineStr">
        <is>
          <t>commercial</t>
        </is>
      </c>
      <c r="K65" s="36" t="inlineStr">
        <is>
          <t>life-instant</t>
        </is>
      </c>
      <c r="L65" s="36" t="n">
        <v>2</v>
      </c>
      <c r="M65" s="36" t="inlineStr">
        <is>
          <t>Secondary</t>
        </is>
      </c>
      <c r="N65" s="39">
        <f>IFERROR(IF(ISNUMBER(SEARCH(D65,INDEX(Pages!$J$2:$J$829,MATCH(A65,Pages!$B$2:$B$829,0)))),"Yes","No"),"Page not found")</f>
        <v/>
      </c>
      <c r="O65" s="25" t="inlineStr">
        <is>
          <t>policyadvisor, sun life go guaranteed</t>
        </is>
      </c>
      <c r="P65" s="25" t="n"/>
    </row>
    <row r="66" ht="15" customHeight="1" s="22">
      <c r="A66" s="36" t="inlineStr">
        <is>
          <t>https://instasure.ca/car-insurance/alberta/</t>
        </is>
      </c>
      <c r="B66" s="36" t="inlineStr">
        <is>
          <t>Product × province</t>
        </is>
      </c>
      <c r="C66" s="36" t="inlineStr">
        <is>
          <t>Car insurance</t>
        </is>
      </c>
      <c r="D66" s="36" t="inlineStr">
        <is>
          <t>car insurance alberta</t>
        </is>
      </c>
      <c r="E66" s="36" t="inlineStr">
        <is>
          <t>Provincial</t>
        </is>
      </c>
      <c r="F66" s="36" t="inlineStr">
        <is>
          <t>Alberta</t>
        </is>
      </c>
      <c r="G66" s="36" t="n"/>
      <c r="H66" s="37" t="n">
        <v>4500</v>
      </c>
      <c r="I66" s="36" t="n">
        <v>67</v>
      </c>
      <c r="J66" s="36" t="inlineStr">
        <is>
          <t>commercial</t>
        </is>
      </c>
      <c r="K66" s="36" t="inlineStr">
        <is>
          <t>auto-province</t>
        </is>
      </c>
      <c r="L66" s="36" t="n">
        <v>1</v>
      </c>
      <c r="M66" s="36" t="inlineStr">
        <is>
          <t>Primary</t>
        </is>
      </c>
      <c r="N66" s="39">
        <f>IFERROR(IF(ISNUMBER(SEARCH(D66,INDEX(Pages!$J$2:$J$829,MATCH(A66,Pages!$B$2:$B$829,0)))),"Yes","No"),"Page not found")</f>
        <v/>
      </c>
      <c r="O66" s="25" t="inlineStr">
        <is>
          <t>ratehub, rates.ca</t>
        </is>
      </c>
      <c r="P66" s="25" t="n"/>
    </row>
    <row r="67" ht="23.85" customHeight="1" s="22">
      <c r="A67" s="36" t="inlineStr">
        <is>
          <t>https://instasure.ca/car-insurance/ontario/brampton/</t>
        </is>
      </c>
      <c r="B67" s="36" t="inlineStr">
        <is>
          <t>Product × city</t>
        </is>
      </c>
      <c r="C67" s="36" t="inlineStr">
        <is>
          <t>Car insurance</t>
        </is>
      </c>
      <c r="D67" s="36" t="inlineStr">
        <is>
          <t>car insurance brampton</t>
        </is>
      </c>
      <c r="E67" s="36" t="inlineStr">
        <is>
          <t>City</t>
        </is>
      </c>
      <c r="F67" s="36" t="inlineStr">
        <is>
          <t>Ontario</t>
        </is>
      </c>
      <c r="G67" s="36" t="inlineStr">
        <is>
          <t>Brampton</t>
        </is>
      </c>
      <c r="H67" s="37" t="n">
        <v>2900</v>
      </c>
      <c r="I67" s="36" t="n">
        <v>76</v>
      </c>
      <c r="J67" s="36" t="inlineStr">
        <is>
          <t>local</t>
        </is>
      </c>
      <c r="K67" s="36" t="inlineStr">
        <is>
          <t>auto-local</t>
        </is>
      </c>
      <c r="L67" s="36" t="n">
        <v>1</v>
      </c>
      <c r="M67" s="36" t="inlineStr">
        <is>
          <t>Primary</t>
        </is>
      </c>
      <c r="N67" s="39">
        <f>IFERROR(IF(ISNUMBER(SEARCH(D67,INDEX(Pages!$J$2:$J$829,MATCH(A67,Pages!$B$2:$B$829,0)))),"Yes","No"),"Page not found")</f>
        <v/>
      </c>
      <c r="O67" s="25" t="inlineStr">
        <is>
          <t>ratehub, rates.ca, mychoice/squareone/thinkinsure</t>
        </is>
      </c>
      <c r="P67" s="25" t="inlineStr">
        <is>
          <t>Competitor city pages here are thin or carry stale dates (October 2026 review): freshness opening.</t>
        </is>
      </c>
    </row>
    <row r="68" ht="15" customHeight="1" s="22">
      <c r="A68" s="36" t="inlineStr">
        <is>
          <t>https://instasure.ca/car-insurance/ontario/brampton/</t>
        </is>
      </c>
      <c r="B68" s="36" t="inlineStr">
        <is>
          <t>Product × city</t>
        </is>
      </c>
      <c r="C68" s="36" t="inlineStr">
        <is>
          <t>Car insurance</t>
        </is>
      </c>
      <c r="D68" s="36" t="inlineStr">
        <is>
          <t>cheap car insurance brampton</t>
        </is>
      </c>
      <c r="E68" s="36" t="inlineStr">
        <is>
          <t>City</t>
        </is>
      </c>
      <c r="F68" s="36" t="inlineStr">
        <is>
          <t>Ontario</t>
        </is>
      </c>
      <c r="G68" s="36" t="inlineStr">
        <is>
          <t>Brampton</t>
        </is>
      </c>
      <c r="H68" s="37" t="n">
        <v>1000</v>
      </c>
      <c r="I68" s="36" t="n">
        <v>71</v>
      </c>
      <c r="J68" s="36" t="inlineStr">
        <is>
          <t>transactional</t>
        </is>
      </c>
      <c r="K68" s="36" t="inlineStr">
        <is>
          <t>auto-local</t>
        </is>
      </c>
      <c r="L68" s="36" t="n">
        <v>2</v>
      </c>
      <c r="M68" s="36" t="inlineStr">
        <is>
          <t>Secondary</t>
        </is>
      </c>
      <c r="N68" s="39">
        <f>IFERROR(IF(ISNUMBER(SEARCH(D68,INDEX(Pages!$J$2:$J$829,MATCH(A68,Pages!$B$2:$B$829,0)))),"Yes","No"),"Page not found")</f>
        <v/>
      </c>
      <c r="O68" s="25" t="inlineStr">
        <is>
          <t>ratehub, rates.ca, mychoice/squareone/thinkinsure</t>
        </is>
      </c>
      <c r="P68" s="25" t="inlineStr">
        <is>
          <t>Rates.ca titles lead with "Cheap"; answer with factors and FSA data, not a price promise.</t>
        </is>
      </c>
    </row>
    <row r="69" ht="23.85" customHeight="1" s="22">
      <c r="A69" s="36" t="inlineStr">
        <is>
          <t>https://instasure.ca/car-insurance/ontario/brampton/</t>
        </is>
      </c>
      <c r="B69" s="36" t="inlineStr">
        <is>
          <t>Product × city</t>
        </is>
      </c>
      <c r="C69" s="36" t="inlineStr">
        <is>
          <t>Car insurance</t>
        </is>
      </c>
      <c r="D69" s="36" t="inlineStr">
        <is>
          <t>how much is car insurance in brampton</t>
        </is>
      </c>
      <c r="E69" s="36" t="inlineStr">
        <is>
          <t>City</t>
        </is>
      </c>
      <c r="F69" s="36" t="inlineStr">
        <is>
          <t>Ontario</t>
        </is>
      </c>
      <c r="G69" s="36" t="inlineStr">
        <is>
          <t>Brampton</t>
        </is>
      </c>
      <c r="H69" s="37" t="n">
        <v>570</v>
      </c>
      <c r="I69" s="36" t="n">
        <v>71</v>
      </c>
      <c r="J69" s="36" t="inlineStr">
        <is>
          <t>informational</t>
        </is>
      </c>
      <c r="K69" s="36" t="inlineStr">
        <is>
          <t>auto-local</t>
        </is>
      </c>
      <c r="L69" s="36" t="n">
        <v>2</v>
      </c>
      <c r="M69" s="36" t="inlineStr">
        <is>
          <t>Secondary</t>
        </is>
      </c>
      <c r="N69" s="39">
        <f>IFERROR(IF(ISNUMBER(SEARCH(D69,INDEX(Pages!$J$2:$J$829,MATCH(A69,Pages!$B$2:$B$829,0)))),"Yes","No"),"Page not found")</f>
        <v/>
      </c>
      <c r="O69" s="25" t="inlineStr">
        <is>
          <t>ratehub, rates.ca, mychoice/squareone/thinkinsure</t>
        </is>
      </c>
      <c r="P69" s="25" t="inlineStr">
        <is>
          <t>Ratehub ranks a blog post for this. The city page answers it in the first two sentences with a dated average.</t>
        </is>
      </c>
    </row>
    <row r="70" ht="15" customHeight="1" s="22">
      <c r="A70" s="36" t="inlineStr">
        <is>
          <t>https://instasure.ca/quote/life-insurance/</t>
        </is>
      </c>
      <c r="B70" s="36" t="inlineStr">
        <is>
          <t>(not a live page)</t>
        </is>
      </c>
      <c r="C70" s="36" t="inlineStr">
        <is>
          <t>Life insurance</t>
        </is>
      </c>
      <c r="D70" s="36" t="inlineStr">
        <is>
          <t>life insurance quotes</t>
        </is>
      </c>
      <c r="E70" s="36" t="inlineStr">
        <is>
          <t>Nationwide</t>
        </is>
      </c>
      <c r="F70" s="36" t="n"/>
      <c r="G70" s="36" t="n"/>
      <c r="H70" s="37" t="n">
        <v>4400</v>
      </c>
      <c r="I70" s="36" t="n">
        <v>70</v>
      </c>
      <c r="J70" s="36" t="inlineStr">
        <is>
          <t>transactional</t>
        </is>
      </c>
      <c r="K70" s="36" t="inlineStr">
        <is>
          <t>life-core</t>
        </is>
      </c>
      <c r="L70" s="36" t="n">
        <v>1</v>
      </c>
      <c r="M70" s="36" t="inlineStr">
        <is>
          <t>Primary</t>
        </is>
      </c>
      <c r="N70" s="39">
        <f>IFERROR(IF(ISNUMBER(SEARCH(D70,INDEX(Pages!$J$2:$J$829,MATCH(A70,Pages!$B$2:$B$829,0)))),"Yes","No"),"Page not found")</f>
        <v/>
      </c>
      <c r="O70" s="25" t="inlineStr">
        <is>
          <t>policyadvisor ("instantly"), policyme, ratehub, sun life</t>
        </is>
      </c>
      <c r="P70" s="25" t="inlineStr">
        <is>
          <t>Money term: instant estimate, then a licensed advisor.</t>
        </is>
      </c>
    </row>
    <row r="71" ht="15" customHeight="1" s="22">
      <c r="A71" s="36" t="inlineStr">
        <is>
          <t>https://instasure.ca/travel-insurance/visitors-to-canada/</t>
        </is>
      </c>
      <c r="B71" s="36" t="inlineStr">
        <is>
          <t>Service page</t>
        </is>
      </c>
      <c r="C71" s="36" t="inlineStr">
        <is>
          <t>Super Visa &amp; visitors insurance</t>
        </is>
      </c>
      <c r="D71" s="36" t="inlineStr">
        <is>
          <t>visitors insurance canada</t>
        </is>
      </c>
      <c r="E71" s="36" t="inlineStr">
        <is>
          <t>Nationwide</t>
        </is>
      </c>
      <c r="F71" s="36" t="n"/>
      <c r="G71" s="36" t="n"/>
      <c r="H71" s="37" t="n">
        <v>4400</v>
      </c>
      <c r="I71" s="36" t="n">
        <v>55</v>
      </c>
      <c r="J71" s="36" t="inlineStr">
        <is>
          <t>transactional</t>
        </is>
      </c>
      <c r="K71" s="36" t="inlineStr">
        <is>
          <t>travel-visitors</t>
        </is>
      </c>
      <c r="L71" s="36" t="n">
        <v>2</v>
      </c>
      <c r="M71" s="36" t="inlineStr">
        <is>
          <t>Primary</t>
        </is>
      </c>
      <c r="N71" s="39">
        <f>IFERROR(IF(ISNUMBER(SEARCH(D71,INDEX(Pages!$J$2:$J$829,MATCH(A71,Pages!$B$2:$B$829,0)))),"Yes","No"),"Page not found")</f>
        <v/>
      </c>
      <c r="O71" s="25" t="inlineStr">
        <is>
          <t>ratehub, rates.ca, policyadvisor, sun life</t>
        </is>
      </c>
      <c r="P71" s="25" t="inlineStr">
        <is>
          <t>Built: dedicated visitors page. The super visa page covers the mandatory case.</t>
        </is>
      </c>
    </row>
    <row r="72" ht="15" customHeight="1" s="22">
      <c r="A72" s="36" t="inlineStr">
        <is>
          <t>https://instasure.ca/car-insurance/alberta/calgary/</t>
        </is>
      </c>
      <c r="B72" s="36" t="inlineStr">
        <is>
          <t>Product × city</t>
        </is>
      </c>
      <c r="C72" s="36" t="inlineStr">
        <is>
          <t>Car insurance</t>
        </is>
      </c>
      <c r="D72" s="36" t="inlineStr">
        <is>
          <t>car insurance calgary</t>
        </is>
      </c>
      <c r="E72" s="36" t="inlineStr">
        <is>
          <t>City</t>
        </is>
      </c>
      <c r="F72" s="36" t="inlineStr">
        <is>
          <t>Alberta</t>
        </is>
      </c>
      <c r="G72" s="36" t="inlineStr">
        <is>
          <t>Calgary</t>
        </is>
      </c>
      <c r="H72" s="37" t="n">
        <v>2800</v>
      </c>
      <c r="I72" s="36" t="n">
        <v>76</v>
      </c>
      <c r="J72" s="36" t="inlineStr">
        <is>
          <t>local</t>
        </is>
      </c>
      <c r="K72" s="36" t="inlineStr">
        <is>
          <t>auto-local</t>
        </is>
      </c>
      <c r="L72" s="36" t="n">
        <v>1</v>
      </c>
      <c r="M72" s="36" t="inlineStr">
        <is>
          <t>Primary</t>
        </is>
      </c>
      <c r="N72" s="39">
        <f>IFERROR(IF(ISNUMBER(SEARCH(D72,INDEX(Pages!$J$2:$J$829,MATCH(A72,Pages!$B$2:$B$829,0)))),"Yes","No"),"Page not found")</f>
        <v/>
      </c>
      <c r="O72" s="25" t="inlineStr">
        <is>
          <t>ratehub, rates.ca</t>
        </is>
      </c>
      <c r="P72" s="25" t="n"/>
    </row>
    <row r="73" ht="15" customHeight="1" s="22">
      <c r="A73" s="36" t="inlineStr">
        <is>
          <t>https://instasure.ca/car-insurance/alberta/calgary/</t>
        </is>
      </c>
      <c r="B73" s="36" t="inlineStr">
        <is>
          <t>Product × city</t>
        </is>
      </c>
      <c r="C73" s="36" t="inlineStr">
        <is>
          <t>Car insurance</t>
        </is>
      </c>
      <c r="D73" s="36" t="inlineStr">
        <is>
          <t>cheap car insurance calgary</t>
        </is>
      </c>
      <c r="E73" s="36" t="inlineStr">
        <is>
          <t>City</t>
        </is>
      </c>
      <c r="F73" s="36" t="inlineStr">
        <is>
          <t>Alberta</t>
        </is>
      </c>
      <c r="G73" s="36" t="inlineStr">
        <is>
          <t>Calgary</t>
        </is>
      </c>
      <c r="H73" s="37" t="n">
        <v>970</v>
      </c>
      <c r="I73" s="36" t="n">
        <v>71</v>
      </c>
      <c r="J73" s="36" t="inlineStr">
        <is>
          <t>transactional</t>
        </is>
      </c>
      <c r="K73" s="36" t="inlineStr">
        <is>
          <t>auto-local</t>
        </is>
      </c>
      <c r="L73" s="36" t="n">
        <v>2</v>
      </c>
      <c r="M73" s="36" t="inlineStr">
        <is>
          <t>Secondary</t>
        </is>
      </c>
      <c r="N73" s="39">
        <f>IFERROR(IF(ISNUMBER(SEARCH(D73,INDEX(Pages!$J$2:$J$829,MATCH(A73,Pages!$B$2:$B$829,0)))),"Yes","No"),"Page not found")</f>
        <v/>
      </c>
      <c r="O73" s="25" t="inlineStr">
        <is>
          <t>ratehub, rates.ca</t>
        </is>
      </c>
      <c r="P73" s="25" t="inlineStr">
        <is>
          <t>Rates.ca titles lead with "Cheap"; answer with factors and FSA data, not a price promise.</t>
        </is>
      </c>
    </row>
    <row r="74" ht="23.85" customHeight="1" s="22">
      <c r="A74" s="36" t="inlineStr">
        <is>
          <t>https://instasure.ca/car-insurance/alberta/calgary/</t>
        </is>
      </c>
      <c r="B74" s="36" t="inlineStr">
        <is>
          <t>Product × city</t>
        </is>
      </c>
      <c r="C74" s="36" t="inlineStr">
        <is>
          <t>Car insurance</t>
        </is>
      </c>
      <c r="D74" s="36" t="inlineStr">
        <is>
          <t>how much is car insurance in calgary</t>
        </is>
      </c>
      <c r="E74" s="36" t="inlineStr">
        <is>
          <t>City</t>
        </is>
      </c>
      <c r="F74" s="36" t="inlineStr">
        <is>
          <t>Alberta</t>
        </is>
      </c>
      <c r="G74" s="36" t="inlineStr">
        <is>
          <t>Calgary</t>
        </is>
      </c>
      <c r="H74" s="37" t="n">
        <v>550</v>
      </c>
      <c r="I74" s="36" t="n">
        <v>71</v>
      </c>
      <c r="J74" s="36" t="inlineStr">
        <is>
          <t>informational</t>
        </is>
      </c>
      <c r="K74" s="36" t="inlineStr">
        <is>
          <t>auto-local</t>
        </is>
      </c>
      <c r="L74" s="36" t="n">
        <v>3</v>
      </c>
      <c r="M74" s="36" t="inlineStr">
        <is>
          <t>Secondary</t>
        </is>
      </c>
      <c r="N74" s="39">
        <f>IFERROR(IF(ISNUMBER(SEARCH(D74,INDEX(Pages!$J$2:$J$829,MATCH(A74,Pages!$B$2:$B$829,0)))),"Yes","No"),"Page not found")</f>
        <v/>
      </c>
      <c r="O74" s="25" t="inlineStr">
        <is>
          <t>ratehub, rates.ca</t>
        </is>
      </c>
      <c r="P74" s="25" t="inlineStr">
        <is>
          <t>Ratehub ranks a blog post for this. The city page answers it in the first two sentences with a dated average.</t>
        </is>
      </c>
    </row>
    <row r="75" ht="15" customHeight="1" s="22">
      <c r="A75" s="36" t="inlineStr">
        <is>
          <t>https://instasure.ca/calculators/life-insurance-needs/</t>
        </is>
      </c>
      <c r="B75" s="36" t="inlineStr">
        <is>
          <t>Static / tool</t>
        </is>
      </c>
      <c r="C75" s="36" t="inlineStr">
        <is>
          <t>Life insurance</t>
        </is>
      </c>
      <c r="D75" s="36" t="inlineStr">
        <is>
          <t>life insurance calculator</t>
        </is>
      </c>
      <c r="E75" s="36" t="inlineStr">
        <is>
          <t>Nationwide</t>
        </is>
      </c>
      <c r="F75" s="36" t="n"/>
      <c r="G75" s="36" t="n"/>
      <c r="H75" s="37" t="n">
        <v>2400</v>
      </c>
      <c r="I75" s="36" t="n">
        <v>60</v>
      </c>
      <c r="J75" s="36" t="inlineStr">
        <is>
          <t>transactional</t>
        </is>
      </c>
      <c r="K75" s="36" t="inlineStr">
        <is>
          <t>life-tools</t>
        </is>
      </c>
      <c r="L75" s="36" t="n">
        <v>1</v>
      </c>
      <c r="M75" s="36" t="inlineStr">
        <is>
          <t>Primary</t>
        </is>
      </c>
      <c r="N75" s="39">
        <f>IFERROR(IF(ISNUMBER(SEARCH(D75,INDEX(Pages!$J$2:$J$829,MATCH(A75,Pages!$B$2:$B$829,0)))),"Yes","No"),"Page not found")</f>
        <v/>
      </c>
      <c r="O75" s="25" t="inlineStr">
        <is>
          <t>sun life, policyadvisor (standalone), policyme, hardbacon</t>
        </is>
      </c>
      <c r="P75" s="25" t="n"/>
    </row>
    <row r="76" ht="15" customHeight="1" s="22">
      <c r="A76" s="36" t="inlineStr">
        <is>
          <t>https://instasure.ca/calculators/life-insurance-needs/</t>
        </is>
      </c>
      <c r="B76" s="36" t="inlineStr">
        <is>
          <t>Static / tool</t>
        </is>
      </c>
      <c r="C76" s="36" t="inlineStr">
        <is>
          <t>Life insurance</t>
        </is>
      </c>
      <c r="D76" s="36" t="inlineStr">
        <is>
          <t>how much life insurance do i need</t>
        </is>
      </c>
      <c r="E76" s="36" t="inlineStr">
        <is>
          <t>Nationwide</t>
        </is>
      </c>
      <c r="F76" s="36" t="n"/>
      <c r="G76" s="36" t="n"/>
      <c r="H76" s="37" t="n">
        <v>1900</v>
      </c>
      <c r="I76" s="36" t="n">
        <v>55</v>
      </c>
      <c r="J76" s="36" t="inlineStr">
        <is>
          <t>informational</t>
        </is>
      </c>
      <c r="K76" s="36" t="inlineStr">
        <is>
          <t>life-tools</t>
        </is>
      </c>
      <c r="L76" s="36" t="n">
        <v>1</v>
      </c>
      <c r="M76" s="36" t="inlineStr">
        <is>
          <t>Secondary</t>
        </is>
      </c>
      <c r="N76" s="39">
        <f>IFERROR(IF(ISNUMBER(SEARCH(D76,INDEX(Pages!$J$2:$J$829,MATCH(A76,Pages!$B$2:$B$829,0)))),"Yes","No"),"Page not found")</f>
        <v/>
      </c>
      <c r="O76" s="25" t="inlineStr">
        <is>
          <t>policyme, ratehub, policyadvisor</t>
        </is>
      </c>
      <c r="P76" s="25" t="inlineStr">
        <is>
          <t>Guide twin: /guides/how-much-life-insurance-do-i-need-canada/.</t>
        </is>
      </c>
    </row>
    <row r="77" ht="23.85" customHeight="1" s="22">
      <c r="A77" s="36" t="inlineStr">
        <is>
          <t>https://instasure.ca/guides/alberta-car-insurance-2026-care-first/</t>
        </is>
      </c>
      <c r="B77" s="36" t="inlineStr">
        <is>
          <t>Guide (blog)</t>
        </is>
      </c>
      <c r="C77" s="36" t="inlineStr">
        <is>
          <t>Car insurance</t>
        </is>
      </c>
      <c r="D77" s="36" t="inlineStr">
        <is>
          <t>alberta car insurance increase 2026</t>
        </is>
      </c>
      <c r="E77" s="36" t="inlineStr">
        <is>
          <t>Provincial</t>
        </is>
      </c>
      <c r="F77" s="36" t="inlineStr">
        <is>
          <t>Alberta</t>
        </is>
      </c>
      <c r="G77" s="36" t="n"/>
      <c r="H77" s="37" t="n">
        <v>1900</v>
      </c>
      <c r="I77" s="36" t="n">
        <v>35</v>
      </c>
      <c r="J77" s="36" t="inlineStr">
        <is>
          <t>informational</t>
        </is>
      </c>
      <c r="K77" s="36" t="inlineStr">
        <is>
          <t>auto-regulation</t>
        </is>
      </c>
      <c r="L77" s="36" t="n">
        <v>1</v>
      </c>
      <c r="M77" s="36" t="inlineStr">
        <is>
          <t>Primary</t>
        </is>
      </c>
      <c r="N77" s="39">
        <f>IFERROR(IF(ISNUMBER(SEARCH(D77,INDEX(Pages!$J$2:$J$829,MATCH(A77,Pages!$B$2:$B$829,0)))),"Yes","No"),"Page not found")</f>
        <v/>
      </c>
      <c r="O77" s="25" t="inlineStr">
        <is>
          <t>globalnews, daily hive, brokers</t>
        </is>
      </c>
      <c r="P77" s="25" t="inlineStr">
        <is>
          <t>Alberta auto premiums rose 22.6% year over year in Q2 2026 (Applied, verify). Few aggregator pages.</t>
        </is>
      </c>
    </row>
    <row r="78" ht="15" customHeight="1" s="22">
      <c r="A78" s="36" t="inlineStr">
        <is>
          <t>https://instasure.ca/guides/alberta-car-insurance-2026-care-first/</t>
        </is>
      </c>
      <c r="B78" s="36" t="inlineStr">
        <is>
          <t>Guide (blog)</t>
        </is>
      </c>
      <c r="C78" s="36" t="inlineStr">
        <is>
          <t>Car insurance</t>
        </is>
      </c>
      <c r="D78" s="36" t="inlineStr">
        <is>
          <t>care first auto insurance alberta</t>
        </is>
      </c>
      <c r="E78" s="36" t="inlineStr">
        <is>
          <t>Provincial</t>
        </is>
      </c>
      <c r="F78" s="36" t="inlineStr">
        <is>
          <t>Alberta</t>
        </is>
      </c>
      <c r="G78" s="36" t="n"/>
      <c r="H78" s="37" t="n">
        <v>1600</v>
      </c>
      <c r="I78" s="36" t="n">
        <v>30</v>
      </c>
      <c r="J78" s="36" t="inlineStr">
        <is>
          <t>informational</t>
        </is>
      </c>
      <c r="K78" s="36" t="inlineStr">
        <is>
          <t>auto-regulation</t>
        </is>
      </c>
      <c r="L78" s="36" t="n">
        <v>1</v>
      </c>
      <c r="M78" s="36" t="inlineStr">
        <is>
          <t>Secondary</t>
        </is>
      </c>
      <c r="N78" s="39">
        <f>IFERROR(IF(ISNUMBER(SEARCH(D78,INDEX(Pages!$J$2:$J$829,MATCH(A78,Pages!$B$2:$B$829,0)))),"Yes","No"),"Page not found")</f>
        <v/>
      </c>
      <c r="O78" s="25" t="inlineStr">
        <is>
          <t>alberta.ca, western financial</t>
        </is>
      </c>
      <c r="P78" s="25" t="inlineStr">
        <is>
          <t>Starts January 1, 2027.</t>
        </is>
      </c>
    </row>
    <row r="79" ht="15" customHeight="1" s="22">
      <c r="A79" s="36" t="inlineStr">
        <is>
          <t>https://instasure.ca/guides/alberta-car-insurance-2026-care-first/</t>
        </is>
      </c>
      <c r="B79" s="36" t="inlineStr">
        <is>
          <t>Guide (blog)</t>
        </is>
      </c>
      <c r="C79" s="36" t="inlineStr">
        <is>
          <t>Car insurance</t>
        </is>
      </c>
      <c r="D79" s="36" t="inlineStr">
        <is>
          <t>alberta good driver rate cap</t>
        </is>
      </c>
      <c r="E79" s="36" t="inlineStr">
        <is>
          <t>Provincial</t>
        </is>
      </c>
      <c r="F79" s="36" t="inlineStr">
        <is>
          <t>Alberta</t>
        </is>
      </c>
      <c r="G79" s="36" t="n"/>
      <c r="H79" s="37" t="n">
        <v>720</v>
      </c>
      <c r="I79" s="36" t="n">
        <v>30</v>
      </c>
      <c r="J79" s="36" t="inlineStr">
        <is>
          <t>informational</t>
        </is>
      </c>
      <c r="K79" s="36" t="inlineStr">
        <is>
          <t>auto-regulation</t>
        </is>
      </c>
      <c r="L79" s="36" t="n">
        <v>1</v>
      </c>
      <c r="M79" s="36" t="inlineStr">
        <is>
          <t>Secondary</t>
        </is>
      </c>
      <c r="N79" s="39">
        <f>IFERROR(IF(ISNUMBER(SEARCH(D79,INDEX(Pages!$J$2:$J$829,MATCH(A79,Pages!$B$2:$B$829,0)))),"Yes","No"),"Page not found")</f>
        <v/>
      </c>
      <c r="O79" s="25" t="inlineStr">
        <is>
          <t>globalnews, alberta.ca</t>
        </is>
      </c>
      <c r="P79" s="25" t="n"/>
    </row>
    <row r="80" ht="23.85" customHeight="1" s="22">
      <c r="A80" s="36" t="inlineStr">
        <is>
          <t>https://instasure.ca/car-insurance/ontario/mississauga/</t>
        </is>
      </c>
      <c r="B80" s="36" t="inlineStr">
        <is>
          <t>Product × city</t>
        </is>
      </c>
      <c r="C80" s="36" t="inlineStr">
        <is>
          <t>Car insurance</t>
        </is>
      </c>
      <c r="D80" s="36" t="inlineStr">
        <is>
          <t>car insurance mississauga</t>
        </is>
      </c>
      <c r="E80" s="36" t="inlineStr">
        <is>
          <t>City</t>
        </is>
      </c>
      <c r="F80" s="36" t="inlineStr">
        <is>
          <t>Ontario</t>
        </is>
      </c>
      <c r="G80" s="36" t="inlineStr">
        <is>
          <t>Mississauga</t>
        </is>
      </c>
      <c r="H80" s="37" t="n">
        <v>2400</v>
      </c>
      <c r="I80" s="36" t="n">
        <v>84</v>
      </c>
      <c r="J80" s="36" t="inlineStr">
        <is>
          <t>local</t>
        </is>
      </c>
      <c r="K80" s="36" t="inlineStr">
        <is>
          <t>auto-local</t>
        </is>
      </c>
      <c r="L80" s="36" t="n">
        <v>1</v>
      </c>
      <c r="M80" s="36" t="inlineStr">
        <is>
          <t>Primary</t>
        </is>
      </c>
      <c r="N80" s="39">
        <f>IFERROR(IF(ISNUMBER(SEARCH(D80,INDEX(Pages!$J$2:$J$829,MATCH(A80,Pages!$B$2:$B$829,0)))),"Yes","No"),"Page not found")</f>
        <v/>
      </c>
      <c r="O80" s="25" t="inlineStr">
        <is>
          <t>ratehub, rates.ca, sonnet, mychoice/squareone/thinkinsure</t>
        </is>
      </c>
      <c r="P80" s="25" t="inlineStr">
        <is>
          <t>Competitor city pages here are thin or carry stale dates (October 2026 review): freshness opening.</t>
        </is>
      </c>
    </row>
    <row r="81" ht="15" customHeight="1" s="22">
      <c r="A81" s="36" t="inlineStr">
        <is>
          <t>https://instasure.ca/car-insurance/ontario/mississauga/</t>
        </is>
      </c>
      <c r="B81" s="36" t="inlineStr">
        <is>
          <t>Product × city</t>
        </is>
      </c>
      <c r="C81" s="36" t="inlineStr">
        <is>
          <t>Car insurance</t>
        </is>
      </c>
      <c r="D81" s="36" t="inlineStr">
        <is>
          <t>cheap car insurance mississauga</t>
        </is>
      </c>
      <c r="E81" s="36" t="inlineStr">
        <is>
          <t>City</t>
        </is>
      </c>
      <c r="F81" s="36" t="inlineStr">
        <is>
          <t>Ontario</t>
        </is>
      </c>
      <c r="G81" s="36" t="inlineStr">
        <is>
          <t>Mississauga</t>
        </is>
      </c>
      <c r="H81" s="37" t="n">
        <v>840</v>
      </c>
      <c r="I81" s="36" t="n">
        <v>79</v>
      </c>
      <c r="J81" s="36" t="inlineStr">
        <is>
          <t>transactional</t>
        </is>
      </c>
      <c r="K81" s="36" t="inlineStr">
        <is>
          <t>auto-local</t>
        </is>
      </c>
      <c r="L81" s="36" t="n">
        <v>2</v>
      </c>
      <c r="M81" s="36" t="inlineStr">
        <is>
          <t>Secondary</t>
        </is>
      </c>
      <c r="N81" s="39">
        <f>IFERROR(IF(ISNUMBER(SEARCH(D81,INDEX(Pages!$J$2:$J$829,MATCH(A81,Pages!$B$2:$B$829,0)))),"Yes","No"),"Page not found")</f>
        <v/>
      </c>
      <c r="O81" s="25" t="inlineStr">
        <is>
          <t>ratehub, rates.ca, sonnet, mychoice/squareone/thinkinsure</t>
        </is>
      </c>
      <c r="P81" s="25" t="inlineStr">
        <is>
          <t>Rates.ca titles lead with "Cheap"; answer with factors and FSA data, not a price promise.</t>
        </is>
      </c>
    </row>
    <row r="82" ht="23.85" customHeight="1" s="22">
      <c r="A82" s="36" t="inlineStr">
        <is>
          <t>https://instasure.ca/car-insurance/ontario/mississauga/</t>
        </is>
      </c>
      <c r="B82" s="36" t="inlineStr">
        <is>
          <t>Product × city</t>
        </is>
      </c>
      <c r="C82" s="36" t="inlineStr">
        <is>
          <t>Car insurance</t>
        </is>
      </c>
      <c r="D82" s="36" t="inlineStr">
        <is>
          <t>how much is car insurance in mississauga</t>
        </is>
      </c>
      <c r="E82" s="36" t="inlineStr">
        <is>
          <t>City</t>
        </is>
      </c>
      <c r="F82" s="36" t="inlineStr">
        <is>
          <t>Ontario</t>
        </is>
      </c>
      <c r="G82" s="36" t="inlineStr">
        <is>
          <t>Mississauga</t>
        </is>
      </c>
      <c r="H82" s="37" t="n">
        <v>480</v>
      </c>
      <c r="I82" s="36" t="n">
        <v>79</v>
      </c>
      <c r="J82" s="36" t="inlineStr">
        <is>
          <t>informational</t>
        </is>
      </c>
      <c r="K82" s="36" t="inlineStr">
        <is>
          <t>auto-local</t>
        </is>
      </c>
      <c r="L82" s="36" t="n">
        <v>3</v>
      </c>
      <c r="M82" s="36" t="inlineStr">
        <is>
          <t>Secondary</t>
        </is>
      </c>
      <c r="N82" s="39">
        <f>IFERROR(IF(ISNUMBER(SEARCH(D82,INDEX(Pages!$J$2:$J$829,MATCH(A82,Pages!$B$2:$B$829,0)))),"Yes","No"),"Page not found")</f>
        <v/>
      </c>
      <c r="O82" s="25" t="inlineStr">
        <is>
          <t>ratehub, rates.ca, sonnet, mychoice/squareone/thinkinsure</t>
        </is>
      </c>
      <c r="P82" s="25" t="inlineStr">
        <is>
          <t>Ratehub ranks a blog post for this. The city page answers it in the first two sentences with a dated average.</t>
        </is>
      </c>
    </row>
    <row r="83" ht="15" customHeight="1" s="22">
      <c r="A83" s="36" t="inlineStr">
        <is>
          <t>https://instasure.ca/home-insurance/ontario/</t>
        </is>
      </c>
      <c r="B83" s="36" t="inlineStr">
        <is>
          <t>Product × province</t>
        </is>
      </c>
      <c r="C83" s="36" t="inlineStr">
        <is>
          <t>Home insurance</t>
        </is>
      </c>
      <c r="D83" s="36" t="inlineStr">
        <is>
          <t>home insurance ontario</t>
        </is>
      </c>
      <c r="E83" s="36" t="inlineStr">
        <is>
          <t>Provincial</t>
        </is>
      </c>
      <c r="F83" s="36" t="inlineStr">
        <is>
          <t>Ontario</t>
        </is>
      </c>
      <c r="G83" s="36" t="n"/>
      <c r="H83" s="37" t="n">
        <v>3000</v>
      </c>
      <c r="I83" s="36" t="n">
        <v>69</v>
      </c>
      <c r="J83" s="36" t="inlineStr">
        <is>
          <t>commercial</t>
        </is>
      </c>
      <c r="K83" s="36" t="inlineStr">
        <is>
          <t>property-province</t>
        </is>
      </c>
      <c r="L83" s="36" t="n">
        <v>1</v>
      </c>
      <c r="M83" s="36" t="inlineStr">
        <is>
          <t>Primary</t>
        </is>
      </c>
      <c r="N83" s="39">
        <f>IFERROR(IF(ISNUMBER(SEARCH(D83,INDEX(Pages!$J$2:$J$829,MATCH(A83,Pages!$B$2:$B$829,0)))),"Yes","No"),"Page not found")</f>
        <v/>
      </c>
      <c r="O83" s="25" t="inlineStr">
        <is>
          <t>ratehub, rates.ca, sonnet</t>
        </is>
      </c>
      <c r="P83" s="25" t="n"/>
    </row>
    <row r="84" ht="15" customHeight="1" s="22">
      <c r="A84" s="36" t="inlineStr">
        <is>
          <t>https://instasure.ca/home-insurance/ontario/</t>
        </is>
      </c>
      <c r="B84" s="36" t="inlineStr">
        <is>
          <t>Product × province</t>
        </is>
      </c>
      <c r="C84" s="36" t="inlineStr">
        <is>
          <t>Home insurance</t>
        </is>
      </c>
      <c r="D84" s="36" t="inlineStr">
        <is>
          <t>is home insurance mandatory in ontario</t>
        </is>
      </c>
      <c r="E84" s="36" t="inlineStr">
        <is>
          <t>Provincial</t>
        </is>
      </c>
      <c r="F84" s="36" t="inlineStr">
        <is>
          <t>Ontario</t>
        </is>
      </c>
      <c r="G84" s="36" t="n"/>
      <c r="H84" s="37" t="n">
        <v>590</v>
      </c>
      <c r="I84" s="36" t="n">
        <v>30</v>
      </c>
      <c r="J84" s="36" t="inlineStr">
        <is>
          <t>informational</t>
        </is>
      </c>
      <c r="K84" s="36" t="inlineStr">
        <is>
          <t>property-coverage</t>
        </is>
      </c>
      <c r="L84" s="36" t="n">
        <v>2</v>
      </c>
      <c r="M84" s="36" t="inlineStr">
        <is>
          <t>Secondary</t>
        </is>
      </c>
      <c r="N84" s="39">
        <f>IFERROR(IF(ISNUMBER(SEARCH(D84,INDEX(Pages!$J$2:$J$829,MATCH(A84,Pages!$B$2:$B$829,0)))),"Yes","No"),"Page not found")</f>
        <v/>
      </c>
      <c r="O84" s="25" t="inlineStr">
        <is>
          <t>sonnet faq</t>
        </is>
      </c>
      <c r="P84" s="25" t="n"/>
    </row>
    <row r="85" ht="15" customHeight="1" s="22">
      <c r="A85" s="36" t="inlineStr">
        <is>
          <t>https://instasure.ca/mortgage-life-insurance/</t>
        </is>
      </c>
      <c r="B85" s="36" t="inlineStr">
        <is>
          <t>Product pillar</t>
        </is>
      </c>
      <c r="C85" s="36" t="inlineStr">
        <is>
          <t>Mortgage protection</t>
        </is>
      </c>
      <c r="D85" s="36" t="inlineStr">
        <is>
          <t>mortgage life insurance</t>
        </is>
      </c>
      <c r="E85" s="36" t="inlineStr">
        <is>
          <t>Nationwide</t>
        </is>
      </c>
      <c r="F85" s="36" t="n"/>
      <c r="G85" s="36" t="n"/>
      <c r="H85" s="37" t="n">
        <v>2400</v>
      </c>
      <c r="I85" s="36" t="n">
        <v>55</v>
      </c>
      <c r="J85" s="36" t="inlineStr">
        <is>
          <t>commercial</t>
        </is>
      </c>
      <c r="K85" s="36" t="inlineStr">
        <is>
          <t>life-mortgage</t>
        </is>
      </c>
      <c r="L85" s="36" t="n">
        <v>1</v>
      </c>
      <c r="M85" s="36" t="inlineStr">
        <is>
          <t>Primary</t>
        </is>
      </c>
      <c r="N85" s="39">
        <f>IFERROR(IF(ISNUMBER(SEARCH(D85,INDEX(Pages!$J$2:$J$829,MATCH(A85,Pages!$B$2:$B$829,0)))),"Yes","No"),"Page not found")</f>
        <v/>
      </c>
      <c r="O85" s="25" t="inlineStr">
        <is>
          <t>policyadvisor (9 pages), ratehub, policyme, banks</t>
        </is>
      </c>
      <c r="P85" s="25" t="inlineStr">
        <is>
          <t>About 1.15M mortgage renewals in 2026 (CMHC via MPA, verify).</t>
        </is>
      </c>
    </row>
    <row r="86" ht="15" customHeight="1" s="22">
      <c r="A86" s="36" t="inlineStr">
        <is>
          <t>https://instasure.ca/mortgage-life-insurance/</t>
        </is>
      </c>
      <c r="B86" s="36" t="inlineStr">
        <is>
          <t>Product pillar</t>
        </is>
      </c>
      <c r="C86" s="36" t="inlineStr">
        <is>
          <t>Mortgage protection</t>
        </is>
      </c>
      <c r="D86" s="36" t="inlineStr">
        <is>
          <t>mortgage protection insurance</t>
        </is>
      </c>
      <c r="E86" s="36" t="inlineStr">
        <is>
          <t>Nationwide</t>
        </is>
      </c>
      <c r="F86" s="36" t="n"/>
      <c r="G86" s="36" t="n"/>
      <c r="H86" s="37" t="n">
        <v>1000</v>
      </c>
      <c r="I86" s="36" t="n">
        <v>45</v>
      </c>
      <c r="J86" s="36" t="inlineStr">
        <is>
          <t>commercial</t>
        </is>
      </c>
      <c r="K86" s="36" t="inlineStr">
        <is>
          <t>life-mortgage</t>
        </is>
      </c>
      <c r="L86" s="36" t="n">
        <v>1</v>
      </c>
      <c r="M86" s="36" t="inlineStr">
        <is>
          <t>Secondary</t>
        </is>
      </c>
      <c r="N86" s="39">
        <f>IFERROR(IF(ISNUMBER(SEARCH(D86,INDEX(Pages!$J$2:$J$829,MATCH(A86,Pages!$B$2:$B$829,0)))),"Yes","No"),"Page not found")</f>
        <v/>
      </c>
      <c r="O86" s="25" t="inlineStr">
        <is>
          <t>policyadvisor, manulife mortgage protection plan</t>
        </is>
      </c>
      <c r="P86" s="25" t="n"/>
    </row>
    <row r="87" ht="15" customHeight="1" s="22">
      <c r="A87" s="36" t="inlineStr">
        <is>
          <t>https://instasure.ca/car-insurance/alberta/edmonton/</t>
        </is>
      </c>
      <c r="B87" s="36" t="inlineStr">
        <is>
          <t>Product × city</t>
        </is>
      </c>
      <c r="C87" s="36" t="inlineStr">
        <is>
          <t>Car insurance</t>
        </is>
      </c>
      <c r="D87" s="36" t="inlineStr">
        <is>
          <t>car insurance edmonton</t>
        </is>
      </c>
      <c r="E87" s="36" t="inlineStr">
        <is>
          <t>City</t>
        </is>
      </c>
      <c r="F87" s="36" t="inlineStr">
        <is>
          <t>Alberta</t>
        </is>
      </c>
      <c r="G87" s="36" t="inlineStr">
        <is>
          <t>Edmonton</t>
        </is>
      </c>
      <c r="H87" s="37" t="n">
        <v>2100</v>
      </c>
      <c r="I87" s="36" t="n">
        <v>76</v>
      </c>
      <c r="J87" s="36" t="inlineStr">
        <is>
          <t>local</t>
        </is>
      </c>
      <c r="K87" s="36" t="inlineStr">
        <is>
          <t>auto-local</t>
        </is>
      </c>
      <c r="L87" s="36" t="n">
        <v>1</v>
      </c>
      <c r="M87" s="36" t="inlineStr">
        <is>
          <t>Primary</t>
        </is>
      </c>
      <c r="N87" s="39">
        <f>IFERROR(IF(ISNUMBER(SEARCH(D87,INDEX(Pages!$J$2:$J$829,MATCH(A87,Pages!$B$2:$B$829,0)))),"Yes","No"),"Page not found")</f>
        <v/>
      </c>
      <c r="O87" s="25" t="inlineStr">
        <is>
          <t>ratehub, rates.ca</t>
        </is>
      </c>
      <c r="P87" s="25" t="n"/>
    </row>
    <row r="88" ht="15" customHeight="1" s="22">
      <c r="A88" s="36" t="inlineStr">
        <is>
          <t>https://instasure.ca/car-insurance/alberta/edmonton/</t>
        </is>
      </c>
      <c r="B88" s="36" t="inlineStr">
        <is>
          <t>Product × city</t>
        </is>
      </c>
      <c r="C88" s="36" t="inlineStr">
        <is>
          <t>Car insurance</t>
        </is>
      </c>
      <c r="D88" s="36" t="inlineStr">
        <is>
          <t>cheap car insurance edmonton</t>
        </is>
      </c>
      <c r="E88" s="36" t="inlineStr">
        <is>
          <t>City</t>
        </is>
      </c>
      <c r="F88" s="36" t="inlineStr">
        <is>
          <t>Alberta</t>
        </is>
      </c>
      <c r="G88" s="36" t="inlineStr">
        <is>
          <t>Edmonton</t>
        </is>
      </c>
      <c r="H88" s="37" t="n">
        <v>730</v>
      </c>
      <c r="I88" s="36" t="n">
        <v>71</v>
      </c>
      <c r="J88" s="36" t="inlineStr">
        <is>
          <t>transactional</t>
        </is>
      </c>
      <c r="K88" s="36" t="inlineStr">
        <is>
          <t>auto-local</t>
        </is>
      </c>
      <c r="L88" s="36" t="n">
        <v>2</v>
      </c>
      <c r="M88" s="36" t="inlineStr">
        <is>
          <t>Secondary</t>
        </is>
      </c>
      <c r="N88" s="39">
        <f>IFERROR(IF(ISNUMBER(SEARCH(D88,INDEX(Pages!$J$2:$J$829,MATCH(A88,Pages!$B$2:$B$829,0)))),"Yes","No"),"Page not found")</f>
        <v/>
      </c>
      <c r="O88" s="25" t="inlineStr">
        <is>
          <t>ratehub, rates.ca</t>
        </is>
      </c>
      <c r="P88" s="25" t="inlineStr">
        <is>
          <t>Rates.ca titles lead with "Cheap"; answer with factors and FSA data, not a price promise.</t>
        </is>
      </c>
    </row>
    <row r="89" ht="23.85" customHeight="1" s="22">
      <c r="A89" s="36" t="inlineStr">
        <is>
          <t>https://instasure.ca/car-insurance/alberta/edmonton/</t>
        </is>
      </c>
      <c r="B89" s="36" t="inlineStr">
        <is>
          <t>Product × city</t>
        </is>
      </c>
      <c r="C89" s="36" t="inlineStr">
        <is>
          <t>Car insurance</t>
        </is>
      </c>
      <c r="D89" s="36" t="inlineStr">
        <is>
          <t>how much is car insurance in edmonton</t>
        </is>
      </c>
      <c r="E89" s="36" t="inlineStr">
        <is>
          <t>City</t>
        </is>
      </c>
      <c r="F89" s="36" t="inlineStr">
        <is>
          <t>Alberta</t>
        </is>
      </c>
      <c r="G89" s="36" t="inlineStr">
        <is>
          <t>Edmonton</t>
        </is>
      </c>
      <c r="H89" s="37" t="n">
        <v>420</v>
      </c>
      <c r="I89" s="36" t="n">
        <v>71</v>
      </c>
      <c r="J89" s="36" t="inlineStr">
        <is>
          <t>informational</t>
        </is>
      </c>
      <c r="K89" s="36" t="inlineStr">
        <is>
          <t>auto-local</t>
        </is>
      </c>
      <c r="L89" s="36" t="n">
        <v>3</v>
      </c>
      <c r="M89" s="36" t="inlineStr">
        <is>
          <t>Secondary</t>
        </is>
      </c>
      <c r="N89" s="39">
        <f>IFERROR(IF(ISNUMBER(SEARCH(D89,INDEX(Pages!$J$2:$J$829,MATCH(A89,Pages!$B$2:$B$829,0)))),"Yes","No"),"Page not found")</f>
        <v/>
      </c>
      <c r="O89" s="25" t="inlineStr">
        <is>
          <t>ratehub, rates.ca</t>
        </is>
      </c>
      <c r="P89" s="25" t="inlineStr">
        <is>
          <t>Ratehub ranks a blog post for this. The city page answers it in the first two sentences with a dated average.</t>
        </is>
      </c>
    </row>
    <row r="90" ht="15" customHeight="1" s="22">
      <c r="A90" s="36" t="inlineStr">
        <is>
          <t>https://instasure.ca/guides/how-much-does-life-insurance-cost-canada/</t>
        </is>
      </c>
      <c r="B90" s="36" t="inlineStr">
        <is>
          <t>Guide (blog)</t>
        </is>
      </c>
      <c r="C90" s="36" t="inlineStr">
        <is>
          <t>Life insurance</t>
        </is>
      </c>
      <c r="D90" s="36" t="inlineStr">
        <is>
          <t>how much does life insurance cost</t>
        </is>
      </c>
      <c r="E90" s="36" t="inlineStr">
        <is>
          <t>Nationwide</t>
        </is>
      </c>
      <c r="F90" s="36" t="n"/>
      <c r="G90" s="36" t="n"/>
      <c r="H90" s="37" t="n">
        <v>1600</v>
      </c>
      <c r="I90" s="36" t="n">
        <v>55</v>
      </c>
      <c r="J90" s="36" t="inlineStr">
        <is>
          <t>informational</t>
        </is>
      </c>
      <c r="K90" s="36" t="inlineStr">
        <is>
          <t>life-cost</t>
        </is>
      </c>
      <c r="L90" s="36" t="n">
        <v>1</v>
      </c>
      <c r="M90" s="36" t="inlineStr">
        <is>
          <t>Primary</t>
        </is>
      </c>
      <c r="N90" s="39">
        <f>IFERROR(IF(ISNUMBER(SEARCH(D90,INDEX(Pages!$J$2:$J$829,MATCH(A90,Pages!$B$2:$B$829,0)))),"Yes","No"),"Page not found")</f>
        <v/>
      </c>
      <c r="O90" s="25" t="inlineStr">
        <is>
          <t>policyadvisor, policyme, sun life (rates pages)</t>
        </is>
      </c>
      <c r="P90" s="25" t="n"/>
    </row>
    <row r="91" ht="23.85" customHeight="1" s="22">
      <c r="A91" s="36" t="inlineStr">
        <is>
          <t>https://instasure.ca/guides/how-much-does-life-insurance-cost-canada/</t>
        </is>
      </c>
      <c r="B91" s="36" t="inlineStr">
        <is>
          <t>Guide (blog)</t>
        </is>
      </c>
      <c r="C91" s="36" t="inlineStr">
        <is>
          <t>Life insurance</t>
        </is>
      </c>
      <c r="D91" s="36" t="inlineStr">
        <is>
          <t>life insurance cost by age</t>
        </is>
      </c>
      <c r="E91" s="36" t="inlineStr">
        <is>
          <t>Nationwide</t>
        </is>
      </c>
      <c r="F91" s="36" t="n"/>
      <c r="G91" s="36" t="n"/>
      <c r="H91" s="37" t="n">
        <v>880</v>
      </c>
      <c r="I91" s="36" t="n">
        <v>45</v>
      </c>
      <c r="J91" s="36" t="inlineStr">
        <is>
          <t>informational</t>
        </is>
      </c>
      <c r="K91" s="36" t="inlineStr">
        <is>
          <t>life-cost</t>
        </is>
      </c>
      <c r="L91" s="36" t="n">
        <v>1</v>
      </c>
      <c r="M91" s="36" t="inlineStr">
        <is>
          <t>Secondary</t>
        </is>
      </c>
      <c r="N91" s="39">
        <f>IFERROR(IF(ISNUMBER(SEARCH(D91,INDEX(Pages!$J$2:$J$829,MATCH(A91,Pages!$B$2:$B$829,0)))),"Yes","No"),"Page not found")</f>
        <v/>
      </c>
      <c r="O91" s="25" t="inlineStr">
        <is>
          <t>policyadvisor (20/40/50 pages)</t>
        </is>
      </c>
      <c r="P91" s="25" t="inlineStr">
        <is>
          <t>Planned: one page per age band (/life-insurance/cost/age-35/) once the Rate Index has quote data.</t>
        </is>
      </c>
    </row>
    <row r="92" ht="15" customHeight="1" s="22">
      <c r="A92" s="36" t="inlineStr">
        <is>
          <t>https://instasure.ca/guides/how-much-does-life-insurance-cost-canada/</t>
        </is>
      </c>
      <c r="B92" s="36" t="inlineStr">
        <is>
          <t>Guide (blog)</t>
        </is>
      </c>
      <c r="C92" s="36" t="inlineStr">
        <is>
          <t>Life insurance</t>
        </is>
      </c>
      <c r="D92" s="36" t="inlineStr">
        <is>
          <t>500000 life insurance cost</t>
        </is>
      </c>
      <c r="E92" s="36" t="inlineStr">
        <is>
          <t>Nationwide</t>
        </is>
      </c>
      <c r="F92" s="36" t="n"/>
      <c r="G92" s="36" t="n"/>
      <c r="H92" s="37" t="n">
        <v>390</v>
      </c>
      <c r="I92" s="36" t="n">
        <v>35</v>
      </c>
      <c r="J92" s="36" t="inlineStr">
        <is>
          <t>informational</t>
        </is>
      </c>
      <c r="K92" s="36" t="inlineStr">
        <is>
          <t>life-cost</t>
        </is>
      </c>
      <c r="L92" s="36" t="n">
        <v>2</v>
      </c>
      <c r="M92" s="36" t="inlineStr">
        <is>
          <t>Secondary</t>
        </is>
      </c>
      <c r="N92" s="39">
        <f>IFERROR(IF(ISNUMBER(SEARCH(D92,INDEX(Pages!$J$2:$J$829,MATCH(A92,Pages!$B$2:$B$829,0)))),"Yes","No"),"Page not found")</f>
        <v/>
      </c>
      <c r="O92" s="25" t="inlineStr">
        <is>
          <t>policyadvisor</t>
        </is>
      </c>
      <c r="P92" s="25" t="n"/>
    </row>
    <row r="93" ht="15" customHeight="1" s="22">
      <c r="A93" s="36" t="inlineStr">
        <is>
          <t>https://instasure.ca/guides/how-much-does-life-insurance-cost-canada/</t>
        </is>
      </c>
      <c r="B93" s="36" t="inlineStr">
        <is>
          <t>Guide (blog)</t>
        </is>
      </c>
      <c r="C93" s="36" t="inlineStr">
        <is>
          <t>Life insurance</t>
        </is>
      </c>
      <c r="D93" s="36" t="inlineStr">
        <is>
          <t>1 million life insurance cost</t>
        </is>
      </c>
      <c r="E93" s="36" t="inlineStr">
        <is>
          <t>Nationwide</t>
        </is>
      </c>
      <c r="F93" s="36" t="n"/>
      <c r="G93" s="36" t="n"/>
      <c r="H93" s="37" t="n">
        <v>320</v>
      </c>
      <c r="I93" s="36" t="n">
        <v>35</v>
      </c>
      <c r="J93" s="36" t="inlineStr">
        <is>
          <t>informational</t>
        </is>
      </c>
      <c r="K93" s="36" t="inlineStr">
        <is>
          <t>life-cost</t>
        </is>
      </c>
      <c r="L93" s="36" t="n">
        <v>2</v>
      </c>
      <c r="M93" s="36" t="inlineStr">
        <is>
          <t>Secondary</t>
        </is>
      </c>
      <c r="N93" s="39">
        <f>IFERROR(IF(ISNUMBER(SEARCH(D93,INDEX(Pages!$J$2:$J$829,MATCH(A93,Pages!$B$2:$B$829,0)))),"Yes","No"),"Page not found")</f>
        <v/>
      </c>
      <c r="O93" s="25" t="inlineStr">
        <is>
          <t>policyadvisor</t>
        </is>
      </c>
      <c r="P93" s="25" t="n"/>
    </row>
    <row r="94" ht="23.85" customHeight="1" s="22">
      <c r="A94" s="36" t="inlineStr">
        <is>
          <t>https://instasure.ca/boat-insurance/</t>
        </is>
      </c>
      <c r="B94" s="36" t="inlineStr">
        <is>
          <t>Service page</t>
        </is>
      </c>
      <c r="C94" s="36" t="inlineStr">
        <is>
          <t>Recreational vehicles</t>
        </is>
      </c>
      <c r="D94" s="36" t="inlineStr">
        <is>
          <t>boat insurance</t>
        </is>
      </c>
      <c r="E94" s="36" t="inlineStr">
        <is>
          <t>Nationwide</t>
        </is>
      </c>
      <c r="F94" s="36" t="n"/>
      <c r="G94" s="36" t="n"/>
      <c r="H94" s="37" t="n">
        <v>2900</v>
      </c>
      <c r="I94" s="36" t="n">
        <v>50</v>
      </c>
      <c r="J94" s="36" t="inlineStr">
        <is>
          <t>commercial</t>
        </is>
      </c>
      <c r="K94" s="36" t="inlineStr">
        <is>
          <t>auto-recreational</t>
        </is>
      </c>
      <c r="L94" s="36" t="n">
        <v>4</v>
      </c>
      <c r="M94" s="36" t="inlineStr">
        <is>
          <t>Primary</t>
        </is>
      </c>
      <c r="N94" s="39">
        <f>IFERROR(IF(ISNUMBER(SEARCH(D94,INDEX(Pages!$J$2:$J$829,MATCH(A94,Pages!$B$2:$B$829,0)))),"Yes","No"),"Page not found")</f>
        <v/>
      </c>
      <c r="O94" s="25" t="inlineStr">
        <is>
          <t>ratehub (boat, marine)</t>
        </is>
      </c>
      <c r="P94" s="25" t="inlineStr">
        <is>
          <t>Often an endorsement on the home policy; the page explains when a separate policy is needed.</t>
        </is>
      </c>
    </row>
    <row r="95" ht="23.85" customHeight="1" s="22">
      <c r="A95" s="36" t="inlineStr">
        <is>
          <t>https://instasure.ca/car-insurance/high-risk-drivers/</t>
        </is>
      </c>
      <c r="B95" s="36" t="inlineStr">
        <is>
          <t>Service page</t>
        </is>
      </c>
      <c r="C95" s="36" t="inlineStr">
        <is>
          <t>Car insurance</t>
        </is>
      </c>
      <c r="D95" s="36" t="inlineStr">
        <is>
          <t>high risk car insurance</t>
        </is>
      </c>
      <c r="E95" s="36" t="inlineStr">
        <is>
          <t>Nationwide</t>
        </is>
      </c>
      <c r="F95" s="36" t="n"/>
      <c r="G95" s="36" t="n"/>
      <c r="H95" s="37" t="n">
        <v>1600</v>
      </c>
      <c r="I95" s="36" t="n">
        <v>45</v>
      </c>
      <c r="J95" s="36" t="inlineStr">
        <is>
          <t>commercial</t>
        </is>
      </c>
      <c r="K95" s="36" t="inlineStr">
        <is>
          <t>auto-persona</t>
        </is>
      </c>
      <c r="L95" s="36" t="n">
        <v>1</v>
      </c>
      <c r="M95" s="36" t="inlineStr">
        <is>
          <t>Primary</t>
        </is>
      </c>
      <c r="N95" s="39">
        <f>IFERROR(IF(ISNUMBER(SEARCH(D95,INDEX(Pages!$J$2:$J$829,MATCH(A95,Pages!$B$2:$B$829,0)))),"Yes","No"),"Page not found")</f>
        <v/>
      </c>
      <c r="O95" s="25" t="inlineStr">
        <is>
          <t>ratehub, rates.ca guide, facility association</t>
        </is>
      </c>
      <c r="P95" s="25" t="inlineStr">
        <is>
          <t>Built with the High-risk auto desk (niche gap: competitors run one generic page). Next: sub-guides after an accident, tickets, lapsed or cancelled.</t>
        </is>
      </c>
    </row>
    <row r="96" ht="15" customHeight="1" s="22">
      <c r="A96" s="36" t="inlineStr">
        <is>
          <t>https://instasure.ca/car-insurance/high-risk-drivers/</t>
        </is>
      </c>
      <c r="B96" s="36" t="inlineStr">
        <is>
          <t>Service page</t>
        </is>
      </c>
      <c r="C96" s="36" t="inlineStr">
        <is>
          <t>Car insurance</t>
        </is>
      </c>
      <c r="D96" s="36" t="inlineStr">
        <is>
          <t>car insurance after accident</t>
        </is>
      </c>
      <c r="E96" s="36" t="inlineStr">
        <is>
          <t>Nationwide</t>
        </is>
      </c>
      <c r="F96" s="36" t="n"/>
      <c r="G96" s="36" t="n"/>
      <c r="H96" s="37" t="n">
        <v>1300</v>
      </c>
      <c r="I96" s="36" t="n">
        <v>35</v>
      </c>
      <c r="J96" s="36" t="inlineStr">
        <is>
          <t>informational</t>
        </is>
      </c>
      <c r="K96" s="36" t="inlineStr">
        <is>
          <t>auto-persona</t>
        </is>
      </c>
      <c r="L96" s="36" t="n">
        <v>3</v>
      </c>
      <c r="M96" s="36" t="inlineStr">
        <is>
          <t>Secondary</t>
        </is>
      </c>
      <c r="N96" s="39">
        <f>IFERROR(IF(ISNUMBER(SEARCH(D96,INDEX(Pages!$J$2:$J$829,MATCH(A96,Pages!$B$2:$B$829,0)))),"Yes","No"),"Page not found")</f>
        <v/>
      </c>
      <c r="O96" s="25" t="inlineStr">
        <is>
          <t>rates.ca</t>
        </is>
      </c>
      <c r="P96" s="25" t="inlineStr">
        <is>
          <t>Answered on the high-risk page; a dedicated guide is still planned.</t>
        </is>
      </c>
    </row>
    <row r="97" ht="23.85" customHeight="1" s="22">
      <c r="A97" s="36" t="inlineStr">
        <is>
          <t>https://instasure.ca/car-insurance/new-drivers/</t>
        </is>
      </c>
      <c r="B97" s="36" t="inlineStr">
        <is>
          <t>Service page</t>
        </is>
      </c>
      <c r="C97" s="36" t="inlineStr">
        <is>
          <t>Car insurance</t>
        </is>
      </c>
      <c r="D97" s="36" t="inlineStr">
        <is>
          <t>car insurance for new drivers</t>
        </is>
      </c>
      <c r="E97" s="36" t="inlineStr">
        <is>
          <t>Nationwide</t>
        </is>
      </c>
      <c r="F97" s="36" t="n"/>
      <c r="G97" s="36" t="n"/>
      <c r="H97" s="37" t="n">
        <v>1900</v>
      </c>
      <c r="I97" s="36" t="n">
        <v>50</v>
      </c>
      <c r="J97" s="36" t="inlineStr">
        <is>
          <t>commercial</t>
        </is>
      </c>
      <c r="K97" s="36" t="inlineStr">
        <is>
          <t>auto-persona</t>
        </is>
      </c>
      <c r="L97" s="36" t="n">
        <v>2</v>
      </c>
      <c r="M97" s="36" t="inlineStr">
        <is>
          <t>Primary</t>
        </is>
      </c>
      <c r="N97" s="39">
        <f>IFERROR(IF(ISNUMBER(SEARCH(D97,INDEX(Pages!$J$2:$J$829,MATCH(A97,Pages!$B$2:$B$829,0)))),"Yes","No"),"Page not found")</f>
        <v/>
      </c>
      <c r="O97" s="25" t="inlineStr">
        <is>
          <t>rates.ca guide, ratehub blog</t>
        </is>
      </c>
      <c r="P97" s="25" t="inlineStr">
        <is>
          <t>Built: service page with a new-driver example estimate. Next: per-province sections (G1/G2/G, Class 7, L/N).</t>
        </is>
      </c>
    </row>
    <row r="98" ht="23.85" customHeight="1" s="22">
      <c r="A98" s="36" t="inlineStr">
        <is>
          <t>https://instasure.ca/car-insurance/new-drivers/</t>
        </is>
      </c>
      <c r="B98" s="36" t="inlineStr">
        <is>
          <t>Service page</t>
        </is>
      </c>
      <c r="C98" s="36" t="inlineStr">
        <is>
          <t>Car insurance</t>
        </is>
      </c>
      <c r="D98" s="36" t="inlineStr">
        <is>
          <t>g2 car insurance ontario</t>
        </is>
      </c>
      <c r="E98" s="36" t="inlineStr">
        <is>
          <t>Provincial</t>
        </is>
      </c>
      <c r="F98" s="36" t="inlineStr">
        <is>
          <t>Ontario</t>
        </is>
      </c>
      <c r="G98" s="36" t="n"/>
      <c r="H98" s="37" t="n">
        <v>880</v>
      </c>
      <c r="I98" s="36" t="n">
        <v>40</v>
      </c>
      <c r="J98" s="36" t="inlineStr">
        <is>
          <t>commercial</t>
        </is>
      </c>
      <c r="K98" s="36" t="inlineStr">
        <is>
          <t>auto-persona</t>
        </is>
      </c>
      <c r="L98" s="36" t="n">
        <v>2</v>
      </c>
      <c r="M98" s="36" t="inlineStr">
        <is>
          <t>Secondary</t>
        </is>
      </c>
      <c r="N98" s="39">
        <f>IFERROR(IF(ISNUMBER(SEARCH(D98,INDEX(Pages!$J$2:$J$829,MATCH(A98,Pages!$B$2:$B$829,0)))),"Yes","No"),"Page not found")</f>
        <v/>
      </c>
      <c r="O98" s="25" t="inlineStr">
        <is>
          <t>rates.ca (money page), ratehub blog</t>
        </is>
      </c>
      <c r="P98" s="25" t="inlineStr">
        <is>
          <t>Answered on the new-drivers page. Planned: an Ontario G1/G2/G section or /car-insurance/ontario/g2-drivers/.</t>
        </is>
      </c>
    </row>
    <row r="99" ht="15" customHeight="1" s="22">
      <c r="A99" s="36" t="inlineStr">
        <is>
          <t>https://instasure.ca/business-insurance/commercial-auto/</t>
        </is>
      </c>
      <c r="B99" s="36" t="inlineStr">
        <is>
          <t>Service page</t>
        </is>
      </c>
      <c r="C99" s="36" t="inlineStr">
        <is>
          <t>Business insurance</t>
        </is>
      </c>
      <c r="D99" s="36" t="inlineStr">
        <is>
          <t>commercial auto insurance</t>
        </is>
      </c>
      <c r="E99" s="36" t="inlineStr">
        <is>
          <t>Nationwide</t>
        </is>
      </c>
      <c r="F99" s="36" t="n"/>
      <c r="G99" s="36" t="n"/>
      <c r="H99" s="37" t="n">
        <v>1300</v>
      </c>
      <c r="I99" s="36" t="n">
        <v>50</v>
      </c>
      <c r="J99" s="36" t="inlineStr">
        <is>
          <t>commercial</t>
        </is>
      </c>
      <c r="K99" s="36" t="inlineStr">
        <is>
          <t>business</t>
        </is>
      </c>
      <c r="L99" s="36" t="n">
        <v>2</v>
      </c>
      <c r="M99" s="36" t="inlineStr">
        <is>
          <t>Primary</t>
        </is>
      </c>
      <c r="N99" s="39">
        <f>IFERROR(IF(ISNUMBER(SEARCH(D99,INDEX(Pages!$J$2:$J$829,MATCH(A99,Pages!$B$2:$B$829,0)))),"Yes","No"),"Page not found")</f>
        <v/>
      </c>
      <c r="O99" s="25" t="inlineStr">
        <is>
          <t>rates.ca</t>
        </is>
      </c>
      <c r="P99" s="25" t="inlineStr">
        <is>
          <t>Built with the Commercial auto &amp; trucking desk.</t>
        </is>
      </c>
    </row>
    <row r="100" ht="23.85" customHeight="1" s="22">
      <c r="A100" s="36" t="inlineStr">
        <is>
          <t>https://instasure.ca/business-insurance/commercial-auto/</t>
        </is>
      </c>
      <c r="B100" s="36" t="inlineStr">
        <is>
          <t>Service page</t>
        </is>
      </c>
      <c r="C100" s="36" t="inlineStr">
        <is>
          <t>Business insurance</t>
        </is>
      </c>
      <c r="D100" s="36" t="inlineStr">
        <is>
          <t>trucking insurance</t>
        </is>
      </c>
      <c r="E100" s="36" t="inlineStr">
        <is>
          <t>Nationwide</t>
        </is>
      </c>
      <c r="F100" s="36" t="n"/>
      <c r="G100" s="36" t="n"/>
      <c r="H100" s="37" t="n">
        <v>1300</v>
      </c>
      <c r="I100" s="36" t="n">
        <v>50</v>
      </c>
      <c r="J100" s="36" t="inlineStr">
        <is>
          <t>commercial</t>
        </is>
      </c>
      <c r="K100" s="36" t="inlineStr">
        <is>
          <t>business-trades</t>
        </is>
      </c>
      <c r="L100" s="36" t="n">
        <v>3</v>
      </c>
      <c r="M100" s="36" t="inlineStr">
        <is>
          <t>Secondary</t>
        </is>
      </c>
      <c r="N100" s="39">
        <f>IFERROR(IF(ISNUMBER(SEARCH(D100,INDEX(Pages!$J$2:$J$829,MATCH(A100,Pages!$B$2:$B$829,0)))),"Yes","No"),"Page not found")</f>
        <v/>
      </c>
      <c r="O100" s="25" t="inlineStr">
        <is>
          <t>brokers, specialty MGAs</t>
        </is>
      </c>
      <c r="P100" s="25" t="inlineStr">
        <is>
          <t>Answered on the commercial auto page (Commercial auto &amp; trucking desk). A trucking-only page waits for real for-hire volume.</t>
        </is>
      </c>
    </row>
    <row r="101" ht="15" customHeight="1" s="22">
      <c r="A101" s="36" t="inlineStr">
        <is>
          <t>https://instasure.ca/professional-liability-insurance/</t>
        </is>
      </c>
      <c r="B101" s="36" t="inlineStr">
        <is>
          <t>Product pillar</t>
        </is>
      </c>
      <c r="C101" s="36" t="inlineStr">
        <is>
          <t>Professional liability (E&amp;O)</t>
        </is>
      </c>
      <c r="D101" s="36" t="inlineStr">
        <is>
          <t>professional liability insurance</t>
        </is>
      </c>
      <c r="E101" s="36" t="inlineStr">
        <is>
          <t>Nationwide</t>
        </is>
      </c>
      <c r="F101" s="36" t="n"/>
      <c r="G101" s="36" t="n"/>
      <c r="H101" s="37" t="n">
        <v>1600</v>
      </c>
      <c r="I101" s="36" t="n">
        <v>50</v>
      </c>
      <c r="J101" s="36" t="inlineStr">
        <is>
          <t>commercial</t>
        </is>
      </c>
      <c r="K101" s="36" t="inlineStr">
        <is>
          <t>business</t>
        </is>
      </c>
      <c r="L101" s="36" t="n">
        <v>1</v>
      </c>
      <c r="M101" s="36" t="inlineStr">
        <is>
          <t>Primary</t>
        </is>
      </c>
      <c r="N101" s="39">
        <f>IFERROR(IF(ISNUMBER(SEARCH(D101,INDEX(Pages!$J$2:$J$829,MATCH(A101,Pages!$B$2:$B$829,0)))),"Yes","No"),"Page not found")</f>
        <v/>
      </c>
      <c r="O101" s="25" t="inlineStr">
        <is>
          <t>ratehub, rates.ca</t>
        </is>
      </c>
      <c r="P101" s="25" t="n"/>
    </row>
    <row r="102" ht="15" customHeight="1" s="22">
      <c r="A102" s="36" t="inlineStr">
        <is>
          <t>https://instasure.ca/professional-liability-insurance/</t>
        </is>
      </c>
      <c r="B102" s="36" t="inlineStr">
        <is>
          <t>Product pillar</t>
        </is>
      </c>
      <c r="C102" s="36" t="inlineStr">
        <is>
          <t>Professional liability (E&amp;O)</t>
        </is>
      </c>
      <c r="D102" s="36" t="inlineStr">
        <is>
          <t>errors and omissions insurance</t>
        </is>
      </c>
      <c r="E102" s="36" t="inlineStr">
        <is>
          <t>Nationwide</t>
        </is>
      </c>
      <c r="F102" s="36" t="n"/>
      <c r="G102" s="36" t="n"/>
      <c r="H102" s="37" t="n">
        <v>1000</v>
      </c>
      <c r="I102" s="36" t="n">
        <v>50</v>
      </c>
      <c r="J102" s="36" t="inlineStr">
        <is>
          <t>commercial</t>
        </is>
      </c>
      <c r="K102" s="36" t="inlineStr">
        <is>
          <t>business</t>
        </is>
      </c>
      <c r="L102" s="36" t="n">
        <v>2</v>
      </c>
      <c r="M102" s="36" t="inlineStr">
        <is>
          <t>Secondary</t>
        </is>
      </c>
      <c r="N102" s="39">
        <f>IFERROR(IF(ISNUMBER(SEARCH(D102,INDEX(Pages!$J$2:$J$829,MATCH(A102,Pages!$B$2:$B$829,0)))),"Yes","No"),"Page not found")</f>
        <v/>
      </c>
      <c r="O102" s="25" t="inlineStr">
        <is>
          <t>rates.ca</t>
        </is>
      </c>
      <c r="P102" s="25" t="n"/>
    </row>
    <row r="103" ht="15" customHeight="1" s="22">
      <c r="A103" s="36" t="inlineStr">
        <is>
          <t>https://instasure.ca/travel-insurance/snowbirds/</t>
        </is>
      </c>
      <c r="B103" s="36" t="inlineStr">
        <is>
          <t>Service page</t>
        </is>
      </c>
      <c r="C103" s="36" t="inlineStr">
        <is>
          <t>Travel insurance</t>
        </is>
      </c>
      <c r="D103" s="36" t="inlineStr">
        <is>
          <t>snowbird travel insurance</t>
        </is>
      </c>
      <c r="E103" s="36" t="inlineStr">
        <is>
          <t>Nationwide</t>
        </is>
      </c>
      <c r="F103" s="36" t="n"/>
      <c r="G103" s="36" t="n"/>
      <c r="H103" s="37" t="n">
        <v>1300</v>
      </c>
      <c r="I103" s="36" t="n">
        <v>45</v>
      </c>
      <c r="J103" s="36" t="inlineStr">
        <is>
          <t>commercial</t>
        </is>
      </c>
      <c r="K103" s="36" t="inlineStr">
        <is>
          <t>travel</t>
        </is>
      </c>
      <c r="L103" s="36" t="n">
        <v>2</v>
      </c>
      <c r="M103" s="36" t="inlineStr">
        <is>
          <t>Primary</t>
        </is>
      </c>
      <c r="N103" s="39">
        <f>IFERROR(IF(ISNUMBER(SEARCH(D103,INDEX(Pages!$J$2:$J$829,MATCH(A103,Pages!$B$2:$B$829,0)))),"Yes","No"),"Page not found")</f>
        <v/>
      </c>
      <c r="O103" s="25" t="inlineStr">
        <is>
          <t>(not seen)</t>
        </is>
      </c>
      <c r="P103" s="25" t="inlineStr">
        <is>
          <t>Built with the Snowbird travel desk and an example estimate.</t>
        </is>
      </c>
    </row>
    <row r="104" ht="15" customHeight="1" s="22">
      <c r="A104" s="36" t="inlineStr">
        <is>
          <t>https://instasure.ca/travel-insurance/snowbirds/</t>
        </is>
      </c>
      <c r="B104" s="36" t="inlineStr">
        <is>
          <t>Service page</t>
        </is>
      </c>
      <c r="C104" s="36" t="inlineStr">
        <is>
          <t>Travel insurance</t>
        </is>
      </c>
      <c r="D104" s="36" t="inlineStr">
        <is>
          <t>travel insurance for seniors</t>
        </is>
      </c>
      <c r="E104" s="36" t="inlineStr">
        <is>
          <t>Nationwide</t>
        </is>
      </c>
      <c r="F104" s="36" t="n"/>
      <c r="G104" s="36" t="n"/>
      <c r="H104" s="37" t="n">
        <v>1300</v>
      </c>
      <c r="I104" s="36" t="n">
        <v>50</v>
      </c>
      <c r="J104" s="36" t="inlineStr">
        <is>
          <t>commercial</t>
        </is>
      </c>
      <c r="K104" s="36" t="inlineStr">
        <is>
          <t>travel</t>
        </is>
      </c>
      <c r="L104" s="36" t="n">
        <v>3</v>
      </c>
      <c r="M104" s="36" t="inlineStr">
        <is>
          <t>Secondary</t>
        </is>
      </c>
      <c r="N104" s="39">
        <f>IFERROR(IF(ISNUMBER(SEARCH(D104,INDEX(Pages!$J$2:$J$829,MATCH(A104,Pages!$B$2:$B$829,0)))),"Yes","No"),"Page not found")</f>
        <v/>
      </c>
      <c r="O104" s="25" t="inlineStr">
        <is>
          <t>sun life</t>
        </is>
      </c>
      <c r="P104" s="25" t="inlineStr">
        <is>
          <t>Answered on the snowbird page; a separate seniors page is not planned.</t>
        </is>
      </c>
    </row>
    <row r="105" ht="23.85" customHeight="1" s="22">
      <c r="A105" s="36" t="inlineStr">
        <is>
          <t>https://instasure.ca/car-insurance/ontario/ottawa/</t>
        </is>
      </c>
      <c r="B105" s="36" t="inlineStr">
        <is>
          <t>Product × city</t>
        </is>
      </c>
      <c r="C105" s="36" t="inlineStr">
        <is>
          <t>Car insurance</t>
        </is>
      </c>
      <c r="D105" s="36" t="inlineStr">
        <is>
          <t>car insurance ottawa</t>
        </is>
      </c>
      <c r="E105" s="36" t="inlineStr">
        <is>
          <t>City</t>
        </is>
      </c>
      <c r="F105" s="36" t="inlineStr">
        <is>
          <t>Ontario</t>
        </is>
      </c>
      <c r="G105" s="36" t="inlineStr">
        <is>
          <t>Ottawa</t>
        </is>
      </c>
      <c r="H105" s="37" t="n">
        <v>1600</v>
      </c>
      <c r="I105" s="36" t="n">
        <v>84</v>
      </c>
      <c r="J105" s="36" t="inlineStr">
        <is>
          <t>local</t>
        </is>
      </c>
      <c r="K105" s="36" t="inlineStr">
        <is>
          <t>auto-local</t>
        </is>
      </c>
      <c r="L105" s="36" t="n">
        <v>1</v>
      </c>
      <c r="M105" s="36" t="inlineStr">
        <is>
          <t>Primary</t>
        </is>
      </c>
      <c r="N105" s="39">
        <f>IFERROR(IF(ISNUMBER(SEARCH(D105,INDEX(Pages!$J$2:$J$829,MATCH(A105,Pages!$B$2:$B$829,0)))),"Yes","No"),"Page not found")</f>
        <v/>
      </c>
      <c r="O105" s="25" t="inlineStr">
        <is>
          <t>ratehub, rates.ca, sonnet, mychoice/squareone/thinkinsure</t>
        </is>
      </c>
      <c r="P105" s="25" t="inlineStr">
        <is>
          <t>Competitor city pages here are thin or carry stale dates (October 2026 review): freshness opening.</t>
        </is>
      </c>
    </row>
    <row r="106" ht="15" customHeight="1" s="22">
      <c r="A106" s="36" t="inlineStr">
        <is>
          <t>https://instasure.ca/car-insurance/ontario/ottawa/</t>
        </is>
      </c>
      <c r="B106" s="36" t="inlineStr">
        <is>
          <t>Product × city</t>
        </is>
      </c>
      <c r="C106" s="36" t="inlineStr">
        <is>
          <t>Car insurance</t>
        </is>
      </c>
      <c r="D106" s="36" t="inlineStr">
        <is>
          <t>cheap car insurance ottawa</t>
        </is>
      </c>
      <c r="E106" s="36" t="inlineStr">
        <is>
          <t>City</t>
        </is>
      </c>
      <c r="F106" s="36" t="inlineStr">
        <is>
          <t>Ontario</t>
        </is>
      </c>
      <c r="G106" s="36" t="inlineStr">
        <is>
          <t>Ottawa</t>
        </is>
      </c>
      <c r="H106" s="37" t="n">
        <v>580</v>
      </c>
      <c r="I106" s="36" t="n">
        <v>79</v>
      </c>
      <c r="J106" s="36" t="inlineStr">
        <is>
          <t>transactional</t>
        </is>
      </c>
      <c r="K106" s="36" t="inlineStr">
        <is>
          <t>auto-local</t>
        </is>
      </c>
      <c r="L106" s="36" t="n">
        <v>3</v>
      </c>
      <c r="M106" s="36" t="inlineStr">
        <is>
          <t>Secondary</t>
        </is>
      </c>
      <c r="N106" s="39">
        <f>IFERROR(IF(ISNUMBER(SEARCH(D106,INDEX(Pages!$J$2:$J$829,MATCH(A106,Pages!$B$2:$B$829,0)))),"Yes","No"),"Page not found")</f>
        <v/>
      </c>
      <c r="O106" s="25" t="inlineStr">
        <is>
          <t>ratehub, rates.ca, sonnet, mychoice/squareone/thinkinsure</t>
        </is>
      </c>
      <c r="P106" s="25" t="inlineStr">
        <is>
          <t>Rates.ca titles lead with "Cheap"; answer with factors and FSA data, not a price promise.</t>
        </is>
      </c>
    </row>
    <row r="107" ht="23.85" customHeight="1" s="22">
      <c r="A107" s="36" t="inlineStr">
        <is>
          <t>https://instasure.ca/car-insurance/ontario/ottawa/</t>
        </is>
      </c>
      <c r="B107" s="36" t="inlineStr">
        <is>
          <t>Product × city</t>
        </is>
      </c>
      <c r="C107" s="36" t="inlineStr">
        <is>
          <t>Car insurance</t>
        </is>
      </c>
      <c r="D107" s="36" t="inlineStr">
        <is>
          <t>how much is car insurance in ottawa</t>
        </is>
      </c>
      <c r="E107" s="36" t="inlineStr">
        <is>
          <t>City</t>
        </is>
      </c>
      <c r="F107" s="36" t="inlineStr">
        <is>
          <t>Ontario</t>
        </is>
      </c>
      <c r="G107" s="36" t="inlineStr">
        <is>
          <t>Ottawa</t>
        </is>
      </c>
      <c r="H107" s="37" t="n">
        <v>330</v>
      </c>
      <c r="I107" s="36" t="n">
        <v>79</v>
      </c>
      <c r="J107" s="36" t="inlineStr">
        <is>
          <t>informational</t>
        </is>
      </c>
      <c r="K107" s="36" t="inlineStr">
        <is>
          <t>auto-local</t>
        </is>
      </c>
      <c r="L107" s="36" t="n">
        <v>3</v>
      </c>
      <c r="M107" s="36" t="inlineStr">
        <is>
          <t>Secondary</t>
        </is>
      </c>
      <c r="N107" s="39">
        <f>IFERROR(IF(ISNUMBER(SEARCH(D107,INDEX(Pages!$J$2:$J$829,MATCH(A107,Pages!$B$2:$B$829,0)))),"Yes","No"),"Page not found")</f>
        <v/>
      </c>
      <c r="O107" s="25" t="inlineStr">
        <is>
          <t>ratehub, rates.ca, sonnet, mychoice/squareone/thinkinsure</t>
        </is>
      </c>
      <c r="P107" s="25" t="inlineStr">
        <is>
          <t>Ratehub ranks a blog post for this. The city page answers it in the first two sentences with a dated average.</t>
        </is>
      </c>
    </row>
    <row r="108" ht="15" customHeight="1" s="22">
      <c r="A108" s="36" t="inlineStr">
        <is>
          <t>https://instasure.ca/guides/super-visa-insurance-requirements-cost/</t>
        </is>
      </c>
      <c r="B108" s="36" t="inlineStr">
        <is>
          <t>Guide (blog)</t>
        </is>
      </c>
      <c r="C108" s="36" t="inlineStr">
        <is>
          <t>Super Visa &amp; visitors insurance</t>
        </is>
      </c>
      <c r="D108" s="36" t="inlineStr">
        <is>
          <t>super visa insurance cost</t>
        </is>
      </c>
      <c r="E108" s="36" t="inlineStr">
        <is>
          <t>Nationwide</t>
        </is>
      </c>
      <c r="F108" s="36" t="n"/>
      <c r="G108" s="36" t="n"/>
      <c r="H108" s="37" t="n">
        <v>1600</v>
      </c>
      <c r="I108" s="36" t="n">
        <v>40</v>
      </c>
      <c r="J108" s="36" t="inlineStr">
        <is>
          <t>commercial</t>
        </is>
      </c>
      <c r="K108" s="36" t="inlineStr">
        <is>
          <t>travel-visitors</t>
        </is>
      </c>
      <c r="L108" s="36" t="n">
        <v>1</v>
      </c>
      <c r="M108" s="36" t="inlineStr">
        <is>
          <t>Primary</t>
        </is>
      </c>
      <c r="N108" s="39">
        <f>IFERROR(IF(ISNUMBER(SEARCH(D108,INDEX(Pages!$J$2:$J$829,MATCH(A108,Pages!$B$2:$B$829,0)))),"Yes","No"),"Page not found")</f>
        <v/>
      </c>
      <c r="O108" s="25" t="inlineStr">
        <is>
          <t>policyadvisor, hellosafe, bestquote</t>
        </is>
      </c>
      <c r="P108" s="25" t="n"/>
    </row>
    <row r="109" ht="15" customHeight="1" s="22">
      <c r="A109" s="36" t="inlineStr">
        <is>
          <t>https://instasure.ca/guides/super-visa-insurance-requirements-cost/</t>
        </is>
      </c>
      <c r="B109" s="36" t="inlineStr">
        <is>
          <t>Guide (blog)</t>
        </is>
      </c>
      <c r="C109" s="36" t="inlineStr">
        <is>
          <t>Super Visa &amp; visitors insurance</t>
        </is>
      </c>
      <c r="D109" s="36" t="inlineStr">
        <is>
          <t>super visa insurance requirements</t>
        </is>
      </c>
      <c r="E109" s="36" t="inlineStr">
        <is>
          <t>Nationwide</t>
        </is>
      </c>
      <c r="F109" s="36" t="n"/>
      <c r="G109" s="36" t="n"/>
      <c r="H109" s="37" t="n">
        <v>880</v>
      </c>
      <c r="I109" s="36" t="n">
        <v>35</v>
      </c>
      <c r="J109" s="36" t="inlineStr">
        <is>
          <t>informational</t>
        </is>
      </c>
      <c r="K109" s="36" t="inlineStr">
        <is>
          <t>travel-visitors</t>
        </is>
      </c>
      <c r="L109" s="36" t="n">
        <v>1</v>
      </c>
      <c r="M109" s="36" t="inlineStr">
        <is>
          <t>Secondary</t>
        </is>
      </c>
      <c r="N109" s="39">
        <f>IFERROR(IF(ISNUMBER(SEARCH(D109,INDEX(Pages!$J$2:$J$829,MATCH(A109,Pages!$B$2:$B$829,0)))),"Yes","No"),"Page not found")</f>
        <v/>
      </c>
      <c r="O109" s="25" t="inlineStr">
        <is>
          <t>policyadvisor, rbc</t>
        </is>
      </c>
      <c r="P109" s="25" t="n"/>
    </row>
    <row r="110" ht="15" customHeight="1" s="22">
      <c r="A110" s="36" t="inlineStr">
        <is>
          <t>https://instasure.ca/no-medical-life-insurance/</t>
        </is>
      </c>
      <c r="B110" s="36" t="inlineStr">
        <is>
          <t>Product pillar</t>
        </is>
      </c>
      <c r="C110" s="36" t="inlineStr">
        <is>
          <t>Life insurance</t>
        </is>
      </c>
      <c r="D110" s="36" t="inlineStr">
        <is>
          <t>no medical life insurance</t>
        </is>
      </c>
      <c r="E110" s="36" t="inlineStr">
        <is>
          <t>Nationwide</t>
        </is>
      </c>
      <c r="F110" s="36" t="n"/>
      <c r="G110" s="36" t="n"/>
      <c r="H110" s="37" t="n">
        <v>1300</v>
      </c>
      <c r="I110" s="36" t="n">
        <v>45</v>
      </c>
      <c r="J110" s="36" t="inlineStr">
        <is>
          <t>commercial</t>
        </is>
      </c>
      <c r="K110" s="36" t="inlineStr">
        <is>
          <t>life-instant</t>
        </is>
      </c>
      <c r="L110" s="36" t="n">
        <v>1</v>
      </c>
      <c r="M110" s="36" t="inlineStr">
        <is>
          <t>Primary</t>
        </is>
      </c>
      <c r="N110" s="39">
        <f>IFERROR(IF(ISNUMBER(SEARCH(D110,INDEX(Pages!$J$2:$J$829,MATCH(A110,Pages!$B$2:$B$829,0)))),"Yes","No"),"Page not found")</f>
        <v/>
      </c>
      <c r="O110" s="25" t="inlineStr">
        <is>
          <t>policyadvisor, sun life go, coverme</t>
        </is>
      </c>
      <c r="P110" s="25" t="inlineStr">
        <is>
          <t>Core "instant" brand cluster.</t>
        </is>
      </c>
    </row>
    <row r="111" ht="15" customHeight="1" s="22">
      <c r="A111" s="36" t="inlineStr">
        <is>
          <t>https://instasure.ca/no-medical-life-insurance/</t>
        </is>
      </c>
      <c r="B111" s="36" t="inlineStr">
        <is>
          <t>Product pillar</t>
        </is>
      </c>
      <c r="C111" s="36" t="inlineStr">
        <is>
          <t>Life insurance</t>
        </is>
      </c>
      <c r="D111" s="36" t="inlineStr">
        <is>
          <t>buy life insurance online</t>
        </is>
      </c>
      <c r="E111" s="36" t="inlineStr">
        <is>
          <t>Nationwide</t>
        </is>
      </c>
      <c r="F111" s="36" t="n"/>
      <c r="G111" s="36" t="n"/>
      <c r="H111" s="37" t="n">
        <v>590</v>
      </c>
      <c r="I111" s="36" t="n">
        <v>40</v>
      </c>
      <c r="J111" s="36" t="inlineStr">
        <is>
          <t>transactional</t>
        </is>
      </c>
      <c r="K111" s="36" t="inlineStr">
        <is>
          <t>life-instant</t>
        </is>
      </c>
      <c r="L111" s="36" t="n">
        <v>1</v>
      </c>
      <c r="M111" s="36" t="inlineStr">
        <is>
          <t>Secondary</t>
        </is>
      </c>
      <c r="N111" s="39">
        <f>IFERROR(IF(ISNUMBER(SEARCH(D111,INDEX(Pages!$J$2:$J$829,MATCH(A111,Pages!$B$2:$B$829,0)))),"Yes","No"),"Page not found")</f>
        <v/>
      </c>
      <c r="O111" s="25" t="inlineStr">
        <is>
          <t>sun life go, coverme, policyme, policyadvisor</t>
        </is>
      </c>
      <c r="P111" s="25" t="inlineStr">
        <is>
          <t>Brand fit. Say "instant" only where a product truly binds online in that province.</t>
        </is>
      </c>
    </row>
    <row r="112" ht="15" customHeight="1" s="22">
      <c r="A112" s="36" t="inlineStr">
        <is>
          <t>https://instasure.ca/no-medical-life-insurance/</t>
        </is>
      </c>
      <c r="B112" s="36" t="inlineStr">
        <is>
          <t>Product pillar</t>
        </is>
      </c>
      <c r="C112" s="36" t="inlineStr">
        <is>
          <t>Life insurance</t>
        </is>
      </c>
      <c r="D112" s="36" t="inlineStr">
        <is>
          <t>guaranteed issue life insurance</t>
        </is>
      </c>
      <c r="E112" s="36" t="inlineStr">
        <is>
          <t>Nationwide</t>
        </is>
      </c>
      <c r="F112" s="36" t="n"/>
      <c r="G112" s="36" t="n"/>
      <c r="H112" s="37" t="n">
        <v>590</v>
      </c>
      <c r="I112" s="36" t="n">
        <v>40</v>
      </c>
      <c r="J112" s="36" t="inlineStr">
        <is>
          <t>commercial</t>
        </is>
      </c>
      <c r="K112" s="36" t="inlineStr">
        <is>
          <t>life-instant</t>
        </is>
      </c>
      <c r="L112" s="36" t="n">
        <v>2</v>
      </c>
      <c r="M112" s="36" t="inlineStr">
        <is>
          <t>Secondary</t>
        </is>
      </c>
      <c r="N112" s="39">
        <f>IFERROR(IF(ISNUMBER(SEARCH(D112,INDEX(Pages!$J$2:$J$829,MATCH(A112,Pages!$B$2:$B$829,0)))),"Yes","No"),"Page not found")</f>
        <v/>
      </c>
      <c r="O112" s="25" t="inlineStr">
        <is>
          <t>policyadvisor, sun life go guaranteed</t>
        </is>
      </c>
      <c r="P112" s="25" t="n"/>
    </row>
    <row r="113" ht="15" customHeight="1" s="22">
      <c r="A113" s="36" t="inlineStr">
        <is>
          <t>https://instasure.ca/landlord-insurance/</t>
        </is>
      </c>
      <c r="B113" s="36" t="inlineStr">
        <is>
          <t>Service page</t>
        </is>
      </c>
      <c r="C113" s="36" t="inlineStr">
        <is>
          <t>Landlord &amp; rental property</t>
        </is>
      </c>
      <c r="D113" s="36" t="inlineStr">
        <is>
          <t>landlord insurance</t>
        </is>
      </c>
      <c r="E113" s="36" t="inlineStr">
        <is>
          <t>Nationwide</t>
        </is>
      </c>
      <c r="F113" s="36" t="n"/>
      <c r="G113" s="36" t="n"/>
      <c r="H113" s="37" t="n">
        <v>2400</v>
      </c>
      <c r="I113" s="36" t="n">
        <v>50</v>
      </c>
      <c r="J113" s="36" t="inlineStr">
        <is>
          <t>commercial</t>
        </is>
      </c>
      <c r="K113" s="36" t="inlineStr">
        <is>
          <t>property-niche</t>
        </is>
      </c>
      <c r="L113" s="36" t="n">
        <v>2</v>
      </c>
      <c r="M113" s="36" t="inlineStr">
        <is>
          <t>Primary</t>
        </is>
      </c>
      <c r="N113" s="39">
        <f>IFERROR(IF(ISNUMBER(SEARCH(D113,INDEX(Pages!$J$2:$J$829,MATCH(A113,Pages!$B$2:$B$829,0)))),"Yes","No"),"Page not found")</f>
        <v/>
      </c>
      <c r="O113" s="25" t="inlineStr">
        <is>
          <t>ratehub, rates.ca</t>
        </is>
      </c>
      <c r="P113" s="25" t="inlineStr">
        <is>
          <t>Built (service page).</t>
        </is>
      </c>
    </row>
    <row r="114" ht="23.85" customHeight="1" s="22">
      <c r="A114" s="36" t="inlineStr">
        <is>
          <t>https://instasure.ca/car-insurance/ontario/hamilton/</t>
        </is>
      </c>
      <c r="B114" s="36" t="inlineStr">
        <is>
          <t>Product × city</t>
        </is>
      </c>
      <c r="C114" s="36" t="inlineStr">
        <is>
          <t>Car insurance</t>
        </is>
      </c>
      <c r="D114" s="36" t="inlineStr">
        <is>
          <t>car insurance hamilton</t>
        </is>
      </c>
      <c r="E114" s="36" t="inlineStr">
        <is>
          <t>City</t>
        </is>
      </c>
      <c r="F114" s="36" t="inlineStr">
        <is>
          <t>Ontario</t>
        </is>
      </c>
      <c r="G114" s="36" t="inlineStr">
        <is>
          <t>Hamilton</t>
        </is>
      </c>
      <c r="H114" s="37" t="n">
        <v>1500</v>
      </c>
      <c r="I114" s="36" t="n">
        <v>70</v>
      </c>
      <c r="J114" s="36" t="inlineStr">
        <is>
          <t>local</t>
        </is>
      </c>
      <c r="K114" s="36" t="inlineStr">
        <is>
          <t>auto-local</t>
        </is>
      </c>
      <c r="L114" s="36" t="n">
        <v>1</v>
      </c>
      <c r="M114" s="36" t="inlineStr">
        <is>
          <t>Primary</t>
        </is>
      </c>
      <c r="N114" s="39">
        <f>IFERROR(IF(ISNUMBER(SEARCH(D114,INDEX(Pages!$J$2:$J$829,MATCH(A114,Pages!$B$2:$B$829,0)))),"Yes","No"),"Page not found")</f>
        <v/>
      </c>
      <c r="O114" s="25" t="inlineStr">
        <is>
          <t>ratehub, rates.ca, sonnet, mychoice/squareone/thinkinsure</t>
        </is>
      </c>
      <c r="P114" s="25" t="inlineStr">
        <is>
          <t>Competitor city pages here are thin or carry stale dates (October 2026 review): freshness opening.</t>
        </is>
      </c>
    </row>
    <row r="115" ht="15" customHeight="1" s="22">
      <c r="A115" s="36" t="inlineStr">
        <is>
          <t>https://instasure.ca/car-insurance/ontario/hamilton/</t>
        </is>
      </c>
      <c r="B115" s="36" t="inlineStr">
        <is>
          <t>Product × city</t>
        </is>
      </c>
      <c r="C115" s="36" t="inlineStr">
        <is>
          <t>Car insurance</t>
        </is>
      </c>
      <c r="D115" s="36" t="inlineStr">
        <is>
          <t>cheap car insurance hamilton</t>
        </is>
      </c>
      <c r="E115" s="36" t="inlineStr">
        <is>
          <t>City</t>
        </is>
      </c>
      <c r="F115" s="36" t="inlineStr">
        <is>
          <t>Ontario</t>
        </is>
      </c>
      <c r="G115" s="36" t="inlineStr">
        <is>
          <t>Hamilton</t>
        </is>
      </c>
      <c r="H115" s="37" t="n">
        <v>520</v>
      </c>
      <c r="I115" s="36" t="n">
        <v>65</v>
      </c>
      <c r="J115" s="36" t="inlineStr">
        <is>
          <t>transactional</t>
        </is>
      </c>
      <c r="K115" s="36" t="inlineStr">
        <is>
          <t>auto-local</t>
        </is>
      </c>
      <c r="L115" s="36" t="n">
        <v>2</v>
      </c>
      <c r="M115" s="36" t="inlineStr">
        <is>
          <t>Secondary</t>
        </is>
      </c>
      <c r="N115" s="39">
        <f>IFERROR(IF(ISNUMBER(SEARCH(D115,INDEX(Pages!$J$2:$J$829,MATCH(A115,Pages!$B$2:$B$829,0)))),"Yes","No"),"Page not found")</f>
        <v/>
      </c>
      <c r="O115" s="25" t="inlineStr">
        <is>
          <t>ratehub, rates.ca, sonnet, mychoice/squareone/thinkinsure</t>
        </is>
      </c>
      <c r="P115" s="25" t="inlineStr">
        <is>
          <t>Rates.ca titles lead with "Cheap"; answer with factors and FSA data, not a price promise.</t>
        </is>
      </c>
    </row>
    <row r="116" ht="23.85" customHeight="1" s="22">
      <c r="A116" s="36" t="inlineStr">
        <is>
          <t>https://instasure.ca/car-insurance/ontario/hamilton/</t>
        </is>
      </c>
      <c r="B116" s="36" t="inlineStr">
        <is>
          <t>Product × city</t>
        </is>
      </c>
      <c r="C116" s="36" t="inlineStr">
        <is>
          <t>Car insurance</t>
        </is>
      </c>
      <c r="D116" s="36" t="inlineStr">
        <is>
          <t>how much is car insurance in hamilton</t>
        </is>
      </c>
      <c r="E116" s="36" t="inlineStr">
        <is>
          <t>City</t>
        </is>
      </c>
      <c r="F116" s="36" t="inlineStr">
        <is>
          <t>Ontario</t>
        </is>
      </c>
      <c r="G116" s="36" t="inlineStr">
        <is>
          <t>Hamilton</t>
        </is>
      </c>
      <c r="H116" s="37" t="n">
        <v>300</v>
      </c>
      <c r="I116" s="36" t="n">
        <v>65</v>
      </c>
      <c r="J116" s="36" t="inlineStr">
        <is>
          <t>informational</t>
        </is>
      </c>
      <c r="K116" s="36" t="inlineStr">
        <is>
          <t>auto-local</t>
        </is>
      </c>
      <c r="L116" s="36" t="n">
        <v>3</v>
      </c>
      <c r="M116" s="36" t="inlineStr">
        <is>
          <t>Secondary</t>
        </is>
      </c>
      <c r="N116" s="39">
        <f>IFERROR(IF(ISNUMBER(SEARCH(D116,INDEX(Pages!$J$2:$J$829,MATCH(A116,Pages!$B$2:$B$829,0)))),"Yes","No"),"Page not found")</f>
        <v/>
      </c>
      <c r="O116" s="25" t="inlineStr">
        <is>
          <t>ratehub, rates.ca, sonnet, mychoice/squareone/thinkinsure</t>
        </is>
      </c>
      <c r="P116" s="25" t="inlineStr">
        <is>
          <t>Ratehub ranks a blog post for this. The city page answers it in the first two sentences with a dated average.</t>
        </is>
      </c>
    </row>
    <row r="117" ht="15" customHeight="1" s="22">
      <c r="A117" s="36" t="inlineStr">
        <is>
          <t>https://instasure.ca/car-insurance/british-columbia/</t>
        </is>
      </c>
      <c r="B117" s="36" t="inlineStr">
        <is>
          <t>Product × province</t>
        </is>
      </c>
      <c r="C117" s="36" t="inlineStr">
        <is>
          <t>Car insurance</t>
        </is>
      </c>
      <c r="D117" s="36" t="inlineStr">
        <is>
          <t>car insurance bc</t>
        </is>
      </c>
      <c r="E117" s="36" t="inlineStr">
        <is>
          <t>Provincial</t>
        </is>
      </c>
      <c r="F117" s="36" t="inlineStr">
        <is>
          <t>British Columbia</t>
        </is>
      </c>
      <c r="G117" s="36" t="n"/>
      <c r="H117" s="37" t="n">
        <v>2200</v>
      </c>
      <c r="I117" s="36" t="n">
        <v>63</v>
      </c>
      <c r="J117" s="36" t="inlineStr">
        <is>
          <t>commercial</t>
        </is>
      </c>
      <c r="K117" s="36" t="inlineStr">
        <is>
          <t>auto-province</t>
        </is>
      </c>
      <c r="L117" s="36" t="n">
        <v>2</v>
      </c>
      <c r="M117" s="36" t="inlineStr">
        <is>
          <t>Primary</t>
        </is>
      </c>
      <c r="N117" s="39">
        <f>IFERROR(IF(ISNUMBER(SEARCH(D117,INDEX(Pages!$J$2:$J$829,MATCH(A117,Pages!$B$2:$B$829,0)))),"Yes","No"),"Page not found")</f>
        <v/>
      </c>
      <c r="O117" s="25" t="inlineStr">
        <is>
          <t>ratehub</t>
        </is>
      </c>
      <c r="P117" s="25" t="inlineStr">
        <is>
          <t>ICBC sells basic auto; target optional coverage. Low lead value.</t>
        </is>
      </c>
    </row>
    <row r="118" ht="15" customHeight="1" s="22">
      <c r="A118" s="36" t="inlineStr">
        <is>
          <t>https://instasure.ca/car-insurance/quebec/</t>
        </is>
      </c>
      <c r="B118" s="36" t="inlineStr">
        <is>
          <t>Product × province</t>
        </is>
      </c>
      <c r="C118" s="36" t="inlineStr">
        <is>
          <t>Car insurance</t>
        </is>
      </c>
      <c r="D118" s="36" t="inlineStr">
        <is>
          <t>car insurance quebec</t>
        </is>
      </c>
      <c r="E118" s="36" t="inlineStr">
        <is>
          <t>Provincial</t>
        </is>
      </c>
      <c r="F118" s="36" t="inlineStr">
        <is>
          <t>Quebec</t>
        </is>
      </c>
      <c r="G118" s="36" t="n"/>
      <c r="H118" s="37" t="n">
        <v>2200</v>
      </c>
      <c r="I118" s="36" t="n">
        <v>71</v>
      </c>
      <c r="J118" s="36" t="inlineStr">
        <is>
          <t>commercial</t>
        </is>
      </c>
      <c r="K118" s="36" t="inlineStr">
        <is>
          <t>auto-province</t>
        </is>
      </c>
      <c r="L118" s="36" t="n">
        <v>3</v>
      </c>
      <c r="M118" s="36" t="inlineStr">
        <is>
          <t>Primary</t>
        </is>
      </c>
      <c r="N118" s="39">
        <f>IFERROR(IF(ISNUMBER(SEARCH(D118,INDEX(Pages!$J$2:$J$829,MATCH(A118,Pages!$B$2:$B$829,0)))),"Yes","No"),"Page not found")</f>
        <v/>
      </c>
      <c r="O118" s="25" t="inlineStr">
        <is>
          <t>ratehub, rates.ca, sonnet</t>
        </is>
      </c>
      <c r="P118" s="25" t="inlineStr">
        <is>
          <t>Quebec waitlist until AMF registration; English phrase only (French terms listed separately).</t>
        </is>
      </c>
    </row>
    <row r="119" ht="15" customHeight="1" s="22">
      <c r="A119" s="36" t="inlineStr">
        <is>
          <t>https://instasure.ca/contractor-insurance/</t>
        </is>
      </c>
      <c r="B119" s="36" t="inlineStr">
        <is>
          <t>Product pillar</t>
        </is>
      </c>
      <c r="C119" s="36" t="inlineStr">
        <is>
          <t>Contractor &amp; trades insurance</t>
        </is>
      </c>
      <c r="D119" s="36" t="inlineStr">
        <is>
          <t>contractor insurance</t>
        </is>
      </c>
      <c r="E119" s="36" t="inlineStr">
        <is>
          <t>Nationwide</t>
        </is>
      </c>
      <c r="F119" s="36" t="n"/>
      <c r="G119" s="36" t="n"/>
      <c r="H119" s="37" t="n">
        <v>1300</v>
      </c>
      <c r="I119" s="36" t="n">
        <v>45</v>
      </c>
      <c r="J119" s="36" t="inlineStr">
        <is>
          <t>commercial</t>
        </is>
      </c>
      <c r="K119" s="36" t="inlineStr">
        <is>
          <t>business</t>
        </is>
      </c>
      <c r="L119" s="36" t="n">
        <v>1</v>
      </c>
      <c r="M119" s="36" t="inlineStr">
        <is>
          <t>Primary</t>
        </is>
      </c>
      <c r="N119" s="39">
        <f>IFERROR(IF(ISNUMBER(SEARCH(D119,INDEX(Pages!$J$2:$J$829,MATCH(A119,Pages!$B$2:$B$829,0)))),"Yes","No"),"Page not found")</f>
        <v/>
      </c>
      <c r="O119" s="25" t="inlineStr">
        <is>
          <t>ratehub, rates.ca (15+ trades)</t>
        </is>
      </c>
      <c r="P119" s="25" t="n"/>
    </row>
    <row r="120" ht="15" customHeight="1" s="22">
      <c r="A120" s="36" t="inlineStr">
        <is>
          <t>https://instasure.ca/contractor-insurance/</t>
        </is>
      </c>
      <c r="B120" s="36" t="inlineStr">
        <is>
          <t>Product pillar</t>
        </is>
      </c>
      <c r="C120" s="36" t="inlineStr">
        <is>
          <t>Contractor &amp; trades insurance</t>
        </is>
      </c>
      <c r="D120" s="36" t="inlineStr">
        <is>
          <t>contractor liability insurance</t>
        </is>
      </c>
      <c r="E120" s="36" t="inlineStr">
        <is>
          <t>Nationwide</t>
        </is>
      </c>
      <c r="F120" s="36" t="n"/>
      <c r="G120" s="36" t="n"/>
      <c r="H120" s="37" t="n">
        <v>480</v>
      </c>
      <c r="I120" s="36" t="n">
        <v>35</v>
      </c>
      <c r="J120" s="36" t="inlineStr">
        <is>
          <t>commercial</t>
        </is>
      </c>
      <c r="K120" s="36" t="inlineStr">
        <is>
          <t>business-trades</t>
        </is>
      </c>
      <c r="L120" s="36" t="n">
        <v>2</v>
      </c>
      <c r="M120" s="36" t="inlineStr">
        <is>
          <t>Secondary</t>
        </is>
      </c>
      <c r="N120" s="39">
        <f>IFERROR(IF(ISNUMBER(SEARCH(D120,INDEX(Pages!$J$2:$J$829,MATCH(A120,Pages!$B$2:$B$829,0)))),"Yes","No"),"Page not found")</f>
        <v/>
      </c>
      <c r="O120" s="25" t="inlineStr">
        <is>
          <t>ratehub, rates.ca</t>
        </is>
      </c>
      <c r="P120" s="25" t="n"/>
    </row>
    <row r="121" ht="15" customHeight="1" s="22">
      <c r="A121" s="36" t="inlineStr">
        <is>
          <t>https://instasure.ca/contractor-insurance/</t>
        </is>
      </c>
      <c r="B121" s="36" t="inlineStr">
        <is>
          <t>Product pillar</t>
        </is>
      </c>
      <c r="C121" s="36" t="inlineStr">
        <is>
          <t>Contractor &amp; trades insurance</t>
        </is>
      </c>
      <c r="D121" s="36" t="inlineStr">
        <is>
          <t>handyman insurance</t>
        </is>
      </c>
      <c r="E121" s="36" t="inlineStr">
        <is>
          <t>Nationwide</t>
        </is>
      </c>
      <c r="F121" s="36" t="n"/>
      <c r="G121" s="36" t="n"/>
      <c r="H121" s="37" t="n">
        <v>260</v>
      </c>
      <c r="I121" s="36" t="n">
        <v>20</v>
      </c>
      <c r="J121" s="36" t="inlineStr">
        <is>
          <t>commercial</t>
        </is>
      </c>
      <c r="K121" s="36" t="inlineStr">
        <is>
          <t>business-trades</t>
        </is>
      </c>
      <c r="L121" s="36" t="n">
        <v>3</v>
      </c>
      <c r="M121" s="36" t="inlineStr">
        <is>
          <t>Secondary</t>
        </is>
      </c>
      <c r="N121" s="39">
        <f>IFERROR(IF(ISNUMBER(SEARCH(D121,INDEX(Pages!$J$2:$J$829,MATCH(A121,Pages!$B$2:$B$829,0)))),"Yes","No"),"Page not found")</f>
        <v/>
      </c>
      <c r="O121" s="25" t="inlineStr">
        <is>
          <t>(not seen)</t>
        </is>
      </c>
      <c r="P121" s="25" t="n"/>
    </row>
    <row r="122" ht="15" customHeight="1" s="22">
      <c r="A122" s="36" t="inlineStr">
        <is>
          <t>https://instasure.ca/car-insurance/ontario/vaughan/</t>
        </is>
      </c>
      <c r="B122" s="36" t="inlineStr">
        <is>
          <t>Product × city</t>
        </is>
      </c>
      <c r="C122" s="36" t="inlineStr">
        <is>
          <t>Car insurance</t>
        </is>
      </c>
      <c r="D122" s="36" t="inlineStr">
        <is>
          <t>car insurance vaughan</t>
        </is>
      </c>
      <c r="E122" s="36" t="inlineStr">
        <is>
          <t>City</t>
        </is>
      </c>
      <c r="F122" s="36" t="inlineStr">
        <is>
          <t>Ontario</t>
        </is>
      </c>
      <c r="G122" s="36" t="inlineStr">
        <is>
          <t>Vaughan</t>
        </is>
      </c>
      <c r="H122" s="37" t="n">
        <v>1300</v>
      </c>
      <c r="I122" s="36" t="n">
        <v>72</v>
      </c>
      <c r="J122" s="36" t="inlineStr">
        <is>
          <t>local</t>
        </is>
      </c>
      <c r="K122" s="36" t="inlineStr">
        <is>
          <t>auto-local</t>
        </is>
      </c>
      <c r="L122" s="36" t="n">
        <v>2</v>
      </c>
      <c r="M122" s="36" t="inlineStr">
        <is>
          <t>Primary</t>
        </is>
      </c>
      <c r="N122" s="39">
        <f>IFERROR(IF(ISNUMBER(SEARCH(D122,INDEX(Pages!$J$2:$J$829,MATCH(A122,Pages!$B$2:$B$829,0)))),"Yes","No"),"Page not found")</f>
        <v/>
      </c>
      <c r="O122" s="25" t="inlineStr">
        <is>
          <t>rates.ca</t>
        </is>
      </c>
      <c r="P122" s="25" t="n"/>
    </row>
    <row r="123" ht="15" customHeight="1" s="22">
      <c r="A123" s="36" t="inlineStr">
        <is>
          <t>https://instasure.ca/car-insurance/ontario/vaughan/</t>
        </is>
      </c>
      <c r="B123" s="36" t="inlineStr">
        <is>
          <t>Product × city</t>
        </is>
      </c>
      <c r="C123" s="36" t="inlineStr">
        <is>
          <t>Car insurance</t>
        </is>
      </c>
      <c r="D123" s="36" t="inlineStr">
        <is>
          <t>cheap car insurance vaughan</t>
        </is>
      </c>
      <c r="E123" s="36" t="inlineStr">
        <is>
          <t>City</t>
        </is>
      </c>
      <c r="F123" s="36" t="inlineStr">
        <is>
          <t>Ontario</t>
        </is>
      </c>
      <c r="G123" s="36" t="inlineStr">
        <is>
          <t>Vaughan</t>
        </is>
      </c>
      <c r="H123" s="37" t="n">
        <v>460</v>
      </c>
      <c r="I123" s="36" t="n">
        <v>67</v>
      </c>
      <c r="J123" s="36" t="inlineStr">
        <is>
          <t>transactional</t>
        </is>
      </c>
      <c r="K123" s="36" t="inlineStr">
        <is>
          <t>auto-local</t>
        </is>
      </c>
      <c r="L123" s="36" t="n">
        <v>3</v>
      </c>
      <c r="M123" s="36" t="inlineStr">
        <is>
          <t>Secondary</t>
        </is>
      </c>
      <c r="N123" s="39">
        <f>IFERROR(IF(ISNUMBER(SEARCH(D123,INDEX(Pages!$J$2:$J$829,MATCH(A123,Pages!$B$2:$B$829,0)))),"Yes","No"),"Page not found")</f>
        <v/>
      </c>
      <c r="O123" s="25" t="inlineStr">
        <is>
          <t>rates.ca</t>
        </is>
      </c>
      <c r="P123" s="25" t="inlineStr">
        <is>
          <t>Rates.ca titles lead with "Cheap"; answer with factors and FSA data, not a price promise.</t>
        </is>
      </c>
    </row>
    <row r="124" ht="23.85" customHeight="1" s="22">
      <c r="A124" s="36" t="inlineStr">
        <is>
          <t>https://instasure.ca/car-insurance/ontario/vaughan/</t>
        </is>
      </c>
      <c r="B124" s="36" t="inlineStr">
        <is>
          <t>Product × city</t>
        </is>
      </c>
      <c r="C124" s="36" t="inlineStr">
        <is>
          <t>Car insurance</t>
        </is>
      </c>
      <c r="D124" s="36" t="inlineStr">
        <is>
          <t>how much is car insurance in vaughan</t>
        </is>
      </c>
      <c r="E124" s="36" t="inlineStr">
        <is>
          <t>City</t>
        </is>
      </c>
      <c r="F124" s="36" t="inlineStr">
        <is>
          <t>Ontario</t>
        </is>
      </c>
      <c r="G124" s="36" t="inlineStr">
        <is>
          <t>Vaughan</t>
        </is>
      </c>
      <c r="H124" s="37" t="n">
        <v>260</v>
      </c>
      <c r="I124" s="36" t="n">
        <v>67</v>
      </c>
      <c r="J124" s="36" t="inlineStr">
        <is>
          <t>informational</t>
        </is>
      </c>
      <c r="K124" s="36" t="inlineStr">
        <is>
          <t>auto-local</t>
        </is>
      </c>
      <c r="L124" s="36" t="n">
        <v>3</v>
      </c>
      <c r="M124" s="36" t="inlineStr">
        <is>
          <t>Secondary</t>
        </is>
      </c>
      <c r="N124" s="39">
        <f>IFERROR(IF(ISNUMBER(SEARCH(D124,INDEX(Pages!$J$2:$J$829,MATCH(A124,Pages!$B$2:$B$829,0)))),"Yes","No"),"Page not found")</f>
        <v/>
      </c>
      <c r="O124" s="25" t="inlineStr">
        <is>
          <t>rates.ca</t>
        </is>
      </c>
      <c r="P124" s="25" t="inlineStr">
        <is>
          <t>Ratehub ranks a blog post for this. The city page answers it in the first two sentences with a dated average.</t>
        </is>
      </c>
    </row>
    <row r="125" ht="15" customHeight="1" s="22">
      <c r="A125" s="36" t="inlineStr">
        <is>
          <t>https://instasure.ca/group-benefits/</t>
        </is>
      </c>
      <c r="B125" s="36" t="inlineStr">
        <is>
          <t>Product pillar</t>
        </is>
      </c>
      <c r="C125" s="36" t="inlineStr">
        <is>
          <t>Group benefits</t>
        </is>
      </c>
      <c r="D125" s="36" t="inlineStr">
        <is>
          <t>group benefits for small business</t>
        </is>
      </c>
      <c r="E125" s="36" t="inlineStr">
        <is>
          <t>Nationwide</t>
        </is>
      </c>
      <c r="F125" s="36" t="n"/>
      <c r="G125" s="36" t="n"/>
      <c r="H125" s="37" t="n">
        <v>1300</v>
      </c>
      <c r="I125" s="36" t="n">
        <v>50</v>
      </c>
      <c r="J125" s="36" t="inlineStr">
        <is>
          <t>commercial</t>
        </is>
      </c>
      <c r="K125" s="36" t="inlineStr">
        <is>
          <t>business-benefits</t>
        </is>
      </c>
      <c r="L125" s="36" t="n">
        <v>1</v>
      </c>
      <c r="M125" s="36" t="inlineStr">
        <is>
          <t>Primary</t>
        </is>
      </c>
      <c r="N125" s="39">
        <f>IFERROR(IF(ISNUMBER(SEARCH(D125,INDEX(Pages!$J$2:$J$829,MATCH(A125,Pages!$B$2:$B$829,0)))),"Yes","No"),"Page not found")</f>
        <v/>
      </c>
      <c r="O125" s="25" t="inlineStr">
        <is>
          <t>policyadvisor, manulife, canada life</t>
        </is>
      </c>
      <c r="P125" s="25" t="inlineStr">
        <is>
          <t>Highest lead value on the site.</t>
        </is>
      </c>
    </row>
    <row r="126" ht="15" customHeight="1" s="22">
      <c r="A126" s="36" t="inlineStr">
        <is>
          <t>https://instasure.ca/group-benefits/</t>
        </is>
      </c>
      <c r="B126" s="36" t="inlineStr">
        <is>
          <t>Product pillar</t>
        </is>
      </c>
      <c r="C126" s="36" t="inlineStr">
        <is>
          <t>Group benefits</t>
        </is>
      </c>
      <c r="D126" s="36" t="inlineStr">
        <is>
          <t>employee benefits for small business</t>
        </is>
      </c>
      <c r="E126" s="36" t="inlineStr">
        <is>
          <t>Nationwide</t>
        </is>
      </c>
      <c r="F126" s="36" t="n"/>
      <c r="G126" s="36" t="n"/>
      <c r="H126" s="37" t="n">
        <v>720</v>
      </c>
      <c r="I126" s="36" t="n">
        <v>45</v>
      </c>
      <c r="J126" s="36" t="inlineStr">
        <is>
          <t>commercial</t>
        </is>
      </c>
      <c r="K126" s="36" t="inlineStr">
        <is>
          <t>business-benefits</t>
        </is>
      </c>
      <c r="L126" s="36" t="n">
        <v>1</v>
      </c>
      <c r="M126" s="36" t="inlineStr">
        <is>
          <t>Secondary</t>
        </is>
      </c>
      <c r="N126" s="39">
        <f>IFERROR(IF(ISNUMBER(SEARCH(D126,INDEX(Pages!$J$2:$J$829,MATCH(A126,Pages!$B$2:$B$829,0)))),"Yes","No"),"Page not found")</f>
        <v/>
      </c>
      <c r="O126" s="25" t="inlineStr">
        <is>
          <t>policyadvisor</t>
        </is>
      </c>
      <c r="P126" s="25" t="n"/>
    </row>
    <row r="127" ht="15" customHeight="1" s="22">
      <c r="A127" s="36" t="inlineStr">
        <is>
          <t>https://instasure.ca/guides/tenant-insurance-ontario-landlord-require/</t>
        </is>
      </c>
      <c r="B127" s="36" t="inlineStr">
        <is>
          <t>Guide (blog)</t>
        </is>
      </c>
      <c r="C127" s="36" t="inlineStr">
        <is>
          <t>Tenant insurance</t>
        </is>
      </c>
      <c r="D127" s="36" t="inlineStr">
        <is>
          <t>is tenant insurance mandatory</t>
        </is>
      </c>
      <c r="E127" s="36" t="inlineStr">
        <is>
          <t>Nationwide</t>
        </is>
      </c>
      <c r="F127" s="36" t="n"/>
      <c r="G127" s="36" t="n"/>
      <c r="H127" s="37" t="n">
        <v>1000</v>
      </c>
      <c r="I127" s="36" t="n">
        <v>35</v>
      </c>
      <c r="J127" s="36" t="inlineStr">
        <is>
          <t>informational</t>
        </is>
      </c>
      <c r="K127" s="36" t="inlineStr">
        <is>
          <t>property-coverage</t>
        </is>
      </c>
      <c r="L127" s="36" t="n">
        <v>1</v>
      </c>
      <c r="M127" s="36" t="inlineStr">
        <is>
          <t>Primary</t>
        </is>
      </c>
      <c r="N127" s="39">
        <f>IFERROR(IF(ISNUMBER(SEARCH(D127,INDEX(Pages!$J$2:$J$829,MATCH(A127,Pages!$B$2:$B$829,0)))),"Yes","No"),"Page not found")</f>
        <v/>
      </c>
      <c r="O127" s="25" t="inlineStr">
        <is>
          <t>sonnet faq, tenantrights.ca</t>
        </is>
      </c>
      <c r="P127" s="25" t="n"/>
    </row>
    <row r="128" ht="15" customHeight="1" s="22">
      <c r="A128" s="36" t="inlineStr">
        <is>
          <t>https://instasure.ca/guides/tenant-insurance-ontario-landlord-require/</t>
        </is>
      </c>
      <c r="B128" s="36" t="inlineStr">
        <is>
          <t>Guide (blog)</t>
        </is>
      </c>
      <c r="C128" s="36" t="inlineStr">
        <is>
          <t>Tenant insurance</t>
        </is>
      </c>
      <c r="D128" s="36" t="inlineStr">
        <is>
          <t>is tenant insurance mandatory in ontario</t>
        </is>
      </c>
      <c r="E128" s="36" t="inlineStr">
        <is>
          <t>Provincial</t>
        </is>
      </c>
      <c r="F128" s="36" t="inlineStr">
        <is>
          <t>Ontario</t>
        </is>
      </c>
      <c r="G128" s="36" t="n"/>
      <c r="H128" s="37" t="n">
        <v>1000</v>
      </c>
      <c r="I128" s="36" t="n">
        <v>35</v>
      </c>
      <c r="J128" s="36" t="inlineStr">
        <is>
          <t>informational</t>
        </is>
      </c>
      <c r="K128" s="36" t="inlineStr">
        <is>
          <t>property-coverage</t>
        </is>
      </c>
      <c r="L128" s="36" t="n">
        <v>1</v>
      </c>
      <c r="M128" s="36" t="inlineStr">
        <is>
          <t>Secondary</t>
        </is>
      </c>
      <c r="N128" s="39">
        <f>IFERROR(IF(ISNUMBER(SEARCH(D128,INDEX(Pages!$J$2:$J$829,MATCH(A128,Pages!$B$2:$B$829,0)))),"Yes","No"),"Page not found")</f>
        <v/>
      </c>
      <c r="O128" s="25" t="inlineStr">
        <is>
          <t>tenantrights.ca, marathon, insurely, sonnet</t>
        </is>
      </c>
      <c r="P128" s="25" t="n"/>
    </row>
    <row r="129" ht="15" customHeight="1" s="22">
      <c r="A129" s="36" t="inlineStr">
        <is>
          <t>https://instasure.ca/guides/term-vs-whole-life-insurance-canada/</t>
        </is>
      </c>
      <c r="B129" s="36" t="inlineStr">
        <is>
          <t>Guide (blog)</t>
        </is>
      </c>
      <c r="C129" s="36" t="inlineStr">
        <is>
          <t>Life insurance</t>
        </is>
      </c>
      <c r="D129" s="36" t="inlineStr">
        <is>
          <t>term vs whole life insurance</t>
        </is>
      </c>
      <c r="E129" s="36" t="inlineStr">
        <is>
          <t>Nationwide</t>
        </is>
      </c>
      <c r="F129" s="36" t="n"/>
      <c r="G129" s="36" t="n"/>
      <c r="H129" s="37" t="n">
        <v>1900</v>
      </c>
      <c r="I129" s="36" t="n">
        <v>50</v>
      </c>
      <c r="J129" s="36" t="inlineStr">
        <is>
          <t>informational</t>
        </is>
      </c>
      <c r="K129" s="36" t="inlineStr">
        <is>
          <t>life-compare</t>
        </is>
      </c>
      <c r="L129" s="36" t="n">
        <v>1</v>
      </c>
      <c r="M129" s="36" t="inlineStr">
        <is>
          <t>Primary</t>
        </is>
      </c>
      <c r="N129" s="39">
        <f>IFERROR(IF(ISNUMBER(SEARCH(D129,INDEX(Pages!$J$2:$J$829,MATCH(A129,Pages!$B$2:$B$829,0)))),"Yes","No"),"Page not found")</f>
        <v/>
      </c>
      <c r="O129" s="25" t="inlineStr">
        <is>
          <t>policyadvisor, sun life, ratehub</t>
        </is>
      </c>
      <c r="P129" s="25" t="n"/>
    </row>
    <row r="130" ht="15" customHeight="1" s="22">
      <c r="A130" s="36" t="inlineStr">
        <is>
          <t>https://instasure.ca/home-insurance/ontario/toronto/</t>
        </is>
      </c>
      <c r="B130" s="36" t="inlineStr">
        <is>
          <t>Product × city</t>
        </is>
      </c>
      <c r="C130" s="36" t="inlineStr">
        <is>
          <t>Home insurance</t>
        </is>
      </c>
      <c r="D130" s="36" t="inlineStr">
        <is>
          <t>home insurance toronto</t>
        </is>
      </c>
      <c r="E130" s="36" t="inlineStr">
        <is>
          <t>City</t>
        </is>
      </c>
      <c r="F130" s="36" t="inlineStr">
        <is>
          <t>Ontario</t>
        </is>
      </c>
      <c r="G130" s="36" t="inlineStr">
        <is>
          <t>Toronto</t>
        </is>
      </c>
      <c r="H130" s="37" t="n">
        <v>1900</v>
      </c>
      <c r="I130" s="36" t="n">
        <v>68</v>
      </c>
      <c r="J130" s="36" t="inlineStr">
        <is>
          <t>local</t>
        </is>
      </c>
      <c r="K130" s="36" t="inlineStr">
        <is>
          <t>property-local</t>
        </is>
      </c>
      <c r="L130" s="36" t="n">
        <v>1</v>
      </c>
      <c r="M130" s="36" t="inlineStr">
        <is>
          <t>Primary</t>
        </is>
      </c>
      <c r="N130" s="39">
        <f>IFERROR(IF(ISNUMBER(SEARCH(D130,INDEX(Pages!$J$2:$J$829,MATCH(A130,Pages!$B$2:$B$829,0)))),"Yes","No"),"Page not found")</f>
        <v/>
      </c>
      <c r="O130" s="25" t="inlineStr">
        <is>
          <t>ratehub, rates.ca, local brokers (#1)</t>
        </is>
      </c>
      <c r="P130" s="25" t="n"/>
    </row>
    <row r="131" ht="15" customHeight="1" s="22">
      <c r="A131" s="36" t="inlineStr">
        <is>
          <t>https://instasure.ca/rv-insurance/</t>
        </is>
      </c>
      <c r="B131" s="36" t="inlineStr">
        <is>
          <t>Service page</t>
        </is>
      </c>
      <c r="C131" s="36" t="inlineStr">
        <is>
          <t>Recreational vehicles</t>
        </is>
      </c>
      <c r="D131" s="36" t="inlineStr">
        <is>
          <t>rv insurance</t>
        </is>
      </c>
      <c r="E131" s="36" t="inlineStr">
        <is>
          <t>Nationwide</t>
        </is>
      </c>
      <c r="F131" s="36" t="n"/>
      <c r="G131" s="36" t="n"/>
      <c r="H131" s="37" t="n">
        <v>1900</v>
      </c>
      <c r="I131" s="36" t="n">
        <v>45</v>
      </c>
      <c r="J131" s="36" t="inlineStr">
        <is>
          <t>commercial</t>
        </is>
      </c>
      <c r="K131" s="36" t="inlineStr">
        <is>
          <t>auto-recreational</t>
        </is>
      </c>
      <c r="L131" s="36" t="n">
        <v>4</v>
      </c>
      <c r="M131" s="36" t="inlineStr">
        <is>
          <t>Primary</t>
        </is>
      </c>
      <c r="N131" s="39">
        <f>IFERROR(IF(ISNUMBER(SEARCH(D131,INDEX(Pages!$J$2:$J$829,MATCH(A131,Pages!$B$2:$B$829,0)))),"Yes","No"),"Page not found")</f>
        <v/>
      </c>
      <c r="O131" s="25" t="inlineStr">
        <is>
          <t>ratehub (rv, trailer)</t>
        </is>
      </c>
      <c r="P131" s="25" t="n"/>
    </row>
    <row r="132" ht="15" customHeight="1" s="22">
      <c r="A132" s="36" t="inlineStr">
        <is>
          <t>https://instasure.ca/atv-snowmobile-insurance/</t>
        </is>
      </c>
      <c r="B132" s="36" t="inlineStr">
        <is>
          <t>Service page</t>
        </is>
      </c>
      <c r="C132" s="36" t="inlineStr">
        <is>
          <t>Recreational vehicles</t>
        </is>
      </c>
      <c r="D132" s="36" t="inlineStr">
        <is>
          <t>snowmobile insurance</t>
        </is>
      </c>
      <c r="E132" s="36" t="inlineStr">
        <is>
          <t>Nationwide</t>
        </is>
      </c>
      <c r="F132" s="36" t="n"/>
      <c r="G132" s="36" t="n"/>
      <c r="H132" s="37" t="n">
        <v>1000</v>
      </c>
      <c r="I132" s="36" t="n">
        <v>35</v>
      </c>
      <c r="J132" s="36" t="inlineStr">
        <is>
          <t>commercial</t>
        </is>
      </c>
      <c r="K132" s="36" t="inlineStr">
        <is>
          <t>auto-recreational</t>
        </is>
      </c>
      <c r="L132" s="36" t="n">
        <v>4</v>
      </c>
      <c r="M132" s="36" t="inlineStr">
        <is>
          <t>Primary</t>
        </is>
      </c>
      <c r="N132" s="39">
        <f>IFERROR(IF(ISNUMBER(SEARCH(D132,INDEX(Pages!$J$2:$J$829,MATCH(A132,Pages!$B$2:$B$829,0)))),"Yes","No"),"Page not found")</f>
        <v/>
      </c>
      <c r="O132" s="25" t="inlineStr">
        <is>
          <t>ratehub</t>
        </is>
      </c>
      <c r="P132" s="25" t="n"/>
    </row>
    <row r="133" ht="15" customHeight="1" s="22">
      <c r="A133" s="36" t="inlineStr">
        <is>
          <t>https://instasure.ca/atv-snowmobile-insurance/</t>
        </is>
      </c>
      <c r="B133" s="36" t="inlineStr">
        <is>
          <t>Service page</t>
        </is>
      </c>
      <c r="C133" s="36" t="inlineStr">
        <is>
          <t>Recreational vehicles</t>
        </is>
      </c>
      <c r="D133" s="36" t="inlineStr">
        <is>
          <t>atv insurance</t>
        </is>
      </c>
      <c r="E133" s="36" t="inlineStr">
        <is>
          <t>Nationwide</t>
        </is>
      </c>
      <c r="F133" s="36" t="n"/>
      <c r="G133" s="36" t="n"/>
      <c r="H133" s="37" t="n">
        <v>880</v>
      </c>
      <c r="I133" s="36" t="n">
        <v>35</v>
      </c>
      <c r="J133" s="36" t="inlineStr">
        <is>
          <t>commercial</t>
        </is>
      </c>
      <c r="K133" s="36" t="inlineStr">
        <is>
          <t>auto-recreational</t>
        </is>
      </c>
      <c r="L133" s="36" t="n">
        <v>4</v>
      </c>
      <c r="M133" s="36" t="inlineStr">
        <is>
          <t>Secondary</t>
        </is>
      </c>
      <c r="N133" s="39">
        <f>IFERROR(IF(ISNUMBER(SEARCH(D133,INDEX(Pages!$J$2:$J$829,MATCH(A133,Pages!$B$2:$B$829,0)))),"Yes","No"),"Page not found")</f>
        <v/>
      </c>
      <c r="O133" s="25" t="inlineStr">
        <is>
          <t>ratehub</t>
        </is>
      </c>
      <c r="P133" s="25" t="n"/>
    </row>
    <row r="134" ht="15" customHeight="1" s="22">
      <c r="A134" s="36" t="inlineStr">
        <is>
          <t>https://instasure.ca/car-insurance/nova-scotia/halifax/</t>
        </is>
      </c>
      <c r="B134" s="36" t="inlineStr">
        <is>
          <t>Product × city</t>
        </is>
      </c>
      <c r="C134" s="36" t="inlineStr">
        <is>
          <t>Car insurance</t>
        </is>
      </c>
      <c r="D134" s="36" t="inlineStr">
        <is>
          <t>car insurance halifax</t>
        </is>
      </c>
      <c r="E134" s="36" t="inlineStr">
        <is>
          <t>City</t>
        </is>
      </c>
      <c r="F134" s="36" t="inlineStr">
        <is>
          <t>Nova Scotia</t>
        </is>
      </c>
      <c r="G134" s="36" t="inlineStr">
        <is>
          <t>Halifax</t>
        </is>
      </c>
      <c r="H134" s="37" t="n">
        <v>1200</v>
      </c>
      <c r="I134" s="36" t="n">
        <v>64</v>
      </c>
      <c r="J134" s="36" t="inlineStr">
        <is>
          <t>local</t>
        </is>
      </c>
      <c r="K134" s="36" t="inlineStr">
        <is>
          <t>auto-local</t>
        </is>
      </c>
      <c r="L134" s="36" t="n">
        <v>2</v>
      </c>
      <c r="M134" s="36" t="inlineStr">
        <is>
          <t>Primary</t>
        </is>
      </c>
      <c r="N134" s="39">
        <f>IFERROR(IF(ISNUMBER(SEARCH(D134,INDEX(Pages!$J$2:$J$829,MATCH(A134,Pages!$B$2:$B$829,0)))),"Yes","No"),"Page not found")</f>
        <v/>
      </c>
      <c r="O134" s="25" t="inlineStr">
        <is>
          <t>ratehub</t>
        </is>
      </c>
      <c r="P134" s="25" t="n"/>
    </row>
    <row r="135" ht="15" customHeight="1" s="22">
      <c r="A135" s="36" t="inlineStr">
        <is>
          <t>https://instasure.ca/car-insurance/nova-scotia/halifax/</t>
        </is>
      </c>
      <c r="B135" s="36" t="inlineStr">
        <is>
          <t>Product × city</t>
        </is>
      </c>
      <c r="C135" s="36" t="inlineStr">
        <is>
          <t>Car insurance</t>
        </is>
      </c>
      <c r="D135" s="36" t="inlineStr">
        <is>
          <t>cheap car insurance halifax</t>
        </is>
      </c>
      <c r="E135" s="36" t="inlineStr">
        <is>
          <t>City</t>
        </is>
      </c>
      <c r="F135" s="36" t="inlineStr">
        <is>
          <t>Nova Scotia</t>
        </is>
      </c>
      <c r="G135" s="36" t="inlineStr">
        <is>
          <t>Halifax</t>
        </is>
      </c>
      <c r="H135" s="37" t="n">
        <v>430</v>
      </c>
      <c r="I135" s="36" t="n">
        <v>59</v>
      </c>
      <c r="J135" s="36" t="inlineStr">
        <is>
          <t>transactional</t>
        </is>
      </c>
      <c r="K135" s="36" t="inlineStr">
        <is>
          <t>auto-local</t>
        </is>
      </c>
      <c r="L135" s="36" t="n">
        <v>3</v>
      </c>
      <c r="M135" s="36" t="inlineStr">
        <is>
          <t>Secondary</t>
        </is>
      </c>
      <c r="N135" s="39">
        <f>IFERROR(IF(ISNUMBER(SEARCH(D135,INDEX(Pages!$J$2:$J$829,MATCH(A135,Pages!$B$2:$B$829,0)))),"Yes","No"),"Page not found")</f>
        <v/>
      </c>
      <c r="O135" s="25" t="inlineStr">
        <is>
          <t>ratehub</t>
        </is>
      </c>
      <c r="P135" s="25" t="inlineStr">
        <is>
          <t>Rates.ca titles lead with "Cheap"; answer with factors and FSA data, not a price promise.</t>
        </is>
      </c>
    </row>
    <row r="136" ht="23.85" customHeight="1" s="22">
      <c r="A136" s="36" t="inlineStr">
        <is>
          <t>https://instasure.ca/car-insurance/nova-scotia/halifax/</t>
        </is>
      </c>
      <c r="B136" s="36" t="inlineStr">
        <is>
          <t>Product × city</t>
        </is>
      </c>
      <c r="C136" s="36" t="inlineStr">
        <is>
          <t>Car insurance</t>
        </is>
      </c>
      <c r="D136" s="36" t="inlineStr">
        <is>
          <t>how much is car insurance in halifax</t>
        </is>
      </c>
      <c r="E136" s="36" t="inlineStr">
        <is>
          <t>City</t>
        </is>
      </c>
      <c r="F136" s="36" t="inlineStr">
        <is>
          <t>Nova Scotia</t>
        </is>
      </c>
      <c r="G136" s="36" t="inlineStr">
        <is>
          <t>Halifax</t>
        </is>
      </c>
      <c r="H136" s="37" t="n">
        <v>250</v>
      </c>
      <c r="I136" s="36" t="n">
        <v>59</v>
      </c>
      <c r="J136" s="36" t="inlineStr">
        <is>
          <t>informational</t>
        </is>
      </c>
      <c r="K136" s="36" t="inlineStr">
        <is>
          <t>auto-local</t>
        </is>
      </c>
      <c r="L136" s="36" t="n">
        <v>3</v>
      </c>
      <c r="M136" s="36" t="inlineStr">
        <is>
          <t>Secondary</t>
        </is>
      </c>
      <c r="N136" s="39">
        <f>IFERROR(IF(ISNUMBER(SEARCH(D136,INDEX(Pages!$J$2:$J$829,MATCH(A136,Pages!$B$2:$B$829,0)))),"Yes","No"),"Page not found")</f>
        <v/>
      </c>
      <c r="O136" s="25" t="inlineStr">
        <is>
          <t>ratehub</t>
        </is>
      </c>
      <c r="P136" s="25" t="inlineStr">
        <is>
          <t>Ratehub ranks a blog post for this. The city page answers it in the first two sentences with a dated average.</t>
        </is>
      </c>
    </row>
    <row r="137" ht="15" customHeight="1" s="22">
      <c r="A137" s="36" t="inlineStr">
        <is>
          <t>https://instasure.ca/car-insurance/ontario/markham/</t>
        </is>
      </c>
      <c r="B137" s="36" t="inlineStr">
        <is>
          <t>Product × city</t>
        </is>
      </c>
      <c r="C137" s="36" t="inlineStr">
        <is>
          <t>Car insurance</t>
        </is>
      </c>
      <c r="D137" s="36" t="inlineStr">
        <is>
          <t>car insurance markham</t>
        </is>
      </c>
      <c r="E137" s="36" t="inlineStr">
        <is>
          <t>City</t>
        </is>
      </c>
      <c r="F137" s="36" t="inlineStr">
        <is>
          <t>Ontario</t>
        </is>
      </c>
      <c r="G137" s="36" t="inlineStr">
        <is>
          <t>Markham</t>
        </is>
      </c>
      <c r="H137" s="37" t="n">
        <v>1200</v>
      </c>
      <c r="I137" s="36" t="n">
        <v>76</v>
      </c>
      <c r="J137" s="36" t="inlineStr">
        <is>
          <t>local</t>
        </is>
      </c>
      <c r="K137" s="36" t="inlineStr">
        <is>
          <t>auto-local</t>
        </is>
      </c>
      <c r="L137" s="36" t="n">
        <v>2</v>
      </c>
      <c r="M137" s="36" t="inlineStr">
        <is>
          <t>Primary</t>
        </is>
      </c>
      <c r="N137" s="39">
        <f>IFERROR(IF(ISNUMBER(SEARCH(D137,INDEX(Pages!$J$2:$J$829,MATCH(A137,Pages!$B$2:$B$829,0)))),"Yes","No"),"Page not found")</f>
        <v/>
      </c>
      <c r="O137" s="25" t="inlineStr">
        <is>
          <t>ratehub, rates.ca</t>
        </is>
      </c>
      <c r="P137" s="25" t="n"/>
    </row>
    <row r="138" ht="15" customHeight="1" s="22">
      <c r="A138" s="36" t="inlineStr">
        <is>
          <t>https://instasure.ca/car-insurance/ontario/markham/</t>
        </is>
      </c>
      <c r="B138" s="36" t="inlineStr">
        <is>
          <t>Product × city</t>
        </is>
      </c>
      <c r="C138" s="36" t="inlineStr">
        <is>
          <t>Car insurance</t>
        </is>
      </c>
      <c r="D138" s="36" t="inlineStr">
        <is>
          <t>cheap car insurance markham</t>
        </is>
      </c>
      <c r="E138" s="36" t="inlineStr">
        <is>
          <t>City</t>
        </is>
      </c>
      <c r="F138" s="36" t="inlineStr">
        <is>
          <t>Ontario</t>
        </is>
      </c>
      <c r="G138" s="36" t="inlineStr">
        <is>
          <t>Markham</t>
        </is>
      </c>
      <c r="H138" s="37" t="n">
        <v>430</v>
      </c>
      <c r="I138" s="36" t="n">
        <v>71</v>
      </c>
      <c r="J138" s="36" t="inlineStr">
        <is>
          <t>transactional</t>
        </is>
      </c>
      <c r="K138" s="36" t="inlineStr">
        <is>
          <t>auto-local</t>
        </is>
      </c>
      <c r="L138" s="36" t="n">
        <v>3</v>
      </c>
      <c r="M138" s="36" t="inlineStr">
        <is>
          <t>Secondary</t>
        </is>
      </c>
      <c r="N138" s="39">
        <f>IFERROR(IF(ISNUMBER(SEARCH(D138,INDEX(Pages!$J$2:$J$829,MATCH(A138,Pages!$B$2:$B$829,0)))),"Yes","No"),"Page not found")</f>
        <v/>
      </c>
      <c r="O138" s="25" t="inlineStr">
        <is>
          <t>ratehub, rates.ca</t>
        </is>
      </c>
      <c r="P138" s="25" t="inlineStr">
        <is>
          <t>Rates.ca titles lead with "Cheap"; answer with factors and FSA data, not a price promise.</t>
        </is>
      </c>
    </row>
    <row r="139" ht="23.85" customHeight="1" s="22">
      <c r="A139" s="36" t="inlineStr">
        <is>
          <t>https://instasure.ca/car-insurance/ontario/markham/</t>
        </is>
      </c>
      <c r="B139" s="36" t="inlineStr">
        <is>
          <t>Product × city</t>
        </is>
      </c>
      <c r="C139" s="36" t="inlineStr">
        <is>
          <t>Car insurance</t>
        </is>
      </c>
      <c r="D139" s="36" t="inlineStr">
        <is>
          <t>how much is car insurance in markham</t>
        </is>
      </c>
      <c r="E139" s="36" t="inlineStr">
        <is>
          <t>City</t>
        </is>
      </c>
      <c r="F139" s="36" t="inlineStr">
        <is>
          <t>Ontario</t>
        </is>
      </c>
      <c r="G139" s="36" t="inlineStr">
        <is>
          <t>Markham</t>
        </is>
      </c>
      <c r="H139" s="37" t="n">
        <v>240</v>
      </c>
      <c r="I139" s="36" t="n">
        <v>71</v>
      </c>
      <c r="J139" s="36" t="inlineStr">
        <is>
          <t>informational</t>
        </is>
      </c>
      <c r="K139" s="36" t="inlineStr">
        <is>
          <t>auto-local</t>
        </is>
      </c>
      <c r="L139" s="36" t="n">
        <v>4</v>
      </c>
      <c r="M139" s="36" t="inlineStr">
        <is>
          <t>Secondary</t>
        </is>
      </c>
      <c r="N139" s="39">
        <f>IFERROR(IF(ISNUMBER(SEARCH(D139,INDEX(Pages!$J$2:$J$829,MATCH(A139,Pages!$B$2:$B$829,0)))),"Yes","No"),"Page not found")</f>
        <v/>
      </c>
      <c r="O139" s="25" t="inlineStr">
        <is>
          <t>ratehub, rates.ca</t>
        </is>
      </c>
      <c r="P139" s="25" t="inlineStr">
        <is>
          <t>Ratehub ranks a blog post for this. The city page answers it in the first two sentences with a dated average.</t>
        </is>
      </c>
    </row>
    <row r="140" ht="15" customHeight="1" s="22">
      <c r="A140" s="36" t="inlineStr">
        <is>
          <t>https://instasure.ca/guides/icbc-optional-insurance-explained/</t>
        </is>
      </c>
      <c r="B140" s="36" t="inlineStr">
        <is>
          <t>Guide (blog)</t>
        </is>
      </c>
      <c r="C140" s="36" t="inlineStr">
        <is>
          <t>Car insurance</t>
        </is>
      </c>
      <c r="D140" s="36" t="inlineStr">
        <is>
          <t>icbc optional insurance</t>
        </is>
      </c>
      <c r="E140" s="36" t="inlineStr">
        <is>
          <t>Provincial</t>
        </is>
      </c>
      <c r="F140" s="36" t="inlineStr">
        <is>
          <t>British Columbia</t>
        </is>
      </c>
      <c r="G140" s="36" t="n"/>
      <c r="H140" s="37" t="n">
        <v>1300</v>
      </c>
      <c r="I140" s="36" t="n">
        <v>40</v>
      </c>
      <c r="J140" s="36" t="inlineStr">
        <is>
          <t>informational</t>
        </is>
      </c>
      <c r="K140" s="36" t="inlineStr">
        <is>
          <t>auto-regulation</t>
        </is>
      </c>
      <c r="L140" s="36" t="n">
        <v>2</v>
      </c>
      <c r="M140" s="36" t="inlineStr">
        <is>
          <t>Primary</t>
        </is>
      </c>
      <c r="N140" s="39">
        <f>IFERROR(IF(ISNUMBER(SEARCH(D140,INDEX(Pages!$J$2:$J$829,MATCH(A140,Pages!$B$2:$B$829,0)))),"Yes","No"),"Page not found")</f>
        <v/>
      </c>
      <c r="O140" s="25" t="inlineStr">
        <is>
          <t>ICBC, BC brokers</t>
        </is>
      </c>
      <c r="P140" s="25" t="inlineStr">
        <is>
          <t>ICBC basic rates are frozen through 2027; optional coverage still varies.</t>
        </is>
      </c>
    </row>
    <row r="141" ht="15" customHeight="1" s="22">
      <c r="A141" s="36" t="inlineStr">
        <is>
          <t>https://instasure.ca/guides/icbc-optional-insurance-explained/</t>
        </is>
      </c>
      <c r="B141" s="36" t="inlineStr">
        <is>
          <t>Guide (blog)</t>
        </is>
      </c>
      <c r="C141" s="36" t="inlineStr">
        <is>
          <t>Car insurance</t>
        </is>
      </c>
      <c r="D141" s="36" t="inlineStr">
        <is>
          <t>icbc low kilometre discount</t>
        </is>
      </c>
      <c r="E141" s="36" t="inlineStr">
        <is>
          <t>Provincial</t>
        </is>
      </c>
      <c r="F141" s="36" t="inlineStr">
        <is>
          <t>British Columbia</t>
        </is>
      </c>
      <c r="G141" s="36" t="n"/>
      <c r="H141" s="37" t="n">
        <v>480</v>
      </c>
      <c r="I141" s="36" t="n">
        <v>30</v>
      </c>
      <c r="J141" s="36" t="inlineStr">
        <is>
          <t>informational</t>
        </is>
      </c>
      <c r="K141" s="36" t="inlineStr">
        <is>
          <t>auto-regulation</t>
        </is>
      </c>
      <c r="L141" s="36" t="n">
        <v>3</v>
      </c>
      <c r="M141" s="36" t="inlineStr">
        <is>
          <t>Secondary</t>
        </is>
      </c>
      <c r="N141" s="39">
        <f>IFERROR(IF(ISNUMBER(SEARCH(D141,INDEX(Pages!$J$2:$J$829,MATCH(A141,Pages!$B$2:$B$829,0)))),"Yes","No"),"Page not found")</f>
        <v/>
      </c>
      <c r="O141" s="25" t="inlineStr">
        <is>
          <t>ICBC</t>
        </is>
      </c>
      <c r="P141" s="25" t="n"/>
    </row>
    <row r="142" ht="15" customHeight="1" s="22">
      <c r="A142" s="36" t="inlineStr">
        <is>
          <t>https://instasure.ca/guides/why-is-my-car-insurance-going-up-2026/</t>
        </is>
      </c>
      <c r="B142" s="36" t="inlineStr">
        <is>
          <t>Guide (blog)</t>
        </is>
      </c>
      <c r="C142" s="36" t="inlineStr">
        <is>
          <t>Car insurance</t>
        </is>
      </c>
      <c r="D142" s="36" t="inlineStr">
        <is>
          <t>why is my car insurance going up</t>
        </is>
      </c>
      <c r="E142" s="36" t="inlineStr">
        <is>
          <t>Nationwide</t>
        </is>
      </c>
      <c r="F142" s="36" t="n"/>
      <c r="G142" s="36" t="n"/>
      <c r="H142" s="37" t="n">
        <v>1600</v>
      </c>
      <c r="I142" s="36" t="n">
        <v>35</v>
      </c>
      <c r="J142" s="36" t="inlineStr">
        <is>
          <t>informational</t>
        </is>
      </c>
      <c r="K142" s="36" t="inlineStr">
        <is>
          <t>auto-regulation</t>
        </is>
      </c>
      <c r="L142" s="36" t="n">
        <v>1</v>
      </c>
      <c r="M142" s="36" t="inlineStr">
        <is>
          <t>Primary</t>
        </is>
      </c>
      <c r="N142" s="39">
        <f>IFERROR(IF(ISNUMBER(SEARCH(D142,INDEX(Pages!$J$2:$J$829,MATCH(A142,Pages!$B$2:$B$829,0)))),"Yes","No"),"Page not found")</f>
        <v/>
      </c>
      <c r="O142" s="25" t="inlineStr">
        <is>
          <t>onlia, rates.ca</t>
        </is>
      </c>
      <c r="P142" s="25" t="inlineStr">
        <is>
          <t>Renewal-notice searches. Refresh each quarter with the Applied Rating Index.</t>
        </is>
      </c>
    </row>
    <row r="143" ht="23.85" customHeight="1" s="22">
      <c r="A143" s="36" t="inlineStr">
        <is>
          <t>https://instasure.ca/life-insurance/seniors/</t>
        </is>
      </c>
      <c r="B143" s="36" t="inlineStr">
        <is>
          <t>Service page</t>
        </is>
      </c>
      <c r="C143" s="36" t="inlineStr">
        <is>
          <t>Life insurance</t>
        </is>
      </c>
      <c r="D143" s="36" t="inlineStr">
        <is>
          <t>life insurance for seniors</t>
        </is>
      </c>
      <c r="E143" s="36" t="inlineStr">
        <is>
          <t>Nationwide</t>
        </is>
      </c>
      <c r="F143" s="36" t="n"/>
      <c r="G143" s="36" t="n"/>
      <c r="H143" s="37" t="n">
        <v>1600</v>
      </c>
      <c r="I143" s="36" t="n">
        <v>50</v>
      </c>
      <c r="J143" s="36" t="inlineStr">
        <is>
          <t>commercial</t>
        </is>
      </c>
      <c r="K143" s="36" t="inlineStr">
        <is>
          <t>life-audience</t>
        </is>
      </c>
      <c r="L143" s="36" t="n">
        <v>2</v>
      </c>
      <c r="M143" s="36" t="inlineStr">
        <is>
          <t>Primary</t>
        </is>
      </c>
      <c r="N143" s="39">
        <f>IFERROR(IF(ISNUMBER(SEARCH(D143,INDEX(Pages!$J$2:$J$829,MATCH(A143,Pages!$B$2:$B$829,0)))),"Yes","No"),"Page not found")</f>
        <v/>
      </c>
      <c r="O143" s="25" t="inlineStr">
        <is>
          <t>policyadvisor, sun life</t>
        </is>
      </c>
      <c r="P143" s="25" t="inlineStr">
        <is>
          <t>Built with a seniors example estimate (no-medical, guaranteed issue and final expense covered on the page).</t>
        </is>
      </c>
    </row>
    <row r="144" ht="15" customHeight="1" s="22">
      <c r="A144" s="36" t="inlineStr">
        <is>
          <t>https://instasure.ca/tenant-insurance/ontario/</t>
        </is>
      </c>
      <c r="B144" s="36" t="inlineStr">
        <is>
          <t>Product × province</t>
        </is>
      </c>
      <c r="C144" s="36" t="inlineStr">
        <is>
          <t>Tenant insurance</t>
        </is>
      </c>
      <c r="D144" s="36" t="inlineStr">
        <is>
          <t>tenant insurance ontario</t>
        </is>
      </c>
      <c r="E144" s="36" t="inlineStr">
        <is>
          <t>Provincial</t>
        </is>
      </c>
      <c r="F144" s="36" t="inlineStr">
        <is>
          <t>Ontario</t>
        </is>
      </c>
      <c r="G144" s="36" t="n"/>
      <c r="H144" s="37" t="n">
        <v>1600</v>
      </c>
      <c r="I144" s="36" t="n">
        <v>62</v>
      </c>
      <c r="J144" s="36" t="inlineStr">
        <is>
          <t>commercial</t>
        </is>
      </c>
      <c r="K144" s="36" t="inlineStr">
        <is>
          <t>property-province</t>
        </is>
      </c>
      <c r="L144" s="36" t="n">
        <v>3</v>
      </c>
      <c r="M144" s="36" t="inlineStr">
        <is>
          <t>Primary</t>
        </is>
      </c>
      <c r="N144" s="39">
        <f>IFERROR(IF(ISNUMBER(SEARCH(D144,INDEX(Pages!$J$2:$J$829,MATCH(A144,Pages!$B$2:$B$829,0)))),"Yes","No"),"Page not found")</f>
        <v/>
      </c>
      <c r="O144" s="25" t="inlineStr">
        <is>
          <t>ratehub, rates.ca, sonnet</t>
        </is>
      </c>
      <c r="P144" s="25" t="n"/>
    </row>
    <row r="145" ht="15" customHeight="1" s="22">
      <c r="A145" s="36" t="inlineStr">
        <is>
          <t>https://instasure.ca/home-insurance/british-columbia/</t>
        </is>
      </c>
      <c r="B145" s="36" t="inlineStr">
        <is>
          <t>Product × province</t>
        </is>
      </c>
      <c r="C145" s="36" t="inlineStr">
        <is>
          <t>Home insurance</t>
        </is>
      </c>
      <c r="D145" s="36" t="inlineStr">
        <is>
          <t>home insurance bc</t>
        </is>
      </c>
      <c r="E145" s="36" t="inlineStr">
        <is>
          <t>Provincial</t>
        </is>
      </c>
      <c r="F145" s="36" t="inlineStr">
        <is>
          <t>British Columbia</t>
        </is>
      </c>
      <c r="G145" s="36" t="n"/>
      <c r="H145" s="37" t="n">
        <v>1000</v>
      </c>
      <c r="I145" s="36" t="n">
        <v>53</v>
      </c>
      <c r="J145" s="36" t="inlineStr">
        <is>
          <t>commercial</t>
        </is>
      </c>
      <c r="K145" s="36" t="inlineStr">
        <is>
          <t>property-province</t>
        </is>
      </c>
      <c r="L145" s="36" t="n">
        <v>1</v>
      </c>
      <c r="M145" s="36" t="inlineStr">
        <is>
          <t>Primary</t>
        </is>
      </c>
      <c r="N145" s="39">
        <f>IFERROR(IF(ISNUMBER(SEARCH(D145,INDEX(Pages!$J$2:$J$829,MATCH(A145,Pages!$B$2:$B$829,0)))),"Yes","No"),"Page not found")</f>
        <v/>
      </c>
      <c r="O145" s="25" t="inlineStr">
        <is>
          <t>sonnet</t>
        </is>
      </c>
      <c r="P145" s="25" t="n"/>
    </row>
    <row r="146" ht="15" customHeight="1" s="22">
      <c r="A146" s="36" t="inlineStr">
        <is>
          <t>https://instasure.ca/home-insurance/british-columbia/</t>
        </is>
      </c>
      <c r="B146" s="36" t="inlineStr">
        <is>
          <t>Product × province</t>
        </is>
      </c>
      <c r="C146" s="36" t="inlineStr">
        <is>
          <t>Home insurance</t>
        </is>
      </c>
      <c r="D146" s="36" t="inlineStr">
        <is>
          <t>earthquake insurance bc</t>
        </is>
      </c>
      <c r="E146" s="36" t="inlineStr">
        <is>
          <t>Provincial</t>
        </is>
      </c>
      <c r="F146" s="36" t="inlineStr">
        <is>
          <t>British Columbia</t>
        </is>
      </c>
      <c r="G146" s="36" t="n"/>
      <c r="H146" s="37" t="n">
        <v>590</v>
      </c>
      <c r="I146" s="36" t="n">
        <v>35</v>
      </c>
      <c r="J146" s="36" t="inlineStr">
        <is>
          <t>informational</t>
        </is>
      </c>
      <c r="K146" s="36" t="inlineStr">
        <is>
          <t>property-coverage</t>
        </is>
      </c>
      <c r="L146" s="36" t="n">
        <v>2</v>
      </c>
      <c r="M146" s="36" t="inlineStr">
        <is>
          <t>Secondary</t>
        </is>
      </c>
      <c r="N146" s="39">
        <f>IFERROR(IF(ISNUMBER(SEARCH(D146,INDEX(Pages!$J$2:$J$829,MATCH(A146,Pages!$B$2:$B$829,0)))),"Yes","No"),"Page not found")</f>
        <v/>
      </c>
      <c r="O146" s="25" t="inlineStr">
        <is>
          <t>sonnet (optional in BC)</t>
        </is>
      </c>
      <c r="P146" s="25" t="n"/>
    </row>
    <row r="147" ht="15" customHeight="1" s="22">
      <c r="A147" s="36" t="inlineStr">
        <is>
          <t>https://instasure.ca/car-insurance/rideshare-and-delivery/</t>
        </is>
      </c>
      <c r="B147" s="36" t="inlineStr">
        <is>
          <t>Service page</t>
        </is>
      </c>
      <c r="C147" s="36" t="inlineStr">
        <is>
          <t>Car insurance</t>
        </is>
      </c>
      <c r="D147" s="36" t="inlineStr">
        <is>
          <t>uber insurance canada</t>
        </is>
      </c>
      <c r="E147" s="36" t="inlineStr">
        <is>
          <t>Nationwide</t>
        </is>
      </c>
      <c r="F147" s="36" t="n"/>
      <c r="G147" s="36" t="n"/>
      <c r="H147" s="37" t="n">
        <v>1000</v>
      </c>
      <c r="I147" s="36" t="n">
        <v>40</v>
      </c>
      <c r="J147" s="36" t="inlineStr">
        <is>
          <t>commercial</t>
        </is>
      </c>
      <c r="K147" s="36" t="inlineStr">
        <is>
          <t>auto-persona</t>
        </is>
      </c>
      <c r="L147" s="36" t="n">
        <v>2</v>
      </c>
      <c r="M147" s="36" t="inlineStr">
        <is>
          <t>Primary</t>
        </is>
      </c>
      <c r="N147" s="39">
        <f>IFERROR(IF(ISNUMBER(SEARCH(D147,INDEX(Pages!$J$2:$J$829,MATCH(A147,Pages!$B$2:$B$829,0)))),"Yes","No"),"Page not found")</f>
        <v/>
      </c>
      <c r="O147" s="25" t="inlineStr">
        <is>
          <t>ratehub, mychoice, thinkinsure</t>
        </is>
      </c>
      <c r="P147" s="25" t="inlineStr">
        <is>
          <t>Built with the Gig driver desk. The Ontario gig-driver guide supports it.</t>
        </is>
      </c>
    </row>
    <row r="148" ht="23.85" customHeight="1" s="22">
      <c r="A148" s="36" t="inlineStr">
        <is>
          <t>https://instasure.ca/car-insurance/rideshare-and-delivery/</t>
        </is>
      </c>
      <c r="B148" s="36" t="inlineStr">
        <is>
          <t>Service page</t>
        </is>
      </c>
      <c r="C148" s="36" t="inlineStr">
        <is>
          <t>Car insurance</t>
        </is>
      </c>
      <c r="D148" s="36" t="inlineStr">
        <is>
          <t>doordash insurance canada</t>
        </is>
      </c>
      <c r="E148" s="36" t="inlineStr">
        <is>
          <t>Nationwide</t>
        </is>
      </c>
      <c r="F148" s="36" t="n"/>
      <c r="G148" s="36" t="n"/>
      <c r="H148" s="37" t="n">
        <v>480</v>
      </c>
      <c r="I148" s="36" t="n">
        <v>25</v>
      </c>
      <c r="J148" s="36" t="inlineStr">
        <is>
          <t>commercial</t>
        </is>
      </c>
      <c r="K148" s="36" t="inlineStr">
        <is>
          <t>auto-persona</t>
        </is>
      </c>
      <c r="L148" s="36" t="n">
        <v>2</v>
      </c>
      <c r="M148" s="36" t="inlineStr">
        <is>
          <t>Secondary</t>
        </is>
      </c>
      <c r="N148" s="39">
        <f>IFERROR(IF(ISNUMBER(SEARCH(D148,INDEX(Pages!$J$2:$J$829,MATCH(A148,Pages!$B$2:$B$829,0)))),"Yes","No"),"Page not found")</f>
        <v/>
      </c>
      <c r="O148" s="25" t="inlineStr">
        <is>
          <t>everlance, thinkinsure</t>
        </is>
      </c>
      <c r="P148" s="25" t="inlineStr">
        <is>
          <t>Gig drivers are the group most exposed by the Ontario accident-benefits opt-out. Service page plus the Ontario guide.</t>
        </is>
      </c>
    </row>
    <row r="149" ht="15" customHeight="1" s="22">
      <c r="A149" s="36" t="inlineStr">
        <is>
          <t>https://instasure.ca/car-insurance/classic-cars/</t>
        </is>
      </c>
      <c r="B149" s="36" t="inlineStr">
        <is>
          <t>Service page</t>
        </is>
      </c>
      <c r="C149" s="36" t="inlineStr">
        <is>
          <t>Car insurance</t>
        </is>
      </c>
      <c r="D149" s="36" t="inlineStr">
        <is>
          <t>classic car insurance</t>
        </is>
      </c>
      <c r="E149" s="36" t="inlineStr">
        <is>
          <t>Nationwide</t>
        </is>
      </c>
      <c r="F149" s="36" t="n"/>
      <c r="G149" s="36" t="n"/>
      <c r="H149" s="37" t="n">
        <v>1300</v>
      </c>
      <c r="I149" s="36" t="n">
        <v>50</v>
      </c>
      <c r="J149" s="36" t="inlineStr">
        <is>
          <t>commercial</t>
        </is>
      </c>
      <c r="K149" s="36" t="inlineStr">
        <is>
          <t>auto-persona</t>
        </is>
      </c>
      <c r="L149" s="36" t="n">
        <v>4</v>
      </c>
      <c r="M149" s="36" t="inlineStr">
        <is>
          <t>Primary</t>
        </is>
      </c>
      <c r="N149" s="39">
        <f>IFERROR(IF(ISNUMBER(SEARCH(D149,INDEX(Pages!$J$2:$J$829,MATCH(A149,Pages!$B$2:$B$829,0)))),"Yes","No"),"Page not found")</f>
        <v/>
      </c>
      <c r="O149" s="25" t="inlineStr">
        <is>
          <t>ratehub</t>
        </is>
      </c>
      <c r="P149" s="25" t="inlineStr">
        <is>
          <t>Built (advisor-quoted). Specialty market with low advisor fit.</t>
        </is>
      </c>
    </row>
    <row r="150" ht="15" customHeight="1" s="22">
      <c r="A150" s="36" t="inlineStr">
        <is>
          <t>https://instasure.ca/guides/mortgage-life-insurance-vs-term-life-insurance/</t>
        </is>
      </c>
      <c r="B150" s="36" t="inlineStr">
        <is>
          <t>Guide (blog)</t>
        </is>
      </c>
      <c r="C150" s="36" t="inlineStr">
        <is>
          <t>Mortgage protection</t>
        </is>
      </c>
      <c r="D150" s="36" t="inlineStr">
        <is>
          <t>mortgage insurance vs life insurance</t>
        </is>
      </c>
      <c r="E150" s="36" t="inlineStr">
        <is>
          <t>Nationwide</t>
        </is>
      </c>
      <c r="F150" s="36" t="n"/>
      <c r="G150" s="36" t="n"/>
      <c r="H150" s="37" t="n">
        <v>1300</v>
      </c>
      <c r="I150" s="36" t="n">
        <v>50</v>
      </c>
      <c r="J150" s="36" t="inlineStr">
        <is>
          <t>informational</t>
        </is>
      </c>
      <c r="K150" s="36" t="inlineStr">
        <is>
          <t>life-mortgage</t>
        </is>
      </c>
      <c r="L150" s="36" t="n">
        <v>1</v>
      </c>
      <c r="M150" s="36" t="inlineStr">
        <is>
          <t>Primary</t>
        </is>
      </c>
      <c r="N150" s="39">
        <f>IFERROR(IF(ISNUMBER(SEARCH(D150,INDEX(Pages!$J$2:$J$829,MATCH(A150,Pages!$B$2:$B$829,0)))),"Yes","No"),"Page not found")</f>
        <v/>
      </c>
      <c r="O150" s="25" t="inlineStr">
        <is>
          <t>policyadvisor, ratehub, policyme, money.ca</t>
        </is>
      </c>
      <c r="P150" s="25" t="n"/>
    </row>
    <row r="151" ht="15" customHeight="1" s="22">
      <c r="A151" s="36" t="inlineStr">
        <is>
          <t>https://instasure.ca/health-dental-insurance/ontario/</t>
        </is>
      </c>
      <c r="B151" s="36" t="inlineStr">
        <is>
          <t>Product × province</t>
        </is>
      </c>
      <c r="C151" s="36" t="inlineStr">
        <is>
          <t>Health &amp; dental insurance</t>
        </is>
      </c>
      <c r="D151" s="36" t="inlineStr">
        <is>
          <t>health insurance ontario</t>
        </is>
      </c>
      <c r="E151" s="36" t="inlineStr">
        <is>
          <t>Provincial</t>
        </is>
      </c>
      <c r="F151" s="36" t="inlineStr">
        <is>
          <t>Ontario</t>
        </is>
      </c>
      <c r="G151" s="36" t="n"/>
      <c r="H151" s="37" t="n">
        <v>1300</v>
      </c>
      <c r="I151" s="36" t="n">
        <v>61</v>
      </c>
      <c r="J151" s="36" t="inlineStr">
        <is>
          <t>commercial</t>
        </is>
      </c>
      <c r="K151" s="36" t="inlineStr">
        <is>
          <t>health-province</t>
        </is>
      </c>
      <c r="L151" s="36" t="n">
        <v>1</v>
      </c>
      <c r="M151" s="36" t="inlineStr">
        <is>
          <t>Primary</t>
        </is>
      </c>
      <c r="N151" s="39">
        <f>IFERROR(IF(ISNUMBER(SEARCH(D151,INDEX(Pages!$J$2:$J$829,MATCH(A151,Pages!$B$2:$B$829,0)))),"Yes","No"),"Page not found")</f>
        <v/>
      </c>
      <c r="O151" s="25" t="inlineStr">
        <is>
          <t>policyadvisor</t>
        </is>
      </c>
      <c r="P151" s="25" t="n"/>
    </row>
    <row r="152" ht="15" customHeight="1" s="22">
      <c r="A152" s="36" t="inlineStr">
        <is>
          <t>https://instasure.ca/life-insurance/universal-life/</t>
        </is>
      </c>
      <c r="B152" s="36" t="inlineStr">
        <is>
          <t>Service page</t>
        </is>
      </c>
      <c r="C152" s="36" t="inlineStr">
        <is>
          <t>Life insurance</t>
        </is>
      </c>
      <c r="D152" s="36" t="inlineStr">
        <is>
          <t>universal life insurance</t>
        </is>
      </c>
      <c r="E152" s="36" t="inlineStr">
        <is>
          <t>Nationwide</t>
        </is>
      </c>
      <c r="F152" s="36" t="n"/>
      <c r="G152" s="36" t="n"/>
      <c r="H152" s="37" t="n">
        <v>1300</v>
      </c>
      <c r="I152" s="36" t="n">
        <v>55</v>
      </c>
      <c r="J152" s="36" t="inlineStr">
        <is>
          <t>commercial</t>
        </is>
      </c>
      <c r="K152" s="36" t="inlineStr">
        <is>
          <t>life-core</t>
        </is>
      </c>
      <c r="L152" s="36" t="n">
        <v>3</v>
      </c>
      <c r="M152" s="36" t="inlineStr">
        <is>
          <t>Primary</t>
        </is>
      </c>
      <c r="N152" s="39">
        <f>IFERROR(IF(ISNUMBER(SEARCH(D152,INDEX(Pages!$J$2:$J$829,MATCH(A152,Pages!$B$2:$B$829,0)))),"Yes","No"),"Page not found")</f>
        <v/>
      </c>
      <c r="O152" s="25" t="inlineStr">
        <is>
          <t>policyadvisor, sun life, ratehub</t>
        </is>
      </c>
      <c r="P152" s="25" t="inlineStr">
        <is>
          <t>Built (service page under whole life).</t>
        </is>
      </c>
    </row>
    <row r="153" ht="15" customHeight="1" s="22">
      <c r="A153" s="36" t="inlineStr">
        <is>
          <t>https://instasure.ca/long-term-care-insurance/</t>
        </is>
      </c>
      <c r="B153" s="36" t="inlineStr">
        <is>
          <t>Service page</t>
        </is>
      </c>
      <c r="C153" s="36" t="inlineStr">
        <is>
          <t>Health &amp; dental insurance</t>
        </is>
      </c>
      <c r="D153" s="36" t="inlineStr">
        <is>
          <t>long term care insurance canada</t>
        </is>
      </c>
      <c r="E153" s="36" t="inlineStr">
        <is>
          <t>Nationwide</t>
        </is>
      </c>
      <c r="F153" s="36" t="n"/>
      <c r="G153" s="36" t="n"/>
      <c r="H153" s="37" t="n">
        <v>1300</v>
      </c>
      <c r="I153" s="36" t="n">
        <v>45</v>
      </c>
      <c r="J153" s="36" t="inlineStr">
        <is>
          <t>commercial</t>
        </is>
      </c>
      <c r="K153" s="36" t="inlineStr">
        <is>
          <t>health-dental</t>
        </is>
      </c>
      <c r="L153" s="36" t="n">
        <v>3</v>
      </c>
      <c r="M153" s="36" t="inlineStr">
        <is>
          <t>Primary</t>
        </is>
      </c>
      <c r="N153" s="39">
        <f>IFERROR(IF(ISNUMBER(SEARCH(D153,INDEX(Pages!$J$2:$J$829,MATCH(A153,Pages!$B$2:$B$829,0)))),"Yes","No"),"Page not found")</f>
        <v/>
      </c>
      <c r="O153" s="25" t="inlineStr">
        <is>
          <t>ratehub, policyadvisor</t>
        </is>
      </c>
      <c r="P153" s="25" t="inlineStr">
        <is>
          <t>Few Canadian insurers still sell individual LTC; the page says so and covers the alternatives.</t>
        </is>
      </c>
    </row>
    <row r="154" ht="15" customHeight="1" s="22">
      <c r="A154" s="36" t="inlineStr">
        <is>
          <t>https://instasure.ca/tenant-insurance/ontario/toronto/</t>
        </is>
      </c>
      <c r="B154" s="36" t="inlineStr">
        <is>
          <t>Product × city</t>
        </is>
      </c>
      <c r="C154" s="36" t="inlineStr">
        <is>
          <t>Tenant insurance</t>
        </is>
      </c>
      <c r="D154" s="36" t="inlineStr">
        <is>
          <t>tenant insurance toronto</t>
        </is>
      </c>
      <c r="E154" s="36" t="inlineStr">
        <is>
          <t>City</t>
        </is>
      </c>
      <c r="F154" s="36" t="inlineStr">
        <is>
          <t>Ontario</t>
        </is>
      </c>
      <c r="G154" s="36" t="inlineStr">
        <is>
          <t>Toronto</t>
        </is>
      </c>
      <c r="H154" s="37" t="n">
        <v>1300</v>
      </c>
      <c r="I154" s="36" t="n">
        <v>60</v>
      </c>
      <c r="J154" s="36" t="inlineStr">
        <is>
          <t>local</t>
        </is>
      </c>
      <c r="K154" s="36" t="inlineStr">
        <is>
          <t>property-local</t>
        </is>
      </c>
      <c r="L154" s="36" t="n">
        <v>3</v>
      </c>
      <c r="M154" s="36" t="inlineStr">
        <is>
          <t>Primary</t>
        </is>
      </c>
      <c r="N154" s="39">
        <f>IFERROR(IF(ISNUMBER(SEARCH(D154,INDEX(Pages!$J$2:$J$829,MATCH(A154,Pages!$B$2:$B$829,0)))),"Yes","No"),"Page not found")</f>
        <v/>
      </c>
      <c r="O154" s="25" t="inlineStr">
        <is>
          <t>ratehub, rates.ca, sonnet</t>
        </is>
      </c>
      <c r="P154" s="25" t="n"/>
    </row>
    <row r="155" ht="15" customHeight="1" s="22">
      <c r="A155" s="36" t="inlineStr">
        <is>
          <t>https://instasure.ca/umbrella-insurance/</t>
        </is>
      </c>
      <c r="B155" s="36" t="inlineStr">
        <is>
          <t>Service page</t>
        </is>
      </c>
      <c r="C155" s="36" t="inlineStr">
        <is>
          <t>Home insurance</t>
        </is>
      </c>
      <c r="D155" s="36" t="inlineStr">
        <is>
          <t>umbrella insurance</t>
        </is>
      </c>
      <c r="E155" s="36" t="inlineStr">
        <is>
          <t>Nationwide</t>
        </is>
      </c>
      <c r="F155" s="36" t="n"/>
      <c r="G155" s="36" t="n"/>
      <c r="H155" s="37" t="n">
        <v>1300</v>
      </c>
      <c r="I155" s="36" t="n">
        <v>40</v>
      </c>
      <c r="J155" s="36" t="inlineStr">
        <is>
          <t>commercial</t>
        </is>
      </c>
      <c r="K155" s="36" t="inlineStr">
        <is>
          <t>property-niche</t>
        </is>
      </c>
      <c r="L155" s="36" t="n">
        <v>3</v>
      </c>
      <c r="M155" s="36" t="inlineStr">
        <is>
          <t>Primary</t>
        </is>
      </c>
      <c r="N155" s="39">
        <f>IFERROR(IF(ISNUMBER(SEARCH(D155,INDEX(Pages!$J$2:$J$829,MATCH(A155,Pages!$B$2:$B$829,0)))),"Yes","No"),"Page not found")</f>
        <v/>
      </c>
      <c r="O155" s="25" t="inlineStr">
        <is>
          <t>ratehub</t>
        </is>
      </c>
      <c r="P155" s="25" t="inlineStr">
        <is>
          <t>Good cross-sell for landlords, cottage owners and boat owners.</t>
        </is>
      </c>
    </row>
    <row r="156" ht="15" customHeight="1" s="22">
      <c r="A156" s="36" t="inlineStr">
        <is>
          <t>https://instasure.ca/car-insurance/ontario/london/</t>
        </is>
      </c>
      <c r="B156" s="36" t="inlineStr">
        <is>
          <t>Product × city</t>
        </is>
      </c>
      <c r="C156" s="36" t="inlineStr">
        <is>
          <t>Car insurance</t>
        </is>
      </c>
      <c r="D156" s="36" t="inlineStr">
        <is>
          <t>car insurance london ontario</t>
        </is>
      </c>
      <c r="E156" s="36" t="inlineStr">
        <is>
          <t>City</t>
        </is>
      </c>
      <c r="F156" s="36" t="inlineStr">
        <is>
          <t>Ontario</t>
        </is>
      </c>
      <c r="G156" s="36" t="inlineStr">
        <is>
          <t>London</t>
        </is>
      </c>
      <c r="H156" s="37" t="n">
        <v>830</v>
      </c>
      <c r="I156" s="36" t="n">
        <v>76</v>
      </c>
      <c r="J156" s="36" t="inlineStr">
        <is>
          <t>local</t>
        </is>
      </c>
      <c r="K156" s="36" t="inlineStr">
        <is>
          <t>auto-local</t>
        </is>
      </c>
      <c r="L156" s="36" t="n">
        <v>2</v>
      </c>
      <c r="M156" s="36" t="inlineStr">
        <is>
          <t>Primary</t>
        </is>
      </c>
      <c r="N156" s="39">
        <f>IFERROR(IF(ISNUMBER(SEARCH(D156,INDEX(Pages!$J$2:$J$829,MATCH(A156,Pages!$B$2:$B$829,0)))),"Yes","No"),"Page not found")</f>
        <v/>
      </c>
      <c r="O156" s="25" t="inlineStr">
        <is>
          <t>ratehub, rates.ca</t>
        </is>
      </c>
      <c r="P156" s="25" t="n"/>
    </row>
    <row r="157" ht="15" customHeight="1" s="22">
      <c r="A157" s="36" t="inlineStr">
        <is>
          <t>https://instasure.ca/car-insurance/ontario/london/</t>
        </is>
      </c>
      <c r="B157" s="36" t="inlineStr">
        <is>
          <t>Product × city</t>
        </is>
      </c>
      <c r="C157" s="36" t="inlineStr">
        <is>
          <t>Car insurance</t>
        </is>
      </c>
      <c r="D157" s="36" t="inlineStr">
        <is>
          <t>cheap car insurance london ontario</t>
        </is>
      </c>
      <c r="E157" s="36" t="inlineStr">
        <is>
          <t>City</t>
        </is>
      </c>
      <c r="F157" s="36" t="inlineStr">
        <is>
          <t>Ontario</t>
        </is>
      </c>
      <c r="G157" s="36" t="inlineStr">
        <is>
          <t>London</t>
        </is>
      </c>
      <c r="H157" s="37" t="n">
        <v>290</v>
      </c>
      <c r="I157" s="36" t="n">
        <v>71</v>
      </c>
      <c r="J157" s="36" t="inlineStr">
        <is>
          <t>transactional</t>
        </is>
      </c>
      <c r="K157" s="36" t="inlineStr">
        <is>
          <t>auto-local</t>
        </is>
      </c>
      <c r="L157" s="36" t="n">
        <v>3</v>
      </c>
      <c r="M157" s="36" t="inlineStr">
        <is>
          <t>Secondary</t>
        </is>
      </c>
      <c r="N157" s="39">
        <f>IFERROR(IF(ISNUMBER(SEARCH(D157,INDEX(Pages!$J$2:$J$829,MATCH(A157,Pages!$B$2:$B$829,0)))),"Yes","No"),"Page not found")</f>
        <v/>
      </c>
      <c r="O157" s="25" t="inlineStr">
        <is>
          <t>ratehub, rates.ca</t>
        </is>
      </c>
      <c r="P157" s="25" t="inlineStr">
        <is>
          <t>Rates.ca titles lead with "Cheap"; answer with factors and FSA data, not a price promise.</t>
        </is>
      </c>
    </row>
    <row r="158" ht="23.85" customHeight="1" s="22">
      <c r="A158" s="36" t="inlineStr">
        <is>
          <t>https://instasure.ca/car-insurance/ontario/london/</t>
        </is>
      </c>
      <c r="B158" s="36" t="inlineStr">
        <is>
          <t>Product × city</t>
        </is>
      </c>
      <c r="C158" s="36" t="inlineStr">
        <is>
          <t>Car insurance</t>
        </is>
      </c>
      <c r="D158" s="36" t="inlineStr">
        <is>
          <t>how much is car insurance in london ontario</t>
        </is>
      </c>
      <c r="E158" s="36" t="inlineStr">
        <is>
          <t>City</t>
        </is>
      </c>
      <c r="F158" s="36" t="inlineStr">
        <is>
          <t>Ontario</t>
        </is>
      </c>
      <c r="G158" s="36" t="inlineStr">
        <is>
          <t>London</t>
        </is>
      </c>
      <c r="H158" s="37" t="n">
        <v>170</v>
      </c>
      <c r="I158" s="36" t="n">
        <v>71</v>
      </c>
      <c r="J158" s="36" t="inlineStr">
        <is>
          <t>informational</t>
        </is>
      </c>
      <c r="K158" s="36" t="inlineStr">
        <is>
          <t>auto-local</t>
        </is>
      </c>
      <c r="L158" s="36" t="n">
        <v>4</v>
      </c>
      <c r="M158" s="36" t="inlineStr">
        <is>
          <t>Secondary</t>
        </is>
      </c>
      <c r="N158" s="39">
        <f>IFERROR(IF(ISNUMBER(SEARCH(D158,INDEX(Pages!$J$2:$J$829,MATCH(A158,Pages!$B$2:$B$829,0)))),"Yes","No"),"Page not found")</f>
        <v/>
      </c>
      <c r="O158" s="25" t="inlineStr">
        <is>
          <t>ratehub, rates.ca</t>
        </is>
      </c>
      <c r="P158" s="25" t="inlineStr">
        <is>
          <t>Ratehub ranks a blog post for this. The city page answers it in the first two sentences with a dated average.</t>
        </is>
      </c>
    </row>
    <row r="159" ht="15" customHeight="1" s="22">
      <c r="A159" s="36" t="inlineStr">
        <is>
          <t>https://instasure.ca/business-insurance/ontario/</t>
        </is>
      </c>
      <c r="B159" s="36" t="inlineStr">
        <is>
          <t>Product × province</t>
        </is>
      </c>
      <c r="C159" s="36" t="inlineStr">
        <is>
          <t>Business insurance</t>
        </is>
      </c>
      <c r="D159" s="36" t="inlineStr">
        <is>
          <t>business insurance ontario</t>
        </is>
      </c>
      <c r="E159" s="36" t="inlineStr">
        <is>
          <t>Provincial</t>
        </is>
      </c>
      <c r="F159" s="36" t="inlineStr">
        <is>
          <t>Ontario</t>
        </is>
      </c>
      <c r="G159" s="36" t="n"/>
      <c r="H159" s="37" t="n">
        <v>1200</v>
      </c>
      <c r="I159" s="36" t="n">
        <v>52</v>
      </c>
      <c r="J159" s="36" t="inlineStr">
        <is>
          <t>commercial</t>
        </is>
      </c>
      <c r="K159" s="36" t="inlineStr">
        <is>
          <t>business-province</t>
        </is>
      </c>
      <c r="L159" s="36" t="n">
        <v>1</v>
      </c>
      <c r="M159" s="36" t="inlineStr">
        <is>
          <t>Primary</t>
        </is>
      </c>
      <c r="N159" s="39">
        <f>IFERROR(IF(ISNUMBER(SEARCH(D159,INDEX(Pages!$J$2:$J$829,MATCH(A159,Pages!$B$2:$B$829,0)))),"Yes","No"),"Page not found")</f>
        <v/>
      </c>
      <c r="O159" s="25" t="inlineStr">
        <is>
          <t>(none seen)</t>
        </is>
      </c>
      <c r="P159" s="25" t="n"/>
    </row>
    <row r="160" ht="15" customHeight="1" s="22">
      <c r="A160" s="36" t="inlineStr">
        <is>
          <t>https://instasure.ca/car-insurance/quebec/montreal/</t>
        </is>
      </c>
      <c r="B160" s="36" t="inlineStr">
        <is>
          <t>Product × city</t>
        </is>
      </c>
      <c r="C160" s="36" t="inlineStr">
        <is>
          <t>Car insurance</t>
        </is>
      </c>
      <c r="D160" s="36" t="inlineStr">
        <is>
          <t>car insurance montreal</t>
        </is>
      </c>
      <c r="E160" s="36" t="inlineStr">
        <is>
          <t>City</t>
        </is>
      </c>
      <c r="F160" s="36" t="inlineStr">
        <is>
          <t>Quebec</t>
        </is>
      </c>
      <c r="G160" s="36" t="inlineStr">
        <is>
          <t>Montreal</t>
        </is>
      </c>
      <c r="H160" s="37" t="n">
        <v>1200</v>
      </c>
      <c r="I160" s="36" t="n">
        <v>68</v>
      </c>
      <c r="J160" s="36" t="inlineStr">
        <is>
          <t>local</t>
        </is>
      </c>
      <c r="K160" s="36" t="inlineStr">
        <is>
          <t>auto-local</t>
        </is>
      </c>
      <c r="L160" s="36" t="n">
        <v>3</v>
      </c>
      <c r="M160" s="36" t="inlineStr">
        <is>
          <t>Primary</t>
        </is>
      </c>
      <c r="N160" s="39">
        <f>IFERROR(IF(ISNUMBER(SEARCH(D160,INDEX(Pages!$J$2:$J$829,MATCH(A160,Pages!$B$2:$B$829,0)))),"Yes","No"),"Page not found")</f>
        <v/>
      </c>
      <c r="O160" s="25" t="inlineStr">
        <is>
          <t>ratehub, sonnet</t>
        </is>
      </c>
      <c r="P160" s="25" t="inlineStr">
        <is>
          <t>Quebec waitlist until AMF registration.</t>
        </is>
      </c>
    </row>
    <row r="161" ht="15" customHeight="1" s="22">
      <c r="A161" s="36" t="inlineStr">
        <is>
          <t>https://instasure.ca/glossary/</t>
        </is>
      </c>
      <c r="B161" s="36" t="inlineStr">
        <is>
          <t>Static / tool</t>
        </is>
      </c>
      <c r="C161" s="36" t="inlineStr">
        <is>
          <t>Car insurance</t>
        </is>
      </c>
      <c r="D161" s="36" t="inlineStr">
        <is>
          <t>car insurance deductible</t>
        </is>
      </c>
      <c r="E161" s="36" t="inlineStr">
        <is>
          <t>Nationwide</t>
        </is>
      </c>
      <c r="F161" s="36" t="n"/>
      <c r="G161" s="36" t="n"/>
      <c r="H161" s="37" t="n">
        <v>880</v>
      </c>
      <c r="I161" s="36" t="n">
        <v>35</v>
      </c>
      <c r="J161" s="36" t="inlineStr">
        <is>
          <t>informational</t>
        </is>
      </c>
      <c r="K161" s="36" t="inlineStr">
        <is>
          <t>auto-coverage</t>
        </is>
      </c>
      <c r="L161" s="36" t="n">
        <v>4</v>
      </c>
      <c r="M161" s="36" t="inlineStr">
        <is>
          <t>Primary</t>
        </is>
      </c>
      <c r="N161" s="39">
        <f>IFERROR(IF(ISNUMBER(SEARCH(D161,INDEX(Pages!$J$2:$J$829,MATCH(A161,Pages!$B$2:$B$829,0)))),"Yes","No"),"Page not found")</f>
        <v/>
      </c>
      <c r="O161" s="25" t="inlineStr">
        <is>
          <t>sonnet</t>
        </is>
      </c>
      <c r="P161" s="25" t="n"/>
    </row>
    <row r="162" ht="15" customHeight="1" s="22">
      <c r="A162" s="36" t="inlineStr">
        <is>
          <t>https://instasure.ca/glossary/</t>
        </is>
      </c>
      <c r="B162" s="36" t="inlineStr">
        <is>
          <t>Static / tool</t>
        </is>
      </c>
      <c r="C162" s="36" t="inlineStr">
        <is>
          <t>Cross-product &amp; brand</t>
        </is>
      </c>
      <c r="D162" s="36" t="inlineStr">
        <is>
          <t>insurance glossary</t>
        </is>
      </c>
      <c r="E162" s="36" t="inlineStr">
        <is>
          <t>Nationwide</t>
        </is>
      </c>
      <c r="F162" s="36" t="n"/>
      <c r="G162" s="36" t="n"/>
      <c r="H162" s="37" t="n">
        <v>260</v>
      </c>
      <c r="I162" s="36" t="n">
        <v>25</v>
      </c>
      <c r="J162" s="36" t="inlineStr">
        <is>
          <t>informational</t>
        </is>
      </c>
      <c r="K162" s="36" t="inlineStr">
        <is>
          <t>brand-instant</t>
        </is>
      </c>
      <c r="L162" s="36" t="n">
        <v>4</v>
      </c>
      <c r="M162" s="36" t="inlineStr">
        <is>
          <t>Secondary</t>
        </is>
      </c>
      <c r="N162" s="39">
        <f>IFERROR(IF(ISNUMBER(SEARCH(D162,INDEX(Pages!$J$2:$J$829,MATCH(A162,Pages!$B$2:$B$829,0)))),"Yes","No"),"Page not found")</f>
        <v/>
      </c>
      <c r="O162" s="25" t="inlineStr">
        <is>
          <t>rates.ca (car glossary)</t>
        </is>
      </c>
      <c r="P162" s="25" t="n"/>
    </row>
    <row r="163" ht="15" customHeight="1" s="22">
      <c r="A163" s="36" t="inlineStr">
        <is>
          <t>https://instasure.ca/guides/calgary-hail-insurance-guide/</t>
        </is>
      </c>
      <c r="B163" s="36" t="inlineStr">
        <is>
          <t>Guide (blog)</t>
        </is>
      </c>
      <c r="C163" s="36" t="inlineStr">
        <is>
          <t>Home insurance</t>
        </is>
      </c>
      <c r="D163" s="36" t="inlineStr">
        <is>
          <t>hail damage insurance</t>
        </is>
      </c>
      <c r="E163" s="36" t="inlineStr">
        <is>
          <t>Nationwide</t>
        </is>
      </c>
      <c r="F163" s="36" t="n"/>
      <c r="G163" s="36" t="n"/>
      <c r="H163" s="37" t="n">
        <v>590</v>
      </c>
      <c r="I163" s="36" t="n">
        <v>30</v>
      </c>
      <c r="J163" s="36" t="inlineStr">
        <is>
          <t>informational</t>
        </is>
      </c>
      <c r="K163" s="36" t="inlineStr">
        <is>
          <t>property-coverage</t>
        </is>
      </c>
      <c r="L163" s="36" t="n">
        <v>2</v>
      </c>
      <c r="M163" s="36" t="inlineStr">
        <is>
          <t>Primary</t>
        </is>
      </c>
      <c r="N163" s="39">
        <f>IFERROR(IF(ISNUMBER(SEARCH(D163,INDEX(Pages!$J$2:$J$829,MATCH(A163,Pages!$B$2:$B$829,0)))),"Yes","No"),"Page not found")</f>
        <v/>
      </c>
      <c r="O163" s="25" t="inlineStr">
        <is>
          <t>IBC data, local brokers</t>
        </is>
      </c>
      <c r="P163" s="25" t="n"/>
    </row>
    <row r="164" ht="15" customHeight="1" s="22">
      <c r="A164" s="36" t="inlineStr">
        <is>
          <t>https://instasure.ca/guides/calgary-hail-insurance-guide/</t>
        </is>
      </c>
      <c r="B164" s="36" t="inlineStr">
        <is>
          <t>Guide (blog)</t>
        </is>
      </c>
      <c r="C164" s="36" t="inlineStr">
        <is>
          <t>Home insurance</t>
        </is>
      </c>
      <c r="D164" s="36" t="inlineStr">
        <is>
          <t>hail insurance calgary</t>
        </is>
      </c>
      <c r="E164" s="36" t="inlineStr">
        <is>
          <t>City</t>
        </is>
      </c>
      <c r="F164" s="36" t="inlineStr">
        <is>
          <t>Alberta</t>
        </is>
      </c>
      <c r="G164" s="36" t="inlineStr">
        <is>
          <t>Calgary</t>
        </is>
      </c>
      <c r="H164" s="37" t="n">
        <v>390</v>
      </c>
      <c r="I164" s="36" t="n">
        <v>25</v>
      </c>
      <c r="J164" s="36" t="inlineStr">
        <is>
          <t>local</t>
        </is>
      </c>
      <c r="K164" s="36" t="inlineStr">
        <is>
          <t>property-coverage</t>
        </is>
      </c>
      <c r="L164" s="36" t="n">
        <v>1</v>
      </c>
      <c r="M164" s="36" t="inlineStr">
        <is>
          <t>Secondary</t>
        </is>
      </c>
      <c r="N164" s="39">
        <f>IFERROR(IF(ISNUMBER(SEARCH(D164,INDEX(Pages!$J$2:$J$829,MATCH(A164,Pages!$B$2:$B$829,0)))),"Yes","No"),"Page not found")</f>
        <v/>
      </c>
      <c r="O164" s="25" t="inlineStr">
        <is>
          <t>IBC data, local brokers</t>
        </is>
      </c>
      <c r="P164" s="25" t="inlineStr">
        <is>
          <t>Calgary hail on August 5, 2024 cost about $3.29B (CatIQ, verify).</t>
        </is>
      </c>
    </row>
    <row r="165" ht="15" customHeight="1" s="22">
      <c r="A165" s="36" t="inlineStr">
        <is>
          <t>https://instasure.ca/guides/calgary-hail-insurance-guide/</t>
        </is>
      </c>
      <c r="B165" s="36" t="inlineStr">
        <is>
          <t>Guide (blog)</t>
        </is>
      </c>
      <c r="C165" s="36" t="inlineStr">
        <is>
          <t>Home insurance</t>
        </is>
      </c>
      <c r="D165" s="36" t="inlineStr">
        <is>
          <t>hail damage red deer</t>
        </is>
      </c>
      <c r="E165" s="36" t="inlineStr">
        <is>
          <t>City</t>
        </is>
      </c>
      <c r="F165" s="36" t="inlineStr">
        <is>
          <t>Alberta</t>
        </is>
      </c>
      <c r="G165" s="36" t="inlineStr">
        <is>
          <t>Red Deer</t>
        </is>
      </c>
      <c r="H165" s="37" t="n">
        <v>90</v>
      </c>
      <c r="I165" s="36" t="n">
        <v>15</v>
      </c>
      <c r="J165" s="36" t="inlineStr">
        <is>
          <t>local</t>
        </is>
      </c>
      <c r="K165" s="36" t="inlineStr">
        <is>
          <t>property-coverage</t>
        </is>
      </c>
      <c r="L165" s="36" t="n">
        <v>3</v>
      </c>
      <c r="M165" s="36" t="inlineStr">
        <is>
          <t>Secondary</t>
        </is>
      </c>
      <c r="N165" s="39">
        <f>IFERROR(IF(ISNUMBER(SEARCH(D165,INDEX(Pages!$J$2:$J$829,MATCH(A165,Pages!$B$2:$B$829,0)))),"Yes","No"),"Page not found")</f>
        <v/>
      </c>
      <c r="O165" s="25" t="inlineStr">
        <is>
          <t>(none seen)</t>
        </is>
      </c>
      <c r="P165" s="25" t="n"/>
    </row>
    <row r="166" ht="23.85" customHeight="1" s="22">
      <c r="A166" s="36" t="inlineStr">
        <is>
          <t>https://instasure.ca/car-insurance/newcomers/</t>
        </is>
      </c>
      <c r="B166" s="36" t="inlineStr">
        <is>
          <t>Service page</t>
        </is>
      </c>
      <c r="C166" s="36" t="inlineStr">
        <is>
          <t>Car insurance</t>
        </is>
      </c>
      <c r="D166" s="36" t="inlineStr">
        <is>
          <t>car insurance for newcomers to canada</t>
        </is>
      </c>
      <c r="E166" s="36" t="inlineStr">
        <is>
          <t>Nationwide</t>
        </is>
      </c>
      <c r="F166" s="36" t="n"/>
      <c r="G166" s="36" t="n"/>
      <c r="H166" s="37" t="n">
        <v>1000</v>
      </c>
      <c r="I166" s="36" t="n">
        <v>35</v>
      </c>
      <c r="J166" s="36" t="inlineStr">
        <is>
          <t>commercial</t>
        </is>
      </c>
      <c r="K166" s="36" t="inlineStr">
        <is>
          <t>auto-persona</t>
        </is>
      </c>
      <c r="L166" s="36" t="n">
        <v>1</v>
      </c>
      <c r="M166" s="36" t="inlineStr">
        <is>
          <t>Primary</t>
        </is>
      </c>
      <c r="N166" s="39">
        <f>IFERROR(IF(ISNUMBER(SEARCH(D166,INDEX(Pages!$J$2:$J$829,MATCH(A166,Pages!$B$2:$B$829,0)))),"Yes","No"),"Page not found")</f>
        <v/>
      </c>
      <c r="O166" s="25" t="inlineStr">
        <is>
          <t>ratehub, rates.ca guide</t>
        </is>
      </c>
      <c r="P166" s="25" t="inlineStr">
        <is>
          <t>Built with the Newcomer driver desk. Staff it with multilingual advisors (Punjabi, Hindi, Tagalog, Mandarin).</t>
        </is>
      </c>
    </row>
    <row r="167" ht="15" customHeight="1" s="22">
      <c r="A167" s="36" t="inlineStr">
        <is>
          <t>https://instasure.ca/compare/</t>
        </is>
      </c>
      <c r="B167" s="36" t="inlineStr">
        <is>
          <t>Static / tool</t>
        </is>
      </c>
      <c r="C167" s="36" t="inlineStr">
        <is>
          <t>Cross-product &amp; brand</t>
        </is>
      </c>
      <c r="D167" s="36" t="inlineStr">
        <is>
          <t>compare insurance quotes canada</t>
        </is>
      </c>
      <c r="E167" s="36" t="inlineStr">
        <is>
          <t>Nationwide</t>
        </is>
      </c>
      <c r="F167" s="36" t="n"/>
      <c r="G167" s="36" t="n"/>
      <c r="H167" s="37" t="n">
        <v>1000</v>
      </c>
      <c r="I167" s="36" t="n">
        <v>55</v>
      </c>
      <c r="J167" s="36" t="inlineStr">
        <is>
          <t>commercial</t>
        </is>
      </c>
      <c r="K167" s="36" t="inlineStr">
        <is>
          <t>brand-instant</t>
        </is>
      </c>
      <c r="L167" s="36" t="n">
        <v>2</v>
      </c>
      <c r="M167" s="36" t="inlineStr">
        <is>
          <t>Primary</t>
        </is>
      </c>
      <c r="N167" s="39">
        <f>IFERROR(IF(ISNUMBER(SEARCH(D167,INDEX(Pages!$J$2:$J$829,MATCH(A167,Pages!$B$2:$B$829,0)))),"Yes","No"),"Page not found")</f>
        <v/>
      </c>
      <c r="O167" s="25" t="inlineStr">
        <is>
          <t>ratehub, rates.ca</t>
        </is>
      </c>
      <c r="P167" s="25" t="n"/>
    </row>
    <row r="168" ht="15" customHeight="1" s="22">
      <c r="A168" s="36" t="inlineStr">
        <is>
          <t>https://instasure.ca/home-insurance/alberta/calgary/</t>
        </is>
      </c>
      <c r="B168" s="36" t="inlineStr">
        <is>
          <t>Product × city</t>
        </is>
      </c>
      <c r="C168" s="36" t="inlineStr">
        <is>
          <t>Home insurance</t>
        </is>
      </c>
      <c r="D168" s="36" t="inlineStr">
        <is>
          <t>home insurance calgary</t>
        </is>
      </c>
      <c r="E168" s="36" t="inlineStr">
        <is>
          <t>City</t>
        </is>
      </c>
      <c r="F168" s="36" t="inlineStr">
        <is>
          <t>Alberta</t>
        </is>
      </c>
      <c r="G168" s="36" t="inlineStr">
        <is>
          <t>Calgary</t>
        </is>
      </c>
      <c r="H168" s="37" t="n">
        <v>1000</v>
      </c>
      <c r="I168" s="36" t="n">
        <v>68</v>
      </c>
      <c r="J168" s="36" t="inlineStr">
        <is>
          <t>local</t>
        </is>
      </c>
      <c r="K168" s="36" t="inlineStr">
        <is>
          <t>property-local</t>
        </is>
      </c>
      <c r="L168" s="36" t="n">
        <v>2</v>
      </c>
      <c r="M168" s="36" t="inlineStr">
        <is>
          <t>Primary</t>
        </is>
      </c>
      <c r="N168" s="39">
        <f>IFERROR(IF(ISNUMBER(SEARCH(D168,INDEX(Pages!$J$2:$J$829,MATCH(A168,Pages!$B$2:$B$829,0)))),"Yes","No"),"Page not found")</f>
        <v/>
      </c>
      <c r="O168" s="25" t="inlineStr">
        <is>
          <t>ratehub, rates.ca, sonnet</t>
        </is>
      </c>
      <c r="P168" s="25" t="n"/>
    </row>
    <row r="169" ht="15" customHeight="1" s="22">
      <c r="A169" s="36" t="inlineStr">
        <is>
          <t>https://instasure.ca/insurance-services/</t>
        </is>
      </c>
      <c r="B169" s="36" t="inlineStr">
        <is>
          <t>Static / tool</t>
        </is>
      </c>
      <c r="C169" s="36" t="inlineStr">
        <is>
          <t>Cross-product &amp; brand</t>
        </is>
      </c>
      <c r="D169" s="36" t="inlineStr">
        <is>
          <t>types of insurance in canada</t>
        </is>
      </c>
      <c r="E169" s="36" t="inlineStr">
        <is>
          <t>Nationwide</t>
        </is>
      </c>
      <c r="F169" s="36" t="n"/>
      <c r="G169" s="36" t="n"/>
      <c r="H169" s="37" t="n">
        <v>1000</v>
      </c>
      <c r="I169" s="36" t="n">
        <v>40</v>
      </c>
      <c r="J169" s="36" t="inlineStr">
        <is>
          <t>informational</t>
        </is>
      </c>
      <c r="K169" s="36" t="inlineStr">
        <is>
          <t>brand-instant</t>
        </is>
      </c>
      <c r="L169" s="36" t="n">
        <v>3</v>
      </c>
      <c r="M169" s="36" t="inlineStr">
        <is>
          <t>Primary</t>
        </is>
      </c>
      <c r="N169" s="39">
        <f>IFERROR(IF(ISNUMBER(SEARCH(D169,INDEX(Pages!$J$2:$J$829,MATCH(A169,Pages!$B$2:$B$829,0)))),"Yes","No"),"Page not found")</f>
        <v/>
      </c>
      <c r="O169" s="25" t="inlineStr">
        <is>
          <t>ratehub, rates.ca, insurer brands</t>
        </is>
      </c>
      <c r="P169" s="25" t="inlineStr">
        <is>
          <t>All-services hub with every product, service and specialist desk.</t>
        </is>
      </c>
    </row>
    <row r="170" ht="15" customHeight="1" s="22">
      <c r="A170" s="36" t="inlineStr">
        <is>
          <t>https://instasure.ca/life-insurance/final-expense/</t>
        </is>
      </c>
      <c r="B170" s="36" t="inlineStr">
        <is>
          <t>Service page</t>
        </is>
      </c>
      <c r="C170" s="36" t="inlineStr">
        <is>
          <t>Life insurance</t>
        </is>
      </c>
      <c r="D170" s="36" t="inlineStr">
        <is>
          <t>final expense insurance canada</t>
        </is>
      </c>
      <c r="E170" s="36" t="inlineStr">
        <is>
          <t>Nationwide</t>
        </is>
      </c>
      <c r="F170" s="36" t="n"/>
      <c r="G170" s="36" t="n"/>
      <c r="H170" s="37" t="n">
        <v>1000</v>
      </c>
      <c r="I170" s="36" t="n">
        <v>40</v>
      </c>
      <c r="J170" s="36" t="inlineStr">
        <is>
          <t>commercial</t>
        </is>
      </c>
      <c r="K170" s="36" t="inlineStr">
        <is>
          <t>life-audience</t>
        </is>
      </c>
      <c r="L170" s="36" t="n">
        <v>2</v>
      </c>
      <c r="M170" s="36" t="inlineStr">
        <is>
          <t>Primary</t>
        </is>
      </c>
      <c r="N170" s="39">
        <f>IFERROR(IF(ISNUMBER(SEARCH(D170,INDEX(Pages!$J$2:$J$829,MATCH(A170,Pages!$B$2:$B$829,0)))),"Yes","No"),"Page not found")</f>
        <v/>
      </c>
      <c r="O170" s="25" t="inlineStr">
        <is>
          <t>policyadvisor</t>
        </is>
      </c>
      <c r="P170" s="25" t="inlineStr">
        <is>
          <t>Built (service page).</t>
        </is>
      </c>
    </row>
    <row r="171" ht="15" customHeight="1" s="22">
      <c r="A171" s="36" t="inlineStr">
        <is>
          <t>https://instasure.ca/car-insurance/nova-scotia/</t>
        </is>
      </c>
      <c r="B171" s="36" t="inlineStr">
        <is>
          <t>Product × province</t>
        </is>
      </c>
      <c r="C171" s="36" t="inlineStr">
        <is>
          <t>Car insurance</t>
        </is>
      </c>
      <c r="D171" s="36" t="inlineStr">
        <is>
          <t>car insurance nova scotia</t>
        </is>
      </c>
      <c r="E171" s="36" t="inlineStr">
        <is>
          <t>Provincial</t>
        </is>
      </c>
      <c r="F171" s="36" t="inlineStr">
        <is>
          <t>Nova Scotia</t>
        </is>
      </c>
      <c r="G171" s="36" t="n"/>
      <c r="H171" s="37" t="n">
        <v>990</v>
      </c>
      <c r="I171" s="36" t="n">
        <v>57</v>
      </c>
      <c r="J171" s="36" t="inlineStr">
        <is>
          <t>commercial</t>
        </is>
      </c>
      <c r="K171" s="36" t="inlineStr">
        <is>
          <t>auto-province</t>
        </is>
      </c>
      <c r="L171" s="36" t="n">
        <v>2</v>
      </c>
      <c r="M171" s="36" t="inlineStr">
        <is>
          <t>Primary</t>
        </is>
      </c>
      <c r="N171" s="39">
        <f>IFERROR(IF(ISNUMBER(SEARCH(D171,INDEX(Pages!$J$2:$J$829,MATCH(A171,Pages!$B$2:$B$829,0)))),"Yes","No"),"Page not found")</f>
        <v/>
      </c>
      <c r="O171" s="25" t="inlineStr">
        <is>
          <t>ratehub, sonnet</t>
        </is>
      </c>
      <c r="P171" s="25" t="n"/>
    </row>
    <row r="172" ht="15" customHeight="1" s="22">
      <c r="A172" s="36" t="inlineStr">
        <is>
          <t>https://instasure.ca/car-insurance/ontario/windsor/</t>
        </is>
      </c>
      <c r="B172" s="36" t="inlineStr">
        <is>
          <t>Product × city</t>
        </is>
      </c>
      <c r="C172" s="36" t="inlineStr">
        <is>
          <t>Car insurance</t>
        </is>
      </c>
      <c r="D172" s="36" t="inlineStr">
        <is>
          <t>car insurance windsor</t>
        </is>
      </c>
      <c r="E172" s="36" t="inlineStr">
        <is>
          <t>City</t>
        </is>
      </c>
      <c r="F172" s="36" t="inlineStr">
        <is>
          <t>Ontario</t>
        </is>
      </c>
      <c r="G172" s="36" t="inlineStr">
        <is>
          <t>Windsor</t>
        </is>
      </c>
      <c r="H172" s="37" t="n">
        <v>640</v>
      </c>
      <c r="I172" s="36" t="n">
        <v>76</v>
      </c>
      <c r="J172" s="36" t="inlineStr">
        <is>
          <t>local</t>
        </is>
      </c>
      <c r="K172" s="36" t="inlineStr">
        <is>
          <t>auto-local</t>
        </is>
      </c>
      <c r="L172" s="36" t="n">
        <v>3</v>
      </c>
      <c r="M172" s="36" t="inlineStr">
        <is>
          <t>Primary</t>
        </is>
      </c>
      <c r="N172" s="39">
        <f>IFERROR(IF(ISNUMBER(SEARCH(D172,INDEX(Pages!$J$2:$J$829,MATCH(A172,Pages!$B$2:$B$829,0)))),"Yes","No"),"Page not found")</f>
        <v/>
      </c>
      <c r="O172" s="25" t="inlineStr">
        <is>
          <t>ratehub, rates.ca</t>
        </is>
      </c>
      <c r="P172" s="25" t="n"/>
    </row>
    <row r="173" ht="15" customHeight="1" s="22">
      <c r="A173" s="36" t="inlineStr">
        <is>
          <t>https://instasure.ca/car-insurance/ontario/windsor/</t>
        </is>
      </c>
      <c r="B173" s="36" t="inlineStr">
        <is>
          <t>Product × city</t>
        </is>
      </c>
      <c r="C173" s="36" t="inlineStr">
        <is>
          <t>Car insurance</t>
        </is>
      </c>
      <c r="D173" s="36" t="inlineStr">
        <is>
          <t>cheap car insurance windsor</t>
        </is>
      </c>
      <c r="E173" s="36" t="inlineStr">
        <is>
          <t>City</t>
        </is>
      </c>
      <c r="F173" s="36" t="inlineStr">
        <is>
          <t>Ontario</t>
        </is>
      </c>
      <c r="G173" s="36" t="inlineStr">
        <is>
          <t>Windsor</t>
        </is>
      </c>
      <c r="H173" s="37" t="n">
        <v>220</v>
      </c>
      <c r="I173" s="36" t="n">
        <v>71</v>
      </c>
      <c r="J173" s="36" t="inlineStr">
        <is>
          <t>transactional</t>
        </is>
      </c>
      <c r="K173" s="36" t="inlineStr">
        <is>
          <t>auto-local</t>
        </is>
      </c>
      <c r="L173" s="36" t="n">
        <v>4</v>
      </c>
      <c r="M173" s="36" t="inlineStr">
        <is>
          <t>Secondary</t>
        </is>
      </c>
      <c r="N173" s="39">
        <f>IFERROR(IF(ISNUMBER(SEARCH(D173,INDEX(Pages!$J$2:$J$829,MATCH(A173,Pages!$B$2:$B$829,0)))),"Yes","No"),"Page not found")</f>
        <v/>
      </c>
      <c r="O173" s="25" t="inlineStr">
        <is>
          <t>ratehub, rates.ca</t>
        </is>
      </c>
      <c r="P173" s="25" t="inlineStr">
        <is>
          <t>Rates.ca titles lead with "Cheap"; answer with factors and FSA data, not a price promise.</t>
        </is>
      </c>
    </row>
    <row r="174" ht="23.85" customHeight="1" s="22">
      <c r="A174" s="36" t="inlineStr">
        <is>
          <t>https://instasure.ca/car-insurance/ontario/windsor/</t>
        </is>
      </c>
      <c r="B174" s="36" t="inlineStr">
        <is>
          <t>Product × city</t>
        </is>
      </c>
      <c r="C174" s="36" t="inlineStr">
        <is>
          <t>Car insurance</t>
        </is>
      </c>
      <c r="D174" s="36" t="inlineStr">
        <is>
          <t>how much is car insurance in windsor</t>
        </is>
      </c>
      <c r="E174" s="36" t="inlineStr">
        <is>
          <t>City</t>
        </is>
      </c>
      <c r="F174" s="36" t="inlineStr">
        <is>
          <t>Ontario</t>
        </is>
      </c>
      <c r="G174" s="36" t="inlineStr">
        <is>
          <t>Windsor</t>
        </is>
      </c>
      <c r="H174" s="37" t="n">
        <v>130</v>
      </c>
      <c r="I174" s="36" t="n">
        <v>71</v>
      </c>
      <c r="J174" s="36" t="inlineStr">
        <is>
          <t>informational</t>
        </is>
      </c>
      <c r="K174" s="36" t="inlineStr">
        <is>
          <t>auto-local</t>
        </is>
      </c>
      <c r="L174" s="36" t="n">
        <v>4</v>
      </c>
      <c r="M174" s="36" t="inlineStr">
        <is>
          <t>Secondary</t>
        </is>
      </c>
      <c r="N174" s="39">
        <f>IFERROR(IF(ISNUMBER(SEARCH(D174,INDEX(Pages!$J$2:$J$829,MATCH(A174,Pages!$B$2:$B$829,0)))),"Yes","No"),"Page not found")</f>
        <v/>
      </c>
      <c r="O174" s="25" t="inlineStr">
        <is>
          <t>ratehub, rates.ca</t>
        </is>
      </c>
      <c r="P174" s="25" t="inlineStr">
        <is>
          <t>Ratehub ranks a blog post for this. The city page answers it in the first two sentences with a dated average.</t>
        </is>
      </c>
    </row>
    <row r="175" ht="15" customHeight="1" s="22">
      <c r="A175" s="36" t="inlineStr">
        <is>
          <t>https://instasure.ca/life-insurance/ontario/</t>
        </is>
      </c>
      <c r="B175" s="36" t="inlineStr">
        <is>
          <t>Product × province</t>
        </is>
      </c>
      <c r="C175" s="36" t="inlineStr">
        <is>
          <t>Life insurance</t>
        </is>
      </c>
      <c r="D175" s="36" t="inlineStr">
        <is>
          <t>life insurance ontario</t>
        </is>
      </c>
      <c r="E175" s="36" t="inlineStr">
        <is>
          <t>Provincial</t>
        </is>
      </c>
      <c r="F175" s="36" t="inlineStr">
        <is>
          <t>Ontario</t>
        </is>
      </c>
      <c r="G175" s="36" t="n"/>
      <c r="H175" s="37" t="n">
        <v>910</v>
      </c>
      <c r="I175" s="36" t="n">
        <v>56</v>
      </c>
      <c r="J175" s="36" t="inlineStr">
        <is>
          <t>commercial</t>
        </is>
      </c>
      <c r="K175" s="36" t="inlineStr">
        <is>
          <t>life-province</t>
        </is>
      </c>
      <c r="L175" s="36" t="n">
        <v>1</v>
      </c>
      <c r="M175" s="36" t="inlineStr">
        <is>
          <t>Primary</t>
        </is>
      </c>
      <c r="N175" s="39">
        <f>IFERROR(IF(ISNUMBER(SEARCH(D175,INDEX(Pages!$J$2:$J$829,MATCH(A175,Pages!$B$2:$B$829,0)))),"Yes","No"),"Page not found")</f>
        <v/>
      </c>
      <c r="O175" s="25" t="inlineStr">
        <is>
          <t>policyadvisor</t>
        </is>
      </c>
      <c r="P175" s="25" t="n"/>
    </row>
    <row r="176" ht="15" customHeight="1" s="22">
      <c r="A176" s="36" t="inlineStr">
        <is>
          <t>https://instasure.ca/home-insurance/alberta/</t>
        </is>
      </c>
      <c r="B176" s="36" t="inlineStr">
        <is>
          <t>Product × province</t>
        </is>
      </c>
      <c r="C176" s="36" t="inlineStr">
        <is>
          <t>Home insurance</t>
        </is>
      </c>
      <c r="D176" s="36" t="inlineStr">
        <is>
          <t>home insurance alberta</t>
        </is>
      </c>
      <c r="E176" s="36" t="inlineStr">
        <is>
          <t>Provincial</t>
        </is>
      </c>
      <c r="F176" s="36" t="inlineStr">
        <is>
          <t>Alberta</t>
        </is>
      </c>
      <c r="G176" s="36" t="n"/>
      <c r="H176" s="37" t="n">
        <v>900</v>
      </c>
      <c r="I176" s="36" t="n">
        <v>57</v>
      </c>
      <c r="J176" s="36" t="inlineStr">
        <is>
          <t>commercial</t>
        </is>
      </c>
      <c r="K176" s="36" t="inlineStr">
        <is>
          <t>property-province</t>
        </is>
      </c>
      <c r="L176" s="36" t="n">
        <v>2</v>
      </c>
      <c r="M176" s="36" t="inlineStr">
        <is>
          <t>Primary</t>
        </is>
      </c>
      <c r="N176" s="39">
        <f>IFERROR(IF(ISNUMBER(SEARCH(D176,INDEX(Pages!$J$2:$J$829,MATCH(A176,Pages!$B$2:$B$829,0)))),"Yes","No"),"Page not found")</f>
        <v/>
      </c>
      <c r="O176" s="25" t="inlineStr">
        <is>
          <t>ratehub, sonnet</t>
        </is>
      </c>
      <c r="P176" s="25" t="n"/>
    </row>
    <row r="177" ht="15" customHeight="1" s="22">
      <c r="A177" s="36" t="inlineStr">
        <is>
          <t>https://instasure.ca/business-insurance/directors-and-officers/</t>
        </is>
      </c>
      <c r="B177" s="36" t="inlineStr">
        <is>
          <t>Service page</t>
        </is>
      </c>
      <c r="C177" s="36" t="inlineStr">
        <is>
          <t>Business insurance</t>
        </is>
      </c>
      <c r="D177" s="36" t="inlineStr">
        <is>
          <t>directors and officers insurance</t>
        </is>
      </c>
      <c r="E177" s="36" t="inlineStr">
        <is>
          <t>Nationwide</t>
        </is>
      </c>
      <c r="F177" s="36" t="n"/>
      <c r="G177" s="36" t="n"/>
      <c r="H177" s="37" t="n">
        <v>880</v>
      </c>
      <c r="I177" s="36" t="n">
        <v>45</v>
      </c>
      <c r="J177" s="36" t="inlineStr">
        <is>
          <t>commercial</t>
        </is>
      </c>
      <c r="K177" s="36" t="inlineStr">
        <is>
          <t>business</t>
        </is>
      </c>
      <c r="L177" s="36" t="n">
        <v>3</v>
      </c>
      <c r="M177" s="36" t="inlineStr">
        <is>
          <t>Primary</t>
        </is>
      </c>
      <c r="N177" s="39">
        <f>IFERROR(IF(ISNUMBER(SEARCH(D177,INDEX(Pages!$J$2:$J$829,MATCH(A177,Pages!$B$2:$B$829,0)))),"Yes","No"),"Page not found")</f>
        <v/>
      </c>
      <c r="O177" s="25" t="inlineStr">
        <is>
          <t>ratehub, policyadvisor</t>
        </is>
      </c>
      <c r="P177" s="25" t="inlineStr">
        <is>
          <t>Non-profit boards are an easy, under-served segment.</t>
        </is>
      </c>
    </row>
    <row r="178" ht="15" customHeight="1" s="22">
      <c r="A178" s="36" t="inlineStr">
        <is>
          <t>https://instasure.ca/car-insurance/electric-and-hybrid/</t>
        </is>
      </c>
      <c r="B178" s="36" t="inlineStr">
        <is>
          <t>Service page</t>
        </is>
      </c>
      <c r="C178" s="36" t="inlineStr">
        <is>
          <t>Car insurance</t>
        </is>
      </c>
      <c r="D178" s="36" t="inlineStr">
        <is>
          <t>electric car insurance</t>
        </is>
      </c>
      <c r="E178" s="36" t="inlineStr">
        <is>
          <t>Nationwide</t>
        </is>
      </c>
      <c r="F178" s="36" t="n"/>
      <c r="G178" s="36" t="n"/>
      <c r="H178" s="37" t="n">
        <v>880</v>
      </c>
      <c r="I178" s="36" t="n">
        <v>35</v>
      </c>
      <c r="J178" s="36" t="inlineStr">
        <is>
          <t>commercial</t>
        </is>
      </c>
      <c r="K178" s="36" t="inlineStr">
        <is>
          <t>auto-persona</t>
        </is>
      </c>
      <c r="L178" s="36" t="n">
        <v>3</v>
      </c>
      <c r="M178" s="36" t="inlineStr">
        <is>
          <t>Primary</t>
        </is>
      </c>
      <c r="N178" s="39">
        <f>IFERROR(IF(ISNUMBER(SEARCH(D178,INDEX(Pages!$J$2:$J$829,MATCH(A178,Pages!$B$2:$B$829,0)))),"Yes","No"),"Page not found")</f>
        <v/>
      </c>
      <c r="O178" s="25" t="inlineStr">
        <is>
          <t>ratehub, rates.ca</t>
        </is>
      </c>
      <c r="P178" s="25" t="n"/>
    </row>
    <row r="179" ht="15" customHeight="1" s="22">
      <c r="A179" s="36" t="inlineStr">
        <is>
          <t>https://instasure.ca/car-insurance/home-and-auto-bundle/</t>
        </is>
      </c>
      <c r="B179" s="36" t="inlineStr">
        <is>
          <t>Service page</t>
        </is>
      </c>
      <c r="C179" s="36" t="inlineStr">
        <is>
          <t>Car insurance</t>
        </is>
      </c>
      <c r="D179" s="36" t="inlineStr">
        <is>
          <t>home and auto insurance bundle</t>
        </is>
      </c>
      <c r="E179" s="36" t="inlineStr">
        <is>
          <t>Nationwide</t>
        </is>
      </c>
      <c r="F179" s="36" t="n"/>
      <c r="G179" s="36" t="n"/>
      <c r="H179" s="37" t="n">
        <v>880</v>
      </c>
      <c r="I179" s="36" t="n">
        <v>45</v>
      </c>
      <c r="J179" s="36" t="inlineStr">
        <is>
          <t>commercial</t>
        </is>
      </c>
      <c r="K179" s="36" t="inlineStr">
        <is>
          <t>auto-core</t>
        </is>
      </c>
      <c r="L179" s="36" t="n">
        <v>3</v>
      </c>
      <c r="M179" s="36" t="inlineStr">
        <is>
          <t>Primary</t>
        </is>
      </c>
      <c r="N179" s="39">
        <f>IFERROR(IF(ISNUMBER(SEARCH(D179,INDEX(Pages!$J$2:$J$829,MATCH(A179,Pages!$B$2:$B$829,0)))),"Yes","No"),"Page not found")</f>
        <v/>
      </c>
      <c r="O179" s="25" t="inlineStr">
        <is>
          <t>ratehub, rates.ca</t>
        </is>
      </c>
      <c r="P179" s="25" t="inlineStr">
        <is>
          <t>Built (service page).</t>
        </is>
      </c>
    </row>
    <row r="180" ht="15" customHeight="1" s="22">
      <c r="A180" s="36" t="inlineStr">
        <is>
          <t>https://instasure.ca/home-insurance/cottage-and-seasonal/</t>
        </is>
      </c>
      <c r="B180" s="36" t="inlineStr">
        <is>
          <t>Service page</t>
        </is>
      </c>
      <c r="C180" s="36" t="inlineStr">
        <is>
          <t>Home insurance</t>
        </is>
      </c>
      <c r="D180" s="36" t="inlineStr">
        <is>
          <t>cottage insurance</t>
        </is>
      </c>
      <c r="E180" s="36" t="inlineStr">
        <is>
          <t>Nationwide</t>
        </is>
      </c>
      <c r="F180" s="36" t="n"/>
      <c r="G180" s="36" t="n"/>
      <c r="H180" s="37" t="n">
        <v>880</v>
      </c>
      <c r="I180" s="36" t="n">
        <v>40</v>
      </c>
      <c r="J180" s="36" t="inlineStr">
        <is>
          <t>commercial</t>
        </is>
      </c>
      <c r="K180" s="36" t="inlineStr">
        <is>
          <t>property-niche</t>
        </is>
      </c>
      <c r="L180" s="36" t="n">
        <v>2</v>
      </c>
      <c r="M180" s="36" t="inlineStr">
        <is>
          <t>Primary</t>
        </is>
      </c>
      <c r="N180" s="39">
        <f>IFERROR(IF(ISNUMBER(SEARCH(D180,INDEX(Pages!$J$2:$J$829,MATCH(A180,Pages!$B$2:$B$829,0)))),"Yes","No"),"Page not found")</f>
        <v/>
      </c>
      <c r="O180" s="25" t="inlineStr">
        <is>
          <t>rates.ca (cottage rental)</t>
        </is>
      </c>
      <c r="P180" s="25" t="inlineStr">
        <is>
          <t>Built with the Cottage &amp; rural property desk.</t>
        </is>
      </c>
    </row>
    <row r="181" ht="23.85" customHeight="1" s="22">
      <c r="A181" s="36" t="inlineStr">
        <is>
          <t>https://instasure.ca/life-insurance/ontario/toronto/</t>
        </is>
      </c>
      <c r="B181" s="36" t="inlineStr">
        <is>
          <t>Product × city</t>
        </is>
      </c>
      <c r="C181" s="36" t="inlineStr">
        <is>
          <t>Life insurance</t>
        </is>
      </c>
      <c r="D181" s="36" t="inlineStr">
        <is>
          <t>life insurance toronto</t>
        </is>
      </c>
      <c r="E181" s="36" t="inlineStr">
        <is>
          <t>City</t>
        </is>
      </c>
      <c r="F181" s="36" t="inlineStr">
        <is>
          <t>Ontario</t>
        </is>
      </c>
      <c r="G181" s="36" t="inlineStr">
        <is>
          <t>Toronto</t>
        </is>
      </c>
      <c r="H181" s="37" t="n">
        <v>880</v>
      </c>
      <c r="I181" s="36" t="n">
        <v>51</v>
      </c>
      <c r="J181" s="36" t="inlineStr">
        <is>
          <t>local</t>
        </is>
      </c>
      <c r="K181" s="36" t="inlineStr">
        <is>
          <t>life-local</t>
        </is>
      </c>
      <c r="L181" s="36" t="n">
        <v>1</v>
      </c>
      <c r="M181" s="36" t="inlineStr">
        <is>
          <t>Primary</t>
        </is>
      </c>
      <c r="N181" s="39">
        <f>IFERROR(IF(ISNUMBER(SEARCH(D181,INDEX(Pages!$J$2:$J$829,MATCH(A181,Pages!$B$2:$B$829,0)))),"Yes","No"),"Page not found")</f>
        <v/>
      </c>
      <c r="O181" s="25" t="inlineStr">
        <is>
          <t>policyadvisor (stale 2025 titles), ratehub (thin)</t>
        </is>
      </c>
      <c r="P181" s="25" t="inlineStr">
        <is>
          <t>Competitor city pages here are thin or carry stale dates (October 2026 review): freshness opening.</t>
        </is>
      </c>
    </row>
    <row r="182" ht="15" customHeight="1" s="22">
      <c r="A182" s="36" t="inlineStr">
        <is>
          <t>https://instasure.ca/guides/condo-insurance-deductible-assessment-explained/</t>
        </is>
      </c>
      <c r="B182" s="36" t="inlineStr">
        <is>
          <t>Guide (blog)</t>
        </is>
      </c>
      <c r="C182" s="36" t="inlineStr">
        <is>
          <t>Condo insurance</t>
        </is>
      </c>
      <c r="D182" s="36" t="inlineStr">
        <is>
          <t>strata insurance deductible bc</t>
        </is>
      </c>
      <c r="E182" s="36" t="inlineStr">
        <is>
          <t>Provincial</t>
        </is>
      </c>
      <c r="F182" s="36" t="inlineStr">
        <is>
          <t>British Columbia</t>
        </is>
      </c>
      <c r="G182" s="36" t="n"/>
      <c r="H182" s="37" t="n">
        <v>480</v>
      </c>
      <c r="I182" s="36" t="n">
        <v>30</v>
      </c>
      <c r="J182" s="36" t="inlineStr">
        <is>
          <t>informational</t>
        </is>
      </c>
      <c r="K182" s="36" t="inlineStr">
        <is>
          <t>property-coverage</t>
        </is>
      </c>
      <c r="L182" s="36" t="n">
        <v>2</v>
      </c>
      <c r="M182" s="36" t="inlineStr">
        <is>
          <t>Primary</t>
        </is>
      </c>
      <c r="N182" s="39">
        <f>IFERROR(IF(ISNUMBER(SEARCH(D182,INDEX(Pages!$J$2:$J$829,MATCH(A182,Pages!$B$2:$B$829,0)))),"Yes","No"),"Page not found")</f>
        <v/>
      </c>
      <c r="O182" s="25" t="inlineStr">
        <is>
          <t>BC brokers</t>
        </is>
      </c>
      <c r="P182" s="25" t="inlineStr">
        <is>
          <t>BC strata deductibles are the national extreme. BC banned strata referral fees in 2020.</t>
        </is>
      </c>
    </row>
    <row r="183" ht="15" customHeight="1" s="22">
      <c r="A183" s="36" t="inlineStr">
        <is>
          <t>https://instasure.ca/guides/condo-insurance-deductible-assessment-explained/</t>
        </is>
      </c>
      <c r="B183" s="36" t="inlineStr">
        <is>
          <t>Guide (blog)</t>
        </is>
      </c>
      <c r="C183" s="36" t="inlineStr">
        <is>
          <t>Condo insurance</t>
        </is>
      </c>
      <c r="D183" s="36" t="inlineStr">
        <is>
          <t>condo insurance deductible coverage</t>
        </is>
      </c>
      <c r="E183" s="36" t="inlineStr">
        <is>
          <t>Nationwide</t>
        </is>
      </c>
      <c r="F183" s="36" t="n"/>
      <c r="G183" s="36" t="n"/>
      <c r="H183" s="37" t="n">
        <v>390</v>
      </c>
      <c r="I183" s="36" t="n">
        <v>25</v>
      </c>
      <c r="J183" s="36" t="inlineStr">
        <is>
          <t>informational</t>
        </is>
      </c>
      <c r="K183" s="36" t="inlineStr">
        <is>
          <t>property-coverage</t>
        </is>
      </c>
      <c r="L183" s="36" t="n">
        <v>1</v>
      </c>
      <c r="M183" s="36" t="inlineStr">
        <is>
          <t>Secondary</t>
        </is>
      </c>
      <c r="N183" s="39">
        <f>IFERROR(IF(ISNUMBER(SEARCH(D183,INDEX(Pages!$J$2:$J$829,MATCH(A183,Pages!$B$2:$B$829,0)))),"Yes","No"),"Page not found")</f>
        <v/>
      </c>
      <c r="O183" s="25" t="inlineStr">
        <is>
          <t>sonnet</t>
        </is>
      </c>
      <c r="P183" s="25" t="n"/>
    </row>
    <row r="184" ht="23.85" customHeight="1" s="22">
      <c r="A184" s="36" t="inlineStr">
        <is>
          <t>https://instasure.ca/home-insurance/hard-to-insure/</t>
        </is>
      </c>
      <c r="B184" s="36" t="inlineStr">
        <is>
          <t>Service page</t>
        </is>
      </c>
      <c r="C184" s="36" t="inlineStr">
        <is>
          <t>Home insurance</t>
        </is>
      </c>
      <c r="D184" s="36" t="inlineStr">
        <is>
          <t>cant get home insurance</t>
        </is>
      </c>
      <c r="E184" s="36" t="inlineStr">
        <is>
          <t>Nationwide</t>
        </is>
      </c>
      <c r="F184" s="36" t="n"/>
      <c r="G184" s="36" t="n"/>
      <c r="H184" s="37" t="n">
        <v>480</v>
      </c>
      <c r="I184" s="36" t="n">
        <v>25</v>
      </c>
      <c r="J184" s="36" t="inlineStr">
        <is>
          <t>commercial</t>
        </is>
      </c>
      <c r="K184" s="36" t="inlineStr">
        <is>
          <t>property-niche</t>
        </is>
      </c>
      <c r="L184" s="36" t="n">
        <v>2</v>
      </c>
      <c r="M184" s="36" t="inlineStr">
        <is>
          <t>Primary</t>
        </is>
      </c>
      <c r="N184" s="39">
        <f>IFERROR(IF(ISNUMBER(SEARCH(D184,INDEX(Pages!$J$2:$J$829,MATCH(A184,Pages!$B$2:$B$829,0)))),"Yes","No"),"Page not found")</f>
        <v/>
      </c>
      <c r="O184" s="25" t="inlineStr">
        <is>
          <t>local brokers</t>
        </is>
      </c>
      <c r="P184" s="25" t="inlineStr">
        <is>
          <t>Niche gap: no comparison site has a page for declined or non-renewed homes. Hard-to-insure property desk.</t>
        </is>
      </c>
    </row>
    <row r="185" ht="15" customHeight="1" s="22">
      <c r="A185" s="36" t="inlineStr">
        <is>
          <t>https://instasure.ca/home-insurance/hard-to-insure/</t>
        </is>
      </c>
      <c r="B185" s="36" t="inlineStr">
        <is>
          <t>Service page</t>
        </is>
      </c>
      <c r="C185" s="36" t="inlineStr">
        <is>
          <t>Home insurance</t>
        </is>
      </c>
      <c r="D185" s="36" t="inlineStr">
        <is>
          <t>high risk home insurance</t>
        </is>
      </c>
      <c r="E185" s="36" t="inlineStr">
        <is>
          <t>Nationwide</t>
        </is>
      </c>
      <c r="F185" s="36" t="n"/>
      <c r="G185" s="36" t="n"/>
      <c r="H185" s="37" t="n">
        <v>390</v>
      </c>
      <c r="I185" s="36" t="n">
        <v>30</v>
      </c>
      <c r="J185" s="36" t="inlineStr">
        <is>
          <t>commercial</t>
        </is>
      </c>
      <c r="K185" s="36" t="inlineStr">
        <is>
          <t>property-niche</t>
        </is>
      </c>
      <c r="L185" s="36" t="n">
        <v>2</v>
      </c>
      <c r="M185" s="36" t="inlineStr">
        <is>
          <t>Secondary</t>
        </is>
      </c>
      <c r="N185" s="39">
        <f>IFERROR(IF(ISNUMBER(SEARCH(D185,INDEX(Pages!$J$2:$J$829,MATCH(A185,Pages!$B$2:$B$829,0)))),"Yes","No"),"Page not found")</f>
        <v/>
      </c>
      <c r="O185" s="25" t="inlineStr">
        <is>
          <t>local brokers, specialty MGAs</t>
        </is>
      </c>
      <c r="P185" s="25" t="inlineStr">
        <is>
          <t>Same page and desk as above.</t>
        </is>
      </c>
    </row>
    <row r="186" ht="15" customHeight="1" s="22">
      <c r="A186" s="36" t="inlineStr">
        <is>
          <t>https://instasure.ca/car-insurance/british-columbia/vancouver/</t>
        </is>
      </c>
      <c r="B186" s="36" t="inlineStr">
        <is>
          <t>Product × city</t>
        </is>
      </c>
      <c r="C186" s="36" t="inlineStr">
        <is>
          <t>Car insurance</t>
        </is>
      </c>
      <c r="D186" s="36" t="inlineStr">
        <is>
          <t>car insurance vancouver</t>
        </is>
      </c>
      <c r="E186" s="36" t="inlineStr">
        <is>
          <t>City</t>
        </is>
      </c>
      <c r="F186" s="36" t="inlineStr">
        <is>
          <t>British Columbia</t>
        </is>
      </c>
      <c r="G186" s="36" t="inlineStr">
        <is>
          <t>Vancouver</t>
        </is>
      </c>
      <c r="H186" s="37" t="n">
        <v>860</v>
      </c>
      <c r="I186" s="36" t="n">
        <v>76</v>
      </c>
      <c r="J186" s="36" t="inlineStr">
        <is>
          <t>local</t>
        </is>
      </c>
      <c r="K186" s="36" t="inlineStr">
        <is>
          <t>auto-local</t>
        </is>
      </c>
      <c r="L186" s="36" t="n">
        <v>4</v>
      </c>
      <c r="M186" s="36" t="inlineStr">
        <is>
          <t>Primary</t>
        </is>
      </c>
      <c r="N186" s="39">
        <f>IFERROR(IF(ISNUMBER(SEARCH(D186,INDEX(Pages!$J$2:$J$829,MATCH(A186,Pages!$B$2:$B$829,0)))),"Yes","No"),"Page not found")</f>
        <v/>
      </c>
      <c r="O186" s="25" t="inlineStr">
        <is>
          <t>ratehub, rates.ca</t>
        </is>
      </c>
      <c r="P186" s="25" t="inlineStr">
        <is>
          <t>ICBC sells basic auto; target optional coverage. Low lead value.</t>
        </is>
      </c>
    </row>
    <row r="187" ht="15" customHeight="1" s="22">
      <c r="A187" s="36" t="inlineStr">
        <is>
          <t>https://instasure.ca/car-insurance/ontario/kitchener/</t>
        </is>
      </c>
      <c r="B187" s="36" t="inlineStr">
        <is>
          <t>Product × city</t>
        </is>
      </c>
      <c r="C187" s="36" t="inlineStr">
        <is>
          <t>Car insurance</t>
        </is>
      </c>
      <c r="D187" s="36" t="inlineStr">
        <is>
          <t>car insurance kitchener</t>
        </is>
      </c>
      <c r="E187" s="36" t="inlineStr">
        <is>
          <t>City</t>
        </is>
      </c>
      <c r="F187" s="36" t="inlineStr">
        <is>
          <t>Ontario</t>
        </is>
      </c>
      <c r="G187" s="36" t="inlineStr">
        <is>
          <t>Kitchener</t>
        </is>
      </c>
      <c r="H187" s="37" t="n">
        <v>560</v>
      </c>
      <c r="I187" s="36" t="n">
        <v>76</v>
      </c>
      <c r="J187" s="36" t="inlineStr">
        <is>
          <t>local</t>
        </is>
      </c>
      <c r="K187" s="36" t="inlineStr">
        <is>
          <t>auto-local</t>
        </is>
      </c>
      <c r="L187" s="36" t="n">
        <v>3</v>
      </c>
      <c r="M187" s="36" t="inlineStr">
        <is>
          <t>Primary</t>
        </is>
      </c>
      <c r="N187" s="39">
        <f>IFERROR(IF(ISNUMBER(SEARCH(D187,INDEX(Pages!$J$2:$J$829,MATCH(A187,Pages!$B$2:$B$829,0)))),"Yes","No"),"Page not found")</f>
        <v/>
      </c>
      <c r="O187" s="25" t="inlineStr">
        <is>
          <t>ratehub, rates.ca</t>
        </is>
      </c>
      <c r="P187" s="25" t="n"/>
    </row>
    <row r="188" ht="15" customHeight="1" s="22">
      <c r="A188" s="36" t="inlineStr">
        <is>
          <t>https://instasure.ca/car-insurance/ontario/kitchener/</t>
        </is>
      </c>
      <c r="B188" s="36" t="inlineStr">
        <is>
          <t>Product × city</t>
        </is>
      </c>
      <c r="C188" s="36" t="inlineStr">
        <is>
          <t>Car insurance</t>
        </is>
      </c>
      <c r="D188" s="36" t="inlineStr">
        <is>
          <t>cheap car insurance kitchener</t>
        </is>
      </c>
      <c r="E188" s="36" t="inlineStr">
        <is>
          <t>City</t>
        </is>
      </c>
      <c r="F188" s="36" t="inlineStr">
        <is>
          <t>Ontario</t>
        </is>
      </c>
      <c r="G188" s="36" t="inlineStr">
        <is>
          <t>Kitchener</t>
        </is>
      </c>
      <c r="H188" s="37" t="n">
        <v>190</v>
      </c>
      <c r="I188" s="36" t="n">
        <v>71</v>
      </c>
      <c r="J188" s="36" t="inlineStr">
        <is>
          <t>transactional</t>
        </is>
      </c>
      <c r="K188" s="36" t="inlineStr">
        <is>
          <t>auto-local</t>
        </is>
      </c>
      <c r="L188" s="36" t="n">
        <v>4</v>
      </c>
      <c r="M188" s="36" t="inlineStr">
        <is>
          <t>Secondary</t>
        </is>
      </c>
      <c r="N188" s="39">
        <f>IFERROR(IF(ISNUMBER(SEARCH(D188,INDEX(Pages!$J$2:$J$829,MATCH(A188,Pages!$B$2:$B$829,0)))),"Yes","No"),"Page not found")</f>
        <v/>
      </c>
      <c r="O188" s="25" t="inlineStr">
        <is>
          <t>ratehub, rates.ca</t>
        </is>
      </c>
      <c r="P188" s="25" t="inlineStr">
        <is>
          <t>Rates.ca titles lead with "Cheap"; answer with factors and FSA data, not a price promise.</t>
        </is>
      </c>
    </row>
    <row r="189" ht="23.85" customHeight="1" s="22">
      <c r="A189" s="36" t="inlineStr">
        <is>
          <t>https://instasure.ca/car-insurance/ontario/kitchener/</t>
        </is>
      </c>
      <c r="B189" s="36" t="inlineStr">
        <is>
          <t>Product × city</t>
        </is>
      </c>
      <c r="C189" s="36" t="inlineStr">
        <is>
          <t>Car insurance</t>
        </is>
      </c>
      <c r="D189" s="36" t="inlineStr">
        <is>
          <t>how much is car insurance in kitchener</t>
        </is>
      </c>
      <c r="E189" s="36" t="inlineStr">
        <is>
          <t>City</t>
        </is>
      </c>
      <c r="F189" s="36" t="inlineStr">
        <is>
          <t>Ontario</t>
        </is>
      </c>
      <c r="G189" s="36" t="inlineStr">
        <is>
          <t>Kitchener</t>
        </is>
      </c>
      <c r="H189" s="37" t="n">
        <v>110</v>
      </c>
      <c r="I189" s="36" t="n">
        <v>71</v>
      </c>
      <c r="J189" s="36" t="inlineStr">
        <is>
          <t>informational</t>
        </is>
      </c>
      <c r="K189" s="36" t="inlineStr">
        <is>
          <t>auto-local</t>
        </is>
      </c>
      <c r="L189" s="36" t="n">
        <v>5</v>
      </c>
      <c r="M189" s="36" t="inlineStr">
        <is>
          <t>Secondary</t>
        </is>
      </c>
      <c r="N189" s="39">
        <f>IFERROR(IF(ISNUMBER(SEARCH(D189,INDEX(Pages!$J$2:$J$829,MATCH(A189,Pages!$B$2:$B$829,0)))),"Yes","No"),"Page not found")</f>
        <v/>
      </c>
      <c r="O189" s="25" t="inlineStr">
        <is>
          <t>ratehub, rates.ca</t>
        </is>
      </c>
      <c r="P189" s="25" t="inlineStr">
        <is>
          <t>Ratehub ranks a blog post for this. The city page answers it in the first two sentences with a dated average.</t>
        </is>
      </c>
    </row>
    <row r="190" ht="15" customHeight="1" s="22">
      <c r="A190" s="36" t="inlineStr">
        <is>
          <t>https://instasure.ca/car-insurance/ontario/richmond-hill/</t>
        </is>
      </c>
      <c r="B190" s="36" t="inlineStr">
        <is>
          <t>Product × city</t>
        </is>
      </c>
      <c r="C190" s="36" t="inlineStr">
        <is>
          <t>Car insurance</t>
        </is>
      </c>
      <c r="D190" s="36" t="inlineStr">
        <is>
          <t>car insurance richmond hill</t>
        </is>
      </c>
      <c r="E190" s="36" t="inlineStr">
        <is>
          <t>City</t>
        </is>
      </c>
      <c r="F190" s="36" t="inlineStr">
        <is>
          <t>Ontario</t>
        </is>
      </c>
      <c r="G190" s="36" t="inlineStr">
        <is>
          <t>Richmond Hill</t>
        </is>
      </c>
      <c r="H190" s="37" t="n">
        <v>850</v>
      </c>
      <c r="I190" s="36" t="n">
        <v>64</v>
      </c>
      <c r="J190" s="36" t="inlineStr">
        <is>
          <t>local</t>
        </is>
      </c>
      <c r="K190" s="36" t="inlineStr">
        <is>
          <t>auto-local</t>
        </is>
      </c>
      <c r="L190" s="36" t="n">
        <v>2</v>
      </c>
      <c r="M190" s="36" t="inlineStr">
        <is>
          <t>Primary</t>
        </is>
      </c>
      <c r="N190" s="39">
        <f>IFERROR(IF(ISNUMBER(SEARCH(D190,INDEX(Pages!$J$2:$J$829,MATCH(A190,Pages!$B$2:$B$829,0)))),"Yes","No"),"Page not found")</f>
        <v/>
      </c>
      <c r="O190" s="25" t="inlineStr">
        <is>
          <t>rates.ca</t>
        </is>
      </c>
      <c r="P190" s="25" t="n"/>
    </row>
    <row r="191" ht="15" customHeight="1" s="22">
      <c r="A191" s="36" t="inlineStr">
        <is>
          <t>https://instasure.ca/home-insurance/ontario/ottawa/</t>
        </is>
      </c>
      <c r="B191" s="36" t="inlineStr">
        <is>
          <t>Product × city</t>
        </is>
      </c>
      <c r="C191" s="36" t="inlineStr">
        <is>
          <t>Home insurance</t>
        </is>
      </c>
      <c r="D191" s="36" t="inlineStr">
        <is>
          <t>home insurance ottawa</t>
        </is>
      </c>
      <c r="E191" s="36" t="inlineStr">
        <is>
          <t>City</t>
        </is>
      </c>
      <c r="F191" s="36" t="inlineStr">
        <is>
          <t>Ontario</t>
        </is>
      </c>
      <c r="G191" s="36" t="inlineStr">
        <is>
          <t>Ottawa</t>
        </is>
      </c>
      <c r="H191" s="37" t="n">
        <v>850</v>
      </c>
      <c r="I191" s="36" t="n">
        <v>56</v>
      </c>
      <c r="J191" s="36" t="inlineStr">
        <is>
          <t>local</t>
        </is>
      </c>
      <c r="K191" s="36" t="inlineStr">
        <is>
          <t>property-local</t>
        </is>
      </c>
      <c r="L191" s="36" t="n">
        <v>2</v>
      </c>
      <c r="M191" s="36" t="inlineStr">
        <is>
          <t>Primary</t>
        </is>
      </c>
      <c r="N191" s="39">
        <f>IFERROR(IF(ISNUMBER(SEARCH(D191,INDEX(Pages!$J$2:$J$829,MATCH(A191,Pages!$B$2:$B$829,0)))),"Yes","No"),"Page not found")</f>
        <v/>
      </c>
      <c r="O191" s="25" t="inlineStr">
        <is>
          <t>rates.ca, sonnet, local brokers (#1)</t>
        </is>
      </c>
      <c r="P191" s="25" t="n"/>
    </row>
    <row r="192" ht="15" customHeight="1" s="22">
      <c r="A192" s="36" t="inlineStr">
        <is>
          <t>https://instasure.ca/home-insurance/alberta/edmonton/</t>
        </is>
      </c>
      <c r="B192" s="36" t="inlineStr">
        <is>
          <t>Product × city</t>
        </is>
      </c>
      <c r="C192" s="36" t="inlineStr">
        <is>
          <t>Home insurance</t>
        </is>
      </c>
      <c r="D192" s="36" t="inlineStr">
        <is>
          <t>home insurance edmonton</t>
        </is>
      </c>
      <c r="E192" s="36" t="inlineStr">
        <is>
          <t>City</t>
        </is>
      </c>
      <c r="F192" s="36" t="inlineStr">
        <is>
          <t>Alberta</t>
        </is>
      </c>
      <c r="G192" s="36" t="inlineStr">
        <is>
          <t>Edmonton</t>
        </is>
      </c>
      <c r="H192" s="37" t="n">
        <v>840</v>
      </c>
      <c r="I192" s="36" t="n">
        <v>68</v>
      </c>
      <c r="J192" s="36" t="inlineStr">
        <is>
          <t>local</t>
        </is>
      </c>
      <c r="K192" s="36" t="inlineStr">
        <is>
          <t>property-local</t>
        </is>
      </c>
      <c r="L192" s="36" t="n">
        <v>2</v>
      </c>
      <c r="M192" s="36" t="inlineStr">
        <is>
          <t>Primary</t>
        </is>
      </c>
      <c r="N192" s="39">
        <f>IFERROR(IF(ISNUMBER(SEARCH(D192,INDEX(Pages!$J$2:$J$829,MATCH(A192,Pages!$B$2:$B$829,0)))),"Yes","No"),"Page not found")</f>
        <v/>
      </c>
      <c r="O192" s="25" t="inlineStr">
        <is>
          <t>ratehub, rates.ca, sonnet</t>
        </is>
      </c>
      <c r="P192" s="25" t="n"/>
    </row>
    <row r="193" ht="15" customHeight="1" s="22">
      <c r="A193" s="36" t="inlineStr">
        <is>
          <t>https://instasure.ca/car-insurance/manitoba/winnipeg/</t>
        </is>
      </c>
      <c r="B193" s="36" t="inlineStr">
        <is>
          <t>Product × city</t>
        </is>
      </c>
      <c r="C193" s="36" t="inlineStr">
        <is>
          <t>Car insurance</t>
        </is>
      </c>
      <c r="D193" s="36" t="inlineStr">
        <is>
          <t>car insurance winnipeg</t>
        </is>
      </c>
      <c r="E193" s="36" t="inlineStr">
        <is>
          <t>City</t>
        </is>
      </c>
      <c r="F193" s="36" t="inlineStr">
        <is>
          <t>Manitoba</t>
        </is>
      </c>
      <c r="G193" s="36" t="inlineStr">
        <is>
          <t>Winnipeg</t>
        </is>
      </c>
      <c r="H193" s="37" t="n">
        <v>820</v>
      </c>
      <c r="I193" s="36" t="n">
        <v>64</v>
      </c>
      <c r="J193" s="36" t="inlineStr">
        <is>
          <t>local</t>
        </is>
      </c>
      <c r="K193" s="36" t="inlineStr">
        <is>
          <t>auto-local</t>
        </is>
      </c>
      <c r="L193" s="36" t="n">
        <v>3</v>
      </c>
      <c r="M193" s="36" t="inlineStr">
        <is>
          <t>Primary</t>
        </is>
      </c>
      <c r="N193" s="39">
        <f>IFERROR(IF(ISNUMBER(SEARCH(D193,INDEX(Pages!$J$2:$J$829,MATCH(A193,Pages!$B$2:$B$829,0)))),"Yes","No"),"Page not found")</f>
        <v/>
      </c>
      <c r="O193" s="25" t="inlineStr">
        <is>
          <t>ratehub</t>
        </is>
      </c>
      <c r="P193" s="25" t="inlineStr">
        <is>
          <t>MPI sells basic auto; target optional coverage. Low lead value.</t>
        </is>
      </c>
    </row>
    <row r="194" ht="15" customHeight="1" s="22">
      <c r="A194" s="36" t="inlineStr">
        <is>
          <t>https://instasure.ca/car-insurance/new-brunswick/</t>
        </is>
      </c>
      <c r="B194" s="36" t="inlineStr">
        <is>
          <t>Product × province</t>
        </is>
      </c>
      <c r="C194" s="36" t="inlineStr">
        <is>
          <t>Car insurance</t>
        </is>
      </c>
      <c r="D194" s="36" t="inlineStr">
        <is>
          <t>car insurance new brunswick</t>
        </is>
      </c>
      <c r="E194" s="36" t="inlineStr">
        <is>
          <t>Provincial</t>
        </is>
      </c>
      <c r="F194" s="36" t="inlineStr">
        <is>
          <t>New Brunswick</t>
        </is>
      </c>
      <c r="G194" s="36" t="n"/>
      <c r="H194" s="37" t="n">
        <v>810</v>
      </c>
      <c r="I194" s="36" t="n">
        <v>57</v>
      </c>
      <c r="J194" s="36" t="inlineStr">
        <is>
          <t>commercial</t>
        </is>
      </c>
      <c r="K194" s="36" t="inlineStr">
        <is>
          <t>auto-province</t>
        </is>
      </c>
      <c r="L194" s="36" t="n">
        <v>2</v>
      </c>
      <c r="M194" s="36" t="inlineStr">
        <is>
          <t>Primary</t>
        </is>
      </c>
      <c r="N194" s="39">
        <f>IFERROR(IF(ISNUMBER(SEARCH(D194,INDEX(Pages!$J$2:$J$829,MATCH(A194,Pages!$B$2:$B$829,0)))),"Yes","No"),"Page not found")</f>
        <v/>
      </c>
      <c r="O194" s="25" t="inlineStr">
        <is>
          <t>ratehub, sonnet</t>
        </is>
      </c>
      <c r="P194" s="25" t="n"/>
    </row>
    <row r="195" ht="15" customHeight="1" s="22">
      <c r="A195" s="36" t="inlineStr">
        <is>
          <t>https://instasure.ca/tenant-insurance/alberta/</t>
        </is>
      </c>
      <c r="B195" s="36" t="inlineStr">
        <is>
          <t>Product × province</t>
        </is>
      </c>
      <c r="C195" s="36" t="inlineStr">
        <is>
          <t>Tenant insurance</t>
        </is>
      </c>
      <c r="D195" s="36" t="inlineStr">
        <is>
          <t>tenant insurance alberta</t>
        </is>
      </c>
      <c r="E195" s="36" t="inlineStr">
        <is>
          <t>Provincial</t>
        </is>
      </c>
      <c r="F195" s="36" t="inlineStr">
        <is>
          <t>Alberta</t>
        </is>
      </c>
      <c r="G195" s="36" t="n"/>
      <c r="H195" s="37" t="n">
        <v>500</v>
      </c>
      <c r="I195" s="36" t="n">
        <v>50</v>
      </c>
      <c r="J195" s="36" t="inlineStr">
        <is>
          <t>commercial</t>
        </is>
      </c>
      <c r="K195" s="36" t="inlineStr">
        <is>
          <t>property-province</t>
        </is>
      </c>
      <c r="L195" s="36" t="n">
        <v>4</v>
      </c>
      <c r="M195" s="36" t="inlineStr">
        <is>
          <t>Primary</t>
        </is>
      </c>
      <c r="N195" s="39">
        <f>IFERROR(IF(ISNUMBER(SEARCH(D195,INDEX(Pages!$J$2:$J$829,MATCH(A195,Pages!$B$2:$B$829,0)))),"Yes","No"),"Page not found")</f>
        <v/>
      </c>
      <c r="O195" s="25" t="inlineStr">
        <is>
          <t>ratehub, sonnet</t>
        </is>
      </c>
      <c r="P195" s="25" t="n"/>
    </row>
    <row r="196" ht="15" customHeight="1" s="22">
      <c r="A196" s="36" t="inlineStr">
        <is>
          <t>https://instasure.ca/tenant-insurance/alberta/</t>
        </is>
      </c>
      <c r="B196" s="36" t="inlineStr">
        <is>
          <t>Product × province</t>
        </is>
      </c>
      <c r="C196" s="36" t="inlineStr">
        <is>
          <t>Tenant insurance</t>
        </is>
      </c>
      <c r="D196" s="36" t="inlineStr">
        <is>
          <t>is tenant insurance mandatory in alberta</t>
        </is>
      </c>
      <c r="E196" s="36" t="inlineStr">
        <is>
          <t>Provincial</t>
        </is>
      </c>
      <c r="F196" s="36" t="inlineStr">
        <is>
          <t>Alberta</t>
        </is>
      </c>
      <c r="G196" s="36" t="n"/>
      <c r="H196" s="37" t="n">
        <v>260</v>
      </c>
      <c r="I196" s="36" t="n">
        <v>25</v>
      </c>
      <c r="J196" s="36" t="inlineStr">
        <is>
          <t>informational</t>
        </is>
      </c>
      <c r="K196" s="36" t="inlineStr">
        <is>
          <t>property-coverage</t>
        </is>
      </c>
      <c r="L196" s="36" t="n">
        <v>3</v>
      </c>
      <c r="M196" s="36" t="inlineStr">
        <is>
          <t>Secondary</t>
        </is>
      </c>
      <c r="N196" s="39">
        <f>IFERROR(IF(ISNUMBER(SEARCH(D196,INDEX(Pages!$J$2:$J$829,MATCH(A196,Pages!$B$2:$B$829,0)))),"Yes","No"),"Page not found")</f>
        <v/>
      </c>
      <c r="O196" s="25" t="inlineStr">
        <is>
          <t>sonnet faq</t>
        </is>
      </c>
      <c r="P196" s="25" t="n"/>
    </row>
    <row r="197" ht="15" customHeight="1" s="22">
      <c r="A197" s="36" t="inlineStr">
        <is>
          <t>https://instasure.ca/guides/life-insurance-for-newcomers-to-canada/</t>
        </is>
      </c>
      <c r="B197" s="36" t="inlineStr">
        <is>
          <t>Guide (blog)</t>
        </is>
      </c>
      <c r="C197" s="36" t="inlineStr">
        <is>
          <t>Life insurance</t>
        </is>
      </c>
      <c r="D197" s="36" t="inlineStr">
        <is>
          <t>life insurance for newcomers to canada</t>
        </is>
      </c>
      <c r="E197" s="36" t="inlineStr">
        <is>
          <t>Nationwide</t>
        </is>
      </c>
      <c r="F197" s="36" t="n"/>
      <c r="G197" s="36" t="n"/>
      <c r="H197" s="37" t="n">
        <v>480</v>
      </c>
      <c r="I197" s="36" t="n">
        <v>30</v>
      </c>
      <c r="J197" s="36" t="inlineStr">
        <is>
          <t>commercial</t>
        </is>
      </c>
      <c r="K197" s="36" t="inlineStr">
        <is>
          <t>life-audience</t>
        </is>
      </c>
      <c r="L197" s="36" t="n">
        <v>1</v>
      </c>
      <c r="M197" s="36" t="inlineStr">
        <is>
          <t>Primary</t>
        </is>
      </c>
      <c r="N197" s="39">
        <f>IFERROR(IF(ISNUMBER(SEARCH(D197,INDEX(Pages!$J$2:$J$829,MATCH(A197,Pages!$B$2:$B$829,0)))),"Yes","No"),"Page not found")</f>
        <v/>
      </c>
      <c r="O197" s="25" t="inlineStr">
        <is>
          <t>policyadvisor, mychoice, iA</t>
        </is>
      </c>
      <c r="P197" s="25" t="inlineStr">
        <is>
          <t>Underserved and high converting. Planned translations: Punjabi, Hindi, Mandarin, Tagalog.</t>
        </is>
      </c>
    </row>
    <row r="198" ht="15" customHeight="1" s="22">
      <c r="A198" s="36" t="inlineStr">
        <is>
          <t>https://instasure.ca/guides/life-insurance-for-newcomers-to-canada/</t>
        </is>
      </c>
      <c r="B198" s="36" t="inlineStr">
        <is>
          <t>Guide (blog)</t>
        </is>
      </c>
      <c r="C198" s="36" t="inlineStr">
        <is>
          <t>Life insurance</t>
        </is>
      </c>
      <c r="D198" s="36" t="inlineStr">
        <is>
          <t>life insurance work permit canada</t>
        </is>
      </c>
      <c r="E198" s="36" t="inlineStr">
        <is>
          <t>Nationwide</t>
        </is>
      </c>
      <c r="F198" s="36" t="n"/>
      <c r="G198" s="36" t="n"/>
      <c r="H198" s="37" t="n">
        <v>260</v>
      </c>
      <c r="I198" s="36" t="n">
        <v>20</v>
      </c>
      <c r="J198" s="36" t="inlineStr">
        <is>
          <t>commercial</t>
        </is>
      </c>
      <c r="K198" s="36" t="inlineStr">
        <is>
          <t>life-audience</t>
        </is>
      </c>
      <c r="L198" s="36" t="n">
        <v>1</v>
      </c>
      <c r="M198" s="36" t="inlineStr">
        <is>
          <t>Secondary</t>
        </is>
      </c>
      <c r="N198" s="39">
        <f>IFERROR(IF(ISNUMBER(SEARCH(D198,INDEX(Pages!$J$2:$J$829,MATCH(A198,Pages!$B$2:$B$829,0)))),"Yes","No"),"Page not found")</f>
        <v/>
      </c>
      <c r="O198" s="25" t="inlineStr">
        <is>
          <t>policyadvisor, yahoo finance</t>
        </is>
      </c>
      <c r="P198" s="25" t="n"/>
    </row>
    <row r="199" ht="15" customHeight="1" s="22">
      <c r="A199" s="36" t="inlineStr">
        <is>
          <t>https://instasure.ca/condo-insurance/ontario/</t>
        </is>
      </c>
      <c r="B199" s="36" t="inlineStr">
        <is>
          <t>Product × province</t>
        </is>
      </c>
      <c r="C199" s="36" t="inlineStr">
        <is>
          <t>Condo insurance</t>
        </is>
      </c>
      <c r="D199" s="36" t="inlineStr">
        <is>
          <t>condo insurance ontario</t>
        </is>
      </c>
      <c r="E199" s="36" t="inlineStr">
        <is>
          <t>Provincial</t>
        </is>
      </c>
      <c r="F199" s="36" t="inlineStr">
        <is>
          <t>Ontario</t>
        </is>
      </c>
      <c r="G199" s="36" t="n"/>
      <c r="H199" s="37" t="n">
        <v>730</v>
      </c>
      <c r="I199" s="36" t="n">
        <v>59</v>
      </c>
      <c r="J199" s="36" t="inlineStr">
        <is>
          <t>commercial</t>
        </is>
      </c>
      <c r="K199" s="36" t="inlineStr">
        <is>
          <t>property-province</t>
        </is>
      </c>
      <c r="L199" s="36" t="n">
        <v>3</v>
      </c>
      <c r="M199" s="36" t="inlineStr">
        <is>
          <t>Primary</t>
        </is>
      </c>
      <c r="N199" s="39">
        <f>IFERROR(IF(ISNUMBER(SEARCH(D199,INDEX(Pages!$J$2:$J$829,MATCH(A199,Pages!$B$2:$B$829,0)))),"Yes","No"),"Page not found")</f>
        <v/>
      </c>
      <c r="O199" s="25" t="inlineStr">
        <is>
          <t>ratehub, rates.ca, sonnet</t>
        </is>
      </c>
      <c r="P199" s="25" t="n"/>
    </row>
    <row r="200" ht="15" customHeight="1" s="22">
      <c r="A200" s="36" t="inlineStr">
        <is>
          <t>https://instasure.ca/guides/private-dental-insurance-vs-cdcp/</t>
        </is>
      </c>
      <c r="B200" s="36" t="inlineStr">
        <is>
          <t>Guide (blog)</t>
        </is>
      </c>
      <c r="C200" s="36" t="inlineStr">
        <is>
          <t>Health &amp; dental insurance</t>
        </is>
      </c>
      <c r="D200" s="36" t="inlineStr">
        <is>
          <t>canadian dental care plan vs private insurance</t>
        </is>
      </c>
      <c r="E200" s="36" t="inlineStr">
        <is>
          <t>Nationwide</t>
        </is>
      </c>
      <c r="F200" s="36" t="n"/>
      <c r="G200" s="36" t="n"/>
      <c r="H200" s="37" t="n">
        <v>720</v>
      </c>
      <c r="I200" s="36" t="n">
        <v>25</v>
      </c>
      <c r="J200" s="36" t="inlineStr">
        <is>
          <t>informational</t>
        </is>
      </c>
      <c r="K200" s="36" t="inlineStr">
        <is>
          <t>health-dental</t>
        </is>
      </c>
      <c r="L200" s="36" t="n">
        <v>1</v>
      </c>
      <c r="M200" s="36" t="inlineStr">
        <is>
          <t>Primary</t>
        </is>
      </c>
      <c r="N200" s="39">
        <f>IFERROR(IF(ISNUMBER(SEARCH(D200,INDEX(Pages!$J$2:$J$829,MATCH(A200,Pages!$B$2:$B$829,0)))),"Yes","No"),"Page not found")</f>
        <v/>
      </c>
      <c r="O200" s="25" t="inlineStr">
        <is>
          <t>dental clinics (weak)</t>
        </is>
      </c>
      <c r="P200" s="25" t="inlineStr">
        <is>
          <t>Weak SERP. CDCP opened to adults 18 to 64 in 2026.</t>
        </is>
      </c>
    </row>
    <row r="201" ht="15" customHeight="1" s="22">
      <c r="A201" s="36" t="inlineStr">
        <is>
          <t>https://instasure.ca/guides/small-business-insurance-cost-canada/</t>
        </is>
      </c>
      <c r="B201" s="36" t="inlineStr">
        <is>
          <t>Guide (blog)</t>
        </is>
      </c>
      <c r="C201" s="36" t="inlineStr">
        <is>
          <t>Business insurance</t>
        </is>
      </c>
      <c r="D201" s="36" t="inlineStr">
        <is>
          <t>small business insurance cost</t>
        </is>
      </c>
      <c r="E201" s="36" t="inlineStr">
        <is>
          <t>Nationwide</t>
        </is>
      </c>
      <c r="F201" s="36" t="n"/>
      <c r="G201" s="36" t="n"/>
      <c r="H201" s="37" t="n">
        <v>720</v>
      </c>
      <c r="I201" s="36" t="n">
        <v>40</v>
      </c>
      <c r="J201" s="36" t="inlineStr">
        <is>
          <t>informational</t>
        </is>
      </c>
      <c r="K201" s="36" t="inlineStr">
        <is>
          <t>business</t>
        </is>
      </c>
      <c r="L201" s="36" t="n">
        <v>1</v>
      </c>
      <c r="M201" s="36" t="inlineStr">
        <is>
          <t>Primary</t>
        </is>
      </c>
      <c r="N201" s="39">
        <f>IFERROR(IF(ISNUMBER(SEARCH(D201,INDEX(Pages!$J$2:$J$829,MATCH(A201,Pages!$B$2:$B$829,0)))),"Yes","No"),"Page not found")</f>
        <v/>
      </c>
      <c r="O201" s="25" t="inlineStr">
        <is>
          <t>ratehub blog, rates.ca (price anchors)</t>
        </is>
      </c>
      <c r="P201" s="25" t="n"/>
    </row>
    <row r="202" ht="15" customHeight="1" s="22">
      <c r="A202" s="36" t="inlineStr">
        <is>
          <t>https://instasure.ca/home-insurance/mobile-and-manufactured/</t>
        </is>
      </c>
      <c r="B202" s="36" t="inlineStr">
        <is>
          <t>Service page</t>
        </is>
      </c>
      <c r="C202" s="36" t="inlineStr">
        <is>
          <t>Home insurance</t>
        </is>
      </c>
      <c r="D202" s="36" t="inlineStr">
        <is>
          <t>mobile home insurance</t>
        </is>
      </c>
      <c r="E202" s="36" t="inlineStr">
        <is>
          <t>Nationwide</t>
        </is>
      </c>
      <c r="F202" s="36" t="n"/>
      <c r="G202" s="36" t="n"/>
      <c r="H202" s="37" t="n">
        <v>720</v>
      </c>
      <c r="I202" s="36" t="n">
        <v>30</v>
      </c>
      <c r="J202" s="36" t="inlineStr">
        <is>
          <t>commercial</t>
        </is>
      </c>
      <c r="K202" s="36" t="inlineStr">
        <is>
          <t>property-niche</t>
        </is>
      </c>
      <c r="L202" s="36" t="n">
        <v>3</v>
      </c>
      <c r="M202" s="36" t="inlineStr">
        <is>
          <t>Primary</t>
        </is>
      </c>
      <c r="N202" s="39">
        <f>IFERROR(IF(ISNUMBER(SEARCH(D202,INDEX(Pages!$J$2:$J$829,MATCH(A202,Pages!$B$2:$B$829,0)))),"Yes","No"),"Page not found")</f>
        <v/>
      </c>
      <c r="O202" s="25" t="inlineStr">
        <is>
          <t>ratehub</t>
        </is>
      </c>
      <c r="P202" s="25" t="n"/>
    </row>
    <row r="203" ht="15" customHeight="1" s="22">
      <c r="A203" s="36" t="inlineStr">
        <is>
          <t>https://instasure.ca/home-insurance/short-term-rental/</t>
        </is>
      </c>
      <c r="B203" s="36" t="inlineStr">
        <is>
          <t>Service page</t>
        </is>
      </c>
      <c r="C203" s="36" t="inlineStr">
        <is>
          <t>Landlord &amp; rental property</t>
        </is>
      </c>
      <c r="D203" s="36" t="inlineStr">
        <is>
          <t>airbnb insurance canada</t>
        </is>
      </c>
      <c r="E203" s="36" t="inlineStr">
        <is>
          <t>Nationwide</t>
        </is>
      </c>
      <c r="F203" s="36" t="n"/>
      <c r="G203" s="36" t="n"/>
      <c r="H203" s="37" t="n">
        <v>720</v>
      </c>
      <c r="I203" s="36" t="n">
        <v>35</v>
      </c>
      <c r="J203" s="36" t="inlineStr">
        <is>
          <t>commercial</t>
        </is>
      </c>
      <c r="K203" s="36" t="inlineStr">
        <is>
          <t>property-niche</t>
        </is>
      </c>
      <c r="L203" s="36" t="n">
        <v>2</v>
      </c>
      <c r="M203" s="36" t="inlineStr">
        <is>
          <t>Primary</t>
        </is>
      </c>
      <c r="N203" s="39">
        <f>IFERROR(IF(ISNUMBER(SEARCH(D203,INDEX(Pages!$J$2:$J$829,MATCH(A203,Pages!$B$2:$B$829,0)))),"Yes","No"),"Page not found")</f>
        <v/>
      </c>
      <c r="O203" s="25" t="inlineStr">
        <is>
          <t>(not seen)</t>
        </is>
      </c>
      <c r="P203" s="25" t="inlineStr">
        <is>
          <t>Built with the Short-term rental desk (niche gap: Ratehub has one page, no one staffs it).</t>
        </is>
      </c>
    </row>
    <row r="204" ht="15" customHeight="1" s="22">
      <c r="A204" s="36" t="inlineStr">
        <is>
          <t>https://instasure.ca/travel-insurance/international-students/</t>
        </is>
      </c>
      <c r="B204" s="36" t="inlineStr">
        <is>
          <t>Service page</t>
        </is>
      </c>
      <c r="C204" s="36" t="inlineStr">
        <is>
          <t>Travel insurance</t>
        </is>
      </c>
      <c r="D204" s="36" t="inlineStr">
        <is>
          <t>international student health insurance canada</t>
        </is>
      </c>
      <c r="E204" s="36" t="inlineStr">
        <is>
          <t>Nationwide</t>
        </is>
      </c>
      <c r="F204" s="36" t="n"/>
      <c r="G204" s="36" t="n"/>
      <c r="H204" s="37" t="n">
        <v>720</v>
      </c>
      <c r="I204" s="36" t="n">
        <v>40</v>
      </c>
      <c r="J204" s="36" t="inlineStr">
        <is>
          <t>commercial</t>
        </is>
      </c>
      <c r="K204" s="36" t="inlineStr">
        <is>
          <t>travel-visitors</t>
        </is>
      </c>
      <c r="L204" s="36" t="n">
        <v>3</v>
      </c>
      <c r="M204" s="36" t="inlineStr">
        <is>
          <t>Primary</t>
        </is>
      </c>
      <c r="N204" s="39">
        <f>IFERROR(IF(ISNUMBER(SEARCH(D204,INDEX(Pages!$J$2:$J$829,MATCH(A204,Pages!$B$2:$B$829,0)))),"Yes","No"),"Page not found")</f>
        <v/>
      </c>
      <c r="O204" s="25" t="inlineStr">
        <is>
          <t>policyadvisor</t>
        </is>
      </c>
      <c r="P204" s="25" t="inlineStr">
        <is>
          <t>Built (service page).</t>
        </is>
      </c>
    </row>
    <row r="205" ht="15" customHeight="1" s="22">
      <c r="A205" s="36" t="inlineStr">
        <is>
          <t>https://instasure.ca/car-insurance/british-columbia/surrey/</t>
        </is>
      </c>
      <c r="B205" s="36" t="inlineStr">
        <is>
          <t>Product × city</t>
        </is>
      </c>
      <c r="C205" s="36" t="inlineStr">
        <is>
          <t>Car insurance</t>
        </is>
      </c>
      <c r="D205" s="36" t="inlineStr">
        <is>
          <t>car insurance surrey</t>
        </is>
      </c>
      <c r="E205" s="36" t="inlineStr">
        <is>
          <t>City</t>
        </is>
      </c>
      <c r="F205" s="36" t="inlineStr">
        <is>
          <t>British Columbia</t>
        </is>
      </c>
      <c r="G205" s="36" t="inlineStr">
        <is>
          <t>Surrey</t>
        </is>
      </c>
      <c r="H205" s="37" t="n">
        <v>710</v>
      </c>
      <c r="I205" s="36" t="n">
        <v>60</v>
      </c>
      <c r="J205" s="36" t="inlineStr">
        <is>
          <t>local</t>
        </is>
      </c>
      <c r="K205" s="36" t="inlineStr">
        <is>
          <t>auto-local</t>
        </is>
      </c>
      <c r="L205" s="36" t="n">
        <v>3</v>
      </c>
      <c r="M205" s="36" t="inlineStr">
        <is>
          <t>Primary</t>
        </is>
      </c>
      <c r="N205" s="39">
        <f>IFERROR(IF(ISNUMBER(SEARCH(D205,INDEX(Pages!$J$2:$J$829,MATCH(A205,Pages!$B$2:$B$829,0)))),"Yes","No"),"Page not found")</f>
        <v/>
      </c>
      <c r="O205" s="25" t="inlineStr">
        <is>
          <t>(none seen)</t>
        </is>
      </c>
      <c r="P205" s="25" t="inlineStr">
        <is>
          <t>ICBC sells basic auto; target optional coverage. Low lead value.</t>
        </is>
      </c>
    </row>
    <row r="206" ht="23.85" customHeight="1" s="22">
      <c r="A206" s="36" t="inlineStr">
        <is>
          <t>https://instasure.ca/life-insurance/medical-conditions/</t>
        </is>
      </c>
      <c r="B206" s="36" t="inlineStr">
        <is>
          <t>Service page</t>
        </is>
      </c>
      <c r="C206" s="36" t="inlineStr">
        <is>
          <t>Life insurance</t>
        </is>
      </c>
      <c r="D206" s="36" t="inlineStr">
        <is>
          <t>life insurance for smokers</t>
        </is>
      </c>
      <c r="E206" s="36" t="inlineStr">
        <is>
          <t>Nationwide</t>
        </is>
      </c>
      <c r="F206" s="36" t="n"/>
      <c r="G206" s="36" t="n"/>
      <c r="H206" s="37" t="n">
        <v>390</v>
      </c>
      <c r="I206" s="36" t="n">
        <v>35</v>
      </c>
      <c r="J206" s="36" t="inlineStr">
        <is>
          <t>commercial</t>
        </is>
      </c>
      <c r="K206" s="36" t="inlineStr">
        <is>
          <t>life-conditions</t>
        </is>
      </c>
      <c r="L206" s="36" t="n">
        <v>3</v>
      </c>
      <c r="M206" s="36" t="inlineStr">
        <is>
          <t>Primary</t>
        </is>
      </c>
      <c r="N206" s="39">
        <f>IFERROR(IF(ISNUMBER(SEARCH(D206,INDEX(Pages!$J$2:$J$829,MATCH(A206,Pages!$B$2:$B$829,0)))),"Yes","No"),"Page not found")</f>
        <v/>
      </c>
      <c r="O206" s="25" t="inlineStr">
        <is>
          <t>policyadvisor</t>
        </is>
      </c>
      <c r="P206" s="25" t="inlineStr">
        <is>
          <t>Answered on the medical-conditions page (Medical underwriting desk). Per-condition pages still planned.</t>
        </is>
      </c>
    </row>
    <row r="207" ht="23.85" customHeight="1" s="22">
      <c r="A207" s="36" t="inlineStr">
        <is>
          <t>https://instasure.ca/life-insurance/medical-conditions/</t>
        </is>
      </c>
      <c r="B207" s="36" t="inlineStr">
        <is>
          <t>Service page</t>
        </is>
      </c>
      <c r="C207" s="36" t="inlineStr">
        <is>
          <t>Life insurance</t>
        </is>
      </c>
      <c r="D207" s="36" t="inlineStr">
        <is>
          <t>life insurance for diabetics</t>
        </is>
      </c>
      <c r="E207" s="36" t="inlineStr">
        <is>
          <t>Nationwide</t>
        </is>
      </c>
      <c r="F207" s="36" t="n"/>
      <c r="G207" s="36" t="n"/>
      <c r="H207" s="37" t="n">
        <v>320</v>
      </c>
      <c r="I207" s="36" t="n">
        <v>30</v>
      </c>
      <c r="J207" s="36" t="inlineStr">
        <is>
          <t>commercial</t>
        </is>
      </c>
      <c r="K207" s="36" t="inlineStr">
        <is>
          <t>life-conditions</t>
        </is>
      </c>
      <c r="L207" s="36" t="n">
        <v>3</v>
      </c>
      <c r="M207" s="36" t="inlineStr">
        <is>
          <t>Secondary</t>
        </is>
      </c>
      <c r="N207" s="39">
        <f>IFERROR(IF(ISNUMBER(SEARCH(D207,INDEX(Pages!$J$2:$J$829,MATCH(A207,Pages!$B$2:$B$829,0)))),"Yes","No"),"Page not found")</f>
        <v/>
      </c>
      <c r="O207" s="25" t="inlineStr">
        <is>
          <t>policyadvisor</t>
        </is>
      </c>
      <c r="P207" s="25" t="inlineStr">
        <is>
          <t>Answered on the medical-conditions page (Medical underwriting desk). Planned per-condition hub: /life-insurance/conditions/{condition}/.</t>
        </is>
      </c>
    </row>
    <row r="208" ht="15" customHeight="1" s="22">
      <c r="A208" s="36" t="inlineStr">
        <is>
          <t>https://instasure.ca/tenant-insurance/alberta/calgary/</t>
        </is>
      </c>
      <c r="B208" s="36" t="inlineStr">
        <is>
          <t>Product × city</t>
        </is>
      </c>
      <c r="C208" s="36" t="inlineStr">
        <is>
          <t>Tenant insurance</t>
        </is>
      </c>
      <c r="D208" s="36" t="inlineStr">
        <is>
          <t>tenant insurance calgary</t>
        </is>
      </c>
      <c r="E208" s="36" t="inlineStr">
        <is>
          <t>City</t>
        </is>
      </c>
      <c r="F208" s="36" t="inlineStr">
        <is>
          <t>Alberta</t>
        </is>
      </c>
      <c r="G208" s="36" t="inlineStr">
        <is>
          <t>Calgary</t>
        </is>
      </c>
      <c r="H208" s="37" t="n">
        <v>710</v>
      </c>
      <c r="I208" s="36" t="n">
        <v>60</v>
      </c>
      <c r="J208" s="36" t="inlineStr">
        <is>
          <t>local</t>
        </is>
      </c>
      <c r="K208" s="36" t="inlineStr">
        <is>
          <t>property-local</t>
        </is>
      </c>
      <c r="L208" s="36" t="n">
        <v>4</v>
      </c>
      <c r="M208" s="36" t="inlineStr">
        <is>
          <t>Primary</t>
        </is>
      </c>
      <c r="N208" s="39">
        <f>IFERROR(IF(ISNUMBER(SEARCH(D208,INDEX(Pages!$J$2:$J$829,MATCH(A208,Pages!$B$2:$B$829,0)))),"Yes","No"),"Page not found")</f>
        <v/>
      </c>
      <c r="O208" s="25" t="inlineStr">
        <is>
          <t>ratehub, rates.ca, sonnet</t>
        </is>
      </c>
      <c r="P208" s="25" t="n"/>
    </row>
    <row r="209" ht="15" customHeight="1" s="22">
      <c r="A209" s="36" t="inlineStr">
        <is>
          <t>https://instasure.ca/insurance/ontario/toronto/</t>
        </is>
      </c>
      <c r="B209" s="36" t="inlineStr">
        <is>
          <t>Place hub</t>
        </is>
      </c>
      <c r="C209" s="36" t="inlineStr">
        <is>
          <t>Multi-line (place hubs)</t>
        </is>
      </c>
      <c r="D209" s="36" t="inlineStr">
        <is>
          <t>insurance advisor toronto</t>
        </is>
      </c>
      <c r="E209" s="36" t="inlineStr">
        <is>
          <t>City</t>
        </is>
      </c>
      <c r="F209" s="36" t="inlineStr">
        <is>
          <t>Ontario</t>
        </is>
      </c>
      <c r="G209" s="36" t="inlineStr">
        <is>
          <t>Toronto</t>
        </is>
      </c>
      <c r="H209" s="37" t="n">
        <v>680</v>
      </c>
      <c r="I209" s="36" t="n">
        <v>30</v>
      </c>
      <c r="J209" s="36" t="inlineStr">
        <is>
          <t>local</t>
        </is>
      </c>
      <c r="K209" s="36" t="inlineStr">
        <is>
          <t>advisors</t>
        </is>
      </c>
      <c r="L209" s="36" t="n">
        <v>1</v>
      </c>
      <c r="M209" s="36" t="inlineStr">
        <is>
          <t>Primary</t>
        </is>
      </c>
      <c r="N209" s="39">
        <f>IFERROR(IF(ISNUMBER(SEARCH(D209,INDEX(Pages!$J$2:$J$829,MATCH(A209,Pages!$B$2:$B$829,0)))),"Yes","No"),"Page not found")</f>
        <v/>
      </c>
      <c r="O209" s="25" t="inlineStr">
        <is>
          <t>local brokers, thinkinsure, rates.ca (broker pages)</t>
        </is>
      </c>
      <c r="P209" s="25" t="inlineStr">
        <is>
          <t>City hub. Add a Google Business Profile only where an advisor really works from that city.</t>
        </is>
      </c>
    </row>
    <row r="210" ht="15" customHeight="1" s="22">
      <c r="A210" s="36" t="inlineStr">
        <is>
          <t>https://instasure.ca/car-insurance/manitoba/</t>
        </is>
      </c>
      <c r="B210" s="36" t="inlineStr">
        <is>
          <t>Product × province</t>
        </is>
      </c>
      <c r="C210" s="36" t="inlineStr">
        <is>
          <t>Car insurance</t>
        </is>
      </c>
      <c r="D210" s="36" t="inlineStr">
        <is>
          <t>car insurance manitoba</t>
        </is>
      </c>
      <c r="E210" s="36" t="inlineStr">
        <is>
          <t>Provincial</t>
        </is>
      </c>
      <c r="F210" s="36" t="inlineStr">
        <is>
          <t>Manitoba</t>
        </is>
      </c>
      <c r="G210" s="36" t="n"/>
      <c r="H210" s="37" t="n">
        <v>660</v>
      </c>
      <c r="I210" s="36" t="n">
        <v>53</v>
      </c>
      <c r="J210" s="36" t="inlineStr">
        <is>
          <t>commercial</t>
        </is>
      </c>
      <c r="K210" s="36" t="inlineStr">
        <is>
          <t>auto-province</t>
        </is>
      </c>
      <c r="L210" s="36" t="n">
        <v>4</v>
      </c>
      <c r="M210" s="36" t="inlineStr">
        <is>
          <t>Primary</t>
        </is>
      </c>
      <c r="N210" s="39">
        <f>IFERROR(IF(ISNUMBER(SEARCH(D210,INDEX(Pages!$J$2:$J$829,MATCH(A210,Pages!$B$2:$B$829,0)))),"Yes","No"),"Page not found")</f>
        <v/>
      </c>
      <c r="O210" s="25" t="inlineStr">
        <is>
          <t>ratehub</t>
        </is>
      </c>
      <c r="P210" s="25" t="inlineStr">
        <is>
          <t>MPI sells basic auto; target optional coverage. Low lead value.</t>
        </is>
      </c>
    </row>
    <row r="211" ht="15" customHeight="1" s="22">
      <c r="A211" s="36" t="inlineStr">
        <is>
          <t>https://instasure.ca/home-insurance/manitoba/winnipeg/</t>
        </is>
      </c>
      <c r="B211" s="36" t="inlineStr">
        <is>
          <t>Product × city</t>
        </is>
      </c>
      <c r="C211" s="36" t="inlineStr">
        <is>
          <t>Home insurance</t>
        </is>
      </c>
      <c r="D211" s="36" t="inlineStr">
        <is>
          <t>home insurance winnipeg</t>
        </is>
      </c>
      <c r="E211" s="36" t="inlineStr">
        <is>
          <t>City</t>
        </is>
      </c>
      <c r="F211" s="36" t="inlineStr">
        <is>
          <t>Manitoba</t>
        </is>
      </c>
      <c r="G211" s="36" t="inlineStr">
        <is>
          <t>Winnipeg</t>
        </is>
      </c>
      <c r="H211" s="37" t="n">
        <v>660</v>
      </c>
      <c r="I211" s="36" t="n">
        <v>52</v>
      </c>
      <c r="J211" s="36" t="inlineStr">
        <is>
          <t>local</t>
        </is>
      </c>
      <c r="K211" s="36" t="inlineStr">
        <is>
          <t>property-local</t>
        </is>
      </c>
      <c r="L211" s="36" t="n">
        <v>2</v>
      </c>
      <c r="M211" s="36" t="inlineStr">
        <is>
          <t>Primary</t>
        </is>
      </c>
      <c r="N211" s="39">
        <f>IFERROR(IF(ISNUMBER(SEARCH(D211,INDEX(Pages!$J$2:$J$829,MATCH(A211,Pages!$B$2:$B$829,0)))),"Yes","No"),"Page not found")</f>
        <v/>
      </c>
      <c r="O211" s="25" t="inlineStr">
        <is>
          <t>ratehub</t>
        </is>
      </c>
      <c r="P211" s="25" t="n"/>
    </row>
    <row r="212" ht="15" customHeight="1" s="22">
      <c r="A212" s="36" t="inlineStr">
        <is>
          <t>https://instasure.ca/car-insurance/ontario/oakville/</t>
        </is>
      </c>
      <c r="B212" s="36" t="inlineStr">
        <is>
          <t>Product × city</t>
        </is>
      </c>
      <c r="C212" s="36" t="inlineStr">
        <is>
          <t>Car insurance</t>
        </is>
      </c>
      <c r="D212" s="36" t="inlineStr">
        <is>
          <t>car insurance oakville</t>
        </is>
      </c>
      <c r="E212" s="36" t="inlineStr">
        <is>
          <t>City</t>
        </is>
      </c>
      <c r="F212" s="36" t="inlineStr">
        <is>
          <t>Ontario</t>
        </is>
      </c>
      <c r="G212" s="36" t="inlineStr">
        <is>
          <t>Oakville</t>
        </is>
      </c>
      <c r="H212" s="37" t="n">
        <v>650</v>
      </c>
      <c r="I212" s="36" t="n">
        <v>68</v>
      </c>
      <c r="J212" s="36" t="inlineStr">
        <is>
          <t>local</t>
        </is>
      </c>
      <c r="K212" s="36" t="inlineStr">
        <is>
          <t>auto-local</t>
        </is>
      </c>
      <c r="L212" s="36" t="n">
        <v>2</v>
      </c>
      <c r="M212" s="36" t="inlineStr">
        <is>
          <t>Primary</t>
        </is>
      </c>
      <c r="N212" s="39">
        <f>IFERROR(IF(ISNUMBER(SEARCH(D212,INDEX(Pages!$J$2:$J$829,MATCH(A212,Pages!$B$2:$B$829,0)))),"Yes","No"),"Page not found")</f>
        <v/>
      </c>
      <c r="O212" s="25" t="inlineStr">
        <is>
          <t>ratehub, rates.ca</t>
        </is>
      </c>
      <c r="P212" s="25" t="n"/>
    </row>
    <row r="213" ht="15" customHeight="1" s="22">
      <c r="A213" s="36" t="inlineStr">
        <is>
          <t>https://instasure.ca/home-insurance/ontario/mississauga/</t>
        </is>
      </c>
      <c r="B213" s="36" t="inlineStr">
        <is>
          <t>Product × city</t>
        </is>
      </c>
      <c r="C213" s="36" t="inlineStr">
        <is>
          <t>Home insurance</t>
        </is>
      </c>
      <c r="D213" s="36" t="inlineStr">
        <is>
          <t>home insurance mississauga</t>
        </is>
      </c>
      <c r="E213" s="36" t="inlineStr">
        <is>
          <t>City</t>
        </is>
      </c>
      <c r="F213" s="36" t="inlineStr">
        <is>
          <t>Ontario</t>
        </is>
      </c>
      <c r="G213" s="36" t="inlineStr">
        <is>
          <t>Mississauga</t>
        </is>
      </c>
      <c r="H213" s="37" t="n">
        <v>640</v>
      </c>
      <c r="I213" s="36" t="n">
        <v>64</v>
      </c>
      <c r="J213" s="36" t="inlineStr">
        <is>
          <t>local</t>
        </is>
      </c>
      <c r="K213" s="36" t="inlineStr">
        <is>
          <t>property-local</t>
        </is>
      </c>
      <c r="L213" s="36" t="n">
        <v>2</v>
      </c>
      <c r="M213" s="36" t="inlineStr">
        <is>
          <t>Primary</t>
        </is>
      </c>
      <c r="N213" s="39">
        <f>IFERROR(IF(ISNUMBER(SEARCH(D213,INDEX(Pages!$J$2:$J$829,MATCH(A213,Pages!$B$2:$B$829,0)))),"Yes","No"),"Page not found")</f>
        <v/>
      </c>
      <c r="O213" s="25" t="inlineStr">
        <is>
          <t>ratehub, rates.ca</t>
        </is>
      </c>
      <c r="P213" s="25" t="n"/>
    </row>
    <row r="214" ht="15" customHeight="1" s="22">
      <c r="A214" s="36" t="inlineStr">
        <is>
          <t>https://instasure.ca/car-insurance/ontario/oshawa/</t>
        </is>
      </c>
      <c r="B214" s="36" t="inlineStr">
        <is>
          <t>Product × city</t>
        </is>
      </c>
      <c r="C214" s="36" t="inlineStr">
        <is>
          <t>Car insurance</t>
        </is>
      </c>
      <c r="D214" s="36" t="inlineStr">
        <is>
          <t>car insurance oshawa</t>
        </is>
      </c>
      <c r="E214" s="36" t="inlineStr">
        <is>
          <t>City</t>
        </is>
      </c>
      <c r="F214" s="36" t="inlineStr">
        <is>
          <t>Ontario</t>
        </is>
      </c>
      <c r="G214" s="36" t="inlineStr">
        <is>
          <t>Oshawa</t>
        </is>
      </c>
      <c r="H214" s="37" t="n">
        <v>610</v>
      </c>
      <c r="I214" s="36" t="n">
        <v>68</v>
      </c>
      <c r="J214" s="36" t="inlineStr">
        <is>
          <t>local</t>
        </is>
      </c>
      <c r="K214" s="36" t="inlineStr">
        <is>
          <t>auto-local</t>
        </is>
      </c>
      <c r="L214" s="36" t="n">
        <v>3</v>
      </c>
      <c r="M214" s="36" t="inlineStr">
        <is>
          <t>Primary</t>
        </is>
      </c>
      <c r="N214" s="39">
        <f>IFERROR(IF(ISNUMBER(SEARCH(D214,INDEX(Pages!$J$2:$J$829,MATCH(A214,Pages!$B$2:$B$829,0)))),"Yes","No"),"Page not found")</f>
        <v/>
      </c>
      <c r="O214" s="25" t="inlineStr">
        <is>
          <t>ratehub, rates.ca</t>
        </is>
      </c>
      <c r="P214" s="25" t="n"/>
    </row>
    <row r="215" ht="15" customHeight="1" s="22">
      <c r="A215" s="36" t="inlineStr">
        <is>
          <t>https://instasure.ca/home-insurance/british-columbia/vancouver/</t>
        </is>
      </c>
      <c r="B215" s="36" t="inlineStr">
        <is>
          <t>Product × city</t>
        </is>
      </c>
      <c r="C215" s="36" t="inlineStr">
        <is>
          <t>Home insurance</t>
        </is>
      </c>
      <c r="D215" s="36" t="inlineStr">
        <is>
          <t>home insurance vancouver</t>
        </is>
      </c>
      <c r="E215" s="36" t="inlineStr">
        <is>
          <t>City</t>
        </is>
      </c>
      <c r="F215" s="36" t="inlineStr">
        <is>
          <t>British Columbia</t>
        </is>
      </c>
      <c r="G215" s="36" t="inlineStr">
        <is>
          <t>Vancouver</t>
        </is>
      </c>
      <c r="H215" s="37" t="n">
        <v>600</v>
      </c>
      <c r="I215" s="36" t="n">
        <v>64</v>
      </c>
      <c r="J215" s="36" t="inlineStr">
        <is>
          <t>local</t>
        </is>
      </c>
      <c r="K215" s="36" t="inlineStr">
        <is>
          <t>property-local</t>
        </is>
      </c>
      <c r="L215" s="36" t="n">
        <v>2</v>
      </c>
      <c r="M215" s="36" t="inlineStr">
        <is>
          <t>Primary</t>
        </is>
      </c>
      <c r="N215" s="39">
        <f>IFERROR(IF(ISNUMBER(SEARCH(D215,INDEX(Pages!$J$2:$J$829,MATCH(A215,Pages!$B$2:$B$829,0)))),"Yes","No"),"Page not found")</f>
        <v/>
      </c>
      <c r="O215" s="25" t="inlineStr">
        <is>
          <t>ratehub, sonnet</t>
        </is>
      </c>
      <c r="P215" s="25" t="n"/>
    </row>
    <row r="216" ht="15" customHeight="1" s="22">
      <c r="A216" s="36" t="inlineStr">
        <is>
          <t>https://instasure.ca/home-insurance/ontario/brampton/</t>
        </is>
      </c>
      <c r="B216" s="36" t="inlineStr">
        <is>
          <t>Product × city</t>
        </is>
      </c>
      <c r="C216" s="36" t="inlineStr">
        <is>
          <t>Home insurance</t>
        </is>
      </c>
      <c r="D216" s="36" t="inlineStr">
        <is>
          <t>home insurance brampton</t>
        </is>
      </c>
      <c r="E216" s="36" t="inlineStr">
        <is>
          <t>City</t>
        </is>
      </c>
      <c r="F216" s="36" t="inlineStr">
        <is>
          <t>Ontario</t>
        </is>
      </c>
      <c r="G216" s="36" t="inlineStr">
        <is>
          <t>Brampton</t>
        </is>
      </c>
      <c r="H216" s="37" t="n">
        <v>600</v>
      </c>
      <c r="I216" s="36" t="n">
        <v>56</v>
      </c>
      <c r="J216" s="36" t="inlineStr">
        <is>
          <t>local</t>
        </is>
      </c>
      <c r="K216" s="36" t="inlineStr">
        <is>
          <t>property-local</t>
        </is>
      </c>
      <c r="L216" s="36" t="n">
        <v>2</v>
      </c>
      <c r="M216" s="36" t="inlineStr">
        <is>
          <t>Primary</t>
        </is>
      </c>
      <c r="N216" s="39">
        <f>IFERROR(IF(ISNUMBER(SEARCH(D216,INDEX(Pages!$J$2:$J$829,MATCH(A216,Pages!$B$2:$B$829,0)))),"Yes","No"),"Page not found")</f>
        <v/>
      </c>
      <c r="O216" s="25" t="inlineStr">
        <is>
          <t>ratehub, rates.ca, local brokers (#1)</t>
        </is>
      </c>
      <c r="P216" s="25" t="n"/>
    </row>
    <row r="217" ht="15" customHeight="1" s="22">
      <c r="A217" s="36" t="inlineStr">
        <is>
          <t>https://instasure.ca/business-insurance/cyber/</t>
        </is>
      </c>
      <c r="B217" s="36" t="inlineStr">
        <is>
          <t>Service page</t>
        </is>
      </c>
      <c r="C217" s="36" t="inlineStr">
        <is>
          <t>Business insurance</t>
        </is>
      </c>
      <c r="D217" s="36" t="inlineStr">
        <is>
          <t>cyber insurance canada</t>
        </is>
      </c>
      <c r="E217" s="36" t="inlineStr">
        <is>
          <t>Nationwide</t>
        </is>
      </c>
      <c r="F217" s="36" t="n"/>
      <c r="G217" s="36" t="n"/>
      <c r="H217" s="37" t="n">
        <v>590</v>
      </c>
      <c r="I217" s="36" t="n">
        <v>45</v>
      </c>
      <c r="J217" s="36" t="inlineStr">
        <is>
          <t>commercial</t>
        </is>
      </c>
      <c r="K217" s="36" t="inlineStr">
        <is>
          <t>business</t>
        </is>
      </c>
      <c r="L217" s="36" t="n">
        <v>3</v>
      </c>
      <c r="M217" s="36" t="inlineStr">
        <is>
          <t>Primary</t>
        </is>
      </c>
      <c r="N217" s="39">
        <f>IFERROR(IF(ISNUMBER(SEARCH(D217,INDEX(Pages!$J$2:$J$829,MATCH(A217,Pages!$B$2:$B$829,0)))),"Yes","No"),"Page not found")</f>
        <v/>
      </c>
      <c r="O217" s="25" t="inlineStr">
        <is>
          <t>ratehub</t>
        </is>
      </c>
      <c r="P217" s="25" t="inlineStr">
        <is>
          <t>Built (service page).</t>
        </is>
      </c>
    </row>
    <row r="218" ht="15" customHeight="1" s="22">
      <c r="A218" s="36" t="inlineStr">
        <is>
          <t>https://instasure.ca/business-insurance/ontario/toronto/</t>
        </is>
      </c>
      <c r="B218" s="36" t="inlineStr">
        <is>
          <t>Product × city</t>
        </is>
      </c>
      <c r="C218" s="36" t="inlineStr">
        <is>
          <t>Business insurance</t>
        </is>
      </c>
      <c r="D218" s="36" t="inlineStr">
        <is>
          <t>business insurance toronto</t>
        </is>
      </c>
      <c r="E218" s="36" t="inlineStr">
        <is>
          <t>City</t>
        </is>
      </c>
      <c r="F218" s="36" t="inlineStr">
        <is>
          <t>Ontario</t>
        </is>
      </c>
      <c r="G218" s="36" t="inlineStr">
        <is>
          <t>Toronto</t>
        </is>
      </c>
      <c r="H218" s="37" t="n">
        <v>590</v>
      </c>
      <c r="I218" s="36" t="n">
        <v>41</v>
      </c>
      <c r="J218" s="36" t="inlineStr">
        <is>
          <t>local</t>
        </is>
      </c>
      <c r="K218" s="36" t="inlineStr">
        <is>
          <t>business-local</t>
        </is>
      </c>
      <c r="L218" s="36" t="n">
        <v>1</v>
      </c>
      <c r="M218" s="36" t="inlineStr">
        <is>
          <t>Primary</t>
        </is>
      </c>
      <c r="N218" s="39">
        <f>IFERROR(IF(ISNUMBER(SEARCH(D218,INDEX(Pages!$J$2:$J$829,MATCH(A218,Pages!$B$2:$B$829,0)))),"Yes","No"),"Page not found")</f>
        <v/>
      </c>
      <c r="O218" s="25" t="inlineStr">
        <is>
          <t>(none seen)</t>
        </is>
      </c>
      <c r="P218" s="25" t="n"/>
    </row>
    <row r="219" ht="15" customHeight="1" s="22">
      <c r="A219" s="36" t="inlineStr">
        <is>
          <t>https://instasure.ca/business-insurance/restaurants/</t>
        </is>
      </c>
      <c r="B219" s="36" t="inlineStr">
        <is>
          <t>Service page</t>
        </is>
      </c>
      <c r="C219" s="36" t="inlineStr">
        <is>
          <t>Business insurance</t>
        </is>
      </c>
      <c r="D219" s="36" t="inlineStr">
        <is>
          <t>restaurant insurance</t>
        </is>
      </c>
      <c r="E219" s="36" t="inlineStr">
        <is>
          <t>Nationwide</t>
        </is>
      </c>
      <c r="F219" s="36" t="n"/>
      <c r="G219" s="36" t="n"/>
      <c r="H219" s="37" t="n">
        <v>590</v>
      </c>
      <c r="I219" s="36" t="n">
        <v>40</v>
      </c>
      <c r="J219" s="36" t="inlineStr">
        <is>
          <t>commercial</t>
        </is>
      </c>
      <c r="K219" s="36" t="inlineStr">
        <is>
          <t>business-trades</t>
        </is>
      </c>
      <c r="L219" s="36" t="n">
        <v>3</v>
      </c>
      <c r="M219" s="36" t="inlineStr">
        <is>
          <t>Primary</t>
        </is>
      </c>
      <c r="N219" s="39">
        <f>IFERROR(IF(ISNUMBER(SEARCH(D219,INDEX(Pages!$J$2:$J$829,MATCH(A219,Pages!$B$2:$B$829,0)))),"Yes","No"),"Page not found")</f>
        <v/>
      </c>
      <c r="O219" s="25" t="inlineStr">
        <is>
          <t>rates.ca (food &amp; beverage)</t>
        </is>
      </c>
      <c r="P219" s="25" t="inlineStr">
        <is>
          <t>Built (service page).</t>
        </is>
      </c>
    </row>
    <row r="220" ht="15" customHeight="1" s="22">
      <c r="A220" s="36" t="inlineStr">
        <is>
          <t>https://instasure.ca/car-insurance/senior-drivers/</t>
        </is>
      </c>
      <c r="B220" s="36" t="inlineStr">
        <is>
          <t>Service page</t>
        </is>
      </c>
      <c r="C220" s="36" t="inlineStr">
        <is>
          <t>Car insurance</t>
        </is>
      </c>
      <c r="D220" s="36" t="inlineStr">
        <is>
          <t>senior car insurance</t>
        </is>
      </c>
      <c r="E220" s="36" t="inlineStr">
        <is>
          <t>Nationwide</t>
        </is>
      </c>
      <c r="F220" s="36" t="n"/>
      <c r="G220" s="36" t="n"/>
      <c r="H220" s="37" t="n">
        <v>590</v>
      </c>
      <c r="I220" s="36" t="n">
        <v>35</v>
      </c>
      <c r="J220" s="36" t="inlineStr">
        <is>
          <t>commercial</t>
        </is>
      </c>
      <c r="K220" s="36" t="inlineStr">
        <is>
          <t>auto-persona</t>
        </is>
      </c>
      <c r="L220" s="36" t="n">
        <v>3</v>
      </c>
      <c r="M220" s="36" t="inlineStr">
        <is>
          <t>Primary</t>
        </is>
      </c>
      <c r="N220" s="39">
        <f>IFERROR(IF(ISNUMBER(SEARCH(D220,INDEX(Pages!$J$2:$J$829,MATCH(A220,Pages!$B$2:$B$829,0)))),"Yes","No"),"Page not found")</f>
        <v/>
      </c>
      <c r="O220" s="25" t="inlineStr">
        <is>
          <t>ratehub, rates.ca guide</t>
        </is>
      </c>
      <c r="P220" s="25" t="inlineStr">
        <is>
          <t>Built with a senior-driver example estimate.</t>
        </is>
      </c>
    </row>
    <row r="221" ht="15" customHeight="1" s="22">
      <c r="A221" s="36" t="inlineStr">
        <is>
          <t>https://instasure.ca/condo-insurance/ontario/toronto/</t>
        </is>
      </c>
      <c r="B221" s="36" t="inlineStr">
        <is>
          <t>Product × city</t>
        </is>
      </c>
      <c r="C221" s="36" t="inlineStr">
        <is>
          <t>Condo insurance</t>
        </is>
      </c>
      <c r="D221" s="36" t="inlineStr">
        <is>
          <t>condo insurance toronto</t>
        </is>
      </c>
      <c r="E221" s="36" t="inlineStr">
        <is>
          <t>City</t>
        </is>
      </c>
      <c r="F221" s="36" t="inlineStr">
        <is>
          <t>Ontario</t>
        </is>
      </c>
      <c r="G221" s="36" t="inlineStr">
        <is>
          <t>Toronto</t>
        </is>
      </c>
      <c r="H221" s="37" t="n">
        <v>590</v>
      </c>
      <c r="I221" s="36" t="n">
        <v>56</v>
      </c>
      <c r="J221" s="36" t="inlineStr">
        <is>
          <t>local</t>
        </is>
      </c>
      <c r="K221" s="36" t="inlineStr">
        <is>
          <t>property-local</t>
        </is>
      </c>
      <c r="L221" s="36" t="n">
        <v>3</v>
      </c>
      <c r="M221" s="36" t="inlineStr">
        <is>
          <t>Primary</t>
        </is>
      </c>
      <c r="N221" s="39">
        <f>IFERROR(IF(ISNUMBER(SEARCH(D221,INDEX(Pages!$J$2:$J$829,MATCH(A221,Pages!$B$2:$B$829,0)))),"Yes","No"),"Page not found")</f>
        <v/>
      </c>
      <c r="O221" s="25" t="inlineStr">
        <is>
          <t>rates.ca, sonnet</t>
        </is>
      </c>
      <c r="P221" s="25" t="n"/>
    </row>
    <row r="222" ht="23.85" customHeight="1" s="22">
      <c r="A222" s="36" t="inlineStr">
        <is>
          <t>https://instasure.ca/disability-insurance/self-employed/</t>
        </is>
      </c>
      <c r="B222" s="36" t="inlineStr">
        <is>
          <t>Service page</t>
        </is>
      </c>
      <c r="C222" s="36" t="inlineStr">
        <is>
          <t>Disability insurance</t>
        </is>
      </c>
      <c r="D222" s="36" t="inlineStr">
        <is>
          <t>disability insurance for self employed</t>
        </is>
      </c>
      <c r="E222" s="36" t="inlineStr">
        <is>
          <t>Nationwide</t>
        </is>
      </c>
      <c r="F222" s="36" t="n"/>
      <c r="G222" s="36" t="n"/>
      <c r="H222" s="37" t="n">
        <v>590</v>
      </c>
      <c r="I222" s="36" t="n">
        <v>35</v>
      </c>
      <c r="J222" s="36" t="inlineStr">
        <is>
          <t>commercial</t>
        </is>
      </c>
      <c r="K222" s="36" t="inlineStr">
        <is>
          <t>living-benefits</t>
        </is>
      </c>
      <c r="L222" s="36" t="n">
        <v>1</v>
      </c>
      <c r="M222" s="36" t="inlineStr">
        <is>
          <t>Primary</t>
        </is>
      </c>
      <c r="N222" s="39">
        <f>IFERROR(IF(ISNUMBER(SEARCH(D222,INDEX(Pages!$J$2:$J$829,MATCH(A222,Pages!$B$2:$B$829,0)))),"Yes","No"),"Page not found")</f>
        <v/>
      </c>
      <c r="O222" s="25" t="inlineStr">
        <is>
          <t>policyadvisor</t>
        </is>
      </c>
      <c r="P222" s="25" t="inlineStr">
        <is>
          <t>Built with the Self-employed income protection desk. Tie-in with the Ontario income-replacement opt-out.</t>
        </is>
      </c>
    </row>
    <row r="223" ht="15" customHeight="1" s="22">
      <c r="A223" s="36" t="inlineStr">
        <is>
          <t>https://instasure.ca/life-insurance/joint/</t>
        </is>
      </c>
      <c r="B223" s="36" t="inlineStr">
        <is>
          <t>Service page</t>
        </is>
      </c>
      <c r="C223" s="36" t="inlineStr">
        <is>
          <t>Life insurance</t>
        </is>
      </c>
      <c r="D223" s="36" t="inlineStr">
        <is>
          <t>joint life insurance</t>
        </is>
      </c>
      <c r="E223" s="36" t="inlineStr">
        <is>
          <t>Nationwide</t>
        </is>
      </c>
      <c r="F223" s="36" t="n"/>
      <c r="G223" s="36" t="n"/>
      <c r="H223" s="37" t="n">
        <v>590</v>
      </c>
      <c r="I223" s="36" t="n">
        <v>40</v>
      </c>
      <c r="J223" s="36" t="inlineStr">
        <is>
          <t>commercial</t>
        </is>
      </c>
      <c r="K223" s="36" t="inlineStr">
        <is>
          <t>life-audience</t>
        </is>
      </c>
      <c r="L223" s="36" t="n">
        <v>3</v>
      </c>
      <c r="M223" s="36" t="inlineStr">
        <is>
          <t>Primary</t>
        </is>
      </c>
      <c r="N223" s="39">
        <f>IFERROR(IF(ISNUMBER(SEARCH(D223,INDEX(Pages!$J$2:$J$829,MATCH(A223,Pages!$B$2:$B$829,0)))),"Yes","No"),"Page not found")</f>
        <v/>
      </c>
      <c r="O223" s="25" t="inlineStr">
        <is>
          <t>sun life, policyadvisor</t>
        </is>
      </c>
      <c r="P223" s="25" t="inlineStr">
        <is>
          <t>Built (service page).</t>
        </is>
      </c>
    </row>
    <row r="224" ht="15" customHeight="1" s="22">
      <c r="A224" s="36" t="inlineStr">
        <is>
          <t>https://instasure.ca/tenant-insurance/ontario/ottawa/</t>
        </is>
      </c>
      <c r="B224" s="36" t="inlineStr">
        <is>
          <t>Product × city</t>
        </is>
      </c>
      <c r="C224" s="36" t="inlineStr">
        <is>
          <t>Tenant insurance</t>
        </is>
      </c>
      <c r="D224" s="36" t="inlineStr">
        <is>
          <t>tenant insurance ottawa</t>
        </is>
      </c>
      <c r="E224" s="36" t="inlineStr">
        <is>
          <t>City</t>
        </is>
      </c>
      <c r="F224" s="36" t="inlineStr">
        <is>
          <t>Ontario</t>
        </is>
      </c>
      <c r="G224" s="36" t="inlineStr">
        <is>
          <t>Ottawa</t>
        </is>
      </c>
      <c r="H224" s="37" t="n">
        <v>580</v>
      </c>
      <c r="I224" s="36" t="n">
        <v>52</v>
      </c>
      <c r="J224" s="36" t="inlineStr">
        <is>
          <t>local</t>
        </is>
      </c>
      <c r="K224" s="36" t="inlineStr">
        <is>
          <t>property-local</t>
        </is>
      </c>
      <c r="L224" s="36" t="n">
        <v>3</v>
      </c>
      <c r="M224" s="36" t="inlineStr">
        <is>
          <t>Primary</t>
        </is>
      </c>
      <c r="N224" s="39">
        <f>IFERROR(IF(ISNUMBER(SEARCH(D224,INDEX(Pages!$J$2:$J$829,MATCH(A224,Pages!$B$2:$B$829,0)))),"Yes","No"),"Page not found")</f>
        <v/>
      </c>
      <c r="O224" s="25" t="inlineStr">
        <is>
          <t>sonnet</t>
        </is>
      </c>
      <c r="P224" s="25" t="n"/>
    </row>
    <row r="225" ht="15" customHeight="1" s="22">
      <c r="A225" s="36" t="inlineStr">
        <is>
          <t>https://instasure.ca/car-insurance/saskatchewan/</t>
        </is>
      </c>
      <c r="B225" s="36" t="inlineStr">
        <is>
          <t>Product × province</t>
        </is>
      </c>
      <c r="C225" s="36" t="inlineStr">
        <is>
          <t>Car insurance</t>
        </is>
      </c>
      <c r="D225" s="36" t="inlineStr">
        <is>
          <t>car insurance saskatchewan</t>
        </is>
      </c>
      <c r="E225" s="36" t="inlineStr">
        <is>
          <t>Provincial</t>
        </is>
      </c>
      <c r="F225" s="36" t="inlineStr">
        <is>
          <t>Saskatchewan</t>
        </is>
      </c>
      <c r="G225" s="36" t="n"/>
      <c r="H225" s="37" t="n">
        <v>570</v>
      </c>
      <c r="I225" s="36" t="n">
        <v>53</v>
      </c>
      <c r="J225" s="36" t="inlineStr">
        <is>
          <t>commercial</t>
        </is>
      </c>
      <c r="K225" s="36" t="inlineStr">
        <is>
          <t>auto-province</t>
        </is>
      </c>
      <c r="L225" s="36" t="n">
        <v>4</v>
      </c>
      <c r="M225" s="36" t="inlineStr">
        <is>
          <t>Primary</t>
        </is>
      </c>
      <c r="N225" s="39">
        <f>IFERROR(IF(ISNUMBER(SEARCH(D225,INDEX(Pages!$J$2:$J$829,MATCH(A225,Pages!$B$2:$B$829,0)))),"Yes","No"),"Page not found")</f>
        <v/>
      </c>
      <c r="O225" s="25" t="inlineStr">
        <is>
          <t>ratehub</t>
        </is>
      </c>
      <c r="P225" s="25" t="inlineStr">
        <is>
          <t>SGI sells basic auto; target optional coverage. Low lead value.</t>
        </is>
      </c>
    </row>
    <row r="226" ht="15" customHeight="1" s="22">
      <c r="A226" s="36" t="inlineStr">
        <is>
          <t>https://instasure.ca/tenant-insurance/alberta/edmonton/</t>
        </is>
      </c>
      <c r="B226" s="36" t="inlineStr">
        <is>
          <t>Product × city</t>
        </is>
      </c>
      <c r="C226" s="36" t="inlineStr">
        <is>
          <t>Tenant insurance</t>
        </is>
      </c>
      <c r="D226" s="36" t="inlineStr">
        <is>
          <t>tenant insurance edmonton</t>
        </is>
      </c>
      <c r="E226" s="36" t="inlineStr">
        <is>
          <t>City</t>
        </is>
      </c>
      <c r="F226" s="36" t="inlineStr">
        <is>
          <t>Alberta</t>
        </is>
      </c>
      <c r="G226" s="36" t="inlineStr">
        <is>
          <t>Edmonton</t>
        </is>
      </c>
      <c r="H226" s="37" t="n">
        <v>570</v>
      </c>
      <c r="I226" s="36" t="n">
        <v>60</v>
      </c>
      <c r="J226" s="36" t="inlineStr">
        <is>
          <t>local</t>
        </is>
      </c>
      <c r="K226" s="36" t="inlineStr">
        <is>
          <t>property-local</t>
        </is>
      </c>
      <c r="L226" s="36" t="n">
        <v>4</v>
      </c>
      <c r="M226" s="36" t="inlineStr">
        <is>
          <t>Primary</t>
        </is>
      </c>
      <c r="N226" s="39">
        <f>IFERROR(IF(ISNUMBER(SEARCH(D226,INDEX(Pages!$J$2:$J$829,MATCH(A226,Pages!$B$2:$B$829,0)))),"Yes","No"),"Page not found")</f>
        <v/>
      </c>
      <c r="O226" s="25" t="inlineStr">
        <is>
          <t>ratehub, rates.ca, sonnet</t>
        </is>
      </c>
      <c r="P226" s="25" t="n"/>
    </row>
    <row r="227" ht="15" customHeight="1" s="22">
      <c r="A227" s="36" t="inlineStr">
        <is>
          <t>https://instasure.ca/tenant-insurance/british-columbia/</t>
        </is>
      </c>
      <c r="B227" s="36" t="inlineStr">
        <is>
          <t>Product × province</t>
        </is>
      </c>
      <c r="C227" s="36" t="inlineStr">
        <is>
          <t>Tenant insurance</t>
        </is>
      </c>
      <c r="D227" s="36" t="inlineStr">
        <is>
          <t>tenant insurance bc</t>
        </is>
      </c>
      <c r="E227" s="36" t="inlineStr">
        <is>
          <t>Provincial</t>
        </is>
      </c>
      <c r="F227" s="36" t="inlineStr">
        <is>
          <t>British Columbia</t>
        </is>
      </c>
      <c r="G227" s="36" t="n"/>
      <c r="H227" s="37" t="n">
        <v>570</v>
      </c>
      <c r="I227" s="36" t="n">
        <v>46</v>
      </c>
      <c r="J227" s="36" t="inlineStr">
        <is>
          <t>commercial</t>
        </is>
      </c>
      <c r="K227" s="36" t="inlineStr">
        <is>
          <t>property-province</t>
        </is>
      </c>
      <c r="L227" s="36" t="n">
        <v>3</v>
      </c>
      <c r="M227" s="36" t="inlineStr">
        <is>
          <t>Primary</t>
        </is>
      </c>
      <c r="N227" s="39">
        <f>IFERROR(IF(ISNUMBER(SEARCH(D227,INDEX(Pages!$J$2:$J$829,MATCH(A227,Pages!$B$2:$B$829,0)))),"Yes","No"),"Page not found")</f>
        <v/>
      </c>
      <c r="O227" s="25" t="inlineStr">
        <is>
          <t>sonnet</t>
        </is>
      </c>
      <c r="P227" s="25" t="n"/>
    </row>
    <row r="228" ht="15" customHeight="1" s="22">
      <c r="A228" s="36" t="inlineStr">
        <is>
          <t>https://instasure.ca/car-insurance/newfoundland-and-labrador/</t>
        </is>
      </c>
      <c r="B228" s="36" t="inlineStr">
        <is>
          <t>Product × province</t>
        </is>
      </c>
      <c r="C228" s="36" t="inlineStr">
        <is>
          <t>Car insurance</t>
        </is>
      </c>
      <c r="D228" s="36" t="inlineStr">
        <is>
          <t>car insurance newfoundland</t>
        </is>
      </c>
      <c r="E228" s="36" t="inlineStr">
        <is>
          <t>Provincial</t>
        </is>
      </c>
      <c r="F228" s="36" t="inlineStr">
        <is>
          <t>Newfoundland and Labrador</t>
        </is>
      </c>
      <c r="G228" s="36" t="n"/>
      <c r="H228" s="37" t="n">
        <v>560</v>
      </c>
      <c r="I228" s="36" t="n">
        <v>53</v>
      </c>
      <c r="J228" s="36" t="inlineStr">
        <is>
          <t>commercial</t>
        </is>
      </c>
      <c r="K228" s="36" t="inlineStr">
        <is>
          <t>auto-province</t>
        </is>
      </c>
      <c r="L228" s="36" t="n">
        <v>2</v>
      </c>
      <c r="M228" s="36" t="inlineStr">
        <is>
          <t>Primary</t>
        </is>
      </c>
      <c r="N228" s="39">
        <f>IFERROR(IF(ISNUMBER(SEARCH(D228,INDEX(Pages!$J$2:$J$829,MATCH(A228,Pages!$B$2:$B$829,0)))),"Yes","No"),"Page not found")</f>
        <v/>
      </c>
      <c r="O228" s="25" t="inlineStr">
        <is>
          <t>ratehub</t>
        </is>
      </c>
      <c r="P228" s="25" t="n"/>
    </row>
    <row r="229" ht="15" customHeight="1" s="22">
      <c r="A229" s="36" t="inlineStr">
        <is>
          <t>https://instasure.ca/car-insurance/newfoundland-and-labrador/st-johns/</t>
        </is>
      </c>
      <c r="B229" s="36" t="inlineStr">
        <is>
          <t>Product × city</t>
        </is>
      </c>
      <c r="C229" s="36" t="inlineStr">
        <is>
          <t>Car insurance</t>
        </is>
      </c>
      <c r="D229" s="36" t="inlineStr">
        <is>
          <t>car insurance st johns</t>
        </is>
      </c>
      <c r="E229" s="36" t="inlineStr">
        <is>
          <t>City</t>
        </is>
      </c>
      <c r="F229" s="36" t="inlineStr">
        <is>
          <t>Newfoundland and Labrador</t>
        </is>
      </c>
      <c r="G229" s="36" t="inlineStr">
        <is>
          <t>St. John’s</t>
        </is>
      </c>
      <c r="H229" s="37" t="n">
        <v>360</v>
      </c>
      <c r="I229" s="36" t="n">
        <v>64</v>
      </c>
      <c r="J229" s="36" t="inlineStr">
        <is>
          <t>local</t>
        </is>
      </c>
      <c r="K229" s="36" t="inlineStr">
        <is>
          <t>auto-local</t>
        </is>
      </c>
      <c r="L229" s="36" t="n">
        <v>3</v>
      </c>
      <c r="M229" s="36" t="inlineStr">
        <is>
          <t>Primary</t>
        </is>
      </c>
      <c r="N229" s="39">
        <f>IFERROR(IF(ISNUMBER(SEARCH(D229,INDEX(Pages!$J$2:$J$829,MATCH(A229,Pages!$B$2:$B$829,0)))),"Yes","No"),"Page not found")</f>
        <v/>
      </c>
      <c r="O229" s="25" t="inlineStr">
        <is>
          <t>ratehub</t>
        </is>
      </c>
      <c r="P229" s="25" t="n"/>
    </row>
    <row r="230" ht="15" customHeight="1" s="22">
      <c r="A230" s="36" t="inlineStr">
        <is>
          <t>https://instasure.ca/car-insurance/newfoundland-and-labrador/st-johns/</t>
        </is>
      </c>
      <c r="B230" s="36" t="inlineStr">
        <is>
          <t>Product × city</t>
        </is>
      </c>
      <c r="C230" s="36" t="inlineStr">
        <is>
          <t>Car insurance</t>
        </is>
      </c>
      <c r="D230" s="36" t="inlineStr">
        <is>
          <t>cheap car insurance st johns</t>
        </is>
      </c>
      <c r="E230" s="36" t="inlineStr">
        <is>
          <t>City</t>
        </is>
      </c>
      <c r="F230" s="36" t="inlineStr">
        <is>
          <t>Newfoundland and Labrador</t>
        </is>
      </c>
      <c r="G230" s="36" t="inlineStr">
        <is>
          <t>St. John’s</t>
        </is>
      </c>
      <c r="H230" s="37" t="n">
        <v>120</v>
      </c>
      <c r="I230" s="36" t="n">
        <v>59</v>
      </c>
      <c r="J230" s="36" t="inlineStr">
        <is>
          <t>transactional</t>
        </is>
      </c>
      <c r="K230" s="36" t="inlineStr">
        <is>
          <t>auto-local</t>
        </is>
      </c>
      <c r="L230" s="36" t="n">
        <v>4</v>
      </c>
      <c r="M230" s="36" t="inlineStr">
        <is>
          <t>Secondary</t>
        </is>
      </c>
      <c r="N230" s="39">
        <f>IFERROR(IF(ISNUMBER(SEARCH(D230,INDEX(Pages!$J$2:$J$829,MATCH(A230,Pages!$B$2:$B$829,0)))),"Yes","No"),"Page not found")</f>
        <v/>
      </c>
      <c r="O230" s="25" t="inlineStr">
        <is>
          <t>ratehub</t>
        </is>
      </c>
      <c r="P230" s="25" t="inlineStr">
        <is>
          <t>Rates.ca titles lead with "Cheap"; answer with factors and FSA data, not a price promise.</t>
        </is>
      </c>
    </row>
    <row r="231" ht="23.85" customHeight="1" s="22">
      <c r="A231" s="36" t="inlineStr">
        <is>
          <t>https://instasure.ca/car-insurance/newfoundland-and-labrador/st-johns/</t>
        </is>
      </c>
      <c r="B231" s="36" t="inlineStr">
        <is>
          <t>Product × city</t>
        </is>
      </c>
      <c r="C231" s="36" t="inlineStr">
        <is>
          <t>Car insurance</t>
        </is>
      </c>
      <c r="D231" s="36" t="inlineStr">
        <is>
          <t>how much is car insurance in st johns</t>
        </is>
      </c>
      <c r="E231" s="36" t="inlineStr">
        <is>
          <t>City</t>
        </is>
      </c>
      <c r="F231" s="36" t="inlineStr">
        <is>
          <t>Newfoundland and Labrador</t>
        </is>
      </c>
      <c r="G231" s="36" t="inlineStr">
        <is>
          <t>St. John’s</t>
        </is>
      </c>
      <c r="H231" s="37" t="n">
        <v>71</v>
      </c>
      <c r="I231" s="36" t="n">
        <v>59</v>
      </c>
      <c r="J231" s="36" t="inlineStr">
        <is>
          <t>informational</t>
        </is>
      </c>
      <c r="K231" s="36" t="inlineStr">
        <is>
          <t>auto-local</t>
        </is>
      </c>
      <c r="L231" s="36" t="n">
        <v>5</v>
      </c>
      <c r="M231" s="36" t="inlineStr">
        <is>
          <t>Secondary</t>
        </is>
      </c>
      <c r="N231" s="39">
        <f>IFERROR(IF(ISNUMBER(SEARCH(D231,INDEX(Pages!$J$2:$J$829,MATCH(A231,Pages!$B$2:$B$829,0)))),"Yes","No"),"Page not found")</f>
        <v/>
      </c>
      <c r="O231" s="25" t="inlineStr">
        <is>
          <t>ratehub</t>
        </is>
      </c>
      <c r="P231" s="25" t="inlineStr">
        <is>
          <t>Ratehub ranks a blog post for this. The city page answers it in the first two sentences with a dated average.</t>
        </is>
      </c>
    </row>
    <row r="232" ht="15" customHeight="1" s="22">
      <c r="A232" s="36" t="inlineStr">
        <is>
          <t>https://instasure.ca/super-visa-insurance/ontario/</t>
        </is>
      </c>
      <c r="B232" s="36" t="inlineStr">
        <is>
          <t>Product × province</t>
        </is>
      </c>
      <c r="C232" s="36" t="inlineStr">
        <is>
          <t>Super Visa &amp; visitors insurance</t>
        </is>
      </c>
      <c r="D232" s="36" t="inlineStr">
        <is>
          <t>super visa insurance ontario</t>
        </is>
      </c>
      <c r="E232" s="36" t="inlineStr">
        <is>
          <t>Provincial</t>
        </is>
      </c>
      <c r="F232" s="36" t="inlineStr">
        <is>
          <t>Ontario</t>
        </is>
      </c>
      <c r="G232" s="36" t="n"/>
      <c r="H232" s="37" t="n">
        <v>550</v>
      </c>
      <c r="I232" s="36" t="n">
        <v>42</v>
      </c>
      <c r="J232" s="36" t="inlineStr">
        <is>
          <t>commercial</t>
        </is>
      </c>
      <c r="K232" s="36" t="inlineStr">
        <is>
          <t>travel-visitors</t>
        </is>
      </c>
      <c r="L232" s="36" t="n">
        <v>2</v>
      </c>
      <c r="M232" s="36" t="inlineStr">
        <is>
          <t>Primary</t>
        </is>
      </c>
      <c r="N232" s="39">
        <f>IFERROR(IF(ISNUMBER(SEARCH(D232,INDEX(Pages!$J$2:$J$829,MATCH(A232,Pages!$B$2:$B$829,0)))),"Yes","No"),"Page not found")</f>
        <v/>
      </c>
      <c r="O232" s="25" t="inlineStr">
        <is>
          <t>(none seen)</t>
        </is>
      </c>
      <c r="P232" s="25" t="inlineStr">
        <is>
          <t>Province page targets super visa buyers sponsoring parents locally.</t>
        </is>
      </c>
    </row>
    <row r="233" ht="15" customHeight="1" s="22">
      <c r="A233" s="36" t="inlineStr">
        <is>
          <t>https://instasure.ca/home-insurance/british-columbia/surrey/</t>
        </is>
      </c>
      <c r="B233" s="36" t="inlineStr">
        <is>
          <t>Product × city</t>
        </is>
      </c>
      <c r="C233" s="36" t="inlineStr">
        <is>
          <t>Home insurance</t>
        </is>
      </c>
      <c r="D233" s="36" t="inlineStr">
        <is>
          <t>home insurance surrey</t>
        </is>
      </c>
      <c r="E233" s="36" t="inlineStr">
        <is>
          <t>City</t>
        </is>
      </c>
      <c r="F233" s="36" t="inlineStr">
        <is>
          <t>British Columbia</t>
        </is>
      </c>
      <c r="G233" s="36" t="inlineStr">
        <is>
          <t>Surrey</t>
        </is>
      </c>
      <c r="H233" s="37" t="n">
        <v>530</v>
      </c>
      <c r="I233" s="36" t="n">
        <v>48</v>
      </c>
      <c r="J233" s="36" t="inlineStr">
        <is>
          <t>local</t>
        </is>
      </c>
      <c r="K233" s="36" t="inlineStr">
        <is>
          <t>property-local</t>
        </is>
      </c>
      <c r="L233" s="36" t="n">
        <v>2</v>
      </c>
      <c r="M233" s="36" t="inlineStr">
        <is>
          <t>Primary</t>
        </is>
      </c>
      <c r="N233" s="39">
        <f>IFERROR(IF(ISNUMBER(SEARCH(D233,INDEX(Pages!$J$2:$J$829,MATCH(A233,Pages!$B$2:$B$829,0)))),"Yes","No"),"Page not found")</f>
        <v/>
      </c>
      <c r="O233" s="25" t="inlineStr">
        <is>
          <t>(none seen)</t>
        </is>
      </c>
      <c r="P233" s="25" t="n"/>
    </row>
    <row r="234" ht="15" customHeight="1" s="22">
      <c r="A234" s="36" t="inlineStr">
        <is>
          <t>https://instasure.ca/home-insurance/ontario/hamilton/</t>
        </is>
      </c>
      <c r="B234" s="36" t="inlineStr">
        <is>
          <t>Product × city</t>
        </is>
      </c>
      <c r="C234" s="36" t="inlineStr">
        <is>
          <t>Home insurance</t>
        </is>
      </c>
      <c r="D234" s="36" t="inlineStr">
        <is>
          <t>home insurance hamilton</t>
        </is>
      </c>
      <c r="E234" s="36" t="inlineStr">
        <is>
          <t>City</t>
        </is>
      </c>
      <c r="F234" s="36" t="inlineStr">
        <is>
          <t>Ontario</t>
        </is>
      </c>
      <c r="G234" s="36" t="inlineStr">
        <is>
          <t>Hamilton</t>
        </is>
      </c>
      <c r="H234" s="37" t="n">
        <v>530</v>
      </c>
      <c r="I234" s="36" t="n">
        <v>56</v>
      </c>
      <c r="J234" s="36" t="inlineStr">
        <is>
          <t>local</t>
        </is>
      </c>
      <c r="K234" s="36" t="inlineStr">
        <is>
          <t>property-local</t>
        </is>
      </c>
      <c r="L234" s="36" t="n">
        <v>2</v>
      </c>
      <c r="M234" s="36" t="inlineStr">
        <is>
          <t>Primary</t>
        </is>
      </c>
      <c r="N234" s="39">
        <f>IFERROR(IF(ISNUMBER(SEARCH(D234,INDEX(Pages!$J$2:$J$829,MATCH(A234,Pages!$B$2:$B$829,0)))),"Yes","No"),"Page not found")</f>
        <v/>
      </c>
      <c r="O234" s="25" t="inlineStr">
        <is>
          <t>ratehub, rates.ca</t>
        </is>
      </c>
      <c r="P234" s="25" t="n"/>
    </row>
    <row r="235" ht="15" customHeight="1" s="22">
      <c r="A235" s="36" t="inlineStr">
        <is>
          <t>https://instasure.ca/home-insurance/quebec/</t>
        </is>
      </c>
      <c r="B235" s="36" t="inlineStr">
        <is>
          <t>Product × province</t>
        </is>
      </c>
      <c r="C235" s="36" t="inlineStr">
        <is>
          <t>Home insurance</t>
        </is>
      </c>
      <c r="D235" s="36" t="inlineStr">
        <is>
          <t>home insurance quebec</t>
        </is>
      </c>
      <c r="E235" s="36" t="inlineStr">
        <is>
          <t>Provincial</t>
        </is>
      </c>
      <c r="F235" s="36" t="inlineStr">
        <is>
          <t>Quebec</t>
        </is>
      </c>
      <c r="G235" s="36" t="n"/>
      <c r="H235" s="37" t="n">
        <v>520</v>
      </c>
      <c r="I235" s="36" t="n">
        <v>53</v>
      </c>
      <c r="J235" s="36" t="inlineStr">
        <is>
          <t>commercial</t>
        </is>
      </c>
      <c r="K235" s="36" t="inlineStr">
        <is>
          <t>property-province</t>
        </is>
      </c>
      <c r="L235" s="36" t="n">
        <v>3</v>
      </c>
      <c r="M235" s="36" t="inlineStr">
        <is>
          <t>Primary</t>
        </is>
      </c>
      <c r="N235" s="39">
        <f>IFERROR(IF(ISNUMBER(SEARCH(D235,INDEX(Pages!$J$2:$J$829,MATCH(A235,Pages!$B$2:$B$829,0)))),"Yes","No"),"Page not found")</f>
        <v/>
      </c>
      <c r="O235" s="25" t="inlineStr">
        <is>
          <t>sonnet</t>
        </is>
      </c>
      <c r="P235" s="25" t="inlineStr">
        <is>
          <t>Quebec waitlist until AMF registration; English phrase only (French terms listed separately).</t>
        </is>
      </c>
    </row>
    <row r="236" ht="15" customHeight="1" s="22">
      <c r="A236" s="36" t="inlineStr">
        <is>
          <t>https://instasure.ca/car-insurance/ontario/burlington/</t>
        </is>
      </c>
      <c r="B236" s="36" t="inlineStr">
        <is>
          <t>Product × city</t>
        </is>
      </c>
      <c r="C236" s="36" t="inlineStr">
        <is>
          <t>Car insurance</t>
        </is>
      </c>
      <c r="D236" s="36" t="inlineStr">
        <is>
          <t>car insurance burlington</t>
        </is>
      </c>
      <c r="E236" s="36" t="inlineStr">
        <is>
          <t>City</t>
        </is>
      </c>
      <c r="F236" s="36" t="inlineStr">
        <is>
          <t>Ontario</t>
        </is>
      </c>
      <c r="G236" s="36" t="inlineStr">
        <is>
          <t>Burlington</t>
        </is>
      </c>
      <c r="H236" s="37" t="n">
        <v>500</v>
      </c>
      <c r="I236" s="36" t="n">
        <v>68</v>
      </c>
      <c r="J236" s="36" t="inlineStr">
        <is>
          <t>local</t>
        </is>
      </c>
      <c r="K236" s="36" t="inlineStr">
        <is>
          <t>auto-local</t>
        </is>
      </c>
      <c r="L236" s="36" t="n">
        <v>3</v>
      </c>
      <c r="M236" s="36" t="inlineStr">
        <is>
          <t>Primary</t>
        </is>
      </c>
      <c r="N236" s="39">
        <f>IFERROR(IF(ISNUMBER(SEARCH(D236,INDEX(Pages!$J$2:$J$829,MATCH(A236,Pages!$B$2:$B$829,0)))),"Yes","No"),"Page not found")</f>
        <v/>
      </c>
      <c r="O236" s="25" t="inlineStr">
        <is>
          <t>ratehub, rates.ca</t>
        </is>
      </c>
      <c r="P236" s="25" t="n"/>
    </row>
    <row r="237" ht="23.85" customHeight="1" s="22">
      <c r="A237" s="36" t="inlineStr">
        <is>
          <t>https://instasure.ca/car-insurance/ontario/ajax/</t>
        </is>
      </c>
      <c r="B237" s="36" t="inlineStr">
        <is>
          <t>Product × city</t>
        </is>
      </c>
      <c r="C237" s="36" t="inlineStr">
        <is>
          <t>Car insurance</t>
        </is>
      </c>
      <c r="D237" s="36" t="inlineStr">
        <is>
          <t>car insurance ajax</t>
        </is>
      </c>
      <c r="E237" s="36" t="inlineStr">
        <is>
          <t>City</t>
        </is>
      </c>
      <c r="F237" s="36" t="inlineStr">
        <is>
          <t>Ontario</t>
        </is>
      </c>
      <c r="G237" s="36" t="inlineStr">
        <is>
          <t>Ajax</t>
        </is>
      </c>
      <c r="H237" s="37" t="n">
        <v>490</v>
      </c>
      <c r="I237" s="36" t="n">
        <v>56</v>
      </c>
      <c r="J237" s="36" t="inlineStr">
        <is>
          <t>local</t>
        </is>
      </c>
      <c r="K237" s="36" t="inlineStr">
        <is>
          <t>auto-local</t>
        </is>
      </c>
      <c r="L237" s="36" t="n">
        <v>3</v>
      </c>
      <c r="M237" s="36" t="inlineStr">
        <is>
          <t>Primary</t>
        </is>
      </c>
      <c r="N237" s="39">
        <f>IFERROR(IF(ISNUMBER(SEARCH(D237,INDEX(Pages!$J$2:$J$829,MATCH(A237,Pages!$B$2:$B$829,0)))),"Yes","No"),"Page not found")</f>
        <v/>
      </c>
      <c r="O237" s="25" t="inlineStr">
        <is>
          <t>rates.ca</t>
        </is>
      </c>
      <c r="P237" s="25" t="inlineStr">
        <is>
          <t>Page exists but is noindex until an editor adds a 300+ character local intro (Admin → SEO → Page overrides).</t>
        </is>
      </c>
    </row>
    <row r="238" ht="23.85" customHeight="1" s="22">
      <c r="A238" s="36" t="inlineStr">
        <is>
          <t>https://instasure.ca/car-insurance/ontario/whitby/</t>
        </is>
      </c>
      <c r="B238" s="36" t="inlineStr">
        <is>
          <t>Product × city</t>
        </is>
      </c>
      <c r="C238" s="36" t="inlineStr">
        <is>
          <t>Car insurance</t>
        </is>
      </c>
      <c r="D238" s="36" t="inlineStr">
        <is>
          <t>car insurance whitby</t>
        </is>
      </c>
      <c r="E238" s="36" t="inlineStr">
        <is>
          <t>City</t>
        </is>
      </c>
      <c r="F238" s="36" t="inlineStr">
        <is>
          <t>Ontario</t>
        </is>
      </c>
      <c r="G238" s="36" t="inlineStr">
        <is>
          <t>Whitby</t>
        </is>
      </c>
      <c r="H238" s="37" t="n">
        <v>490</v>
      </c>
      <c r="I238" s="36" t="n">
        <v>56</v>
      </c>
      <c r="J238" s="36" t="inlineStr">
        <is>
          <t>local</t>
        </is>
      </c>
      <c r="K238" s="36" t="inlineStr">
        <is>
          <t>auto-local</t>
        </is>
      </c>
      <c r="L238" s="36" t="n">
        <v>3</v>
      </c>
      <c r="M238" s="36" t="inlineStr">
        <is>
          <t>Primary</t>
        </is>
      </c>
      <c r="N238" s="39">
        <f>IFERROR(IF(ISNUMBER(SEARCH(D238,INDEX(Pages!$J$2:$J$829,MATCH(A238,Pages!$B$2:$B$829,0)))),"Yes","No"),"Page not found")</f>
        <v/>
      </c>
      <c r="O238" s="25" t="inlineStr">
        <is>
          <t>rates.ca</t>
        </is>
      </c>
      <c r="P238" s="25" t="inlineStr">
        <is>
          <t>Page exists but is noindex until an editor adds a 300+ character local intro (Admin → SEO → Page overrides).</t>
        </is>
      </c>
    </row>
    <row r="239" ht="15" customHeight="1" s="22">
      <c r="A239" s="36" t="inlineStr">
        <is>
          <t>https://instasure.ca/business-insurance/home-based/</t>
        </is>
      </c>
      <c r="B239" s="36" t="inlineStr">
        <is>
          <t>Service page</t>
        </is>
      </c>
      <c r="C239" s="36" t="inlineStr">
        <is>
          <t>Business insurance</t>
        </is>
      </c>
      <c r="D239" s="36" t="inlineStr">
        <is>
          <t>home based business insurance</t>
        </is>
      </c>
      <c r="E239" s="36" t="inlineStr">
        <is>
          <t>Nationwide</t>
        </is>
      </c>
      <c r="F239" s="36" t="n"/>
      <c r="G239" s="36" t="n"/>
      <c r="H239" s="37" t="n">
        <v>480</v>
      </c>
      <c r="I239" s="36" t="n">
        <v>30</v>
      </c>
      <c r="J239" s="36" t="inlineStr">
        <is>
          <t>commercial</t>
        </is>
      </c>
      <c r="K239" s="36" t="inlineStr">
        <is>
          <t>business</t>
        </is>
      </c>
      <c r="L239" s="36" t="n">
        <v>3</v>
      </c>
      <c r="M239" s="36" t="inlineStr">
        <is>
          <t>Primary</t>
        </is>
      </c>
      <c r="N239" s="39">
        <f>IFERROR(IF(ISNUMBER(SEARCH(D239,INDEX(Pages!$J$2:$J$829,MATCH(A239,Pages!$B$2:$B$829,0)))),"Yes","No"),"Page not found")</f>
        <v/>
      </c>
      <c r="O239" s="25" t="inlineStr">
        <is>
          <t>ratehub blog, sonnet blog</t>
        </is>
      </c>
      <c r="P239" s="25" t="inlineStr">
        <is>
          <t>Built (service page).</t>
        </is>
      </c>
    </row>
    <row r="240" ht="15" customHeight="1" s="22">
      <c r="A240" s="36" t="inlineStr">
        <is>
          <t>https://instasure.ca/business-insurance/key-person/</t>
        </is>
      </c>
      <c r="B240" s="36" t="inlineStr">
        <is>
          <t>Service page</t>
        </is>
      </c>
      <c r="C240" s="36" t="inlineStr">
        <is>
          <t>Business insurance</t>
        </is>
      </c>
      <c r="D240" s="36" t="inlineStr">
        <is>
          <t>key person insurance</t>
        </is>
      </c>
      <c r="E240" s="36" t="inlineStr">
        <is>
          <t>Nationwide</t>
        </is>
      </c>
      <c r="F240" s="36" t="n"/>
      <c r="G240" s="36" t="n"/>
      <c r="H240" s="37" t="n">
        <v>480</v>
      </c>
      <c r="I240" s="36" t="n">
        <v>35</v>
      </c>
      <c r="J240" s="36" t="inlineStr">
        <is>
          <t>commercial</t>
        </is>
      </c>
      <c r="K240" s="36" t="inlineStr">
        <is>
          <t>business-benefits</t>
        </is>
      </c>
      <c r="L240" s="36" t="n">
        <v>2</v>
      </c>
      <c r="M240" s="36" t="inlineStr">
        <is>
          <t>Primary</t>
        </is>
      </c>
      <c r="N240" s="39">
        <f>IFERROR(IF(ISNUMBER(SEARCH(D240,INDEX(Pages!$J$2:$J$829,MATCH(A240,Pages!$B$2:$B$829,0)))),"Yes","No"),"Page not found")</f>
        <v/>
      </c>
      <c r="O240" s="25" t="inlineStr">
        <is>
          <t>policyadvisor</t>
        </is>
      </c>
      <c r="P240" s="25" t="inlineStr">
        <is>
          <t>Built (life product, business buyer).</t>
        </is>
      </c>
    </row>
    <row r="241" ht="23.85" customHeight="1" s="22">
      <c r="A241" s="36" t="inlineStr">
        <is>
          <t>https://instasure.ca/life-insurance/alberta/calgary/</t>
        </is>
      </c>
      <c r="B241" s="36" t="inlineStr">
        <is>
          <t>Product × city</t>
        </is>
      </c>
      <c r="C241" s="36" t="inlineStr">
        <is>
          <t>Life insurance</t>
        </is>
      </c>
      <c r="D241" s="36" t="inlineStr">
        <is>
          <t>life insurance calgary</t>
        </is>
      </c>
      <c r="E241" s="36" t="inlineStr">
        <is>
          <t>City</t>
        </is>
      </c>
      <c r="F241" s="36" t="inlineStr">
        <is>
          <t>Alberta</t>
        </is>
      </c>
      <c r="G241" s="36" t="inlineStr">
        <is>
          <t>Calgary</t>
        </is>
      </c>
      <c r="H241" s="37" t="n">
        <v>480</v>
      </c>
      <c r="I241" s="36" t="n">
        <v>47</v>
      </c>
      <c r="J241" s="36" t="inlineStr">
        <is>
          <t>local</t>
        </is>
      </c>
      <c r="K241" s="36" t="inlineStr">
        <is>
          <t>life-local</t>
        </is>
      </c>
      <c r="L241" s="36" t="n">
        <v>1</v>
      </c>
      <c r="M241" s="36" t="inlineStr">
        <is>
          <t>Primary</t>
        </is>
      </c>
      <c r="N241" s="39">
        <f>IFERROR(IF(ISNUMBER(SEARCH(D241,INDEX(Pages!$J$2:$J$829,MATCH(A241,Pages!$B$2:$B$829,0)))),"Yes","No"),"Page not found")</f>
        <v/>
      </c>
      <c r="O241" s="25" t="inlineStr">
        <is>
          <t>ratehub (thin)</t>
        </is>
      </c>
      <c r="P241" s="25" t="inlineStr">
        <is>
          <t>Competitor city pages here are thin or carry stale dates (October 2026 review): freshness opening.</t>
        </is>
      </c>
    </row>
    <row r="242" ht="15" customHeight="1" s="22">
      <c r="A242" s="36" t="inlineStr">
        <is>
          <t>https://instasure.ca/health-dental-insurance/british-columbia/</t>
        </is>
      </c>
      <c r="B242" s="36" t="inlineStr">
        <is>
          <t>Product × province</t>
        </is>
      </c>
      <c r="C242" s="36" t="inlineStr">
        <is>
          <t>Health &amp; dental insurance</t>
        </is>
      </c>
      <c r="D242" s="36" t="inlineStr">
        <is>
          <t>health insurance bc</t>
        </is>
      </c>
      <c r="E242" s="36" t="inlineStr">
        <is>
          <t>Provincial</t>
        </is>
      </c>
      <c r="F242" s="36" t="inlineStr">
        <is>
          <t>British Columbia</t>
        </is>
      </c>
      <c r="G242" s="36" t="n"/>
      <c r="H242" s="37" t="n">
        <v>470</v>
      </c>
      <c r="I242" s="36" t="n">
        <v>53</v>
      </c>
      <c r="J242" s="36" t="inlineStr">
        <is>
          <t>commercial</t>
        </is>
      </c>
      <c r="K242" s="36" t="inlineStr">
        <is>
          <t>health-province</t>
        </is>
      </c>
      <c r="L242" s="36" t="n">
        <v>2</v>
      </c>
      <c r="M242" s="36" t="inlineStr">
        <is>
          <t>Primary</t>
        </is>
      </c>
      <c r="N242" s="39">
        <f>IFERROR(IF(ISNUMBER(SEARCH(D242,INDEX(Pages!$J$2:$J$829,MATCH(A242,Pages!$B$2:$B$829,0)))),"Yes","No"),"Page not found")</f>
        <v/>
      </c>
      <c r="O242" s="25" t="inlineStr">
        <is>
          <t>policyadvisor</t>
        </is>
      </c>
      <c r="P242" s="25" t="n"/>
    </row>
    <row r="243" ht="15" customHeight="1" s="22">
      <c r="A243" s="36" t="inlineStr">
        <is>
          <t>https://instasure.ca/tenant-insurance/manitoba/winnipeg/</t>
        </is>
      </c>
      <c r="B243" s="36" t="inlineStr">
        <is>
          <t>Product × city</t>
        </is>
      </c>
      <c r="C243" s="36" t="inlineStr">
        <is>
          <t>Tenant insurance</t>
        </is>
      </c>
      <c r="D243" s="36" t="inlineStr">
        <is>
          <t>tenant insurance winnipeg</t>
        </is>
      </c>
      <c r="E243" s="36" t="inlineStr">
        <is>
          <t>City</t>
        </is>
      </c>
      <c r="F243" s="36" t="inlineStr">
        <is>
          <t>Manitoba</t>
        </is>
      </c>
      <c r="G243" s="36" t="inlineStr">
        <is>
          <t>Winnipeg</t>
        </is>
      </c>
      <c r="H243" s="37" t="n">
        <v>450</v>
      </c>
      <c r="I243" s="36" t="n">
        <v>40</v>
      </c>
      <c r="J243" s="36" t="inlineStr">
        <is>
          <t>local</t>
        </is>
      </c>
      <c r="K243" s="36" t="inlineStr">
        <is>
          <t>property-local</t>
        </is>
      </c>
      <c r="L243" s="36" t="n">
        <v>3</v>
      </c>
      <c r="M243" s="36" t="inlineStr">
        <is>
          <t>Primary</t>
        </is>
      </c>
      <c r="N243" s="39">
        <f>IFERROR(IF(ISNUMBER(SEARCH(D243,INDEX(Pages!$J$2:$J$829,MATCH(A243,Pages!$B$2:$B$829,0)))),"Yes","No"),"Page not found")</f>
        <v/>
      </c>
      <c r="O243" s="25" t="inlineStr">
        <is>
          <t>(none seen)</t>
        </is>
      </c>
      <c r="P243" s="25" t="n"/>
    </row>
    <row r="244" ht="23.85" customHeight="1" s="22">
      <c r="A244" s="36" t="inlineStr">
        <is>
          <t>https://instasure.ca/car-insurance/ontario/milton/</t>
        </is>
      </c>
      <c r="B244" s="36" t="inlineStr">
        <is>
          <t>Product × city</t>
        </is>
      </c>
      <c r="C244" s="36" t="inlineStr">
        <is>
          <t>Car insurance</t>
        </is>
      </c>
      <c r="D244" s="36" t="inlineStr">
        <is>
          <t>car insurance milton</t>
        </is>
      </c>
      <c r="E244" s="36" t="inlineStr">
        <is>
          <t>City</t>
        </is>
      </c>
      <c r="F244" s="36" t="inlineStr">
        <is>
          <t>Ontario</t>
        </is>
      </c>
      <c r="G244" s="36" t="inlineStr">
        <is>
          <t>Milton</t>
        </is>
      </c>
      <c r="H244" s="37" t="n">
        <v>440</v>
      </c>
      <c r="I244" s="36" t="n">
        <v>56</v>
      </c>
      <c r="J244" s="36" t="inlineStr">
        <is>
          <t>local</t>
        </is>
      </c>
      <c r="K244" s="36" t="inlineStr">
        <is>
          <t>auto-local</t>
        </is>
      </c>
      <c r="L244" s="36" t="n">
        <v>3</v>
      </c>
      <c r="M244" s="36" t="inlineStr">
        <is>
          <t>Primary</t>
        </is>
      </c>
      <c r="N244" s="39">
        <f>IFERROR(IF(ISNUMBER(SEARCH(D244,INDEX(Pages!$J$2:$J$829,MATCH(A244,Pages!$B$2:$B$829,0)))),"Yes","No"),"Page not found")</f>
        <v/>
      </c>
      <c r="O244" s="25" t="inlineStr">
        <is>
          <t>rates.ca</t>
        </is>
      </c>
      <c r="P244" s="25" t="inlineStr">
        <is>
          <t>Page exists but is noindex until an editor adds a 300+ character local intro (Admin → SEO → Page overrides).</t>
        </is>
      </c>
    </row>
    <row r="245" ht="15" customHeight="1" s="22">
      <c r="A245" s="36" t="inlineStr">
        <is>
          <t>https://instasure.ca/tenant-insurance/ontario/mississauga/</t>
        </is>
      </c>
      <c r="B245" s="36" t="inlineStr">
        <is>
          <t>Product × city</t>
        </is>
      </c>
      <c r="C245" s="36" t="inlineStr">
        <is>
          <t>Tenant insurance</t>
        </is>
      </c>
      <c r="D245" s="36" t="inlineStr">
        <is>
          <t>tenant insurance mississauga</t>
        </is>
      </c>
      <c r="E245" s="36" t="inlineStr">
        <is>
          <t>City</t>
        </is>
      </c>
      <c r="F245" s="36" t="inlineStr">
        <is>
          <t>Ontario</t>
        </is>
      </c>
      <c r="G245" s="36" t="inlineStr">
        <is>
          <t>Mississauga</t>
        </is>
      </c>
      <c r="H245" s="37" t="n">
        <v>440</v>
      </c>
      <c r="I245" s="36" t="n">
        <v>56</v>
      </c>
      <c r="J245" s="36" t="inlineStr">
        <is>
          <t>local</t>
        </is>
      </c>
      <c r="K245" s="36" t="inlineStr">
        <is>
          <t>property-local</t>
        </is>
      </c>
      <c r="L245" s="36" t="n">
        <v>4</v>
      </c>
      <c r="M245" s="36" t="inlineStr">
        <is>
          <t>Primary</t>
        </is>
      </c>
      <c r="N245" s="39">
        <f>IFERROR(IF(ISNUMBER(SEARCH(D245,INDEX(Pages!$J$2:$J$829,MATCH(A245,Pages!$B$2:$B$829,0)))),"Yes","No"),"Page not found")</f>
        <v/>
      </c>
      <c r="O245" s="25" t="inlineStr">
        <is>
          <t>rates.ca, sonnet</t>
        </is>
      </c>
      <c r="P245" s="25" t="n"/>
    </row>
    <row r="246" ht="15" customHeight="1" s="22">
      <c r="A246" s="36" t="inlineStr">
        <is>
          <t>https://instasure.ca/business-insurance/british-columbia/</t>
        </is>
      </c>
      <c r="B246" s="36" t="inlineStr">
        <is>
          <t>Product × province</t>
        </is>
      </c>
      <c r="C246" s="36" t="inlineStr">
        <is>
          <t>Business insurance</t>
        </is>
      </c>
      <c r="D246" s="36" t="inlineStr">
        <is>
          <t>business insurance bc</t>
        </is>
      </c>
      <c r="E246" s="36" t="inlineStr">
        <is>
          <t>Provincial</t>
        </is>
      </c>
      <c r="F246" s="36" t="inlineStr">
        <is>
          <t>British Columbia</t>
        </is>
      </c>
      <c r="G246" s="36" t="n"/>
      <c r="H246" s="37" t="n">
        <v>430</v>
      </c>
      <c r="I246" s="36" t="n">
        <v>44</v>
      </c>
      <c r="J246" s="36" t="inlineStr">
        <is>
          <t>commercial</t>
        </is>
      </c>
      <c r="K246" s="36" t="inlineStr">
        <is>
          <t>business-province</t>
        </is>
      </c>
      <c r="L246" s="36" t="n">
        <v>1</v>
      </c>
      <c r="M246" s="36" t="inlineStr">
        <is>
          <t>Primary</t>
        </is>
      </c>
      <c r="N246" s="39">
        <f>IFERROR(IF(ISNUMBER(SEARCH(D246,INDEX(Pages!$J$2:$J$829,MATCH(A246,Pages!$B$2:$B$829,0)))),"Yes","No"),"Page not found")</f>
        <v/>
      </c>
      <c r="O246" s="25" t="inlineStr">
        <is>
          <t>(none seen)</t>
        </is>
      </c>
      <c r="P246" s="25" t="n"/>
    </row>
    <row r="247" ht="15" customHeight="1" s="22">
      <c r="A247" s="36" t="inlineStr">
        <is>
          <t>https://instasure.ca/home-insurance/nova-scotia/halifax/</t>
        </is>
      </c>
      <c r="B247" s="36" t="inlineStr">
        <is>
          <t>Product × city</t>
        </is>
      </c>
      <c r="C247" s="36" t="inlineStr">
        <is>
          <t>Home insurance</t>
        </is>
      </c>
      <c r="D247" s="36" t="inlineStr">
        <is>
          <t>home insurance halifax</t>
        </is>
      </c>
      <c r="E247" s="36" t="inlineStr">
        <is>
          <t>City</t>
        </is>
      </c>
      <c r="F247" s="36" t="inlineStr">
        <is>
          <t>Nova Scotia</t>
        </is>
      </c>
      <c r="G247" s="36" t="inlineStr">
        <is>
          <t>Halifax</t>
        </is>
      </c>
      <c r="H247" s="37" t="n">
        <v>430</v>
      </c>
      <c r="I247" s="36" t="n">
        <v>52</v>
      </c>
      <c r="J247" s="36" t="inlineStr">
        <is>
          <t>local</t>
        </is>
      </c>
      <c r="K247" s="36" t="inlineStr">
        <is>
          <t>property-local</t>
        </is>
      </c>
      <c r="L247" s="36" t="n">
        <v>2</v>
      </c>
      <c r="M247" s="36" t="inlineStr">
        <is>
          <t>Primary</t>
        </is>
      </c>
      <c r="N247" s="39">
        <f>IFERROR(IF(ISNUMBER(SEARCH(D247,INDEX(Pages!$J$2:$J$829,MATCH(A247,Pages!$B$2:$B$829,0)))),"Yes","No"),"Page not found")</f>
        <v/>
      </c>
      <c r="O247" s="25" t="inlineStr">
        <is>
          <t>ratehub</t>
        </is>
      </c>
      <c r="P247" s="25" t="n"/>
    </row>
    <row r="248" ht="15" customHeight="1" s="22">
      <c r="A248" s="36" t="inlineStr">
        <is>
          <t>https://instasure.ca/home-insurance/ontario/london/</t>
        </is>
      </c>
      <c r="B248" s="36" t="inlineStr">
        <is>
          <t>Product × city</t>
        </is>
      </c>
      <c r="C248" s="36" t="inlineStr">
        <is>
          <t>Home insurance</t>
        </is>
      </c>
      <c r="D248" s="36" t="inlineStr">
        <is>
          <t>home insurance london ontario</t>
        </is>
      </c>
      <c r="E248" s="36" t="inlineStr">
        <is>
          <t>City</t>
        </is>
      </c>
      <c r="F248" s="36" t="inlineStr">
        <is>
          <t>Ontario</t>
        </is>
      </c>
      <c r="G248" s="36" t="inlineStr">
        <is>
          <t>London</t>
        </is>
      </c>
      <c r="H248" s="37" t="n">
        <v>420</v>
      </c>
      <c r="I248" s="36" t="n">
        <v>56</v>
      </c>
      <c r="J248" s="36" t="inlineStr">
        <is>
          <t>local</t>
        </is>
      </c>
      <c r="K248" s="36" t="inlineStr">
        <is>
          <t>property-local</t>
        </is>
      </c>
      <c r="L248" s="36" t="n">
        <v>2</v>
      </c>
      <c r="M248" s="36" t="inlineStr">
        <is>
          <t>Primary</t>
        </is>
      </c>
      <c r="N248" s="39">
        <f>IFERROR(IF(ISNUMBER(SEARCH(D248,INDEX(Pages!$J$2:$J$829,MATCH(A248,Pages!$B$2:$B$829,0)))),"Yes","No"),"Page not found")</f>
        <v/>
      </c>
      <c r="O248" s="25" t="inlineStr">
        <is>
          <t>(none seen)</t>
        </is>
      </c>
      <c r="P248" s="25" t="n"/>
    </row>
    <row r="249" ht="15" customHeight="1" s="22">
      <c r="A249" s="36" t="inlineStr">
        <is>
          <t>https://instasure.ca/health-dental-insurance/alberta/</t>
        </is>
      </c>
      <c r="B249" s="36" t="inlineStr">
        <is>
          <t>Product × province</t>
        </is>
      </c>
      <c r="C249" s="36" t="inlineStr">
        <is>
          <t>Health &amp; dental insurance</t>
        </is>
      </c>
      <c r="D249" s="36" t="inlineStr">
        <is>
          <t>health insurance alberta</t>
        </is>
      </c>
      <c r="E249" s="36" t="inlineStr">
        <is>
          <t>Provincial</t>
        </is>
      </c>
      <c r="F249" s="36" t="inlineStr">
        <is>
          <t>Alberta</t>
        </is>
      </c>
      <c r="G249" s="36" t="n"/>
      <c r="H249" s="37" t="n">
        <v>410</v>
      </c>
      <c r="I249" s="36" t="n">
        <v>53</v>
      </c>
      <c r="J249" s="36" t="inlineStr">
        <is>
          <t>commercial</t>
        </is>
      </c>
      <c r="K249" s="36" t="inlineStr">
        <is>
          <t>health-province</t>
        </is>
      </c>
      <c r="L249" s="36" t="n">
        <v>2</v>
      </c>
      <c r="M249" s="36" t="inlineStr">
        <is>
          <t>Primary</t>
        </is>
      </c>
      <c r="N249" s="39">
        <f>IFERROR(IF(ISNUMBER(SEARCH(D249,INDEX(Pages!$J$2:$J$829,MATCH(A249,Pages!$B$2:$B$829,0)))),"Yes","No"),"Page not found")</f>
        <v/>
      </c>
      <c r="O249" s="25" t="inlineStr">
        <is>
          <t>policyadvisor</t>
        </is>
      </c>
      <c r="P249" s="25" t="n"/>
    </row>
    <row r="250" ht="15" customHeight="1" s="22">
      <c r="A250" s="36" t="inlineStr">
        <is>
          <t>https://instasure.ca/tenant-insurance/british-columbia/vancouver/</t>
        </is>
      </c>
      <c r="B250" s="36" t="inlineStr">
        <is>
          <t>Product × city</t>
        </is>
      </c>
      <c r="C250" s="36" t="inlineStr">
        <is>
          <t>Tenant insurance</t>
        </is>
      </c>
      <c r="D250" s="36" t="inlineStr">
        <is>
          <t>tenant insurance vancouver</t>
        </is>
      </c>
      <c r="E250" s="36" t="inlineStr">
        <is>
          <t>City</t>
        </is>
      </c>
      <c r="F250" s="36" t="inlineStr">
        <is>
          <t>British Columbia</t>
        </is>
      </c>
      <c r="G250" s="36" t="inlineStr">
        <is>
          <t>Vancouver</t>
        </is>
      </c>
      <c r="H250" s="37" t="n">
        <v>410</v>
      </c>
      <c r="I250" s="36" t="n">
        <v>56</v>
      </c>
      <c r="J250" s="36" t="inlineStr">
        <is>
          <t>local</t>
        </is>
      </c>
      <c r="K250" s="36" t="inlineStr">
        <is>
          <t>property-local</t>
        </is>
      </c>
      <c r="L250" s="36" t="n">
        <v>4</v>
      </c>
      <c r="M250" s="36" t="inlineStr">
        <is>
          <t>Primary</t>
        </is>
      </c>
      <c r="N250" s="39">
        <f>IFERROR(IF(ISNUMBER(SEARCH(D250,INDEX(Pages!$J$2:$J$829,MATCH(A250,Pages!$B$2:$B$829,0)))),"Yes","No"),"Page not found")</f>
        <v/>
      </c>
      <c r="O250" s="25" t="inlineStr">
        <is>
          <t>rates.ca, sonnet</t>
        </is>
      </c>
      <c r="P250" s="25" t="n"/>
    </row>
    <row r="251" ht="15" customHeight="1" s="22">
      <c r="A251" s="36" t="inlineStr">
        <is>
          <t>https://instasure.ca/tenant-insurance/ontario/brampton/</t>
        </is>
      </c>
      <c r="B251" s="36" t="inlineStr">
        <is>
          <t>Product × city</t>
        </is>
      </c>
      <c r="C251" s="36" t="inlineStr">
        <is>
          <t>Tenant insurance</t>
        </is>
      </c>
      <c r="D251" s="36" t="inlineStr">
        <is>
          <t>tenant insurance brampton</t>
        </is>
      </c>
      <c r="E251" s="36" t="inlineStr">
        <is>
          <t>City</t>
        </is>
      </c>
      <c r="F251" s="36" t="inlineStr">
        <is>
          <t>Ontario</t>
        </is>
      </c>
      <c r="G251" s="36" t="inlineStr">
        <is>
          <t>Brampton</t>
        </is>
      </c>
      <c r="H251" s="37" t="n">
        <v>410</v>
      </c>
      <c r="I251" s="36" t="n">
        <v>48</v>
      </c>
      <c r="J251" s="36" t="inlineStr">
        <is>
          <t>local</t>
        </is>
      </c>
      <c r="K251" s="36" t="inlineStr">
        <is>
          <t>property-local</t>
        </is>
      </c>
      <c r="L251" s="36" t="n">
        <v>3</v>
      </c>
      <c r="M251" s="36" t="inlineStr">
        <is>
          <t>Primary</t>
        </is>
      </c>
      <c r="N251" s="39">
        <f>IFERROR(IF(ISNUMBER(SEARCH(D251,INDEX(Pages!$J$2:$J$829,MATCH(A251,Pages!$B$2:$B$829,0)))),"Yes","No"),"Page not found")</f>
        <v/>
      </c>
      <c r="O251" s="25" t="inlineStr">
        <is>
          <t>(none seen)</t>
        </is>
      </c>
      <c r="P251" s="25" t="n"/>
    </row>
    <row r="252" ht="15" customHeight="1" s="22">
      <c r="A252" s="36" t="inlineStr">
        <is>
          <t>https://instasure.ca/car-insurance/ontario/barrie/</t>
        </is>
      </c>
      <c r="B252" s="36" t="inlineStr">
        <is>
          <t>Product × city</t>
        </is>
      </c>
      <c r="C252" s="36" t="inlineStr">
        <is>
          <t>Car insurance</t>
        </is>
      </c>
      <c r="D252" s="36" t="inlineStr">
        <is>
          <t>car insurance barrie</t>
        </is>
      </c>
      <c r="E252" s="36" t="inlineStr">
        <is>
          <t>City</t>
        </is>
      </c>
      <c r="F252" s="36" t="inlineStr">
        <is>
          <t>Ontario</t>
        </is>
      </c>
      <c r="G252" s="36" t="inlineStr">
        <is>
          <t>Barrie</t>
        </is>
      </c>
      <c r="H252" s="37" t="n">
        <v>400</v>
      </c>
      <c r="I252" s="36" t="n">
        <v>72</v>
      </c>
      <c r="J252" s="36" t="inlineStr">
        <is>
          <t>local</t>
        </is>
      </c>
      <c r="K252" s="36" t="inlineStr">
        <is>
          <t>auto-local</t>
        </is>
      </c>
      <c r="L252" s="36" t="n">
        <v>3</v>
      </c>
      <c r="M252" s="36" t="inlineStr">
        <is>
          <t>Primary</t>
        </is>
      </c>
      <c r="N252" s="39">
        <f>IFERROR(IF(ISNUMBER(SEARCH(D252,INDEX(Pages!$J$2:$J$829,MATCH(A252,Pages!$B$2:$B$829,0)))),"Yes","No"),"Page not found")</f>
        <v/>
      </c>
      <c r="O252" s="25" t="inlineStr">
        <is>
          <t>ratehub, rates.ca, sonnet</t>
        </is>
      </c>
      <c r="P252" s="25" t="n"/>
    </row>
    <row r="253" ht="23.85" customHeight="1" s="22">
      <c r="A253" s="36" t="inlineStr">
        <is>
          <t>https://instasure.ca/car-insurance/ontario/pickering/</t>
        </is>
      </c>
      <c r="B253" s="36" t="inlineStr">
        <is>
          <t>Product × city</t>
        </is>
      </c>
      <c r="C253" s="36" t="inlineStr">
        <is>
          <t>Car insurance</t>
        </is>
      </c>
      <c r="D253" s="36" t="inlineStr">
        <is>
          <t>car insurance pickering</t>
        </is>
      </c>
      <c r="E253" s="36" t="inlineStr">
        <is>
          <t>City</t>
        </is>
      </c>
      <c r="F253" s="36" t="inlineStr">
        <is>
          <t>Ontario</t>
        </is>
      </c>
      <c r="G253" s="36" t="inlineStr">
        <is>
          <t>Pickering</t>
        </is>
      </c>
      <c r="H253" s="37" t="n">
        <v>400</v>
      </c>
      <c r="I253" s="36" t="n">
        <v>56</v>
      </c>
      <c r="J253" s="36" t="inlineStr">
        <is>
          <t>local</t>
        </is>
      </c>
      <c r="K253" s="36" t="inlineStr">
        <is>
          <t>auto-local</t>
        </is>
      </c>
      <c r="L253" s="36" t="n">
        <v>4</v>
      </c>
      <c r="M253" s="36" t="inlineStr">
        <is>
          <t>Primary</t>
        </is>
      </c>
      <c r="N253" s="39">
        <f>IFERROR(IF(ISNUMBER(SEARCH(D253,INDEX(Pages!$J$2:$J$829,MATCH(A253,Pages!$B$2:$B$829,0)))),"Yes","No"),"Page not found")</f>
        <v/>
      </c>
      <c r="O253" s="25" t="inlineStr">
        <is>
          <t>rates.ca</t>
        </is>
      </c>
      <c r="P253" s="25" t="inlineStr">
        <is>
          <t>Page exists but is noindex until an editor adds a 300+ character local intro (Admin → SEO → Page overrides).</t>
        </is>
      </c>
    </row>
    <row r="254" ht="15" customHeight="1" s="22">
      <c r="A254" s="36" t="inlineStr">
        <is>
          <t>https://instasure.ca/contractor-insurance/cleaning/</t>
        </is>
      </c>
      <c r="B254" s="36" t="inlineStr">
        <is>
          <t>Service page</t>
        </is>
      </c>
      <c r="C254" s="36" t="inlineStr">
        <is>
          <t>Contractor &amp; trades insurance</t>
        </is>
      </c>
      <c r="D254" s="36" t="inlineStr">
        <is>
          <t>cleaning business insurance</t>
        </is>
      </c>
      <c r="E254" s="36" t="inlineStr">
        <is>
          <t>Nationwide</t>
        </is>
      </c>
      <c r="F254" s="36" t="n"/>
      <c r="G254" s="36" t="n"/>
      <c r="H254" s="37" t="n">
        <v>390</v>
      </c>
      <c r="I254" s="36" t="n">
        <v>25</v>
      </c>
      <c r="J254" s="36" t="inlineStr">
        <is>
          <t>commercial</t>
        </is>
      </c>
      <c r="K254" s="36" t="inlineStr">
        <is>
          <t>business-trades</t>
        </is>
      </c>
      <c r="L254" s="36" t="n">
        <v>3</v>
      </c>
      <c r="M254" s="36" t="inlineStr">
        <is>
          <t>Primary</t>
        </is>
      </c>
      <c r="N254" s="39">
        <f>IFERROR(IF(ISNUMBER(SEARCH(D254,INDEX(Pages!$J$2:$J$829,MATCH(A254,Pages!$B$2:$B$829,0)))),"Yes","No"),"Page not found")</f>
        <v/>
      </c>
      <c r="O254" s="25" t="inlineStr">
        <is>
          <t>rates.ca</t>
        </is>
      </c>
      <c r="P254" s="25" t="inlineStr">
        <is>
          <t>Built (trade page).</t>
        </is>
      </c>
    </row>
    <row r="255" ht="15" customHeight="1" s="22">
      <c r="A255" s="36" t="inlineStr">
        <is>
          <t>https://instasure.ca/guides/critical-illness-vs-disability-insurance/</t>
        </is>
      </c>
      <c r="B255" s="36" t="inlineStr">
        <is>
          <t>Guide (blog)</t>
        </is>
      </c>
      <c r="C255" s="36" t="inlineStr">
        <is>
          <t>Critical illness insurance</t>
        </is>
      </c>
      <c r="D255" s="36" t="inlineStr">
        <is>
          <t>critical illness vs disability insurance</t>
        </is>
      </c>
      <c r="E255" s="36" t="inlineStr">
        <is>
          <t>Nationwide</t>
        </is>
      </c>
      <c r="F255" s="36" t="n"/>
      <c r="G255" s="36" t="n"/>
      <c r="H255" s="37" t="n">
        <v>390</v>
      </c>
      <c r="I255" s="36" t="n">
        <v>35</v>
      </c>
      <c r="J255" s="36" t="inlineStr">
        <is>
          <t>informational</t>
        </is>
      </c>
      <c r="K255" s="36" t="inlineStr">
        <is>
          <t>living-benefits</t>
        </is>
      </c>
      <c r="L255" s="36" t="n">
        <v>1</v>
      </c>
      <c r="M255" s="36" t="inlineStr">
        <is>
          <t>Primary</t>
        </is>
      </c>
      <c r="N255" s="39">
        <f>IFERROR(IF(ISNUMBER(SEARCH(D255,INDEX(Pages!$J$2:$J$829,MATCH(A255,Pages!$B$2:$B$829,0)))),"Yes","No"),"Page not found")</f>
        <v/>
      </c>
      <c r="O255" s="25" t="inlineStr">
        <is>
          <t>policyadvisor, sun life</t>
        </is>
      </c>
      <c r="P255" s="25" t="n"/>
    </row>
    <row r="256" ht="15" customHeight="1" s="22">
      <c r="A256" s="36" t="inlineStr">
        <is>
          <t>https://instasure.ca/home-insurance/quebec/montreal/</t>
        </is>
      </c>
      <c r="B256" s="36" t="inlineStr">
        <is>
          <t>Product × city</t>
        </is>
      </c>
      <c r="C256" s="36" t="inlineStr">
        <is>
          <t>Home insurance</t>
        </is>
      </c>
      <c r="D256" s="36" t="inlineStr">
        <is>
          <t>home insurance montreal</t>
        </is>
      </c>
      <c r="E256" s="36" t="inlineStr">
        <is>
          <t>City</t>
        </is>
      </c>
      <c r="F256" s="36" t="inlineStr">
        <is>
          <t>Quebec</t>
        </is>
      </c>
      <c r="G256" s="36" t="inlineStr">
        <is>
          <t>Montreal</t>
        </is>
      </c>
      <c r="H256" s="37" t="n">
        <v>390</v>
      </c>
      <c r="I256" s="36" t="n">
        <v>52</v>
      </c>
      <c r="J256" s="36" t="inlineStr">
        <is>
          <t>local</t>
        </is>
      </c>
      <c r="K256" s="36" t="inlineStr">
        <is>
          <t>property-local</t>
        </is>
      </c>
      <c r="L256" s="36" t="n">
        <v>4</v>
      </c>
      <c r="M256" s="36" t="inlineStr">
        <is>
          <t>Primary</t>
        </is>
      </c>
      <c r="N256" s="39">
        <f>IFERROR(IF(ISNUMBER(SEARCH(D256,INDEX(Pages!$J$2:$J$829,MATCH(A256,Pages!$B$2:$B$829,0)))),"Yes","No"),"Page not found")</f>
        <v/>
      </c>
      <c r="O256" s="25" t="inlineStr">
        <is>
          <t>ratehub</t>
        </is>
      </c>
      <c r="P256" s="25" t="inlineStr">
        <is>
          <t>Quebec waitlist until AMF registration.</t>
        </is>
      </c>
    </row>
    <row r="257" ht="23.85" customHeight="1" s="22">
      <c r="A257" s="36" t="inlineStr">
        <is>
          <t>https://instasure.ca/life-insurance/alberta/edmonton/</t>
        </is>
      </c>
      <c r="B257" s="36" t="inlineStr">
        <is>
          <t>Product × city</t>
        </is>
      </c>
      <c r="C257" s="36" t="inlineStr">
        <is>
          <t>Life insurance</t>
        </is>
      </c>
      <c r="D257" s="36" t="inlineStr">
        <is>
          <t>life insurance edmonton</t>
        </is>
      </c>
      <c r="E257" s="36" t="inlineStr">
        <is>
          <t>City</t>
        </is>
      </c>
      <c r="F257" s="36" t="inlineStr">
        <is>
          <t>Alberta</t>
        </is>
      </c>
      <c r="G257" s="36" t="inlineStr">
        <is>
          <t>Edmonton</t>
        </is>
      </c>
      <c r="H257" s="37" t="n">
        <v>390</v>
      </c>
      <c r="I257" s="36" t="n">
        <v>51</v>
      </c>
      <c r="J257" s="36" t="inlineStr">
        <is>
          <t>local</t>
        </is>
      </c>
      <c r="K257" s="36" t="inlineStr">
        <is>
          <t>life-local</t>
        </is>
      </c>
      <c r="L257" s="36" t="n">
        <v>1</v>
      </c>
      <c r="M257" s="36" t="inlineStr">
        <is>
          <t>Primary</t>
        </is>
      </c>
      <c r="N257" s="39">
        <f>IFERROR(IF(ISNUMBER(SEARCH(D257,INDEX(Pages!$J$2:$J$829,MATCH(A257,Pages!$B$2:$B$829,0)))),"Yes","No"),"Page not found")</f>
        <v/>
      </c>
      <c r="O257" s="25" t="inlineStr">
        <is>
          <t>policyadvisor (stale 2025 titles), ratehub (thin)</t>
        </is>
      </c>
      <c r="P257" s="25" t="inlineStr">
        <is>
          <t>Competitor city pages here are thin or carry stale dates (October 2026 review): freshness opening.</t>
        </is>
      </c>
    </row>
    <row r="258" ht="23.85" customHeight="1" s="22">
      <c r="A258" s="36" t="inlineStr">
        <is>
          <t>https://instasure.ca/life-insurance/ontario/ottawa/</t>
        </is>
      </c>
      <c r="B258" s="36" t="inlineStr">
        <is>
          <t>Product × city</t>
        </is>
      </c>
      <c r="C258" s="36" t="inlineStr">
        <is>
          <t>Life insurance</t>
        </is>
      </c>
      <c r="D258" s="36" t="inlineStr">
        <is>
          <t>life insurance ottawa</t>
        </is>
      </c>
      <c r="E258" s="36" t="inlineStr">
        <is>
          <t>City</t>
        </is>
      </c>
      <c r="F258" s="36" t="inlineStr">
        <is>
          <t>Ontario</t>
        </is>
      </c>
      <c r="G258" s="36" t="inlineStr">
        <is>
          <t>Ottawa</t>
        </is>
      </c>
      <c r="H258" s="37" t="n">
        <v>390</v>
      </c>
      <c r="I258" s="36" t="n">
        <v>47</v>
      </c>
      <c r="J258" s="36" t="inlineStr">
        <is>
          <t>local</t>
        </is>
      </c>
      <c r="K258" s="36" t="inlineStr">
        <is>
          <t>life-local</t>
        </is>
      </c>
      <c r="L258" s="36" t="n">
        <v>1</v>
      </c>
      <c r="M258" s="36" t="inlineStr">
        <is>
          <t>Primary</t>
        </is>
      </c>
      <c r="N258" s="39">
        <f>IFERROR(IF(ISNUMBER(SEARCH(D258,INDEX(Pages!$J$2:$J$829,MATCH(A258,Pages!$B$2:$B$829,0)))),"Yes","No"),"Page not found")</f>
        <v/>
      </c>
      <c r="O258" s="25" t="inlineStr">
        <is>
          <t>policyadvisor (stale 2025 titles)</t>
        </is>
      </c>
      <c r="P258" s="25" t="inlineStr">
        <is>
          <t>Competitor city pages here are thin or carry stale dates (October 2026 review): freshness opening.</t>
        </is>
      </c>
    </row>
    <row r="259" ht="15" customHeight="1" s="22">
      <c r="A259" s="36" t="inlineStr">
        <is>
          <t>https://instasure.ca/tenant-insurance/students/</t>
        </is>
      </c>
      <c r="B259" s="36" t="inlineStr">
        <is>
          <t>Service page</t>
        </is>
      </c>
      <c r="C259" s="36" t="inlineStr">
        <is>
          <t>Tenant insurance</t>
        </is>
      </c>
      <c r="D259" s="36" t="inlineStr">
        <is>
          <t>tenant insurance for students</t>
        </is>
      </c>
      <c r="E259" s="36" t="inlineStr">
        <is>
          <t>Nationwide</t>
        </is>
      </c>
      <c r="F259" s="36" t="n"/>
      <c r="G259" s="36" t="n"/>
      <c r="H259" s="37" t="n">
        <v>390</v>
      </c>
      <c r="I259" s="36" t="n">
        <v>20</v>
      </c>
      <c r="J259" s="36" t="inlineStr">
        <is>
          <t>commercial</t>
        </is>
      </c>
      <c r="K259" s="36" t="inlineStr">
        <is>
          <t>property-coverage</t>
        </is>
      </c>
      <c r="L259" s="36" t="n">
        <v>3</v>
      </c>
      <c r="M259" s="36" t="inlineStr">
        <is>
          <t>Primary</t>
        </is>
      </c>
      <c r="N259" s="39">
        <f>IFERROR(IF(ISNUMBER(SEARCH(D259,INDEX(Pages!$J$2:$J$829,MATCH(A259,Pages!$B$2:$B$829,0)))),"Yes","No"),"Page not found")</f>
        <v/>
      </c>
      <c r="O259" s="25" t="inlineStr">
        <is>
          <t>ratehub blog</t>
        </is>
      </c>
      <c r="P259" s="25" t="inlineStr">
        <is>
          <t>Back-to-school spike in August and September.</t>
        </is>
      </c>
    </row>
    <row r="260" ht="15" customHeight="1" s="22">
      <c r="A260" s="36" t="inlineStr">
        <is>
          <t>https://instasure.ca/business-insurance/alberta/</t>
        </is>
      </c>
      <c r="B260" s="36" t="inlineStr">
        <is>
          <t>Product × province</t>
        </is>
      </c>
      <c r="C260" s="36" t="inlineStr">
        <is>
          <t>Business insurance</t>
        </is>
      </c>
      <c r="D260" s="36" t="inlineStr">
        <is>
          <t>business insurance alberta</t>
        </is>
      </c>
      <c r="E260" s="36" t="inlineStr">
        <is>
          <t>Provincial</t>
        </is>
      </c>
      <c r="F260" s="36" t="inlineStr">
        <is>
          <t>Alberta</t>
        </is>
      </c>
      <c r="G260" s="36" t="n"/>
      <c r="H260" s="37" t="n">
        <v>370</v>
      </c>
      <c r="I260" s="36" t="n">
        <v>44</v>
      </c>
      <c r="J260" s="36" t="inlineStr">
        <is>
          <t>commercial</t>
        </is>
      </c>
      <c r="K260" s="36" t="inlineStr">
        <is>
          <t>business-province</t>
        </is>
      </c>
      <c r="L260" s="36" t="n">
        <v>1</v>
      </c>
      <c r="M260" s="36" t="inlineStr">
        <is>
          <t>Primary</t>
        </is>
      </c>
      <c r="N260" s="39">
        <f>IFERROR(IF(ISNUMBER(SEARCH(D260,INDEX(Pages!$J$2:$J$829,MATCH(A260,Pages!$B$2:$B$829,0)))),"Yes","No"),"Page not found")</f>
        <v/>
      </c>
      <c r="O260" s="25" t="inlineStr">
        <is>
          <t>(none seen)</t>
        </is>
      </c>
      <c r="P260" s="25" t="n"/>
    </row>
    <row r="261" ht="15" customHeight="1" s="22">
      <c r="A261" s="36" t="inlineStr">
        <is>
          <t>https://instasure.ca/car-insurance/british-columbia/burnaby/</t>
        </is>
      </c>
      <c r="B261" s="36" t="inlineStr">
        <is>
          <t>Product × city</t>
        </is>
      </c>
      <c r="C261" s="36" t="inlineStr">
        <is>
          <t>Car insurance</t>
        </is>
      </c>
      <c r="D261" s="36" t="inlineStr">
        <is>
          <t>car insurance burnaby</t>
        </is>
      </c>
      <c r="E261" s="36" t="inlineStr">
        <is>
          <t>City</t>
        </is>
      </c>
      <c r="F261" s="36" t="inlineStr">
        <is>
          <t>British Columbia</t>
        </is>
      </c>
      <c r="G261" s="36" t="inlineStr">
        <is>
          <t>Burnaby</t>
        </is>
      </c>
      <c r="H261" s="37" t="n">
        <v>370</v>
      </c>
      <c r="I261" s="36" t="n">
        <v>60</v>
      </c>
      <c r="J261" s="36" t="inlineStr">
        <is>
          <t>local</t>
        </is>
      </c>
      <c r="K261" s="36" t="inlineStr">
        <is>
          <t>auto-local</t>
        </is>
      </c>
      <c r="L261" s="36" t="n">
        <v>4</v>
      </c>
      <c r="M261" s="36" t="inlineStr">
        <is>
          <t>Primary</t>
        </is>
      </c>
      <c r="N261" s="39">
        <f>IFERROR(IF(ISNUMBER(SEARCH(D261,INDEX(Pages!$J$2:$J$829,MATCH(A261,Pages!$B$2:$B$829,0)))),"Yes","No"),"Page not found")</f>
        <v/>
      </c>
      <c r="O261" s="25" t="inlineStr">
        <is>
          <t>(none seen)</t>
        </is>
      </c>
      <c r="P261" s="25" t="inlineStr">
        <is>
          <t>ICBC sells basic auto; target optional coverage. Low lead value.</t>
        </is>
      </c>
    </row>
    <row r="262" ht="15" customHeight="1" s="22">
      <c r="A262" s="36" t="inlineStr">
        <is>
          <t>https://instasure.ca/car-insurance/quebec/laval/</t>
        </is>
      </c>
      <c r="B262" s="36" t="inlineStr">
        <is>
          <t>Product × city</t>
        </is>
      </c>
      <c r="C262" s="36" t="inlineStr">
        <is>
          <t>Car insurance</t>
        </is>
      </c>
      <c r="D262" s="36" t="inlineStr">
        <is>
          <t>car insurance laval</t>
        </is>
      </c>
      <c r="E262" s="36" t="inlineStr">
        <is>
          <t>City</t>
        </is>
      </c>
      <c r="F262" s="36" t="inlineStr">
        <is>
          <t>Quebec</t>
        </is>
      </c>
      <c r="G262" s="36" t="inlineStr">
        <is>
          <t>Laval</t>
        </is>
      </c>
      <c r="H262" s="37" t="n">
        <v>370</v>
      </c>
      <c r="I262" s="36" t="n">
        <v>60</v>
      </c>
      <c r="J262" s="36" t="inlineStr">
        <is>
          <t>local</t>
        </is>
      </c>
      <c r="K262" s="36" t="inlineStr">
        <is>
          <t>auto-local</t>
        </is>
      </c>
      <c r="L262" s="36" t="n">
        <v>4</v>
      </c>
      <c r="M262" s="36" t="inlineStr">
        <is>
          <t>Primary</t>
        </is>
      </c>
      <c r="N262" s="39">
        <f>IFERROR(IF(ISNUMBER(SEARCH(D262,INDEX(Pages!$J$2:$J$829,MATCH(A262,Pages!$B$2:$B$829,0)))),"Yes","No"),"Page not found")</f>
        <v/>
      </c>
      <c r="O262" s="25" t="inlineStr">
        <is>
          <t>(none seen)</t>
        </is>
      </c>
      <c r="P262" s="25" t="inlineStr">
        <is>
          <t>Quebec waitlist until AMF registration.</t>
        </is>
      </c>
    </row>
    <row r="263" ht="15" customHeight="1" s="22">
      <c r="A263" s="36" t="inlineStr">
        <is>
          <t>https://instasure.ca/insurance/alberta/calgary/</t>
        </is>
      </c>
      <c r="B263" s="36" t="inlineStr">
        <is>
          <t>Place hub</t>
        </is>
      </c>
      <c r="C263" s="36" t="inlineStr">
        <is>
          <t>Multi-line (place hubs)</t>
        </is>
      </c>
      <c r="D263" s="36" t="inlineStr">
        <is>
          <t>insurance advisor calgary</t>
        </is>
      </c>
      <c r="E263" s="36" t="inlineStr">
        <is>
          <t>City</t>
        </is>
      </c>
      <c r="F263" s="36" t="inlineStr">
        <is>
          <t>Alberta</t>
        </is>
      </c>
      <c r="G263" s="36" t="inlineStr">
        <is>
          <t>Calgary</t>
        </is>
      </c>
      <c r="H263" s="37" t="n">
        <v>370</v>
      </c>
      <c r="I263" s="36" t="n">
        <v>30</v>
      </c>
      <c r="J263" s="36" t="inlineStr">
        <is>
          <t>local</t>
        </is>
      </c>
      <c r="K263" s="36" t="inlineStr">
        <is>
          <t>advisors</t>
        </is>
      </c>
      <c r="L263" s="36" t="n">
        <v>1</v>
      </c>
      <c r="M263" s="36" t="inlineStr">
        <is>
          <t>Primary</t>
        </is>
      </c>
      <c r="N263" s="39">
        <f>IFERROR(IF(ISNUMBER(SEARCH(D263,INDEX(Pages!$J$2:$J$829,MATCH(A263,Pages!$B$2:$B$829,0)))),"Yes","No"),"Page not found")</f>
        <v/>
      </c>
      <c r="O263" s="25" t="inlineStr">
        <is>
          <t>local brokers, thinkinsure, rates.ca (broker pages)</t>
        </is>
      </c>
      <c r="P263" s="25" t="inlineStr">
        <is>
          <t>City hub. Add a Google Business Profile only where an advisor really works from that city.</t>
        </is>
      </c>
    </row>
    <row r="264" ht="15" customHeight="1" s="22">
      <c r="A264" s="36" t="inlineStr">
        <is>
          <t>https://instasure.ca/car-insurance/ontario/st-catharines/</t>
        </is>
      </c>
      <c r="B264" s="36" t="inlineStr">
        <is>
          <t>Product × city</t>
        </is>
      </c>
      <c r="C264" s="36" t="inlineStr">
        <is>
          <t>Car insurance</t>
        </is>
      </c>
      <c r="D264" s="36" t="inlineStr">
        <is>
          <t>car insurance st catharines</t>
        </is>
      </c>
      <c r="E264" s="36" t="inlineStr">
        <is>
          <t>City</t>
        </is>
      </c>
      <c r="F264" s="36" t="inlineStr">
        <is>
          <t>Ontario</t>
        </is>
      </c>
      <c r="G264" s="36" t="inlineStr">
        <is>
          <t>St. Catharines</t>
        </is>
      </c>
      <c r="H264" s="37" t="n">
        <v>360</v>
      </c>
      <c r="I264" s="36" t="n">
        <v>68</v>
      </c>
      <c r="J264" s="36" t="inlineStr">
        <is>
          <t>local</t>
        </is>
      </c>
      <c r="K264" s="36" t="inlineStr">
        <is>
          <t>auto-local</t>
        </is>
      </c>
      <c r="L264" s="36" t="n">
        <v>3</v>
      </c>
      <c r="M264" s="36" t="inlineStr">
        <is>
          <t>Primary</t>
        </is>
      </c>
      <c r="N264" s="39">
        <f>IFERROR(IF(ISNUMBER(SEARCH(D264,INDEX(Pages!$J$2:$J$829,MATCH(A264,Pages!$B$2:$B$829,0)))),"Yes","No"),"Page not found")</f>
        <v/>
      </c>
      <c r="O264" s="25" t="inlineStr">
        <is>
          <t>rates.ca, sonnet</t>
        </is>
      </c>
      <c r="P264" s="25" t="n"/>
    </row>
    <row r="265" ht="15" customHeight="1" s="22">
      <c r="A265" s="36" t="inlineStr">
        <is>
          <t>https://instasure.ca/car-insurance/saskatchewan/saskatoon/</t>
        </is>
      </c>
      <c r="B265" s="36" t="inlineStr">
        <is>
          <t>Product × city</t>
        </is>
      </c>
      <c r="C265" s="36" t="inlineStr">
        <is>
          <t>Car insurance</t>
        </is>
      </c>
      <c r="D265" s="36" t="inlineStr">
        <is>
          <t>car insurance saskatoon</t>
        </is>
      </c>
      <c r="E265" s="36" t="inlineStr">
        <is>
          <t>City</t>
        </is>
      </c>
      <c r="F265" s="36" t="inlineStr">
        <is>
          <t>Saskatchewan</t>
        </is>
      </c>
      <c r="G265" s="36" t="inlineStr">
        <is>
          <t>Saskatoon</t>
        </is>
      </c>
      <c r="H265" s="37" t="n">
        <v>360</v>
      </c>
      <c r="I265" s="36" t="n">
        <v>64</v>
      </c>
      <c r="J265" s="36" t="inlineStr">
        <is>
          <t>local</t>
        </is>
      </c>
      <c r="K265" s="36" t="inlineStr">
        <is>
          <t>auto-local</t>
        </is>
      </c>
      <c r="L265" s="36" t="n">
        <v>5</v>
      </c>
      <c r="M265" s="36" t="inlineStr">
        <is>
          <t>Primary</t>
        </is>
      </c>
      <c r="N265" s="39">
        <f>IFERROR(IF(ISNUMBER(SEARCH(D265,INDEX(Pages!$J$2:$J$829,MATCH(A265,Pages!$B$2:$B$829,0)))),"Yes","No"),"Page not found")</f>
        <v/>
      </c>
      <c r="O265" s="25" t="inlineStr">
        <is>
          <t>ratehub</t>
        </is>
      </c>
      <c r="P265" s="25" t="inlineStr">
        <is>
          <t>SGI sells basic auto; target optional coverage. Low lead value.</t>
        </is>
      </c>
    </row>
    <row r="266" ht="15" customHeight="1" s="22">
      <c r="A266" s="36" t="inlineStr">
        <is>
          <t>https://instasure.ca/tenant-insurance/british-columbia/surrey/</t>
        </is>
      </c>
      <c r="B266" s="36" t="inlineStr">
        <is>
          <t>Product × city</t>
        </is>
      </c>
      <c r="C266" s="36" t="inlineStr">
        <is>
          <t>Tenant insurance</t>
        </is>
      </c>
      <c r="D266" s="36" t="inlineStr">
        <is>
          <t>tenant insurance surrey</t>
        </is>
      </c>
      <c r="E266" s="36" t="inlineStr">
        <is>
          <t>City</t>
        </is>
      </c>
      <c r="F266" s="36" t="inlineStr">
        <is>
          <t>British Columbia</t>
        </is>
      </c>
      <c r="G266" s="36" t="inlineStr">
        <is>
          <t>Surrey</t>
        </is>
      </c>
      <c r="H266" s="37" t="n">
        <v>360</v>
      </c>
      <c r="I266" s="36" t="n">
        <v>44</v>
      </c>
      <c r="J266" s="36" t="inlineStr">
        <is>
          <t>local</t>
        </is>
      </c>
      <c r="K266" s="36" t="inlineStr">
        <is>
          <t>property-local</t>
        </is>
      </c>
      <c r="L266" s="36" t="n">
        <v>4</v>
      </c>
      <c r="M266" s="36" t="inlineStr">
        <is>
          <t>Primary</t>
        </is>
      </c>
      <c r="N266" s="39">
        <f>IFERROR(IF(ISNUMBER(SEARCH(D266,INDEX(Pages!$J$2:$J$829,MATCH(A266,Pages!$B$2:$B$829,0)))),"Yes","No"),"Page not found")</f>
        <v/>
      </c>
      <c r="O266" s="25" t="inlineStr">
        <is>
          <t>sonnet</t>
        </is>
      </c>
      <c r="P266" s="25" t="n"/>
    </row>
    <row r="267" ht="15" customHeight="1" s="22">
      <c r="A267" s="36" t="inlineStr">
        <is>
          <t>https://instasure.ca/tenant-insurance/ontario/hamilton/</t>
        </is>
      </c>
      <c r="B267" s="36" t="inlineStr">
        <is>
          <t>Product × city</t>
        </is>
      </c>
      <c r="C267" s="36" t="inlineStr">
        <is>
          <t>Tenant insurance</t>
        </is>
      </c>
      <c r="D267" s="36" t="inlineStr">
        <is>
          <t>tenant insurance hamilton</t>
        </is>
      </c>
      <c r="E267" s="36" t="inlineStr">
        <is>
          <t>City</t>
        </is>
      </c>
      <c r="F267" s="36" t="inlineStr">
        <is>
          <t>Ontario</t>
        </is>
      </c>
      <c r="G267" s="36" t="inlineStr">
        <is>
          <t>Hamilton</t>
        </is>
      </c>
      <c r="H267" s="37" t="n">
        <v>360</v>
      </c>
      <c r="I267" s="36" t="n">
        <v>48</v>
      </c>
      <c r="J267" s="36" t="inlineStr">
        <is>
          <t>local</t>
        </is>
      </c>
      <c r="K267" s="36" t="inlineStr">
        <is>
          <t>property-local</t>
        </is>
      </c>
      <c r="L267" s="36" t="n">
        <v>3</v>
      </c>
      <c r="M267" s="36" t="inlineStr">
        <is>
          <t>Primary</t>
        </is>
      </c>
      <c r="N267" s="39">
        <f>IFERROR(IF(ISNUMBER(SEARCH(D267,INDEX(Pages!$J$2:$J$829,MATCH(A267,Pages!$B$2:$B$829,0)))),"Yes","No"),"Page not found")</f>
        <v/>
      </c>
      <c r="O267" s="25" t="inlineStr">
        <is>
          <t>(none seen)</t>
        </is>
      </c>
      <c r="P267" s="25" t="n"/>
    </row>
    <row r="268" ht="15" customHeight="1" s="22">
      <c r="A268" s="36" t="inlineStr">
        <is>
          <t>https://instasure.ca/home-insurance/ontario/markham/</t>
        </is>
      </c>
      <c r="B268" s="36" t="inlineStr">
        <is>
          <t>Product × city</t>
        </is>
      </c>
      <c r="C268" s="36" t="inlineStr">
        <is>
          <t>Home insurance</t>
        </is>
      </c>
      <c r="D268" s="36" t="inlineStr">
        <is>
          <t>home insurance markham</t>
        </is>
      </c>
      <c r="E268" s="36" t="inlineStr">
        <is>
          <t>City</t>
        </is>
      </c>
      <c r="F268" s="36" t="inlineStr">
        <is>
          <t>Ontario</t>
        </is>
      </c>
      <c r="G268" s="36" t="inlineStr">
        <is>
          <t>Markham</t>
        </is>
      </c>
      <c r="H268" s="37" t="n">
        <v>350</v>
      </c>
      <c r="I268" s="36" t="n">
        <v>56</v>
      </c>
      <c r="J268" s="36" t="inlineStr">
        <is>
          <t>local</t>
        </is>
      </c>
      <c r="K268" s="36" t="inlineStr">
        <is>
          <t>property-local</t>
        </is>
      </c>
      <c r="L268" s="36" t="n">
        <v>2</v>
      </c>
      <c r="M268" s="36" t="inlineStr">
        <is>
          <t>Primary</t>
        </is>
      </c>
      <c r="N268" s="39">
        <f>IFERROR(IF(ISNUMBER(SEARCH(D268,INDEX(Pages!$J$2:$J$829,MATCH(A268,Pages!$B$2:$B$829,0)))),"Yes","No"),"Page not found")</f>
        <v/>
      </c>
      <c r="O268" s="25" t="inlineStr">
        <is>
          <t>(none seen)</t>
        </is>
      </c>
      <c r="P268" s="25" t="n"/>
    </row>
    <row r="269" ht="23.85" customHeight="1" s="22">
      <c r="A269" s="36" t="inlineStr">
        <is>
          <t>https://instasure.ca/car-insurance/ontario/cambridge/</t>
        </is>
      </c>
      <c r="B269" s="36" t="inlineStr">
        <is>
          <t>Product × city</t>
        </is>
      </c>
      <c r="C269" s="36" t="inlineStr">
        <is>
          <t>Car insurance</t>
        </is>
      </c>
      <c r="D269" s="36" t="inlineStr">
        <is>
          <t>car insurance cambridge</t>
        </is>
      </c>
      <c r="E269" s="36" t="inlineStr">
        <is>
          <t>City</t>
        </is>
      </c>
      <c r="F269" s="36" t="inlineStr">
        <is>
          <t>Ontario</t>
        </is>
      </c>
      <c r="G269" s="36" t="inlineStr">
        <is>
          <t>Cambridge</t>
        </is>
      </c>
      <c r="H269" s="37" t="n">
        <v>340</v>
      </c>
      <c r="I269" s="36" t="n">
        <v>56</v>
      </c>
      <c r="J269" s="36" t="inlineStr">
        <is>
          <t>local</t>
        </is>
      </c>
      <c r="K269" s="36" t="inlineStr">
        <is>
          <t>auto-local</t>
        </is>
      </c>
      <c r="L269" s="36" t="n">
        <v>4</v>
      </c>
      <c r="M269" s="36" t="inlineStr">
        <is>
          <t>Primary</t>
        </is>
      </c>
      <c r="N269" s="39">
        <f>IFERROR(IF(ISNUMBER(SEARCH(D269,INDEX(Pages!$J$2:$J$829,MATCH(A269,Pages!$B$2:$B$829,0)))),"Yes","No"),"Page not found")</f>
        <v/>
      </c>
      <c r="O269" s="25" t="inlineStr">
        <is>
          <t>rates.ca</t>
        </is>
      </c>
      <c r="P269" s="25" t="inlineStr">
        <is>
          <t>Page exists but is noindex until an editor adds a 300+ character local intro (Admin → SEO → Page overrides).</t>
        </is>
      </c>
    </row>
    <row r="270" ht="23.85" customHeight="1" s="22">
      <c r="A270" s="36" t="inlineStr">
        <is>
          <t>https://instasure.ca/car-insurance/ontario/sudbury/</t>
        </is>
      </c>
      <c r="B270" s="36" t="inlineStr">
        <is>
          <t>Product × city</t>
        </is>
      </c>
      <c r="C270" s="36" t="inlineStr">
        <is>
          <t>Car insurance</t>
        </is>
      </c>
      <c r="D270" s="36" t="inlineStr">
        <is>
          <t>car insurance sudbury</t>
        </is>
      </c>
      <c r="E270" s="36" t="inlineStr">
        <is>
          <t>City</t>
        </is>
      </c>
      <c r="F270" s="36" t="inlineStr">
        <is>
          <t>Ontario</t>
        </is>
      </c>
      <c r="G270" s="36" t="inlineStr">
        <is>
          <t>Sudbury</t>
        </is>
      </c>
      <c r="H270" s="37" t="n">
        <v>340</v>
      </c>
      <c r="I270" s="36" t="n">
        <v>60</v>
      </c>
      <c r="J270" s="36" t="inlineStr">
        <is>
          <t>local</t>
        </is>
      </c>
      <c r="K270" s="36" t="inlineStr">
        <is>
          <t>auto-local</t>
        </is>
      </c>
      <c r="L270" s="36" t="n">
        <v>4</v>
      </c>
      <c r="M270" s="36" t="inlineStr">
        <is>
          <t>Primary</t>
        </is>
      </c>
      <c r="N270" s="39">
        <f>IFERROR(IF(ISNUMBER(SEARCH(D270,INDEX(Pages!$J$2:$J$829,MATCH(A270,Pages!$B$2:$B$829,0)))),"Yes","No"),"Page not found")</f>
        <v/>
      </c>
      <c r="O270" s="25" t="inlineStr">
        <is>
          <t>ratehub, rates.ca</t>
        </is>
      </c>
      <c r="P270" s="25" t="inlineStr">
        <is>
          <t>Page exists but is noindex until an editor adds a 300+ character local intro (Admin → SEO → Page overrides).</t>
        </is>
      </c>
    </row>
    <row r="271" ht="15" customHeight="1" s="22">
      <c r="A271" s="36" t="inlineStr">
        <is>
          <t>https://instasure.ca/home-insurance/ontario/vaughan/</t>
        </is>
      </c>
      <c r="B271" s="36" t="inlineStr">
        <is>
          <t>Product × city</t>
        </is>
      </c>
      <c r="C271" s="36" t="inlineStr">
        <is>
          <t>Home insurance</t>
        </is>
      </c>
      <c r="D271" s="36" t="inlineStr">
        <is>
          <t>home insurance vaughan</t>
        </is>
      </c>
      <c r="E271" s="36" t="inlineStr">
        <is>
          <t>City</t>
        </is>
      </c>
      <c r="F271" s="36" t="inlineStr">
        <is>
          <t>Ontario</t>
        </is>
      </c>
      <c r="G271" s="36" t="inlineStr">
        <is>
          <t>Vaughan</t>
        </is>
      </c>
      <c r="H271" s="37" t="n">
        <v>340</v>
      </c>
      <c r="I271" s="36" t="n">
        <v>56</v>
      </c>
      <c r="J271" s="36" t="inlineStr">
        <is>
          <t>local</t>
        </is>
      </c>
      <c r="K271" s="36" t="inlineStr">
        <is>
          <t>property-local</t>
        </is>
      </c>
      <c r="L271" s="36" t="n">
        <v>2</v>
      </c>
      <c r="M271" s="36" t="inlineStr">
        <is>
          <t>Primary</t>
        </is>
      </c>
      <c r="N271" s="39">
        <f>IFERROR(IF(ISNUMBER(SEARCH(D271,INDEX(Pages!$J$2:$J$829,MATCH(A271,Pages!$B$2:$B$829,0)))),"Yes","No"),"Page not found")</f>
        <v/>
      </c>
      <c r="O271" s="25" t="inlineStr">
        <is>
          <t>(none seen)</t>
        </is>
      </c>
      <c r="P271" s="25" t="n"/>
    </row>
    <row r="272" ht="15" customHeight="1" s="22">
      <c r="A272" s="36" t="inlineStr">
        <is>
          <t>https://instasure.ca/car-insurance/ontario/guelph/</t>
        </is>
      </c>
      <c r="B272" s="36" t="inlineStr">
        <is>
          <t>Product × city</t>
        </is>
      </c>
      <c r="C272" s="36" t="inlineStr">
        <is>
          <t>Car insurance</t>
        </is>
      </c>
      <c r="D272" s="36" t="inlineStr">
        <is>
          <t>car insurance guelph</t>
        </is>
      </c>
      <c r="E272" s="36" t="inlineStr">
        <is>
          <t>City</t>
        </is>
      </c>
      <c r="F272" s="36" t="inlineStr">
        <is>
          <t>Ontario</t>
        </is>
      </c>
      <c r="G272" s="36" t="inlineStr">
        <is>
          <t>Guelph</t>
        </is>
      </c>
      <c r="H272" s="37" t="n">
        <v>330</v>
      </c>
      <c r="I272" s="36" t="n">
        <v>68</v>
      </c>
      <c r="J272" s="36" t="inlineStr">
        <is>
          <t>local</t>
        </is>
      </c>
      <c r="K272" s="36" t="inlineStr">
        <is>
          <t>auto-local</t>
        </is>
      </c>
      <c r="L272" s="36" t="n">
        <v>3</v>
      </c>
      <c r="M272" s="36" t="inlineStr">
        <is>
          <t>Primary</t>
        </is>
      </c>
      <c r="N272" s="39">
        <f>IFERROR(IF(ISNUMBER(SEARCH(D272,INDEX(Pages!$J$2:$J$829,MATCH(A272,Pages!$B$2:$B$829,0)))),"Yes","No"),"Page not found")</f>
        <v/>
      </c>
      <c r="O272" s="25" t="inlineStr">
        <is>
          <t>ratehub, rates.ca</t>
        </is>
      </c>
      <c r="P272" s="25" t="n"/>
    </row>
    <row r="273" ht="15" customHeight="1" s="22">
      <c r="A273" s="36" t="inlineStr">
        <is>
          <t>https://instasure.ca/business-insurance/alberta/calgary/</t>
        </is>
      </c>
      <c r="B273" s="36" t="inlineStr">
        <is>
          <t>Product × city</t>
        </is>
      </c>
      <c r="C273" s="36" t="inlineStr">
        <is>
          <t>Business insurance</t>
        </is>
      </c>
      <c r="D273" s="36" t="inlineStr">
        <is>
          <t>business insurance calgary</t>
        </is>
      </c>
      <c r="E273" s="36" t="inlineStr">
        <is>
          <t>City</t>
        </is>
      </c>
      <c r="F273" s="36" t="inlineStr">
        <is>
          <t>Alberta</t>
        </is>
      </c>
      <c r="G273" s="36" t="inlineStr">
        <is>
          <t>Calgary</t>
        </is>
      </c>
      <c r="H273" s="37" t="n">
        <v>320</v>
      </c>
      <c r="I273" s="36" t="n">
        <v>41</v>
      </c>
      <c r="J273" s="36" t="inlineStr">
        <is>
          <t>local</t>
        </is>
      </c>
      <c r="K273" s="36" t="inlineStr">
        <is>
          <t>business-local</t>
        </is>
      </c>
      <c r="L273" s="36" t="n">
        <v>1</v>
      </c>
      <c r="M273" s="36" t="inlineStr">
        <is>
          <t>Primary</t>
        </is>
      </c>
      <c r="N273" s="39">
        <f>IFERROR(IF(ISNUMBER(SEARCH(D273,INDEX(Pages!$J$2:$J$829,MATCH(A273,Pages!$B$2:$B$829,0)))),"Yes","No"),"Page not found")</f>
        <v/>
      </c>
      <c r="O273" s="25" t="inlineStr">
        <is>
          <t>(none seen)</t>
        </is>
      </c>
      <c r="P273" s="25" t="n"/>
    </row>
    <row r="274" ht="15" customHeight="1" s="22">
      <c r="A274" s="36" t="inlineStr">
        <is>
          <t>https://instasure.ca/car-insurance/british-columbia/richmond/</t>
        </is>
      </c>
      <c r="B274" s="36" t="inlineStr">
        <is>
          <t>Product × city</t>
        </is>
      </c>
      <c r="C274" s="36" t="inlineStr">
        <is>
          <t>Car insurance</t>
        </is>
      </c>
      <c r="D274" s="36" t="inlineStr">
        <is>
          <t>car insurance richmond bc</t>
        </is>
      </c>
      <c r="E274" s="36" t="inlineStr">
        <is>
          <t>City</t>
        </is>
      </c>
      <c r="F274" s="36" t="inlineStr">
        <is>
          <t>British Columbia</t>
        </is>
      </c>
      <c r="G274" s="36" t="inlineStr">
        <is>
          <t>Richmond</t>
        </is>
      </c>
      <c r="H274" s="37" t="n">
        <v>320</v>
      </c>
      <c r="I274" s="36" t="n">
        <v>52</v>
      </c>
      <c r="J274" s="36" t="inlineStr">
        <is>
          <t>local</t>
        </is>
      </c>
      <c r="K274" s="36" t="inlineStr">
        <is>
          <t>auto-local</t>
        </is>
      </c>
      <c r="L274" s="36" t="n">
        <v>4</v>
      </c>
      <c r="M274" s="36" t="inlineStr">
        <is>
          <t>Primary</t>
        </is>
      </c>
      <c r="N274" s="39">
        <f>IFERROR(IF(ISNUMBER(SEARCH(D274,INDEX(Pages!$J$2:$J$829,MATCH(A274,Pages!$B$2:$B$829,0)))),"Yes","No"),"Page not found")</f>
        <v/>
      </c>
      <c r="O274" s="25" t="inlineStr">
        <is>
          <t>(none seen)</t>
        </is>
      </c>
      <c r="P274" s="25" t="inlineStr">
        <is>
          <t>ICBC sells basic auto; target optional coverage. Low lead value.</t>
        </is>
      </c>
    </row>
    <row r="275" ht="15" customHeight="1" s="22">
      <c r="A275" s="36" t="inlineStr">
        <is>
          <t>https://instasure.ca/car-insurance/saskatchewan/regina/</t>
        </is>
      </c>
      <c r="B275" s="36" t="inlineStr">
        <is>
          <t>Product × city</t>
        </is>
      </c>
      <c r="C275" s="36" t="inlineStr">
        <is>
          <t>Car insurance</t>
        </is>
      </c>
      <c r="D275" s="36" t="inlineStr">
        <is>
          <t>car insurance regina</t>
        </is>
      </c>
      <c r="E275" s="36" t="inlineStr">
        <is>
          <t>City</t>
        </is>
      </c>
      <c r="F275" s="36" t="inlineStr">
        <is>
          <t>Saskatchewan</t>
        </is>
      </c>
      <c r="G275" s="36" t="inlineStr">
        <is>
          <t>Regina</t>
        </is>
      </c>
      <c r="H275" s="37" t="n">
        <v>320</v>
      </c>
      <c r="I275" s="36" t="n">
        <v>64</v>
      </c>
      <c r="J275" s="36" t="inlineStr">
        <is>
          <t>local</t>
        </is>
      </c>
      <c r="K275" s="36" t="inlineStr">
        <is>
          <t>auto-local</t>
        </is>
      </c>
      <c r="L275" s="36" t="n">
        <v>5</v>
      </c>
      <c r="M275" s="36" t="inlineStr">
        <is>
          <t>Primary</t>
        </is>
      </c>
      <c r="N275" s="39">
        <f>IFERROR(IF(ISNUMBER(SEARCH(D275,INDEX(Pages!$J$2:$J$829,MATCH(A275,Pages!$B$2:$B$829,0)))),"Yes","No"),"Page not found")</f>
        <v/>
      </c>
      <c r="O275" s="25" t="inlineStr">
        <is>
          <t>ratehub</t>
        </is>
      </c>
      <c r="P275" s="25" t="inlineStr">
        <is>
          <t>SGI sells basic auto; target optional coverage. Low lead value.</t>
        </is>
      </c>
    </row>
    <row r="276" ht="15" customHeight="1" s="22">
      <c r="A276" s="36" t="inlineStr">
        <is>
          <t>https://instasure.ca/condo-insurance/alberta/calgary/</t>
        </is>
      </c>
      <c r="B276" s="36" t="inlineStr">
        <is>
          <t>Product × city</t>
        </is>
      </c>
      <c r="C276" s="36" t="inlineStr">
        <is>
          <t>Condo insurance</t>
        </is>
      </c>
      <c r="D276" s="36" t="inlineStr">
        <is>
          <t>condo insurance calgary</t>
        </is>
      </c>
      <c r="E276" s="36" t="inlineStr">
        <is>
          <t>City</t>
        </is>
      </c>
      <c r="F276" s="36" t="inlineStr">
        <is>
          <t>Alberta</t>
        </is>
      </c>
      <c r="G276" s="36" t="inlineStr">
        <is>
          <t>Calgary</t>
        </is>
      </c>
      <c r="H276" s="37" t="n">
        <v>320</v>
      </c>
      <c r="I276" s="36" t="n">
        <v>56</v>
      </c>
      <c r="J276" s="36" t="inlineStr">
        <is>
          <t>local</t>
        </is>
      </c>
      <c r="K276" s="36" t="inlineStr">
        <is>
          <t>property-local</t>
        </is>
      </c>
      <c r="L276" s="36" t="n">
        <v>3</v>
      </c>
      <c r="M276" s="36" t="inlineStr">
        <is>
          <t>Primary</t>
        </is>
      </c>
      <c r="N276" s="39">
        <f>IFERROR(IF(ISNUMBER(SEARCH(D276,INDEX(Pages!$J$2:$J$829,MATCH(A276,Pages!$B$2:$B$829,0)))),"Yes","No"),"Page not found")</f>
        <v/>
      </c>
      <c r="O276" s="25" t="inlineStr">
        <is>
          <t>rates.ca, sonnet</t>
        </is>
      </c>
      <c r="P276" s="25" t="n"/>
    </row>
    <row r="277" ht="15" customHeight="1" s="22">
      <c r="A277" s="36" t="inlineStr">
        <is>
          <t>https://instasure.ca/contractor-insurance/landscaping/</t>
        </is>
      </c>
      <c r="B277" s="36" t="inlineStr">
        <is>
          <t>Service page</t>
        </is>
      </c>
      <c r="C277" s="36" t="inlineStr">
        <is>
          <t>Contractor &amp; trades insurance</t>
        </is>
      </c>
      <c r="D277" s="36" t="inlineStr">
        <is>
          <t>landscaping insurance</t>
        </is>
      </c>
      <c r="E277" s="36" t="inlineStr">
        <is>
          <t>Nationwide</t>
        </is>
      </c>
      <c r="F277" s="36" t="n"/>
      <c r="G277" s="36" t="n"/>
      <c r="H277" s="37" t="n">
        <v>320</v>
      </c>
      <c r="I277" s="36" t="n">
        <v>25</v>
      </c>
      <c r="J277" s="36" t="inlineStr">
        <is>
          <t>commercial</t>
        </is>
      </c>
      <c r="K277" s="36" t="inlineStr">
        <is>
          <t>business-trades</t>
        </is>
      </c>
      <c r="L277" s="36" t="n">
        <v>3</v>
      </c>
      <c r="M277" s="36" t="inlineStr">
        <is>
          <t>Primary</t>
        </is>
      </c>
      <c r="N277" s="39">
        <f>IFERROR(IF(ISNUMBER(SEARCH(D277,INDEX(Pages!$J$2:$J$829,MATCH(A277,Pages!$B$2:$B$829,0)))),"Yes","No"),"Page not found")</f>
        <v/>
      </c>
      <c r="O277" s="25" t="inlineStr">
        <is>
          <t>ratehub blog</t>
        </is>
      </c>
      <c r="P277" s="25" t="inlineStr">
        <is>
          <t>Built (trade page).</t>
        </is>
      </c>
    </row>
    <row r="278" ht="15" customHeight="1" s="22">
      <c r="A278" s="36" t="inlineStr">
        <is>
          <t>https://instasure.ca/home-insurance/manitoba/</t>
        </is>
      </c>
      <c r="B278" s="36" t="inlineStr">
        <is>
          <t>Product × province</t>
        </is>
      </c>
      <c r="C278" s="36" t="inlineStr">
        <is>
          <t>Home insurance</t>
        </is>
      </c>
      <c r="D278" s="36" t="inlineStr">
        <is>
          <t>home insurance manitoba</t>
        </is>
      </c>
      <c r="E278" s="36" t="inlineStr">
        <is>
          <t>Provincial</t>
        </is>
      </c>
      <c r="F278" s="36" t="inlineStr">
        <is>
          <t>Manitoba</t>
        </is>
      </c>
      <c r="G278" s="36" t="n"/>
      <c r="H278" s="37" t="n">
        <v>320</v>
      </c>
      <c r="I278" s="36" t="n">
        <v>39</v>
      </c>
      <c r="J278" s="36" t="inlineStr">
        <is>
          <t>commercial</t>
        </is>
      </c>
      <c r="K278" s="36" t="inlineStr">
        <is>
          <t>property-province</t>
        </is>
      </c>
      <c r="L278" s="36" t="n">
        <v>2</v>
      </c>
      <c r="M278" s="36" t="inlineStr">
        <is>
          <t>Primary</t>
        </is>
      </c>
      <c r="N278" s="39">
        <f>IFERROR(IF(ISNUMBER(SEARCH(D278,INDEX(Pages!$J$2:$J$829,MATCH(A278,Pages!$B$2:$B$829,0)))),"Yes","No"),"Page not found")</f>
        <v/>
      </c>
      <c r="O278" s="25" t="inlineStr">
        <is>
          <t>(none seen)</t>
        </is>
      </c>
      <c r="P278" s="25" t="n"/>
    </row>
    <row r="279" ht="15" customHeight="1" s="22">
      <c r="A279" s="36" t="inlineStr">
        <is>
          <t>https://instasure.ca/life-insurance/british-columbia/</t>
        </is>
      </c>
      <c r="B279" s="36" t="inlineStr">
        <is>
          <t>Product × province</t>
        </is>
      </c>
      <c r="C279" s="36" t="inlineStr">
        <is>
          <t>Life insurance</t>
        </is>
      </c>
      <c r="D279" s="36" t="inlineStr">
        <is>
          <t>life insurance bc</t>
        </is>
      </c>
      <c r="E279" s="36" t="inlineStr">
        <is>
          <t>Provincial</t>
        </is>
      </c>
      <c r="F279" s="36" t="inlineStr">
        <is>
          <t>British Columbia</t>
        </is>
      </c>
      <c r="G279" s="36" t="n"/>
      <c r="H279" s="37" t="n">
        <v>320</v>
      </c>
      <c r="I279" s="36" t="n">
        <v>48</v>
      </c>
      <c r="J279" s="36" t="inlineStr">
        <is>
          <t>commercial</t>
        </is>
      </c>
      <c r="K279" s="36" t="inlineStr">
        <is>
          <t>life-province</t>
        </is>
      </c>
      <c r="L279" s="36" t="n">
        <v>1</v>
      </c>
      <c r="M279" s="36" t="inlineStr">
        <is>
          <t>Primary</t>
        </is>
      </c>
      <c r="N279" s="39">
        <f>IFERROR(IF(ISNUMBER(SEARCH(D279,INDEX(Pages!$J$2:$J$829,MATCH(A279,Pages!$B$2:$B$829,0)))),"Yes","No"),"Page not found")</f>
        <v/>
      </c>
      <c r="O279" s="25" t="inlineStr">
        <is>
          <t>policyadvisor</t>
        </is>
      </c>
      <c r="P279" s="25" t="n"/>
    </row>
    <row r="280" ht="15" customHeight="1" s="22">
      <c r="A280" s="36" t="inlineStr">
        <is>
          <t>https://instasure.ca/super-visa-insurance/ontario/toronto/</t>
        </is>
      </c>
      <c r="B280" s="36" t="inlineStr">
        <is>
          <t>Product × city</t>
        </is>
      </c>
      <c r="C280" s="36" t="inlineStr">
        <is>
          <t>Super Visa &amp; visitors insurance</t>
        </is>
      </c>
      <c r="D280" s="36" t="inlineStr">
        <is>
          <t>super visa insurance toronto</t>
        </is>
      </c>
      <c r="E280" s="36" t="inlineStr">
        <is>
          <t>City</t>
        </is>
      </c>
      <c r="F280" s="36" t="inlineStr">
        <is>
          <t>Ontario</t>
        </is>
      </c>
      <c r="G280" s="36" t="inlineStr">
        <is>
          <t>Toronto</t>
        </is>
      </c>
      <c r="H280" s="37" t="n">
        <v>320</v>
      </c>
      <c r="I280" s="36" t="n">
        <v>36</v>
      </c>
      <c r="J280" s="36" t="inlineStr">
        <is>
          <t>local</t>
        </is>
      </c>
      <c r="K280" s="36" t="inlineStr">
        <is>
          <t>travel-visitors</t>
        </is>
      </c>
      <c r="L280" s="36" t="n">
        <v>2</v>
      </c>
      <c r="M280" s="36" t="inlineStr">
        <is>
          <t>Primary</t>
        </is>
      </c>
      <c r="N280" s="39">
        <f>IFERROR(IF(ISNUMBER(SEARCH(D280,INDEX(Pages!$J$2:$J$829,MATCH(A280,Pages!$B$2:$B$829,0)))),"Yes","No"),"Page not found")</f>
        <v/>
      </c>
      <c r="O280" s="25" t="inlineStr">
        <is>
          <t>(none seen)</t>
        </is>
      </c>
      <c r="P280" s="25" t="n"/>
    </row>
    <row r="281" ht="15" customHeight="1" s="22">
      <c r="A281" s="36" t="inlineStr">
        <is>
          <t>https://instasure.ca/car-insurance/alberta/red-deer/</t>
        </is>
      </c>
      <c r="B281" s="36" t="inlineStr">
        <is>
          <t>Product × city</t>
        </is>
      </c>
      <c r="C281" s="36" t="inlineStr">
        <is>
          <t>Car insurance</t>
        </is>
      </c>
      <c r="D281" s="36" t="inlineStr">
        <is>
          <t>car insurance red deer</t>
        </is>
      </c>
      <c r="E281" s="36" t="inlineStr">
        <is>
          <t>City</t>
        </is>
      </c>
      <c r="F281" s="36" t="inlineStr">
        <is>
          <t>Alberta</t>
        </is>
      </c>
      <c r="G281" s="36" t="inlineStr">
        <is>
          <t>Red Deer</t>
        </is>
      </c>
      <c r="H281" s="37" t="n">
        <v>310</v>
      </c>
      <c r="I281" s="36" t="n">
        <v>56</v>
      </c>
      <c r="J281" s="36" t="inlineStr">
        <is>
          <t>local</t>
        </is>
      </c>
      <c r="K281" s="36" t="inlineStr">
        <is>
          <t>auto-local</t>
        </is>
      </c>
      <c r="L281" s="36" t="n">
        <v>3</v>
      </c>
      <c r="M281" s="36" t="inlineStr">
        <is>
          <t>Primary</t>
        </is>
      </c>
      <c r="N281" s="39">
        <f>IFERROR(IF(ISNUMBER(SEARCH(D281,INDEX(Pages!$J$2:$J$829,MATCH(A281,Pages!$B$2:$B$829,0)))),"Yes","No"),"Page not found")</f>
        <v/>
      </c>
      <c r="O281" s="25" t="inlineStr">
        <is>
          <t>ratehub</t>
        </is>
      </c>
      <c r="P281" s="25" t="n"/>
    </row>
    <row r="282" ht="23.85" customHeight="1" s="22">
      <c r="A282" s="36" t="inlineStr">
        <is>
          <t>https://instasure.ca/life-insurance/manitoba/winnipeg/</t>
        </is>
      </c>
      <c r="B282" s="36" t="inlineStr">
        <is>
          <t>Product × city</t>
        </is>
      </c>
      <c r="C282" s="36" t="inlineStr">
        <is>
          <t>Life insurance</t>
        </is>
      </c>
      <c r="D282" s="36" t="inlineStr">
        <is>
          <t>life insurance winnipeg</t>
        </is>
      </c>
      <c r="E282" s="36" t="inlineStr">
        <is>
          <t>City</t>
        </is>
      </c>
      <c r="F282" s="36" t="inlineStr">
        <is>
          <t>Manitoba</t>
        </is>
      </c>
      <c r="G282" s="36" t="inlineStr">
        <is>
          <t>Winnipeg</t>
        </is>
      </c>
      <c r="H282" s="37" t="n">
        <v>310</v>
      </c>
      <c r="I282" s="36" t="n">
        <v>39</v>
      </c>
      <c r="J282" s="36" t="inlineStr">
        <is>
          <t>local</t>
        </is>
      </c>
      <c r="K282" s="36" t="inlineStr">
        <is>
          <t>life-local</t>
        </is>
      </c>
      <c r="L282" s="36" t="n">
        <v>1</v>
      </c>
      <c r="M282" s="36" t="inlineStr">
        <is>
          <t>Primary</t>
        </is>
      </c>
      <c r="N282" s="39">
        <f>IFERROR(IF(ISNUMBER(SEARCH(D282,INDEX(Pages!$J$2:$J$829,MATCH(A282,Pages!$B$2:$B$829,0)))),"Yes","No"),"Page not found")</f>
        <v/>
      </c>
      <c r="O282" s="25" t="inlineStr">
        <is>
          <t>ratehub (thin)</t>
        </is>
      </c>
      <c r="P282" s="25" t="inlineStr">
        <is>
          <t>Competitor city pages here are thin or carry stale dates (October 2026 review): freshness opening.</t>
        </is>
      </c>
    </row>
    <row r="283" ht="15" customHeight="1" s="22">
      <c r="A283" s="36" t="inlineStr">
        <is>
          <t>https://instasure.ca/car-insurance/ontario/waterloo/</t>
        </is>
      </c>
      <c r="B283" s="36" t="inlineStr">
        <is>
          <t>Product × city</t>
        </is>
      </c>
      <c r="C283" s="36" t="inlineStr">
        <is>
          <t>Car insurance</t>
        </is>
      </c>
      <c r="D283" s="36" t="inlineStr">
        <is>
          <t>car insurance waterloo</t>
        </is>
      </c>
      <c r="E283" s="36" t="inlineStr">
        <is>
          <t>City</t>
        </is>
      </c>
      <c r="F283" s="36" t="inlineStr">
        <is>
          <t>Ontario</t>
        </is>
      </c>
      <c r="G283" s="36" t="inlineStr">
        <is>
          <t>Waterloo</t>
        </is>
      </c>
      <c r="H283" s="37" t="n">
        <v>300</v>
      </c>
      <c r="I283" s="36" t="n">
        <v>64</v>
      </c>
      <c r="J283" s="36" t="inlineStr">
        <is>
          <t>local</t>
        </is>
      </c>
      <c r="K283" s="36" t="inlineStr">
        <is>
          <t>auto-local</t>
        </is>
      </c>
      <c r="L283" s="36" t="n">
        <v>3</v>
      </c>
      <c r="M283" s="36" t="inlineStr">
        <is>
          <t>Primary</t>
        </is>
      </c>
      <c r="N283" s="39">
        <f>IFERROR(IF(ISNUMBER(SEARCH(D283,INDEX(Pages!$J$2:$J$829,MATCH(A283,Pages!$B$2:$B$829,0)))),"Yes","No"),"Page not found")</f>
        <v/>
      </c>
      <c r="O283" s="25" t="inlineStr">
        <is>
          <t>ratehub</t>
        </is>
      </c>
      <c r="P283" s="25" t="n"/>
    </row>
    <row r="284" ht="15" customHeight="1" s="22">
      <c r="A284" s="36" t="inlineStr">
        <is>
          <t>https://instasure.ca/car-insurance/quebec/quebec-city/</t>
        </is>
      </c>
      <c r="B284" s="36" t="inlineStr">
        <is>
          <t>Product × city</t>
        </is>
      </c>
      <c r="C284" s="36" t="inlineStr">
        <is>
          <t>Car insurance</t>
        </is>
      </c>
      <c r="D284" s="36" t="inlineStr">
        <is>
          <t>car insurance quebec city</t>
        </is>
      </c>
      <c r="E284" s="36" t="inlineStr">
        <is>
          <t>City</t>
        </is>
      </c>
      <c r="F284" s="36" t="inlineStr">
        <is>
          <t>Quebec</t>
        </is>
      </c>
      <c r="G284" s="36" t="inlineStr">
        <is>
          <t>Quebec City</t>
        </is>
      </c>
      <c r="H284" s="37" t="n">
        <v>300</v>
      </c>
      <c r="I284" s="36" t="n">
        <v>60</v>
      </c>
      <c r="J284" s="36" t="inlineStr">
        <is>
          <t>local</t>
        </is>
      </c>
      <c r="K284" s="36" t="inlineStr">
        <is>
          <t>auto-local</t>
        </is>
      </c>
      <c r="L284" s="36" t="n">
        <v>4</v>
      </c>
      <c r="M284" s="36" t="inlineStr">
        <is>
          <t>Primary</t>
        </is>
      </c>
      <c r="N284" s="39">
        <f>IFERROR(IF(ISNUMBER(SEARCH(D284,INDEX(Pages!$J$2:$J$829,MATCH(A284,Pages!$B$2:$B$829,0)))),"Yes","No"),"Page not found")</f>
        <v/>
      </c>
      <c r="O284" s="25" t="inlineStr">
        <is>
          <t>(none seen)</t>
        </is>
      </c>
      <c r="P284" s="25" t="inlineStr">
        <is>
          <t>Quebec waitlist until AMF registration.</t>
        </is>
      </c>
    </row>
    <row r="285" ht="15" customHeight="1" s="22">
      <c r="A285" s="36" t="inlineStr">
        <is>
          <t>https://instasure.ca/insurance/alberta/edmonton/</t>
        </is>
      </c>
      <c r="B285" s="36" t="inlineStr">
        <is>
          <t>Place hub</t>
        </is>
      </c>
      <c r="C285" s="36" t="inlineStr">
        <is>
          <t>Multi-line (place hubs)</t>
        </is>
      </c>
      <c r="D285" s="36" t="inlineStr">
        <is>
          <t>insurance advisor edmonton</t>
        </is>
      </c>
      <c r="E285" s="36" t="inlineStr">
        <is>
          <t>City</t>
        </is>
      </c>
      <c r="F285" s="36" t="inlineStr">
        <is>
          <t>Alberta</t>
        </is>
      </c>
      <c r="G285" s="36" t="inlineStr">
        <is>
          <t>Edmonton</t>
        </is>
      </c>
      <c r="H285" s="37" t="n">
        <v>300</v>
      </c>
      <c r="I285" s="36" t="n">
        <v>30</v>
      </c>
      <c r="J285" s="36" t="inlineStr">
        <is>
          <t>local</t>
        </is>
      </c>
      <c r="K285" s="36" t="inlineStr">
        <is>
          <t>advisors</t>
        </is>
      </c>
      <c r="L285" s="36" t="n">
        <v>2</v>
      </c>
      <c r="M285" s="36" t="inlineStr">
        <is>
          <t>Primary</t>
        </is>
      </c>
      <c r="N285" s="39">
        <f>IFERROR(IF(ISNUMBER(SEARCH(D285,INDEX(Pages!$J$2:$J$829,MATCH(A285,Pages!$B$2:$B$829,0)))),"Yes","No"),"Page not found")</f>
        <v/>
      </c>
      <c r="O285" s="25" t="inlineStr">
        <is>
          <t>local brokers, thinkinsure, rates.ca (broker pages)</t>
        </is>
      </c>
      <c r="P285" s="25" t="inlineStr">
        <is>
          <t>City hub. Add a Google Business Profile only where an advisor really works from that city.</t>
        </is>
      </c>
    </row>
    <row r="286" ht="15" customHeight="1" s="22">
      <c r="A286" s="36" t="inlineStr">
        <is>
          <t>https://instasure.ca/insurance/ontario/ottawa/</t>
        </is>
      </c>
      <c r="B286" s="36" t="inlineStr">
        <is>
          <t>Place hub</t>
        </is>
      </c>
      <c r="C286" s="36" t="inlineStr">
        <is>
          <t>Multi-line (place hubs)</t>
        </is>
      </c>
      <c r="D286" s="36" t="inlineStr">
        <is>
          <t>insurance advisor ottawa</t>
        </is>
      </c>
      <c r="E286" s="36" t="inlineStr">
        <is>
          <t>City</t>
        </is>
      </c>
      <c r="F286" s="36" t="inlineStr">
        <is>
          <t>Ontario</t>
        </is>
      </c>
      <c r="G286" s="36" t="inlineStr">
        <is>
          <t>Ottawa</t>
        </is>
      </c>
      <c r="H286" s="37" t="n">
        <v>300</v>
      </c>
      <c r="I286" s="36" t="n">
        <v>30</v>
      </c>
      <c r="J286" s="36" t="inlineStr">
        <is>
          <t>local</t>
        </is>
      </c>
      <c r="K286" s="36" t="inlineStr">
        <is>
          <t>advisors</t>
        </is>
      </c>
      <c r="L286" s="36" t="n">
        <v>2</v>
      </c>
      <c r="M286" s="36" t="inlineStr">
        <is>
          <t>Primary</t>
        </is>
      </c>
      <c r="N286" s="39">
        <f>IFERROR(IF(ISNUMBER(SEARCH(D286,INDEX(Pages!$J$2:$J$829,MATCH(A286,Pages!$B$2:$B$829,0)))),"Yes","No"),"Page not found")</f>
        <v/>
      </c>
      <c r="O286" s="25" t="inlineStr">
        <is>
          <t>local brokers, thinkinsure, rates.ca (broker pages)</t>
        </is>
      </c>
      <c r="P286" s="25" t="inlineStr">
        <is>
          <t>City hub. Add a Google Business Profile only where an advisor really works from that city.</t>
        </is>
      </c>
    </row>
    <row r="287" ht="23.85" customHeight="1" s="22">
      <c r="A287" s="36" t="inlineStr">
        <is>
          <t>https://instasure.ca/life-insurance/ontario/mississauga/</t>
        </is>
      </c>
      <c r="B287" s="36" t="inlineStr">
        <is>
          <t>Product × city</t>
        </is>
      </c>
      <c r="C287" s="36" t="inlineStr">
        <is>
          <t>Life insurance</t>
        </is>
      </c>
      <c r="D287" s="36" t="inlineStr">
        <is>
          <t>life insurance mississauga</t>
        </is>
      </c>
      <c r="E287" s="36" t="inlineStr">
        <is>
          <t>City</t>
        </is>
      </c>
      <c r="F287" s="36" t="inlineStr">
        <is>
          <t>Ontario</t>
        </is>
      </c>
      <c r="G287" s="36" t="inlineStr">
        <is>
          <t>Mississauga</t>
        </is>
      </c>
      <c r="H287" s="37" t="n">
        <v>300</v>
      </c>
      <c r="I287" s="36" t="n">
        <v>51</v>
      </c>
      <c r="J287" s="36" t="inlineStr">
        <is>
          <t>local</t>
        </is>
      </c>
      <c r="K287" s="36" t="inlineStr">
        <is>
          <t>life-local</t>
        </is>
      </c>
      <c r="L287" s="36" t="n">
        <v>1</v>
      </c>
      <c r="M287" s="36" t="inlineStr">
        <is>
          <t>Primary</t>
        </is>
      </c>
      <c r="N287" s="39">
        <f>IFERROR(IF(ISNUMBER(SEARCH(D287,INDEX(Pages!$J$2:$J$829,MATCH(A287,Pages!$B$2:$B$829,0)))),"Yes","No"),"Page not found")</f>
        <v/>
      </c>
      <c r="O287" s="25" t="inlineStr">
        <is>
          <t>policyadvisor (stale 2025 titles), ratehub (thin)</t>
        </is>
      </c>
      <c r="P287" s="25" t="inlineStr">
        <is>
          <t>Competitor city pages here are thin or carry stale dates (October 2026 review): freshness opening.</t>
        </is>
      </c>
    </row>
    <row r="288" ht="15" customHeight="1" s="22">
      <c r="A288" s="36" t="inlineStr">
        <is>
          <t>https://instasure.ca/super-visa-insurance/ontario/brampton/</t>
        </is>
      </c>
      <c r="B288" s="36" t="inlineStr">
        <is>
          <t>Product × city</t>
        </is>
      </c>
      <c r="C288" s="36" t="inlineStr">
        <is>
          <t>Super Visa &amp; visitors insurance</t>
        </is>
      </c>
      <c r="D288" s="36" t="inlineStr">
        <is>
          <t>super visa insurance brampton</t>
        </is>
      </c>
      <c r="E288" s="36" t="inlineStr">
        <is>
          <t>City</t>
        </is>
      </c>
      <c r="F288" s="36" t="inlineStr">
        <is>
          <t>Ontario</t>
        </is>
      </c>
      <c r="G288" s="36" t="inlineStr">
        <is>
          <t>Brampton</t>
        </is>
      </c>
      <c r="H288" s="37" t="n">
        <v>300</v>
      </c>
      <c r="I288" s="36" t="n">
        <v>36</v>
      </c>
      <c r="J288" s="36" t="inlineStr">
        <is>
          <t>local</t>
        </is>
      </c>
      <c r="K288" s="36" t="inlineStr">
        <is>
          <t>travel-visitors</t>
        </is>
      </c>
      <c r="L288" s="36" t="n">
        <v>2</v>
      </c>
      <c r="M288" s="36" t="inlineStr">
        <is>
          <t>Primary</t>
        </is>
      </c>
      <c r="N288" s="39">
        <f>IFERROR(IF(ISNUMBER(SEARCH(D288,INDEX(Pages!$J$2:$J$829,MATCH(A288,Pages!$B$2:$B$829,0)))),"Yes","No"),"Page not found")</f>
        <v/>
      </c>
      <c r="O288" s="25" t="inlineStr">
        <is>
          <t>(none seen)</t>
        </is>
      </c>
      <c r="P288" s="25" t="n"/>
    </row>
    <row r="289" ht="15" customHeight="1" s="22">
      <c r="A289" s="36" t="inlineStr">
        <is>
          <t>https://instasure.ca/tenant-insurance/nova-scotia/halifax/</t>
        </is>
      </c>
      <c r="B289" s="36" t="inlineStr">
        <is>
          <t>Product × city</t>
        </is>
      </c>
      <c r="C289" s="36" t="inlineStr">
        <is>
          <t>Tenant insurance</t>
        </is>
      </c>
      <c r="D289" s="36" t="inlineStr">
        <is>
          <t>tenant insurance halifax</t>
        </is>
      </c>
      <c r="E289" s="36" t="inlineStr">
        <is>
          <t>City</t>
        </is>
      </c>
      <c r="F289" s="36" t="inlineStr">
        <is>
          <t>Nova Scotia</t>
        </is>
      </c>
      <c r="G289" s="36" t="inlineStr">
        <is>
          <t>Halifax</t>
        </is>
      </c>
      <c r="H289" s="37" t="n">
        <v>300</v>
      </c>
      <c r="I289" s="36" t="n">
        <v>40</v>
      </c>
      <c r="J289" s="36" t="inlineStr">
        <is>
          <t>local</t>
        </is>
      </c>
      <c r="K289" s="36" t="inlineStr">
        <is>
          <t>property-local</t>
        </is>
      </c>
      <c r="L289" s="36" t="n">
        <v>4</v>
      </c>
      <c r="M289" s="36" t="inlineStr">
        <is>
          <t>Primary</t>
        </is>
      </c>
      <c r="N289" s="39">
        <f>IFERROR(IF(ISNUMBER(SEARCH(D289,INDEX(Pages!$J$2:$J$829,MATCH(A289,Pages!$B$2:$B$829,0)))),"Yes","No"),"Page not found")</f>
        <v/>
      </c>
      <c r="O289" s="25" t="inlineStr">
        <is>
          <t>(none seen)</t>
        </is>
      </c>
      <c r="P289" s="25" t="n"/>
    </row>
    <row r="290" ht="15" customHeight="1" s="22">
      <c r="A290" s="36" t="inlineStr">
        <is>
          <t>https://instasure.ca/home-insurance/saskatchewan/saskatoon/</t>
        </is>
      </c>
      <c r="B290" s="36" t="inlineStr">
        <is>
          <t>Product × city</t>
        </is>
      </c>
      <c r="C290" s="36" t="inlineStr">
        <is>
          <t>Home insurance</t>
        </is>
      </c>
      <c r="D290" s="36" t="inlineStr">
        <is>
          <t>home insurance saskatoon</t>
        </is>
      </c>
      <c r="E290" s="36" t="inlineStr">
        <is>
          <t>City</t>
        </is>
      </c>
      <c r="F290" s="36" t="inlineStr">
        <is>
          <t>Saskatchewan</t>
        </is>
      </c>
      <c r="G290" s="36" t="inlineStr">
        <is>
          <t>Saskatoon</t>
        </is>
      </c>
      <c r="H290" s="37" t="n">
        <v>290</v>
      </c>
      <c r="I290" s="36" t="n">
        <v>52</v>
      </c>
      <c r="J290" s="36" t="inlineStr">
        <is>
          <t>local</t>
        </is>
      </c>
      <c r="K290" s="36" t="inlineStr">
        <is>
          <t>property-local</t>
        </is>
      </c>
      <c r="L290" s="36" t="n">
        <v>3</v>
      </c>
      <c r="M290" s="36" t="inlineStr">
        <is>
          <t>Primary</t>
        </is>
      </c>
      <c r="N290" s="39">
        <f>IFERROR(IF(ISNUMBER(SEARCH(D290,INDEX(Pages!$J$2:$J$829,MATCH(A290,Pages!$B$2:$B$829,0)))),"Yes","No"),"Page not found")</f>
        <v/>
      </c>
      <c r="O290" s="25" t="inlineStr">
        <is>
          <t>ratehub</t>
        </is>
      </c>
      <c r="P290" s="25" t="n"/>
    </row>
    <row r="291" ht="15" customHeight="1" s="22">
      <c r="A291" s="36" t="inlineStr">
        <is>
          <t>https://instasure.ca/tenant-insurance/ontario/london/</t>
        </is>
      </c>
      <c r="B291" s="36" t="inlineStr">
        <is>
          <t>Product × city</t>
        </is>
      </c>
      <c r="C291" s="36" t="inlineStr">
        <is>
          <t>Tenant insurance</t>
        </is>
      </c>
      <c r="D291" s="36" t="inlineStr">
        <is>
          <t>tenant insurance london ontario</t>
        </is>
      </c>
      <c r="E291" s="36" t="inlineStr">
        <is>
          <t>City</t>
        </is>
      </c>
      <c r="F291" s="36" t="inlineStr">
        <is>
          <t>Ontario</t>
        </is>
      </c>
      <c r="G291" s="36" t="inlineStr">
        <is>
          <t>London</t>
        </is>
      </c>
      <c r="H291" s="37" t="n">
        <v>290</v>
      </c>
      <c r="I291" s="36" t="n">
        <v>48</v>
      </c>
      <c r="J291" s="36" t="inlineStr">
        <is>
          <t>local</t>
        </is>
      </c>
      <c r="K291" s="36" t="inlineStr">
        <is>
          <t>property-local</t>
        </is>
      </c>
      <c r="L291" s="36" t="n">
        <v>4</v>
      </c>
      <c r="M291" s="36" t="inlineStr">
        <is>
          <t>Primary</t>
        </is>
      </c>
      <c r="N291" s="39">
        <f>IFERROR(IF(ISNUMBER(SEARCH(D291,INDEX(Pages!$J$2:$J$829,MATCH(A291,Pages!$B$2:$B$829,0)))),"Yes","No"),"Page not found")</f>
        <v/>
      </c>
      <c r="O291" s="25" t="inlineStr">
        <is>
          <t>(none seen)</t>
        </is>
      </c>
      <c r="P291" s="25" t="n"/>
    </row>
    <row r="292" ht="15" customHeight="1" s="22">
      <c r="A292" s="36" t="inlineStr">
        <is>
          <t>https://instasure.ca/tenant-insurance/quebec/</t>
        </is>
      </c>
      <c r="B292" s="36" t="inlineStr">
        <is>
          <t>Product × province</t>
        </is>
      </c>
      <c r="C292" s="36" t="inlineStr">
        <is>
          <t>Tenant insurance</t>
        </is>
      </c>
      <c r="D292" s="36" t="inlineStr">
        <is>
          <t>tenant insurance quebec</t>
        </is>
      </c>
      <c r="E292" s="36" t="inlineStr">
        <is>
          <t>Provincial</t>
        </is>
      </c>
      <c r="F292" s="36" t="inlineStr">
        <is>
          <t>Quebec</t>
        </is>
      </c>
      <c r="G292" s="36" t="n"/>
      <c r="H292" s="37" t="n">
        <v>290</v>
      </c>
      <c r="I292" s="36" t="n">
        <v>46</v>
      </c>
      <c r="J292" s="36" t="inlineStr">
        <is>
          <t>commercial</t>
        </is>
      </c>
      <c r="K292" s="36" t="inlineStr">
        <is>
          <t>property-province</t>
        </is>
      </c>
      <c r="L292" s="36" t="n">
        <v>5</v>
      </c>
      <c r="M292" s="36" t="inlineStr">
        <is>
          <t>Primary</t>
        </is>
      </c>
      <c r="N292" s="39">
        <f>IFERROR(IF(ISNUMBER(SEARCH(D292,INDEX(Pages!$J$2:$J$829,MATCH(A292,Pages!$B$2:$B$829,0)))),"Yes","No"),"Page not found")</f>
        <v/>
      </c>
      <c r="O292" s="25" t="inlineStr">
        <is>
          <t>sonnet</t>
        </is>
      </c>
      <c r="P292" s="25" t="inlineStr">
        <is>
          <t>Quebec waitlist until AMF registration; English phrase only (French terms listed separately).</t>
        </is>
      </c>
    </row>
    <row r="293" ht="15" customHeight="1" s="22">
      <c r="A293" s="36" t="inlineStr">
        <is>
          <t>https://instasure.ca/car-insurance/alberta/lethbridge/</t>
        </is>
      </c>
      <c r="B293" s="36" t="inlineStr">
        <is>
          <t>Product × city</t>
        </is>
      </c>
      <c r="C293" s="36" t="inlineStr">
        <is>
          <t>Car insurance</t>
        </is>
      </c>
      <c r="D293" s="36" t="inlineStr">
        <is>
          <t>car insurance lethbridge</t>
        </is>
      </c>
      <c r="E293" s="36" t="inlineStr">
        <is>
          <t>City</t>
        </is>
      </c>
      <c r="F293" s="36" t="inlineStr">
        <is>
          <t>Alberta</t>
        </is>
      </c>
      <c r="G293" s="36" t="inlineStr">
        <is>
          <t>Lethbridge</t>
        </is>
      </c>
      <c r="H293" s="37" t="n">
        <v>280</v>
      </c>
      <c r="I293" s="36" t="n">
        <v>56</v>
      </c>
      <c r="J293" s="36" t="inlineStr">
        <is>
          <t>local</t>
        </is>
      </c>
      <c r="K293" s="36" t="inlineStr">
        <is>
          <t>auto-local</t>
        </is>
      </c>
      <c r="L293" s="36" t="n">
        <v>3</v>
      </c>
      <c r="M293" s="36" t="inlineStr">
        <is>
          <t>Primary</t>
        </is>
      </c>
      <c r="N293" s="39">
        <f>IFERROR(IF(ISNUMBER(SEARCH(D293,INDEX(Pages!$J$2:$J$829,MATCH(A293,Pages!$B$2:$B$829,0)))),"Yes","No"),"Page not found")</f>
        <v/>
      </c>
      <c r="O293" s="25" t="inlineStr">
        <is>
          <t>ratehub</t>
        </is>
      </c>
      <c r="P293" s="25" t="n"/>
    </row>
    <row r="294" ht="15" customHeight="1" s="22">
      <c r="A294" s="36" t="inlineStr">
        <is>
          <t>https://instasure.ca/car-insurance/ontario/kingston/</t>
        </is>
      </c>
      <c r="B294" s="36" t="inlineStr">
        <is>
          <t>Product × city</t>
        </is>
      </c>
      <c r="C294" s="36" t="inlineStr">
        <is>
          <t>Car insurance</t>
        </is>
      </c>
      <c r="D294" s="36" t="inlineStr">
        <is>
          <t>car insurance kingston</t>
        </is>
      </c>
      <c r="E294" s="36" t="inlineStr">
        <is>
          <t>City</t>
        </is>
      </c>
      <c r="F294" s="36" t="inlineStr">
        <is>
          <t>Ontario</t>
        </is>
      </c>
      <c r="G294" s="36" t="inlineStr">
        <is>
          <t>Kingston</t>
        </is>
      </c>
      <c r="H294" s="37" t="n">
        <v>280</v>
      </c>
      <c r="I294" s="36" t="n">
        <v>68</v>
      </c>
      <c r="J294" s="36" t="inlineStr">
        <is>
          <t>local</t>
        </is>
      </c>
      <c r="K294" s="36" t="inlineStr">
        <is>
          <t>auto-local</t>
        </is>
      </c>
      <c r="L294" s="36" t="n">
        <v>3</v>
      </c>
      <c r="M294" s="36" t="inlineStr">
        <is>
          <t>Primary</t>
        </is>
      </c>
      <c r="N294" s="39">
        <f>IFERROR(IF(ISNUMBER(SEARCH(D294,INDEX(Pages!$J$2:$J$829,MATCH(A294,Pages!$B$2:$B$829,0)))),"Yes","No"),"Page not found")</f>
        <v/>
      </c>
      <c r="O294" s="25" t="inlineStr">
        <is>
          <t>ratehub, rates.ca</t>
        </is>
      </c>
      <c r="P294" s="25" t="n"/>
    </row>
    <row r="295" ht="15" customHeight="1" s="22">
      <c r="A295" s="36" t="inlineStr">
        <is>
          <t>https://instasure.ca/home-insurance/ontario/kitchener/</t>
        </is>
      </c>
      <c r="B295" s="36" t="inlineStr">
        <is>
          <t>Product × city</t>
        </is>
      </c>
      <c r="C295" s="36" t="inlineStr">
        <is>
          <t>Home insurance</t>
        </is>
      </c>
      <c r="D295" s="36" t="inlineStr">
        <is>
          <t>home insurance kitchener</t>
        </is>
      </c>
      <c r="E295" s="36" t="inlineStr">
        <is>
          <t>City</t>
        </is>
      </c>
      <c r="F295" s="36" t="inlineStr">
        <is>
          <t>Ontario</t>
        </is>
      </c>
      <c r="G295" s="36" t="inlineStr">
        <is>
          <t>Kitchener</t>
        </is>
      </c>
      <c r="H295" s="37" t="n">
        <v>280</v>
      </c>
      <c r="I295" s="36" t="n">
        <v>56</v>
      </c>
      <c r="J295" s="36" t="inlineStr">
        <is>
          <t>local</t>
        </is>
      </c>
      <c r="K295" s="36" t="inlineStr">
        <is>
          <t>property-local</t>
        </is>
      </c>
      <c r="L295" s="36" t="n">
        <v>3</v>
      </c>
      <c r="M295" s="36" t="inlineStr">
        <is>
          <t>Primary</t>
        </is>
      </c>
      <c r="N295" s="39">
        <f>IFERROR(IF(ISNUMBER(SEARCH(D295,INDEX(Pages!$J$2:$J$829,MATCH(A295,Pages!$B$2:$B$829,0)))),"Yes","No"),"Page not found")</f>
        <v/>
      </c>
      <c r="O295" s="25" t="inlineStr">
        <is>
          <t>(none seen)</t>
        </is>
      </c>
      <c r="P295" s="25" t="n"/>
    </row>
    <row r="296" ht="15" customHeight="1" s="22">
      <c r="A296" s="36" t="inlineStr">
        <is>
          <t>https://instasure.ca/life-insurance/alberta/</t>
        </is>
      </c>
      <c r="B296" s="36" t="inlineStr">
        <is>
          <t>Product × province</t>
        </is>
      </c>
      <c r="C296" s="36" t="inlineStr">
        <is>
          <t>Life insurance</t>
        </is>
      </c>
      <c r="D296" s="36" t="inlineStr">
        <is>
          <t>life insurance alberta</t>
        </is>
      </c>
      <c r="E296" s="36" t="inlineStr">
        <is>
          <t>Provincial</t>
        </is>
      </c>
      <c r="F296" s="36" t="inlineStr">
        <is>
          <t>Alberta</t>
        </is>
      </c>
      <c r="G296" s="36" t="n"/>
      <c r="H296" s="37" t="n">
        <v>280</v>
      </c>
      <c r="I296" s="36" t="n">
        <v>48</v>
      </c>
      <c r="J296" s="36" t="inlineStr">
        <is>
          <t>commercial</t>
        </is>
      </c>
      <c r="K296" s="36" t="inlineStr">
        <is>
          <t>life-province</t>
        </is>
      </c>
      <c r="L296" s="36" t="n">
        <v>1</v>
      </c>
      <c r="M296" s="36" t="inlineStr">
        <is>
          <t>Primary</t>
        </is>
      </c>
      <c r="N296" s="39">
        <f>IFERROR(IF(ISNUMBER(SEARCH(D296,INDEX(Pages!$J$2:$J$829,MATCH(A296,Pages!$B$2:$B$829,0)))),"Yes","No"),"Page not found")</f>
        <v/>
      </c>
      <c r="O296" s="25" t="inlineStr">
        <is>
          <t>policyadvisor</t>
        </is>
      </c>
      <c r="P296" s="25" t="n"/>
    </row>
    <row r="297" ht="23.85" customHeight="1" s="22">
      <c r="A297" s="36" t="inlineStr">
        <is>
          <t>https://instasure.ca/life-insurance/british-columbia/vancouver/</t>
        </is>
      </c>
      <c r="B297" s="36" t="inlineStr">
        <is>
          <t>Product × city</t>
        </is>
      </c>
      <c r="C297" s="36" t="inlineStr">
        <is>
          <t>Life insurance</t>
        </is>
      </c>
      <c r="D297" s="36" t="inlineStr">
        <is>
          <t>life insurance vancouver</t>
        </is>
      </c>
      <c r="E297" s="36" t="inlineStr">
        <is>
          <t>City</t>
        </is>
      </c>
      <c r="F297" s="36" t="inlineStr">
        <is>
          <t>British Columbia</t>
        </is>
      </c>
      <c r="G297" s="36" t="inlineStr">
        <is>
          <t>Vancouver</t>
        </is>
      </c>
      <c r="H297" s="37" t="n">
        <v>280</v>
      </c>
      <c r="I297" s="36" t="n">
        <v>47</v>
      </c>
      <c r="J297" s="36" t="inlineStr">
        <is>
          <t>local</t>
        </is>
      </c>
      <c r="K297" s="36" t="inlineStr">
        <is>
          <t>life-local</t>
        </is>
      </c>
      <c r="L297" s="36" t="n">
        <v>1</v>
      </c>
      <c r="M297" s="36" t="inlineStr">
        <is>
          <t>Primary</t>
        </is>
      </c>
      <c r="N297" s="39">
        <f>IFERROR(IF(ISNUMBER(SEARCH(D297,INDEX(Pages!$J$2:$J$829,MATCH(A297,Pages!$B$2:$B$829,0)))),"Yes","No"),"Page not found")</f>
        <v/>
      </c>
      <c r="O297" s="25" t="inlineStr">
        <is>
          <t>policyadvisor (stale 2025 titles)</t>
        </is>
      </c>
      <c r="P297" s="25" t="inlineStr">
        <is>
          <t>Competitor city pages here are thin or carry stale dates (October 2026 review): freshness opening.</t>
        </is>
      </c>
    </row>
    <row r="298" ht="15" customHeight="1" s="22">
      <c r="A298" s="36" t="inlineStr">
        <is>
          <t>https://instasure.ca/car-insurance/new-brunswick/moncton/</t>
        </is>
      </c>
      <c r="B298" s="36" t="inlineStr">
        <is>
          <t>Product × city</t>
        </is>
      </c>
      <c r="C298" s="36" t="inlineStr">
        <is>
          <t>Car insurance</t>
        </is>
      </c>
      <c r="D298" s="36" t="inlineStr">
        <is>
          <t>car insurance moncton</t>
        </is>
      </c>
      <c r="E298" s="36" t="inlineStr">
        <is>
          <t>City</t>
        </is>
      </c>
      <c r="F298" s="36" t="inlineStr">
        <is>
          <t>New Brunswick</t>
        </is>
      </c>
      <c r="G298" s="36" t="inlineStr">
        <is>
          <t>Moncton</t>
        </is>
      </c>
      <c r="H298" s="37" t="n">
        <v>270</v>
      </c>
      <c r="I298" s="36" t="n">
        <v>56</v>
      </c>
      <c r="J298" s="36" t="inlineStr">
        <is>
          <t>local</t>
        </is>
      </c>
      <c r="K298" s="36" t="inlineStr">
        <is>
          <t>auto-local</t>
        </is>
      </c>
      <c r="L298" s="36" t="n">
        <v>3</v>
      </c>
      <c r="M298" s="36" t="inlineStr">
        <is>
          <t>Primary</t>
        </is>
      </c>
      <c r="N298" s="39">
        <f>IFERROR(IF(ISNUMBER(SEARCH(D298,INDEX(Pages!$J$2:$J$829,MATCH(A298,Pages!$B$2:$B$829,0)))),"Yes","No"),"Page not found")</f>
        <v/>
      </c>
      <c r="O298" s="25" t="inlineStr">
        <is>
          <t>ratehub</t>
        </is>
      </c>
      <c r="P298" s="25" t="n"/>
    </row>
    <row r="299" ht="15" customHeight="1" s="22">
      <c r="A299" s="36" t="inlineStr">
        <is>
          <t>https://instasure.ca/disability-insurance/ontario/</t>
        </is>
      </c>
      <c r="B299" s="36" t="inlineStr">
        <is>
          <t>Product × province</t>
        </is>
      </c>
      <c r="C299" s="36" t="inlineStr">
        <is>
          <t>Disability insurance</t>
        </is>
      </c>
      <c r="D299" s="36" t="inlineStr">
        <is>
          <t>disability insurance ontario</t>
        </is>
      </c>
      <c r="E299" s="36" t="inlineStr">
        <is>
          <t>Provincial</t>
        </is>
      </c>
      <c r="F299" s="36" t="inlineStr">
        <is>
          <t>Ontario</t>
        </is>
      </c>
      <c r="G299" s="36" t="n"/>
      <c r="H299" s="37" t="n">
        <v>270</v>
      </c>
      <c r="I299" s="36" t="n">
        <v>40</v>
      </c>
      <c r="J299" s="36" t="inlineStr">
        <is>
          <t>commercial</t>
        </is>
      </c>
      <c r="K299" s="36" t="inlineStr">
        <is>
          <t>living-benefits</t>
        </is>
      </c>
      <c r="L299" s="36" t="n">
        <v>1</v>
      </c>
      <c r="M299" s="36" t="inlineStr">
        <is>
          <t>Primary</t>
        </is>
      </c>
      <c r="N299" s="39">
        <f>IFERROR(IF(ISNUMBER(SEARCH(D299,INDEX(Pages!$J$2:$J$829,MATCH(A299,Pages!$B$2:$B$829,0)))),"Yes","No"),"Page not found")</f>
        <v/>
      </c>
      <c r="O299" s="25" t="inlineStr">
        <is>
          <t>(none seen)</t>
        </is>
      </c>
      <c r="P299" s="25" t="n"/>
    </row>
    <row r="300" ht="15" customHeight="1" s="22">
      <c r="A300" s="36" t="inlineStr">
        <is>
          <t>https://instasure.ca/home-insurance/british-columbia/burnaby/</t>
        </is>
      </c>
      <c r="B300" s="36" t="inlineStr">
        <is>
          <t>Product × city</t>
        </is>
      </c>
      <c r="C300" s="36" t="inlineStr">
        <is>
          <t>Home insurance</t>
        </is>
      </c>
      <c r="D300" s="36" t="inlineStr">
        <is>
          <t>home insurance burnaby</t>
        </is>
      </c>
      <c r="E300" s="36" t="inlineStr">
        <is>
          <t>City</t>
        </is>
      </c>
      <c r="F300" s="36" t="inlineStr">
        <is>
          <t>British Columbia</t>
        </is>
      </c>
      <c r="G300" s="36" t="inlineStr">
        <is>
          <t>Burnaby</t>
        </is>
      </c>
      <c r="H300" s="37" t="n">
        <v>270</v>
      </c>
      <c r="I300" s="36" t="n">
        <v>52</v>
      </c>
      <c r="J300" s="36" t="inlineStr">
        <is>
          <t>local</t>
        </is>
      </c>
      <c r="K300" s="36" t="inlineStr">
        <is>
          <t>property-local</t>
        </is>
      </c>
      <c r="L300" s="36" t="n">
        <v>3</v>
      </c>
      <c r="M300" s="36" t="inlineStr">
        <is>
          <t>Primary</t>
        </is>
      </c>
      <c r="N300" s="39">
        <f>IFERROR(IF(ISNUMBER(SEARCH(D300,INDEX(Pages!$J$2:$J$829,MATCH(A300,Pages!$B$2:$B$829,0)))),"Yes","No"),"Page not found")</f>
        <v/>
      </c>
      <c r="O300" s="25" t="inlineStr">
        <is>
          <t>ratehub</t>
        </is>
      </c>
      <c r="P300" s="25" t="n"/>
    </row>
    <row r="301" ht="15" customHeight="1" s="22">
      <c r="A301" s="36" t="inlineStr">
        <is>
          <t>https://instasure.ca/home-insurance/saskatchewan/</t>
        </is>
      </c>
      <c r="B301" s="36" t="inlineStr">
        <is>
          <t>Product × province</t>
        </is>
      </c>
      <c r="C301" s="36" t="inlineStr">
        <is>
          <t>Home insurance</t>
        </is>
      </c>
      <c r="D301" s="36" t="inlineStr">
        <is>
          <t>home insurance saskatchewan</t>
        </is>
      </c>
      <c r="E301" s="36" t="inlineStr">
        <is>
          <t>Provincial</t>
        </is>
      </c>
      <c r="F301" s="36" t="inlineStr">
        <is>
          <t>Saskatchewan</t>
        </is>
      </c>
      <c r="G301" s="36" t="n"/>
      <c r="H301" s="37" t="n">
        <v>270</v>
      </c>
      <c r="I301" s="36" t="n">
        <v>39</v>
      </c>
      <c r="J301" s="36" t="inlineStr">
        <is>
          <t>commercial</t>
        </is>
      </c>
      <c r="K301" s="36" t="inlineStr">
        <is>
          <t>property-province</t>
        </is>
      </c>
      <c r="L301" s="36" t="n">
        <v>2</v>
      </c>
      <c r="M301" s="36" t="inlineStr">
        <is>
          <t>Primary</t>
        </is>
      </c>
      <c r="N301" s="39">
        <f>IFERROR(IF(ISNUMBER(SEARCH(D301,INDEX(Pages!$J$2:$J$829,MATCH(A301,Pages!$B$2:$B$829,0)))),"Yes","No"),"Page not found")</f>
        <v/>
      </c>
      <c r="O301" s="25" t="inlineStr">
        <is>
          <t>(none seen)</t>
        </is>
      </c>
      <c r="P301" s="25" t="n"/>
    </row>
    <row r="302" ht="23.85" customHeight="1" s="22">
      <c r="A302" s="36" t="inlineStr">
        <is>
          <t>https://instasure.ca/life-insurance/ontario/brampton/</t>
        </is>
      </c>
      <c r="B302" s="36" t="inlineStr">
        <is>
          <t>Product × city</t>
        </is>
      </c>
      <c r="C302" s="36" t="inlineStr">
        <is>
          <t>Life insurance</t>
        </is>
      </c>
      <c r="D302" s="36" t="inlineStr">
        <is>
          <t>life insurance brampton</t>
        </is>
      </c>
      <c r="E302" s="36" t="inlineStr">
        <is>
          <t>City</t>
        </is>
      </c>
      <c r="F302" s="36" t="inlineStr">
        <is>
          <t>Ontario</t>
        </is>
      </c>
      <c r="G302" s="36" t="inlineStr">
        <is>
          <t>Brampton</t>
        </is>
      </c>
      <c r="H302" s="37" t="n">
        <v>270</v>
      </c>
      <c r="I302" s="36" t="n">
        <v>47</v>
      </c>
      <c r="J302" s="36" t="inlineStr">
        <is>
          <t>local</t>
        </is>
      </c>
      <c r="K302" s="36" t="inlineStr">
        <is>
          <t>life-local</t>
        </is>
      </c>
      <c r="L302" s="36" t="n">
        <v>1</v>
      </c>
      <c r="M302" s="36" t="inlineStr">
        <is>
          <t>Primary</t>
        </is>
      </c>
      <c r="N302" s="39">
        <f>IFERROR(IF(ISNUMBER(SEARCH(D302,INDEX(Pages!$J$2:$J$829,MATCH(A302,Pages!$B$2:$B$829,0)))),"Yes","No"),"Page not found")</f>
        <v/>
      </c>
      <c r="O302" s="25" t="inlineStr">
        <is>
          <t>policyadvisor (stale 2025 titles)</t>
        </is>
      </c>
      <c r="P302" s="25" t="inlineStr">
        <is>
          <t>Competitor city pages here are thin or carry stale dates (October 2026 review): freshness opening.</t>
        </is>
      </c>
    </row>
    <row r="303" ht="15" customHeight="1" s="22">
      <c r="A303" s="36" t="inlineStr">
        <is>
          <t>https://instasure.ca/super-visa-insurance/british-columbia/surrey/</t>
        </is>
      </c>
      <c r="B303" s="36" t="inlineStr">
        <is>
          <t>Product × city</t>
        </is>
      </c>
      <c r="C303" s="36" t="inlineStr">
        <is>
          <t>Super Visa &amp; visitors insurance</t>
        </is>
      </c>
      <c r="D303" s="36" t="inlineStr">
        <is>
          <t>super visa insurance surrey</t>
        </is>
      </c>
      <c r="E303" s="36" t="inlineStr">
        <is>
          <t>City</t>
        </is>
      </c>
      <c r="F303" s="36" t="inlineStr">
        <is>
          <t>British Columbia</t>
        </is>
      </c>
      <c r="G303" s="36" t="inlineStr">
        <is>
          <t>Surrey</t>
        </is>
      </c>
      <c r="H303" s="37" t="n">
        <v>270</v>
      </c>
      <c r="I303" s="36" t="n">
        <v>28</v>
      </c>
      <c r="J303" s="36" t="inlineStr">
        <is>
          <t>local</t>
        </is>
      </c>
      <c r="K303" s="36" t="inlineStr">
        <is>
          <t>travel-visitors</t>
        </is>
      </c>
      <c r="L303" s="36" t="n">
        <v>2</v>
      </c>
      <c r="M303" s="36" t="inlineStr">
        <is>
          <t>Primary</t>
        </is>
      </c>
      <c r="N303" s="39">
        <f>IFERROR(IF(ISNUMBER(SEARCH(D303,INDEX(Pages!$J$2:$J$829,MATCH(A303,Pages!$B$2:$B$829,0)))),"Yes","No"),"Page not found")</f>
        <v/>
      </c>
      <c r="O303" s="25" t="inlineStr">
        <is>
          <t>(none seen)</t>
        </is>
      </c>
      <c r="P303" s="25" t="n"/>
    </row>
    <row r="304" ht="15" customHeight="1" s="22">
      <c r="A304" s="36" t="inlineStr">
        <is>
          <t>https://instasure.ca/tenant-insurance/quebec/montreal/</t>
        </is>
      </c>
      <c r="B304" s="36" t="inlineStr">
        <is>
          <t>Product × city</t>
        </is>
      </c>
      <c r="C304" s="36" t="inlineStr">
        <is>
          <t>Tenant insurance</t>
        </is>
      </c>
      <c r="D304" s="36" t="inlineStr">
        <is>
          <t>tenant insurance montreal</t>
        </is>
      </c>
      <c r="E304" s="36" t="inlineStr">
        <is>
          <t>City</t>
        </is>
      </c>
      <c r="F304" s="36" t="inlineStr">
        <is>
          <t>Quebec</t>
        </is>
      </c>
      <c r="G304" s="36" t="inlineStr">
        <is>
          <t>Montreal</t>
        </is>
      </c>
      <c r="H304" s="37" t="n">
        <v>270</v>
      </c>
      <c r="I304" s="36" t="n">
        <v>44</v>
      </c>
      <c r="J304" s="36" t="inlineStr">
        <is>
          <t>local</t>
        </is>
      </c>
      <c r="K304" s="36" t="inlineStr">
        <is>
          <t>property-local</t>
        </is>
      </c>
      <c r="L304" s="36" t="n">
        <v>5</v>
      </c>
      <c r="M304" s="36" t="inlineStr">
        <is>
          <t>Primary</t>
        </is>
      </c>
      <c r="N304" s="39">
        <f>IFERROR(IF(ISNUMBER(SEARCH(D304,INDEX(Pages!$J$2:$J$829,MATCH(A304,Pages!$B$2:$B$829,0)))),"Yes","No"),"Page not found")</f>
        <v/>
      </c>
      <c r="O304" s="25" t="inlineStr">
        <is>
          <t>sonnet</t>
        </is>
      </c>
      <c r="P304" s="25" t="inlineStr">
        <is>
          <t>Quebec waitlist until AMF registration.</t>
        </is>
      </c>
    </row>
    <row r="305" ht="15" customHeight="1" s="22">
      <c r="A305" s="36" t="inlineStr">
        <is>
          <t>https://instasure.ca/business-insurance/alberta/edmonton/</t>
        </is>
      </c>
      <c r="B305" s="36" t="inlineStr">
        <is>
          <t>Product × city</t>
        </is>
      </c>
      <c r="C305" s="36" t="inlineStr">
        <is>
          <t>Business insurance</t>
        </is>
      </c>
      <c r="D305" s="36" t="inlineStr">
        <is>
          <t>business insurance edmonton</t>
        </is>
      </c>
      <c r="E305" s="36" t="inlineStr">
        <is>
          <t>City</t>
        </is>
      </c>
      <c r="F305" s="36" t="inlineStr">
        <is>
          <t>Alberta</t>
        </is>
      </c>
      <c r="G305" s="36" t="inlineStr">
        <is>
          <t>Edmonton</t>
        </is>
      </c>
      <c r="H305" s="37" t="n">
        <v>260</v>
      </c>
      <c r="I305" s="36" t="n">
        <v>41</v>
      </c>
      <c r="J305" s="36" t="inlineStr">
        <is>
          <t>local</t>
        </is>
      </c>
      <c r="K305" s="36" t="inlineStr">
        <is>
          <t>business-local</t>
        </is>
      </c>
      <c r="L305" s="36" t="n">
        <v>1</v>
      </c>
      <c r="M305" s="36" t="inlineStr">
        <is>
          <t>Primary</t>
        </is>
      </c>
      <c r="N305" s="39">
        <f>IFERROR(IF(ISNUMBER(SEARCH(D305,INDEX(Pages!$J$2:$J$829,MATCH(A305,Pages!$B$2:$B$829,0)))),"Yes","No"),"Page not found")</f>
        <v/>
      </c>
      <c r="O305" s="25" t="inlineStr">
        <is>
          <t>(none seen)</t>
        </is>
      </c>
      <c r="P305" s="25" t="n"/>
    </row>
    <row r="306" ht="15" customHeight="1" s="22">
      <c r="A306" s="36" t="inlineStr">
        <is>
          <t>https://instasure.ca/business-insurance/ontario/ottawa/</t>
        </is>
      </c>
      <c r="B306" s="36" t="inlineStr">
        <is>
          <t>Product × city</t>
        </is>
      </c>
      <c r="C306" s="36" t="inlineStr">
        <is>
          <t>Business insurance</t>
        </is>
      </c>
      <c r="D306" s="36" t="inlineStr">
        <is>
          <t>business insurance ottawa</t>
        </is>
      </c>
      <c r="E306" s="36" t="inlineStr">
        <is>
          <t>City</t>
        </is>
      </c>
      <c r="F306" s="36" t="inlineStr">
        <is>
          <t>Ontario</t>
        </is>
      </c>
      <c r="G306" s="36" t="inlineStr">
        <is>
          <t>Ottawa</t>
        </is>
      </c>
      <c r="H306" s="37" t="n">
        <v>260</v>
      </c>
      <c r="I306" s="36" t="n">
        <v>41</v>
      </c>
      <c r="J306" s="36" t="inlineStr">
        <is>
          <t>local</t>
        </is>
      </c>
      <c r="K306" s="36" t="inlineStr">
        <is>
          <t>business-local</t>
        </is>
      </c>
      <c r="L306" s="36" t="n">
        <v>1</v>
      </c>
      <c r="M306" s="36" t="inlineStr">
        <is>
          <t>Primary</t>
        </is>
      </c>
      <c r="N306" s="39">
        <f>IFERROR(IF(ISNUMBER(SEARCH(D306,INDEX(Pages!$J$2:$J$829,MATCH(A306,Pages!$B$2:$B$829,0)))),"Yes","No"),"Page not found")</f>
        <v/>
      </c>
      <c r="O306" s="25" t="inlineStr">
        <is>
          <t>(none seen)</t>
        </is>
      </c>
      <c r="P306" s="25" t="n"/>
    </row>
    <row r="307" ht="15" customHeight="1" s="22">
      <c r="A307" s="36" t="inlineStr">
        <is>
          <t>https://instasure.ca/calculators/mortgage-protection/</t>
        </is>
      </c>
      <c r="B307" s="36" t="inlineStr">
        <is>
          <t>Static / tool</t>
        </is>
      </c>
      <c r="C307" s="36" t="inlineStr">
        <is>
          <t>Mortgage protection</t>
        </is>
      </c>
      <c r="D307" s="36" t="inlineStr">
        <is>
          <t>mortgage life insurance calculator</t>
        </is>
      </c>
      <c r="E307" s="36" t="inlineStr">
        <is>
          <t>Nationwide</t>
        </is>
      </c>
      <c r="F307" s="36" t="n"/>
      <c r="G307" s="36" t="n"/>
      <c r="H307" s="37" t="n">
        <v>260</v>
      </c>
      <c r="I307" s="36" t="n">
        <v>25</v>
      </c>
      <c r="J307" s="36" t="inlineStr">
        <is>
          <t>transactional</t>
        </is>
      </c>
      <c r="K307" s="36" t="inlineStr">
        <is>
          <t>life-tools</t>
        </is>
      </c>
      <c r="L307" s="36" t="n">
        <v>2</v>
      </c>
      <c r="M307" s="36" t="inlineStr">
        <is>
          <t>Primary</t>
        </is>
      </c>
      <c r="N307" s="39">
        <f>IFERROR(IF(ISNUMBER(SEARCH(D307,INDEX(Pages!$J$2:$J$829,MATCH(A307,Pages!$B$2:$B$829,0)))),"Yes","No"),"Page not found")</f>
        <v/>
      </c>
      <c r="O307" s="25" t="inlineStr">
        <is>
          <t>(none seen)</t>
        </is>
      </c>
      <c r="P307" s="25" t="inlineStr">
        <is>
          <t>No competitor tool seen.</t>
        </is>
      </c>
    </row>
    <row r="308" ht="15" customHeight="1" s="22">
      <c r="A308" s="36" t="inlineStr">
        <is>
          <t>https://instasure.ca/calculators/tenant-condo-coverage/</t>
        </is>
      </c>
      <c r="B308" s="36" t="inlineStr">
        <is>
          <t>Static / tool</t>
        </is>
      </c>
      <c r="C308" s="36" t="inlineStr">
        <is>
          <t>Tenant insurance</t>
        </is>
      </c>
      <c r="D308" s="36" t="inlineStr">
        <is>
          <t>how much contents insurance do i need</t>
        </is>
      </c>
      <c r="E308" s="36" t="inlineStr">
        <is>
          <t>Nationwide</t>
        </is>
      </c>
      <c r="F308" s="36" t="n"/>
      <c r="G308" s="36" t="n"/>
      <c r="H308" s="37" t="n">
        <v>260</v>
      </c>
      <c r="I308" s="36" t="n">
        <v>20</v>
      </c>
      <c r="J308" s="36" t="inlineStr">
        <is>
          <t>transactional</t>
        </is>
      </c>
      <c r="K308" s="36" t="inlineStr">
        <is>
          <t>property-tools</t>
        </is>
      </c>
      <c r="L308" s="36" t="n">
        <v>2</v>
      </c>
      <c r="M308" s="36" t="inlineStr">
        <is>
          <t>Primary</t>
        </is>
      </c>
      <c r="N308" s="39">
        <f>IFERROR(IF(ISNUMBER(SEARCH(D308,INDEX(Pages!$J$2:$J$829,MATCH(A308,Pages!$B$2:$B$829,0)))),"Yes","No"),"Page not found")</f>
        <v/>
      </c>
      <c r="O308" s="25" t="inlineStr">
        <is>
          <t>(none seen)</t>
        </is>
      </c>
      <c r="P308" s="25" t="n"/>
    </row>
    <row r="309" ht="23.85" customHeight="1" s="22">
      <c r="A309" s="36" t="inlineStr">
        <is>
          <t>https://instasure.ca/car-insurance/alberta/airdrie/</t>
        </is>
      </c>
      <c r="B309" s="36" t="inlineStr">
        <is>
          <t>Product × city</t>
        </is>
      </c>
      <c r="C309" s="36" t="inlineStr">
        <is>
          <t>Car insurance</t>
        </is>
      </c>
      <c r="D309" s="36" t="inlineStr">
        <is>
          <t>car insurance airdrie</t>
        </is>
      </c>
      <c r="E309" s="36" t="inlineStr">
        <is>
          <t>City</t>
        </is>
      </c>
      <c r="F309" s="36" t="inlineStr">
        <is>
          <t>Alberta</t>
        </is>
      </c>
      <c r="G309" s="36" t="inlineStr">
        <is>
          <t>Airdrie</t>
        </is>
      </c>
      <c r="H309" s="37" t="n">
        <v>260</v>
      </c>
      <c r="I309" s="36" t="n">
        <v>44</v>
      </c>
      <c r="J309" s="36" t="inlineStr">
        <is>
          <t>local</t>
        </is>
      </c>
      <c r="K309" s="36" t="inlineStr">
        <is>
          <t>auto-local</t>
        </is>
      </c>
      <c r="L309" s="36" t="n">
        <v>4</v>
      </c>
      <c r="M309" s="36" t="inlineStr">
        <is>
          <t>Primary</t>
        </is>
      </c>
      <c r="N309" s="39">
        <f>IFERROR(IF(ISNUMBER(SEARCH(D309,INDEX(Pages!$J$2:$J$829,MATCH(A309,Pages!$B$2:$B$829,0)))),"Yes","No"),"Page not found")</f>
        <v/>
      </c>
      <c r="O309" s="25" t="inlineStr">
        <is>
          <t>(none seen)</t>
        </is>
      </c>
      <c r="P309" s="25" t="inlineStr">
        <is>
          <t>Page exists but is noindex until an editor adds a 300+ character local intro (Admin → SEO → Page overrides).</t>
        </is>
      </c>
    </row>
    <row r="310" ht="15" customHeight="1" s="22">
      <c r="A310" s="36" t="inlineStr">
        <is>
          <t>https://instasure.ca/condo-insurance/alberta/edmonton/</t>
        </is>
      </c>
      <c r="B310" s="36" t="inlineStr">
        <is>
          <t>Product × city</t>
        </is>
      </c>
      <c r="C310" s="36" t="inlineStr">
        <is>
          <t>Condo insurance</t>
        </is>
      </c>
      <c r="D310" s="36" t="inlineStr">
        <is>
          <t>condo insurance edmonton</t>
        </is>
      </c>
      <c r="E310" s="36" t="inlineStr">
        <is>
          <t>City</t>
        </is>
      </c>
      <c r="F310" s="36" t="inlineStr">
        <is>
          <t>Alberta</t>
        </is>
      </c>
      <c r="G310" s="36" t="inlineStr">
        <is>
          <t>Edmonton</t>
        </is>
      </c>
      <c r="H310" s="37" t="n">
        <v>260</v>
      </c>
      <c r="I310" s="36" t="n">
        <v>52</v>
      </c>
      <c r="J310" s="36" t="inlineStr">
        <is>
          <t>local</t>
        </is>
      </c>
      <c r="K310" s="36" t="inlineStr">
        <is>
          <t>property-local</t>
        </is>
      </c>
      <c r="L310" s="36" t="n">
        <v>3</v>
      </c>
      <c r="M310" s="36" t="inlineStr">
        <is>
          <t>Primary</t>
        </is>
      </c>
      <c r="N310" s="39">
        <f>IFERROR(IF(ISNUMBER(SEARCH(D310,INDEX(Pages!$J$2:$J$829,MATCH(A310,Pages!$B$2:$B$829,0)))),"Yes","No"),"Page not found")</f>
        <v/>
      </c>
      <c r="O310" s="25" t="inlineStr">
        <is>
          <t>rates.ca</t>
        </is>
      </c>
      <c r="P310" s="25" t="n"/>
    </row>
    <row r="311" ht="15" customHeight="1" s="22">
      <c r="A311" s="36" t="inlineStr">
        <is>
          <t>https://instasure.ca/condo-insurance/british-columbia/</t>
        </is>
      </c>
      <c r="B311" s="36" t="inlineStr">
        <is>
          <t>Product × province</t>
        </is>
      </c>
      <c r="C311" s="36" t="inlineStr">
        <is>
          <t>Condo insurance</t>
        </is>
      </c>
      <c r="D311" s="36" t="inlineStr">
        <is>
          <t>condo insurance bc</t>
        </is>
      </c>
      <c r="E311" s="36" t="inlineStr">
        <is>
          <t>Provincial</t>
        </is>
      </c>
      <c r="F311" s="36" t="inlineStr">
        <is>
          <t>British Columbia</t>
        </is>
      </c>
      <c r="G311" s="36" t="n"/>
      <c r="H311" s="37" t="n">
        <v>260</v>
      </c>
      <c r="I311" s="36" t="n">
        <v>43</v>
      </c>
      <c r="J311" s="36" t="inlineStr">
        <is>
          <t>commercial</t>
        </is>
      </c>
      <c r="K311" s="36" t="inlineStr">
        <is>
          <t>property-province</t>
        </is>
      </c>
      <c r="L311" s="36" t="n">
        <v>3</v>
      </c>
      <c r="M311" s="36" t="inlineStr">
        <is>
          <t>Primary</t>
        </is>
      </c>
      <c r="N311" s="39">
        <f>IFERROR(IF(ISNUMBER(SEARCH(D311,INDEX(Pages!$J$2:$J$829,MATCH(A311,Pages!$B$2:$B$829,0)))),"Yes","No"),"Page not found")</f>
        <v/>
      </c>
      <c r="O311" s="25" t="inlineStr">
        <is>
          <t>sonnet</t>
        </is>
      </c>
      <c r="P311" s="25" t="n"/>
    </row>
    <row r="312" ht="15" customHeight="1" s="22">
      <c r="A312" s="36" t="inlineStr">
        <is>
          <t>https://instasure.ca/condo-insurance/ontario/ottawa/</t>
        </is>
      </c>
      <c r="B312" s="36" t="inlineStr">
        <is>
          <t>Product × city</t>
        </is>
      </c>
      <c r="C312" s="36" t="inlineStr">
        <is>
          <t>Condo insurance</t>
        </is>
      </c>
      <c r="D312" s="36" t="inlineStr">
        <is>
          <t>condo insurance ottawa</t>
        </is>
      </c>
      <c r="E312" s="36" t="inlineStr">
        <is>
          <t>City</t>
        </is>
      </c>
      <c r="F312" s="36" t="inlineStr">
        <is>
          <t>Ontario</t>
        </is>
      </c>
      <c r="G312" s="36" t="inlineStr">
        <is>
          <t>Ottawa</t>
        </is>
      </c>
      <c r="H312" s="37" t="n">
        <v>260</v>
      </c>
      <c r="I312" s="36" t="n">
        <v>52</v>
      </c>
      <c r="J312" s="36" t="inlineStr">
        <is>
          <t>local</t>
        </is>
      </c>
      <c r="K312" s="36" t="inlineStr">
        <is>
          <t>property-local</t>
        </is>
      </c>
      <c r="L312" s="36" t="n">
        <v>3</v>
      </c>
      <c r="M312" s="36" t="inlineStr">
        <is>
          <t>Primary</t>
        </is>
      </c>
      <c r="N312" s="39">
        <f>IFERROR(IF(ISNUMBER(SEARCH(D312,INDEX(Pages!$J$2:$J$829,MATCH(A312,Pages!$B$2:$B$829,0)))),"Yes","No"),"Page not found")</f>
        <v/>
      </c>
      <c r="O312" s="25" t="inlineStr">
        <is>
          <t>rates.ca</t>
        </is>
      </c>
      <c r="P312" s="25" t="n"/>
    </row>
    <row r="313" ht="15" customHeight="1" s="22">
      <c r="A313" s="36" t="inlineStr">
        <is>
          <t>https://instasure.ca/contractor-insurance/electrician/</t>
        </is>
      </c>
      <c r="B313" s="36" t="inlineStr">
        <is>
          <t>Service page</t>
        </is>
      </c>
      <c r="C313" s="36" t="inlineStr">
        <is>
          <t>Contractor &amp; trades insurance</t>
        </is>
      </c>
      <c r="D313" s="36" t="inlineStr">
        <is>
          <t>electrician insurance</t>
        </is>
      </c>
      <c r="E313" s="36" t="inlineStr">
        <is>
          <t>Nationwide</t>
        </is>
      </c>
      <c r="F313" s="36" t="n"/>
      <c r="G313" s="36" t="n"/>
      <c r="H313" s="37" t="n">
        <v>260</v>
      </c>
      <c r="I313" s="36" t="n">
        <v>25</v>
      </c>
      <c r="J313" s="36" t="inlineStr">
        <is>
          <t>commercial</t>
        </is>
      </c>
      <c r="K313" s="36" t="inlineStr">
        <is>
          <t>business-trades</t>
        </is>
      </c>
      <c r="L313" s="36" t="n">
        <v>3</v>
      </c>
      <c r="M313" s="36" t="inlineStr">
        <is>
          <t>Primary</t>
        </is>
      </c>
      <c r="N313" s="39">
        <f>IFERROR(IF(ISNUMBER(SEARCH(D313,INDEX(Pages!$J$2:$J$829,MATCH(A313,Pages!$B$2:$B$829,0)))),"Yes","No"),"Page not found")</f>
        <v/>
      </c>
      <c r="O313" s="25" t="inlineStr">
        <is>
          <t>(not seen)</t>
        </is>
      </c>
      <c r="P313" s="25" t="inlineStr">
        <is>
          <t>Built (trade page).</t>
        </is>
      </c>
    </row>
    <row r="314" ht="15" customHeight="1" s="22">
      <c r="A314" s="36" t="inlineStr">
        <is>
          <t>https://instasure.ca/contractor-insurance/plumber/</t>
        </is>
      </c>
      <c r="B314" s="36" t="inlineStr">
        <is>
          <t>Service page</t>
        </is>
      </c>
      <c r="C314" s="36" t="inlineStr">
        <is>
          <t>Contractor &amp; trades insurance</t>
        </is>
      </c>
      <c r="D314" s="36" t="inlineStr">
        <is>
          <t>plumber insurance</t>
        </is>
      </c>
      <c r="E314" s="36" t="inlineStr">
        <is>
          <t>Nationwide</t>
        </is>
      </c>
      <c r="F314" s="36" t="n"/>
      <c r="G314" s="36" t="n"/>
      <c r="H314" s="37" t="n">
        <v>260</v>
      </c>
      <c r="I314" s="36" t="n">
        <v>25</v>
      </c>
      <c r="J314" s="36" t="inlineStr">
        <is>
          <t>commercial</t>
        </is>
      </c>
      <c r="K314" s="36" t="inlineStr">
        <is>
          <t>business-trades</t>
        </is>
      </c>
      <c r="L314" s="36" t="n">
        <v>3</v>
      </c>
      <c r="M314" s="36" t="inlineStr">
        <is>
          <t>Primary</t>
        </is>
      </c>
      <c r="N314" s="39">
        <f>IFERROR(IF(ISNUMBER(SEARCH(D314,INDEX(Pages!$J$2:$J$829,MATCH(A314,Pages!$B$2:$B$829,0)))),"Yes","No"),"Page not found")</f>
        <v/>
      </c>
      <c r="O314" s="25" t="inlineStr">
        <is>
          <t>rates.ca</t>
        </is>
      </c>
      <c r="P314" s="25" t="inlineStr">
        <is>
          <t>Built (trade page). More trades follow the same template.</t>
        </is>
      </c>
    </row>
    <row r="315" ht="15" customHeight="1" s="22">
      <c r="A315" s="36" t="inlineStr">
        <is>
          <t>https://instasure.ca/contractor-insurance/roofing/</t>
        </is>
      </c>
      <c r="B315" s="36" t="inlineStr">
        <is>
          <t>Service page</t>
        </is>
      </c>
      <c r="C315" s="36" t="inlineStr">
        <is>
          <t>Contractor &amp; trades insurance</t>
        </is>
      </c>
      <c r="D315" s="36" t="inlineStr">
        <is>
          <t>roofing insurance</t>
        </is>
      </c>
      <c r="E315" s="36" t="inlineStr">
        <is>
          <t>Nationwide</t>
        </is>
      </c>
      <c r="F315" s="36" t="n"/>
      <c r="G315" s="36" t="n"/>
      <c r="H315" s="37" t="n">
        <v>260</v>
      </c>
      <c r="I315" s="36" t="n">
        <v>25</v>
      </c>
      <c r="J315" s="36" t="inlineStr">
        <is>
          <t>commercial</t>
        </is>
      </c>
      <c r="K315" s="36" t="inlineStr">
        <is>
          <t>business-trades</t>
        </is>
      </c>
      <c r="L315" s="36" t="n">
        <v>3</v>
      </c>
      <c r="M315" s="36" t="inlineStr">
        <is>
          <t>Primary</t>
        </is>
      </c>
      <c r="N315" s="39">
        <f>IFERROR(IF(ISNUMBER(SEARCH(D315,INDEX(Pages!$J$2:$J$829,MATCH(A315,Pages!$B$2:$B$829,0)))),"Yes","No"),"Page not found")</f>
        <v/>
      </c>
      <c r="O315" s="25" t="inlineStr">
        <is>
          <t>(not seen)</t>
        </is>
      </c>
      <c r="P315" s="25" t="inlineStr">
        <is>
          <t>Built (trade page).</t>
        </is>
      </c>
    </row>
    <row r="316" ht="15" customHeight="1" s="22">
      <c r="A316" s="36" t="inlineStr">
        <is>
          <t>https://instasure.ca/home-insurance/ontario/windsor/</t>
        </is>
      </c>
      <c r="B316" s="36" t="inlineStr">
        <is>
          <t>Product × city</t>
        </is>
      </c>
      <c r="C316" s="36" t="inlineStr">
        <is>
          <t>Home insurance</t>
        </is>
      </c>
      <c r="D316" s="36" t="inlineStr">
        <is>
          <t>home insurance windsor</t>
        </is>
      </c>
      <c r="E316" s="36" t="inlineStr">
        <is>
          <t>City</t>
        </is>
      </c>
      <c r="F316" s="36" t="inlineStr">
        <is>
          <t>Ontario</t>
        </is>
      </c>
      <c r="G316" s="36" t="inlineStr">
        <is>
          <t>Windsor</t>
        </is>
      </c>
      <c r="H316" s="37" t="n">
        <v>260</v>
      </c>
      <c r="I316" s="36" t="n">
        <v>64</v>
      </c>
      <c r="J316" s="36" t="inlineStr">
        <is>
          <t>local</t>
        </is>
      </c>
      <c r="K316" s="36" t="inlineStr">
        <is>
          <t>property-local</t>
        </is>
      </c>
      <c r="L316" s="36" t="n">
        <v>3</v>
      </c>
      <c r="M316" s="36" t="inlineStr">
        <is>
          <t>Primary</t>
        </is>
      </c>
      <c r="N316" s="39">
        <f>IFERROR(IF(ISNUMBER(SEARCH(D316,INDEX(Pages!$J$2:$J$829,MATCH(A316,Pages!$B$2:$B$829,0)))),"Yes","No"),"Page not found")</f>
        <v/>
      </c>
      <c r="O316" s="25" t="inlineStr">
        <is>
          <t>ratehub, rates.ca</t>
        </is>
      </c>
      <c r="P316" s="25" t="n"/>
    </row>
    <row r="317" ht="15" customHeight="1" s="22">
      <c r="A317" s="36" t="inlineStr">
        <is>
          <t>https://instasure.ca/car-insurance/new-brunswick/saint-john/</t>
        </is>
      </c>
      <c r="B317" s="36" t="inlineStr">
        <is>
          <t>Product × city</t>
        </is>
      </c>
      <c r="C317" s="36" t="inlineStr">
        <is>
          <t>Car insurance</t>
        </is>
      </c>
      <c r="D317" s="36" t="inlineStr">
        <is>
          <t>car insurance saint john</t>
        </is>
      </c>
      <c r="E317" s="36" t="inlineStr">
        <is>
          <t>City</t>
        </is>
      </c>
      <c r="F317" s="36" t="inlineStr">
        <is>
          <t>New Brunswick</t>
        </is>
      </c>
      <c r="G317" s="36" t="inlineStr">
        <is>
          <t>Saint John</t>
        </is>
      </c>
      <c r="H317" s="37" t="n">
        <v>250</v>
      </c>
      <c r="I317" s="36" t="n">
        <v>56</v>
      </c>
      <c r="J317" s="36" t="inlineStr">
        <is>
          <t>local</t>
        </is>
      </c>
      <c r="K317" s="36" t="inlineStr">
        <is>
          <t>auto-local</t>
        </is>
      </c>
      <c r="L317" s="36" t="n">
        <v>3</v>
      </c>
      <c r="M317" s="36" t="inlineStr">
        <is>
          <t>Primary</t>
        </is>
      </c>
      <c r="N317" s="39">
        <f>IFERROR(IF(ISNUMBER(SEARCH(D317,INDEX(Pages!$J$2:$J$829,MATCH(A317,Pages!$B$2:$B$829,0)))),"Yes","No"),"Page not found")</f>
        <v/>
      </c>
      <c r="O317" s="25" t="inlineStr">
        <is>
          <t>ratehub</t>
        </is>
      </c>
      <c r="P317" s="25" t="n"/>
    </row>
    <row r="318" ht="15" customHeight="1" s="22">
      <c r="A318" s="36" t="inlineStr">
        <is>
          <t>https://instasure.ca/home-insurance/saskatchewan/regina/</t>
        </is>
      </c>
      <c r="B318" s="36" t="inlineStr">
        <is>
          <t>Product × city</t>
        </is>
      </c>
      <c r="C318" s="36" t="inlineStr">
        <is>
          <t>Home insurance</t>
        </is>
      </c>
      <c r="D318" s="36" t="inlineStr">
        <is>
          <t>home insurance regina</t>
        </is>
      </c>
      <c r="E318" s="36" t="inlineStr">
        <is>
          <t>City</t>
        </is>
      </c>
      <c r="F318" s="36" t="inlineStr">
        <is>
          <t>Saskatchewan</t>
        </is>
      </c>
      <c r="G318" s="36" t="inlineStr">
        <is>
          <t>Regina</t>
        </is>
      </c>
      <c r="H318" s="37" t="n">
        <v>250</v>
      </c>
      <c r="I318" s="36" t="n">
        <v>52</v>
      </c>
      <c r="J318" s="36" t="inlineStr">
        <is>
          <t>local</t>
        </is>
      </c>
      <c r="K318" s="36" t="inlineStr">
        <is>
          <t>property-local</t>
        </is>
      </c>
      <c r="L318" s="36" t="n">
        <v>3</v>
      </c>
      <c r="M318" s="36" t="inlineStr">
        <is>
          <t>Primary</t>
        </is>
      </c>
      <c r="N318" s="39">
        <f>IFERROR(IF(ISNUMBER(SEARCH(D318,INDEX(Pages!$J$2:$J$829,MATCH(A318,Pages!$B$2:$B$829,0)))),"Yes","No"),"Page not found")</f>
        <v/>
      </c>
      <c r="O318" s="25" t="inlineStr">
        <is>
          <t>ratehub</t>
        </is>
      </c>
      <c r="P318" s="25" t="n"/>
    </row>
    <row r="319" ht="23.85" customHeight="1" s="22">
      <c r="A319" s="36" t="inlineStr">
        <is>
          <t>https://instasure.ca/life-insurance/ontario/hamilton/</t>
        </is>
      </c>
      <c r="B319" s="36" t="inlineStr">
        <is>
          <t>Product × city</t>
        </is>
      </c>
      <c r="C319" s="36" t="inlineStr">
        <is>
          <t>Life insurance</t>
        </is>
      </c>
      <c r="D319" s="36" t="inlineStr">
        <is>
          <t>life insurance hamilton</t>
        </is>
      </c>
      <c r="E319" s="36" t="inlineStr">
        <is>
          <t>City</t>
        </is>
      </c>
      <c r="F319" s="36" t="inlineStr">
        <is>
          <t>Ontario</t>
        </is>
      </c>
      <c r="G319" s="36" t="inlineStr">
        <is>
          <t>Hamilton</t>
        </is>
      </c>
      <c r="H319" s="37" t="n">
        <v>250</v>
      </c>
      <c r="I319" s="36" t="n">
        <v>47</v>
      </c>
      <c r="J319" s="36" t="inlineStr">
        <is>
          <t>local</t>
        </is>
      </c>
      <c r="K319" s="36" t="inlineStr">
        <is>
          <t>life-local</t>
        </is>
      </c>
      <c r="L319" s="36" t="n">
        <v>1</v>
      </c>
      <c r="M319" s="36" t="inlineStr">
        <is>
          <t>Primary</t>
        </is>
      </c>
      <c r="N319" s="39">
        <f>IFERROR(IF(ISNUMBER(SEARCH(D319,INDEX(Pages!$J$2:$J$829,MATCH(A319,Pages!$B$2:$B$829,0)))),"Yes","No"),"Page not found")</f>
        <v/>
      </c>
      <c r="O319" s="25" t="inlineStr">
        <is>
          <t>policyadvisor (stale 2025 titles)</t>
        </is>
      </c>
      <c r="P319" s="25" t="inlineStr">
        <is>
          <t>Competitor city pages here are thin or carry stale dates (October 2026 review): freshness opening.</t>
        </is>
      </c>
    </row>
    <row r="320" ht="23.85" customHeight="1" s="22">
      <c r="A320" s="36" t="inlineStr">
        <is>
          <t>https://instasure.ca/car-insurance/ontario/thunder-bay/</t>
        </is>
      </c>
      <c r="B320" s="36" t="inlineStr">
        <is>
          <t>Product × city</t>
        </is>
      </c>
      <c r="C320" s="36" t="inlineStr">
        <is>
          <t>Car insurance</t>
        </is>
      </c>
      <c r="D320" s="36" t="inlineStr">
        <is>
          <t>car insurance thunder bay</t>
        </is>
      </c>
      <c r="E320" s="36" t="inlineStr">
        <is>
          <t>City</t>
        </is>
      </c>
      <c r="F320" s="36" t="inlineStr">
        <is>
          <t>Ontario</t>
        </is>
      </c>
      <c r="G320" s="36" t="inlineStr">
        <is>
          <t>Thunder Bay</t>
        </is>
      </c>
      <c r="H320" s="37" t="n">
        <v>240</v>
      </c>
      <c r="I320" s="36" t="n">
        <v>64</v>
      </c>
      <c r="J320" s="36" t="inlineStr">
        <is>
          <t>local</t>
        </is>
      </c>
      <c r="K320" s="36" t="inlineStr">
        <is>
          <t>auto-local</t>
        </is>
      </c>
      <c r="L320" s="36" t="n">
        <v>5</v>
      </c>
      <c r="M320" s="36" t="inlineStr">
        <is>
          <t>Primary</t>
        </is>
      </c>
      <c r="N320" s="39">
        <f>IFERROR(IF(ISNUMBER(SEARCH(D320,INDEX(Pages!$J$2:$J$829,MATCH(A320,Pages!$B$2:$B$829,0)))),"Yes","No"),"Page not found")</f>
        <v/>
      </c>
      <c r="O320" s="25" t="inlineStr">
        <is>
          <t>ratehub, rates.ca, sonnet</t>
        </is>
      </c>
      <c r="P320" s="25" t="inlineStr">
        <is>
          <t>Page exists but is noindex until an editor adds a 300+ character local intro (Admin → SEO → Page overrides).</t>
        </is>
      </c>
    </row>
    <row r="321" ht="15" customHeight="1" s="22">
      <c r="A321" s="36" t="inlineStr">
        <is>
          <t>https://instasure.ca/contractor-insurance/ontario/</t>
        </is>
      </c>
      <c r="B321" s="36" t="inlineStr">
        <is>
          <t>Product × province</t>
        </is>
      </c>
      <c r="C321" s="36" t="inlineStr">
        <is>
          <t>Contractor &amp; trades insurance</t>
        </is>
      </c>
      <c r="D321" s="36" t="inlineStr">
        <is>
          <t>contractor insurance ontario</t>
        </is>
      </c>
      <c r="E321" s="36" t="inlineStr">
        <is>
          <t>Provincial</t>
        </is>
      </c>
      <c r="F321" s="36" t="inlineStr">
        <is>
          <t>Ontario</t>
        </is>
      </c>
      <c r="G321" s="36" t="n"/>
      <c r="H321" s="37" t="n">
        <v>240</v>
      </c>
      <c r="I321" s="36" t="n">
        <v>37</v>
      </c>
      <c r="J321" s="36" t="inlineStr">
        <is>
          <t>commercial</t>
        </is>
      </c>
      <c r="K321" s="36" t="inlineStr">
        <is>
          <t>business-province</t>
        </is>
      </c>
      <c r="L321" s="36" t="n">
        <v>2</v>
      </c>
      <c r="M321" s="36" t="inlineStr">
        <is>
          <t>Primary</t>
        </is>
      </c>
      <c r="N321" s="39">
        <f>IFERROR(IF(ISNUMBER(SEARCH(D321,INDEX(Pages!$J$2:$J$829,MATCH(A321,Pages!$B$2:$B$829,0)))),"Yes","No"),"Page not found")</f>
        <v/>
      </c>
      <c r="O321" s="25" t="inlineStr">
        <is>
          <t>(none seen)</t>
        </is>
      </c>
      <c r="P321" s="25" t="n"/>
    </row>
    <row r="322" ht="15" customHeight="1" s="22">
      <c r="A322" s="36" t="inlineStr">
        <is>
          <t>https://instasure.ca/health-dental-insurance/quebec/</t>
        </is>
      </c>
      <c r="B322" s="36" t="inlineStr">
        <is>
          <t>Product × province</t>
        </is>
      </c>
      <c r="C322" s="36" t="inlineStr">
        <is>
          <t>Health &amp; dental insurance</t>
        </is>
      </c>
      <c r="D322" s="36" t="inlineStr">
        <is>
          <t>health insurance quebec</t>
        </is>
      </c>
      <c r="E322" s="36" t="inlineStr">
        <is>
          <t>Provincial</t>
        </is>
      </c>
      <c r="F322" s="36" t="inlineStr">
        <is>
          <t>Quebec</t>
        </is>
      </c>
      <c r="G322" s="36" t="n"/>
      <c r="H322" s="37" t="n">
        <v>240</v>
      </c>
      <c r="I322" s="36" t="n">
        <v>49</v>
      </c>
      <c r="J322" s="36" t="inlineStr">
        <is>
          <t>commercial</t>
        </is>
      </c>
      <c r="K322" s="36" t="inlineStr">
        <is>
          <t>health-province</t>
        </is>
      </c>
      <c r="L322" s="36" t="n">
        <v>4</v>
      </c>
      <c r="M322" s="36" t="inlineStr">
        <is>
          <t>Primary</t>
        </is>
      </c>
      <c r="N322" s="39">
        <f>IFERROR(IF(ISNUMBER(SEARCH(D322,INDEX(Pages!$J$2:$J$829,MATCH(A322,Pages!$B$2:$B$829,0)))),"Yes","No"),"Page not found")</f>
        <v/>
      </c>
      <c r="O322" s="25" t="inlineStr">
        <is>
          <t>(none seen)</t>
        </is>
      </c>
      <c r="P322" s="25" t="inlineStr">
        <is>
          <t>Quebec waitlist until AMF registration; English phrase only (French terms listed separately).</t>
        </is>
      </c>
    </row>
    <row r="323" ht="15" customHeight="1" s="22">
      <c r="A323" s="36" t="inlineStr">
        <is>
          <t>https://instasure.ca/home-insurance/british-columbia/richmond/</t>
        </is>
      </c>
      <c r="B323" s="36" t="inlineStr">
        <is>
          <t>Product × city</t>
        </is>
      </c>
      <c r="C323" s="36" t="inlineStr">
        <is>
          <t>Home insurance</t>
        </is>
      </c>
      <c r="D323" s="36" t="inlineStr">
        <is>
          <t>home insurance richmond bc</t>
        </is>
      </c>
      <c r="E323" s="36" t="inlineStr">
        <is>
          <t>City</t>
        </is>
      </c>
      <c r="F323" s="36" t="inlineStr">
        <is>
          <t>British Columbia</t>
        </is>
      </c>
      <c r="G323" s="36" t="inlineStr">
        <is>
          <t>Richmond</t>
        </is>
      </c>
      <c r="H323" s="37" t="n">
        <v>240</v>
      </c>
      <c r="I323" s="36" t="n">
        <v>40</v>
      </c>
      <c r="J323" s="36" t="inlineStr">
        <is>
          <t>local</t>
        </is>
      </c>
      <c r="K323" s="36" t="inlineStr">
        <is>
          <t>property-local</t>
        </is>
      </c>
      <c r="L323" s="36" t="n">
        <v>2</v>
      </c>
      <c r="M323" s="36" t="inlineStr">
        <is>
          <t>Primary</t>
        </is>
      </c>
      <c r="N323" s="39">
        <f>IFERROR(IF(ISNUMBER(SEARCH(D323,INDEX(Pages!$J$2:$J$829,MATCH(A323,Pages!$B$2:$B$829,0)))),"Yes","No"),"Page not found")</f>
        <v/>
      </c>
      <c r="O323" s="25" t="inlineStr">
        <is>
          <t>(none seen)</t>
        </is>
      </c>
      <c r="P323" s="25" t="n"/>
    </row>
    <row r="324" ht="15" customHeight="1" s="22">
      <c r="A324" s="36" t="inlineStr">
        <is>
          <t>https://instasure.ca/home-insurance/nova-scotia/</t>
        </is>
      </c>
      <c r="B324" s="36" t="inlineStr">
        <is>
          <t>Product × province</t>
        </is>
      </c>
      <c r="C324" s="36" t="inlineStr">
        <is>
          <t>Home insurance</t>
        </is>
      </c>
      <c r="D324" s="36" t="inlineStr">
        <is>
          <t>home insurance nova scotia</t>
        </is>
      </c>
      <c r="E324" s="36" t="inlineStr">
        <is>
          <t>Provincial</t>
        </is>
      </c>
      <c r="F324" s="36" t="inlineStr">
        <is>
          <t>Nova Scotia</t>
        </is>
      </c>
      <c r="G324" s="36" t="n"/>
      <c r="H324" s="37" t="n">
        <v>240</v>
      </c>
      <c r="I324" s="36" t="n">
        <v>43</v>
      </c>
      <c r="J324" s="36" t="inlineStr">
        <is>
          <t>commercial</t>
        </is>
      </c>
      <c r="K324" s="36" t="inlineStr">
        <is>
          <t>property-province</t>
        </is>
      </c>
      <c r="L324" s="36" t="n">
        <v>3</v>
      </c>
      <c r="M324" s="36" t="inlineStr">
        <is>
          <t>Primary</t>
        </is>
      </c>
      <c r="N324" s="39">
        <f>IFERROR(IF(ISNUMBER(SEARCH(D324,INDEX(Pages!$J$2:$J$829,MATCH(A324,Pages!$B$2:$B$829,0)))),"Yes","No"),"Page not found")</f>
        <v/>
      </c>
      <c r="O324" s="25" t="inlineStr">
        <is>
          <t>ratehub</t>
        </is>
      </c>
      <c r="P324" s="25" t="n"/>
    </row>
    <row r="325" ht="15" customHeight="1" s="22">
      <c r="A325" s="36" t="inlineStr">
        <is>
          <t>https://instasure.ca/home-insurance/ontario/oakville/</t>
        </is>
      </c>
      <c r="B325" s="36" t="inlineStr">
        <is>
          <t>Product × city</t>
        </is>
      </c>
      <c r="C325" s="36" t="inlineStr">
        <is>
          <t>Home insurance</t>
        </is>
      </c>
      <c r="D325" s="36" t="inlineStr">
        <is>
          <t>home insurance oakville</t>
        </is>
      </c>
      <c r="E325" s="36" t="inlineStr">
        <is>
          <t>City</t>
        </is>
      </c>
      <c r="F325" s="36" t="inlineStr">
        <is>
          <t>Ontario</t>
        </is>
      </c>
      <c r="G325" s="36" t="inlineStr">
        <is>
          <t>Oakville</t>
        </is>
      </c>
      <c r="H325" s="37" t="n">
        <v>240</v>
      </c>
      <c r="I325" s="36" t="n">
        <v>48</v>
      </c>
      <c r="J325" s="36" t="inlineStr">
        <is>
          <t>local</t>
        </is>
      </c>
      <c r="K325" s="36" t="inlineStr">
        <is>
          <t>property-local</t>
        </is>
      </c>
      <c r="L325" s="36" t="n">
        <v>3</v>
      </c>
      <c r="M325" s="36" t="inlineStr">
        <is>
          <t>Primary</t>
        </is>
      </c>
      <c r="N325" s="39">
        <f>IFERROR(IF(ISNUMBER(SEARCH(D325,INDEX(Pages!$J$2:$J$829,MATCH(A325,Pages!$B$2:$B$829,0)))),"Yes","No"),"Page not found")</f>
        <v/>
      </c>
      <c r="O325" s="25" t="inlineStr">
        <is>
          <t>(none seen)</t>
        </is>
      </c>
      <c r="P325" s="25" t="n"/>
    </row>
    <row r="326" ht="15" customHeight="1" s="22">
      <c r="A326" s="36" t="inlineStr">
        <is>
          <t>https://instasure.ca/insurance/manitoba/winnipeg/</t>
        </is>
      </c>
      <c r="B326" s="36" t="inlineStr">
        <is>
          <t>Place hub</t>
        </is>
      </c>
      <c r="C326" s="36" t="inlineStr">
        <is>
          <t>Multi-line (place hubs)</t>
        </is>
      </c>
      <c r="D326" s="36" t="inlineStr">
        <is>
          <t>insurance advisor winnipeg</t>
        </is>
      </c>
      <c r="E326" s="36" t="inlineStr">
        <is>
          <t>City</t>
        </is>
      </c>
      <c r="F326" s="36" t="inlineStr">
        <is>
          <t>Manitoba</t>
        </is>
      </c>
      <c r="G326" s="36" t="inlineStr">
        <is>
          <t>Winnipeg</t>
        </is>
      </c>
      <c r="H326" s="37" t="n">
        <v>240</v>
      </c>
      <c r="I326" s="36" t="n">
        <v>30</v>
      </c>
      <c r="J326" s="36" t="inlineStr">
        <is>
          <t>local</t>
        </is>
      </c>
      <c r="K326" s="36" t="inlineStr">
        <is>
          <t>advisors</t>
        </is>
      </c>
      <c r="L326" s="36" t="n">
        <v>2</v>
      </c>
      <c r="M326" s="36" t="inlineStr">
        <is>
          <t>Primary</t>
        </is>
      </c>
      <c r="N326" s="39">
        <f>IFERROR(IF(ISNUMBER(SEARCH(D326,INDEX(Pages!$J$2:$J$829,MATCH(A326,Pages!$B$2:$B$829,0)))),"Yes","No"),"Page not found")</f>
        <v/>
      </c>
      <c r="O326" s="25" t="inlineStr">
        <is>
          <t>local brokers, thinkinsure, rates.ca (broker pages)</t>
        </is>
      </c>
      <c r="P326" s="25" t="inlineStr">
        <is>
          <t>City hub. Add a Google Business Profile only where an advisor really works from that city.</t>
        </is>
      </c>
    </row>
    <row r="327" ht="15" customHeight="1" s="22">
      <c r="A327" s="36" t="inlineStr">
        <is>
          <t>https://instasure.ca/life-insurance/british-columbia/surrey/</t>
        </is>
      </c>
      <c r="B327" s="36" t="inlineStr">
        <is>
          <t>Product × city</t>
        </is>
      </c>
      <c r="C327" s="36" t="inlineStr">
        <is>
          <t>Life insurance</t>
        </is>
      </c>
      <c r="D327" s="36" t="inlineStr">
        <is>
          <t>life insurance surrey</t>
        </is>
      </c>
      <c r="E327" s="36" t="inlineStr">
        <is>
          <t>City</t>
        </is>
      </c>
      <c r="F327" s="36" t="inlineStr">
        <is>
          <t>British Columbia</t>
        </is>
      </c>
      <c r="G327" s="36" t="inlineStr">
        <is>
          <t>Surrey</t>
        </is>
      </c>
      <c r="H327" s="37" t="n">
        <v>240</v>
      </c>
      <c r="I327" s="36" t="n">
        <v>35</v>
      </c>
      <c r="J327" s="36" t="inlineStr">
        <is>
          <t>local</t>
        </is>
      </c>
      <c r="K327" s="36" t="inlineStr">
        <is>
          <t>life-local</t>
        </is>
      </c>
      <c r="L327" s="36" t="n">
        <v>1</v>
      </c>
      <c r="M327" s="36" t="inlineStr">
        <is>
          <t>Primary</t>
        </is>
      </c>
      <c r="N327" s="39">
        <f>IFERROR(IF(ISNUMBER(SEARCH(D327,INDEX(Pages!$J$2:$J$829,MATCH(A327,Pages!$B$2:$B$829,0)))),"Yes","No"),"Page not found")</f>
        <v/>
      </c>
      <c r="O327" s="25" t="inlineStr">
        <is>
          <t>(none seen)</t>
        </is>
      </c>
      <c r="P327" s="25" t="n"/>
    </row>
    <row r="328" ht="15" customHeight="1" s="22">
      <c r="A328" s="36" t="inlineStr">
        <is>
          <t>https://instasure.ca/tenant-insurance/ontario/markham/</t>
        </is>
      </c>
      <c r="B328" s="36" t="inlineStr">
        <is>
          <t>Product × city</t>
        </is>
      </c>
      <c r="C328" s="36" t="inlineStr">
        <is>
          <t>Tenant insurance</t>
        </is>
      </c>
      <c r="D328" s="36" t="inlineStr">
        <is>
          <t>tenant insurance markham</t>
        </is>
      </c>
      <c r="E328" s="36" t="inlineStr">
        <is>
          <t>City</t>
        </is>
      </c>
      <c r="F328" s="36" t="inlineStr">
        <is>
          <t>Ontario</t>
        </is>
      </c>
      <c r="G328" s="36" t="inlineStr">
        <is>
          <t>Markham</t>
        </is>
      </c>
      <c r="H328" s="37" t="n">
        <v>240</v>
      </c>
      <c r="I328" s="36" t="n">
        <v>48</v>
      </c>
      <c r="J328" s="36" t="inlineStr">
        <is>
          <t>local</t>
        </is>
      </c>
      <c r="K328" s="36" t="inlineStr">
        <is>
          <t>property-local</t>
        </is>
      </c>
      <c r="L328" s="36" t="n">
        <v>4</v>
      </c>
      <c r="M328" s="36" t="inlineStr">
        <is>
          <t>Primary</t>
        </is>
      </c>
      <c r="N328" s="39">
        <f>IFERROR(IF(ISNUMBER(SEARCH(D328,INDEX(Pages!$J$2:$J$829,MATCH(A328,Pages!$B$2:$B$829,0)))),"Yes","No"),"Page not found")</f>
        <v/>
      </c>
      <c r="O328" s="25" t="inlineStr">
        <is>
          <t>(none seen)</t>
        </is>
      </c>
      <c r="P328" s="25" t="n"/>
    </row>
    <row r="329" ht="15" customHeight="1" s="22">
      <c r="A329" s="36" t="inlineStr">
        <is>
          <t>https://instasure.ca/term-life-insurance/ontario/</t>
        </is>
      </c>
      <c r="B329" s="36" t="inlineStr">
        <is>
          <t>Product × province</t>
        </is>
      </c>
      <c r="C329" s="36" t="inlineStr">
        <is>
          <t>Life insurance</t>
        </is>
      </c>
      <c r="D329" s="36" t="inlineStr">
        <is>
          <t>term life insurance ontario</t>
        </is>
      </c>
      <c r="E329" s="36" t="inlineStr">
        <is>
          <t>Provincial</t>
        </is>
      </c>
      <c r="F329" s="36" t="inlineStr">
        <is>
          <t>Ontario</t>
        </is>
      </c>
      <c r="G329" s="36" t="n"/>
      <c r="H329" s="37" t="n">
        <v>240</v>
      </c>
      <c r="I329" s="36" t="n">
        <v>46</v>
      </c>
      <c r="J329" s="36" t="inlineStr">
        <is>
          <t>commercial</t>
        </is>
      </c>
      <c r="K329" s="36" t="inlineStr">
        <is>
          <t>life-province</t>
        </is>
      </c>
      <c r="L329" s="36" t="n">
        <v>2</v>
      </c>
      <c r="M329" s="36" t="inlineStr">
        <is>
          <t>Primary</t>
        </is>
      </c>
      <c r="N329" s="39">
        <f>IFERROR(IF(ISNUMBER(SEARCH(D329,INDEX(Pages!$J$2:$J$829,MATCH(A329,Pages!$B$2:$B$829,0)))),"Yes","No"),"Page not found")</f>
        <v/>
      </c>
      <c r="O329" s="25" t="inlineStr">
        <is>
          <t>policyadvisor</t>
        </is>
      </c>
      <c r="P329" s="25" t="n"/>
    </row>
    <row r="330" ht="15" customHeight="1" s="22">
      <c r="A330" s="36" t="inlineStr">
        <is>
          <t>https://instasure.ca/car-insurance/british-columbia/coquitlam/</t>
        </is>
      </c>
      <c r="B330" s="36" t="inlineStr">
        <is>
          <t>Product × city</t>
        </is>
      </c>
      <c r="C330" s="36" t="inlineStr">
        <is>
          <t>Car insurance</t>
        </is>
      </c>
      <c r="D330" s="36" t="inlineStr">
        <is>
          <t>car insurance coquitlam</t>
        </is>
      </c>
      <c r="E330" s="36" t="inlineStr">
        <is>
          <t>City</t>
        </is>
      </c>
      <c r="F330" s="36" t="inlineStr">
        <is>
          <t>British Columbia</t>
        </is>
      </c>
      <c r="G330" s="36" t="inlineStr">
        <is>
          <t>Coquitlam</t>
        </is>
      </c>
      <c r="H330" s="37" t="n">
        <v>230</v>
      </c>
      <c r="I330" s="36" t="n">
        <v>52</v>
      </c>
      <c r="J330" s="36" t="inlineStr">
        <is>
          <t>local</t>
        </is>
      </c>
      <c r="K330" s="36" t="inlineStr">
        <is>
          <t>auto-local</t>
        </is>
      </c>
      <c r="L330" s="36" t="n">
        <v>5</v>
      </c>
      <c r="M330" s="36" t="inlineStr">
        <is>
          <t>Primary</t>
        </is>
      </c>
      <c r="N330" s="39">
        <f>IFERROR(IF(ISNUMBER(SEARCH(D330,INDEX(Pages!$J$2:$J$829,MATCH(A330,Pages!$B$2:$B$829,0)))),"Yes","No"),"Page not found")</f>
        <v/>
      </c>
      <c r="O330" s="25" t="inlineStr">
        <is>
          <t>(none seen)</t>
        </is>
      </c>
      <c r="P330" s="25" t="inlineStr">
        <is>
          <t>ICBC sells basic auto; target optional coverage. Low lead value.</t>
        </is>
      </c>
    </row>
    <row r="331" ht="15" customHeight="1" s="22">
      <c r="A331" s="36" t="inlineStr">
        <is>
          <t>https://instasure.ca/home-insurance/ontario/richmond-hill/</t>
        </is>
      </c>
      <c r="B331" s="36" t="inlineStr">
        <is>
          <t>Product × city</t>
        </is>
      </c>
      <c r="C331" s="36" t="inlineStr">
        <is>
          <t>Home insurance</t>
        </is>
      </c>
      <c r="D331" s="36" t="inlineStr">
        <is>
          <t>home insurance richmond hill</t>
        </is>
      </c>
      <c r="E331" s="36" t="inlineStr">
        <is>
          <t>City</t>
        </is>
      </c>
      <c r="F331" s="36" t="inlineStr">
        <is>
          <t>Ontario</t>
        </is>
      </c>
      <c r="G331" s="36" t="inlineStr">
        <is>
          <t>Richmond Hill</t>
        </is>
      </c>
      <c r="H331" s="37" t="n">
        <v>230</v>
      </c>
      <c r="I331" s="36" t="n">
        <v>48</v>
      </c>
      <c r="J331" s="36" t="inlineStr">
        <is>
          <t>local</t>
        </is>
      </c>
      <c r="K331" s="36" t="inlineStr">
        <is>
          <t>property-local</t>
        </is>
      </c>
      <c r="L331" s="36" t="n">
        <v>3</v>
      </c>
      <c r="M331" s="36" t="inlineStr">
        <is>
          <t>Primary</t>
        </is>
      </c>
      <c r="N331" s="39">
        <f>IFERROR(IF(ISNUMBER(SEARCH(D331,INDEX(Pages!$J$2:$J$829,MATCH(A331,Pages!$B$2:$B$829,0)))),"Yes","No"),"Page not found")</f>
        <v/>
      </c>
      <c r="O331" s="25" t="inlineStr">
        <is>
          <t>(none seen)</t>
        </is>
      </c>
      <c r="P331" s="25" t="n"/>
    </row>
    <row r="332" ht="15" customHeight="1" s="22">
      <c r="A332" s="36" t="inlineStr">
        <is>
          <t>https://instasure.ca/insurance/ontario/mississauga/</t>
        </is>
      </c>
      <c r="B332" s="36" t="inlineStr">
        <is>
          <t>Place hub</t>
        </is>
      </c>
      <c r="C332" s="36" t="inlineStr">
        <is>
          <t>Multi-line (place hubs)</t>
        </is>
      </c>
      <c r="D332" s="36" t="inlineStr">
        <is>
          <t>insurance advisor mississauga</t>
        </is>
      </c>
      <c r="E332" s="36" t="inlineStr">
        <is>
          <t>City</t>
        </is>
      </c>
      <c r="F332" s="36" t="inlineStr">
        <is>
          <t>Ontario</t>
        </is>
      </c>
      <c r="G332" s="36" t="inlineStr">
        <is>
          <t>Mississauga</t>
        </is>
      </c>
      <c r="H332" s="37" t="n">
        <v>230</v>
      </c>
      <c r="I332" s="36" t="n">
        <v>30</v>
      </c>
      <c r="J332" s="36" t="inlineStr">
        <is>
          <t>local</t>
        </is>
      </c>
      <c r="K332" s="36" t="inlineStr">
        <is>
          <t>advisors</t>
        </is>
      </c>
      <c r="L332" s="36" t="n">
        <v>2</v>
      </c>
      <c r="M332" s="36" t="inlineStr">
        <is>
          <t>Primary</t>
        </is>
      </c>
      <c r="N332" s="39">
        <f>IFERROR(IF(ISNUMBER(SEARCH(D332,INDEX(Pages!$J$2:$J$829,MATCH(A332,Pages!$B$2:$B$829,0)))),"Yes","No"),"Page not found")</f>
        <v/>
      </c>
      <c r="O332" s="25" t="inlineStr">
        <is>
          <t>local brokers, thinkinsure, rates.ca (broker pages)</t>
        </is>
      </c>
      <c r="P332" s="25" t="inlineStr">
        <is>
          <t>City hub. Add a Google Business Profile only where an advisor really works from that city.</t>
        </is>
      </c>
    </row>
    <row r="333" ht="15" customHeight="1" s="22">
      <c r="A333" s="36" t="inlineStr">
        <is>
          <t>https://instasure.ca/super-visa-insurance/alberta/calgary/</t>
        </is>
      </c>
      <c r="B333" s="36" t="inlineStr">
        <is>
          <t>Product × city</t>
        </is>
      </c>
      <c r="C333" s="36" t="inlineStr">
        <is>
          <t>Super Visa &amp; visitors insurance</t>
        </is>
      </c>
      <c r="D333" s="36" t="inlineStr">
        <is>
          <t>super visa insurance calgary</t>
        </is>
      </c>
      <c r="E333" s="36" t="inlineStr">
        <is>
          <t>City</t>
        </is>
      </c>
      <c r="F333" s="36" t="inlineStr">
        <is>
          <t>Alberta</t>
        </is>
      </c>
      <c r="G333" s="36" t="inlineStr">
        <is>
          <t>Calgary</t>
        </is>
      </c>
      <c r="H333" s="37" t="n">
        <v>230</v>
      </c>
      <c r="I333" s="36" t="n">
        <v>36</v>
      </c>
      <c r="J333" s="36" t="inlineStr">
        <is>
          <t>local</t>
        </is>
      </c>
      <c r="K333" s="36" t="inlineStr">
        <is>
          <t>travel-visitors</t>
        </is>
      </c>
      <c r="L333" s="36" t="n">
        <v>2</v>
      </c>
      <c r="M333" s="36" t="inlineStr">
        <is>
          <t>Primary</t>
        </is>
      </c>
      <c r="N333" s="39">
        <f>IFERROR(IF(ISNUMBER(SEARCH(D333,INDEX(Pages!$J$2:$J$829,MATCH(A333,Pages!$B$2:$B$829,0)))),"Yes","No"),"Page not found")</f>
        <v/>
      </c>
      <c r="O333" s="25" t="inlineStr">
        <is>
          <t>(none seen)</t>
        </is>
      </c>
      <c r="P333" s="25" t="n"/>
    </row>
    <row r="334" ht="15" customHeight="1" s="22">
      <c r="A334" s="36" t="inlineStr">
        <is>
          <t>https://instasure.ca/tenant-insurance/ontario/vaughan/</t>
        </is>
      </c>
      <c r="B334" s="36" t="inlineStr">
        <is>
          <t>Product × city</t>
        </is>
      </c>
      <c r="C334" s="36" t="inlineStr">
        <is>
          <t>Tenant insurance</t>
        </is>
      </c>
      <c r="D334" s="36" t="inlineStr">
        <is>
          <t>tenant insurance vaughan</t>
        </is>
      </c>
      <c r="E334" s="36" t="inlineStr">
        <is>
          <t>City</t>
        </is>
      </c>
      <c r="F334" s="36" t="inlineStr">
        <is>
          <t>Ontario</t>
        </is>
      </c>
      <c r="G334" s="36" t="inlineStr">
        <is>
          <t>Vaughan</t>
        </is>
      </c>
      <c r="H334" s="37" t="n">
        <v>230</v>
      </c>
      <c r="I334" s="36" t="n">
        <v>48</v>
      </c>
      <c r="J334" s="36" t="inlineStr">
        <is>
          <t>local</t>
        </is>
      </c>
      <c r="K334" s="36" t="inlineStr">
        <is>
          <t>property-local</t>
        </is>
      </c>
      <c r="L334" s="36" t="n">
        <v>4</v>
      </c>
      <c r="M334" s="36" t="inlineStr">
        <is>
          <t>Primary</t>
        </is>
      </c>
      <c r="N334" s="39">
        <f>IFERROR(IF(ISNUMBER(SEARCH(D334,INDEX(Pages!$J$2:$J$829,MATCH(A334,Pages!$B$2:$B$829,0)))),"Yes","No"),"Page not found")</f>
        <v/>
      </c>
      <c r="O334" s="25" t="inlineStr">
        <is>
          <t>(none seen)</t>
        </is>
      </c>
      <c r="P334" s="25" t="n"/>
    </row>
    <row r="335" ht="15" customHeight="1" s="22">
      <c r="A335" s="36" t="inlineStr">
        <is>
          <t>https://instasure.ca/car-insurance/quebec/longueuil/</t>
        </is>
      </c>
      <c r="B335" s="36" t="inlineStr">
        <is>
          <t>Product × city</t>
        </is>
      </c>
      <c r="C335" s="36" t="inlineStr">
        <is>
          <t>Car insurance</t>
        </is>
      </c>
      <c r="D335" s="36" t="inlineStr">
        <is>
          <t>car insurance longueuil</t>
        </is>
      </c>
      <c r="E335" s="36" t="inlineStr">
        <is>
          <t>City</t>
        </is>
      </c>
      <c r="F335" s="36" t="inlineStr">
        <is>
          <t>Quebec</t>
        </is>
      </c>
      <c r="G335" s="36" t="inlineStr">
        <is>
          <t>Longueuil</t>
        </is>
      </c>
      <c r="H335" s="37" t="n">
        <v>220</v>
      </c>
      <c r="I335" s="36" t="n">
        <v>52</v>
      </c>
      <c r="J335" s="36" t="inlineStr">
        <is>
          <t>local</t>
        </is>
      </c>
      <c r="K335" s="36" t="inlineStr">
        <is>
          <t>auto-local</t>
        </is>
      </c>
      <c r="L335" s="36" t="n">
        <v>4</v>
      </c>
      <c r="M335" s="36" t="inlineStr">
        <is>
          <t>Primary</t>
        </is>
      </c>
      <c r="N335" s="39">
        <f>IFERROR(IF(ISNUMBER(SEARCH(D335,INDEX(Pages!$J$2:$J$829,MATCH(A335,Pages!$B$2:$B$829,0)))),"Yes","No"),"Page not found")</f>
        <v/>
      </c>
      <c r="O335" s="25" t="inlineStr">
        <is>
          <t>(none seen)</t>
        </is>
      </c>
      <c r="P335" s="25" t="inlineStr">
        <is>
          <t>Quebec waitlist until AMF registration.</t>
        </is>
      </c>
    </row>
    <row r="336" ht="15" customHeight="1" s="22">
      <c r="A336" s="36" t="inlineStr">
        <is>
          <t>https://instasure.ca/condo-insurance/alberta/</t>
        </is>
      </c>
      <c r="B336" s="36" t="inlineStr">
        <is>
          <t>Product × province</t>
        </is>
      </c>
      <c r="C336" s="36" t="inlineStr">
        <is>
          <t>Condo insurance</t>
        </is>
      </c>
      <c r="D336" s="36" t="inlineStr">
        <is>
          <t>condo insurance alberta</t>
        </is>
      </c>
      <c r="E336" s="36" t="inlineStr">
        <is>
          <t>Provincial</t>
        </is>
      </c>
      <c r="F336" s="36" t="inlineStr">
        <is>
          <t>Alberta</t>
        </is>
      </c>
      <c r="G336" s="36" t="n"/>
      <c r="H336" s="37" t="n">
        <v>220</v>
      </c>
      <c r="I336" s="36" t="n">
        <v>47</v>
      </c>
      <c r="J336" s="36" t="inlineStr">
        <is>
          <t>commercial</t>
        </is>
      </c>
      <c r="K336" s="36" t="inlineStr">
        <is>
          <t>property-province</t>
        </is>
      </c>
      <c r="L336" s="36" t="n">
        <v>4</v>
      </c>
      <c r="M336" s="36" t="inlineStr">
        <is>
          <t>Primary</t>
        </is>
      </c>
      <c r="N336" s="39">
        <f>IFERROR(IF(ISNUMBER(SEARCH(D336,INDEX(Pages!$J$2:$J$829,MATCH(A336,Pages!$B$2:$B$829,0)))),"Yes","No"),"Page not found")</f>
        <v/>
      </c>
      <c r="O336" s="25" t="inlineStr">
        <is>
          <t>ratehub, sonnet</t>
        </is>
      </c>
      <c r="P336" s="25" t="n"/>
    </row>
    <row r="337" ht="15" customHeight="1" s="22">
      <c r="A337" s="36" t="inlineStr">
        <is>
          <t>https://instasure.ca/critical-illness-insurance/ontario/</t>
        </is>
      </c>
      <c r="B337" s="36" t="inlineStr">
        <is>
          <t>Product × province</t>
        </is>
      </c>
      <c r="C337" s="36" t="inlineStr">
        <is>
          <t>Critical illness insurance</t>
        </is>
      </c>
      <c r="D337" s="36" t="inlineStr">
        <is>
          <t>critical illness insurance ontario</t>
        </is>
      </c>
      <c r="E337" s="36" t="inlineStr">
        <is>
          <t>Provincial</t>
        </is>
      </c>
      <c r="F337" s="36" t="inlineStr">
        <is>
          <t>Ontario</t>
        </is>
      </c>
      <c r="G337" s="36" t="n"/>
      <c r="H337" s="37" t="n">
        <v>220</v>
      </c>
      <c r="I337" s="36" t="n">
        <v>37</v>
      </c>
      <c r="J337" s="36" t="inlineStr">
        <is>
          <t>commercial</t>
        </is>
      </c>
      <c r="K337" s="36" t="inlineStr">
        <is>
          <t>living-benefits</t>
        </is>
      </c>
      <c r="L337" s="36" t="n">
        <v>1</v>
      </c>
      <c r="M337" s="36" t="inlineStr">
        <is>
          <t>Primary</t>
        </is>
      </c>
      <c r="N337" s="39">
        <f>IFERROR(IF(ISNUMBER(SEARCH(D337,INDEX(Pages!$J$2:$J$829,MATCH(A337,Pages!$B$2:$B$829,0)))),"Yes","No"),"Page not found")</f>
        <v/>
      </c>
      <c r="O337" s="25" t="inlineStr">
        <is>
          <t>(none seen)</t>
        </is>
      </c>
      <c r="P337" s="25" t="n"/>
    </row>
    <row r="338" ht="15" customHeight="1" s="22">
      <c r="A338" s="36" t="inlineStr">
        <is>
          <t>https://instasure.ca/home-insurance/ontario/burlington/</t>
        </is>
      </c>
      <c r="B338" s="36" t="inlineStr">
        <is>
          <t>Product × city</t>
        </is>
      </c>
      <c r="C338" s="36" t="inlineStr">
        <is>
          <t>Home insurance</t>
        </is>
      </c>
      <c r="D338" s="36" t="inlineStr">
        <is>
          <t>home insurance burlington</t>
        </is>
      </c>
      <c r="E338" s="36" t="inlineStr">
        <is>
          <t>City</t>
        </is>
      </c>
      <c r="F338" s="36" t="inlineStr">
        <is>
          <t>Ontario</t>
        </is>
      </c>
      <c r="G338" s="36" t="inlineStr">
        <is>
          <t>Burlington</t>
        </is>
      </c>
      <c r="H338" s="37" t="n">
        <v>220</v>
      </c>
      <c r="I338" s="36" t="n">
        <v>48</v>
      </c>
      <c r="J338" s="36" t="inlineStr">
        <is>
          <t>local</t>
        </is>
      </c>
      <c r="K338" s="36" t="inlineStr">
        <is>
          <t>property-local</t>
        </is>
      </c>
      <c r="L338" s="36" t="n">
        <v>3</v>
      </c>
      <c r="M338" s="36" t="inlineStr">
        <is>
          <t>Primary</t>
        </is>
      </c>
      <c r="N338" s="39">
        <f>IFERROR(IF(ISNUMBER(SEARCH(D338,INDEX(Pages!$J$2:$J$829,MATCH(A338,Pages!$B$2:$B$829,0)))),"Yes","No"),"Page not found")</f>
        <v/>
      </c>
      <c r="O338" s="25" t="inlineStr">
        <is>
          <t>(none seen)</t>
        </is>
      </c>
      <c r="P338" s="25" t="n"/>
    </row>
    <row r="339" ht="15" customHeight="1" s="22">
      <c r="A339" s="36" t="inlineStr">
        <is>
          <t>https://instasure.ca/insurance/british-columbia/vancouver/</t>
        </is>
      </c>
      <c r="B339" s="36" t="inlineStr">
        <is>
          <t>Place hub</t>
        </is>
      </c>
      <c r="C339" s="36" t="inlineStr">
        <is>
          <t>Multi-line (place hubs)</t>
        </is>
      </c>
      <c r="D339" s="36" t="inlineStr">
        <is>
          <t>insurance advisor vancouver</t>
        </is>
      </c>
      <c r="E339" s="36" t="inlineStr">
        <is>
          <t>City</t>
        </is>
      </c>
      <c r="F339" s="36" t="inlineStr">
        <is>
          <t>British Columbia</t>
        </is>
      </c>
      <c r="G339" s="36" t="inlineStr">
        <is>
          <t>Vancouver</t>
        </is>
      </c>
      <c r="H339" s="37" t="n">
        <v>220</v>
      </c>
      <c r="I339" s="36" t="n">
        <v>30</v>
      </c>
      <c r="J339" s="36" t="inlineStr">
        <is>
          <t>local</t>
        </is>
      </c>
      <c r="K339" s="36" t="inlineStr">
        <is>
          <t>advisors</t>
        </is>
      </c>
      <c r="L339" s="36" t="n">
        <v>2</v>
      </c>
      <c r="M339" s="36" t="inlineStr">
        <is>
          <t>Primary</t>
        </is>
      </c>
      <c r="N339" s="39">
        <f>IFERROR(IF(ISNUMBER(SEARCH(D339,INDEX(Pages!$J$2:$J$829,MATCH(A339,Pages!$B$2:$B$829,0)))),"Yes","No"),"Page not found")</f>
        <v/>
      </c>
      <c r="O339" s="25" t="inlineStr">
        <is>
          <t>local brokers, thinkinsure, rates.ca (broker pages)</t>
        </is>
      </c>
      <c r="P339" s="25" t="inlineStr">
        <is>
          <t>City hub. Add a Google Business Profile only where an advisor really works from that city.</t>
        </is>
      </c>
    </row>
    <row r="340" ht="15" customHeight="1" s="22">
      <c r="A340" s="36" t="inlineStr">
        <is>
          <t>https://instasure.ca/business-insurance/manitoba/winnipeg/</t>
        </is>
      </c>
      <c r="B340" s="36" t="inlineStr">
        <is>
          <t>Product × city</t>
        </is>
      </c>
      <c r="C340" s="36" t="inlineStr">
        <is>
          <t>Business insurance</t>
        </is>
      </c>
      <c r="D340" s="36" t="inlineStr">
        <is>
          <t>business insurance winnipeg</t>
        </is>
      </c>
      <c r="E340" s="36" t="inlineStr">
        <is>
          <t>City</t>
        </is>
      </c>
      <c r="F340" s="36" t="inlineStr">
        <is>
          <t>Manitoba</t>
        </is>
      </c>
      <c r="G340" s="36" t="inlineStr">
        <is>
          <t>Winnipeg</t>
        </is>
      </c>
      <c r="H340" s="37" t="n">
        <v>210</v>
      </c>
      <c r="I340" s="36" t="n">
        <v>33</v>
      </c>
      <c r="J340" s="36" t="inlineStr">
        <is>
          <t>local</t>
        </is>
      </c>
      <c r="K340" s="36" t="inlineStr">
        <is>
          <t>business-local</t>
        </is>
      </c>
      <c r="L340" s="36" t="n">
        <v>1</v>
      </c>
      <c r="M340" s="36" t="inlineStr">
        <is>
          <t>Primary</t>
        </is>
      </c>
      <c r="N340" s="39">
        <f>IFERROR(IF(ISNUMBER(SEARCH(D340,INDEX(Pages!$J$2:$J$829,MATCH(A340,Pages!$B$2:$B$829,0)))),"Yes","No"),"Page not found")</f>
        <v/>
      </c>
      <c r="O340" s="25" t="inlineStr">
        <is>
          <t>(none seen)</t>
        </is>
      </c>
      <c r="P340" s="25" t="n"/>
    </row>
    <row r="341" ht="15" customHeight="1" s="22">
      <c r="A341" s="36" t="inlineStr">
        <is>
          <t>https://instasure.ca/business-insurance/quebec/</t>
        </is>
      </c>
      <c r="B341" s="36" t="inlineStr">
        <is>
          <t>Product × province</t>
        </is>
      </c>
      <c r="C341" s="36" t="inlineStr">
        <is>
          <t>Business insurance</t>
        </is>
      </c>
      <c r="D341" s="36" t="inlineStr">
        <is>
          <t>business insurance quebec</t>
        </is>
      </c>
      <c r="E341" s="36" t="inlineStr">
        <is>
          <t>Provincial</t>
        </is>
      </c>
      <c r="F341" s="36" t="inlineStr">
        <is>
          <t>Quebec</t>
        </is>
      </c>
      <c r="G341" s="36" t="n"/>
      <c r="H341" s="37" t="n">
        <v>210</v>
      </c>
      <c r="I341" s="36" t="n">
        <v>44</v>
      </c>
      <c r="J341" s="36" t="inlineStr">
        <is>
          <t>commercial</t>
        </is>
      </c>
      <c r="K341" s="36" t="inlineStr">
        <is>
          <t>business-province</t>
        </is>
      </c>
      <c r="L341" s="36" t="n">
        <v>3</v>
      </c>
      <c r="M341" s="36" t="inlineStr">
        <is>
          <t>Primary</t>
        </is>
      </c>
      <c r="N341" s="39">
        <f>IFERROR(IF(ISNUMBER(SEARCH(D341,INDEX(Pages!$J$2:$J$829,MATCH(A341,Pages!$B$2:$B$829,0)))),"Yes","No"),"Page not found")</f>
        <v/>
      </c>
      <c r="O341" s="25" t="inlineStr">
        <is>
          <t>(none seen)</t>
        </is>
      </c>
      <c r="P341" s="25" t="inlineStr">
        <is>
          <t>Quebec waitlist until AMF registration; English phrase only (French terms listed separately).</t>
        </is>
      </c>
    </row>
    <row r="342" ht="23.85" customHeight="1" s="22">
      <c r="A342" s="36" t="inlineStr">
        <is>
          <t>https://instasure.ca/car-insurance/accident-benefits-review/</t>
        </is>
      </c>
      <c r="B342" s="36" t="inlineStr">
        <is>
          <t>Service page</t>
        </is>
      </c>
      <c r="C342" s="36" t="inlineStr">
        <is>
          <t>Car insurance</t>
        </is>
      </c>
      <c r="D342" s="36" t="inlineStr">
        <is>
          <t>should i buy optional accident benefits</t>
        </is>
      </c>
      <c r="E342" s="36" t="inlineStr">
        <is>
          <t>Nationwide</t>
        </is>
      </c>
      <c r="F342" s="36" t="n"/>
      <c r="G342" s="36" t="n"/>
      <c r="H342" s="37" t="n">
        <v>210</v>
      </c>
      <c r="I342" s="36" t="n">
        <v>15</v>
      </c>
      <c r="J342" s="36" t="inlineStr">
        <is>
          <t>informational</t>
        </is>
      </c>
      <c r="K342" s="36" t="inlineStr">
        <is>
          <t>auto-regulation</t>
        </is>
      </c>
      <c r="L342" s="36" t="n">
        <v>1</v>
      </c>
      <c r="M342" s="36" t="inlineStr">
        <is>
          <t>Primary</t>
        </is>
      </c>
      <c r="N342" s="39">
        <f>IFERROR(IF(ISNUMBER(SEARCH(D342,INDEX(Pages!$J$2:$J$829,MATCH(A342,Pages!$B$2:$B$829,0)))),"Yes","No"),"Page not found")</f>
        <v/>
      </c>
      <c r="O342" s="25" t="inlineStr">
        <is>
          <t>(explainers only)</t>
        </is>
      </c>
      <c r="P342" s="25" t="inlineStr">
        <is>
          <t>Ontario only. The Accident benefits review desk turns the July 2026 opt-out into an advisor conversation; the guide covers the rules.</t>
        </is>
      </c>
    </row>
    <row r="343" ht="15" customHeight="1" s="22">
      <c r="A343" s="36" t="inlineStr">
        <is>
          <t>https://instasure.ca/car-insurance/british-columbia/abbotsford/</t>
        </is>
      </c>
      <c r="B343" s="36" t="inlineStr">
        <is>
          <t>Product × city</t>
        </is>
      </c>
      <c r="C343" s="36" t="inlineStr">
        <is>
          <t>Car insurance</t>
        </is>
      </c>
      <c r="D343" s="36" t="inlineStr">
        <is>
          <t>car insurance abbotsford</t>
        </is>
      </c>
      <c r="E343" s="36" t="inlineStr">
        <is>
          <t>City</t>
        </is>
      </c>
      <c r="F343" s="36" t="inlineStr">
        <is>
          <t>British Columbia</t>
        </is>
      </c>
      <c r="G343" s="36" t="inlineStr">
        <is>
          <t>Abbotsford</t>
        </is>
      </c>
      <c r="H343" s="37" t="n">
        <v>210</v>
      </c>
      <c r="I343" s="36" t="n">
        <v>56</v>
      </c>
      <c r="J343" s="36" t="inlineStr">
        <is>
          <t>local</t>
        </is>
      </c>
      <c r="K343" s="36" t="inlineStr">
        <is>
          <t>auto-local</t>
        </is>
      </c>
      <c r="L343" s="36" t="n">
        <v>5</v>
      </c>
      <c r="M343" s="36" t="inlineStr">
        <is>
          <t>Primary</t>
        </is>
      </c>
      <c r="N343" s="39">
        <f>IFERROR(IF(ISNUMBER(SEARCH(D343,INDEX(Pages!$J$2:$J$829,MATCH(A343,Pages!$B$2:$B$829,0)))),"Yes","No"),"Page not found")</f>
        <v/>
      </c>
      <c r="O343" s="25" t="inlineStr">
        <is>
          <t>ratehub</t>
        </is>
      </c>
      <c r="P343" s="25" t="inlineStr">
        <is>
          <t>ICBC sells basic auto; target optional coverage. Low lead value.</t>
        </is>
      </c>
    </row>
    <row r="344" ht="15" customHeight="1" s="22">
      <c r="A344" s="36" t="inlineStr">
        <is>
          <t>https://instasure.ca/car-insurance/new-brunswick/fredericton/</t>
        </is>
      </c>
      <c r="B344" s="36" t="inlineStr">
        <is>
          <t>Product × city</t>
        </is>
      </c>
      <c r="C344" s="36" t="inlineStr">
        <is>
          <t>Car insurance</t>
        </is>
      </c>
      <c r="D344" s="36" t="inlineStr">
        <is>
          <t>car insurance fredericton</t>
        </is>
      </c>
      <c r="E344" s="36" t="inlineStr">
        <is>
          <t>City</t>
        </is>
      </c>
      <c r="F344" s="36" t="inlineStr">
        <is>
          <t>New Brunswick</t>
        </is>
      </c>
      <c r="G344" s="36" t="inlineStr">
        <is>
          <t>Fredericton</t>
        </is>
      </c>
      <c r="H344" s="37" t="n">
        <v>210</v>
      </c>
      <c r="I344" s="36" t="n">
        <v>56</v>
      </c>
      <c r="J344" s="36" t="inlineStr">
        <is>
          <t>local</t>
        </is>
      </c>
      <c r="K344" s="36" t="inlineStr">
        <is>
          <t>auto-local</t>
        </is>
      </c>
      <c r="L344" s="36" t="n">
        <v>3</v>
      </c>
      <c r="M344" s="36" t="inlineStr">
        <is>
          <t>Primary</t>
        </is>
      </c>
      <c r="N344" s="39">
        <f>IFERROR(IF(ISNUMBER(SEARCH(D344,INDEX(Pages!$J$2:$J$829,MATCH(A344,Pages!$B$2:$B$829,0)))),"Yes","No"),"Page not found")</f>
        <v/>
      </c>
      <c r="O344" s="25" t="inlineStr">
        <is>
          <t>ratehub</t>
        </is>
      </c>
      <c r="P344" s="25" t="n"/>
    </row>
    <row r="345" ht="15" customHeight="1" s="22">
      <c r="A345" s="36" t="inlineStr">
        <is>
          <t>https://instasure.ca/car-insurance/quebec/gatineau/</t>
        </is>
      </c>
      <c r="B345" s="36" t="inlineStr">
        <is>
          <t>Product × city</t>
        </is>
      </c>
      <c r="C345" s="36" t="inlineStr">
        <is>
          <t>Car insurance</t>
        </is>
      </c>
      <c r="D345" s="36" t="inlineStr">
        <is>
          <t>car insurance gatineau</t>
        </is>
      </c>
      <c r="E345" s="36" t="inlineStr">
        <is>
          <t>City</t>
        </is>
      </c>
      <c r="F345" s="36" t="inlineStr">
        <is>
          <t>Quebec</t>
        </is>
      </c>
      <c r="G345" s="36" t="inlineStr">
        <is>
          <t>Gatineau</t>
        </is>
      </c>
      <c r="H345" s="37" t="n">
        <v>210</v>
      </c>
      <c r="I345" s="36" t="n">
        <v>52</v>
      </c>
      <c r="J345" s="36" t="inlineStr">
        <is>
          <t>local</t>
        </is>
      </c>
      <c r="K345" s="36" t="inlineStr">
        <is>
          <t>auto-local</t>
        </is>
      </c>
      <c r="L345" s="36" t="n">
        <v>4</v>
      </c>
      <c r="M345" s="36" t="inlineStr">
        <is>
          <t>Primary</t>
        </is>
      </c>
      <c r="N345" s="39">
        <f>IFERROR(IF(ISNUMBER(SEARCH(D345,INDEX(Pages!$J$2:$J$829,MATCH(A345,Pages!$B$2:$B$829,0)))),"Yes","No"),"Page not found")</f>
        <v/>
      </c>
      <c r="O345" s="25" t="inlineStr">
        <is>
          <t>(none seen)</t>
        </is>
      </c>
      <c r="P345" s="25" t="inlineStr">
        <is>
          <t>Quebec waitlist until AMF registration.</t>
        </is>
      </c>
    </row>
    <row r="346" ht="15" customHeight="1" s="22">
      <c r="A346" s="36" t="inlineStr">
        <is>
          <t>https://instasure.ca/condo-insurance/manitoba/winnipeg/</t>
        </is>
      </c>
      <c r="B346" s="36" t="inlineStr">
        <is>
          <t>Product × city</t>
        </is>
      </c>
      <c r="C346" s="36" t="inlineStr">
        <is>
          <t>Condo insurance</t>
        </is>
      </c>
      <c r="D346" s="36" t="inlineStr">
        <is>
          <t>condo insurance winnipeg</t>
        </is>
      </c>
      <c r="E346" s="36" t="inlineStr">
        <is>
          <t>City</t>
        </is>
      </c>
      <c r="F346" s="36" t="inlineStr">
        <is>
          <t>Manitoba</t>
        </is>
      </c>
      <c r="G346" s="36" t="inlineStr">
        <is>
          <t>Winnipeg</t>
        </is>
      </c>
      <c r="H346" s="37" t="n">
        <v>210</v>
      </c>
      <c r="I346" s="36" t="n">
        <v>40</v>
      </c>
      <c r="J346" s="36" t="inlineStr">
        <is>
          <t>local</t>
        </is>
      </c>
      <c r="K346" s="36" t="inlineStr">
        <is>
          <t>property-local</t>
        </is>
      </c>
      <c r="L346" s="36" t="n">
        <v>3</v>
      </c>
      <c r="M346" s="36" t="inlineStr">
        <is>
          <t>Primary</t>
        </is>
      </c>
      <c r="N346" s="39">
        <f>IFERROR(IF(ISNUMBER(SEARCH(D346,INDEX(Pages!$J$2:$J$829,MATCH(A346,Pages!$B$2:$B$829,0)))),"Yes","No"),"Page not found")</f>
        <v/>
      </c>
      <c r="O346" s="25" t="inlineStr">
        <is>
          <t>(none seen)</t>
        </is>
      </c>
      <c r="P346" s="25" t="n"/>
    </row>
    <row r="347" ht="15" customHeight="1" s="22">
      <c r="A347" s="36" t="inlineStr">
        <is>
          <t>https://instasure.ca/contractor-insurance/hvac/</t>
        </is>
      </c>
      <c r="B347" s="36" t="inlineStr">
        <is>
          <t>Service page</t>
        </is>
      </c>
      <c r="C347" s="36" t="inlineStr">
        <is>
          <t>Contractor &amp; trades insurance</t>
        </is>
      </c>
      <c r="D347" s="36" t="inlineStr">
        <is>
          <t>hvac insurance</t>
        </is>
      </c>
      <c r="E347" s="36" t="inlineStr">
        <is>
          <t>Nationwide</t>
        </is>
      </c>
      <c r="F347" s="36" t="n"/>
      <c r="G347" s="36" t="n"/>
      <c r="H347" s="37" t="n">
        <v>210</v>
      </c>
      <c r="I347" s="36" t="n">
        <v>25</v>
      </c>
      <c r="J347" s="36" t="inlineStr">
        <is>
          <t>commercial</t>
        </is>
      </c>
      <c r="K347" s="36" t="inlineStr">
        <is>
          <t>business-trades</t>
        </is>
      </c>
      <c r="L347" s="36" t="n">
        <v>3</v>
      </c>
      <c r="M347" s="36" t="inlineStr">
        <is>
          <t>Primary</t>
        </is>
      </c>
      <c r="N347" s="39">
        <f>IFERROR(IF(ISNUMBER(SEARCH(D347,INDEX(Pages!$J$2:$J$829,MATCH(A347,Pages!$B$2:$B$829,0)))),"Yes","No"),"Page not found")</f>
        <v/>
      </c>
      <c r="O347" s="25" t="inlineStr">
        <is>
          <t>rates.ca</t>
        </is>
      </c>
      <c r="P347" s="25" t="inlineStr">
        <is>
          <t>Built (trade page).</t>
        </is>
      </c>
    </row>
    <row r="348" ht="15" customHeight="1" s="22">
      <c r="A348" s="36" t="inlineStr">
        <is>
          <t>https://instasure.ca/home-insurance/ontario/oshawa/</t>
        </is>
      </c>
      <c r="B348" s="36" t="inlineStr">
        <is>
          <t>Product × city</t>
        </is>
      </c>
      <c r="C348" s="36" t="inlineStr">
        <is>
          <t>Home insurance</t>
        </is>
      </c>
      <c r="D348" s="36" t="inlineStr">
        <is>
          <t>home insurance oshawa</t>
        </is>
      </c>
      <c r="E348" s="36" t="inlineStr">
        <is>
          <t>City</t>
        </is>
      </c>
      <c r="F348" s="36" t="inlineStr">
        <is>
          <t>Ontario</t>
        </is>
      </c>
      <c r="G348" s="36" t="inlineStr">
        <is>
          <t>Oshawa</t>
        </is>
      </c>
      <c r="H348" s="37" t="n">
        <v>210</v>
      </c>
      <c r="I348" s="36" t="n">
        <v>52</v>
      </c>
      <c r="J348" s="36" t="inlineStr">
        <is>
          <t>local</t>
        </is>
      </c>
      <c r="K348" s="36" t="inlineStr">
        <is>
          <t>property-local</t>
        </is>
      </c>
      <c r="L348" s="36" t="n">
        <v>3</v>
      </c>
      <c r="M348" s="36" t="inlineStr">
        <is>
          <t>Primary</t>
        </is>
      </c>
      <c r="N348" s="39">
        <f>IFERROR(IF(ISNUMBER(SEARCH(D348,INDEX(Pages!$J$2:$J$829,MATCH(A348,Pages!$B$2:$B$829,0)))),"Yes","No"),"Page not found")</f>
        <v/>
      </c>
      <c r="O348" s="25" t="inlineStr">
        <is>
          <t>rates.ca</t>
        </is>
      </c>
      <c r="P348" s="25" t="n"/>
    </row>
    <row r="349" ht="15" customHeight="1" s="22">
      <c r="A349" s="36" t="inlineStr">
        <is>
          <t>https://instasure.ca/insurance/ontario/brampton/</t>
        </is>
      </c>
      <c r="B349" s="36" t="inlineStr">
        <is>
          <t>Place hub</t>
        </is>
      </c>
      <c r="C349" s="36" t="inlineStr">
        <is>
          <t>Multi-line (place hubs)</t>
        </is>
      </c>
      <c r="D349" s="36" t="inlineStr">
        <is>
          <t>insurance advisor brampton</t>
        </is>
      </c>
      <c r="E349" s="36" t="inlineStr">
        <is>
          <t>City</t>
        </is>
      </c>
      <c r="F349" s="36" t="inlineStr">
        <is>
          <t>Ontario</t>
        </is>
      </c>
      <c r="G349" s="36" t="inlineStr">
        <is>
          <t>Brampton</t>
        </is>
      </c>
      <c r="H349" s="37" t="n">
        <v>210</v>
      </c>
      <c r="I349" s="36" t="n">
        <v>30</v>
      </c>
      <c r="J349" s="36" t="inlineStr">
        <is>
          <t>local</t>
        </is>
      </c>
      <c r="K349" s="36" t="inlineStr">
        <is>
          <t>advisors</t>
        </is>
      </c>
      <c r="L349" s="36" t="n">
        <v>2</v>
      </c>
      <c r="M349" s="36" t="inlineStr">
        <is>
          <t>Primary</t>
        </is>
      </c>
      <c r="N349" s="39">
        <f>IFERROR(IF(ISNUMBER(SEARCH(D349,INDEX(Pages!$J$2:$J$829,MATCH(A349,Pages!$B$2:$B$829,0)))),"Yes","No"),"Page not found")</f>
        <v/>
      </c>
      <c r="O349" s="25" t="inlineStr">
        <is>
          <t>local brokers, thinkinsure, rates.ca (broker pages)</t>
        </is>
      </c>
      <c r="P349" s="25" t="inlineStr">
        <is>
          <t>City hub. Add a Google Business Profile only where an advisor really works from that city.</t>
        </is>
      </c>
    </row>
    <row r="350" ht="15" customHeight="1" s="22">
      <c r="A350" s="36" t="inlineStr">
        <is>
          <t>https://instasure.ca/business-insurance/ontario/mississauga/</t>
        </is>
      </c>
      <c r="B350" s="36" t="inlineStr">
        <is>
          <t>Product × city</t>
        </is>
      </c>
      <c r="C350" s="36" t="inlineStr">
        <is>
          <t>Business insurance</t>
        </is>
      </c>
      <c r="D350" s="36" t="inlineStr">
        <is>
          <t>business insurance mississauga</t>
        </is>
      </c>
      <c r="E350" s="36" t="inlineStr">
        <is>
          <t>City</t>
        </is>
      </c>
      <c r="F350" s="36" t="inlineStr">
        <is>
          <t>Ontario</t>
        </is>
      </c>
      <c r="G350" s="36" t="inlineStr">
        <is>
          <t>Mississauga</t>
        </is>
      </c>
      <c r="H350" s="37" t="n">
        <v>200</v>
      </c>
      <c r="I350" s="36" t="n">
        <v>41</v>
      </c>
      <c r="J350" s="36" t="inlineStr">
        <is>
          <t>local</t>
        </is>
      </c>
      <c r="K350" s="36" t="inlineStr">
        <is>
          <t>business-local</t>
        </is>
      </c>
      <c r="L350" s="36" t="n">
        <v>2</v>
      </c>
      <c r="M350" s="36" t="inlineStr">
        <is>
          <t>Primary</t>
        </is>
      </c>
      <c r="N350" s="39">
        <f>IFERROR(IF(ISNUMBER(SEARCH(D350,INDEX(Pages!$J$2:$J$829,MATCH(A350,Pages!$B$2:$B$829,0)))),"Yes","No"),"Page not found")</f>
        <v/>
      </c>
      <c r="O350" s="25" t="inlineStr">
        <is>
          <t>(none seen)</t>
        </is>
      </c>
      <c r="P350" s="25" t="n"/>
    </row>
    <row r="351" ht="15" customHeight="1" s="22">
      <c r="A351" s="36" t="inlineStr">
        <is>
          <t>https://instasure.ca/car-insurance/british-columbia/kelowna/</t>
        </is>
      </c>
      <c r="B351" s="36" t="inlineStr">
        <is>
          <t>Product × city</t>
        </is>
      </c>
      <c r="C351" s="36" t="inlineStr">
        <is>
          <t>Car insurance</t>
        </is>
      </c>
      <c r="D351" s="36" t="inlineStr">
        <is>
          <t>car insurance kelowna</t>
        </is>
      </c>
      <c r="E351" s="36" t="inlineStr">
        <is>
          <t>City</t>
        </is>
      </c>
      <c r="F351" s="36" t="inlineStr">
        <is>
          <t>British Columbia</t>
        </is>
      </c>
      <c r="G351" s="36" t="inlineStr">
        <is>
          <t>Kelowna</t>
        </is>
      </c>
      <c r="H351" s="37" t="n">
        <v>200</v>
      </c>
      <c r="I351" s="36" t="n">
        <v>64</v>
      </c>
      <c r="J351" s="36" t="inlineStr">
        <is>
          <t>local</t>
        </is>
      </c>
      <c r="K351" s="36" t="inlineStr">
        <is>
          <t>auto-local</t>
        </is>
      </c>
      <c r="L351" s="36" t="n">
        <v>5</v>
      </c>
      <c r="M351" s="36" t="inlineStr">
        <is>
          <t>Primary</t>
        </is>
      </c>
      <c r="N351" s="39">
        <f>IFERROR(IF(ISNUMBER(SEARCH(D351,INDEX(Pages!$J$2:$J$829,MATCH(A351,Pages!$B$2:$B$829,0)))),"Yes","No"),"Page not found")</f>
        <v/>
      </c>
      <c r="O351" s="25" t="inlineStr">
        <is>
          <t>ratehub</t>
        </is>
      </c>
      <c r="P351" s="25" t="inlineStr">
        <is>
          <t>ICBC sells basic auto; target optional coverage. Low lead value.</t>
        </is>
      </c>
    </row>
    <row r="352" ht="23.85" customHeight="1" s="22">
      <c r="A352" s="36" t="inlineStr">
        <is>
          <t>https://instasure.ca/car-insurance/british-columbia/langley/</t>
        </is>
      </c>
      <c r="B352" s="36" t="inlineStr">
        <is>
          <t>Product × city</t>
        </is>
      </c>
      <c r="C352" s="36" t="inlineStr">
        <is>
          <t>Car insurance</t>
        </is>
      </c>
      <c r="D352" s="36" t="inlineStr">
        <is>
          <t>car insurance langley</t>
        </is>
      </c>
      <c r="E352" s="36" t="inlineStr">
        <is>
          <t>City</t>
        </is>
      </c>
      <c r="F352" s="36" t="inlineStr">
        <is>
          <t>British Columbia</t>
        </is>
      </c>
      <c r="G352" s="36" t="inlineStr">
        <is>
          <t>Langley</t>
        </is>
      </c>
      <c r="H352" s="37" t="n">
        <v>200</v>
      </c>
      <c r="I352" s="36" t="n">
        <v>44</v>
      </c>
      <c r="J352" s="36" t="inlineStr">
        <is>
          <t>local</t>
        </is>
      </c>
      <c r="K352" s="36" t="inlineStr">
        <is>
          <t>auto-local</t>
        </is>
      </c>
      <c r="L352" s="36" t="n">
        <v>5</v>
      </c>
      <c r="M352" s="36" t="inlineStr">
        <is>
          <t>Primary</t>
        </is>
      </c>
      <c r="N352" s="39">
        <f>IFERROR(IF(ISNUMBER(SEARCH(D352,INDEX(Pages!$J$2:$J$829,MATCH(A352,Pages!$B$2:$B$829,0)))),"Yes","No"),"Page not found")</f>
        <v/>
      </c>
      <c r="O352" s="25" t="inlineStr">
        <is>
          <t>(none seen)</t>
        </is>
      </c>
      <c r="P352" s="25" t="inlineStr">
        <is>
          <t>Page exists but is noindex until an editor adds a 300+ character local intro (Admin → SEO → Page overrides). ICBC sells basic auto; target optional coverage. Low lead value.</t>
        </is>
      </c>
    </row>
    <row r="353" ht="15" customHeight="1" s="22">
      <c r="A353" s="36" t="inlineStr">
        <is>
          <t>https://instasure.ca/condo-insurance/ontario/mississauga/</t>
        </is>
      </c>
      <c r="B353" s="36" t="inlineStr">
        <is>
          <t>Product × city</t>
        </is>
      </c>
      <c r="C353" s="36" t="inlineStr">
        <is>
          <t>Condo insurance</t>
        </is>
      </c>
      <c r="D353" s="36" t="inlineStr">
        <is>
          <t>condo insurance mississauga</t>
        </is>
      </c>
      <c r="E353" s="36" t="inlineStr">
        <is>
          <t>City</t>
        </is>
      </c>
      <c r="F353" s="36" t="inlineStr">
        <is>
          <t>Ontario</t>
        </is>
      </c>
      <c r="G353" s="36" t="inlineStr">
        <is>
          <t>Mississauga</t>
        </is>
      </c>
      <c r="H353" s="37" t="n">
        <v>200</v>
      </c>
      <c r="I353" s="36" t="n">
        <v>52</v>
      </c>
      <c r="J353" s="36" t="inlineStr">
        <is>
          <t>local</t>
        </is>
      </c>
      <c r="K353" s="36" t="inlineStr">
        <is>
          <t>property-local</t>
        </is>
      </c>
      <c r="L353" s="36" t="n">
        <v>4</v>
      </c>
      <c r="M353" s="36" t="inlineStr">
        <is>
          <t>Primary</t>
        </is>
      </c>
      <c r="N353" s="39">
        <f>IFERROR(IF(ISNUMBER(SEARCH(D353,INDEX(Pages!$J$2:$J$829,MATCH(A353,Pages!$B$2:$B$829,0)))),"Yes","No"),"Page not found")</f>
        <v/>
      </c>
      <c r="O353" s="25" t="inlineStr">
        <is>
          <t>sonnet</t>
        </is>
      </c>
      <c r="P353" s="25" t="n"/>
    </row>
    <row r="354" ht="23.85" customHeight="1" s="22">
      <c r="A354" s="36" t="inlineStr">
        <is>
          <t>https://instasure.ca/home-insurance/ontario/sudbury/</t>
        </is>
      </c>
      <c r="B354" s="36" t="inlineStr">
        <is>
          <t>Product × city</t>
        </is>
      </c>
      <c r="C354" s="36" t="inlineStr">
        <is>
          <t>Home insurance</t>
        </is>
      </c>
      <c r="D354" s="36" t="inlineStr">
        <is>
          <t>home insurance sudbury</t>
        </is>
      </c>
      <c r="E354" s="36" t="inlineStr">
        <is>
          <t>City</t>
        </is>
      </c>
      <c r="F354" s="36" t="inlineStr">
        <is>
          <t>Ontario</t>
        </is>
      </c>
      <c r="G354" s="36" t="inlineStr">
        <is>
          <t>Sudbury</t>
        </is>
      </c>
      <c r="H354" s="37" t="n">
        <v>200</v>
      </c>
      <c r="I354" s="36" t="n">
        <v>40</v>
      </c>
      <c r="J354" s="36" t="inlineStr">
        <is>
          <t>local</t>
        </is>
      </c>
      <c r="K354" s="36" t="inlineStr">
        <is>
          <t>property-local</t>
        </is>
      </c>
      <c r="L354" s="36" t="n">
        <v>3</v>
      </c>
      <c r="M354" s="36" t="inlineStr">
        <is>
          <t>Primary</t>
        </is>
      </c>
      <c r="N354" s="39">
        <f>IFERROR(IF(ISNUMBER(SEARCH(D354,INDEX(Pages!$J$2:$J$829,MATCH(A354,Pages!$B$2:$B$829,0)))),"Yes","No"),"Page not found")</f>
        <v/>
      </c>
      <c r="O354" s="25" t="inlineStr">
        <is>
          <t>(none seen)</t>
        </is>
      </c>
      <c r="P354" s="25" t="inlineStr">
        <is>
          <t>Page exists but is noindex until an editor adds a 300+ character local intro (Admin → SEO → Page overrides).</t>
        </is>
      </c>
    </row>
    <row r="355" ht="15" customHeight="1" s="22">
      <c r="A355" s="36" t="inlineStr">
        <is>
          <t>https://instasure.ca/life-insurance/nova-scotia/halifax/</t>
        </is>
      </c>
      <c r="B355" s="36" t="inlineStr">
        <is>
          <t>Product × city</t>
        </is>
      </c>
      <c r="C355" s="36" t="inlineStr">
        <is>
          <t>Life insurance</t>
        </is>
      </c>
      <c r="D355" s="36" t="inlineStr">
        <is>
          <t>life insurance halifax</t>
        </is>
      </c>
      <c r="E355" s="36" t="inlineStr">
        <is>
          <t>City</t>
        </is>
      </c>
      <c r="F355" s="36" t="inlineStr">
        <is>
          <t>Nova Scotia</t>
        </is>
      </c>
      <c r="G355" s="36" t="inlineStr">
        <is>
          <t>Halifax</t>
        </is>
      </c>
      <c r="H355" s="37" t="n">
        <v>200</v>
      </c>
      <c r="I355" s="36" t="n">
        <v>35</v>
      </c>
      <c r="J355" s="36" t="inlineStr">
        <is>
          <t>local</t>
        </is>
      </c>
      <c r="K355" s="36" t="inlineStr">
        <is>
          <t>life-local</t>
        </is>
      </c>
      <c r="L355" s="36" t="n">
        <v>1</v>
      </c>
      <c r="M355" s="36" t="inlineStr">
        <is>
          <t>Primary</t>
        </is>
      </c>
      <c r="N355" s="39">
        <f>IFERROR(IF(ISNUMBER(SEARCH(D355,INDEX(Pages!$J$2:$J$829,MATCH(A355,Pages!$B$2:$B$829,0)))),"Yes","No"),"Page not found")</f>
        <v/>
      </c>
      <c r="O355" s="25" t="inlineStr">
        <is>
          <t>(none seen)</t>
        </is>
      </c>
      <c r="P355" s="25" t="n"/>
    </row>
    <row r="356" ht="15" customHeight="1" s="22">
      <c r="A356" s="36" t="inlineStr">
        <is>
          <t>https://instasure.ca/tenant-insurance/saskatchewan/saskatoon/</t>
        </is>
      </c>
      <c r="B356" s="36" t="inlineStr">
        <is>
          <t>Product × city</t>
        </is>
      </c>
      <c r="C356" s="36" t="inlineStr">
        <is>
          <t>Tenant insurance</t>
        </is>
      </c>
      <c r="D356" s="36" t="inlineStr">
        <is>
          <t>tenant insurance saskatoon</t>
        </is>
      </c>
      <c r="E356" s="36" t="inlineStr">
        <is>
          <t>City</t>
        </is>
      </c>
      <c r="F356" s="36" t="inlineStr">
        <is>
          <t>Saskatchewan</t>
        </is>
      </c>
      <c r="G356" s="36" t="inlineStr">
        <is>
          <t>Saskatoon</t>
        </is>
      </c>
      <c r="H356" s="37" t="n">
        <v>200</v>
      </c>
      <c r="I356" s="36" t="n">
        <v>40</v>
      </c>
      <c r="J356" s="36" t="inlineStr">
        <is>
          <t>local</t>
        </is>
      </c>
      <c r="K356" s="36" t="inlineStr">
        <is>
          <t>property-local</t>
        </is>
      </c>
      <c r="L356" s="36" t="n">
        <v>4</v>
      </c>
      <c r="M356" s="36" t="inlineStr">
        <is>
          <t>Primary</t>
        </is>
      </c>
      <c r="N356" s="39">
        <f>IFERROR(IF(ISNUMBER(SEARCH(D356,INDEX(Pages!$J$2:$J$829,MATCH(A356,Pages!$B$2:$B$829,0)))),"Yes","No"),"Page not found")</f>
        <v/>
      </c>
      <c r="O356" s="25" t="inlineStr">
        <is>
          <t>(none seen)</t>
        </is>
      </c>
      <c r="P356" s="25" t="n"/>
    </row>
    <row r="357" ht="15" customHeight="1" s="22">
      <c r="A357" s="36" t="inlineStr">
        <is>
          <t>https://instasure.ca/business-insurance/british-columbia/vancouver/</t>
        </is>
      </c>
      <c r="B357" s="36" t="inlineStr">
        <is>
          <t>Product × city</t>
        </is>
      </c>
      <c r="C357" s="36" t="inlineStr">
        <is>
          <t>Business insurance</t>
        </is>
      </c>
      <c r="D357" s="36" t="inlineStr">
        <is>
          <t>business insurance vancouver</t>
        </is>
      </c>
      <c r="E357" s="36" t="inlineStr">
        <is>
          <t>City</t>
        </is>
      </c>
      <c r="F357" s="36" t="inlineStr">
        <is>
          <t>British Columbia</t>
        </is>
      </c>
      <c r="G357" s="36" t="inlineStr">
        <is>
          <t>Vancouver</t>
        </is>
      </c>
      <c r="H357" s="37" t="n">
        <v>190</v>
      </c>
      <c r="I357" s="36" t="n">
        <v>41</v>
      </c>
      <c r="J357" s="36" t="inlineStr">
        <is>
          <t>local</t>
        </is>
      </c>
      <c r="K357" s="36" t="inlineStr">
        <is>
          <t>business-local</t>
        </is>
      </c>
      <c r="L357" s="36" t="n">
        <v>2</v>
      </c>
      <c r="M357" s="36" t="inlineStr">
        <is>
          <t>Primary</t>
        </is>
      </c>
      <c r="N357" s="39">
        <f>IFERROR(IF(ISNUMBER(SEARCH(D357,INDEX(Pages!$J$2:$J$829,MATCH(A357,Pages!$B$2:$B$829,0)))),"Yes","No"),"Page not found")</f>
        <v/>
      </c>
      <c r="O357" s="25" t="inlineStr">
        <is>
          <t>(none seen)</t>
        </is>
      </c>
      <c r="P357" s="25" t="n"/>
    </row>
    <row r="358" ht="15" customHeight="1" s="22">
      <c r="A358" s="36" t="inlineStr">
        <is>
          <t>https://instasure.ca/business-insurance/ontario/brampton/</t>
        </is>
      </c>
      <c r="B358" s="36" t="inlineStr">
        <is>
          <t>Product × city</t>
        </is>
      </c>
      <c r="C358" s="36" t="inlineStr">
        <is>
          <t>Business insurance</t>
        </is>
      </c>
      <c r="D358" s="36" t="inlineStr">
        <is>
          <t>business insurance brampton</t>
        </is>
      </c>
      <c r="E358" s="36" t="inlineStr">
        <is>
          <t>City</t>
        </is>
      </c>
      <c r="F358" s="36" t="inlineStr">
        <is>
          <t>Ontario</t>
        </is>
      </c>
      <c r="G358" s="36" t="inlineStr">
        <is>
          <t>Brampton</t>
        </is>
      </c>
      <c r="H358" s="37" t="n">
        <v>190</v>
      </c>
      <c r="I358" s="36" t="n">
        <v>41</v>
      </c>
      <c r="J358" s="36" t="inlineStr">
        <is>
          <t>local</t>
        </is>
      </c>
      <c r="K358" s="36" t="inlineStr">
        <is>
          <t>business-local</t>
        </is>
      </c>
      <c r="L358" s="36" t="n">
        <v>2</v>
      </c>
      <c r="M358" s="36" t="inlineStr">
        <is>
          <t>Primary</t>
        </is>
      </c>
      <c r="N358" s="39">
        <f>IFERROR(IF(ISNUMBER(SEARCH(D358,INDEX(Pages!$J$2:$J$829,MATCH(A358,Pages!$B$2:$B$829,0)))),"Yes","No"),"Page not found")</f>
        <v/>
      </c>
      <c r="O358" s="25" t="inlineStr">
        <is>
          <t>(none seen)</t>
        </is>
      </c>
      <c r="P358" s="25" t="n"/>
    </row>
    <row r="359" ht="15" customHeight="1" s="22">
      <c r="A359" s="36" t="inlineStr">
        <is>
          <t>https://instasure.ca/car-insurance/prince-edward-island/</t>
        </is>
      </c>
      <c r="B359" s="36" t="inlineStr">
        <is>
          <t>Product × province</t>
        </is>
      </c>
      <c r="C359" s="36" t="inlineStr">
        <is>
          <t>Car insurance</t>
        </is>
      </c>
      <c r="D359" s="36" t="inlineStr">
        <is>
          <t>car insurance pei</t>
        </is>
      </c>
      <c r="E359" s="36" t="inlineStr">
        <is>
          <t>Provincial</t>
        </is>
      </c>
      <c r="F359" s="36" t="inlineStr">
        <is>
          <t>Prince Edward Island</t>
        </is>
      </c>
      <c r="G359" s="36" t="n"/>
      <c r="H359" s="37" t="n">
        <v>190</v>
      </c>
      <c r="I359" s="36" t="n">
        <v>57</v>
      </c>
      <c r="J359" s="36" t="inlineStr">
        <is>
          <t>commercial</t>
        </is>
      </c>
      <c r="K359" s="36" t="inlineStr">
        <is>
          <t>auto-province</t>
        </is>
      </c>
      <c r="L359" s="36" t="n">
        <v>4</v>
      </c>
      <c r="M359" s="36" t="inlineStr">
        <is>
          <t>Primary</t>
        </is>
      </c>
      <c r="N359" s="39">
        <f>IFERROR(IF(ISNUMBER(SEARCH(D359,INDEX(Pages!$J$2:$J$829,MATCH(A359,Pages!$B$2:$B$829,0)))),"Yes","No"),"Page not found")</f>
        <v/>
      </c>
      <c r="O359" s="25" t="inlineStr">
        <is>
          <t>ratehub, sonnet</t>
        </is>
      </c>
      <c r="P359" s="25" t="n"/>
    </row>
    <row r="360" ht="15" customHeight="1" s="22">
      <c r="A360" s="36" t="inlineStr">
        <is>
          <t>https://instasure.ca/condo-insurance/british-columbia/vancouver/</t>
        </is>
      </c>
      <c r="B360" s="36" t="inlineStr">
        <is>
          <t>Product × city</t>
        </is>
      </c>
      <c r="C360" s="36" t="inlineStr">
        <is>
          <t>Condo insurance</t>
        </is>
      </c>
      <c r="D360" s="36" t="inlineStr">
        <is>
          <t>condo insurance vancouver</t>
        </is>
      </c>
      <c r="E360" s="36" t="inlineStr">
        <is>
          <t>City</t>
        </is>
      </c>
      <c r="F360" s="36" t="inlineStr">
        <is>
          <t>British Columbia</t>
        </is>
      </c>
      <c r="G360" s="36" t="inlineStr">
        <is>
          <t>Vancouver</t>
        </is>
      </c>
      <c r="H360" s="37" t="n">
        <v>190</v>
      </c>
      <c r="I360" s="36" t="n">
        <v>52</v>
      </c>
      <c r="J360" s="36" t="inlineStr">
        <is>
          <t>local</t>
        </is>
      </c>
      <c r="K360" s="36" t="inlineStr">
        <is>
          <t>property-local</t>
        </is>
      </c>
      <c r="L360" s="36" t="n">
        <v>4</v>
      </c>
      <c r="M360" s="36" t="inlineStr">
        <is>
          <t>Primary</t>
        </is>
      </c>
      <c r="N360" s="39">
        <f>IFERROR(IF(ISNUMBER(SEARCH(D360,INDEX(Pages!$J$2:$J$829,MATCH(A360,Pages!$B$2:$B$829,0)))),"Yes","No"),"Page not found")</f>
        <v/>
      </c>
      <c r="O360" s="25" t="inlineStr">
        <is>
          <t>rates.ca</t>
        </is>
      </c>
      <c r="P360" s="25" t="n"/>
    </row>
    <row r="361" ht="15" customHeight="1" s="22">
      <c r="A361" s="36" t="inlineStr">
        <is>
          <t>https://instasure.ca/condo-insurance/ontario/brampton/</t>
        </is>
      </c>
      <c r="B361" s="36" t="inlineStr">
        <is>
          <t>Product × city</t>
        </is>
      </c>
      <c r="C361" s="36" t="inlineStr">
        <is>
          <t>Condo insurance</t>
        </is>
      </c>
      <c r="D361" s="36" t="inlineStr">
        <is>
          <t>condo insurance brampton</t>
        </is>
      </c>
      <c r="E361" s="36" t="inlineStr">
        <is>
          <t>City</t>
        </is>
      </c>
      <c r="F361" s="36" t="inlineStr">
        <is>
          <t>Ontario</t>
        </is>
      </c>
      <c r="G361" s="36" t="inlineStr">
        <is>
          <t>Brampton</t>
        </is>
      </c>
      <c r="H361" s="37" t="n">
        <v>190</v>
      </c>
      <c r="I361" s="36" t="n">
        <v>48</v>
      </c>
      <c r="J361" s="36" t="inlineStr">
        <is>
          <t>local</t>
        </is>
      </c>
      <c r="K361" s="36" t="inlineStr">
        <is>
          <t>property-local</t>
        </is>
      </c>
      <c r="L361" s="36" t="n">
        <v>3</v>
      </c>
      <c r="M361" s="36" t="inlineStr">
        <is>
          <t>Primary</t>
        </is>
      </c>
      <c r="N361" s="39">
        <f>IFERROR(IF(ISNUMBER(SEARCH(D361,INDEX(Pages!$J$2:$J$829,MATCH(A361,Pages!$B$2:$B$829,0)))),"Yes","No"),"Page not found")</f>
        <v/>
      </c>
      <c r="O361" s="25" t="inlineStr">
        <is>
          <t>(none seen)</t>
        </is>
      </c>
      <c r="P361" s="25" t="n"/>
    </row>
    <row r="362" ht="15" customHeight="1" s="22">
      <c r="A362" s="36" t="inlineStr">
        <is>
          <t>https://instasure.ca/home-insurance/british-columbia/abbotsford/</t>
        </is>
      </c>
      <c r="B362" s="36" t="inlineStr">
        <is>
          <t>Product × city</t>
        </is>
      </c>
      <c r="C362" s="36" t="inlineStr">
        <is>
          <t>Home insurance</t>
        </is>
      </c>
      <c r="D362" s="36" t="inlineStr">
        <is>
          <t>home insurance abbotsford</t>
        </is>
      </c>
      <c r="E362" s="36" t="inlineStr">
        <is>
          <t>City</t>
        </is>
      </c>
      <c r="F362" s="36" t="inlineStr">
        <is>
          <t>British Columbia</t>
        </is>
      </c>
      <c r="G362" s="36" t="inlineStr">
        <is>
          <t>Abbotsford</t>
        </is>
      </c>
      <c r="H362" s="37" t="n">
        <v>190</v>
      </c>
      <c r="I362" s="36" t="n">
        <v>40</v>
      </c>
      <c r="J362" s="36" t="inlineStr">
        <is>
          <t>local</t>
        </is>
      </c>
      <c r="K362" s="36" t="inlineStr">
        <is>
          <t>property-local</t>
        </is>
      </c>
      <c r="L362" s="36" t="n">
        <v>3</v>
      </c>
      <c r="M362" s="36" t="inlineStr">
        <is>
          <t>Primary</t>
        </is>
      </c>
      <c r="N362" s="39">
        <f>IFERROR(IF(ISNUMBER(SEARCH(D362,INDEX(Pages!$J$2:$J$829,MATCH(A362,Pages!$B$2:$B$829,0)))),"Yes","No"),"Page not found")</f>
        <v/>
      </c>
      <c r="O362" s="25" t="inlineStr">
        <is>
          <t>(none seen)</t>
        </is>
      </c>
      <c r="P362" s="25" t="n"/>
    </row>
    <row r="363" ht="15" customHeight="1" s="22">
      <c r="A363" s="36" t="inlineStr">
        <is>
          <t>https://instasure.ca/home-insurance/new-brunswick/</t>
        </is>
      </c>
      <c r="B363" s="36" t="inlineStr">
        <is>
          <t>Product × province</t>
        </is>
      </c>
      <c r="C363" s="36" t="inlineStr">
        <is>
          <t>Home insurance</t>
        </is>
      </c>
      <c r="D363" s="36" t="inlineStr">
        <is>
          <t>home insurance new brunswick</t>
        </is>
      </c>
      <c r="E363" s="36" t="inlineStr">
        <is>
          <t>Provincial</t>
        </is>
      </c>
      <c r="F363" s="36" t="inlineStr">
        <is>
          <t>New Brunswick</t>
        </is>
      </c>
      <c r="G363" s="36" t="n"/>
      <c r="H363" s="37" t="n">
        <v>190</v>
      </c>
      <c r="I363" s="36" t="n">
        <v>43</v>
      </c>
      <c r="J363" s="36" t="inlineStr">
        <is>
          <t>commercial</t>
        </is>
      </c>
      <c r="K363" s="36" t="inlineStr">
        <is>
          <t>property-province</t>
        </is>
      </c>
      <c r="L363" s="36" t="n">
        <v>3</v>
      </c>
      <c r="M363" s="36" t="inlineStr">
        <is>
          <t>Primary</t>
        </is>
      </c>
      <c r="N363" s="39">
        <f>IFERROR(IF(ISNUMBER(SEARCH(D363,INDEX(Pages!$J$2:$J$829,MATCH(A363,Pages!$B$2:$B$829,0)))),"Yes","No"),"Page not found")</f>
        <v/>
      </c>
      <c r="O363" s="25" t="inlineStr">
        <is>
          <t>sonnet</t>
        </is>
      </c>
      <c r="P363" s="25" t="n"/>
    </row>
    <row r="364" ht="15" customHeight="1" s="22">
      <c r="A364" s="36" t="inlineStr">
        <is>
          <t>https://instasure.ca/insurance/british-columbia/surrey/</t>
        </is>
      </c>
      <c r="B364" s="36" t="inlineStr">
        <is>
          <t>Place hub</t>
        </is>
      </c>
      <c r="C364" s="36" t="inlineStr">
        <is>
          <t>Multi-line (place hubs)</t>
        </is>
      </c>
      <c r="D364" s="36" t="inlineStr">
        <is>
          <t>insurance advisor surrey</t>
        </is>
      </c>
      <c r="E364" s="36" t="inlineStr">
        <is>
          <t>City</t>
        </is>
      </c>
      <c r="F364" s="36" t="inlineStr">
        <is>
          <t>British Columbia</t>
        </is>
      </c>
      <c r="G364" s="36" t="inlineStr">
        <is>
          <t>Surrey</t>
        </is>
      </c>
      <c r="H364" s="37" t="n">
        <v>190</v>
      </c>
      <c r="I364" s="36" t="n">
        <v>30</v>
      </c>
      <c r="J364" s="36" t="inlineStr">
        <is>
          <t>local</t>
        </is>
      </c>
      <c r="K364" s="36" t="inlineStr">
        <is>
          <t>advisors</t>
        </is>
      </c>
      <c r="L364" s="36" t="n">
        <v>2</v>
      </c>
      <c r="M364" s="36" t="inlineStr">
        <is>
          <t>Primary</t>
        </is>
      </c>
      <c r="N364" s="39">
        <f>IFERROR(IF(ISNUMBER(SEARCH(D364,INDEX(Pages!$J$2:$J$829,MATCH(A364,Pages!$B$2:$B$829,0)))),"Yes","No"),"Page not found")</f>
        <v/>
      </c>
      <c r="O364" s="25" t="inlineStr">
        <is>
          <t>local brokers, thinkinsure, rates.ca (broker pages)</t>
        </is>
      </c>
      <c r="P364" s="25" t="inlineStr">
        <is>
          <t>City hub. Add a Google Business Profile only where an advisor really works from that city.</t>
        </is>
      </c>
    </row>
    <row r="365" ht="15" customHeight="1" s="22">
      <c r="A365" s="36" t="inlineStr">
        <is>
          <t>https://instasure.ca/insurance/ontario/hamilton/</t>
        </is>
      </c>
      <c r="B365" s="36" t="inlineStr">
        <is>
          <t>Place hub</t>
        </is>
      </c>
      <c r="C365" s="36" t="inlineStr">
        <is>
          <t>Multi-line (place hubs)</t>
        </is>
      </c>
      <c r="D365" s="36" t="inlineStr">
        <is>
          <t>insurance advisor hamilton</t>
        </is>
      </c>
      <c r="E365" s="36" t="inlineStr">
        <is>
          <t>City</t>
        </is>
      </c>
      <c r="F365" s="36" t="inlineStr">
        <is>
          <t>Ontario</t>
        </is>
      </c>
      <c r="G365" s="36" t="inlineStr">
        <is>
          <t>Hamilton</t>
        </is>
      </c>
      <c r="H365" s="37" t="n">
        <v>190</v>
      </c>
      <c r="I365" s="36" t="n">
        <v>30</v>
      </c>
      <c r="J365" s="36" t="inlineStr">
        <is>
          <t>local</t>
        </is>
      </c>
      <c r="K365" s="36" t="inlineStr">
        <is>
          <t>advisors</t>
        </is>
      </c>
      <c r="L365" s="36" t="n">
        <v>2</v>
      </c>
      <c r="M365" s="36" t="inlineStr">
        <is>
          <t>Primary</t>
        </is>
      </c>
      <c r="N365" s="39">
        <f>IFERROR(IF(ISNUMBER(SEARCH(D365,INDEX(Pages!$J$2:$J$829,MATCH(A365,Pages!$B$2:$B$829,0)))),"Yes","No"),"Page not found")</f>
        <v/>
      </c>
      <c r="O365" s="25" t="inlineStr">
        <is>
          <t>local brokers, thinkinsure, rates.ca (broker pages)</t>
        </is>
      </c>
      <c r="P365" s="25" t="inlineStr">
        <is>
          <t>City hub. Add a Google Business Profile only where an advisor really works from that city.</t>
        </is>
      </c>
    </row>
    <row r="366" ht="15" customHeight="1" s="22">
      <c r="A366" s="36" t="inlineStr">
        <is>
          <t>https://instasure.ca/life-insurance/ontario/london/</t>
        </is>
      </c>
      <c r="B366" s="36" t="inlineStr">
        <is>
          <t>Product × city</t>
        </is>
      </c>
      <c r="C366" s="36" t="inlineStr">
        <is>
          <t>Life insurance</t>
        </is>
      </c>
      <c r="D366" s="36" t="inlineStr">
        <is>
          <t>life insurance london ontario</t>
        </is>
      </c>
      <c r="E366" s="36" t="inlineStr">
        <is>
          <t>City</t>
        </is>
      </c>
      <c r="F366" s="36" t="inlineStr">
        <is>
          <t>Ontario</t>
        </is>
      </c>
      <c r="G366" s="36" t="inlineStr">
        <is>
          <t>London</t>
        </is>
      </c>
      <c r="H366" s="37" t="n">
        <v>190</v>
      </c>
      <c r="I366" s="36" t="n">
        <v>43</v>
      </c>
      <c r="J366" s="36" t="inlineStr">
        <is>
          <t>local</t>
        </is>
      </c>
      <c r="K366" s="36" t="inlineStr">
        <is>
          <t>life-local</t>
        </is>
      </c>
      <c r="L366" s="36" t="n">
        <v>1</v>
      </c>
      <c r="M366" s="36" t="inlineStr">
        <is>
          <t>Primary</t>
        </is>
      </c>
      <c r="N366" s="39">
        <f>IFERROR(IF(ISNUMBER(SEARCH(D366,INDEX(Pages!$J$2:$J$829,MATCH(A366,Pages!$B$2:$B$829,0)))),"Yes","No"),"Page not found")</f>
        <v/>
      </c>
      <c r="O366" s="25" t="inlineStr">
        <is>
          <t>(none seen)</t>
        </is>
      </c>
      <c r="P366" s="25" t="n"/>
    </row>
    <row r="367" ht="15" customHeight="1" s="22">
      <c r="A367" s="36" t="inlineStr">
        <is>
          <t>https://instasure.ca/super-visa-insurance/british-columbia/</t>
        </is>
      </c>
      <c r="B367" s="36" t="inlineStr">
        <is>
          <t>Product × province</t>
        </is>
      </c>
      <c r="C367" s="36" t="inlineStr">
        <is>
          <t>Super Visa &amp; visitors insurance</t>
        </is>
      </c>
      <c r="D367" s="36" t="inlineStr">
        <is>
          <t>super visa insurance bc</t>
        </is>
      </c>
      <c r="E367" s="36" t="inlineStr">
        <is>
          <t>Provincial</t>
        </is>
      </c>
      <c r="F367" s="36" t="inlineStr">
        <is>
          <t>British Columbia</t>
        </is>
      </c>
      <c r="G367" s="36" t="n"/>
      <c r="H367" s="37" t="n">
        <v>190</v>
      </c>
      <c r="I367" s="36" t="n">
        <v>34</v>
      </c>
      <c r="J367" s="36" t="inlineStr">
        <is>
          <t>commercial</t>
        </is>
      </c>
      <c r="K367" s="36" t="inlineStr">
        <is>
          <t>travel-visitors</t>
        </is>
      </c>
      <c r="L367" s="36" t="n">
        <v>3</v>
      </c>
      <c r="M367" s="36" t="inlineStr">
        <is>
          <t>Primary</t>
        </is>
      </c>
      <c r="N367" s="39">
        <f>IFERROR(IF(ISNUMBER(SEARCH(D367,INDEX(Pages!$J$2:$J$829,MATCH(A367,Pages!$B$2:$B$829,0)))),"Yes","No"),"Page not found")</f>
        <v/>
      </c>
      <c r="O367" s="25" t="inlineStr">
        <is>
          <t>(none seen)</t>
        </is>
      </c>
      <c r="P367" s="25" t="inlineStr">
        <is>
          <t>Province page targets super visa buyers sponsoring parents locally.</t>
        </is>
      </c>
    </row>
    <row r="368" ht="15" customHeight="1" s="22">
      <c r="A368" s="36" t="inlineStr">
        <is>
          <t>https://instasure.ca/super-visa-insurance/ontario/mississauga/</t>
        </is>
      </c>
      <c r="B368" s="36" t="inlineStr">
        <is>
          <t>Product × city</t>
        </is>
      </c>
      <c r="C368" s="36" t="inlineStr">
        <is>
          <t>Super Visa &amp; visitors insurance</t>
        </is>
      </c>
      <c r="D368" s="36" t="inlineStr">
        <is>
          <t>super visa insurance mississauga</t>
        </is>
      </c>
      <c r="E368" s="36" t="inlineStr">
        <is>
          <t>City</t>
        </is>
      </c>
      <c r="F368" s="36" t="inlineStr">
        <is>
          <t>Ontario</t>
        </is>
      </c>
      <c r="G368" s="36" t="inlineStr">
        <is>
          <t>Mississauga</t>
        </is>
      </c>
      <c r="H368" s="37" t="n">
        <v>190</v>
      </c>
      <c r="I368" s="36" t="n">
        <v>36</v>
      </c>
      <c r="J368" s="36" t="inlineStr">
        <is>
          <t>local</t>
        </is>
      </c>
      <c r="K368" s="36" t="inlineStr">
        <is>
          <t>travel-visitors</t>
        </is>
      </c>
      <c r="L368" s="36" t="n">
        <v>3</v>
      </c>
      <c r="M368" s="36" t="inlineStr">
        <is>
          <t>Primary</t>
        </is>
      </c>
      <c r="N368" s="39">
        <f>IFERROR(IF(ISNUMBER(SEARCH(D368,INDEX(Pages!$J$2:$J$829,MATCH(A368,Pages!$B$2:$B$829,0)))),"Yes","No"),"Page not found")</f>
        <v/>
      </c>
      <c r="O368" s="25" t="inlineStr">
        <is>
          <t>(none seen)</t>
        </is>
      </c>
      <c r="P368" s="25" t="n"/>
    </row>
    <row r="369" ht="15" customHeight="1" s="22">
      <c r="A369" s="36" t="inlineStr">
        <is>
          <t>https://instasure.ca/tenant-insurance/british-columbia/burnaby/</t>
        </is>
      </c>
      <c r="B369" s="36" t="inlineStr">
        <is>
          <t>Product × city</t>
        </is>
      </c>
      <c r="C369" s="36" t="inlineStr">
        <is>
          <t>Tenant insurance</t>
        </is>
      </c>
      <c r="D369" s="36" t="inlineStr">
        <is>
          <t>tenant insurance burnaby</t>
        </is>
      </c>
      <c r="E369" s="36" t="inlineStr">
        <is>
          <t>City</t>
        </is>
      </c>
      <c r="F369" s="36" t="inlineStr">
        <is>
          <t>British Columbia</t>
        </is>
      </c>
      <c r="G369" s="36" t="inlineStr">
        <is>
          <t>Burnaby</t>
        </is>
      </c>
      <c r="H369" s="37" t="n">
        <v>190</v>
      </c>
      <c r="I369" s="36" t="n">
        <v>40</v>
      </c>
      <c r="J369" s="36" t="inlineStr">
        <is>
          <t>local</t>
        </is>
      </c>
      <c r="K369" s="36" t="inlineStr">
        <is>
          <t>property-local</t>
        </is>
      </c>
      <c r="L369" s="36" t="n">
        <v>4</v>
      </c>
      <c r="M369" s="36" t="inlineStr">
        <is>
          <t>Primary</t>
        </is>
      </c>
      <c r="N369" s="39">
        <f>IFERROR(IF(ISNUMBER(SEARCH(D369,INDEX(Pages!$J$2:$J$829,MATCH(A369,Pages!$B$2:$B$829,0)))),"Yes","No"),"Page not found")</f>
        <v/>
      </c>
      <c r="O369" s="25" t="inlineStr">
        <is>
          <t>(none seen)</t>
        </is>
      </c>
      <c r="P369" s="25" t="n"/>
    </row>
    <row r="370" ht="15" customHeight="1" s="22">
      <c r="A370" s="36" t="inlineStr">
        <is>
          <t>https://instasure.ca/tenant-insurance/ontario/kitchener/</t>
        </is>
      </c>
      <c r="B370" s="36" t="inlineStr">
        <is>
          <t>Product × city</t>
        </is>
      </c>
      <c r="C370" s="36" t="inlineStr">
        <is>
          <t>Tenant insurance</t>
        </is>
      </c>
      <c r="D370" s="36" t="inlineStr">
        <is>
          <t>tenant insurance kitchener</t>
        </is>
      </c>
      <c r="E370" s="36" t="inlineStr">
        <is>
          <t>City</t>
        </is>
      </c>
      <c r="F370" s="36" t="inlineStr">
        <is>
          <t>Ontario</t>
        </is>
      </c>
      <c r="G370" s="36" t="inlineStr">
        <is>
          <t>Kitchener</t>
        </is>
      </c>
      <c r="H370" s="37" t="n">
        <v>190</v>
      </c>
      <c r="I370" s="36" t="n">
        <v>48</v>
      </c>
      <c r="J370" s="36" t="inlineStr">
        <is>
          <t>local</t>
        </is>
      </c>
      <c r="K370" s="36" t="inlineStr">
        <is>
          <t>property-local</t>
        </is>
      </c>
      <c r="L370" s="36" t="n">
        <v>4</v>
      </c>
      <c r="M370" s="36" t="inlineStr">
        <is>
          <t>Primary</t>
        </is>
      </c>
      <c r="N370" s="39">
        <f>IFERROR(IF(ISNUMBER(SEARCH(D370,INDEX(Pages!$J$2:$J$829,MATCH(A370,Pages!$B$2:$B$829,0)))),"Yes","No"),"Page not found")</f>
        <v/>
      </c>
      <c r="O370" s="25" t="inlineStr">
        <is>
          <t>(none seen)</t>
        </is>
      </c>
      <c r="P370" s="25" t="n"/>
    </row>
    <row r="371" ht="15" customHeight="1" s="22">
      <c r="A371" s="36" t="inlineStr">
        <is>
          <t>https://instasure.ca/home-insurance/british-columbia/coquitlam/</t>
        </is>
      </c>
      <c r="B371" s="36" t="inlineStr">
        <is>
          <t>Product × city</t>
        </is>
      </c>
      <c r="C371" s="36" t="inlineStr">
        <is>
          <t>Home insurance</t>
        </is>
      </c>
      <c r="D371" s="36" t="inlineStr">
        <is>
          <t>home insurance coquitlam</t>
        </is>
      </c>
      <c r="E371" s="36" t="inlineStr">
        <is>
          <t>City</t>
        </is>
      </c>
      <c r="F371" s="36" t="inlineStr">
        <is>
          <t>British Columbia</t>
        </is>
      </c>
      <c r="G371" s="36" t="inlineStr">
        <is>
          <t>Coquitlam</t>
        </is>
      </c>
      <c r="H371" s="37" t="n">
        <v>180</v>
      </c>
      <c r="I371" s="36" t="n">
        <v>40</v>
      </c>
      <c r="J371" s="36" t="inlineStr">
        <is>
          <t>local</t>
        </is>
      </c>
      <c r="K371" s="36" t="inlineStr">
        <is>
          <t>property-local</t>
        </is>
      </c>
      <c r="L371" s="36" t="n">
        <v>3</v>
      </c>
      <c r="M371" s="36" t="inlineStr">
        <is>
          <t>Primary</t>
        </is>
      </c>
      <c r="N371" s="39">
        <f>IFERROR(IF(ISNUMBER(SEARCH(D371,INDEX(Pages!$J$2:$J$829,MATCH(A371,Pages!$B$2:$B$829,0)))),"Yes","No"),"Page not found")</f>
        <v/>
      </c>
      <c r="O371" s="25" t="inlineStr">
        <is>
          <t>(none seen)</t>
        </is>
      </c>
      <c r="P371" s="25" t="n"/>
    </row>
    <row r="372" ht="15" customHeight="1" s="22">
      <c r="A372" s="36" t="inlineStr">
        <is>
          <t>https://instasure.ca/home-insurance/british-columbia/kelowna/</t>
        </is>
      </c>
      <c r="B372" s="36" t="inlineStr">
        <is>
          <t>Product × city</t>
        </is>
      </c>
      <c r="C372" s="36" t="inlineStr">
        <is>
          <t>Home insurance</t>
        </is>
      </c>
      <c r="D372" s="36" t="inlineStr">
        <is>
          <t>home insurance kelowna</t>
        </is>
      </c>
      <c r="E372" s="36" t="inlineStr">
        <is>
          <t>City</t>
        </is>
      </c>
      <c r="F372" s="36" t="inlineStr">
        <is>
          <t>British Columbia</t>
        </is>
      </c>
      <c r="G372" s="36" t="inlineStr">
        <is>
          <t>Kelowna</t>
        </is>
      </c>
      <c r="H372" s="37" t="n">
        <v>180</v>
      </c>
      <c r="I372" s="36" t="n">
        <v>48</v>
      </c>
      <c r="J372" s="36" t="inlineStr">
        <is>
          <t>local</t>
        </is>
      </c>
      <c r="K372" s="36" t="inlineStr">
        <is>
          <t>property-local</t>
        </is>
      </c>
      <c r="L372" s="36" t="n">
        <v>3</v>
      </c>
      <c r="M372" s="36" t="inlineStr">
        <is>
          <t>Primary</t>
        </is>
      </c>
      <c r="N372" s="39">
        <f>IFERROR(IF(ISNUMBER(SEARCH(D372,INDEX(Pages!$J$2:$J$829,MATCH(A372,Pages!$B$2:$B$829,0)))),"Yes","No"),"Page not found")</f>
        <v/>
      </c>
      <c r="O372" s="25" t="inlineStr">
        <is>
          <t>(none seen)</t>
        </is>
      </c>
      <c r="P372" s="25" t="n"/>
    </row>
    <row r="373" ht="15" customHeight="1" s="22">
      <c r="A373" s="36" t="inlineStr">
        <is>
          <t>https://instasure.ca/home-insurance/ontario/barrie/</t>
        </is>
      </c>
      <c r="B373" s="36" t="inlineStr">
        <is>
          <t>Product × city</t>
        </is>
      </c>
      <c r="C373" s="36" t="inlineStr">
        <is>
          <t>Home insurance</t>
        </is>
      </c>
      <c r="D373" s="36" t="inlineStr">
        <is>
          <t>home insurance barrie</t>
        </is>
      </c>
      <c r="E373" s="36" t="inlineStr">
        <is>
          <t>City</t>
        </is>
      </c>
      <c r="F373" s="36" t="inlineStr">
        <is>
          <t>Ontario</t>
        </is>
      </c>
      <c r="G373" s="36" t="inlineStr">
        <is>
          <t>Barrie</t>
        </is>
      </c>
      <c r="H373" s="37" t="n">
        <v>180</v>
      </c>
      <c r="I373" s="36" t="n">
        <v>48</v>
      </c>
      <c r="J373" s="36" t="inlineStr">
        <is>
          <t>local</t>
        </is>
      </c>
      <c r="K373" s="36" t="inlineStr">
        <is>
          <t>property-local</t>
        </is>
      </c>
      <c r="L373" s="36" t="n">
        <v>3</v>
      </c>
      <c r="M373" s="36" t="inlineStr">
        <is>
          <t>Primary</t>
        </is>
      </c>
      <c r="N373" s="39">
        <f>IFERROR(IF(ISNUMBER(SEARCH(D373,INDEX(Pages!$J$2:$J$829,MATCH(A373,Pages!$B$2:$B$829,0)))),"Yes","No"),"Page not found")</f>
        <v/>
      </c>
      <c r="O373" s="25" t="inlineStr">
        <is>
          <t>(none seen)</t>
        </is>
      </c>
      <c r="P373" s="25" t="n"/>
    </row>
    <row r="374" ht="15" customHeight="1" s="22">
      <c r="A374" s="36" t="inlineStr">
        <is>
          <t>https://instasure.ca/home-insurance/ontario/guelph/</t>
        </is>
      </c>
      <c r="B374" s="36" t="inlineStr">
        <is>
          <t>Product × city</t>
        </is>
      </c>
      <c r="C374" s="36" t="inlineStr">
        <is>
          <t>Home insurance</t>
        </is>
      </c>
      <c r="D374" s="36" t="inlineStr">
        <is>
          <t>home insurance guelph</t>
        </is>
      </c>
      <c r="E374" s="36" t="inlineStr">
        <is>
          <t>City</t>
        </is>
      </c>
      <c r="F374" s="36" t="inlineStr">
        <is>
          <t>Ontario</t>
        </is>
      </c>
      <c r="G374" s="36" t="inlineStr">
        <is>
          <t>Guelph</t>
        </is>
      </c>
      <c r="H374" s="37" t="n">
        <v>180</v>
      </c>
      <c r="I374" s="36" t="n">
        <v>48</v>
      </c>
      <c r="J374" s="36" t="inlineStr">
        <is>
          <t>local</t>
        </is>
      </c>
      <c r="K374" s="36" t="inlineStr">
        <is>
          <t>property-local</t>
        </is>
      </c>
      <c r="L374" s="36" t="n">
        <v>3</v>
      </c>
      <c r="M374" s="36" t="inlineStr">
        <is>
          <t>Primary</t>
        </is>
      </c>
      <c r="N374" s="39">
        <f>IFERROR(IF(ISNUMBER(SEARCH(D374,INDEX(Pages!$J$2:$J$829,MATCH(A374,Pages!$B$2:$B$829,0)))),"Yes","No"),"Page not found")</f>
        <v/>
      </c>
      <c r="O374" s="25" t="inlineStr">
        <is>
          <t>(none seen)</t>
        </is>
      </c>
      <c r="P374" s="25" t="n"/>
    </row>
    <row r="375" ht="23.85" customHeight="1" s="22">
      <c r="A375" s="36" t="inlineStr">
        <is>
          <t>https://instasure.ca/life-insurance/quebec/montreal/</t>
        </is>
      </c>
      <c r="B375" s="36" t="inlineStr">
        <is>
          <t>Product × city</t>
        </is>
      </c>
      <c r="C375" s="36" t="inlineStr">
        <is>
          <t>Life insurance</t>
        </is>
      </c>
      <c r="D375" s="36" t="inlineStr">
        <is>
          <t>life insurance montreal</t>
        </is>
      </c>
      <c r="E375" s="36" t="inlineStr">
        <is>
          <t>City</t>
        </is>
      </c>
      <c r="F375" s="36" t="inlineStr">
        <is>
          <t>Quebec</t>
        </is>
      </c>
      <c r="G375" s="36" t="inlineStr">
        <is>
          <t>Montreal</t>
        </is>
      </c>
      <c r="H375" s="37" t="n">
        <v>180</v>
      </c>
      <c r="I375" s="36" t="n">
        <v>39</v>
      </c>
      <c r="J375" s="36" t="inlineStr">
        <is>
          <t>local</t>
        </is>
      </c>
      <c r="K375" s="36" t="inlineStr">
        <is>
          <t>life-local</t>
        </is>
      </c>
      <c r="L375" s="36" t="n">
        <v>3</v>
      </c>
      <c r="M375" s="36" t="inlineStr">
        <is>
          <t>Primary</t>
        </is>
      </c>
      <c r="N375" s="39">
        <f>IFERROR(IF(ISNUMBER(SEARCH(D375,INDEX(Pages!$J$2:$J$829,MATCH(A375,Pages!$B$2:$B$829,0)))),"Yes","No"),"Page not found")</f>
        <v/>
      </c>
      <c r="O375" s="25" t="inlineStr">
        <is>
          <t>ratehub (thin)</t>
        </is>
      </c>
      <c r="P375" s="25" t="inlineStr">
        <is>
          <t>Quebec waitlist until AMF registration. Competitor city pages here are thin or carry stale dates (October 2026 review): freshness opening.</t>
        </is>
      </c>
    </row>
    <row r="376" ht="15" customHeight="1" s="22">
      <c r="A376" s="36" t="inlineStr">
        <is>
          <t>https://instasure.ca/super-visa-insurance/alberta/edmonton/</t>
        </is>
      </c>
      <c r="B376" s="36" t="inlineStr">
        <is>
          <t>Product × city</t>
        </is>
      </c>
      <c r="C376" s="36" t="inlineStr">
        <is>
          <t>Super Visa &amp; visitors insurance</t>
        </is>
      </c>
      <c r="D376" s="36" t="inlineStr">
        <is>
          <t>super visa insurance edmonton</t>
        </is>
      </c>
      <c r="E376" s="36" t="inlineStr">
        <is>
          <t>City</t>
        </is>
      </c>
      <c r="F376" s="36" t="inlineStr">
        <is>
          <t>Alberta</t>
        </is>
      </c>
      <c r="G376" s="36" t="inlineStr">
        <is>
          <t>Edmonton</t>
        </is>
      </c>
      <c r="H376" s="37" t="n">
        <v>180</v>
      </c>
      <c r="I376" s="36" t="n">
        <v>36</v>
      </c>
      <c r="J376" s="36" t="inlineStr">
        <is>
          <t>local</t>
        </is>
      </c>
      <c r="K376" s="36" t="inlineStr">
        <is>
          <t>travel-visitors</t>
        </is>
      </c>
      <c r="L376" s="36" t="n">
        <v>3</v>
      </c>
      <c r="M376" s="36" t="inlineStr">
        <is>
          <t>Primary</t>
        </is>
      </c>
      <c r="N376" s="39">
        <f>IFERROR(IF(ISNUMBER(SEARCH(D376,INDEX(Pages!$J$2:$J$829,MATCH(A376,Pages!$B$2:$B$829,0)))),"Yes","No"),"Page not found")</f>
        <v/>
      </c>
      <c r="O376" s="25" t="inlineStr">
        <is>
          <t>(none seen)</t>
        </is>
      </c>
      <c r="P376" s="25" t="n"/>
    </row>
    <row r="377" ht="15" customHeight="1" s="22">
      <c r="A377" s="36" t="inlineStr">
        <is>
          <t>https://instasure.ca/tenant-insurance/manitoba/</t>
        </is>
      </c>
      <c r="B377" s="36" t="inlineStr">
        <is>
          <t>Product × province</t>
        </is>
      </c>
      <c r="C377" s="36" t="inlineStr">
        <is>
          <t>Tenant insurance</t>
        </is>
      </c>
      <c r="D377" s="36" t="inlineStr">
        <is>
          <t>tenant insurance manitoba</t>
        </is>
      </c>
      <c r="E377" s="36" t="inlineStr">
        <is>
          <t>Provincial</t>
        </is>
      </c>
      <c r="F377" s="36" t="inlineStr">
        <is>
          <t>Manitoba</t>
        </is>
      </c>
      <c r="G377" s="36" t="n"/>
      <c r="H377" s="37" t="n">
        <v>180</v>
      </c>
      <c r="I377" s="36" t="n">
        <v>32</v>
      </c>
      <c r="J377" s="36" t="inlineStr">
        <is>
          <t>commercial</t>
        </is>
      </c>
      <c r="K377" s="36" t="inlineStr">
        <is>
          <t>property-province</t>
        </is>
      </c>
      <c r="L377" s="36" t="n">
        <v>4</v>
      </c>
      <c r="M377" s="36" t="inlineStr">
        <is>
          <t>Primary</t>
        </is>
      </c>
      <c r="N377" s="39">
        <f>IFERROR(IF(ISNUMBER(SEARCH(D377,INDEX(Pages!$J$2:$J$829,MATCH(A377,Pages!$B$2:$B$829,0)))),"Yes","No"),"Page not found")</f>
        <v/>
      </c>
      <c r="O377" s="25" t="inlineStr">
        <is>
          <t>(none seen)</t>
        </is>
      </c>
      <c r="P377" s="25" t="n"/>
    </row>
    <row r="378" ht="15" customHeight="1" s="22">
      <c r="A378" s="36" t="inlineStr">
        <is>
          <t>https://instasure.ca/tenant-insurance/ontario/windsor/</t>
        </is>
      </c>
      <c r="B378" s="36" t="inlineStr">
        <is>
          <t>Product × city</t>
        </is>
      </c>
      <c r="C378" s="36" t="inlineStr">
        <is>
          <t>Tenant insurance</t>
        </is>
      </c>
      <c r="D378" s="36" t="inlineStr">
        <is>
          <t>tenant insurance windsor</t>
        </is>
      </c>
      <c r="E378" s="36" t="inlineStr">
        <is>
          <t>City</t>
        </is>
      </c>
      <c r="F378" s="36" t="inlineStr">
        <is>
          <t>Ontario</t>
        </is>
      </c>
      <c r="G378" s="36" t="inlineStr">
        <is>
          <t>Windsor</t>
        </is>
      </c>
      <c r="H378" s="37" t="n">
        <v>180</v>
      </c>
      <c r="I378" s="36" t="n">
        <v>48</v>
      </c>
      <c r="J378" s="36" t="inlineStr">
        <is>
          <t>local</t>
        </is>
      </c>
      <c r="K378" s="36" t="inlineStr">
        <is>
          <t>property-local</t>
        </is>
      </c>
      <c r="L378" s="36" t="n">
        <v>4</v>
      </c>
      <c r="M378" s="36" t="inlineStr">
        <is>
          <t>Primary</t>
        </is>
      </c>
      <c r="N378" s="39">
        <f>IFERROR(IF(ISNUMBER(SEARCH(D378,INDEX(Pages!$J$2:$J$829,MATCH(A378,Pages!$B$2:$B$829,0)))),"Yes","No"),"Page not found")</f>
        <v/>
      </c>
      <c r="O378" s="25" t="inlineStr">
        <is>
          <t>(none seen)</t>
        </is>
      </c>
      <c r="P378" s="25" t="n"/>
    </row>
    <row r="379" ht="15" customHeight="1" s="22">
      <c r="A379" s="36" t="inlineStr">
        <is>
          <t>https://instasure.ca/business-insurance/british-columbia/surrey/</t>
        </is>
      </c>
      <c r="B379" s="36" t="inlineStr">
        <is>
          <t>Product × city</t>
        </is>
      </c>
      <c r="C379" s="36" t="inlineStr">
        <is>
          <t>Business insurance</t>
        </is>
      </c>
      <c r="D379" s="36" t="inlineStr">
        <is>
          <t>business insurance surrey</t>
        </is>
      </c>
      <c r="E379" s="36" t="inlineStr">
        <is>
          <t>City</t>
        </is>
      </c>
      <c r="F379" s="36" t="inlineStr">
        <is>
          <t>British Columbia</t>
        </is>
      </c>
      <c r="G379" s="36" t="inlineStr">
        <is>
          <t>Surrey</t>
        </is>
      </c>
      <c r="H379" s="37" t="n">
        <v>170</v>
      </c>
      <c r="I379" s="36" t="n">
        <v>33</v>
      </c>
      <c r="J379" s="36" t="inlineStr">
        <is>
          <t>local</t>
        </is>
      </c>
      <c r="K379" s="36" t="inlineStr">
        <is>
          <t>business-local</t>
        </is>
      </c>
      <c r="L379" s="36" t="n">
        <v>2</v>
      </c>
      <c r="M379" s="36" t="inlineStr">
        <is>
          <t>Primary</t>
        </is>
      </c>
      <c r="N379" s="39">
        <f>IFERROR(IF(ISNUMBER(SEARCH(D379,INDEX(Pages!$J$2:$J$829,MATCH(A379,Pages!$B$2:$B$829,0)))),"Yes","No"),"Page not found")</f>
        <v/>
      </c>
      <c r="O379" s="25" t="inlineStr">
        <is>
          <t>(none seen)</t>
        </is>
      </c>
      <c r="P379" s="25" t="n"/>
    </row>
    <row r="380" ht="15" customHeight="1" s="22">
      <c r="A380" s="36" t="inlineStr">
        <is>
          <t>https://instasure.ca/business-insurance/ontario/hamilton/</t>
        </is>
      </c>
      <c r="B380" s="36" t="inlineStr">
        <is>
          <t>Product × city</t>
        </is>
      </c>
      <c r="C380" s="36" t="inlineStr">
        <is>
          <t>Business insurance</t>
        </is>
      </c>
      <c r="D380" s="36" t="inlineStr">
        <is>
          <t>business insurance hamilton</t>
        </is>
      </c>
      <c r="E380" s="36" t="inlineStr">
        <is>
          <t>City</t>
        </is>
      </c>
      <c r="F380" s="36" t="inlineStr">
        <is>
          <t>Ontario</t>
        </is>
      </c>
      <c r="G380" s="36" t="inlineStr">
        <is>
          <t>Hamilton</t>
        </is>
      </c>
      <c r="H380" s="37" t="n">
        <v>170</v>
      </c>
      <c r="I380" s="36" t="n">
        <v>41</v>
      </c>
      <c r="J380" s="36" t="inlineStr">
        <is>
          <t>local</t>
        </is>
      </c>
      <c r="K380" s="36" t="inlineStr">
        <is>
          <t>business-local</t>
        </is>
      </c>
      <c r="L380" s="36" t="n">
        <v>2</v>
      </c>
      <c r="M380" s="36" t="inlineStr">
        <is>
          <t>Primary</t>
        </is>
      </c>
      <c r="N380" s="39">
        <f>IFERROR(IF(ISNUMBER(SEARCH(D380,INDEX(Pages!$J$2:$J$829,MATCH(A380,Pages!$B$2:$B$829,0)))),"Yes","No"),"Page not found")</f>
        <v/>
      </c>
      <c r="O380" s="25" t="inlineStr">
        <is>
          <t>(none seen)</t>
        </is>
      </c>
      <c r="P380" s="25" t="n"/>
    </row>
    <row r="381" ht="15" customHeight="1" s="22">
      <c r="A381" s="36" t="inlineStr">
        <is>
          <t>https://instasure.ca/condo-insurance/british-columbia/surrey/</t>
        </is>
      </c>
      <c r="B381" s="36" t="inlineStr">
        <is>
          <t>Product × city</t>
        </is>
      </c>
      <c r="C381" s="36" t="inlineStr">
        <is>
          <t>Condo insurance</t>
        </is>
      </c>
      <c r="D381" s="36" t="inlineStr">
        <is>
          <t>condo insurance surrey</t>
        </is>
      </c>
      <c r="E381" s="36" t="inlineStr">
        <is>
          <t>City</t>
        </is>
      </c>
      <c r="F381" s="36" t="inlineStr">
        <is>
          <t>British Columbia</t>
        </is>
      </c>
      <c r="G381" s="36" t="inlineStr">
        <is>
          <t>Surrey</t>
        </is>
      </c>
      <c r="H381" s="37" t="n">
        <v>170</v>
      </c>
      <c r="I381" s="36" t="n">
        <v>40</v>
      </c>
      <c r="J381" s="36" t="inlineStr">
        <is>
          <t>local</t>
        </is>
      </c>
      <c r="K381" s="36" t="inlineStr">
        <is>
          <t>property-local</t>
        </is>
      </c>
      <c r="L381" s="36" t="n">
        <v>3</v>
      </c>
      <c r="M381" s="36" t="inlineStr">
        <is>
          <t>Primary</t>
        </is>
      </c>
      <c r="N381" s="39">
        <f>IFERROR(IF(ISNUMBER(SEARCH(D381,INDEX(Pages!$J$2:$J$829,MATCH(A381,Pages!$B$2:$B$829,0)))),"Yes","No"),"Page not found")</f>
        <v/>
      </c>
      <c r="O381" s="25" t="inlineStr">
        <is>
          <t>(none seen)</t>
        </is>
      </c>
      <c r="P381" s="25" t="n"/>
    </row>
    <row r="382" ht="15" customHeight="1" s="22">
      <c r="A382" s="36" t="inlineStr">
        <is>
          <t>https://instasure.ca/condo-insurance/ontario/hamilton/</t>
        </is>
      </c>
      <c r="B382" s="36" t="inlineStr">
        <is>
          <t>Product × city</t>
        </is>
      </c>
      <c r="C382" s="36" t="inlineStr">
        <is>
          <t>Condo insurance</t>
        </is>
      </c>
      <c r="D382" s="36" t="inlineStr">
        <is>
          <t>condo insurance hamilton</t>
        </is>
      </c>
      <c r="E382" s="36" t="inlineStr">
        <is>
          <t>City</t>
        </is>
      </c>
      <c r="F382" s="36" t="inlineStr">
        <is>
          <t>Ontario</t>
        </is>
      </c>
      <c r="G382" s="36" t="inlineStr">
        <is>
          <t>Hamilton</t>
        </is>
      </c>
      <c r="H382" s="37" t="n">
        <v>170</v>
      </c>
      <c r="I382" s="36" t="n">
        <v>48</v>
      </c>
      <c r="J382" s="36" t="inlineStr">
        <is>
          <t>local</t>
        </is>
      </c>
      <c r="K382" s="36" t="inlineStr">
        <is>
          <t>property-local</t>
        </is>
      </c>
      <c r="L382" s="36" t="n">
        <v>3</v>
      </c>
      <c r="M382" s="36" t="inlineStr">
        <is>
          <t>Primary</t>
        </is>
      </c>
      <c r="N382" s="39">
        <f>IFERROR(IF(ISNUMBER(SEARCH(D382,INDEX(Pages!$J$2:$J$829,MATCH(A382,Pages!$B$2:$B$829,0)))),"Yes","No"),"Page not found")</f>
        <v/>
      </c>
      <c r="O382" s="25" t="inlineStr">
        <is>
          <t>(none seen)</t>
        </is>
      </c>
      <c r="P382" s="25" t="n"/>
    </row>
    <row r="383" ht="23.85" customHeight="1" s="22">
      <c r="A383" s="36" t="inlineStr">
        <is>
          <t>https://instasure.ca/home-insurance/british-columbia/langley/</t>
        </is>
      </c>
      <c r="B383" s="36" t="inlineStr">
        <is>
          <t>Product × city</t>
        </is>
      </c>
      <c r="C383" s="36" t="inlineStr">
        <is>
          <t>Home insurance</t>
        </is>
      </c>
      <c r="D383" s="36" t="inlineStr">
        <is>
          <t>home insurance langley</t>
        </is>
      </c>
      <c r="E383" s="36" t="inlineStr">
        <is>
          <t>City</t>
        </is>
      </c>
      <c r="F383" s="36" t="inlineStr">
        <is>
          <t>British Columbia</t>
        </is>
      </c>
      <c r="G383" s="36" t="inlineStr">
        <is>
          <t>Langley</t>
        </is>
      </c>
      <c r="H383" s="37" t="n">
        <v>170</v>
      </c>
      <c r="I383" s="36" t="n">
        <v>32</v>
      </c>
      <c r="J383" s="36" t="inlineStr">
        <is>
          <t>local</t>
        </is>
      </c>
      <c r="K383" s="36" t="inlineStr">
        <is>
          <t>property-local</t>
        </is>
      </c>
      <c r="L383" s="36" t="n">
        <v>3</v>
      </c>
      <c r="M383" s="36" t="inlineStr">
        <is>
          <t>Primary</t>
        </is>
      </c>
      <c r="N383" s="39">
        <f>IFERROR(IF(ISNUMBER(SEARCH(D383,INDEX(Pages!$J$2:$J$829,MATCH(A383,Pages!$B$2:$B$829,0)))),"Yes","No"),"Page not found")</f>
        <v/>
      </c>
      <c r="O383" s="25" t="inlineStr">
        <is>
          <t>(none seen)</t>
        </is>
      </c>
      <c r="P383" s="25" t="inlineStr">
        <is>
          <t>Page exists but is noindex until an editor adds a 300+ character local intro (Admin → SEO → Page overrides).</t>
        </is>
      </c>
    </row>
    <row r="384" ht="23.85" customHeight="1" s="22">
      <c r="A384" s="36" t="inlineStr">
        <is>
          <t>https://instasure.ca/home-insurance/ontario/cambridge/</t>
        </is>
      </c>
      <c r="B384" s="36" t="inlineStr">
        <is>
          <t>Product × city</t>
        </is>
      </c>
      <c r="C384" s="36" t="inlineStr">
        <is>
          <t>Home insurance</t>
        </is>
      </c>
      <c r="D384" s="36" t="inlineStr">
        <is>
          <t>home insurance cambridge</t>
        </is>
      </c>
      <c r="E384" s="36" t="inlineStr">
        <is>
          <t>City</t>
        </is>
      </c>
      <c r="F384" s="36" t="inlineStr">
        <is>
          <t>Ontario</t>
        </is>
      </c>
      <c r="G384" s="36" t="inlineStr">
        <is>
          <t>Cambridge</t>
        </is>
      </c>
      <c r="H384" s="37" t="n">
        <v>170</v>
      </c>
      <c r="I384" s="36" t="n">
        <v>44</v>
      </c>
      <c r="J384" s="36" t="inlineStr">
        <is>
          <t>local</t>
        </is>
      </c>
      <c r="K384" s="36" t="inlineStr">
        <is>
          <t>property-local</t>
        </is>
      </c>
      <c r="L384" s="36" t="n">
        <v>4</v>
      </c>
      <c r="M384" s="36" t="inlineStr">
        <is>
          <t>Primary</t>
        </is>
      </c>
      <c r="N384" s="39">
        <f>IFERROR(IF(ISNUMBER(SEARCH(D384,INDEX(Pages!$J$2:$J$829,MATCH(A384,Pages!$B$2:$B$829,0)))),"Yes","No"),"Page not found")</f>
        <v/>
      </c>
      <c r="O384" s="25" t="inlineStr">
        <is>
          <t>rates.ca</t>
        </is>
      </c>
      <c r="P384" s="25" t="inlineStr">
        <is>
          <t>Page exists but is noindex until an editor adds a 300+ character local intro (Admin → SEO → Page overrides).</t>
        </is>
      </c>
    </row>
    <row r="385" ht="15" customHeight="1" s="22">
      <c r="A385" s="36" t="inlineStr">
        <is>
          <t>https://instasure.ca/home-insurance/ontario/kingston/</t>
        </is>
      </c>
      <c r="B385" s="36" t="inlineStr">
        <is>
          <t>Product × city</t>
        </is>
      </c>
      <c r="C385" s="36" t="inlineStr">
        <is>
          <t>Home insurance</t>
        </is>
      </c>
      <c r="D385" s="36" t="inlineStr">
        <is>
          <t>home insurance kingston</t>
        </is>
      </c>
      <c r="E385" s="36" t="inlineStr">
        <is>
          <t>City</t>
        </is>
      </c>
      <c r="F385" s="36" t="inlineStr">
        <is>
          <t>Ontario</t>
        </is>
      </c>
      <c r="G385" s="36" t="inlineStr">
        <is>
          <t>Kingston</t>
        </is>
      </c>
      <c r="H385" s="37" t="n">
        <v>170</v>
      </c>
      <c r="I385" s="36" t="n">
        <v>48</v>
      </c>
      <c r="J385" s="36" t="inlineStr">
        <is>
          <t>local</t>
        </is>
      </c>
      <c r="K385" s="36" t="inlineStr">
        <is>
          <t>property-local</t>
        </is>
      </c>
      <c r="L385" s="36" t="n">
        <v>3</v>
      </c>
      <c r="M385" s="36" t="inlineStr">
        <is>
          <t>Primary</t>
        </is>
      </c>
      <c r="N385" s="39">
        <f>IFERROR(IF(ISNUMBER(SEARCH(D385,INDEX(Pages!$J$2:$J$829,MATCH(A385,Pages!$B$2:$B$829,0)))),"Yes","No"),"Page not found")</f>
        <v/>
      </c>
      <c r="O385" s="25" t="inlineStr">
        <is>
          <t>(none seen)</t>
        </is>
      </c>
      <c r="P385" s="25" t="n"/>
    </row>
    <row r="386" ht="23.85" customHeight="1" s="22">
      <c r="A386" s="36" t="inlineStr">
        <is>
          <t>https://instasure.ca/home-insurance/ontario/milton/</t>
        </is>
      </c>
      <c r="B386" s="36" t="inlineStr">
        <is>
          <t>Product × city</t>
        </is>
      </c>
      <c r="C386" s="36" t="inlineStr">
        <is>
          <t>Home insurance</t>
        </is>
      </c>
      <c r="D386" s="36" t="inlineStr">
        <is>
          <t>home insurance milton</t>
        </is>
      </c>
      <c r="E386" s="36" t="inlineStr">
        <is>
          <t>City</t>
        </is>
      </c>
      <c r="F386" s="36" t="inlineStr">
        <is>
          <t>Ontario</t>
        </is>
      </c>
      <c r="G386" s="36" t="inlineStr">
        <is>
          <t>Milton</t>
        </is>
      </c>
      <c r="H386" s="37" t="n">
        <v>170</v>
      </c>
      <c r="I386" s="36" t="n">
        <v>40</v>
      </c>
      <c r="J386" s="36" t="inlineStr">
        <is>
          <t>local</t>
        </is>
      </c>
      <c r="K386" s="36" t="inlineStr">
        <is>
          <t>property-local</t>
        </is>
      </c>
      <c r="L386" s="36" t="n">
        <v>4</v>
      </c>
      <c r="M386" s="36" t="inlineStr">
        <is>
          <t>Primary</t>
        </is>
      </c>
      <c r="N386" s="39">
        <f>IFERROR(IF(ISNUMBER(SEARCH(D386,INDEX(Pages!$J$2:$J$829,MATCH(A386,Pages!$B$2:$B$829,0)))),"Yes","No"),"Page not found")</f>
        <v/>
      </c>
      <c r="O386" s="25" t="inlineStr">
        <is>
          <t>(none seen)</t>
        </is>
      </c>
      <c r="P386" s="25" t="inlineStr">
        <is>
          <t>Page exists but is noindex until an editor adds a 300+ character local intro (Admin → SEO → Page overrides).</t>
        </is>
      </c>
    </row>
    <row r="387" ht="15" customHeight="1" s="22">
      <c r="A387" s="36" t="inlineStr">
        <is>
          <t>https://instasure.ca/home-insurance/ontario/st-catharines/</t>
        </is>
      </c>
      <c r="B387" s="36" t="inlineStr">
        <is>
          <t>Product × city</t>
        </is>
      </c>
      <c r="C387" s="36" t="inlineStr">
        <is>
          <t>Home insurance</t>
        </is>
      </c>
      <c r="D387" s="36" t="inlineStr">
        <is>
          <t>home insurance st catharines</t>
        </is>
      </c>
      <c r="E387" s="36" t="inlineStr">
        <is>
          <t>City</t>
        </is>
      </c>
      <c r="F387" s="36" t="inlineStr">
        <is>
          <t>Ontario</t>
        </is>
      </c>
      <c r="G387" s="36" t="inlineStr">
        <is>
          <t>St. Catharines</t>
        </is>
      </c>
      <c r="H387" s="37" t="n">
        <v>170</v>
      </c>
      <c r="I387" s="36" t="n">
        <v>52</v>
      </c>
      <c r="J387" s="36" t="inlineStr">
        <is>
          <t>local</t>
        </is>
      </c>
      <c r="K387" s="36" t="inlineStr">
        <is>
          <t>property-local</t>
        </is>
      </c>
      <c r="L387" s="36" t="n">
        <v>3</v>
      </c>
      <c r="M387" s="36" t="inlineStr">
        <is>
          <t>Primary</t>
        </is>
      </c>
      <c r="N387" s="39">
        <f>IFERROR(IF(ISNUMBER(SEARCH(D387,INDEX(Pages!$J$2:$J$829,MATCH(A387,Pages!$B$2:$B$829,0)))),"Yes","No"),"Page not found")</f>
        <v/>
      </c>
      <c r="O387" s="25" t="inlineStr">
        <is>
          <t>rates.ca</t>
        </is>
      </c>
      <c r="P387" s="25" t="n"/>
    </row>
    <row r="388" ht="23.85" customHeight="1" s="22">
      <c r="A388" s="36" t="inlineStr">
        <is>
          <t>https://instasure.ca/home-insurance/ontario/whitby/</t>
        </is>
      </c>
      <c r="B388" s="36" t="inlineStr">
        <is>
          <t>Product × city</t>
        </is>
      </c>
      <c r="C388" s="36" t="inlineStr">
        <is>
          <t>Home insurance</t>
        </is>
      </c>
      <c r="D388" s="36" t="inlineStr">
        <is>
          <t>home insurance whitby</t>
        </is>
      </c>
      <c r="E388" s="36" t="inlineStr">
        <is>
          <t>City</t>
        </is>
      </c>
      <c r="F388" s="36" t="inlineStr">
        <is>
          <t>Ontario</t>
        </is>
      </c>
      <c r="G388" s="36" t="inlineStr">
        <is>
          <t>Whitby</t>
        </is>
      </c>
      <c r="H388" s="37" t="n">
        <v>170</v>
      </c>
      <c r="I388" s="36" t="n">
        <v>40</v>
      </c>
      <c r="J388" s="36" t="inlineStr">
        <is>
          <t>local</t>
        </is>
      </c>
      <c r="K388" s="36" t="inlineStr">
        <is>
          <t>property-local</t>
        </is>
      </c>
      <c r="L388" s="36" t="n">
        <v>4</v>
      </c>
      <c r="M388" s="36" t="inlineStr">
        <is>
          <t>Primary</t>
        </is>
      </c>
      <c r="N388" s="39">
        <f>IFERROR(IF(ISNUMBER(SEARCH(D388,INDEX(Pages!$J$2:$J$829,MATCH(A388,Pages!$B$2:$B$829,0)))),"Yes","No"),"Page not found")</f>
        <v/>
      </c>
      <c r="O388" s="25" t="inlineStr">
        <is>
          <t>(none seen)</t>
        </is>
      </c>
      <c r="P388" s="25" t="inlineStr">
        <is>
          <t>Page exists but is noindex until an editor adds a 300+ character local intro (Admin → SEO → Page overrides).</t>
        </is>
      </c>
    </row>
    <row r="389" ht="15" customHeight="1" s="22">
      <c r="A389" s="36" t="inlineStr">
        <is>
          <t>https://instasure.ca/mortgage-life-insurance/ontario/</t>
        </is>
      </c>
      <c r="B389" s="36" t="inlineStr">
        <is>
          <t>Product × province</t>
        </is>
      </c>
      <c r="C389" s="36" t="inlineStr">
        <is>
          <t>Mortgage protection</t>
        </is>
      </c>
      <c r="D389" s="36" t="inlineStr">
        <is>
          <t>mortgage life insurance ontario</t>
        </is>
      </c>
      <c r="E389" s="36" t="inlineStr">
        <is>
          <t>Provincial</t>
        </is>
      </c>
      <c r="F389" s="36" t="inlineStr">
        <is>
          <t>Ontario</t>
        </is>
      </c>
      <c r="G389" s="36" t="n"/>
      <c r="H389" s="37" t="n">
        <v>170</v>
      </c>
      <c r="I389" s="36" t="n">
        <v>37</v>
      </c>
      <c r="J389" s="36" t="inlineStr">
        <is>
          <t>commercial</t>
        </is>
      </c>
      <c r="K389" s="36" t="inlineStr">
        <is>
          <t>life-mortgage</t>
        </is>
      </c>
      <c r="L389" s="36" t="n">
        <v>2</v>
      </c>
      <c r="M389" s="36" t="inlineStr">
        <is>
          <t>Primary</t>
        </is>
      </c>
      <c r="N389" s="39">
        <f>IFERROR(IF(ISNUMBER(SEARCH(D389,INDEX(Pages!$J$2:$J$829,MATCH(A389,Pages!$B$2:$B$829,0)))),"Yes","No"),"Page not found")</f>
        <v/>
      </c>
      <c r="O389" s="25" t="inlineStr">
        <is>
          <t>(none seen)</t>
        </is>
      </c>
      <c r="P389" s="25" t="n"/>
    </row>
    <row r="390" ht="15" customHeight="1" s="22">
      <c r="A390" s="36" t="inlineStr">
        <is>
          <t>https://instasure.ca/super-visa-insurance/alberta/</t>
        </is>
      </c>
      <c r="B390" s="36" t="inlineStr">
        <is>
          <t>Product × province</t>
        </is>
      </c>
      <c r="C390" s="36" t="inlineStr">
        <is>
          <t>Super Visa &amp; visitors insurance</t>
        </is>
      </c>
      <c r="D390" s="36" t="inlineStr">
        <is>
          <t>super visa insurance alberta</t>
        </is>
      </c>
      <c r="E390" s="36" t="inlineStr">
        <is>
          <t>Provincial</t>
        </is>
      </c>
      <c r="F390" s="36" t="inlineStr">
        <is>
          <t>Alberta</t>
        </is>
      </c>
      <c r="G390" s="36" t="n"/>
      <c r="H390" s="37" t="n">
        <v>170</v>
      </c>
      <c r="I390" s="36" t="n">
        <v>34</v>
      </c>
      <c r="J390" s="36" t="inlineStr">
        <is>
          <t>commercial</t>
        </is>
      </c>
      <c r="K390" s="36" t="inlineStr">
        <is>
          <t>travel-visitors</t>
        </is>
      </c>
      <c r="L390" s="36" t="n">
        <v>3</v>
      </c>
      <c r="M390" s="36" t="inlineStr">
        <is>
          <t>Primary</t>
        </is>
      </c>
      <c r="N390" s="39">
        <f>IFERROR(IF(ISNUMBER(SEARCH(D390,INDEX(Pages!$J$2:$J$829,MATCH(A390,Pages!$B$2:$B$829,0)))),"Yes","No"),"Page not found")</f>
        <v/>
      </c>
      <c r="O390" s="25" t="inlineStr">
        <is>
          <t>(none seen)</t>
        </is>
      </c>
      <c r="P390" s="25" t="inlineStr">
        <is>
          <t>Province page targets super visa buyers sponsoring parents locally.</t>
        </is>
      </c>
    </row>
    <row r="391" ht="15" customHeight="1" s="22">
      <c r="A391" s="36" t="inlineStr">
        <is>
          <t>https://instasure.ca/super-visa-insurance/manitoba/winnipeg/</t>
        </is>
      </c>
      <c r="B391" s="36" t="inlineStr">
        <is>
          <t>Product × city</t>
        </is>
      </c>
      <c r="C391" s="36" t="inlineStr">
        <is>
          <t>Super Visa &amp; visitors insurance</t>
        </is>
      </c>
      <c r="D391" s="36" t="inlineStr">
        <is>
          <t>super visa insurance winnipeg</t>
        </is>
      </c>
      <c r="E391" s="36" t="inlineStr">
        <is>
          <t>City</t>
        </is>
      </c>
      <c r="F391" s="36" t="inlineStr">
        <is>
          <t>Manitoba</t>
        </is>
      </c>
      <c r="G391" s="36" t="inlineStr">
        <is>
          <t>Winnipeg</t>
        </is>
      </c>
      <c r="H391" s="37" t="n">
        <v>170</v>
      </c>
      <c r="I391" s="36" t="n">
        <v>28</v>
      </c>
      <c r="J391" s="36" t="inlineStr">
        <is>
          <t>local</t>
        </is>
      </c>
      <c r="K391" s="36" t="inlineStr">
        <is>
          <t>travel-visitors</t>
        </is>
      </c>
      <c r="L391" s="36" t="n">
        <v>3</v>
      </c>
      <c r="M391" s="36" t="inlineStr">
        <is>
          <t>Primary</t>
        </is>
      </c>
      <c r="N391" s="39">
        <f>IFERROR(IF(ISNUMBER(SEARCH(D391,INDEX(Pages!$J$2:$J$829,MATCH(A391,Pages!$B$2:$B$829,0)))),"Yes","No"),"Page not found")</f>
        <v/>
      </c>
      <c r="O391" s="25" t="inlineStr">
        <is>
          <t>(none seen)</t>
        </is>
      </c>
      <c r="P391" s="25" t="n"/>
    </row>
    <row r="392" ht="15" customHeight="1" s="22">
      <c r="A392" s="36" t="inlineStr">
        <is>
          <t>https://instasure.ca/tenant-insurance/ontario/oakville/</t>
        </is>
      </c>
      <c r="B392" s="36" t="inlineStr">
        <is>
          <t>Product × city</t>
        </is>
      </c>
      <c r="C392" s="36" t="inlineStr">
        <is>
          <t>Tenant insurance</t>
        </is>
      </c>
      <c r="D392" s="36" t="inlineStr">
        <is>
          <t>tenant insurance oakville</t>
        </is>
      </c>
      <c r="E392" s="36" t="inlineStr">
        <is>
          <t>City</t>
        </is>
      </c>
      <c r="F392" s="36" t="inlineStr">
        <is>
          <t>Ontario</t>
        </is>
      </c>
      <c r="G392" s="36" t="inlineStr">
        <is>
          <t>Oakville</t>
        </is>
      </c>
      <c r="H392" s="37" t="n">
        <v>170</v>
      </c>
      <c r="I392" s="36" t="n">
        <v>40</v>
      </c>
      <c r="J392" s="36" t="inlineStr">
        <is>
          <t>local</t>
        </is>
      </c>
      <c r="K392" s="36" t="inlineStr">
        <is>
          <t>property-local</t>
        </is>
      </c>
      <c r="L392" s="36" t="n">
        <v>4</v>
      </c>
      <c r="M392" s="36" t="inlineStr">
        <is>
          <t>Primary</t>
        </is>
      </c>
      <c r="N392" s="39">
        <f>IFERROR(IF(ISNUMBER(SEARCH(D392,INDEX(Pages!$J$2:$J$829,MATCH(A392,Pages!$B$2:$B$829,0)))),"Yes","No"),"Page not found")</f>
        <v/>
      </c>
      <c r="O392" s="25" t="inlineStr">
        <is>
          <t>(none seen)</t>
        </is>
      </c>
      <c r="P392" s="25" t="n"/>
    </row>
    <row r="393" ht="15" customHeight="1" s="22">
      <c r="A393" s="36" t="inlineStr">
        <is>
          <t>https://instasure.ca/tenant-insurance/saskatchewan/regina/</t>
        </is>
      </c>
      <c r="B393" s="36" t="inlineStr">
        <is>
          <t>Product × city</t>
        </is>
      </c>
      <c r="C393" s="36" t="inlineStr">
        <is>
          <t>Tenant insurance</t>
        </is>
      </c>
      <c r="D393" s="36" t="inlineStr">
        <is>
          <t>tenant insurance regina</t>
        </is>
      </c>
      <c r="E393" s="36" t="inlineStr">
        <is>
          <t>City</t>
        </is>
      </c>
      <c r="F393" s="36" t="inlineStr">
        <is>
          <t>Saskatchewan</t>
        </is>
      </c>
      <c r="G393" s="36" t="inlineStr">
        <is>
          <t>Regina</t>
        </is>
      </c>
      <c r="H393" s="37" t="n">
        <v>170</v>
      </c>
      <c r="I393" s="36" t="n">
        <v>40</v>
      </c>
      <c r="J393" s="36" t="inlineStr">
        <is>
          <t>local</t>
        </is>
      </c>
      <c r="K393" s="36" t="inlineStr">
        <is>
          <t>property-local</t>
        </is>
      </c>
      <c r="L393" s="36" t="n">
        <v>4</v>
      </c>
      <c r="M393" s="36" t="inlineStr">
        <is>
          <t>Primary</t>
        </is>
      </c>
      <c r="N393" s="39">
        <f>IFERROR(IF(ISNUMBER(SEARCH(D393,INDEX(Pages!$J$2:$J$829,MATCH(A393,Pages!$B$2:$B$829,0)))),"Yes","No"),"Page not found")</f>
        <v/>
      </c>
      <c r="O393" s="25" t="inlineStr">
        <is>
          <t>(none seen)</t>
        </is>
      </c>
      <c r="P393" s="25" t="n"/>
    </row>
    <row r="394" ht="23.85" customHeight="1" s="22">
      <c r="A394" s="36" t="inlineStr">
        <is>
          <t>https://instasure.ca/home-insurance/ontario/ajax/</t>
        </is>
      </c>
      <c r="B394" s="36" t="inlineStr">
        <is>
          <t>Product × city</t>
        </is>
      </c>
      <c r="C394" s="36" t="inlineStr">
        <is>
          <t>Home insurance</t>
        </is>
      </c>
      <c r="D394" s="36" t="inlineStr">
        <is>
          <t>home insurance ajax</t>
        </is>
      </c>
      <c r="E394" s="36" t="inlineStr">
        <is>
          <t>City</t>
        </is>
      </c>
      <c r="F394" s="36" t="inlineStr">
        <is>
          <t>Ontario</t>
        </is>
      </c>
      <c r="G394" s="36" t="inlineStr">
        <is>
          <t>Ajax</t>
        </is>
      </c>
      <c r="H394" s="37" t="n">
        <v>160</v>
      </c>
      <c r="I394" s="36" t="n">
        <v>40</v>
      </c>
      <c r="J394" s="36" t="inlineStr">
        <is>
          <t>local</t>
        </is>
      </c>
      <c r="K394" s="36" t="inlineStr">
        <is>
          <t>property-local</t>
        </is>
      </c>
      <c r="L394" s="36" t="n">
        <v>4</v>
      </c>
      <c r="M394" s="36" t="inlineStr">
        <is>
          <t>Primary</t>
        </is>
      </c>
      <c r="N394" s="39">
        <f>IFERROR(IF(ISNUMBER(SEARCH(D394,INDEX(Pages!$J$2:$J$829,MATCH(A394,Pages!$B$2:$B$829,0)))),"Yes","No"),"Page not found")</f>
        <v/>
      </c>
      <c r="O394" s="25" t="inlineStr">
        <is>
          <t>(none seen)</t>
        </is>
      </c>
      <c r="P394" s="25" t="inlineStr">
        <is>
          <t>Page exists but is noindex until an editor adds a 300+ character local intro (Admin → SEO → Page overrides).</t>
        </is>
      </c>
    </row>
    <row r="395" ht="15" customHeight="1" s="22">
      <c r="A395" s="36" t="inlineStr">
        <is>
          <t>https://instasure.ca/home-insurance/quebec/quebec-city/</t>
        </is>
      </c>
      <c r="B395" s="36" t="inlineStr">
        <is>
          <t>Product × city</t>
        </is>
      </c>
      <c r="C395" s="36" t="inlineStr">
        <is>
          <t>Home insurance</t>
        </is>
      </c>
      <c r="D395" s="36" t="inlineStr">
        <is>
          <t>home insurance quebec city</t>
        </is>
      </c>
      <c r="E395" s="36" t="inlineStr">
        <is>
          <t>City</t>
        </is>
      </c>
      <c r="F395" s="36" t="inlineStr">
        <is>
          <t>Quebec</t>
        </is>
      </c>
      <c r="G395" s="36" t="inlineStr">
        <is>
          <t>Quebec City</t>
        </is>
      </c>
      <c r="H395" s="37" t="n">
        <v>160</v>
      </c>
      <c r="I395" s="36" t="n">
        <v>52</v>
      </c>
      <c r="J395" s="36" t="inlineStr">
        <is>
          <t>local</t>
        </is>
      </c>
      <c r="K395" s="36" t="inlineStr">
        <is>
          <t>property-local</t>
        </is>
      </c>
      <c r="L395" s="36" t="n">
        <v>5</v>
      </c>
      <c r="M395" s="36" t="inlineStr">
        <is>
          <t>Primary</t>
        </is>
      </c>
      <c r="N395" s="39">
        <f>IFERROR(IF(ISNUMBER(SEARCH(D395,INDEX(Pages!$J$2:$J$829,MATCH(A395,Pages!$B$2:$B$829,0)))),"Yes","No"),"Page not found")</f>
        <v/>
      </c>
      <c r="O395" s="25" t="inlineStr">
        <is>
          <t>sonnet</t>
        </is>
      </c>
      <c r="P395" s="25" t="inlineStr">
        <is>
          <t>Quebec waitlist until AMF registration.</t>
        </is>
      </c>
    </row>
    <row r="396" ht="15" customHeight="1" s="22">
      <c r="A396" s="36" t="inlineStr">
        <is>
          <t>https://instasure.ca/insurance/nova-scotia/halifax/</t>
        </is>
      </c>
      <c r="B396" s="36" t="inlineStr">
        <is>
          <t>Place hub</t>
        </is>
      </c>
      <c r="C396" s="36" t="inlineStr">
        <is>
          <t>Multi-line (place hubs)</t>
        </is>
      </c>
      <c r="D396" s="36" t="inlineStr">
        <is>
          <t>insurance advisor halifax</t>
        </is>
      </c>
      <c r="E396" s="36" t="inlineStr">
        <is>
          <t>City</t>
        </is>
      </c>
      <c r="F396" s="36" t="inlineStr">
        <is>
          <t>Nova Scotia</t>
        </is>
      </c>
      <c r="G396" s="36" t="inlineStr">
        <is>
          <t>Halifax</t>
        </is>
      </c>
      <c r="H396" s="37" t="n">
        <v>160</v>
      </c>
      <c r="I396" s="36" t="n">
        <v>30</v>
      </c>
      <c r="J396" s="36" t="inlineStr">
        <is>
          <t>local</t>
        </is>
      </c>
      <c r="K396" s="36" t="inlineStr">
        <is>
          <t>advisors</t>
        </is>
      </c>
      <c r="L396" s="36" t="n">
        <v>2</v>
      </c>
      <c r="M396" s="36" t="inlineStr">
        <is>
          <t>Primary</t>
        </is>
      </c>
      <c r="N396" s="39">
        <f>IFERROR(IF(ISNUMBER(SEARCH(D396,INDEX(Pages!$J$2:$J$829,MATCH(A396,Pages!$B$2:$B$829,0)))),"Yes","No"),"Page not found")</f>
        <v/>
      </c>
      <c r="O396" s="25" t="inlineStr">
        <is>
          <t>local brokers, thinkinsure, rates.ca (broker pages)</t>
        </is>
      </c>
      <c r="P396" s="25" t="inlineStr">
        <is>
          <t>City hub. Add a Google Business Profile only where an advisor really works from that city.</t>
        </is>
      </c>
    </row>
    <row r="397" ht="15" customHeight="1" s="22">
      <c r="A397" s="36" t="inlineStr">
        <is>
          <t>https://instasure.ca/life-insurance/ontario/markham/</t>
        </is>
      </c>
      <c r="B397" s="36" t="inlineStr">
        <is>
          <t>Product × city</t>
        </is>
      </c>
      <c r="C397" s="36" t="inlineStr">
        <is>
          <t>Life insurance</t>
        </is>
      </c>
      <c r="D397" s="36" t="inlineStr">
        <is>
          <t>life insurance markham</t>
        </is>
      </c>
      <c r="E397" s="36" t="inlineStr">
        <is>
          <t>City</t>
        </is>
      </c>
      <c r="F397" s="36" t="inlineStr">
        <is>
          <t>Ontario</t>
        </is>
      </c>
      <c r="G397" s="36" t="inlineStr">
        <is>
          <t>Markham</t>
        </is>
      </c>
      <c r="H397" s="37" t="n">
        <v>160</v>
      </c>
      <c r="I397" s="36" t="n">
        <v>43</v>
      </c>
      <c r="J397" s="36" t="inlineStr">
        <is>
          <t>local</t>
        </is>
      </c>
      <c r="K397" s="36" t="inlineStr">
        <is>
          <t>life-local</t>
        </is>
      </c>
      <c r="L397" s="36" t="n">
        <v>2</v>
      </c>
      <c r="M397" s="36" t="inlineStr">
        <is>
          <t>Primary</t>
        </is>
      </c>
      <c r="N397" s="39">
        <f>IFERROR(IF(ISNUMBER(SEARCH(D397,INDEX(Pages!$J$2:$J$829,MATCH(A397,Pages!$B$2:$B$829,0)))),"Yes","No"),"Page not found")</f>
        <v/>
      </c>
      <c r="O397" s="25" t="inlineStr">
        <is>
          <t>(none seen)</t>
        </is>
      </c>
      <c r="P397" s="25" t="n"/>
    </row>
    <row r="398" ht="15" customHeight="1" s="22">
      <c r="A398" s="36" t="inlineStr">
        <is>
          <t>https://instasure.ca/life-insurance/ontario/vaughan/</t>
        </is>
      </c>
      <c r="B398" s="36" t="inlineStr">
        <is>
          <t>Product × city</t>
        </is>
      </c>
      <c r="C398" s="36" t="inlineStr">
        <is>
          <t>Life insurance</t>
        </is>
      </c>
      <c r="D398" s="36" t="inlineStr">
        <is>
          <t>life insurance vaughan</t>
        </is>
      </c>
      <c r="E398" s="36" t="inlineStr">
        <is>
          <t>City</t>
        </is>
      </c>
      <c r="F398" s="36" t="inlineStr">
        <is>
          <t>Ontario</t>
        </is>
      </c>
      <c r="G398" s="36" t="inlineStr">
        <is>
          <t>Vaughan</t>
        </is>
      </c>
      <c r="H398" s="37" t="n">
        <v>160</v>
      </c>
      <c r="I398" s="36" t="n">
        <v>43</v>
      </c>
      <c r="J398" s="36" t="inlineStr">
        <is>
          <t>local</t>
        </is>
      </c>
      <c r="K398" s="36" t="inlineStr">
        <is>
          <t>life-local</t>
        </is>
      </c>
      <c r="L398" s="36" t="n">
        <v>2</v>
      </c>
      <c r="M398" s="36" t="inlineStr">
        <is>
          <t>Primary</t>
        </is>
      </c>
      <c r="N398" s="39">
        <f>IFERROR(IF(ISNUMBER(SEARCH(D398,INDEX(Pages!$J$2:$J$829,MATCH(A398,Pages!$B$2:$B$829,0)))),"Yes","No"),"Page not found")</f>
        <v/>
      </c>
      <c r="O398" s="25" t="inlineStr">
        <is>
          <t>(none seen)</t>
        </is>
      </c>
      <c r="P398" s="25" t="n"/>
    </row>
    <row r="399" ht="15" customHeight="1" s="22">
      <c r="A399" s="36" t="inlineStr">
        <is>
          <t>https://instasure.ca/life-insurance/quebec/</t>
        </is>
      </c>
      <c r="B399" s="36" t="inlineStr">
        <is>
          <t>Product × province</t>
        </is>
      </c>
      <c r="C399" s="36" t="inlineStr">
        <is>
          <t>Life insurance</t>
        </is>
      </c>
      <c r="D399" s="36" t="inlineStr">
        <is>
          <t>life insurance quebec</t>
        </is>
      </c>
      <c r="E399" s="36" t="inlineStr">
        <is>
          <t>Provincial</t>
        </is>
      </c>
      <c r="F399" s="36" t="inlineStr">
        <is>
          <t>Quebec</t>
        </is>
      </c>
      <c r="G399" s="36" t="n"/>
      <c r="H399" s="37" t="n">
        <v>160</v>
      </c>
      <c r="I399" s="36" t="n">
        <v>44</v>
      </c>
      <c r="J399" s="36" t="inlineStr">
        <is>
          <t>commercial</t>
        </is>
      </c>
      <c r="K399" s="36" t="inlineStr">
        <is>
          <t>life-province</t>
        </is>
      </c>
      <c r="L399" s="36" t="n">
        <v>3</v>
      </c>
      <c r="M399" s="36" t="inlineStr">
        <is>
          <t>Primary</t>
        </is>
      </c>
      <c r="N399" s="39">
        <f>IFERROR(IF(ISNUMBER(SEARCH(D399,INDEX(Pages!$J$2:$J$829,MATCH(A399,Pages!$B$2:$B$829,0)))),"Yes","No"),"Page not found")</f>
        <v/>
      </c>
      <c r="O399" s="25" t="inlineStr">
        <is>
          <t>(none seen)</t>
        </is>
      </c>
      <c r="P399" s="25" t="inlineStr">
        <is>
          <t>Quebec waitlist until AMF registration; English phrase only (French terms listed separately).</t>
        </is>
      </c>
    </row>
    <row r="400" ht="15" customHeight="1" s="22">
      <c r="A400" s="36" t="inlineStr">
        <is>
          <t>https://instasure.ca/tenant-insurance/british-columbia/richmond/</t>
        </is>
      </c>
      <c r="B400" s="36" t="inlineStr">
        <is>
          <t>Product × city</t>
        </is>
      </c>
      <c r="C400" s="36" t="inlineStr">
        <is>
          <t>Tenant insurance</t>
        </is>
      </c>
      <c r="D400" s="36" t="inlineStr">
        <is>
          <t>tenant insurance richmond bc</t>
        </is>
      </c>
      <c r="E400" s="36" t="inlineStr">
        <is>
          <t>City</t>
        </is>
      </c>
      <c r="F400" s="36" t="inlineStr">
        <is>
          <t>British Columbia</t>
        </is>
      </c>
      <c r="G400" s="36" t="inlineStr">
        <is>
          <t>Richmond</t>
        </is>
      </c>
      <c r="H400" s="37" t="n">
        <v>160</v>
      </c>
      <c r="I400" s="36" t="n">
        <v>32</v>
      </c>
      <c r="J400" s="36" t="inlineStr">
        <is>
          <t>local</t>
        </is>
      </c>
      <c r="K400" s="36" t="inlineStr">
        <is>
          <t>property-local</t>
        </is>
      </c>
      <c r="L400" s="36" t="n">
        <v>4</v>
      </c>
      <c r="M400" s="36" t="inlineStr">
        <is>
          <t>Primary</t>
        </is>
      </c>
      <c r="N400" s="39">
        <f>IFERROR(IF(ISNUMBER(SEARCH(D400,INDEX(Pages!$J$2:$J$829,MATCH(A400,Pages!$B$2:$B$829,0)))),"Yes","No"),"Page not found")</f>
        <v/>
      </c>
      <c r="O400" s="25" t="inlineStr">
        <is>
          <t>(none seen)</t>
        </is>
      </c>
      <c r="P400" s="25" t="n"/>
    </row>
    <row r="401" ht="15" customHeight="1" s="22">
      <c r="A401" s="36" t="inlineStr">
        <is>
          <t>https://instasure.ca/tenant-insurance/ontario/richmond-hill/</t>
        </is>
      </c>
      <c r="B401" s="36" t="inlineStr">
        <is>
          <t>Product × city</t>
        </is>
      </c>
      <c r="C401" s="36" t="inlineStr">
        <is>
          <t>Tenant insurance</t>
        </is>
      </c>
      <c r="D401" s="36" t="inlineStr">
        <is>
          <t>tenant insurance richmond hill</t>
        </is>
      </c>
      <c r="E401" s="36" t="inlineStr">
        <is>
          <t>City</t>
        </is>
      </c>
      <c r="F401" s="36" t="inlineStr">
        <is>
          <t>Ontario</t>
        </is>
      </c>
      <c r="G401" s="36" t="inlineStr">
        <is>
          <t>Richmond Hill</t>
        </is>
      </c>
      <c r="H401" s="37" t="n">
        <v>160</v>
      </c>
      <c r="I401" s="36" t="n">
        <v>40</v>
      </c>
      <c r="J401" s="36" t="inlineStr">
        <is>
          <t>local</t>
        </is>
      </c>
      <c r="K401" s="36" t="inlineStr">
        <is>
          <t>property-local</t>
        </is>
      </c>
      <c r="L401" s="36" t="n">
        <v>4</v>
      </c>
      <c r="M401" s="36" t="inlineStr">
        <is>
          <t>Primary</t>
        </is>
      </c>
      <c r="N401" s="39">
        <f>IFERROR(IF(ISNUMBER(SEARCH(D401,INDEX(Pages!$J$2:$J$829,MATCH(A401,Pages!$B$2:$B$829,0)))),"Yes","No"),"Page not found")</f>
        <v/>
      </c>
      <c r="O401" s="25" t="inlineStr">
        <is>
          <t>(none seen)</t>
        </is>
      </c>
      <c r="P401" s="25" t="n"/>
    </row>
    <row r="402" ht="15" customHeight="1" s="22">
      <c r="A402" s="36" t="inlineStr">
        <is>
          <t>https://instasure.ca/car-insurance/prince-edward-island/charlottetown/</t>
        </is>
      </c>
      <c r="B402" s="36" t="inlineStr">
        <is>
          <t>Product × city</t>
        </is>
      </c>
      <c r="C402" s="36" t="inlineStr">
        <is>
          <t>Car insurance</t>
        </is>
      </c>
      <c r="D402" s="36" t="inlineStr">
        <is>
          <t>car insurance charlottetown</t>
        </is>
      </c>
      <c r="E402" s="36" t="inlineStr">
        <is>
          <t>City</t>
        </is>
      </c>
      <c r="F402" s="36" t="inlineStr">
        <is>
          <t>Prince Edward Island</t>
        </is>
      </c>
      <c r="G402" s="36" t="inlineStr">
        <is>
          <t>Charlottetown</t>
        </is>
      </c>
      <c r="H402" s="37" t="n">
        <v>150</v>
      </c>
      <c r="I402" s="36" t="n">
        <v>52</v>
      </c>
      <c r="J402" s="36" t="inlineStr">
        <is>
          <t>local</t>
        </is>
      </c>
      <c r="K402" s="36" t="inlineStr">
        <is>
          <t>auto-local</t>
        </is>
      </c>
      <c r="L402" s="36" t="n">
        <v>3</v>
      </c>
      <c r="M402" s="36" t="inlineStr">
        <is>
          <t>Primary</t>
        </is>
      </c>
      <c r="N402" s="39">
        <f>IFERROR(IF(ISNUMBER(SEARCH(D402,INDEX(Pages!$J$2:$J$829,MATCH(A402,Pages!$B$2:$B$829,0)))),"Yes","No"),"Page not found")</f>
        <v/>
      </c>
      <c r="O402" s="25" t="inlineStr">
        <is>
          <t>(none seen)</t>
        </is>
      </c>
      <c r="P402" s="25" t="n"/>
    </row>
    <row r="403" ht="15" customHeight="1" s="22">
      <c r="A403" s="36" t="inlineStr">
        <is>
          <t>https://instasure.ca/group-benefits/ontario/</t>
        </is>
      </c>
      <c r="B403" s="36" t="inlineStr">
        <is>
          <t>Product × province</t>
        </is>
      </c>
      <c r="C403" s="36" t="inlineStr">
        <is>
          <t>Group benefits</t>
        </is>
      </c>
      <c r="D403" s="36" t="inlineStr">
        <is>
          <t>group benefits ontario</t>
        </is>
      </c>
      <c r="E403" s="36" t="inlineStr">
        <is>
          <t>Provincial</t>
        </is>
      </c>
      <c r="F403" s="36" t="inlineStr">
        <is>
          <t>Ontario</t>
        </is>
      </c>
      <c r="G403" s="36" t="n"/>
      <c r="H403" s="37" t="n">
        <v>150</v>
      </c>
      <c r="I403" s="36" t="n">
        <v>37</v>
      </c>
      <c r="J403" s="36" t="inlineStr">
        <is>
          <t>commercial</t>
        </is>
      </c>
      <c r="K403" s="36" t="inlineStr">
        <is>
          <t>business-benefits</t>
        </is>
      </c>
      <c r="L403" s="36" t="n">
        <v>1</v>
      </c>
      <c r="M403" s="36" t="inlineStr">
        <is>
          <t>Primary</t>
        </is>
      </c>
      <c r="N403" s="39">
        <f>IFERROR(IF(ISNUMBER(SEARCH(D403,INDEX(Pages!$J$2:$J$829,MATCH(A403,Pages!$B$2:$B$829,0)))),"Yes","No"),"Page not found")</f>
        <v/>
      </c>
      <c r="O403" s="25" t="inlineStr">
        <is>
          <t>(none seen)</t>
        </is>
      </c>
      <c r="P403" s="25" t="n"/>
    </row>
    <row r="404" ht="15" customHeight="1" s="22">
      <c r="A404" s="36" t="inlineStr">
        <is>
          <t>https://instasure.ca/home-insurance/ontario/waterloo/</t>
        </is>
      </c>
      <c r="B404" s="36" t="inlineStr">
        <is>
          <t>Product × city</t>
        </is>
      </c>
      <c r="C404" s="36" t="inlineStr">
        <is>
          <t>Home insurance</t>
        </is>
      </c>
      <c r="D404" s="36" t="inlineStr">
        <is>
          <t>home insurance waterloo</t>
        </is>
      </c>
      <c r="E404" s="36" t="inlineStr">
        <is>
          <t>City</t>
        </is>
      </c>
      <c r="F404" s="36" t="inlineStr">
        <is>
          <t>Ontario</t>
        </is>
      </c>
      <c r="G404" s="36" t="inlineStr">
        <is>
          <t>Waterloo</t>
        </is>
      </c>
      <c r="H404" s="37" t="n">
        <v>150</v>
      </c>
      <c r="I404" s="36" t="n">
        <v>52</v>
      </c>
      <c r="J404" s="36" t="inlineStr">
        <is>
          <t>local</t>
        </is>
      </c>
      <c r="K404" s="36" t="inlineStr">
        <is>
          <t>property-local</t>
        </is>
      </c>
      <c r="L404" s="36" t="n">
        <v>3</v>
      </c>
      <c r="M404" s="36" t="inlineStr">
        <is>
          <t>Primary</t>
        </is>
      </c>
      <c r="N404" s="39">
        <f>IFERROR(IF(ISNUMBER(SEARCH(D404,INDEX(Pages!$J$2:$J$829,MATCH(A404,Pages!$B$2:$B$829,0)))),"Yes","No"),"Page not found")</f>
        <v/>
      </c>
      <c r="O404" s="25" t="inlineStr">
        <is>
          <t>rates.ca</t>
        </is>
      </c>
      <c r="P404" s="25" t="n"/>
    </row>
    <row r="405" ht="15" customHeight="1" s="22">
      <c r="A405" s="36" t="inlineStr">
        <is>
          <t>https://instasure.ca/insurance/ontario/london/</t>
        </is>
      </c>
      <c r="B405" s="36" t="inlineStr">
        <is>
          <t>Place hub</t>
        </is>
      </c>
      <c r="C405" s="36" t="inlineStr">
        <is>
          <t>Multi-line (place hubs)</t>
        </is>
      </c>
      <c r="D405" s="36" t="inlineStr">
        <is>
          <t>insurance advisor london ontario</t>
        </is>
      </c>
      <c r="E405" s="36" t="inlineStr">
        <is>
          <t>City</t>
        </is>
      </c>
      <c r="F405" s="36" t="inlineStr">
        <is>
          <t>Ontario</t>
        </is>
      </c>
      <c r="G405" s="36" t="inlineStr">
        <is>
          <t>London</t>
        </is>
      </c>
      <c r="H405" s="37" t="n">
        <v>150</v>
      </c>
      <c r="I405" s="36" t="n">
        <v>30</v>
      </c>
      <c r="J405" s="36" t="inlineStr">
        <is>
          <t>local</t>
        </is>
      </c>
      <c r="K405" s="36" t="inlineStr">
        <is>
          <t>advisors</t>
        </is>
      </c>
      <c r="L405" s="36" t="n">
        <v>2</v>
      </c>
      <c r="M405" s="36" t="inlineStr">
        <is>
          <t>Primary</t>
        </is>
      </c>
      <c r="N405" s="39">
        <f>IFERROR(IF(ISNUMBER(SEARCH(D405,INDEX(Pages!$J$2:$J$829,MATCH(A405,Pages!$B$2:$B$829,0)))),"Yes","No"),"Page not found")</f>
        <v/>
      </c>
      <c r="O405" s="25" t="inlineStr">
        <is>
          <t>local brokers, thinkinsure, rates.ca (broker pages)</t>
        </is>
      </c>
      <c r="P405" s="25" t="inlineStr">
        <is>
          <t>City hub. Add a Google Business Profile only where an advisor really works from that city.</t>
        </is>
      </c>
    </row>
    <row r="406" ht="15" customHeight="1" s="22">
      <c r="A406" s="36" t="inlineStr">
        <is>
          <t>https://instasure.ca/tenant-insurance/ontario/burlington/</t>
        </is>
      </c>
      <c r="B406" s="36" t="inlineStr">
        <is>
          <t>Product × city</t>
        </is>
      </c>
      <c r="C406" s="36" t="inlineStr">
        <is>
          <t>Tenant insurance</t>
        </is>
      </c>
      <c r="D406" s="36" t="inlineStr">
        <is>
          <t>tenant insurance burlington</t>
        </is>
      </c>
      <c r="E406" s="36" t="inlineStr">
        <is>
          <t>City</t>
        </is>
      </c>
      <c r="F406" s="36" t="inlineStr">
        <is>
          <t>Ontario</t>
        </is>
      </c>
      <c r="G406" s="36" t="inlineStr">
        <is>
          <t>Burlington</t>
        </is>
      </c>
      <c r="H406" s="37" t="n">
        <v>150</v>
      </c>
      <c r="I406" s="36" t="n">
        <v>40</v>
      </c>
      <c r="J406" s="36" t="inlineStr">
        <is>
          <t>local</t>
        </is>
      </c>
      <c r="K406" s="36" t="inlineStr">
        <is>
          <t>property-local</t>
        </is>
      </c>
      <c r="L406" s="36" t="n">
        <v>4</v>
      </c>
      <c r="M406" s="36" t="inlineStr">
        <is>
          <t>Primary</t>
        </is>
      </c>
      <c r="N406" s="39">
        <f>IFERROR(IF(ISNUMBER(SEARCH(D406,INDEX(Pages!$J$2:$J$829,MATCH(A406,Pages!$B$2:$B$829,0)))),"Yes","No"),"Page not found")</f>
        <v/>
      </c>
      <c r="O406" s="25" t="inlineStr">
        <is>
          <t>(none seen)</t>
        </is>
      </c>
      <c r="P406" s="25" t="n"/>
    </row>
    <row r="407" ht="15" customHeight="1" s="22">
      <c r="A407" s="36" t="inlineStr">
        <is>
          <t>https://instasure.ca/tenant-insurance/saskatchewan/</t>
        </is>
      </c>
      <c r="B407" s="36" t="inlineStr">
        <is>
          <t>Product × province</t>
        </is>
      </c>
      <c r="C407" s="36" t="inlineStr">
        <is>
          <t>Tenant insurance</t>
        </is>
      </c>
      <c r="D407" s="36" t="inlineStr">
        <is>
          <t>tenant insurance saskatchewan</t>
        </is>
      </c>
      <c r="E407" s="36" t="inlineStr">
        <is>
          <t>Provincial</t>
        </is>
      </c>
      <c r="F407" s="36" t="inlineStr">
        <is>
          <t>Saskatchewan</t>
        </is>
      </c>
      <c r="G407" s="36" t="n"/>
      <c r="H407" s="37" t="n">
        <v>150</v>
      </c>
      <c r="I407" s="36" t="n">
        <v>32</v>
      </c>
      <c r="J407" s="36" t="inlineStr">
        <is>
          <t>commercial</t>
        </is>
      </c>
      <c r="K407" s="36" t="inlineStr">
        <is>
          <t>property-province</t>
        </is>
      </c>
      <c r="L407" s="36" t="n">
        <v>4</v>
      </c>
      <c r="M407" s="36" t="inlineStr">
        <is>
          <t>Primary</t>
        </is>
      </c>
      <c r="N407" s="39">
        <f>IFERROR(IF(ISNUMBER(SEARCH(D407,INDEX(Pages!$J$2:$J$829,MATCH(A407,Pages!$B$2:$B$829,0)))),"Yes","No"),"Page not found")</f>
        <v/>
      </c>
      <c r="O407" s="25" t="inlineStr">
        <is>
          <t>(none seen)</t>
        </is>
      </c>
      <c r="P407" s="25" t="n"/>
    </row>
    <row r="408" ht="15" customHeight="1" s="22">
      <c r="A408" s="36" t="inlineStr">
        <is>
          <t>https://instasure.ca/calculators/business-coverage/</t>
        </is>
      </c>
      <c r="B408" s="36" t="inlineStr">
        <is>
          <t>Static / tool</t>
        </is>
      </c>
      <c r="C408" s="36" t="inlineStr">
        <is>
          <t>Business insurance</t>
        </is>
      </c>
      <c r="D408" s="36" t="inlineStr">
        <is>
          <t>business insurance calculator</t>
        </is>
      </c>
      <c r="E408" s="36" t="inlineStr">
        <is>
          <t>Nationwide</t>
        </is>
      </c>
      <c r="F408" s="36" t="n"/>
      <c r="G408" s="36" t="n"/>
      <c r="H408" s="37" t="n">
        <v>140</v>
      </c>
      <c r="I408" s="36" t="n">
        <v>15</v>
      </c>
      <c r="J408" s="36" t="inlineStr">
        <is>
          <t>transactional</t>
        </is>
      </c>
      <c r="K408" s="36" t="inlineStr">
        <is>
          <t>business</t>
        </is>
      </c>
      <c r="L408" s="36" t="n">
        <v>3</v>
      </c>
      <c r="M408" s="36" t="inlineStr">
        <is>
          <t>Primary</t>
        </is>
      </c>
      <c r="N408" s="39">
        <f>IFERROR(IF(ISNUMBER(SEARCH(D408,INDEX(Pages!$J$2:$J$829,MATCH(A408,Pages!$B$2:$B$829,0)))),"Yes","No"),"Page not found")</f>
        <v/>
      </c>
      <c r="O408" s="25" t="inlineStr">
        <is>
          <t>(none seen)</t>
        </is>
      </c>
      <c r="P408" s="25" t="n"/>
    </row>
    <row r="409" ht="15" customHeight="1" s="22">
      <c r="A409" s="36" t="inlineStr">
        <is>
          <t>https://instasure.ca/health-dental-insurance/manitoba/</t>
        </is>
      </c>
      <c r="B409" s="36" t="inlineStr">
        <is>
          <t>Product × province</t>
        </is>
      </c>
      <c r="C409" s="36" t="inlineStr">
        <is>
          <t>Health &amp; dental insurance</t>
        </is>
      </c>
      <c r="D409" s="36" t="inlineStr">
        <is>
          <t>health insurance manitoba</t>
        </is>
      </c>
      <c r="E409" s="36" t="inlineStr">
        <is>
          <t>Provincial</t>
        </is>
      </c>
      <c r="F409" s="36" t="inlineStr">
        <is>
          <t>Manitoba</t>
        </is>
      </c>
      <c r="G409" s="36" t="n"/>
      <c r="H409" s="37" t="n">
        <v>140</v>
      </c>
      <c r="I409" s="36" t="n">
        <v>39</v>
      </c>
      <c r="J409" s="36" t="inlineStr">
        <is>
          <t>commercial</t>
        </is>
      </c>
      <c r="K409" s="36" t="inlineStr">
        <is>
          <t>health-province</t>
        </is>
      </c>
      <c r="L409" s="36" t="n">
        <v>3</v>
      </c>
      <c r="M409" s="36" t="inlineStr">
        <is>
          <t>Primary</t>
        </is>
      </c>
      <c r="N409" s="39">
        <f>IFERROR(IF(ISNUMBER(SEARCH(D409,INDEX(Pages!$J$2:$J$829,MATCH(A409,Pages!$B$2:$B$829,0)))),"Yes","No"),"Page not found")</f>
        <v/>
      </c>
      <c r="O409" s="25" t="inlineStr">
        <is>
          <t>(none seen)</t>
        </is>
      </c>
      <c r="P409" s="25" t="n"/>
    </row>
    <row r="410" ht="15" customHeight="1" s="22">
      <c r="A410" s="36" t="inlineStr">
        <is>
          <t>https://instasure.ca/home-insurance/newfoundland-and-labrador/st-johns/</t>
        </is>
      </c>
      <c r="B410" s="36" t="inlineStr">
        <is>
          <t>Product × city</t>
        </is>
      </c>
      <c r="C410" s="36" t="inlineStr">
        <is>
          <t>Home insurance</t>
        </is>
      </c>
      <c r="D410" s="36" t="inlineStr">
        <is>
          <t>home insurance st johns</t>
        </is>
      </c>
      <c r="E410" s="36" t="inlineStr">
        <is>
          <t>City</t>
        </is>
      </c>
      <c r="F410" s="36" t="inlineStr">
        <is>
          <t>Newfoundland and Labrador</t>
        </is>
      </c>
      <c r="G410" s="36" t="inlineStr">
        <is>
          <t>St. John’s</t>
        </is>
      </c>
      <c r="H410" s="37" t="n">
        <v>140</v>
      </c>
      <c r="I410" s="36" t="n">
        <v>52</v>
      </c>
      <c r="J410" s="36" t="inlineStr">
        <is>
          <t>local</t>
        </is>
      </c>
      <c r="K410" s="36" t="inlineStr">
        <is>
          <t>property-local</t>
        </is>
      </c>
      <c r="L410" s="36" t="n">
        <v>3</v>
      </c>
      <c r="M410" s="36" t="inlineStr">
        <is>
          <t>Primary</t>
        </is>
      </c>
      <c r="N410" s="39">
        <f>IFERROR(IF(ISNUMBER(SEARCH(D410,INDEX(Pages!$J$2:$J$829,MATCH(A410,Pages!$B$2:$B$829,0)))),"Yes","No"),"Page not found")</f>
        <v/>
      </c>
      <c r="O410" s="25" t="inlineStr">
        <is>
          <t>ratehub</t>
        </is>
      </c>
      <c r="P410" s="25" t="n"/>
    </row>
    <row r="411" ht="23.85" customHeight="1" s="22">
      <c r="A411" s="36" t="inlineStr">
        <is>
          <t>https://instasure.ca/home-insurance/ontario/thunder-bay/</t>
        </is>
      </c>
      <c r="B411" s="36" t="inlineStr">
        <is>
          <t>Product × city</t>
        </is>
      </c>
      <c r="C411" s="36" t="inlineStr">
        <is>
          <t>Home insurance</t>
        </is>
      </c>
      <c r="D411" s="36" t="inlineStr">
        <is>
          <t>home insurance thunder bay</t>
        </is>
      </c>
      <c r="E411" s="36" t="inlineStr">
        <is>
          <t>City</t>
        </is>
      </c>
      <c r="F411" s="36" t="inlineStr">
        <is>
          <t>Ontario</t>
        </is>
      </c>
      <c r="G411" s="36" t="inlineStr">
        <is>
          <t>Thunder Bay</t>
        </is>
      </c>
      <c r="H411" s="37" t="n">
        <v>140</v>
      </c>
      <c r="I411" s="36" t="n">
        <v>40</v>
      </c>
      <c r="J411" s="36" t="inlineStr">
        <is>
          <t>local</t>
        </is>
      </c>
      <c r="K411" s="36" t="inlineStr">
        <is>
          <t>property-local</t>
        </is>
      </c>
      <c r="L411" s="36" t="n">
        <v>4</v>
      </c>
      <c r="M411" s="36" t="inlineStr">
        <is>
          <t>Primary</t>
        </is>
      </c>
      <c r="N411" s="39">
        <f>IFERROR(IF(ISNUMBER(SEARCH(D411,INDEX(Pages!$J$2:$J$829,MATCH(A411,Pages!$B$2:$B$829,0)))),"Yes","No"),"Page not found")</f>
        <v/>
      </c>
      <c r="O411" s="25" t="inlineStr">
        <is>
          <t>(none seen)</t>
        </is>
      </c>
      <c r="P411" s="25" t="inlineStr">
        <is>
          <t>Page exists but is noindex until an editor adds a 300+ character local intro (Admin → SEO → Page overrides).</t>
        </is>
      </c>
    </row>
    <row r="412" ht="15" customHeight="1" s="22">
      <c r="A412" s="36" t="inlineStr">
        <is>
          <t>https://instasure.ca/tenant-insurance/ontario/oshawa/</t>
        </is>
      </c>
      <c r="B412" s="36" t="inlineStr">
        <is>
          <t>Product × city</t>
        </is>
      </c>
      <c r="C412" s="36" t="inlineStr">
        <is>
          <t>Tenant insurance</t>
        </is>
      </c>
      <c r="D412" s="36" t="inlineStr">
        <is>
          <t>tenant insurance oshawa</t>
        </is>
      </c>
      <c r="E412" s="36" t="inlineStr">
        <is>
          <t>City</t>
        </is>
      </c>
      <c r="F412" s="36" t="inlineStr">
        <is>
          <t>Ontario</t>
        </is>
      </c>
      <c r="G412" s="36" t="inlineStr">
        <is>
          <t>Oshawa</t>
        </is>
      </c>
      <c r="H412" s="37" t="n">
        <v>140</v>
      </c>
      <c r="I412" s="36" t="n">
        <v>40</v>
      </c>
      <c r="J412" s="36" t="inlineStr">
        <is>
          <t>local</t>
        </is>
      </c>
      <c r="K412" s="36" t="inlineStr">
        <is>
          <t>property-local</t>
        </is>
      </c>
      <c r="L412" s="36" t="n">
        <v>4</v>
      </c>
      <c r="M412" s="36" t="inlineStr">
        <is>
          <t>Primary</t>
        </is>
      </c>
      <c r="N412" s="39">
        <f>IFERROR(IF(ISNUMBER(SEARCH(D412,INDEX(Pages!$J$2:$J$829,MATCH(A412,Pages!$B$2:$B$829,0)))),"Yes","No"),"Page not found")</f>
        <v/>
      </c>
      <c r="O412" s="25" t="inlineStr">
        <is>
          <t>(none seen)</t>
        </is>
      </c>
      <c r="P412" s="25" t="n"/>
    </row>
    <row r="413" ht="23.85" customHeight="1" s="22">
      <c r="A413" s="36" t="inlineStr">
        <is>
          <t>https://instasure.ca/tenant-insurance/ontario/sudbury/</t>
        </is>
      </c>
      <c r="B413" s="36" t="inlineStr">
        <is>
          <t>Product × city</t>
        </is>
      </c>
      <c r="C413" s="36" t="inlineStr">
        <is>
          <t>Tenant insurance</t>
        </is>
      </c>
      <c r="D413" s="36" t="inlineStr">
        <is>
          <t>tenant insurance sudbury</t>
        </is>
      </c>
      <c r="E413" s="36" t="inlineStr">
        <is>
          <t>City</t>
        </is>
      </c>
      <c r="F413" s="36" t="inlineStr">
        <is>
          <t>Ontario</t>
        </is>
      </c>
      <c r="G413" s="36" t="inlineStr">
        <is>
          <t>Sudbury</t>
        </is>
      </c>
      <c r="H413" s="37" t="n">
        <v>140</v>
      </c>
      <c r="I413" s="36" t="n">
        <v>32</v>
      </c>
      <c r="J413" s="36" t="inlineStr">
        <is>
          <t>local</t>
        </is>
      </c>
      <c r="K413" s="36" t="inlineStr">
        <is>
          <t>property-local</t>
        </is>
      </c>
      <c r="L413" s="36" t="n">
        <v>5</v>
      </c>
      <c r="M413" s="36" t="inlineStr">
        <is>
          <t>Primary</t>
        </is>
      </c>
      <c r="N413" s="39">
        <f>IFERROR(IF(ISNUMBER(SEARCH(D413,INDEX(Pages!$J$2:$J$829,MATCH(A413,Pages!$B$2:$B$829,0)))),"Yes","No"),"Page not found")</f>
        <v/>
      </c>
      <c r="O413" s="25" t="inlineStr">
        <is>
          <t>(none seen)</t>
        </is>
      </c>
      <c r="P413" s="25" t="inlineStr">
        <is>
          <t>Page exists but is noindex until an editor adds a 300+ character local intro (Admin → SEO → Page overrides).</t>
        </is>
      </c>
    </row>
    <row r="414" ht="15" customHeight="1" s="22">
      <c r="A414" s="36" t="inlineStr">
        <is>
          <t>https://instasure.ca/business-insurance/manitoba/</t>
        </is>
      </c>
      <c r="B414" s="36" t="inlineStr">
        <is>
          <t>Product × province</t>
        </is>
      </c>
      <c r="C414" s="36" t="inlineStr">
        <is>
          <t>Business insurance</t>
        </is>
      </c>
      <c r="D414" s="36" t="inlineStr">
        <is>
          <t>business insurance manitoba</t>
        </is>
      </c>
      <c r="E414" s="36" t="inlineStr">
        <is>
          <t>Provincial</t>
        </is>
      </c>
      <c r="F414" s="36" t="inlineStr">
        <is>
          <t>Manitoba</t>
        </is>
      </c>
      <c r="G414" s="36" t="n"/>
      <c r="H414" s="37" t="n">
        <v>130</v>
      </c>
      <c r="I414" s="36" t="n">
        <v>34</v>
      </c>
      <c r="J414" s="36" t="inlineStr">
        <is>
          <t>commercial</t>
        </is>
      </c>
      <c r="K414" s="36" t="inlineStr">
        <is>
          <t>business-province</t>
        </is>
      </c>
      <c r="L414" s="36" t="n">
        <v>2</v>
      </c>
      <c r="M414" s="36" t="inlineStr">
        <is>
          <t>Primary</t>
        </is>
      </c>
      <c r="N414" s="39">
        <f>IFERROR(IF(ISNUMBER(SEARCH(D414,INDEX(Pages!$J$2:$J$829,MATCH(A414,Pages!$B$2:$B$829,0)))),"Yes","No"),"Page not found")</f>
        <v/>
      </c>
      <c r="O414" s="25" t="inlineStr">
        <is>
          <t>(none seen)</t>
        </is>
      </c>
      <c r="P414" s="25" t="n"/>
    </row>
    <row r="415" ht="15" customHeight="1" s="22">
      <c r="A415" s="36" t="inlineStr">
        <is>
          <t>https://instasure.ca/business-insurance/nova-scotia/halifax/</t>
        </is>
      </c>
      <c r="B415" s="36" t="inlineStr">
        <is>
          <t>Product × city</t>
        </is>
      </c>
      <c r="C415" s="36" t="inlineStr">
        <is>
          <t>Business insurance</t>
        </is>
      </c>
      <c r="D415" s="36" t="inlineStr">
        <is>
          <t>business insurance halifax</t>
        </is>
      </c>
      <c r="E415" s="36" t="inlineStr">
        <is>
          <t>City</t>
        </is>
      </c>
      <c r="F415" s="36" t="inlineStr">
        <is>
          <t>Nova Scotia</t>
        </is>
      </c>
      <c r="G415" s="36" t="inlineStr">
        <is>
          <t>Halifax</t>
        </is>
      </c>
      <c r="H415" s="37" t="n">
        <v>130</v>
      </c>
      <c r="I415" s="36" t="n">
        <v>33</v>
      </c>
      <c r="J415" s="36" t="inlineStr">
        <is>
          <t>local</t>
        </is>
      </c>
      <c r="K415" s="36" t="inlineStr">
        <is>
          <t>business-local</t>
        </is>
      </c>
      <c r="L415" s="36" t="n">
        <v>2</v>
      </c>
      <c r="M415" s="36" t="inlineStr">
        <is>
          <t>Primary</t>
        </is>
      </c>
      <c r="N415" s="39">
        <f>IFERROR(IF(ISNUMBER(SEARCH(D415,INDEX(Pages!$J$2:$J$829,MATCH(A415,Pages!$B$2:$B$829,0)))),"Yes","No"),"Page not found")</f>
        <v/>
      </c>
      <c r="O415" s="25" t="inlineStr">
        <is>
          <t>(none seen)</t>
        </is>
      </c>
      <c r="P415" s="25" t="n"/>
    </row>
    <row r="416" ht="15" customHeight="1" s="22">
      <c r="A416" s="36" t="inlineStr">
        <is>
          <t>https://instasure.ca/business-insurance/ontario/london/</t>
        </is>
      </c>
      <c r="B416" s="36" t="inlineStr">
        <is>
          <t>Product × city</t>
        </is>
      </c>
      <c r="C416" s="36" t="inlineStr">
        <is>
          <t>Business insurance</t>
        </is>
      </c>
      <c r="D416" s="36" t="inlineStr">
        <is>
          <t>business insurance london ontario</t>
        </is>
      </c>
      <c r="E416" s="36" t="inlineStr">
        <is>
          <t>City</t>
        </is>
      </c>
      <c r="F416" s="36" t="inlineStr">
        <is>
          <t>Ontario</t>
        </is>
      </c>
      <c r="G416" s="36" t="inlineStr">
        <is>
          <t>London</t>
        </is>
      </c>
      <c r="H416" s="37" t="n">
        <v>130</v>
      </c>
      <c r="I416" s="36" t="n">
        <v>41</v>
      </c>
      <c r="J416" s="36" t="inlineStr">
        <is>
          <t>local</t>
        </is>
      </c>
      <c r="K416" s="36" t="inlineStr">
        <is>
          <t>business-local</t>
        </is>
      </c>
      <c r="L416" s="36" t="n">
        <v>2</v>
      </c>
      <c r="M416" s="36" t="inlineStr">
        <is>
          <t>Primary</t>
        </is>
      </c>
      <c r="N416" s="39">
        <f>IFERROR(IF(ISNUMBER(SEARCH(D416,INDEX(Pages!$J$2:$J$829,MATCH(A416,Pages!$B$2:$B$829,0)))),"Yes","No"),"Page not found")</f>
        <v/>
      </c>
      <c r="O416" s="25" t="inlineStr">
        <is>
          <t>(none seen)</t>
        </is>
      </c>
      <c r="P416" s="25" t="n"/>
    </row>
    <row r="417" ht="15" customHeight="1" s="22">
      <c r="A417" s="36" t="inlineStr">
        <is>
          <t>https://instasure.ca/car-insurance/british-columbia/victoria/</t>
        </is>
      </c>
      <c r="B417" s="36" t="inlineStr">
        <is>
          <t>Product × city</t>
        </is>
      </c>
      <c r="C417" s="36" t="inlineStr">
        <is>
          <t>Car insurance</t>
        </is>
      </c>
      <c r="D417" s="36" t="inlineStr">
        <is>
          <t>car insurance victoria</t>
        </is>
      </c>
      <c r="E417" s="36" t="inlineStr">
        <is>
          <t>City</t>
        </is>
      </c>
      <c r="F417" s="36" t="inlineStr">
        <is>
          <t>British Columbia</t>
        </is>
      </c>
      <c r="G417" s="36" t="inlineStr">
        <is>
          <t>Victoria</t>
        </is>
      </c>
      <c r="H417" s="37" t="n">
        <v>130</v>
      </c>
      <c r="I417" s="36" t="n">
        <v>64</v>
      </c>
      <c r="J417" s="36" t="inlineStr">
        <is>
          <t>local</t>
        </is>
      </c>
      <c r="K417" s="36" t="inlineStr">
        <is>
          <t>auto-local</t>
        </is>
      </c>
      <c r="L417" s="36" t="n">
        <v>5</v>
      </c>
      <c r="M417" s="36" t="inlineStr">
        <is>
          <t>Primary</t>
        </is>
      </c>
      <c r="N417" s="39">
        <f>IFERROR(IF(ISNUMBER(SEARCH(D417,INDEX(Pages!$J$2:$J$829,MATCH(A417,Pages!$B$2:$B$829,0)))),"Yes","No"),"Page not found")</f>
        <v/>
      </c>
      <c r="O417" s="25" t="inlineStr">
        <is>
          <t>ratehub</t>
        </is>
      </c>
      <c r="P417" s="25" t="inlineStr">
        <is>
          <t>ICBC sells basic auto; target optional coverage. Low lead value.</t>
        </is>
      </c>
    </row>
    <row r="418" ht="15" customHeight="1" s="22">
      <c r="A418" s="36" t="inlineStr">
        <is>
          <t>https://instasure.ca/condo-insurance/nova-scotia/halifax/</t>
        </is>
      </c>
      <c r="B418" s="36" t="inlineStr">
        <is>
          <t>Product × city</t>
        </is>
      </c>
      <c r="C418" s="36" t="inlineStr">
        <is>
          <t>Condo insurance</t>
        </is>
      </c>
      <c r="D418" s="36" t="inlineStr">
        <is>
          <t>condo insurance halifax</t>
        </is>
      </c>
      <c r="E418" s="36" t="inlineStr">
        <is>
          <t>City</t>
        </is>
      </c>
      <c r="F418" s="36" t="inlineStr">
        <is>
          <t>Nova Scotia</t>
        </is>
      </c>
      <c r="G418" s="36" t="inlineStr">
        <is>
          <t>Halifax</t>
        </is>
      </c>
      <c r="H418" s="37" t="n">
        <v>130</v>
      </c>
      <c r="I418" s="36" t="n">
        <v>40</v>
      </c>
      <c r="J418" s="36" t="inlineStr">
        <is>
          <t>local</t>
        </is>
      </c>
      <c r="K418" s="36" t="inlineStr">
        <is>
          <t>property-local</t>
        </is>
      </c>
      <c r="L418" s="36" t="n">
        <v>4</v>
      </c>
      <c r="M418" s="36" t="inlineStr">
        <is>
          <t>Primary</t>
        </is>
      </c>
      <c r="N418" s="39">
        <f>IFERROR(IF(ISNUMBER(SEARCH(D418,INDEX(Pages!$J$2:$J$829,MATCH(A418,Pages!$B$2:$B$829,0)))),"Yes","No"),"Page not found")</f>
        <v/>
      </c>
      <c r="O418" s="25" t="inlineStr">
        <is>
          <t>(none seen)</t>
        </is>
      </c>
      <c r="P418" s="25" t="n"/>
    </row>
    <row r="419" ht="15" customHeight="1" s="22">
      <c r="A419" s="36" t="inlineStr">
        <is>
          <t>https://instasure.ca/condo-insurance/ontario/london/</t>
        </is>
      </c>
      <c r="B419" s="36" t="inlineStr">
        <is>
          <t>Product × city</t>
        </is>
      </c>
      <c r="C419" s="36" t="inlineStr">
        <is>
          <t>Condo insurance</t>
        </is>
      </c>
      <c r="D419" s="36" t="inlineStr">
        <is>
          <t>condo insurance london ontario</t>
        </is>
      </c>
      <c r="E419" s="36" t="inlineStr">
        <is>
          <t>City</t>
        </is>
      </c>
      <c r="F419" s="36" t="inlineStr">
        <is>
          <t>Ontario</t>
        </is>
      </c>
      <c r="G419" s="36" t="inlineStr">
        <is>
          <t>London</t>
        </is>
      </c>
      <c r="H419" s="37" t="n">
        <v>130</v>
      </c>
      <c r="I419" s="36" t="n">
        <v>48</v>
      </c>
      <c r="J419" s="36" t="inlineStr">
        <is>
          <t>local</t>
        </is>
      </c>
      <c r="K419" s="36" t="inlineStr">
        <is>
          <t>property-local</t>
        </is>
      </c>
      <c r="L419" s="36" t="n">
        <v>4</v>
      </c>
      <c r="M419" s="36" t="inlineStr">
        <is>
          <t>Primary</t>
        </is>
      </c>
      <c r="N419" s="39">
        <f>IFERROR(IF(ISNUMBER(SEARCH(D419,INDEX(Pages!$J$2:$J$829,MATCH(A419,Pages!$B$2:$B$829,0)))),"Yes","No"),"Page not found")</f>
        <v/>
      </c>
      <c r="O419" s="25" t="inlineStr">
        <is>
          <t>(none seen)</t>
        </is>
      </c>
      <c r="P419" s="25" t="n"/>
    </row>
    <row r="420" ht="15" customHeight="1" s="22">
      <c r="A420" s="36" t="inlineStr">
        <is>
          <t>https://instasure.ca/condo-insurance/quebec/</t>
        </is>
      </c>
      <c r="B420" s="36" t="inlineStr">
        <is>
          <t>Product × province</t>
        </is>
      </c>
      <c r="C420" s="36" t="inlineStr">
        <is>
          <t>Condo insurance</t>
        </is>
      </c>
      <c r="D420" s="36" t="inlineStr">
        <is>
          <t>condo insurance quebec</t>
        </is>
      </c>
      <c r="E420" s="36" t="inlineStr">
        <is>
          <t>Provincial</t>
        </is>
      </c>
      <c r="F420" s="36" t="inlineStr">
        <is>
          <t>Quebec</t>
        </is>
      </c>
      <c r="G420" s="36" t="n"/>
      <c r="H420" s="37" t="n">
        <v>130</v>
      </c>
      <c r="I420" s="36" t="n">
        <v>43</v>
      </c>
      <c r="J420" s="36" t="inlineStr">
        <is>
          <t>commercial</t>
        </is>
      </c>
      <c r="K420" s="36" t="inlineStr">
        <is>
          <t>property-province</t>
        </is>
      </c>
      <c r="L420" s="36" t="n">
        <v>5</v>
      </c>
      <c r="M420" s="36" t="inlineStr">
        <is>
          <t>Primary</t>
        </is>
      </c>
      <c r="N420" s="39">
        <f>IFERROR(IF(ISNUMBER(SEARCH(D420,INDEX(Pages!$J$2:$J$829,MATCH(A420,Pages!$B$2:$B$829,0)))),"Yes","No"),"Page not found")</f>
        <v/>
      </c>
      <c r="O420" s="25" t="inlineStr">
        <is>
          <t>sonnet</t>
        </is>
      </c>
      <c r="P420" s="25" t="inlineStr">
        <is>
          <t>Quebec waitlist until AMF registration; English phrase only (French terms listed separately).</t>
        </is>
      </c>
    </row>
    <row r="421" ht="15" customHeight="1" s="22">
      <c r="A421" s="36" t="inlineStr">
        <is>
          <t>https://instasure.ca/home-insurance/alberta/lethbridge/</t>
        </is>
      </c>
      <c r="B421" s="36" t="inlineStr">
        <is>
          <t>Product × city</t>
        </is>
      </c>
      <c r="C421" s="36" t="inlineStr">
        <is>
          <t>Home insurance</t>
        </is>
      </c>
      <c r="D421" s="36" t="inlineStr">
        <is>
          <t>home insurance lethbridge</t>
        </is>
      </c>
      <c r="E421" s="36" t="inlineStr">
        <is>
          <t>City</t>
        </is>
      </c>
      <c r="F421" s="36" t="inlineStr">
        <is>
          <t>Alberta</t>
        </is>
      </c>
      <c r="G421" s="36" t="inlineStr">
        <is>
          <t>Lethbridge</t>
        </is>
      </c>
      <c r="H421" s="37" t="n">
        <v>130</v>
      </c>
      <c r="I421" s="36" t="n">
        <v>40</v>
      </c>
      <c r="J421" s="36" t="inlineStr">
        <is>
          <t>local</t>
        </is>
      </c>
      <c r="K421" s="36" t="inlineStr">
        <is>
          <t>property-local</t>
        </is>
      </c>
      <c r="L421" s="36" t="n">
        <v>3</v>
      </c>
      <c r="M421" s="36" t="inlineStr">
        <is>
          <t>Primary</t>
        </is>
      </c>
      <c r="N421" s="39">
        <f>IFERROR(IF(ISNUMBER(SEARCH(D421,INDEX(Pages!$J$2:$J$829,MATCH(A421,Pages!$B$2:$B$829,0)))),"Yes","No"),"Page not found")</f>
        <v/>
      </c>
      <c r="O421" s="25" t="inlineStr">
        <is>
          <t>(none seen)</t>
        </is>
      </c>
      <c r="P421" s="25" t="n"/>
    </row>
    <row r="422" ht="15" customHeight="1" s="22">
      <c r="A422" s="36" t="inlineStr">
        <is>
          <t>https://instasure.ca/home-insurance/alberta/red-deer/</t>
        </is>
      </c>
      <c r="B422" s="36" t="inlineStr">
        <is>
          <t>Product × city</t>
        </is>
      </c>
      <c r="C422" s="36" t="inlineStr">
        <is>
          <t>Home insurance</t>
        </is>
      </c>
      <c r="D422" s="36" t="inlineStr">
        <is>
          <t>home insurance red deer</t>
        </is>
      </c>
      <c r="E422" s="36" t="inlineStr">
        <is>
          <t>City</t>
        </is>
      </c>
      <c r="F422" s="36" t="inlineStr">
        <is>
          <t>Alberta</t>
        </is>
      </c>
      <c r="G422" s="36" t="inlineStr">
        <is>
          <t>Red Deer</t>
        </is>
      </c>
      <c r="H422" s="37" t="n">
        <v>130</v>
      </c>
      <c r="I422" s="36" t="n">
        <v>40</v>
      </c>
      <c r="J422" s="36" t="inlineStr">
        <is>
          <t>local</t>
        </is>
      </c>
      <c r="K422" s="36" t="inlineStr">
        <is>
          <t>property-local</t>
        </is>
      </c>
      <c r="L422" s="36" t="n">
        <v>3</v>
      </c>
      <c r="M422" s="36" t="inlineStr">
        <is>
          <t>Primary</t>
        </is>
      </c>
      <c r="N422" s="39">
        <f>IFERROR(IF(ISNUMBER(SEARCH(D422,INDEX(Pages!$J$2:$J$829,MATCH(A422,Pages!$B$2:$B$829,0)))),"Yes","No"),"Page not found")</f>
        <v/>
      </c>
      <c r="O422" s="25" t="inlineStr">
        <is>
          <t>(none seen)</t>
        </is>
      </c>
      <c r="P422" s="25" t="n"/>
    </row>
    <row r="423" ht="15" customHeight="1" s="22">
      <c r="A423" s="36" t="inlineStr">
        <is>
          <t>https://instasure.ca/home-insurance/newfoundland-and-labrador/</t>
        </is>
      </c>
      <c r="B423" s="36" t="inlineStr">
        <is>
          <t>Product × province</t>
        </is>
      </c>
      <c r="C423" s="36" t="inlineStr">
        <is>
          <t>Home insurance</t>
        </is>
      </c>
      <c r="D423" s="36" t="inlineStr">
        <is>
          <t>home insurance newfoundland</t>
        </is>
      </c>
      <c r="E423" s="36" t="inlineStr">
        <is>
          <t>Provincial</t>
        </is>
      </c>
      <c r="F423" s="36" t="inlineStr">
        <is>
          <t>Newfoundland and Labrador</t>
        </is>
      </c>
      <c r="G423" s="36" t="n"/>
      <c r="H423" s="37" t="n">
        <v>130</v>
      </c>
      <c r="I423" s="36" t="n">
        <v>39</v>
      </c>
      <c r="J423" s="36" t="inlineStr">
        <is>
          <t>commercial</t>
        </is>
      </c>
      <c r="K423" s="36" t="inlineStr">
        <is>
          <t>property-province</t>
        </is>
      </c>
      <c r="L423" s="36" t="n">
        <v>3</v>
      </c>
      <c r="M423" s="36" t="inlineStr">
        <is>
          <t>Primary</t>
        </is>
      </c>
      <c r="N423" s="39">
        <f>IFERROR(IF(ISNUMBER(SEARCH(D423,INDEX(Pages!$J$2:$J$829,MATCH(A423,Pages!$B$2:$B$829,0)))),"Yes","No"),"Page not found")</f>
        <v/>
      </c>
      <c r="O423" s="25" t="inlineStr">
        <is>
          <t>(none seen)</t>
        </is>
      </c>
      <c r="P423" s="25" t="n"/>
    </row>
    <row r="424" ht="23.85" customHeight="1" s="22">
      <c r="A424" s="36" t="inlineStr">
        <is>
          <t>https://instasure.ca/home-insurance/ontario/pickering/</t>
        </is>
      </c>
      <c r="B424" s="36" t="inlineStr">
        <is>
          <t>Product × city</t>
        </is>
      </c>
      <c r="C424" s="36" t="inlineStr">
        <is>
          <t>Home insurance</t>
        </is>
      </c>
      <c r="D424" s="36" t="inlineStr">
        <is>
          <t>home insurance pickering</t>
        </is>
      </c>
      <c r="E424" s="36" t="inlineStr">
        <is>
          <t>City</t>
        </is>
      </c>
      <c r="F424" s="36" t="inlineStr">
        <is>
          <t>Ontario</t>
        </is>
      </c>
      <c r="G424" s="36" t="inlineStr">
        <is>
          <t>Pickering</t>
        </is>
      </c>
      <c r="H424" s="37" t="n">
        <v>130</v>
      </c>
      <c r="I424" s="36" t="n">
        <v>40</v>
      </c>
      <c r="J424" s="36" t="inlineStr">
        <is>
          <t>local</t>
        </is>
      </c>
      <c r="K424" s="36" t="inlineStr">
        <is>
          <t>property-local</t>
        </is>
      </c>
      <c r="L424" s="36" t="n">
        <v>4</v>
      </c>
      <c r="M424" s="36" t="inlineStr">
        <is>
          <t>Primary</t>
        </is>
      </c>
      <c r="N424" s="39">
        <f>IFERROR(IF(ISNUMBER(SEARCH(D424,INDEX(Pages!$J$2:$J$829,MATCH(A424,Pages!$B$2:$B$829,0)))),"Yes","No"),"Page not found")</f>
        <v/>
      </c>
      <c r="O424" s="25" t="inlineStr">
        <is>
          <t>(none seen)</t>
        </is>
      </c>
      <c r="P424" s="25" t="inlineStr">
        <is>
          <t>Page exists but is noindex until an editor adds a 300+ character local intro (Admin → SEO → Page overrides).</t>
        </is>
      </c>
    </row>
    <row r="425" ht="15" customHeight="1" s="22">
      <c r="A425" s="36" t="inlineStr">
        <is>
          <t>https://instasure.ca/home-insurance/quebec/laval/</t>
        </is>
      </c>
      <c r="B425" s="36" t="inlineStr">
        <is>
          <t>Product × city</t>
        </is>
      </c>
      <c r="C425" s="36" t="inlineStr">
        <is>
          <t>Home insurance</t>
        </is>
      </c>
      <c r="D425" s="36" t="inlineStr">
        <is>
          <t>home insurance laval</t>
        </is>
      </c>
      <c r="E425" s="36" t="inlineStr">
        <is>
          <t>City</t>
        </is>
      </c>
      <c r="F425" s="36" t="inlineStr">
        <is>
          <t>Quebec</t>
        </is>
      </c>
      <c r="G425" s="36" t="inlineStr">
        <is>
          <t>Laval</t>
        </is>
      </c>
      <c r="H425" s="37" t="n">
        <v>130</v>
      </c>
      <c r="I425" s="36" t="n">
        <v>52</v>
      </c>
      <c r="J425" s="36" t="inlineStr">
        <is>
          <t>local</t>
        </is>
      </c>
      <c r="K425" s="36" t="inlineStr">
        <is>
          <t>property-local</t>
        </is>
      </c>
      <c r="L425" s="36" t="n">
        <v>5</v>
      </c>
      <c r="M425" s="36" t="inlineStr">
        <is>
          <t>Primary</t>
        </is>
      </c>
      <c r="N425" s="39">
        <f>IFERROR(IF(ISNUMBER(SEARCH(D425,INDEX(Pages!$J$2:$J$829,MATCH(A425,Pages!$B$2:$B$829,0)))),"Yes","No"),"Page not found")</f>
        <v/>
      </c>
      <c r="O425" s="25" t="inlineStr">
        <is>
          <t>sonnet</t>
        </is>
      </c>
      <c r="P425" s="25" t="inlineStr">
        <is>
          <t>Quebec waitlist until AMF registration.</t>
        </is>
      </c>
    </row>
    <row r="426" ht="15" customHeight="1" s="22">
      <c r="A426" s="36" t="inlineStr">
        <is>
          <t>https://instasure.ca/insurance/ontario/markham/</t>
        </is>
      </c>
      <c r="B426" s="36" t="inlineStr">
        <is>
          <t>Place hub</t>
        </is>
      </c>
      <c r="C426" s="36" t="inlineStr">
        <is>
          <t>Multi-line (place hubs)</t>
        </is>
      </c>
      <c r="D426" s="36" t="inlineStr">
        <is>
          <t>insurance advisor markham</t>
        </is>
      </c>
      <c r="E426" s="36" t="inlineStr">
        <is>
          <t>City</t>
        </is>
      </c>
      <c r="F426" s="36" t="inlineStr">
        <is>
          <t>Ontario</t>
        </is>
      </c>
      <c r="G426" s="36" t="inlineStr">
        <is>
          <t>Markham</t>
        </is>
      </c>
      <c r="H426" s="37" t="n">
        <v>130</v>
      </c>
      <c r="I426" s="36" t="n">
        <v>30</v>
      </c>
      <c r="J426" s="36" t="inlineStr">
        <is>
          <t>local</t>
        </is>
      </c>
      <c r="K426" s="36" t="inlineStr">
        <is>
          <t>advisors</t>
        </is>
      </c>
      <c r="L426" s="36" t="n">
        <v>3</v>
      </c>
      <c r="M426" s="36" t="inlineStr">
        <is>
          <t>Primary</t>
        </is>
      </c>
      <c r="N426" s="39">
        <f>IFERROR(IF(ISNUMBER(SEARCH(D426,INDEX(Pages!$J$2:$J$829,MATCH(A426,Pages!$B$2:$B$829,0)))),"Yes","No"),"Page not found")</f>
        <v/>
      </c>
      <c r="O426" s="25" t="inlineStr">
        <is>
          <t>local brokers, thinkinsure, rates.ca (broker pages)</t>
        </is>
      </c>
      <c r="P426" s="25" t="inlineStr">
        <is>
          <t>City hub. Add a Google Business Profile only where an advisor really works from that city.</t>
        </is>
      </c>
    </row>
    <row r="427" ht="15" customHeight="1" s="22">
      <c r="A427" s="36" t="inlineStr">
        <is>
          <t>https://instasure.ca/life-insurance/british-columbia/burnaby/</t>
        </is>
      </c>
      <c r="B427" s="36" t="inlineStr">
        <is>
          <t>Product × city</t>
        </is>
      </c>
      <c r="C427" s="36" t="inlineStr">
        <is>
          <t>Life insurance</t>
        </is>
      </c>
      <c r="D427" s="36" t="inlineStr">
        <is>
          <t>life insurance burnaby</t>
        </is>
      </c>
      <c r="E427" s="36" t="inlineStr">
        <is>
          <t>City</t>
        </is>
      </c>
      <c r="F427" s="36" t="inlineStr">
        <is>
          <t>British Columbia</t>
        </is>
      </c>
      <c r="G427" s="36" t="inlineStr">
        <is>
          <t>Burnaby</t>
        </is>
      </c>
      <c r="H427" s="37" t="n">
        <v>130</v>
      </c>
      <c r="I427" s="36" t="n">
        <v>35</v>
      </c>
      <c r="J427" s="36" t="inlineStr">
        <is>
          <t>local</t>
        </is>
      </c>
      <c r="K427" s="36" t="inlineStr">
        <is>
          <t>life-local</t>
        </is>
      </c>
      <c r="L427" s="36" t="n">
        <v>2</v>
      </c>
      <c r="M427" s="36" t="inlineStr">
        <is>
          <t>Primary</t>
        </is>
      </c>
      <c r="N427" s="39">
        <f>IFERROR(IF(ISNUMBER(SEARCH(D427,INDEX(Pages!$J$2:$J$829,MATCH(A427,Pages!$B$2:$B$829,0)))),"Yes","No"),"Page not found")</f>
        <v/>
      </c>
      <c r="O427" s="25" t="inlineStr">
        <is>
          <t>(none seen)</t>
        </is>
      </c>
      <c r="P427" s="25" t="n"/>
    </row>
    <row r="428" ht="15" customHeight="1" s="22">
      <c r="A428" s="36" t="inlineStr">
        <is>
          <t>https://instasure.ca/life-insurance/ontario/kitchener/</t>
        </is>
      </c>
      <c r="B428" s="36" t="inlineStr">
        <is>
          <t>Product × city</t>
        </is>
      </c>
      <c r="C428" s="36" t="inlineStr">
        <is>
          <t>Life insurance</t>
        </is>
      </c>
      <c r="D428" s="36" t="inlineStr">
        <is>
          <t>life insurance kitchener</t>
        </is>
      </c>
      <c r="E428" s="36" t="inlineStr">
        <is>
          <t>City</t>
        </is>
      </c>
      <c r="F428" s="36" t="inlineStr">
        <is>
          <t>Ontario</t>
        </is>
      </c>
      <c r="G428" s="36" t="inlineStr">
        <is>
          <t>Kitchener</t>
        </is>
      </c>
      <c r="H428" s="37" t="n">
        <v>130</v>
      </c>
      <c r="I428" s="36" t="n">
        <v>43</v>
      </c>
      <c r="J428" s="36" t="inlineStr">
        <is>
          <t>local</t>
        </is>
      </c>
      <c r="K428" s="36" t="inlineStr">
        <is>
          <t>life-local</t>
        </is>
      </c>
      <c r="L428" s="36" t="n">
        <v>2</v>
      </c>
      <c r="M428" s="36" t="inlineStr">
        <is>
          <t>Primary</t>
        </is>
      </c>
      <c r="N428" s="39">
        <f>IFERROR(IF(ISNUMBER(SEARCH(D428,INDEX(Pages!$J$2:$J$829,MATCH(A428,Pages!$B$2:$B$829,0)))),"Yes","No"),"Page not found")</f>
        <v/>
      </c>
      <c r="O428" s="25" t="inlineStr">
        <is>
          <t>(none seen)</t>
        </is>
      </c>
      <c r="P428" s="25" t="n"/>
    </row>
    <row r="429" ht="15" customHeight="1" s="22">
      <c r="A429" s="36" t="inlineStr">
        <is>
          <t>https://instasure.ca/life-insurance/saskatchewan/saskatoon/</t>
        </is>
      </c>
      <c r="B429" s="36" t="inlineStr">
        <is>
          <t>Product × city</t>
        </is>
      </c>
      <c r="C429" s="36" t="inlineStr">
        <is>
          <t>Life insurance</t>
        </is>
      </c>
      <c r="D429" s="36" t="inlineStr">
        <is>
          <t>life insurance saskatoon</t>
        </is>
      </c>
      <c r="E429" s="36" t="inlineStr">
        <is>
          <t>City</t>
        </is>
      </c>
      <c r="F429" s="36" t="inlineStr">
        <is>
          <t>Saskatchewan</t>
        </is>
      </c>
      <c r="G429" s="36" t="inlineStr">
        <is>
          <t>Saskatoon</t>
        </is>
      </c>
      <c r="H429" s="37" t="n">
        <v>130</v>
      </c>
      <c r="I429" s="36" t="n">
        <v>35</v>
      </c>
      <c r="J429" s="36" t="inlineStr">
        <is>
          <t>local</t>
        </is>
      </c>
      <c r="K429" s="36" t="inlineStr">
        <is>
          <t>life-local</t>
        </is>
      </c>
      <c r="L429" s="36" t="n">
        <v>2</v>
      </c>
      <c r="M429" s="36" t="inlineStr">
        <is>
          <t>Primary</t>
        </is>
      </c>
      <c r="N429" s="39">
        <f>IFERROR(IF(ISNUMBER(SEARCH(D429,INDEX(Pages!$J$2:$J$829,MATCH(A429,Pages!$B$2:$B$829,0)))),"Yes","No"),"Page not found")</f>
        <v/>
      </c>
      <c r="O429" s="25" t="inlineStr">
        <is>
          <t>(none seen)</t>
        </is>
      </c>
      <c r="P429" s="25" t="n"/>
    </row>
    <row r="430" ht="15" customHeight="1" s="22">
      <c r="A430" s="36" t="inlineStr">
        <is>
          <t>https://instasure.ca/tenant-insurance/british-columbia/abbotsford/</t>
        </is>
      </c>
      <c r="B430" s="36" t="inlineStr">
        <is>
          <t>Product × city</t>
        </is>
      </c>
      <c r="C430" s="36" t="inlineStr">
        <is>
          <t>Tenant insurance</t>
        </is>
      </c>
      <c r="D430" s="36" t="inlineStr">
        <is>
          <t>tenant insurance abbotsford</t>
        </is>
      </c>
      <c r="E430" s="36" t="inlineStr">
        <is>
          <t>City</t>
        </is>
      </c>
      <c r="F430" s="36" t="inlineStr">
        <is>
          <t>British Columbia</t>
        </is>
      </c>
      <c r="G430" s="36" t="inlineStr">
        <is>
          <t>Abbotsford</t>
        </is>
      </c>
      <c r="H430" s="37" t="n">
        <v>130</v>
      </c>
      <c r="I430" s="36" t="n">
        <v>32</v>
      </c>
      <c r="J430" s="36" t="inlineStr">
        <is>
          <t>local</t>
        </is>
      </c>
      <c r="K430" s="36" t="inlineStr">
        <is>
          <t>property-local</t>
        </is>
      </c>
      <c r="L430" s="36" t="n">
        <v>4</v>
      </c>
      <c r="M430" s="36" t="inlineStr">
        <is>
          <t>Primary</t>
        </is>
      </c>
      <c r="N430" s="39">
        <f>IFERROR(IF(ISNUMBER(SEARCH(D430,INDEX(Pages!$J$2:$J$829,MATCH(A430,Pages!$B$2:$B$829,0)))),"Yes","No"),"Page not found")</f>
        <v/>
      </c>
      <c r="O430" s="25" t="inlineStr">
        <is>
          <t>(none seen)</t>
        </is>
      </c>
      <c r="P430" s="25" t="n"/>
    </row>
    <row r="431" ht="15" customHeight="1" s="22">
      <c r="A431" s="36" t="inlineStr">
        <is>
          <t>https://instasure.ca/tenant-insurance/nova-scotia/</t>
        </is>
      </c>
      <c r="B431" s="36" t="inlineStr">
        <is>
          <t>Product × province</t>
        </is>
      </c>
      <c r="C431" s="36" t="inlineStr">
        <is>
          <t>Tenant insurance</t>
        </is>
      </c>
      <c r="D431" s="36" t="inlineStr">
        <is>
          <t>tenant insurance nova scotia</t>
        </is>
      </c>
      <c r="E431" s="36" t="inlineStr">
        <is>
          <t>Provincial</t>
        </is>
      </c>
      <c r="F431" s="36" t="inlineStr">
        <is>
          <t>Nova Scotia</t>
        </is>
      </c>
      <c r="G431" s="36" t="n"/>
      <c r="H431" s="37" t="n">
        <v>130</v>
      </c>
      <c r="I431" s="36" t="n">
        <v>36</v>
      </c>
      <c r="J431" s="36" t="inlineStr">
        <is>
          <t>commercial</t>
        </is>
      </c>
      <c r="K431" s="36" t="inlineStr">
        <is>
          <t>property-province</t>
        </is>
      </c>
      <c r="L431" s="36" t="n">
        <v>5</v>
      </c>
      <c r="M431" s="36" t="inlineStr">
        <is>
          <t>Primary</t>
        </is>
      </c>
      <c r="N431" s="39">
        <f>IFERROR(IF(ISNUMBER(SEARCH(D431,INDEX(Pages!$J$2:$J$829,MATCH(A431,Pages!$B$2:$B$829,0)))),"Yes","No"),"Page not found")</f>
        <v/>
      </c>
      <c r="O431" s="25" t="inlineStr">
        <is>
          <t>ratehub</t>
        </is>
      </c>
      <c r="P431" s="25" t="n"/>
    </row>
    <row r="432" ht="15" customHeight="1" s="22">
      <c r="A432" s="36" t="inlineStr">
        <is>
          <t>https://instasure.ca/business-insurance/quebec/montreal/</t>
        </is>
      </c>
      <c r="B432" s="36" t="inlineStr">
        <is>
          <t>Product × city</t>
        </is>
      </c>
      <c r="C432" s="36" t="inlineStr">
        <is>
          <t>Business insurance</t>
        </is>
      </c>
      <c r="D432" s="36" t="inlineStr">
        <is>
          <t>business insurance montreal</t>
        </is>
      </c>
      <c r="E432" s="36" t="inlineStr">
        <is>
          <t>City</t>
        </is>
      </c>
      <c r="F432" s="36" t="inlineStr">
        <is>
          <t>Quebec</t>
        </is>
      </c>
      <c r="G432" s="36" t="inlineStr">
        <is>
          <t>Montreal</t>
        </is>
      </c>
      <c r="H432" s="37" t="n">
        <v>120</v>
      </c>
      <c r="I432" s="36" t="n">
        <v>33</v>
      </c>
      <c r="J432" s="36" t="inlineStr">
        <is>
          <t>local</t>
        </is>
      </c>
      <c r="K432" s="36" t="inlineStr">
        <is>
          <t>business-local</t>
        </is>
      </c>
      <c r="L432" s="36" t="n">
        <v>3</v>
      </c>
      <c r="M432" s="36" t="inlineStr">
        <is>
          <t>Primary</t>
        </is>
      </c>
      <c r="N432" s="39">
        <f>IFERROR(IF(ISNUMBER(SEARCH(D432,INDEX(Pages!$J$2:$J$829,MATCH(A432,Pages!$B$2:$B$829,0)))),"Yes","No"),"Page not found")</f>
        <v/>
      </c>
      <c r="O432" s="25" t="inlineStr">
        <is>
          <t>(none seen)</t>
        </is>
      </c>
      <c r="P432" s="25" t="inlineStr">
        <is>
          <t>Quebec waitlist until AMF registration.</t>
        </is>
      </c>
    </row>
    <row r="433" ht="23.85" customHeight="1" s="22">
      <c r="A433" s="36" t="inlineStr">
        <is>
          <t>https://instasure.ca/car-insurance/quebec/sherbrooke/</t>
        </is>
      </c>
      <c r="B433" s="36" t="inlineStr">
        <is>
          <t>Product × city</t>
        </is>
      </c>
      <c r="C433" s="36" t="inlineStr">
        <is>
          <t>Car insurance</t>
        </is>
      </c>
      <c r="D433" s="36" t="inlineStr">
        <is>
          <t>car insurance sherbrooke</t>
        </is>
      </c>
      <c r="E433" s="36" t="inlineStr">
        <is>
          <t>City</t>
        </is>
      </c>
      <c r="F433" s="36" t="inlineStr">
        <is>
          <t>Quebec</t>
        </is>
      </c>
      <c r="G433" s="36" t="inlineStr">
        <is>
          <t>Sherbrooke</t>
        </is>
      </c>
      <c r="H433" s="37" t="n">
        <v>120</v>
      </c>
      <c r="I433" s="36" t="n">
        <v>44</v>
      </c>
      <c r="J433" s="36" t="inlineStr">
        <is>
          <t>local</t>
        </is>
      </c>
      <c r="K433" s="36" t="inlineStr">
        <is>
          <t>auto-local</t>
        </is>
      </c>
      <c r="L433" s="36" t="n">
        <v>5</v>
      </c>
      <c r="M433" s="36" t="inlineStr">
        <is>
          <t>Primary</t>
        </is>
      </c>
      <c r="N433" s="39">
        <f>IFERROR(IF(ISNUMBER(SEARCH(D433,INDEX(Pages!$J$2:$J$829,MATCH(A433,Pages!$B$2:$B$829,0)))),"Yes","No"),"Page not found")</f>
        <v/>
      </c>
      <c r="O433" s="25" t="inlineStr">
        <is>
          <t>(none seen)</t>
        </is>
      </c>
      <c r="P433" s="25" t="inlineStr">
        <is>
          <t>Page exists but is noindex until an editor adds a 300+ character local intro (Admin → SEO → Page overrides). Quebec waitlist until AMF registration.</t>
        </is>
      </c>
    </row>
    <row r="434" ht="15" customHeight="1" s="22">
      <c r="A434" s="36" t="inlineStr">
        <is>
          <t>https://instasure.ca/condo-insurance/quebec/montreal/</t>
        </is>
      </c>
      <c r="B434" s="36" t="inlineStr">
        <is>
          <t>Product × city</t>
        </is>
      </c>
      <c r="C434" s="36" t="inlineStr">
        <is>
          <t>Condo insurance</t>
        </is>
      </c>
      <c r="D434" s="36" t="inlineStr">
        <is>
          <t>condo insurance montreal</t>
        </is>
      </c>
      <c r="E434" s="36" t="inlineStr">
        <is>
          <t>City</t>
        </is>
      </c>
      <c r="F434" s="36" t="inlineStr">
        <is>
          <t>Quebec</t>
        </is>
      </c>
      <c r="G434" s="36" t="inlineStr">
        <is>
          <t>Montreal</t>
        </is>
      </c>
      <c r="H434" s="37" t="n">
        <v>120</v>
      </c>
      <c r="I434" s="36" t="n">
        <v>40</v>
      </c>
      <c r="J434" s="36" t="inlineStr">
        <is>
          <t>local</t>
        </is>
      </c>
      <c r="K434" s="36" t="inlineStr">
        <is>
          <t>property-local</t>
        </is>
      </c>
      <c r="L434" s="36" t="n">
        <v>5</v>
      </c>
      <c r="M434" s="36" t="inlineStr">
        <is>
          <t>Primary</t>
        </is>
      </c>
      <c r="N434" s="39">
        <f>IFERROR(IF(ISNUMBER(SEARCH(D434,INDEX(Pages!$J$2:$J$829,MATCH(A434,Pages!$B$2:$B$829,0)))),"Yes","No"),"Page not found")</f>
        <v/>
      </c>
      <c r="O434" s="25" t="inlineStr">
        <is>
          <t>(none seen)</t>
        </is>
      </c>
      <c r="P434" s="25" t="inlineStr">
        <is>
          <t>Quebec waitlist until AMF registration.</t>
        </is>
      </c>
    </row>
    <row r="435" ht="15" customHeight="1" s="22">
      <c r="A435" s="36" t="inlineStr">
        <is>
          <t>https://instasure.ca/health-dental-insurance/saskatchewan/</t>
        </is>
      </c>
      <c r="B435" s="36" t="inlineStr">
        <is>
          <t>Product × province</t>
        </is>
      </c>
      <c r="C435" s="36" t="inlineStr">
        <is>
          <t>Health &amp; dental insurance</t>
        </is>
      </c>
      <c r="D435" s="36" t="inlineStr">
        <is>
          <t>health insurance saskatchewan</t>
        </is>
      </c>
      <c r="E435" s="36" t="inlineStr">
        <is>
          <t>Provincial</t>
        </is>
      </c>
      <c r="F435" s="36" t="inlineStr">
        <is>
          <t>Saskatchewan</t>
        </is>
      </c>
      <c r="G435" s="36" t="n"/>
      <c r="H435" s="37" t="n">
        <v>120</v>
      </c>
      <c r="I435" s="36" t="n">
        <v>39</v>
      </c>
      <c r="J435" s="36" t="inlineStr">
        <is>
          <t>commercial</t>
        </is>
      </c>
      <c r="K435" s="36" t="inlineStr">
        <is>
          <t>health-province</t>
        </is>
      </c>
      <c r="L435" s="36" t="n">
        <v>3</v>
      </c>
      <c r="M435" s="36" t="inlineStr">
        <is>
          <t>Primary</t>
        </is>
      </c>
      <c r="N435" s="39">
        <f>IFERROR(IF(ISNUMBER(SEARCH(D435,INDEX(Pages!$J$2:$J$829,MATCH(A435,Pages!$B$2:$B$829,0)))),"Yes","No"),"Page not found")</f>
        <v/>
      </c>
      <c r="O435" s="25" t="inlineStr">
        <is>
          <t>(none seen)</t>
        </is>
      </c>
      <c r="P435" s="25" t="n"/>
    </row>
    <row r="436" ht="15" customHeight="1" s="22">
      <c r="A436" s="36" t="inlineStr">
        <is>
          <t>https://instasure.ca/home-insurance/british-columbia/victoria/</t>
        </is>
      </c>
      <c r="B436" s="36" t="inlineStr">
        <is>
          <t>Product × city</t>
        </is>
      </c>
      <c r="C436" s="36" t="inlineStr">
        <is>
          <t>Home insurance</t>
        </is>
      </c>
      <c r="D436" s="36" t="inlineStr">
        <is>
          <t>home insurance victoria</t>
        </is>
      </c>
      <c r="E436" s="36" t="inlineStr">
        <is>
          <t>City</t>
        </is>
      </c>
      <c r="F436" s="36" t="inlineStr">
        <is>
          <t>British Columbia</t>
        </is>
      </c>
      <c r="G436" s="36" t="inlineStr">
        <is>
          <t>Victoria</t>
        </is>
      </c>
      <c r="H436" s="37" t="n">
        <v>120</v>
      </c>
      <c r="I436" s="36" t="n">
        <v>52</v>
      </c>
      <c r="J436" s="36" t="inlineStr">
        <is>
          <t>local</t>
        </is>
      </c>
      <c r="K436" s="36" t="inlineStr">
        <is>
          <t>property-local</t>
        </is>
      </c>
      <c r="L436" s="36" t="n">
        <v>4</v>
      </c>
      <c r="M436" s="36" t="inlineStr">
        <is>
          <t>Primary</t>
        </is>
      </c>
      <c r="N436" s="39">
        <f>IFERROR(IF(ISNUMBER(SEARCH(D436,INDEX(Pages!$J$2:$J$829,MATCH(A436,Pages!$B$2:$B$829,0)))),"Yes","No"),"Page not found")</f>
        <v/>
      </c>
      <c r="O436" s="25" t="inlineStr">
        <is>
          <t>ratehub</t>
        </is>
      </c>
      <c r="P436" s="25" t="n"/>
    </row>
    <row r="437" ht="15" customHeight="1" s="22">
      <c r="A437" s="36" t="inlineStr">
        <is>
          <t>https://instasure.ca/insurance/ontario/vaughan/</t>
        </is>
      </c>
      <c r="B437" s="36" t="inlineStr">
        <is>
          <t>Place hub</t>
        </is>
      </c>
      <c r="C437" s="36" t="inlineStr">
        <is>
          <t>Multi-line (place hubs)</t>
        </is>
      </c>
      <c r="D437" s="36" t="inlineStr">
        <is>
          <t>insurance advisor vaughan</t>
        </is>
      </c>
      <c r="E437" s="36" t="inlineStr">
        <is>
          <t>City</t>
        </is>
      </c>
      <c r="F437" s="36" t="inlineStr">
        <is>
          <t>Ontario</t>
        </is>
      </c>
      <c r="G437" s="36" t="inlineStr">
        <is>
          <t>Vaughan</t>
        </is>
      </c>
      <c r="H437" s="37" t="n">
        <v>120</v>
      </c>
      <c r="I437" s="36" t="n">
        <v>30</v>
      </c>
      <c r="J437" s="36" t="inlineStr">
        <is>
          <t>local</t>
        </is>
      </c>
      <c r="K437" s="36" t="inlineStr">
        <is>
          <t>advisors</t>
        </is>
      </c>
      <c r="L437" s="36" t="n">
        <v>3</v>
      </c>
      <c r="M437" s="36" t="inlineStr">
        <is>
          <t>Primary</t>
        </is>
      </c>
      <c r="N437" s="39">
        <f>IFERROR(IF(ISNUMBER(SEARCH(D437,INDEX(Pages!$J$2:$J$829,MATCH(A437,Pages!$B$2:$B$829,0)))),"Yes","No"),"Page not found")</f>
        <v/>
      </c>
      <c r="O437" s="25" t="inlineStr">
        <is>
          <t>local brokers, thinkinsure, rates.ca (broker pages)</t>
        </is>
      </c>
      <c r="P437" s="25" t="inlineStr">
        <is>
          <t>City hub. Add a Google Business Profile only where an advisor really works from that city.</t>
        </is>
      </c>
    </row>
    <row r="438" ht="23.85" customHeight="1" s="22">
      <c r="A438" s="36" t="inlineStr">
        <is>
          <t>https://instasure.ca/life-insurance/ontario/windsor/</t>
        </is>
      </c>
      <c r="B438" s="36" t="inlineStr">
        <is>
          <t>Product × city</t>
        </is>
      </c>
      <c r="C438" s="36" t="inlineStr">
        <is>
          <t>Life insurance</t>
        </is>
      </c>
      <c r="D438" s="36" t="inlineStr">
        <is>
          <t>life insurance windsor</t>
        </is>
      </c>
      <c r="E438" s="36" t="inlineStr">
        <is>
          <t>City</t>
        </is>
      </c>
      <c r="F438" s="36" t="inlineStr">
        <is>
          <t>Ontario</t>
        </is>
      </c>
      <c r="G438" s="36" t="inlineStr">
        <is>
          <t>Windsor</t>
        </is>
      </c>
      <c r="H438" s="37" t="n">
        <v>120</v>
      </c>
      <c r="I438" s="36" t="n">
        <v>47</v>
      </c>
      <c r="J438" s="36" t="inlineStr">
        <is>
          <t>local</t>
        </is>
      </c>
      <c r="K438" s="36" t="inlineStr">
        <is>
          <t>life-local</t>
        </is>
      </c>
      <c r="L438" s="36" t="n">
        <v>2</v>
      </c>
      <c r="M438" s="36" t="inlineStr">
        <is>
          <t>Primary</t>
        </is>
      </c>
      <c r="N438" s="39">
        <f>IFERROR(IF(ISNUMBER(SEARCH(D438,INDEX(Pages!$J$2:$J$829,MATCH(A438,Pages!$B$2:$B$829,0)))),"Yes","No"),"Page not found")</f>
        <v/>
      </c>
      <c r="O438" s="25" t="inlineStr">
        <is>
          <t>policyadvisor (stale 2025 titles)</t>
        </is>
      </c>
      <c r="P438" s="25" t="inlineStr">
        <is>
          <t>Competitor city pages here are thin or carry stale dates (October 2026 review): freshness opening.</t>
        </is>
      </c>
    </row>
    <row r="439" ht="15" customHeight="1" s="22">
      <c r="A439" s="36" t="inlineStr">
        <is>
          <t>https://instasure.ca/life-insurance/saskatchewan/regina/</t>
        </is>
      </c>
      <c r="B439" s="36" t="inlineStr">
        <is>
          <t>Product × city</t>
        </is>
      </c>
      <c r="C439" s="36" t="inlineStr">
        <is>
          <t>Life insurance</t>
        </is>
      </c>
      <c r="D439" s="36" t="inlineStr">
        <is>
          <t>life insurance regina</t>
        </is>
      </c>
      <c r="E439" s="36" t="inlineStr">
        <is>
          <t>City</t>
        </is>
      </c>
      <c r="F439" s="36" t="inlineStr">
        <is>
          <t>Saskatchewan</t>
        </is>
      </c>
      <c r="G439" s="36" t="inlineStr">
        <is>
          <t>Regina</t>
        </is>
      </c>
      <c r="H439" s="37" t="n">
        <v>120</v>
      </c>
      <c r="I439" s="36" t="n">
        <v>35</v>
      </c>
      <c r="J439" s="36" t="inlineStr">
        <is>
          <t>local</t>
        </is>
      </c>
      <c r="K439" s="36" t="inlineStr">
        <is>
          <t>life-local</t>
        </is>
      </c>
      <c r="L439" s="36" t="n">
        <v>2</v>
      </c>
      <c r="M439" s="36" t="inlineStr">
        <is>
          <t>Primary</t>
        </is>
      </c>
      <c r="N439" s="39">
        <f>IFERROR(IF(ISNUMBER(SEARCH(D439,INDEX(Pages!$J$2:$J$829,MATCH(A439,Pages!$B$2:$B$829,0)))),"Yes","No"),"Page not found")</f>
        <v/>
      </c>
      <c r="O439" s="25" t="inlineStr">
        <is>
          <t>(none seen)</t>
        </is>
      </c>
      <c r="P439" s="25" t="n"/>
    </row>
    <row r="440" ht="15" customHeight="1" s="22">
      <c r="A440" s="36" t="inlineStr">
        <is>
          <t>https://instasure.ca/tenant-insurance/british-columbia/coquitlam/</t>
        </is>
      </c>
      <c r="B440" s="36" t="inlineStr">
        <is>
          <t>Product × city</t>
        </is>
      </c>
      <c r="C440" s="36" t="inlineStr">
        <is>
          <t>Tenant insurance</t>
        </is>
      </c>
      <c r="D440" s="36" t="inlineStr">
        <is>
          <t>tenant insurance coquitlam</t>
        </is>
      </c>
      <c r="E440" s="36" t="inlineStr">
        <is>
          <t>City</t>
        </is>
      </c>
      <c r="F440" s="36" t="inlineStr">
        <is>
          <t>British Columbia</t>
        </is>
      </c>
      <c r="G440" s="36" t="inlineStr">
        <is>
          <t>Coquitlam</t>
        </is>
      </c>
      <c r="H440" s="37" t="n">
        <v>120</v>
      </c>
      <c r="I440" s="36" t="n">
        <v>32</v>
      </c>
      <c r="J440" s="36" t="inlineStr">
        <is>
          <t>local</t>
        </is>
      </c>
      <c r="K440" s="36" t="inlineStr">
        <is>
          <t>property-local</t>
        </is>
      </c>
      <c r="L440" s="36" t="n">
        <v>4</v>
      </c>
      <c r="M440" s="36" t="inlineStr">
        <is>
          <t>Primary</t>
        </is>
      </c>
      <c r="N440" s="39">
        <f>IFERROR(IF(ISNUMBER(SEARCH(D440,INDEX(Pages!$J$2:$J$829,MATCH(A440,Pages!$B$2:$B$829,0)))),"Yes","No"),"Page not found")</f>
        <v/>
      </c>
      <c r="O440" s="25" t="inlineStr">
        <is>
          <t>(none seen)</t>
        </is>
      </c>
      <c r="P440" s="25" t="n"/>
    </row>
    <row r="441" ht="15" customHeight="1" s="22">
      <c r="A441" s="36" t="inlineStr">
        <is>
          <t>https://instasure.ca/tenant-insurance/british-columbia/kelowna/</t>
        </is>
      </c>
      <c r="B441" s="36" t="inlineStr">
        <is>
          <t>Product × city</t>
        </is>
      </c>
      <c r="C441" s="36" t="inlineStr">
        <is>
          <t>Tenant insurance</t>
        </is>
      </c>
      <c r="D441" s="36" t="inlineStr">
        <is>
          <t>tenant insurance kelowna</t>
        </is>
      </c>
      <c r="E441" s="36" t="inlineStr">
        <is>
          <t>City</t>
        </is>
      </c>
      <c r="F441" s="36" t="inlineStr">
        <is>
          <t>British Columbia</t>
        </is>
      </c>
      <c r="G441" s="36" t="inlineStr">
        <is>
          <t>Kelowna</t>
        </is>
      </c>
      <c r="H441" s="37" t="n">
        <v>120</v>
      </c>
      <c r="I441" s="36" t="n">
        <v>40</v>
      </c>
      <c r="J441" s="36" t="inlineStr">
        <is>
          <t>local</t>
        </is>
      </c>
      <c r="K441" s="36" t="inlineStr">
        <is>
          <t>property-local</t>
        </is>
      </c>
      <c r="L441" s="36" t="n">
        <v>5</v>
      </c>
      <c r="M441" s="36" t="inlineStr">
        <is>
          <t>Primary</t>
        </is>
      </c>
      <c r="N441" s="39">
        <f>IFERROR(IF(ISNUMBER(SEARCH(D441,INDEX(Pages!$J$2:$J$829,MATCH(A441,Pages!$B$2:$B$829,0)))),"Yes","No"),"Page not found")</f>
        <v/>
      </c>
      <c r="O441" s="25" t="inlineStr">
        <is>
          <t>(none seen)</t>
        </is>
      </c>
      <c r="P441" s="25" t="n"/>
    </row>
    <row r="442" ht="15" customHeight="1" s="22">
      <c r="A442" s="36" t="inlineStr">
        <is>
          <t>https://instasure.ca/tenant-insurance/ontario/barrie/</t>
        </is>
      </c>
      <c r="B442" s="36" t="inlineStr">
        <is>
          <t>Product × city</t>
        </is>
      </c>
      <c r="C442" s="36" t="inlineStr">
        <is>
          <t>Tenant insurance</t>
        </is>
      </c>
      <c r="D442" s="36" t="inlineStr">
        <is>
          <t>tenant insurance barrie</t>
        </is>
      </c>
      <c r="E442" s="36" t="inlineStr">
        <is>
          <t>City</t>
        </is>
      </c>
      <c r="F442" s="36" t="inlineStr">
        <is>
          <t>Ontario</t>
        </is>
      </c>
      <c r="G442" s="36" t="inlineStr">
        <is>
          <t>Barrie</t>
        </is>
      </c>
      <c r="H442" s="37" t="n">
        <v>120</v>
      </c>
      <c r="I442" s="36" t="n">
        <v>40</v>
      </c>
      <c r="J442" s="36" t="inlineStr">
        <is>
          <t>local</t>
        </is>
      </c>
      <c r="K442" s="36" t="inlineStr">
        <is>
          <t>property-local</t>
        </is>
      </c>
      <c r="L442" s="36" t="n">
        <v>5</v>
      </c>
      <c r="M442" s="36" t="inlineStr">
        <is>
          <t>Primary</t>
        </is>
      </c>
      <c r="N442" s="39">
        <f>IFERROR(IF(ISNUMBER(SEARCH(D442,INDEX(Pages!$J$2:$J$829,MATCH(A442,Pages!$B$2:$B$829,0)))),"Yes","No"),"Page not found")</f>
        <v/>
      </c>
      <c r="O442" s="25" t="inlineStr">
        <is>
          <t>(none seen)</t>
        </is>
      </c>
      <c r="P442" s="25" t="n"/>
    </row>
    <row r="443" ht="23.85" customHeight="1" s="22">
      <c r="A443" s="36" t="inlineStr">
        <is>
          <t>https://instasure.ca/tenant-insurance/ontario/cambridge/</t>
        </is>
      </c>
      <c r="B443" s="36" t="inlineStr">
        <is>
          <t>Product × city</t>
        </is>
      </c>
      <c r="C443" s="36" t="inlineStr">
        <is>
          <t>Tenant insurance</t>
        </is>
      </c>
      <c r="D443" s="36" t="inlineStr">
        <is>
          <t>tenant insurance cambridge</t>
        </is>
      </c>
      <c r="E443" s="36" t="inlineStr">
        <is>
          <t>City</t>
        </is>
      </c>
      <c r="F443" s="36" t="inlineStr">
        <is>
          <t>Ontario</t>
        </is>
      </c>
      <c r="G443" s="36" t="inlineStr">
        <is>
          <t>Cambridge</t>
        </is>
      </c>
      <c r="H443" s="37" t="n">
        <v>120</v>
      </c>
      <c r="I443" s="36" t="n">
        <v>32</v>
      </c>
      <c r="J443" s="36" t="inlineStr">
        <is>
          <t>local</t>
        </is>
      </c>
      <c r="K443" s="36" t="inlineStr">
        <is>
          <t>property-local</t>
        </is>
      </c>
      <c r="L443" s="36" t="n">
        <v>5</v>
      </c>
      <c r="M443" s="36" t="inlineStr">
        <is>
          <t>Primary</t>
        </is>
      </c>
      <c r="N443" s="39">
        <f>IFERROR(IF(ISNUMBER(SEARCH(D443,INDEX(Pages!$J$2:$J$829,MATCH(A443,Pages!$B$2:$B$829,0)))),"Yes","No"),"Page not found")</f>
        <v/>
      </c>
      <c r="O443" s="25" t="inlineStr">
        <is>
          <t>(none seen)</t>
        </is>
      </c>
      <c r="P443" s="25" t="inlineStr">
        <is>
          <t>Page exists but is noindex until an editor adds a 300+ character local intro (Admin → SEO → Page overrides).</t>
        </is>
      </c>
    </row>
    <row r="444" ht="15" customHeight="1" s="22">
      <c r="A444" s="36" t="inlineStr">
        <is>
          <t>https://instasure.ca/tenant-insurance/ontario/guelph/</t>
        </is>
      </c>
      <c r="B444" s="36" t="inlineStr">
        <is>
          <t>Product × city</t>
        </is>
      </c>
      <c r="C444" s="36" t="inlineStr">
        <is>
          <t>Tenant insurance</t>
        </is>
      </c>
      <c r="D444" s="36" t="inlineStr">
        <is>
          <t>tenant insurance guelph</t>
        </is>
      </c>
      <c r="E444" s="36" t="inlineStr">
        <is>
          <t>City</t>
        </is>
      </c>
      <c r="F444" s="36" t="inlineStr">
        <is>
          <t>Ontario</t>
        </is>
      </c>
      <c r="G444" s="36" t="inlineStr">
        <is>
          <t>Guelph</t>
        </is>
      </c>
      <c r="H444" s="37" t="n">
        <v>120</v>
      </c>
      <c r="I444" s="36" t="n">
        <v>40</v>
      </c>
      <c r="J444" s="36" t="inlineStr">
        <is>
          <t>local</t>
        </is>
      </c>
      <c r="K444" s="36" t="inlineStr">
        <is>
          <t>property-local</t>
        </is>
      </c>
      <c r="L444" s="36" t="n">
        <v>5</v>
      </c>
      <c r="M444" s="36" t="inlineStr">
        <is>
          <t>Primary</t>
        </is>
      </c>
      <c r="N444" s="39">
        <f>IFERROR(IF(ISNUMBER(SEARCH(D444,INDEX(Pages!$J$2:$J$829,MATCH(A444,Pages!$B$2:$B$829,0)))),"Yes","No"),"Page not found")</f>
        <v/>
      </c>
      <c r="O444" s="25" t="inlineStr">
        <is>
          <t>(none seen)</t>
        </is>
      </c>
      <c r="P444" s="25" t="n"/>
    </row>
    <row r="445" ht="15" customHeight="1" s="22">
      <c r="A445" s="36" t="inlineStr">
        <is>
          <t>https://instasure.ca/tenant-insurance/ontario/st-catharines/</t>
        </is>
      </c>
      <c r="B445" s="36" t="inlineStr">
        <is>
          <t>Product × city</t>
        </is>
      </c>
      <c r="C445" s="36" t="inlineStr">
        <is>
          <t>Tenant insurance</t>
        </is>
      </c>
      <c r="D445" s="36" t="inlineStr">
        <is>
          <t>tenant insurance st catharines</t>
        </is>
      </c>
      <c r="E445" s="36" t="inlineStr">
        <is>
          <t>City</t>
        </is>
      </c>
      <c r="F445" s="36" t="inlineStr">
        <is>
          <t>Ontario</t>
        </is>
      </c>
      <c r="G445" s="36" t="inlineStr">
        <is>
          <t>St. Catharines</t>
        </is>
      </c>
      <c r="H445" s="37" t="n">
        <v>120</v>
      </c>
      <c r="I445" s="36" t="n">
        <v>40</v>
      </c>
      <c r="J445" s="36" t="inlineStr">
        <is>
          <t>local</t>
        </is>
      </c>
      <c r="K445" s="36" t="inlineStr">
        <is>
          <t>property-local</t>
        </is>
      </c>
      <c r="L445" s="36" t="n">
        <v>5</v>
      </c>
      <c r="M445" s="36" t="inlineStr">
        <is>
          <t>Primary</t>
        </is>
      </c>
      <c r="N445" s="39">
        <f>IFERROR(IF(ISNUMBER(SEARCH(D445,INDEX(Pages!$J$2:$J$829,MATCH(A445,Pages!$B$2:$B$829,0)))),"Yes","No"),"Page not found")</f>
        <v/>
      </c>
      <c r="O445" s="25" t="inlineStr">
        <is>
          <t>(none seen)</t>
        </is>
      </c>
      <c r="P445" s="25" t="n"/>
    </row>
    <row r="446" ht="23.85" customHeight="1" s="22">
      <c r="A446" s="36" t="inlineStr">
        <is>
          <t>https://instasure.ca/tenant-insurance/ontario/whitby/</t>
        </is>
      </c>
      <c r="B446" s="36" t="inlineStr">
        <is>
          <t>Product × city</t>
        </is>
      </c>
      <c r="C446" s="36" t="inlineStr">
        <is>
          <t>Tenant insurance</t>
        </is>
      </c>
      <c r="D446" s="36" t="inlineStr">
        <is>
          <t>tenant insurance whitby</t>
        </is>
      </c>
      <c r="E446" s="36" t="inlineStr">
        <is>
          <t>City</t>
        </is>
      </c>
      <c r="F446" s="36" t="inlineStr">
        <is>
          <t>Ontario</t>
        </is>
      </c>
      <c r="G446" s="36" t="inlineStr">
        <is>
          <t>Whitby</t>
        </is>
      </c>
      <c r="H446" s="37" t="n">
        <v>120</v>
      </c>
      <c r="I446" s="36" t="n">
        <v>32</v>
      </c>
      <c r="J446" s="36" t="inlineStr">
        <is>
          <t>local</t>
        </is>
      </c>
      <c r="K446" s="36" t="inlineStr">
        <is>
          <t>property-local</t>
        </is>
      </c>
      <c r="L446" s="36" t="n">
        <v>5</v>
      </c>
      <c r="M446" s="36" t="inlineStr">
        <is>
          <t>Primary</t>
        </is>
      </c>
      <c r="N446" s="39">
        <f>IFERROR(IF(ISNUMBER(SEARCH(D446,INDEX(Pages!$J$2:$J$829,MATCH(A446,Pages!$B$2:$B$829,0)))),"Yes","No"),"Page not found")</f>
        <v/>
      </c>
      <c r="O446" s="25" t="inlineStr">
        <is>
          <t>(none seen)</t>
        </is>
      </c>
      <c r="P446" s="25" t="inlineStr">
        <is>
          <t>Page exists but is noindex until an editor adds a 300+ character local intro (Admin → SEO → Page overrides).</t>
        </is>
      </c>
    </row>
    <row r="447" ht="15" customHeight="1" s="22">
      <c r="A447" s="36" t="inlineStr">
        <is>
          <t>https://instasure.ca/business-insurance/ontario/markham/</t>
        </is>
      </c>
      <c r="B447" s="36" t="inlineStr">
        <is>
          <t>Product × city</t>
        </is>
      </c>
      <c r="C447" s="36" t="inlineStr">
        <is>
          <t>Business insurance</t>
        </is>
      </c>
      <c r="D447" s="36" t="inlineStr">
        <is>
          <t>business insurance markham</t>
        </is>
      </c>
      <c r="E447" s="36" t="inlineStr">
        <is>
          <t>City</t>
        </is>
      </c>
      <c r="F447" s="36" t="inlineStr">
        <is>
          <t>Ontario</t>
        </is>
      </c>
      <c r="G447" s="36" t="inlineStr">
        <is>
          <t>Markham</t>
        </is>
      </c>
      <c r="H447" s="37" t="n">
        <v>110</v>
      </c>
      <c r="I447" s="36" t="n">
        <v>41</v>
      </c>
      <c r="J447" s="36" t="inlineStr">
        <is>
          <t>local</t>
        </is>
      </c>
      <c r="K447" s="36" t="inlineStr">
        <is>
          <t>business-local</t>
        </is>
      </c>
      <c r="L447" s="36" t="n">
        <v>2</v>
      </c>
      <c r="M447" s="36" t="inlineStr">
        <is>
          <t>Primary</t>
        </is>
      </c>
      <c r="N447" s="39">
        <f>IFERROR(IF(ISNUMBER(SEARCH(D447,INDEX(Pages!$J$2:$J$829,MATCH(A447,Pages!$B$2:$B$829,0)))),"Yes","No"),"Page not found")</f>
        <v/>
      </c>
      <c r="O447" s="25" t="inlineStr">
        <is>
          <t>(none seen)</t>
        </is>
      </c>
      <c r="P447" s="25" t="n"/>
    </row>
    <row r="448" ht="15" customHeight="1" s="22">
      <c r="A448" s="36" t="inlineStr">
        <is>
          <t>https://instasure.ca/business-insurance/ontario/vaughan/</t>
        </is>
      </c>
      <c r="B448" s="36" t="inlineStr">
        <is>
          <t>Product × city</t>
        </is>
      </c>
      <c r="C448" s="36" t="inlineStr">
        <is>
          <t>Business insurance</t>
        </is>
      </c>
      <c r="D448" s="36" t="inlineStr">
        <is>
          <t>business insurance vaughan</t>
        </is>
      </c>
      <c r="E448" s="36" t="inlineStr">
        <is>
          <t>City</t>
        </is>
      </c>
      <c r="F448" s="36" t="inlineStr">
        <is>
          <t>Ontario</t>
        </is>
      </c>
      <c r="G448" s="36" t="inlineStr">
        <is>
          <t>Vaughan</t>
        </is>
      </c>
      <c r="H448" s="37" t="n">
        <v>110</v>
      </c>
      <c r="I448" s="36" t="n">
        <v>41</v>
      </c>
      <c r="J448" s="36" t="inlineStr">
        <is>
          <t>local</t>
        </is>
      </c>
      <c r="K448" s="36" t="inlineStr">
        <is>
          <t>business-local</t>
        </is>
      </c>
      <c r="L448" s="36" t="n">
        <v>2</v>
      </c>
      <c r="M448" s="36" t="inlineStr">
        <is>
          <t>Primary</t>
        </is>
      </c>
      <c r="N448" s="39">
        <f>IFERROR(IF(ISNUMBER(SEARCH(D448,INDEX(Pages!$J$2:$J$829,MATCH(A448,Pages!$B$2:$B$829,0)))),"Yes","No"),"Page not found")</f>
        <v/>
      </c>
      <c r="O448" s="25" t="inlineStr">
        <is>
          <t>(none seen)</t>
        </is>
      </c>
      <c r="P448" s="25" t="n"/>
    </row>
    <row r="449" ht="15" customHeight="1" s="22">
      <c r="A449" s="36" t="inlineStr">
        <is>
          <t>https://instasure.ca/business-insurance/saskatchewan/</t>
        </is>
      </c>
      <c r="B449" s="36" t="inlineStr">
        <is>
          <t>Product × province</t>
        </is>
      </c>
      <c r="C449" s="36" t="inlineStr">
        <is>
          <t>Business insurance</t>
        </is>
      </c>
      <c r="D449" s="36" t="inlineStr">
        <is>
          <t>business insurance saskatchewan</t>
        </is>
      </c>
      <c r="E449" s="36" t="inlineStr">
        <is>
          <t>Provincial</t>
        </is>
      </c>
      <c r="F449" s="36" t="inlineStr">
        <is>
          <t>Saskatchewan</t>
        </is>
      </c>
      <c r="G449" s="36" t="n"/>
      <c r="H449" s="37" t="n">
        <v>110</v>
      </c>
      <c r="I449" s="36" t="n">
        <v>34</v>
      </c>
      <c r="J449" s="36" t="inlineStr">
        <is>
          <t>commercial</t>
        </is>
      </c>
      <c r="K449" s="36" t="inlineStr">
        <is>
          <t>business-province</t>
        </is>
      </c>
      <c r="L449" s="36" t="n">
        <v>2</v>
      </c>
      <c r="M449" s="36" t="inlineStr">
        <is>
          <t>Primary</t>
        </is>
      </c>
      <c r="N449" s="39">
        <f>IFERROR(IF(ISNUMBER(SEARCH(D449,INDEX(Pages!$J$2:$J$829,MATCH(A449,Pages!$B$2:$B$829,0)))),"Yes","No"),"Page not found")</f>
        <v/>
      </c>
      <c r="O449" s="25" t="inlineStr">
        <is>
          <t>(none seen)</t>
        </is>
      </c>
      <c r="P449" s="25" t="n"/>
    </row>
    <row r="450" ht="15" customHeight="1" s="22">
      <c r="A450" s="36" t="inlineStr">
        <is>
          <t>https://instasure.ca/condo-insurance/ontario/markham/</t>
        </is>
      </c>
      <c r="B450" s="36" t="inlineStr">
        <is>
          <t>Product × city</t>
        </is>
      </c>
      <c r="C450" s="36" t="inlineStr">
        <is>
          <t>Condo insurance</t>
        </is>
      </c>
      <c r="D450" s="36" t="inlineStr">
        <is>
          <t>condo insurance markham</t>
        </is>
      </c>
      <c r="E450" s="36" t="inlineStr">
        <is>
          <t>City</t>
        </is>
      </c>
      <c r="F450" s="36" t="inlineStr">
        <is>
          <t>Ontario</t>
        </is>
      </c>
      <c r="G450" s="36" t="inlineStr">
        <is>
          <t>Markham</t>
        </is>
      </c>
      <c r="H450" s="37" t="n">
        <v>110</v>
      </c>
      <c r="I450" s="36" t="n">
        <v>48</v>
      </c>
      <c r="J450" s="36" t="inlineStr">
        <is>
          <t>local</t>
        </is>
      </c>
      <c r="K450" s="36" t="inlineStr">
        <is>
          <t>property-local</t>
        </is>
      </c>
      <c r="L450" s="36" t="n">
        <v>4</v>
      </c>
      <c r="M450" s="36" t="inlineStr">
        <is>
          <t>Primary</t>
        </is>
      </c>
      <c r="N450" s="39">
        <f>IFERROR(IF(ISNUMBER(SEARCH(D450,INDEX(Pages!$J$2:$J$829,MATCH(A450,Pages!$B$2:$B$829,0)))),"Yes","No"),"Page not found")</f>
        <v/>
      </c>
      <c r="O450" s="25" t="inlineStr">
        <is>
          <t>(none seen)</t>
        </is>
      </c>
      <c r="P450" s="25" t="n"/>
    </row>
    <row r="451" ht="15" customHeight="1" s="22">
      <c r="A451" s="36" t="inlineStr">
        <is>
          <t>https://instasure.ca/condo-insurance/ontario/vaughan/</t>
        </is>
      </c>
      <c r="B451" s="36" t="inlineStr">
        <is>
          <t>Product × city</t>
        </is>
      </c>
      <c r="C451" s="36" t="inlineStr">
        <is>
          <t>Condo insurance</t>
        </is>
      </c>
      <c r="D451" s="36" t="inlineStr">
        <is>
          <t>condo insurance vaughan</t>
        </is>
      </c>
      <c r="E451" s="36" t="inlineStr">
        <is>
          <t>City</t>
        </is>
      </c>
      <c r="F451" s="36" t="inlineStr">
        <is>
          <t>Ontario</t>
        </is>
      </c>
      <c r="G451" s="36" t="inlineStr">
        <is>
          <t>Vaughan</t>
        </is>
      </c>
      <c r="H451" s="37" t="n">
        <v>110</v>
      </c>
      <c r="I451" s="36" t="n">
        <v>48</v>
      </c>
      <c r="J451" s="36" t="inlineStr">
        <is>
          <t>local</t>
        </is>
      </c>
      <c r="K451" s="36" t="inlineStr">
        <is>
          <t>property-local</t>
        </is>
      </c>
      <c r="L451" s="36" t="n">
        <v>4</v>
      </c>
      <c r="M451" s="36" t="inlineStr">
        <is>
          <t>Primary</t>
        </is>
      </c>
      <c r="N451" s="39">
        <f>IFERROR(IF(ISNUMBER(SEARCH(D451,INDEX(Pages!$J$2:$J$829,MATCH(A451,Pages!$B$2:$B$829,0)))),"Yes","No"),"Page not found")</f>
        <v/>
      </c>
      <c r="O451" s="25" t="inlineStr">
        <is>
          <t>(none seen)</t>
        </is>
      </c>
      <c r="P451" s="25" t="n"/>
    </row>
    <row r="452" ht="15" customHeight="1" s="22">
      <c r="A452" s="36" t="inlineStr">
        <is>
          <t>https://instasure.ca/health-dental-insurance/nova-scotia/</t>
        </is>
      </c>
      <c r="B452" s="36" t="inlineStr">
        <is>
          <t>Product × province</t>
        </is>
      </c>
      <c r="C452" s="36" t="inlineStr">
        <is>
          <t>Health &amp; dental insurance</t>
        </is>
      </c>
      <c r="D452" s="36" t="inlineStr">
        <is>
          <t>health insurance nova scotia</t>
        </is>
      </c>
      <c r="E452" s="36" t="inlineStr">
        <is>
          <t>Provincial</t>
        </is>
      </c>
      <c r="F452" s="36" t="inlineStr">
        <is>
          <t>Nova Scotia</t>
        </is>
      </c>
      <c r="G452" s="36" t="n"/>
      <c r="H452" s="37" t="n">
        <v>110</v>
      </c>
      <c r="I452" s="36" t="n">
        <v>39</v>
      </c>
      <c r="J452" s="36" t="inlineStr">
        <is>
          <t>commercial</t>
        </is>
      </c>
      <c r="K452" s="36" t="inlineStr">
        <is>
          <t>health-province</t>
        </is>
      </c>
      <c r="L452" s="36" t="n">
        <v>3</v>
      </c>
      <c r="M452" s="36" t="inlineStr">
        <is>
          <t>Primary</t>
        </is>
      </c>
      <c r="N452" s="39">
        <f>IFERROR(IF(ISNUMBER(SEARCH(D452,INDEX(Pages!$J$2:$J$829,MATCH(A452,Pages!$B$2:$B$829,0)))),"Yes","No"),"Page not found")</f>
        <v/>
      </c>
      <c r="O452" s="25" t="inlineStr">
        <is>
          <t>(none seen)</t>
        </is>
      </c>
      <c r="P452" s="25" t="n"/>
    </row>
    <row r="453" ht="15" customHeight="1" s="22">
      <c r="A453" s="36" t="inlineStr">
        <is>
          <t>https://instasure.ca/home-insurance/new-brunswick/moncton/</t>
        </is>
      </c>
      <c r="B453" s="36" t="inlineStr">
        <is>
          <t>Product × city</t>
        </is>
      </c>
      <c r="C453" s="36" t="inlineStr">
        <is>
          <t>Home insurance</t>
        </is>
      </c>
      <c r="D453" s="36" t="inlineStr">
        <is>
          <t>home insurance moncton</t>
        </is>
      </c>
      <c r="E453" s="36" t="inlineStr">
        <is>
          <t>City</t>
        </is>
      </c>
      <c r="F453" s="36" t="inlineStr">
        <is>
          <t>New Brunswick</t>
        </is>
      </c>
      <c r="G453" s="36" t="inlineStr">
        <is>
          <t>Moncton</t>
        </is>
      </c>
      <c r="H453" s="37" t="n">
        <v>110</v>
      </c>
      <c r="I453" s="36" t="n">
        <v>44</v>
      </c>
      <c r="J453" s="36" t="inlineStr">
        <is>
          <t>local</t>
        </is>
      </c>
      <c r="K453" s="36" t="inlineStr">
        <is>
          <t>property-local</t>
        </is>
      </c>
      <c r="L453" s="36" t="n">
        <v>4</v>
      </c>
      <c r="M453" s="36" t="inlineStr">
        <is>
          <t>Primary</t>
        </is>
      </c>
      <c r="N453" s="39">
        <f>IFERROR(IF(ISNUMBER(SEARCH(D453,INDEX(Pages!$J$2:$J$829,MATCH(A453,Pages!$B$2:$B$829,0)))),"Yes","No"),"Page not found")</f>
        <v/>
      </c>
      <c r="O453" s="25" t="inlineStr">
        <is>
          <t>ratehub</t>
        </is>
      </c>
      <c r="P453" s="25" t="n"/>
    </row>
    <row r="454" ht="23.85" customHeight="1" s="22">
      <c r="A454" s="36" t="inlineStr">
        <is>
          <t>https://instasure.ca/life-insurance/british-columbia/richmond/</t>
        </is>
      </c>
      <c r="B454" s="36" t="inlineStr">
        <is>
          <t>Product × city</t>
        </is>
      </c>
      <c r="C454" s="36" t="inlineStr">
        <is>
          <t>Life insurance</t>
        </is>
      </c>
      <c r="D454" s="36" t="inlineStr">
        <is>
          <t>life insurance richmond bc</t>
        </is>
      </c>
      <c r="E454" s="36" t="inlineStr">
        <is>
          <t>City</t>
        </is>
      </c>
      <c r="F454" s="36" t="inlineStr">
        <is>
          <t>British Columbia</t>
        </is>
      </c>
      <c r="G454" s="36" t="inlineStr">
        <is>
          <t>Richmond</t>
        </is>
      </c>
      <c r="H454" s="37" t="n">
        <v>110</v>
      </c>
      <c r="I454" s="36" t="n">
        <v>27</v>
      </c>
      <c r="J454" s="36" t="inlineStr">
        <is>
          <t>local</t>
        </is>
      </c>
      <c r="K454" s="36" t="inlineStr">
        <is>
          <t>life-local</t>
        </is>
      </c>
      <c r="L454" s="36" t="n">
        <v>3</v>
      </c>
      <c r="M454" s="36" t="inlineStr">
        <is>
          <t>Primary</t>
        </is>
      </c>
      <c r="N454" s="39">
        <f>IFERROR(IF(ISNUMBER(SEARCH(D454,INDEX(Pages!$J$2:$J$829,MATCH(A454,Pages!$B$2:$B$829,0)))),"Yes","No"),"Page not found")</f>
        <v/>
      </c>
      <c r="O454" s="25" t="inlineStr">
        <is>
          <t>(none seen)</t>
        </is>
      </c>
      <c r="P454" s="25" t="inlineStr">
        <is>
          <t>Page exists but is noindex until an editor adds a 300+ character local intro (Admin → SEO → Page overrides).</t>
        </is>
      </c>
    </row>
    <row r="455" ht="23.85" customHeight="1" s="22">
      <c r="A455" s="36" t="inlineStr">
        <is>
          <t>https://instasure.ca/life-insurance/ontario/oakville/</t>
        </is>
      </c>
      <c r="B455" s="36" t="inlineStr">
        <is>
          <t>Product × city</t>
        </is>
      </c>
      <c r="C455" s="36" t="inlineStr">
        <is>
          <t>Life insurance</t>
        </is>
      </c>
      <c r="D455" s="36" t="inlineStr">
        <is>
          <t>life insurance oakville</t>
        </is>
      </c>
      <c r="E455" s="36" t="inlineStr">
        <is>
          <t>City</t>
        </is>
      </c>
      <c r="F455" s="36" t="inlineStr">
        <is>
          <t>Ontario</t>
        </is>
      </c>
      <c r="G455" s="36" t="inlineStr">
        <is>
          <t>Oakville</t>
        </is>
      </c>
      <c r="H455" s="37" t="n">
        <v>110</v>
      </c>
      <c r="I455" s="36" t="n">
        <v>35</v>
      </c>
      <c r="J455" s="36" t="inlineStr">
        <is>
          <t>local</t>
        </is>
      </c>
      <c r="K455" s="36" t="inlineStr">
        <is>
          <t>life-local</t>
        </is>
      </c>
      <c r="L455" s="36" t="n">
        <v>3</v>
      </c>
      <c r="M455" s="36" t="inlineStr">
        <is>
          <t>Primary</t>
        </is>
      </c>
      <c r="N455" s="39">
        <f>IFERROR(IF(ISNUMBER(SEARCH(D455,INDEX(Pages!$J$2:$J$829,MATCH(A455,Pages!$B$2:$B$829,0)))),"Yes","No"),"Page not found")</f>
        <v/>
      </c>
      <c r="O455" s="25" t="inlineStr">
        <is>
          <t>(none seen)</t>
        </is>
      </c>
      <c r="P455" s="25" t="inlineStr">
        <is>
          <t>Page exists but is noindex until an editor adds a 300+ character local intro (Admin → SEO → Page overrides).</t>
        </is>
      </c>
    </row>
    <row r="456" ht="23.85" customHeight="1" s="22">
      <c r="A456" s="36" t="inlineStr">
        <is>
          <t>https://instasure.ca/life-insurance/ontario/richmond-hill/</t>
        </is>
      </c>
      <c r="B456" s="36" t="inlineStr">
        <is>
          <t>Product × city</t>
        </is>
      </c>
      <c r="C456" s="36" t="inlineStr">
        <is>
          <t>Life insurance</t>
        </is>
      </c>
      <c r="D456" s="36" t="inlineStr">
        <is>
          <t>life insurance richmond hill</t>
        </is>
      </c>
      <c r="E456" s="36" t="inlineStr">
        <is>
          <t>City</t>
        </is>
      </c>
      <c r="F456" s="36" t="inlineStr">
        <is>
          <t>Ontario</t>
        </is>
      </c>
      <c r="G456" s="36" t="inlineStr">
        <is>
          <t>Richmond Hill</t>
        </is>
      </c>
      <c r="H456" s="37" t="n">
        <v>110</v>
      </c>
      <c r="I456" s="36" t="n">
        <v>35</v>
      </c>
      <c r="J456" s="36" t="inlineStr">
        <is>
          <t>local</t>
        </is>
      </c>
      <c r="K456" s="36" t="inlineStr">
        <is>
          <t>life-local</t>
        </is>
      </c>
      <c r="L456" s="36" t="n">
        <v>3</v>
      </c>
      <c r="M456" s="36" t="inlineStr">
        <is>
          <t>Primary</t>
        </is>
      </c>
      <c r="N456" s="39">
        <f>IFERROR(IF(ISNUMBER(SEARCH(D456,INDEX(Pages!$J$2:$J$829,MATCH(A456,Pages!$B$2:$B$829,0)))),"Yes","No"),"Page not found")</f>
        <v/>
      </c>
      <c r="O456" s="25" t="inlineStr">
        <is>
          <t>(none seen)</t>
        </is>
      </c>
      <c r="P456" s="25" t="inlineStr">
        <is>
          <t>Page exists but is noindex until an editor adds a 300+ character local intro (Admin → SEO → Page overrides).</t>
        </is>
      </c>
    </row>
    <row r="457" ht="15" customHeight="1" s="22">
      <c r="A457" s="36" t="inlineStr">
        <is>
          <t>https://instasure.ca/super-visa-insurance/ontario/ottawa/</t>
        </is>
      </c>
      <c r="B457" s="36" t="inlineStr">
        <is>
          <t>Product × city</t>
        </is>
      </c>
      <c r="C457" s="36" t="inlineStr">
        <is>
          <t>Super Visa &amp; visitors insurance</t>
        </is>
      </c>
      <c r="D457" s="36" t="inlineStr">
        <is>
          <t>super visa insurance ottawa</t>
        </is>
      </c>
      <c r="E457" s="36" t="inlineStr">
        <is>
          <t>City</t>
        </is>
      </c>
      <c r="F457" s="36" t="inlineStr">
        <is>
          <t>Ontario</t>
        </is>
      </c>
      <c r="G457" s="36" t="inlineStr">
        <is>
          <t>Ottawa</t>
        </is>
      </c>
      <c r="H457" s="37" t="n">
        <v>110</v>
      </c>
      <c r="I457" s="36" t="n">
        <v>36</v>
      </c>
      <c r="J457" s="36" t="inlineStr">
        <is>
          <t>local</t>
        </is>
      </c>
      <c r="K457" s="36" t="inlineStr">
        <is>
          <t>travel-visitors</t>
        </is>
      </c>
      <c r="L457" s="36" t="n">
        <v>3</v>
      </c>
      <c r="M457" s="36" t="inlineStr">
        <is>
          <t>Primary</t>
        </is>
      </c>
      <c r="N457" s="39">
        <f>IFERROR(IF(ISNUMBER(SEARCH(D457,INDEX(Pages!$J$2:$J$829,MATCH(A457,Pages!$B$2:$B$829,0)))),"Yes","No"),"Page not found")</f>
        <v/>
      </c>
      <c r="O457" s="25" t="inlineStr">
        <is>
          <t>(none seen)</t>
        </is>
      </c>
      <c r="P457" s="25" t="n"/>
    </row>
    <row r="458" ht="23.85" customHeight="1" s="22">
      <c r="A458" s="36" t="inlineStr">
        <is>
          <t>https://instasure.ca/tenant-insurance/british-columbia/langley/</t>
        </is>
      </c>
      <c r="B458" s="36" t="inlineStr">
        <is>
          <t>Product × city</t>
        </is>
      </c>
      <c r="C458" s="36" t="inlineStr">
        <is>
          <t>Tenant insurance</t>
        </is>
      </c>
      <c r="D458" s="36" t="inlineStr">
        <is>
          <t>tenant insurance langley</t>
        </is>
      </c>
      <c r="E458" s="36" t="inlineStr">
        <is>
          <t>City</t>
        </is>
      </c>
      <c r="F458" s="36" t="inlineStr">
        <is>
          <t>British Columbia</t>
        </is>
      </c>
      <c r="G458" s="36" t="inlineStr">
        <is>
          <t>Langley</t>
        </is>
      </c>
      <c r="H458" s="37" t="n">
        <v>110</v>
      </c>
      <c r="I458" s="36" t="n">
        <v>24</v>
      </c>
      <c r="J458" s="36" t="inlineStr">
        <is>
          <t>local</t>
        </is>
      </c>
      <c r="K458" s="36" t="inlineStr">
        <is>
          <t>property-local</t>
        </is>
      </c>
      <c r="L458" s="36" t="n">
        <v>5</v>
      </c>
      <c r="M458" s="36" t="inlineStr">
        <is>
          <t>Primary</t>
        </is>
      </c>
      <c r="N458" s="39">
        <f>IFERROR(IF(ISNUMBER(SEARCH(D458,INDEX(Pages!$J$2:$J$829,MATCH(A458,Pages!$B$2:$B$829,0)))),"Yes","No"),"Page not found")</f>
        <v/>
      </c>
      <c r="O458" s="25" t="inlineStr">
        <is>
          <t>(none seen)</t>
        </is>
      </c>
      <c r="P458" s="25" t="inlineStr">
        <is>
          <t>Page exists but is noindex until an editor adds a 300+ character local intro (Admin → SEO → Page overrides).</t>
        </is>
      </c>
    </row>
    <row r="459" ht="15" customHeight="1" s="22">
      <c r="A459" s="36" t="inlineStr">
        <is>
          <t>https://instasure.ca/tenant-insurance/new-brunswick/</t>
        </is>
      </c>
      <c r="B459" s="36" t="inlineStr">
        <is>
          <t>Product × province</t>
        </is>
      </c>
      <c r="C459" s="36" t="inlineStr">
        <is>
          <t>Tenant insurance</t>
        </is>
      </c>
      <c r="D459" s="36" t="inlineStr">
        <is>
          <t>tenant insurance new brunswick</t>
        </is>
      </c>
      <c r="E459" s="36" t="inlineStr">
        <is>
          <t>Provincial</t>
        </is>
      </c>
      <c r="F459" s="36" t="inlineStr">
        <is>
          <t>New Brunswick</t>
        </is>
      </c>
      <c r="G459" s="36" t="n"/>
      <c r="H459" s="37" t="n">
        <v>110</v>
      </c>
      <c r="I459" s="36" t="n">
        <v>36</v>
      </c>
      <c r="J459" s="36" t="inlineStr">
        <is>
          <t>commercial</t>
        </is>
      </c>
      <c r="K459" s="36" t="inlineStr">
        <is>
          <t>property-province</t>
        </is>
      </c>
      <c r="L459" s="36" t="n">
        <v>5</v>
      </c>
      <c r="M459" s="36" t="inlineStr">
        <is>
          <t>Primary</t>
        </is>
      </c>
      <c r="N459" s="39">
        <f>IFERROR(IF(ISNUMBER(SEARCH(D459,INDEX(Pages!$J$2:$J$829,MATCH(A459,Pages!$B$2:$B$829,0)))),"Yes","No"),"Page not found")</f>
        <v/>
      </c>
      <c r="O459" s="25" t="inlineStr">
        <is>
          <t>sonnet</t>
        </is>
      </c>
      <c r="P459" s="25" t="n"/>
    </row>
    <row r="460" ht="23.85" customHeight="1" s="22">
      <c r="A460" s="36" t="inlineStr">
        <is>
          <t>https://instasure.ca/tenant-insurance/ontario/ajax/</t>
        </is>
      </c>
      <c r="B460" s="36" t="inlineStr">
        <is>
          <t>Product × city</t>
        </is>
      </c>
      <c r="C460" s="36" t="inlineStr">
        <is>
          <t>Tenant insurance</t>
        </is>
      </c>
      <c r="D460" s="36" t="inlineStr">
        <is>
          <t>tenant insurance ajax</t>
        </is>
      </c>
      <c r="E460" s="36" t="inlineStr">
        <is>
          <t>City</t>
        </is>
      </c>
      <c r="F460" s="36" t="inlineStr">
        <is>
          <t>Ontario</t>
        </is>
      </c>
      <c r="G460" s="36" t="inlineStr">
        <is>
          <t>Ajax</t>
        </is>
      </c>
      <c r="H460" s="37" t="n">
        <v>110</v>
      </c>
      <c r="I460" s="36" t="n">
        <v>32</v>
      </c>
      <c r="J460" s="36" t="inlineStr">
        <is>
          <t>local</t>
        </is>
      </c>
      <c r="K460" s="36" t="inlineStr">
        <is>
          <t>property-local</t>
        </is>
      </c>
      <c r="L460" s="36" t="n">
        <v>5</v>
      </c>
      <c r="M460" s="36" t="inlineStr">
        <is>
          <t>Primary</t>
        </is>
      </c>
      <c r="N460" s="39">
        <f>IFERROR(IF(ISNUMBER(SEARCH(D460,INDEX(Pages!$J$2:$J$829,MATCH(A460,Pages!$B$2:$B$829,0)))),"Yes","No"),"Page not found")</f>
        <v/>
      </c>
      <c r="O460" s="25" t="inlineStr">
        <is>
          <t>(none seen)</t>
        </is>
      </c>
      <c r="P460" s="25" t="inlineStr">
        <is>
          <t>Page exists but is noindex until an editor adds a 300+ character local intro (Admin → SEO → Page overrides).</t>
        </is>
      </c>
    </row>
    <row r="461" ht="15" customHeight="1" s="22">
      <c r="A461" s="36" t="inlineStr">
        <is>
          <t>https://instasure.ca/tenant-insurance/ontario/kingston/</t>
        </is>
      </c>
      <c r="B461" s="36" t="inlineStr">
        <is>
          <t>Product × city</t>
        </is>
      </c>
      <c r="C461" s="36" t="inlineStr">
        <is>
          <t>Tenant insurance</t>
        </is>
      </c>
      <c r="D461" s="36" t="inlineStr">
        <is>
          <t>tenant insurance kingston</t>
        </is>
      </c>
      <c r="E461" s="36" t="inlineStr">
        <is>
          <t>City</t>
        </is>
      </c>
      <c r="F461" s="36" t="inlineStr">
        <is>
          <t>Ontario</t>
        </is>
      </c>
      <c r="G461" s="36" t="inlineStr">
        <is>
          <t>Kingston</t>
        </is>
      </c>
      <c r="H461" s="37" t="n">
        <v>110</v>
      </c>
      <c r="I461" s="36" t="n">
        <v>40</v>
      </c>
      <c r="J461" s="36" t="inlineStr">
        <is>
          <t>local</t>
        </is>
      </c>
      <c r="K461" s="36" t="inlineStr">
        <is>
          <t>property-local</t>
        </is>
      </c>
      <c r="L461" s="36" t="n">
        <v>5</v>
      </c>
      <c r="M461" s="36" t="inlineStr">
        <is>
          <t>Primary</t>
        </is>
      </c>
      <c r="N461" s="39">
        <f>IFERROR(IF(ISNUMBER(SEARCH(D461,INDEX(Pages!$J$2:$J$829,MATCH(A461,Pages!$B$2:$B$829,0)))),"Yes","No"),"Page not found")</f>
        <v/>
      </c>
      <c r="O461" s="25" t="inlineStr">
        <is>
          <t>(none seen)</t>
        </is>
      </c>
      <c r="P461" s="25" t="n"/>
    </row>
    <row r="462" ht="23.85" customHeight="1" s="22">
      <c r="A462" s="36" t="inlineStr">
        <is>
          <t>https://instasure.ca/tenant-insurance/ontario/milton/</t>
        </is>
      </c>
      <c r="B462" s="36" t="inlineStr">
        <is>
          <t>Product × city</t>
        </is>
      </c>
      <c r="C462" s="36" t="inlineStr">
        <is>
          <t>Tenant insurance</t>
        </is>
      </c>
      <c r="D462" s="36" t="inlineStr">
        <is>
          <t>tenant insurance milton</t>
        </is>
      </c>
      <c r="E462" s="36" t="inlineStr">
        <is>
          <t>City</t>
        </is>
      </c>
      <c r="F462" s="36" t="inlineStr">
        <is>
          <t>Ontario</t>
        </is>
      </c>
      <c r="G462" s="36" t="inlineStr">
        <is>
          <t>Milton</t>
        </is>
      </c>
      <c r="H462" s="37" t="n">
        <v>110</v>
      </c>
      <c r="I462" s="36" t="n">
        <v>32</v>
      </c>
      <c r="J462" s="36" t="inlineStr">
        <is>
          <t>local</t>
        </is>
      </c>
      <c r="K462" s="36" t="inlineStr">
        <is>
          <t>property-local</t>
        </is>
      </c>
      <c r="L462" s="36" t="n">
        <v>5</v>
      </c>
      <c r="M462" s="36" t="inlineStr">
        <is>
          <t>Primary</t>
        </is>
      </c>
      <c r="N462" s="39">
        <f>IFERROR(IF(ISNUMBER(SEARCH(D462,INDEX(Pages!$J$2:$J$829,MATCH(A462,Pages!$B$2:$B$829,0)))),"Yes","No"),"Page not found")</f>
        <v/>
      </c>
      <c r="O462" s="25" t="inlineStr">
        <is>
          <t>(none seen)</t>
        </is>
      </c>
      <c r="P462" s="25" t="inlineStr">
        <is>
          <t>Page exists but is noindex until an editor adds a 300+ character local intro (Admin → SEO → Page overrides).</t>
        </is>
      </c>
    </row>
    <row r="463" ht="15" customHeight="1" s="22">
      <c r="A463" s="36" t="inlineStr">
        <is>
          <t>https://instasure.ca/tenant-insurance/ontario/waterloo/</t>
        </is>
      </c>
      <c r="B463" s="36" t="inlineStr">
        <is>
          <t>Product × city</t>
        </is>
      </c>
      <c r="C463" s="36" t="inlineStr">
        <is>
          <t>Tenant insurance</t>
        </is>
      </c>
      <c r="D463" s="36" t="inlineStr">
        <is>
          <t>tenant insurance waterloo</t>
        </is>
      </c>
      <c r="E463" s="36" t="inlineStr">
        <is>
          <t>City</t>
        </is>
      </c>
      <c r="F463" s="36" t="inlineStr">
        <is>
          <t>Ontario</t>
        </is>
      </c>
      <c r="G463" s="36" t="inlineStr">
        <is>
          <t>Waterloo</t>
        </is>
      </c>
      <c r="H463" s="37" t="n">
        <v>110</v>
      </c>
      <c r="I463" s="36" t="n">
        <v>40</v>
      </c>
      <c r="J463" s="36" t="inlineStr">
        <is>
          <t>local</t>
        </is>
      </c>
      <c r="K463" s="36" t="inlineStr">
        <is>
          <t>property-local</t>
        </is>
      </c>
      <c r="L463" s="36" t="n">
        <v>5</v>
      </c>
      <c r="M463" s="36" t="inlineStr">
        <is>
          <t>Primary</t>
        </is>
      </c>
      <c r="N463" s="39">
        <f>IFERROR(IF(ISNUMBER(SEARCH(D463,INDEX(Pages!$J$2:$J$829,MATCH(A463,Pages!$B$2:$B$829,0)))),"Yes","No"),"Page not found")</f>
        <v/>
      </c>
      <c r="O463" s="25" t="inlineStr">
        <is>
          <t>(none seen)</t>
        </is>
      </c>
      <c r="P463" s="25" t="n"/>
    </row>
    <row r="464" ht="15" customHeight="1" s="22">
      <c r="A464" s="36" t="inlineStr">
        <is>
          <t>https://instasure.ca/tenant-insurance/quebec/quebec-city/</t>
        </is>
      </c>
      <c r="B464" s="36" t="inlineStr">
        <is>
          <t>Product × city</t>
        </is>
      </c>
      <c r="C464" s="36" t="inlineStr">
        <is>
          <t>Tenant insurance</t>
        </is>
      </c>
      <c r="D464" s="36" t="inlineStr">
        <is>
          <t>tenant insurance quebec city</t>
        </is>
      </c>
      <c r="E464" s="36" t="inlineStr">
        <is>
          <t>City</t>
        </is>
      </c>
      <c r="F464" s="36" t="inlineStr">
        <is>
          <t>Quebec</t>
        </is>
      </c>
      <c r="G464" s="36" t="inlineStr">
        <is>
          <t>Quebec City</t>
        </is>
      </c>
      <c r="H464" s="37" t="n">
        <v>110</v>
      </c>
      <c r="I464" s="36" t="n">
        <v>44</v>
      </c>
      <c r="J464" s="36" t="inlineStr">
        <is>
          <t>local</t>
        </is>
      </c>
      <c r="K464" s="36" t="inlineStr">
        <is>
          <t>property-local</t>
        </is>
      </c>
      <c r="L464" s="36" t="n">
        <v>5</v>
      </c>
      <c r="M464" s="36" t="inlineStr">
        <is>
          <t>Primary</t>
        </is>
      </c>
      <c r="N464" s="39">
        <f>IFERROR(IF(ISNUMBER(SEARCH(D464,INDEX(Pages!$J$2:$J$829,MATCH(A464,Pages!$B$2:$B$829,0)))),"Yes","No"),"Page not found")</f>
        <v/>
      </c>
      <c r="O464" s="25" t="inlineStr">
        <is>
          <t>sonnet</t>
        </is>
      </c>
      <c r="P464" s="25" t="inlineStr">
        <is>
          <t>Quebec waitlist until AMF registration.</t>
        </is>
      </c>
    </row>
    <row r="465" ht="23.85" customHeight="1" s="22">
      <c r="A465" s="36" t="inlineStr">
        <is>
          <t>https://instasure.ca/home-insurance/alberta/airdrie/</t>
        </is>
      </c>
      <c r="B465" s="36" t="inlineStr">
        <is>
          <t>Product × city</t>
        </is>
      </c>
      <c r="C465" s="36" t="inlineStr">
        <is>
          <t>Home insurance</t>
        </is>
      </c>
      <c r="D465" s="36" t="inlineStr">
        <is>
          <t>home insurance airdrie</t>
        </is>
      </c>
      <c r="E465" s="36" t="inlineStr">
        <is>
          <t>City</t>
        </is>
      </c>
      <c r="F465" s="36" t="inlineStr">
        <is>
          <t>Alberta</t>
        </is>
      </c>
      <c r="G465" s="36" t="inlineStr">
        <is>
          <t>Airdrie</t>
        </is>
      </c>
      <c r="H465" s="37" t="n">
        <v>100</v>
      </c>
      <c r="I465" s="36" t="n">
        <v>32</v>
      </c>
      <c r="J465" s="36" t="inlineStr">
        <is>
          <t>local</t>
        </is>
      </c>
      <c r="K465" s="36" t="inlineStr">
        <is>
          <t>property-local</t>
        </is>
      </c>
      <c r="L465" s="36" t="n">
        <v>4</v>
      </c>
      <c r="M465" s="36" t="inlineStr">
        <is>
          <t>Primary</t>
        </is>
      </c>
      <c r="N465" s="39">
        <f>IFERROR(IF(ISNUMBER(SEARCH(D465,INDEX(Pages!$J$2:$J$829,MATCH(A465,Pages!$B$2:$B$829,0)))),"Yes","No"),"Page not found")</f>
        <v/>
      </c>
      <c r="O465" s="25" t="inlineStr">
        <is>
          <t>(none seen)</t>
        </is>
      </c>
      <c r="P465" s="25" t="inlineStr">
        <is>
          <t>Page exists but is noindex until an editor adds a 300+ character local intro (Admin → SEO → Page overrides).</t>
        </is>
      </c>
    </row>
    <row r="466" ht="15" customHeight="1" s="22">
      <c r="A466" s="36" t="inlineStr">
        <is>
          <t>https://instasure.ca/insurance/ontario/kitchener/</t>
        </is>
      </c>
      <c r="B466" s="36" t="inlineStr">
        <is>
          <t>Place hub</t>
        </is>
      </c>
      <c r="C466" s="36" t="inlineStr">
        <is>
          <t>Multi-line (place hubs)</t>
        </is>
      </c>
      <c r="D466" s="36" t="inlineStr">
        <is>
          <t>insurance advisor kitchener</t>
        </is>
      </c>
      <c r="E466" s="36" t="inlineStr">
        <is>
          <t>City</t>
        </is>
      </c>
      <c r="F466" s="36" t="inlineStr">
        <is>
          <t>Ontario</t>
        </is>
      </c>
      <c r="G466" s="36" t="inlineStr">
        <is>
          <t>Kitchener</t>
        </is>
      </c>
      <c r="H466" s="37" t="n">
        <v>100</v>
      </c>
      <c r="I466" s="36" t="n">
        <v>30</v>
      </c>
      <c r="J466" s="36" t="inlineStr">
        <is>
          <t>local</t>
        </is>
      </c>
      <c r="K466" s="36" t="inlineStr">
        <is>
          <t>advisors</t>
        </is>
      </c>
      <c r="L466" s="36" t="n">
        <v>3</v>
      </c>
      <c r="M466" s="36" t="inlineStr">
        <is>
          <t>Primary</t>
        </is>
      </c>
      <c r="N466" s="39">
        <f>IFERROR(IF(ISNUMBER(SEARCH(D466,INDEX(Pages!$J$2:$J$829,MATCH(A466,Pages!$B$2:$B$829,0)))),"Yes","No"),"Page not found")</f>
        <v/>
      </c>
      <c r="O466" s="25" t="inlineStr">
        <is>
          <t>local brokers, thinkinsure, rates.ca (broker pages)</t>
        </is>
      </c>
      <c r="P466" s="25" t="inlineStr">
        <is>
          <t>City hub. Add a Google Business Profile only where an advisor really works from that city.</t>
        </is>
      </c>
    </row>
    <row r="467" ht="15" customHeight="1" s="22">
      <c r="A467" s="36" t="inlineStr">
        <is>
          <t>https://instasure.ca/insurance/saskatchewan/saskatoon/</t>
        </is>
      </c>
      <c r="B467" s="36" t="inlineStr">
        <is>
          <t>Place hub</t>
        </is>
      </c>
      <c r="C467" s="36" t="inlineStr">
        <is>
          <t>Multi-line (place hubs)</t>
        </is>
      </c>
      <c r="D467" s="36" t="inlineStr">
        <is>
          <t>insurance advisor saskatoon</t>
        </is>
      </c>
      <c r="E467" s="36" t="inlineStr">
        <is>
          <t>City</t>
        </is>
      </c>
      <c r="F467" s="36" t="inlineStr">
        <is>
          <t>Saskatchewan</t>
        </is>
      </c>
      <c r="G467" s="36" t="inlineStr">
        <is>
          <t>Saskatoon</t>
        </is>
      </c>
      <c r="H467" s="37" t="n">
        <v>100</v>
      </c>
      <c r="I467" s="36" t="n">
        <v>30</v>
      </c>
      <c r="J467" s="36" t="inlineStr">
        <is>
          <t>local</t>
        </is>
      </c>
      <c r="K467" s="36" t="inlineStr">
        <is>
          <t>advisors</t>
        </is>
      </c>
      <c r="L467" s="36" t="n">
        <v>3</v>
      </c>
      <c r="M467" s="36" t="inlineStr">
        <is>
          <t>Primary</t>
        </is>
      </c>
      <c r="N467" s="39">
        <f>IFERROR(IF(ISNUMBER(SEARCH(D467,INDEX(Pages!$J$2:$J$829,MATCH(A467,Pages!$B$2:$B$829,0)))),"Yes","No"),"Page not found")</f>
        <v/>
      </c>
      <c r="O467" s="25" t="inlineStr">
        <is>
          <t>local brokers, thinkinsure, rates.ca (broker pages)</t>
        </is>
      </c>
      <c r="P467" s="25" t="inlineStr">
        <is>
          <t>City hub. Add a Google Business Profile only where an advisor really works from that city.</t>
        </is>
      </c>
    </row>
    <row r="468" ht="23.85" customHeight="1" s="22">
      <c r="A468" s="36" t="inlineStr">
        <is>
          <t>https://instasure.ca/life-insurance/ontario/burlington/</t>
        </is>
      </c>
      <c r="B468" s="36" t="inlineStr">
        <is>
          <t>Product × city</t>
        </is>
      </c>
      <c r="C468" s="36" t="inlineStr">
        <is>
          <t>Life insurance</t>
        </is>
      </c>
      <c r="D468" s="36" t="inlineStr">
        <is>
          <t>life insurance burlington</t>
        </is>
      </c>
      <c r="E468" s="36" t="inlineStr">
        <is>
          <t>City</t>
        </is>
      </c>
      <c r="F468" s="36" t="inlineStr">
        <is>
          <t>Ontario</t>
        </is>
      </c>
      <c r="G468" s="36" t="inlineStr">
        <is>
          <t>Burlington</t>
        </is>
      </c>
      <c r="H468" s="37" t="n">
        <v>100</v>
      </c>
      <c r="I468" s="36" t="n">
        <v>35</v>
      </c>
      <c r="J468" s="36" t="inlineStr">
        <is>
          <t>local</t>
        </is>
      </c>
      <c r="K468" s="36" t="inlineStr">
        <is>
          <t>life-local</t>
        </is>
      </c>
      <c r="L468" s="36" t="n">
        <v>3</v>
      </c>
      <c r="M468" s="36" t="inlineStr">
        <is>
          <t>Primary</t>
        </is>
      </c>
      <c r="N468" s="39">
        <f>IFERROR(IF(ISNUMBER(SEARCH(D468,INDEX(Pages!$J$2:$J$829,MATCH(A468,Pages!$B$2:$B$829,0)))),"Yes","No"),"Page not found")</f>
        <v/>
      </c>
      <c r="O468" s="25" t="inlineStr">
        <is>
          <t>(none seen)</t>
        </is>
      </c>
      <c r="P468" s="25" t="inlineStr">
        <is>
          <t>Page exists but is noindex until an editor adds a 300+ character local intro (Admin → SEO → Page overrides).</t>
        </is>
      </c>
    </row>
    <row r="469" ht="15" customHeight="1" s="22">
      <c r="A469" s="36" t="inlineStr">
        <is>
          <t>https://instasure.ca/super-visa-insurance/british-columbia/vancouver/</t>
        </is>
      </c>
      <c r="B469" s="36" t="inlineStr">
        <is>
          <t>Product × city</t>
        </is>
      </c>
      <c r="C469" s="36" t="inlineStr">
        <is>
          <t>Super Visa &amp; visitors insurance</t>
        </is>
      </c>
      <c r="D469" s="36" t="inlineStr">
        <is>
          <t>super visa insurance vancouver</t>
        </is>
      </c>
      <c r="E469" s="36" t="inlineStr">
        <is>
          <t>City</t>
        </is>
      </c>
      <c r="F469" s="36" t="inlineStr">
        <is>
          <t>British Columbia</t>
        </is>
      </c>
      <c r="G469" s="36" t="inlineStr">
        <is>
          <t>Vancouver</t>
        </is>
      </c>
      <c r="H469" s="37" t="n">
        <v>100</v>
      </c>
      <c r="I469" s="36" t="n">
        <v>36</v>
      </c>
      <c r="J469" s="36" t="inlineStr">
        <is>
          <t>local</t>
        </is>
      </c>
      <c r="K469" s="36" t="inlineStr">
        <is>
          <t>travel-visitors</t>
        </is>
      </c>
      <c r="L469" s="36" t="n">
        <v>3</v>
      </c>
      <c r="M469" s="36" t="inlineStr">
        <is>
          <t>Primary</t>
        </is>
      </c>
      <c r="N469" s="39">
        <f>IFERROR(IF(ISNUMBER(SEARCH(D469,INDEX(Pages!$J$2:$J$829,MATCH(A469,Pages!$B$2:$B$829,0)))),"Yes","No"),"Page not found")</f>
        <v/>
      </c>
      <c r="O469" s="25" t="inlineStr">
        <is>
          <t>(none seen)</t>
        </is>
      </c>
      <c r="P469" s="25" t="n"/>
    </row>
    <row r="470" ht="15" customHeight="1" s="22">
      <c r="A470" s="36" t="inlineStr">
        <is>
          <t>https://instasure.ca/home-insurance/new-brunswick/saint-john/</t>
        </is>
      </c>
      <c r="B470" s="36" t="inlineStr">
        <is>
          <t>Product × city</t>
        </is>
      </c>
      <c r="C470" s="36" t="inlineStr">
        <is>
          <t>Home insurance</t>
        </is>
      </c>
      <c r="D470" s="36" t="inlineStr">
        <is>
          <t>home insurance saint john</t>
        </is>
      </c>
      <c r="E470" s="36" t="inlineStr">
        <is>
          <t>City</t>
        </is>
      </c>
      <c r="F470" s="36" t="inlineStr">
        <is>
          <t>New Brunswick</t>
        </is>
      </c>
      <c r="G470" s="36" t="inlineStr">
        <is>
          <t>Saint John</t>
        </is>
      </c>
      <c r="H470" s="37" t="n">
        <v>99</v>
      </c>
      <c r="I470" s="36" t="n">
        <v>40</v>
      </c>
      <c r="J470" s="36" t="inlineStr">
        <is>
          <t>local</t>
        </is>
      </c>
      <c r="K470" s="36" t="inlineStr">
        <is>
          <t>property-local</t>
        </is>
      </c>
      <c r="L470" s="36" t="n">
        <v>3</v>
      </c>
      <c r="M470" s="36" t="inlineStr">
        <is>
          <t>Primary</t>
        </is>
      </c>
      <c r="N470" s="39">
        <f>IFERROR(IF(ISNUMBER(SEARCH(D470,INDEX(Pages!$J$2:$J$829,MATCH(A470,Pages!$B$2:$B$829,0)))),"Yes","No"),"Page not found")</f>
        <v/>
      </c>
      <c r="O470" s="25" t="inlineStr">
        <is>
          <t>(none seen)</t>
        </is>
      </c>
      <c r="P470" s="25" t="n"/>
    </row>
    <row r="471" ht="15" customHeight="1" s="22">
      <c r="A471" s="36" t="inlineStr">
        <is>
          <t>https://instasure.ca/insurance/british-columbia/burnaby/</t>
        </is>
      </c>
      <c r="B471" s="36" t="inlineStr">
        <is>
          <t>Place hub</t>
        </is>
      </c>
      <c r="C471" s="36" t="inlineStr">
        <is>
          <t>Multi-line (place hubs)</t>
        </is>
      </c>
      <c r="D471" s="36" t="inlineStr">
        <is>
          <t>insurance advisor burnaby</t>
        </is>
      </c>
      <c r="E471" s="36" t="inlineStr">
        <is>
          <t>City</t>
        </is>
      </c>
      <c r="F471" s="36" t="inlineStr">
        <is>
          <t>British Columbia</t>
        </is>
      </c>
      <c r="G471" s="36" t="inlineStr">
        <is>
          <t>Burnaby</t>
        </is>
      </c>
      <c r="H471" s="37" t="n">
        <v>99</v>
      </c>
      <c r="I471" s="36" t="n">
        <v>30</v>
      </c>
      <c r="J471" s="36" t="inlineStr">
        <is>
          <t>local</t>
        </is>
      </c>
      <c r="K471" s="36" t="inlineStr">
        <is>
          <t>advisors</t>
        </is>
      </c>
      <c r="L471" s="36" t="n">
        <v>3</v>
      </c>
      <c r="M471" s="36" t="inlineStr">
        <is>
          <t>Primary</t>
        </is>
      </c>
      <c r="N471" s="39">
        <f>IFERROR(IF(ISNUMBER(SEARCH(D471,INDEX(Pages!$J$2:$J$829,MATCH(A471,Pages!$B$2:$B$829,0)))),"Yes","No"),"Page not found")</f>
        <v/>
      </c>
      <c r="O471" s="25" t="inlineStr">
        <is>
          <t>local brokers, thinkinsure, rates.ca (broker pages)</t>
        </is>
      </c>
      <c r="P471" s="25" t="inlineStr">
        <is>
          <t>City hub. Add a Google Business Profile only where an advisor really works from that city.</t>
        </is>
      </c>
    </row>
    <row r="472" ht="15" customHeight="1" s="22">
      <c r="A472" s="36" t="inlineStr">
        <is>
          <t>https://instasure.ca/life-insurance/manitoba/</t>
        </is>
      </c>
      <c r="B472" s="36" t="inlineStr">
        <is>
          <t>Product × province</t>
        </is>
      </c>
      <c r="C472" s="36" t="inlineStr">
        <is>
          <t>Life insurance</t>
        </is>
      </c>
      <c r="D472" s="36" t="inlineStr">
        <is>
          <t>life insurance manitoba</t>
        </is>
      </c>
      <c r="E472" s="36" t="inlineStr">
        <is>
          <t>Provincial</t>
        </is>
      </c>
      <c r="F472" s="36" t="inlineStr">
        <is>
          <t>Manitoba</t>
        </is>
      </c>
      <c r="G472" s="36" t="n"/>
      <c r="H472" s="37" t="n">
        <v>98</v>
      </c>
      <c r="I472" s="36" t="n">
        <v>38</v>
      </c>
      <c r="J472" s="36" t="inlineStr">
        <is>
          <t>commercial</t>
        </is>
      </c>
      <c r="K472" s="36" t="inlineStr">
        <is>
          <t>life-province</t>
        </is>
      </c>
      <c r="L472" s="36" t="n">
        <v>2</v>
      </c>
      <c r="M472" s="36" t="inlineStr">
        <is>
          <t>Primary</t>
        </is>
      </c>
      <c r="N472" s="39">
        <f>IFERROR(IF(ISNUMBER(SEARCH(D472,INDEX(Pages!$J$2:$J$829,MATCH(A472,Pages!$B$2:$B$829,0)))),"Yes","No"),"Page not found")</f>
        <v/>
      </c>
      <c r="O472" s="25" t="inlineStr">
        <is>
          <t>policyadvisor</t>
        </is>
      </c>
      <c r="P472" s="25" t="n"/>
    </row>
    <row r="473" ht="15" customHeight="1" s="22">
      <c r="A473" s="36" t="inlineStr">
        <is>
          <t>https://instasure.ca/tenant-insurance/newfoundland-and-labrador/st-johns/</t>
        </is>
      </c>
      <c r="B473" s="36" t="inlineStr">
        <is>
          <t>Product × city</t>
        </is>
      </c>
      <c r="C473" s="36" t="inlineStr">
        <is>
          <t>Tenant insurance</t>
        </is>
      </c>
      <c r="D473" s="36" t="inlineStr">
        <is>
          <t>tenant insurance st johns</t>
        </is>
      </c>
      <c r="E473" s="36" t="inlineStr">
        <is>
          <t>City</t>
        </is>
      </c>
      <c r="F473" s="36" t="inlineStr">
        <is>
          <t>Newfoundland and Labrador</t>
        </is>
      </c>
      <c r="G473" s="36" t="inlineStr">
        <is>
          <t>St. John’s</t>
        </is>
      </c>
      <c r="H473" s="37" t="n">
        <v>98</v>
      </c>
      <c r="I473" s="36" t="n">
        <v>40</v>
      </c>
      <c r="J473" s="36" t="inlineStr">
        <is>
          <t>local</t>
        </is>
      </c>
      <c r="K473" s="36" t="inlineStr">
        <is>
          <t>property-local</t>
        </is>
      </c>
      <c r="L473" s="36" t="n">
        <v>5</v>
      </c>
      <c r="M473" s="36" t="inlineStr">
        <is>
          <t>Primary</t>
        </is>
      </c>
      <c r="N473" s="39">
        <f>IFERROR(IF(ISNUMBER(SEARCH(D473,INDEX(Pages!$J$2:$J$829,MATCH(A473,Pages!$B$2:$B$829,0)))),"Yes","No"),"Page not found")</f>
        <v/>
      </c>
      <c r="O473" s="25" t="inlineStr">
        <is>
          <t>(none seen)</t>
        </is>
      </c>
      <c r="P473" s="25" t="n"/>
    </row>
    <row r="474" ht="15" customHeight="1" s="22">
      <c r="A474" s="36" t="inlineStr">
        <is>
          <t>https://instasure.ca/business-insurance/nova-scotia/</t>
        </is>
      </c>
      <c r="B474" s="36" t="inlineStr">
        <is>
          <t>Product × province</t>
        </is>
      </c>
      <c r="C474" s="36" t="inlineStr">
        <is>
          <t>Business insurance</t>
        </is>
      </c>
      <c r="D474" s="36" t="inlineStr">
        <is>
          <t>business insurance nova scotia</t>
        </is>
      </c>
      <c r="E474" s="36" t="inlineStr">
        <is>
          <t>Provincial</t>
        </is>
      </c>
      <c r="F474" s="36" t="inlineStr">
        <is>
          <t>Nova Scotia</t>
        </is>
      </c>
      <c r="G474" s="36" t="n"/>
      <c r="H474" s="37" t="n">
        <v>97</v>
      </c>
      <c r="I474" s="36" t="n">
        <v>34</v>
      </c>
      <c r="J474" s="36" t="inlineStr">
        <is>
          <t>commercial</t>
        </is>
      </c>
      <c r="K474" s="36" t="inlineStr">
        <is>
          <t>business-province</t>
        </is>
      </c>
      <c r="L474" s="36" t="n">
        <v>2</v>
      </c>
      <c r="M474" s="36" t="inlineStr">
        <is>
          <t>Primary</t>
        </is>
      </c>
      <c r="N474" s="39">
        <f>IFERROR(IF(ISNUMBER(SEARCH(D474,INDEX(Pages!$J$2:$J$829,MATCH(A474,Pages!$B$2:$B$829,0)))),"Yes","No"),"Page not found")</f>
        <v/>
      </c>
      <c r="O474" s="25" t="inlineStr">
        <is>
          <t>(none seen)</t>
        </is>
      </c>
      <c r="P474" s="25" t="n"/>
    </row>
    <row r="475" ht="23.85" customHeight="1" s="22">
      <c r="A475" s="36" t="inlineStr">
        <is>
          <t>https://instasure.ca/tenant-insurance/ontario/thunder-bay/</t>
        </is>
      </c>
      <c r="B475" s="36" t="inlineStr">
        <is>
          <t>Product × city</t>
        </is>
      </c>
      <c r="C475" s="36" t="inlineStr">
        <is>
          <t>Tenant insurance</t>
        </is>
      </c>
      <c r="D475" s="36" t="inlineStr">
        <is>
          <t>tenant insurance thunder bay</t>
        </is>
      </c>
      <c r="E475" s="36" t="inlineStr">
        <is>
          <t>City</t>
        </is>
      </c>
      <c r="F475" s="36" t="inlineStr">
        <is>
          <t>Ontario</t>
        </is>
      </c>
      <c r="G475" s="36" t="inlineStr">
        <is>
          <t>Thunder Bay</t>
        </is>
      </c>
      <c r="H475" s="37" t="n">
        <v>97</v>
      </c>
      <c r="I475" s="36" t="n">
        <v>32</v>
      </c>
      <c r="J475" s="36" t="inlineStr">
        <is>
          <t>local</t>
        </is>
      </c>
      <c r="K475" s="36" t="inlineStr">
        <is>
          <t>property-local</t>
        </is>
      </c>
      <c r="L475" s="36" t="n">
        <v>5</v>
      </c>
      <c r="M475" s="36" t="inlineStr">
        <is>
          <t>Primary</t>
        </is>
      </c>
      <c r="N475" s="39">
        <f>IFERROR(IF(ISNUMBER(SEARCH(D475,INDEX(Pages!$J$2:$J$829,MATCH(A475,Pages!$B$2:$B$829,0)))),"Yes","No"),"Page not found")</f>
        <v/>
      </c>
      <c r="O475" s="25" t="inlineStr">
        <is>
          <t>(none seen)</t>
        </is>
      </c>
      <c r="P475" s="25" t="inlineStr">
        <is>
          <t>Page exists but is noindex until an editor adds a 300+ character local intro (Admin → SEO → Page overrides).</t>
        </is>
      </c>
    </row>
    <row r="476" ht="23.85" customHeight="1" s="22">
      <c r="A476" s="36" t="inlineStr">
        <is>
          <t>https://instasure.ca/life-insurance/ontario/oshawa/</t>
        </is>
      </c>
      <c r="B476" s="36" t="inlineStr">
        <is>
          <t>Product × city</t>
        </is>
      </c>
      <c r="C476" s="36" t="inlineStr">
        <is>
          <t>Life insurance</t>
        </is>
      </c>
      <c r="D476" s="36" t="inlineStr">
        <is>
          <t>life insurance oshawa</t>
        </is>
      </c>
      <c r="E476" s="36" t="inlineStr">
        <is>
          <t>City</t>
        </is>
      </c>
      <c r="F476" s="36" t="inlineStr">
        <is>
          <t>Ontario</t>
        </is>
      </c>
      <c r="G476" s="36" t="inlineStr">
        <is>
          <t>Oshawa</t>
        </is>
      </c>
      <c r="H476" s="37" t="n">
        <v>96</v>
      </c>
      <c r="I476" s="36" t="n">
        <v>35</v>
      </c>
      <c r="J476" s="36" t="inlineStr">
        <is>
          <t>local</t>
        </is>
      </c>
      <c r="K476" s="36" t="inlineStr">
        <is>
          <t>life-local</t>
        </is>
      </c>
      <c r="L476" s="36" t="n">
        <v>3</v>
      </c>
      <c r="M476" s="36" t="inlineStr">
        <is>
          <t>Primary</t>
        </is>
      </c>
      <c r="N476" s="39">
        <f>IFERROR(IF(ISNUMBER(SEARCH(D476,INDEX(Pages!$J$2:$J$829,MATCH(A476,Pages!$B$2:$B$829,0)))),"Yes","No"),"Page not found")</f>
        <v/>
      </c>
      <c r="O476" s="25" t="inlineStr">
        <is>
          <t>(none seen)</t>
        </is>
      </c>
      <c r="P476" s="25" t="inlineStr">
        <is>
          <t>Page exists but is noindex until an editor adds a 300+ character local intro (Admin → SEO → Page overrides).</t>
        </is>
      </c>
    </row>
    <row r="477" ht="23.85" customHeight="1" s="22">
      <c r="A477" s="36" t="inlineStr">
        <is>
          <t>https://instasure.ca/super-visa-insurance/quebec/</t>
        </is>
      </c>
      <c r="B477" s="36" t="inlineStr">
        <is>
          <t>Product × province</t>
        </is>
      </c>
      <c r="C477" s="36" t="inlineStr">
        <is>
          <t>Super Visa &amp; visitors insurance</t>
        </is>
      </c>
      <c r="D477" s="36" t="inlineStr">
        <is>
          <t>super visa insurance quebec</t>
        </is>
      </c>
      <c r="E477" s="36" t="inlineStr">
        <is>
          <t>Provincial</t>
        </is>
      </c>
      <c r="F477" s="36" t="inlineStr">
        <is>
          <t>Quebec</t>
        </is>
      </c>
      <c r="G477" s="36" t="n"/>
      <c r="H477" s="37" t="n">
        <v>96</v>
      </c>
      <c r="I477" s="36" t="n">
        <v>34</v>
      </c>
      <c r="J477" s="36" t="inlineStr">
        <is>
          <t>commercial</t>
        </is>
      </c>
      <c r="K477" s="36" t="inlineStr">
        <is>
          <t>travel-visitors</t>
        </is>
      </c>
      <c r="L477" s="36" t="n">
        <v>5</v>
      </c>
      <c r="M477" s="36" t="inlineStr">
        <is>
          <t>Primary</t>
        </is>
      </c>
      <c r="N477" s="39">
        <f>IFERROR(IF(ISNUMBER(SEARCH(D477,INDEX(Pages!$J$2:$J$829,MATCH(A477,Pages!$B$2:$B$829,0)))),"Yes","No"),"Page not found")</f>
        <v/>
      </c>
      <c r="O477" s="25" t="inlineStr">
        <is>
          <t>(none seen)</t>
        </is>
      </c>
      <c r="P477" s="25" t="inlineStr">
        <is>
          <t>Quebec waitlist until AMF registration; English phrase only (French terms listed separately). Province page targets super visa buyers sponsoring parents locally.</t>
        </is>
      </c>
    </row>
    <row r="478" ht="15" customHeight="1" s="22">
      <c r="A478" s="36" t="inlineStr">
        <is>
          <t>https://instasure.ca/disability-insurance/british-columbia/</t>
        </is>
      </c>
      <c r="B478" s="36" t="inlineStr">
        <is>
          <t>Product × province</t>
        </is>
      </c>
      <c r="C478" s="36" t="inlineStr">
        <is>
          <t>Disability insurance</t>
        </is>
      </c>
      <c r="D478" s="36" t="inlineStr">
        <is>
          <t>disability insurance bc</t>
        </is>
      </c>
      <c r="E478" s="36" t="inlineStr">
        <is>
          <t>Provincial</t>
        </is>
      </c>
      <c r="F478" s="36" t="inlineStr">
        <is>
          <t>British Columbia</t>
        </is>
      </c>
      <c r="G478" s="36" t="n"/>
      <c r="H478" s="37" t="n">
        <v>94</v>
      </c>
      <c r="I478" s="36" t="n">
        <v>32</v>
      </c>
      <c r="J478" s="36" t="inlineStr">
        <is>
          <t>commercial</t>
        </is>
      </c>
      <c r="K478" s="36" t="inlineStr">
        <is>
          <t>living-benefits</t>
        </is>
      </c>
      <c r="L478" s="36" t="n">
        <v>2</v>
      </c>
      <c r="M478" s="36" t="inlineStr">
        <is>
          <t>Primary</t>
        </is>
      </c>
      <c r="N478" s="39">
        <f>IFERROR(IF(ISNUMBER(SEARCH(D478,INDEX(Pages!$J$2:$J$829,MATCH(A478,Pages!$B$2:$B$829,0)))),"Yes","No"),"Page not found")</f>
        <v/>
      </c>
      <c r="O478" s="25" t="inlineStr">
        <is>
          <t>(none seen)</t>
        </is>
      </c>
      <c r="P478" s="25" t="n"/>
    </row>
    <row r="479" ht="15" customHeight="1" s="22">
      <c r="A479" s="36" t="inlineStr">
        <is>
          <t>https://instasure.ca/home-insurance/quebec/gatineau/</t>
        </is>
      </c>
      <c r="B479" s="36" t="inlineStr">
        <is>
          <t>Product × city</t>
        </is>
      </c>
      <c r="C479" s="36" t="inlineStr">
        <is>
          <t>Home insurance</t>
        </is>
      </c>
      <c r="D479" s="36" t="inlineStr">
        <is>
          <t>home insurance gatineau</t>
        </is>
      </c>
      <c r="E479" s="36" t="inlineStr">
        <is>
          <t>City</t>
        </is>
      </c>
      <c r="F479" s="36" t="inlineStr">
        <is>
          <t>Quebec</t>
        </is>
      </c>
      <c r="G479" s="36" t="inlineStr">
        <is>
          <t>Gatineau</t>
        </is>
      </c>
      <c r="H479" s="37" t="n">
        <v>93</v>
      </c>
      <c r="I479" s="36" t="n">
        <v>40</v>
      </c>
      <c r="J479" s="36" t="inlineStr">
        <is>
          <t>local</t>
        </is>
      </c>
      <c r="K479" s="36" t="inlineStr">
        <is>
          <t>property-local</t>
        </is>
      </c>
      <c r="L479" s="36" t="n">
        <v>5</v>
      </c>
      <c r="M479" s="36" t="inlineStr">
        <is>
          <t>Primary</t>
        </is>
      </c>
      <c r="N479" s="39">
        <f>IFERROR(IF(ISNUMBER(SEARCH(D479,INDEX(Pages!$J$2:$J$829,MATCH(A479,Pages!$B$2:$B$829,0)))),"Yes","No"),"Page not found")</f>
        <v/>
      </c>
      <c r="O479" s="25" t="inlineStr">
        <is>
          <t>(none seen)</t>
        </is>
      </c>
      <c r="P479" s="25" t="inlineStr">
        <is>
          <t>Quebec waitlist until AMF registration.</t>
        </is>
      </c>
    </row>
    <row r="480" ht="15" customHeight="1" s="22">
      <c r="A480" s="36" t="inlineStr">
        <is>
          <t>https://instasure.ca/home-insurance/new-brunswick/fredericton/</t>
        </is>
      </c>
      <c r="B480" s="36" t="inlineStr">
        <is>
          <t>Product × city</t>
        </is>
      </c>
      <c r="C480" s="36" t="inlineStr">
        <is>
          <t>Home insurance</t>
        </is>
      </c>
      <c r="D480" s="36" t="inlineStr">
        <is>
          <t>home insurance fredericton</t>
        </is>
      </c>
      <c r="E480" s="36" t="inlineStr">
        <is>
          <t>City</t>
        </is>
      </c>
      <c r="F480" s="36" t="inlineStr">
        <is>
          <t>New Brunswick</t>
        </is>
      </c>
      <c r="G480" s="36" t="inlineStr">
        <is>
          <t>Fredericton</t>
        </is>
      </c>
      <c r="H480" s="37" t="n">
        <v>92</v>
      </c>
      <c r="I480" s="36" t="n">
        <v>44</v>
      </c>
      <c r="J480" s="36" t="inlineStr">
        <is>
          <t>local</t>
        </is>
      </c>
      <c r="K480" s="36" t="inlineStr">
        <is>
          <t>property-local</t>
        </is>
      </c>
      <c r="L480" s="36" t="n">
        <v>4</v>
      </c>
      <c r="M480" s="36" t="inlineStr">
        <is>
          <t>Primary</t>
        </is>
      </c>
      <c r="N480" s="39">
        <f>IFERROR(IF(ISNUMBER(SEARCH(D480,INDEX(Pages!$J$2:$J$829,MATCH(A480,Pages!$B$2:$B$829,0)))),"Yes","No"),"Page not found")</f>
        <v/>
      </c>
      <c r="O480" s="25" t="inlineStr">
        <is>
          <t>ratehub</t>
        </is>
      </c>
      <c r="P480" s="25" t="n"/>
    </row>
    <row r="481" ht="15" customHeight="1" s="22">
      <c r="A481" s="36" t="inlineStr">
        <is>
          <t>https://instasure.ca/insurance/ontario/windsor/</t>
        </is>
      </c>
      <c r="B481" s="36" t="inlineStr">
        <is>
          <t>Place hub</t>
        </is>
      </c>
      <c r="C481" s="36" t="inlineStr">
        <is>
          <t>Multi-line (place hubs)</t>
        </is>
      </c>
      <c r="D481" s="36" t="inlineStr">
        <is>
          <t>insurance advisor windsor</t>
        </is>
      </c>
      <c r="E481" s="36" t="inlineStr">
        <is>
          <t>City</t>
        </is>
      </c>
      <c r="F481" s="36" t="inlineStr">
        <is>
          <t>Ontario</t>
        </is>
      </c>
      <c r="G481" s="36" t="inlineStr">
        <is>
          <t>Windsor</t>
        </is>
      </c>
      <c r="H481" s="37" t="n">
        <v>92</v>
      </c>
      <c r="I481" s="36" t="n">
        <v>30</v>
      </c>
      <c r="J481" s="36" t="inlineStr">
        <is>
          <t>local</t>
        </is>
      </c>
      <c r="K481" s="36" t="inlineStr">
        <is>
          <t>advisors</t>
        </is>
      </c>
      <c r="L481" s="36" t="n">
        <v>3</v>
      </c>
      <c r="M481" s="36" t="inlineStr">
        <is>
          <t>Primary</t>
        </is>
      </c>
      <c r="N481" s="39">
        <f>IFERROR(IF(ISNUMBER(SEARCH(D481,INDEX(Pages!$J$2:$J$829,MATCH(A481,Pages!$B$2:$B$829,0)))),"Yes","No"),"Page not found")</f>
        <v/>
      </c>
      <c r="O481" s="25" t="inlineStr">
        <is>
          <t>local brokers, thinkinsure, rates.ca (broker pages)</t>
        </is>
      </c>
      <c r="P481" s="25" t="inlineStr">
        <is>
          <t>City hub. Add a Google Business Profile only where an advisor really works from that city.</t>
        </is>
      </c>
    </row>
    <row r="482" ht="23.85" customHeight="1" s="22">
      <c r="A482" s="36" t="inlineStr">
        <is>
          <t>https://instasure.ca/life-insurance/ontario/sudbury/</t>
        </is>
      </c>
      <c r="B482" s="36" t="inlineStr">
        <is>
          <t>Product × city</t>
        </is>
      </c>
      <c r="C482" s="36" t="inlineStr">
        <is>
          <t>Life insurance</t>
        </is>
      </c>
      <c r="D482" s="36" t="inlineStr">
        <is>
          <t>life insurance sudbury</t>
        </is>
      </c>
      <c r="E482" s="36" t="inlineStr">
        <is>
          <t>City</t>
        </is>
      </c>
      <c r="F482" s="36" t="inlineStr">
        <is>
          <t>Ontario</t>
        </is>
      </c>
      <c r="G482" s="36" t="inlineStr">
        <is>
          <t>Sudbury</t>
        </is>
      </c>
      <c r="H482" s="37" t="n">
        <v>92</v>
      </c>
      <c r="I482" s="36" t="n">
        <v>27</v>
      </c>
      <c r="J482" s="36" t="inlineStr">
        <is>
          <t>local</t>
        </is>
      </c>
      <c r="K482" s="36" t="inlineStr">
        <is>
          <t>life-local</t>
        </is>
      </c>
      <c r="L482" s="36" t="n">
        <v>3</v>
      </c>
      <c r="M482" s="36" t="inlineStr">
        <is>
          <t>Primary</t>
        </is>
      </c>
      <c r="N482" s="39">
        <f>IFERROR(IF(ISNUMBER(SEARCH(D482,INDEX(Pages!$J$2:$J$829,MATCH(A482,Pages!$B$2:$B$829,0)))),"Yes","No"),"Page not found")</f>
        <v/>
      </c>
      <c r="O482" s="25" t="inlineStr">
        <is>
          <t>(none seen)</t>
        </is>
      </c>
      <c r="P482" s="25" t="inlineStr">
        <is>
          <t>Page exists but is noindex until an editor adds a 300+ character local intro (Admin → SEO → Page overrides).</t>
        </is>
      </c>
    </row>
    <row r="483" ht="15" customHeight="1" s="22">
      <c r="A483" s="36" t="inlineStr">
        <is>
          <t>https://instasure.ca/insurance/saskatchewan/regina/</t>
        </is>
      </c>
      <c r="B483" s="36" t="inlineStr">
        <is>
          <t>Place hub</t>
        </is>
      </c>
      <c r="C483" s="36" t="inlineStr">
        <is>
          <t>Multi-line (place hubs)</t>
        </is>
      </c>
      <c r="D483" s="36" t="inlineStr">
        <is>
          <t>insurance advisor regina</t>
        </is>
      </c>
      <c r="E483" s="36" t="inlineStr">
        <is>
          <t>City</t>
        </is>
      </c>
      <c r="F483" s="36" t="inlineStr">
        <is>
          <t>Saskatchewan</t>
        </is>
      </c>
      <c r="G483" s="36" t="inlineStr">
        <is>
          <t>Regina</t>
        </is>
      </c>
      <c r="H483" s="37" t="n">
        <v>91</v>
      </c>
      <c r="I483" s="36" t="n">
        <v>30</v>
      </c>
      <c r="J483" s="36" t="inlineStr">
        <is>
          <t>local</t>
        </is>
      </c>
      <c r="K483" s="36" t="inlineStr">
        <is>
          <t>advisors</t>
        </is>
      </c>
      <c r="L483" s="36" t="n">
        <v>3</v>
      </c>
      <c r="M483" s="36" t="inlineStr">
        <is>
          <t>Primary</t>
        </is>
      </c>
      <c r="N483" s="39">
        <f>IFERROR(IF(ISNUMBER(SEARCH(D483,INDEX(Pages!$J$2:$J$829,MATCH(A483,Pages!$B$2:$B$829,0)))),"Yes","No"),"Page not found")</f>
        <v/>
      </c>
      <c r="O483" s="25" t="inlineStr">
        <is>
          <t>local brokers, thinkinsure, rates.ca (broker pages)</t>
        </is>
      </c>
      <c r="P483" s="25" t="inlineStr">
        <is>
          <t>City hub. Add a Google Business Profile only where an advisor really works from that city.</t>
        </is>
      </c>
    </row>
    <row r="484" ht="15" customHeight="1" s="22">
      <c r="A484" s="36" t="inlineStr">
        <is>
          <t>https://instasure.ca/tenant-insurance/alberta/red-deer/</t>
        </is>
      </c>
      <c r="B484" s="36" t="inlineStr">
        <is>
          <t>Product × city</t>
        </is>
      </c>
      <c r="C484" s="36" t="inlineStr">
        <is>
          <t>Tenant insurance</t>
        </is>
      </c>
      <c r="D484" s="36" t="inlineStr">
        <is>
          <t>tenant insurance red deer</t>
        </is>
      </c>
      <c r="E484" s="36" t="inlineStr">
        <is>
          <t>City</t>
        </is>
      </c>
      <c r="F484" s="36" t="inlineStr">
        <is>
          <t>Alberta</t>
        </is>
      </c>
      <c r="G484" s="36" t="inlineStr">
        <is>
          <t>Red Deer</t>
        </is>
      </c>
      <c r="H484" s="37" t="n">
        <v>91</v>
      </c>
      <c r="I484" s="36" t="n">
        <v>32</v>
      </c>
      <c r="J484" s="36" t="inlineStr">
        <is>
          <t>local</t>
        </is>
      </c>
      <c r="K484" s="36" t="inlineStr">
        <is>
          <t>property-local</t>
        </is>
      </c>
      <c r="L484" s="36" t="n">
        <v>5</v>
      </c>
      <c r="M484" s="36" t="inlineStr">
        <is>
          <t>Primary</t>
        </is>
      </c>
      <c r="N484" s="39">
        <f>IFERROR(IF(ISNUMBER(SEARCH(D484,INDEX(Pages!$J$2:$J$829,MATCH(A484,Pages!$B$2:$B$829,0)))),"Yes","No"),"Page not found")</f>
        <v/>
      </c>
      <c r="O484" s="25" t="inlineStr">
        <is>
          <t>(none seen)</t>
        </is>
      </c>
      <c r="P484" s="25" t="n"/>
    </row>
    <row r="485" ht="15" customHeight="1" s="22">
      <c r="A485" s="36" t="inlineStr">
        <is>
          <t>https://instasure.ca/business-insurance/saskatchewan/saskatoon/</t>
        </is>
      </c>
      <c r="B485" s="36" t="inlineStr">
        <is>
          <t>Product × city</t>
        </is>
      </c>
      <c r="C485" s="36" t="inlineStr">
        <is>
          <t>Business insurance</t>
        </is>
      </c>
      <c r="D485" s="36" t="inlineStr">
        <is>
          <t>business insurance saskatoon</t>
        </is>
      </c>
      <c r="E485" s="36" t="inlineStr">
        <is>
          <t>City</t>
        </is>
      </c>
      <c r="F485" s="36" t="inlineStr">
        <is>
          <t>Saskatchewan</t>
        </is>
      </c>
      <c r="G485" s="36" t="inlineStr">
        <is>
          <t>Saskatoon</t>
        </is>
      </c>
      <c r="H485" s="37" t="n">
        <v>90</v>
      </c>
      <c r="I485" s="36" t="n">
        <v>33</v>
      </c>
      <c r="J485" s="36" t="inlineStr">
        <is>
          <t>local</t>
        </is>
      </c>
      <c r="K485" s="36" t="inlineStr">
        <is>
          <t>business-local</t>
        </is>
      </c>
      <c r="L485" s="36" t="n">
        <v>2</v>
      </c>
      <c r="M485" s="36" t="inlineStr">
        <is>
          <t>Primary</t>
        </is>
      </c>
      <c r="N485" s="39">
        <f>IFERROR(IF(ISNUMBER(SEARCH(D485,INDEX(Pages!$J$2:$J$829,MATCH(A485,Pages!$B$2:$B$829,0)))),"Yes","No"),"Page not found")</f>
        <v/>
      </c>
      <c r="O485" s="25" t="inlineStr">
        <is>
          <t>(none seen)</t>
        </is>
      </c>
      <c r="P485" s="25" t="n"/>
    </row>
    <row r="486" ht="15" customHeight="1" s="22">
      <c r="A486" s="36" t="inlineStr">
        <is>
          <t>https://instasure.ca/condo-insurance/saskatchewan/saskatoon/</t>
        </is>
      </c>
      <c r="B486" s="36" t="inlineStr">
        <is>
          <t>Product × city</t>
        </is>
      </c>
      <c r="C486" s="36" t="inlineStr">
        <is>
          <t>Condo insurance</t>
        </is>
      </c>
      <c r="D486" s="36" t="inlineStr">
        <is>
          <t>condo insurance saskatoon</t>
        </is>
      </c>
      <c r="E486" s="36" t="inlineStr">
        <is>
          <t>City</t>
        </is>
      </c>
      <c r="F486" s="36" t="inlineStr">
        <is>
          <t>Saskatchewan</t>
        </is>
      </c>
      <c r="G486" s="36" t="inlineStr">
        <is>
          <t>Saskatoon</t>
        </is>
      </c>
      <c r="H486" s="37" t="n">
        <v>90</v>
      </c>
      <c r="I486" s="36" t="n">
        <v>40</v>
      </c>
      <c r="J486" s="36" t="inlineStr">
        <is>
          <t>local</t>
        </is>
      </c>
      <c r="K486" s="36" t="inlineStr">
        <is>
          <t>property-local</t>
        </is>
      </c>
      <c r="L486" s="36" t="n">
        <v>4</v>
      </c>
      <c r="M486" s="36" t="inlineStr">
        <is>
          <t>Primary</t>
        </is>
      </c>
      <c r="N486" s="39">
        <f>IFERROR(IF(ISNUMBER(SEARCH(D486,INDEX(Pages!$J$2:$J$829,MATCH(A486,Pages!$B$2:$B$829,0)))),"Yes","No"),"Page not found")</f>
        <v/>
      </c>
      <c r="O486" s="25" t="inlineStr">
        <is>
          <t>(none seen)</t>
        </is>
      </c>
      <c r="P486" s="25" t="n"/>
    </row>
    <row r="487" ht="23.85" customHeight="1" s="22">
      <c r="A487" s="36" t="inlineStr">
        <is>
          <t>https://instasure.ca/tenant-insurance/ontario/pickering/</t>
        </is>
      </c>
      <c r="B487" s="36" t="inlineStr">
        <is>
          <t>Product × city</t>
        </is>
      </c>
      <c r="C487" s="36" t="inlineStr">
        <is>
          <t>Tenant insurance</t>
        </is>
      </c>
      <c r="D487" s="36" t="inlineStr">
        <is>
          <t>tenant insurance pickering</t>
        </is>
      </c>
      <c r="E487" s="36" t="inlineStr">
        <is>
          <t>City</t>
        </is>
      </c>
      <c r="F487" s="36" t="inlineStr">
        <is>
          <t>Ontario</t>
        </is>
      </c>
      <c r="G487" s="36" t="inlineStr">
        <is>
          <t>Pickering</t>
        </is>
      </c>
      <c r="H487" s="37" t="n">
        <v>90</v>
      </c>
      <c r="I487" s="36" t="n">
        <v>32</v>
      </c>
      <c r="J487" s="36" t="inlineStr">
        <is>
          <t>local</t>
        </is>
      </c>
      <c r="K487" s="36" t="inlineStr">
        <is>
          <t>property-local</t>
        </is>
      </c>
      <c r="L487" s="36" t="n">
        <v>5</v>
      </c>
      <c r="M487" s="36" t="inlineStr">
        <is>
          <t>Primary</t>
        </is>
      </c>
      <c r="N487" s="39">
        <f>IFERROR(IF(ISNUMBER(SEARCH(D487,INDEX(Pages!$J$2:$J$829,MATCH(A487,Pages!$B$2:$B$829,0)))),"Yes","No"),"Page not found")</f>
        <v/>
      </c>
      <c r="O487" s="25" t="inlineStr">
        <is>
          <t>(none seen)</t>
        </is>
      </c>
      <c r="P487" s="25" t="inlineStr">
        <is>
          <t>Page exists but is noindex until an editor adds a 300+ character local intro (Admin → SEO → Page overrides).</t>
        </is>
      </c>
    </row>
    <row r="488" ht="23.85" customHeight="1" s="22">
      <c r="A488" s="36" t="inlineStr">
        <is>
          <t>https://instasure.ca/car-insurance/manitoba/brandon/</t>
        </is>
      </c>
      <c r="B488" s="36" t="inlineStr">
        <is>
          <t>Product × city</t>
        </is>
      </c>
      <c r="C488" s="36" t="inlineStr">
        <is>
          <t>Car insurance</t>
        </is>
      </c>
      <c r="D488" s="36" t="inlineStr">
        <is>
          <t>car insurance brandon</t>
        </is>
      </c>
      <c r="E488" s="36" t="inlineStr">
        <is>
          <t>City</t>
        </is>
      </c>
      <c r="F488" s="36" t="inlineStr">
        <is>
          <t>Manitoba</t>
        </is>
      </c>
      <c r="G488" s="36" t="inlineStr">
        <is>
          <t>Brandon</t>
        </is>
      </c>
      <c r="H488" s="37" t="n">
        <v>89</v>
      </c>
      <c r="I488" s="36" t="n">
        <v>44</v>
      </c>
      <c r="J488" s="36" t="inlineStr">
        <is>
          <t>local</t>
        </is>
      </c>
      <c r="K488" s="36" t="inlineStr">
        <is>
          <t>auto-local</t>
        </is>
      </c>
      <c r="L488" s="36" t="n">
        <v>5</v>
      </c>
      <c r="M488" s="36" t="inlineStr">
        <is>
          <t>Primary</t>
        </is>
      </c>
      <c r="N488" s="39">
        <f>IFERROR(IF(ISNUMBER(SEARCH(D488,INDEX(Pages!$J$2:$J$829,MATCH(A488,Pages!$B$2:$B$829,0)))),"Yes","No"),"Page not found")</f>
        <v/>
      </c>
      <c r="O488" s="25" t="inlineStr">
        <is>
          <t>(none seen)</t>
        </is>
      </c>
      <c r="P488" s="25" t="inlineStr">
        <is>
          <t>Page exists but is noindex until an editor adds a 300+ character local intro (Admin → SEO → Page overrides). MPI sells basic auto; target optional coverage. Low lead value.</t>
        </is>
      </c>
    </row>
    <row r="489" ht="15" customHeight="1" s="22">
      <c r="A489" s="36" t="inlineStr">
        <is>
          <t>https://instasure.ca/tenant-insurance/alberta/lethbridge/</t>
        </is>
      </c>
      <c r="B489" s="36" t="inlineStr">
        <is>
          <t>Product × city</t>
        </is>
      </c>
      <c r="C489" s="36" t="inlineStr">
        <is>
          <t>Tenant insurance</t>
        </is>
      </c>
      <c r="D489" s="36" t="inlineStr">
        <is>
          <t>tenant insurance lethbridge</t>
        </is>
      </c>
      <c r="E489" s="36" t="inlineStr">
        <is>
          <t>City</t>
        </is>
      </c>
      <c r="F489" s="36" t="inlineStr">
        <is>
          <t>Alberta</t>
        </is>
      </c>
      <c r="G489" s="36" t="inlineStr">
        <is>
          <t>Lethbridge</t>
        </is>
      </c>
      <c r="H489" s="37" t="n">
        <v>89</v>
      </c>
      <c r="I489" s="36" t="n">
        <v>32</v>
      </c>
      <c r="J489" s="36" t="inlineStr">
        <is>
          <t>local</t>
        </is>
      </c>
      <c r="K489" s="36" t="inlineStr">
        <is>
          <t>property-local</t>
        </is>
      </c>
      <c r="L489" s="36" t="n">
        <v>5</v>
      </c>
      <c r="M489" s="36" t="inlineStr">
        <is>
          <t>Primary</t>
        </is>
      </c>
      <c r="N489" s="39">
        <f>IFERROR(IF(ISNUMBER(SEARCH(D489,INDEX(Pages!$J$2:$J$829,MATCH(A489,Pages!$B$2:$B$829,0)))),"Yes","No"),"Page not found")</f>
        <v/>
      </c>
      <c r="O489" s="25" t="inlineStr">
        <is>
          <t>(none seen)</t>
        </is>
      </c>
      <c r="P489" s="25" t="n"/>
    </row>
    <row r="490" ht="15" customHeight="1" s="22">
      <c r="A490" s="36" t="inlineStr">
        <is>
          <t>https://instasure.ca/business-insurance/ontario/kitchener/</t>
        </is>
      </c>
      <c r="B490" s="36" t="inlineStr">
        <is>
          <t>Product × city</t>
        </is>
      </c>
      <c r="C490" s="36" t="inlineStr">
        <is>
          <t>Business insurance</t>
        </is>
      </c>
      <c r="D490" s="36" t="inlineStr">
        <is>
          <t>business insurance kitchener</t>
        </is>
      </c>
      <c r="E490" s="36" t="inlineStr">
        <is>
          <t>City</t>
        </is>
      </c>
      <c r="F490" s="36" t="inlineStr">
        <is>
          <t>Ontario</t>
        </is>
      </c>
      <c r="G490" s="36" t="inlineStr">
        <is>
          <t>Kitchener</t>
        </is>
      </c>
      <c r="H490" s="37" t="n">
        <v>88</v>
      </c>
      <c r="I490" s="36" t="n">
        <v>41</v>
      </c>
      <c r="J490" s="36" t="inlineStr">
        <is>
          <t>local</t>
        </is>
      </c>
      <c r="K490" s="36" t="inlineStr">
        <is>
          <t>business-local</t>
        </is>
      </c>
      <c r="L490" s="36" t="n">
        <v>3</v>
      </c>
      <c r="M490" s="36" t="inlineStr">
        <is>
          <t>Primary</t>
        </is>
      </c>
      <c r="N490" s="39">
        <f>IFERROR(IF(ISNUMBER(SEARCH(D490,INDEX(Pages!$J$2:$J$829,MATCH(A490,Pages!$B$2:$B$829,0)))),"Yes","No"),"Page not found")</f>
        <v/>
      </c>
      <c r="O490" s="25" t="inlineStr">
        <is>
          <t>(none seen)</t>
        </is>
      </c>
      <c r="P490" s="25" t="n"/>
    </row>
    <row r="491" ht="15" customHeight="1" s="22">
      <c r="A491" s="36" t="inlineStr">
        <is>
          <t>https://instasure.ca/condo-insurance/ontario/kitchener/</t>
        </is>
      </c>
      <c r="B491" s="36" t="inlineStr">
        <is>
          <t>Product × city</t>
        </is>
      </c>
      <c r="C491" s="36" t="inlineStr">
        <is>
          <t>Condo insurance</t>
        </is>
      </c>
      <c r="D491" s="36" t="inlineStr">
        <is>
          <t>condo insurance kitchener</t>
        </is>
      </c>
      <c r="E491" s="36" t="inlineStr">
        <is>
          <t>City</t>
        </is>
      </c>
      <c r="F491" s="36" t="inlineStr">
        <is>
          <t>Ontario</t>
        </is>
      </c>
      <c r="G491" s="36" t="inlineStr">
        <is>
          <t>Kitchener</t>
        </is>
      </c>
      <c r="H491" s="37" t="n">
        <v>88</v>
      </c>
      <c r="I491" s="36" t="n">
        <v>48</v>
      </c>
      <c r="J491" s="36" t="inlineStr">
        <is>
          <t>local</t>
        </is>
      </c>
      <c r="K491" s="36" t="inlineStr">
        <is>
          <t>property-local</t>
        </is>
      </c>
      <c r="L491" s="36" t="n">
        <v>4</v>
      </c>
      <c r="M491" s="36" t="inlineStr">
        <is>
          <t>Primary</t>
        </is>
      </c>
      <c r="N491" s="39">
        <f>IFERROR(IF(ISNUMBER(SEARCH(D491,INDEX(Pages!$J$2:$J$829,MATCH(A491,Pages!$B$2:$B$829,0)))),"Yes","No"),"Page not found")</f>
        <v/>
      </c>
      <c r="O491" s="25" t="inlineStr">
        <is>
          <t>(none seen)</t>
        </is>
      </c>
      <c r="P491" s="25" t="n"/>
    </row>
    <row r="492" ht="15" customHeight="1" s="22">
      <c r="A492" s="36" t="inlineStr">
        <is>
          <t>https://instasure.ca/health-dental-insurance/new-brunswick/</t>
        </is>
      </c>
      <c r="B492" s="36" t="inlineStr">
        <is>
          <t>Product × province</t>
        </is>
      </c>
      <c r="C492" s="36" t="inlineStr">
        <is>
          <t>Health &amp; dental insurance</t>
        </is>
      </c>
      <c r="D492" s="36" t="inlineStr">
        <is>
          <t>health insurance new brunswick</t>
        </is>
      </c>
      <c r="E492" s="36" t="inlineStr">
        <is>
          <t>Provincial</t>
        </is>
      </c>
      <c r="F492" s="36" t="inlineStr">
        <is>
          <t>New Brunswick</t>
        </is>
      </c>
      <c r="G492" s="36" t="n"/>
      <c r="H492" s="37" t="n">
        <v>88</v>
      </c>
      <c r="I492" s="36" t="n">
        <v>39</v>
      </c>
      <c r="J492" s="36" t="inlineStr">
        <is>
          <t>commercial</t>
        </is>
      </c>
      <c r="K492" s="36" t="inlineStr">
        <is>
          <t>health-province</t>
        </is>
      </c>
      <c r="L492" s="36" t="n">
        <v>3</v>
      </c>
      <c r="M492" s="36" t="inlineStr">
        <is>
          <t>Primary</t>
        </is>
      </c>
      <c r="N492" s="39">
        <f>IFERROR(IF(ISNUMBER(SEARCH(D492,INDEX(Pages!$J$2:$J$829,MATCH(A492,Pages!$B$2:$B$829,0)))),"Yes","No"),"Page not found")</f>
        <v/>
      </c>
      <c r="O492" s="25" t="inlineStr">
        <is>
          <t>(none seen)</t>
        </is>
      </c>
      <c r="P492" s="25" t="n"/>
    </row>
    <row r="493" ht="15" customHeight="1" s="22">
      <c r="A493" s="36" t="inlineStr">
        <is>
          <t>https://instasure.ca/super-visa-insurance/ontario/markham/</t>
        </is>
      </c>
      <c r="B493" s="36" t="inlineStr">
        <is>
          <t>Product × city</t>
        </is>
      </c>
      <c r="C493" s="36" t="inlineStr">
        <is>
          <t>Super Visa &amp; visitors insurance</t>
        </is>
      </c>
      <c r="D493" s="36" t="inlineStr">
        <is>
          <t>super visa insurance markham</t>
        </is>
      </c>
      <c r="E493" s="36" t="inlineStr">
        <is>
          <t>City</t>
        </is>
      </c>
      <c r="F493" s="36" t="inlineStr">
        <is>
          <t>Ontario</t>
        </is>
      </c>
      <c r="G493" s="36" t="inlineStr">
        <is>
          <t>Markham</t>
        </is>
      </c>
      <c r="H493" s="37" t="n">
        <v>88</v>
      </c>
      <c r="I493" s="36" t="n">
        <v>36</v>
      </c>
      <c r="J493" s="36" t="inlineStr">
        <is>
          <t>local</t>
        </is>
      </c>
      <c r="K493" s="36" t="inlineStr">
        <is>
          <t>travel-visitors</t>
        </is>
      </c>
      <c r="L493" s="36" t="n">
        <v>4</v>
      </c>
      <c r="M493" s="36" t="inlineStr">
        <is>
          <t>Primary</t>
        </is>
      </c>
      <c r="N493" s="39">
        <f>IFERROR(IF(ISNUMBER(SEARCH(D493,INDEX(Pages!$J$2:$J$829,MATCH(A493,Pages!$B$2:$B$829,0)))),"Yes","No"),"Page not found")</f>
        <v/>
      </c>
      <c r="O493" s="25" t="inlineStr">
        <is>
          <t>(none seen)</t>
        </is>
      </c>
      <c r="P493" s="25" t="n"/>
    </row>
    <row r="494" ht="15" customHeight="1" s="22">
      <c r="A494" s="36" t="inlineStr">
        <is>
          <t>https://instasure.ca/tenant-insurance/quebec/laval/</t>
        </is>
      </c>
      <c r="B494" s="36" t="inlineStr">
        <is>
          <t>Product × city</t>
        </is>
      </c>
      <c r="C494" s="36" t="inlineStr">
        <is>
          <t>Tenant insurance</t>
        </is>
      </c>
      <c r="D494" s="36" t="inlineStr">
        <is>
          <t>tenant insurance laval</t>
        </is>
      </c>
      <c r="E494" s="36" t="inlineStr">
        <is>
          <t>City</t>
        </is>
      </c>
      <c r="F494" s="36" t="inlineStr">
        <is>
          <t>Quebec</t>
        </is>
      </c>
      <c r="G494" s="36" t="inlineStr">
        <is>
          <t>Laval</t>
        </is>
      </c>
      <c r="H494" s="37" t="n">
        <v>88</v>
      </c>
      <c r="I494" s="36" t="n">
        <v>44</v>
      </c>
      <c r="J494" s="36" t="inlineStr">
        <is>
          <t>local</t>
        </is>
      </c>
      <c r="K494" s="36" t="inlineStr">
        <is>
          <t>property-local</t>
        </is>
      </c>
      <c r="L494" s="36" t="n">
        <v>5</v>
      </c>
      <c r="M494" s="36" t="inlineStr">
        <is>
          <t>Primary</t>
        </is>
      </c>
      <c r="N494" s="39">
        <f>IFERROR(IF(ISNUMBER(SEARCH(D494,INDEX(Pages!$J$2:$J$829,MATCH(A494,Pages!$B$2:$B$829,0)))),"Yes","No"),"Page not found")</f>
        <v/>
      </c>
      <c r="O494" s="25" t="inlineStr">
        <is>
          <t>sonnet</t>
        </is>
      </c>
      <c r="P494" s="25" t="inlineStr">
        <is>
          <t>Quebec waitlist until AMF registration.</t>
        </is>
      </c>
    </row>
    <row r="495" ht="15" customHeight="1" s="22">
      <c r="A495" s="36" t="inlineStr">
        <is>
          <t>https://instasure.ca/business-insurance/british-columbia/burnaby/</t>
        </is>
      </c>
      <c r="B495" s="36" t="inlineStr">
        <is>
          <t>Product × city</t>
        </is>
      </c>
      <c r="C495" s="36" t="inlineStr">
        <is>
          <t>Business insurance</t>
        </is>
      </c>
      <c r="D495" s="36" t="inlineStr">
        <is>
          <t>business insurance burnaby</t>
        </is>
      </c>
      <c r="E495" s="36" t="inlineStr">
        <is>
          <t>City</t>
        </is>
      </c>
      <c r="F495" s="36" t="inlineStr">
        <is>
          <t>British Columbia</t>
        </is>
      </c>
      <c r="G495" s="36" t="inlineStr">
        <is>
          <t>Burnaby</t>
        </is>
      </c>
      <c r="H495" s="37" t="n">
        <v>86</v>
      </c>
      <c r="I495" s="36" t="n">
        <v>33</v>
      </c>
      <c r="J495" s="36" t="inlineStr">
        <is>
          <t>local</t>
        </is>
      </c>
      <c r="K495" s="36" t="inlineStr">
        <is>
          <t>business-local</t>
        </is>
      </c>
      <c r="L495" s="36" t="n">
        <v>2</v>
      </c>
      <c r="M495" s="36" t="inlineStr">
        <is>
          <t>Primary</t>
        </is>
      </c>
      <c r="N495" s="39">
        <f>IFERROR(IF(ISNUMBER(SEARCH(D495,INDEX(Pages!$J$2:$J$829,MATCH(A495,Pages!$B$2:$B$829,0)))),"Yes","No"),"Page not found")</f>
        <v/>
      </c>
      <c r="O495" s="25" t="inlineStr">
        <is>
          <t>(none seen)</t>
        </is>
      </c>
      <c r="P495" s="25" t="n"/>
    </row>
    <row r="496" ht="15" customHeight="1" s="22">
      <c r="A496" s="36" t="inlineStr">
        <is>
          <t>https://instasure.ca/condo-insurance/british-columbia/burnaby/</t>
        </is>
      </c>
      <c r="B496" s="36" t="inlineStr">
        <is>
          <t>Product × city</t>
        </is>
      </c>
      <c r="C496" s="36" t="inlineStr">
        <is>
          <t>Condo insurance</t>
        </is>
      </c>
      <c r="D496" s="36" t="inlineStr">
        <is>
          <t>condo insurance burnaby</t>
        </is>
      </c>
      <c r="E496" s="36" t="inlineStr">
        <is>
          <t>City</t>
        </is>
      </c>
      <c r="F496" s="36" t="inlineStr">
        <is>
          <t>British Columbia</t>
        </is>
      </c>
      <c r="G496" s="36" t="inlineStr">
        <is>
          <t>Burnaby</t>
        </is>
      </c>
      <c r="H496" s="37" t="n">
        <v>86</v>
      </c>
      <c r="I496" s="36" t="n">
        <v>40</v>
      </c>
      <c r="J496" s="36" t="inlineStr">
        <is>
          <t>local</t>
        </is>
      </c>
      <c r="K496" s="36" t="inlineStr">
        <is>
          <t>property-local</t>
        </is>
      </c>
      <c r="L496" s="36" t="n">
        <v>4</v>
      </c>
      <c r="M496" s="36" t="inlineStr">
        <is>
          <t>Primary</t>
        </is>
      </c>
      <c r="N496" s="39">
        <f>IFERROR(IF(ISNUMBER(SEARCH(D496,INDEX(Pages!$J$2:$J$829,MATCH(A496,Pages!$B$2:$B$829,0)))),"Yes","No"),"Page not found")</f>
        <v/>
      </c>
      <c r="O496" s="25" t="inlineStr">
        <is>
          <t>(none seen)</t>
        </is>
      </c>
      <c r="P496" s="25" t="n"/>
    </row>
    <row r="497" ht="23.85" customHeight="1" s="22">
      <c r="A497" s="36" t="inlineStr">
        <is>
          <t>https://instasure.ca/life-insurance/british-columbia/abbotsford/</t>
        </is>
      </c>
      <c r="B497" s="36" t="inlineStr">
        <is>
          <t>Product × city</t>
        </is>
      </c>
      <c r="C497" s="36" t="inlineStr">
        <is>
          <t>Life insurance</t>
        </is>
      </c>
      <c r="D497" s="36" t="inlineStr">
        <is>
          <t>life insurance abbotsford</t>
        </is>
      </c>
      <c r="E497" s="36" t="inlineStr">
        <is>
          <t>City</t>
        </is>
      </c>
      <c r="F497" s="36" t="inlineStr">
        <is>
          <t>British Columbia</t>
        </is>
      </c>
      <c r="G497" s="36" t="inlineStr">
        <is>
          <t>Abbotsford</t>
        </is>
      </c>
      <c r="H497" s="37" t="n">
        <v>86</v>
      </c>
      <c r="I497" s="36" t="n">
        <v>27</v>
      </c>
      <c r="J497" s="36" t="inlineStr">
        <is>
          <t>local</t>
        </is>
      </c>
      <c r="K497" s="36" t="inlineStr">
        <is>
          <t>life-local</t>
        </is>
      </c>
      <c r="L497" s="36" t="n">
        <v>3</v>
      </c>
      <c r="M497" s="36" t="inlineStr">
        <is>
          <t>Primary</t>
        </is>
      </c>
      <c r="N497" s="39">
        <f>IFERROR(IF(ISNUMBER(SEARCH(D497,INDEX(Pages!$J$2:$J$829,MATCH(A497,Pages!$B$2:$B$829,0)))),"Yes","No"),"Page not found")</f>
        <v/>
      </c>
      <c r="O497" s="25" t="inlineStr">
        <is>
          <t>(none seen)</t>
        </is>
      </c>
      <c r="P497" s="25" t="inlineStr">
        <is>
          <t>Page exists but is noindex until an editor adds a 300+ character local intro (Admin → SEO → Page overrides).</t>
        </is>
      </c>
    </row>
    <row r="498" ht="15" customHeight="1" s="22">
      <c r="A498" s="36" t="inlineStr">
        <is>
          <t>https://instasure.ca/contractor-insurance/british-columbia/</t>
        </is>
      </c>
      <c r="B498" s="36" t="inlineStr">
        <is>
          <t>Product × province</t>
        </is>
      </c>
      <c r="C498" s="36" t="inlineStr">
        <is>
          <t>Contractor &amp; trades insurance</t>
        </is>
      </c>
      <c r="D498" s="36" t="inlineStr">
        <is>
          <t>contractor insurance bc</t>
        </is>
      </c>
      <c r="E498" s="36" t="inlineStr">
        <is>
          <t>Provincial</t>
        </is>
      </c>
      <c r="F498" s="36" t="inlineStr">
        <is>
          <t>British Columbia</t>
        </is>
      </c>
      <c r="G498" s="36" t="n"/>
      <c r="H498" s="37" t="n">
        <v>85</v>
      </c>
      <c r="I498" s="36" t="n">
        <v>29</v>
      </c>
      <c r="J498" s="36" t="inlineStr">
        <is>
          <t>commercial</t>
        </is>
      </c>
      <c r="K498" s="36" t="inlineStr">
        <is>
          <t>business-province</t>
        </is>
      </c>
      <c r="L498" s="36" t="n">
        <v>3</v>
      </c>
      <c r="M498" s="36" t="inlineStr">
        <is>
          <t>Primary</t>
        </is>
      </c>
      <c r="N498" s="39">
        <f>IFERROR(IF(ISNUMBER(SEARCH(D498,INDEX(Pages!$J$2:$J$829,MATCH(A498,Pages!$B$2:$B$829,0)))),"Yes","No"),"Page not found")</f>
        <v/>
      </c>
      <c r="O498" s="25" t="inlineStr">
        <is>
          <t>(none seen)</t>
        </is>
      </c>
      <c r="P498" s="25" t="n"/>
    </row>
    <row r="499" ht="15" customHeight="1" s="22">
      <c r="A499" s="36" t="inlineStr">
        <is>
          <t>https://instasure.ca/term-life-insurance/british-columbia/</t>
        </is>
      </c>
      <c r="B499" s="36" t="inlineStr">
        <is>
          <t>Product × province</t>
        </is>
      </c>
      <c r="C499" s="36" t="inlineStr">
        <is>
          <t>Life insurance</t>
        </is>
      </c>
      <c r="D499" s="36" t="inlineStr">
        <is>
          <t>term life insurance bc</t>
        </is>
      </c>
      <c r="E499" s="36" t="inlineStr">
        <is>
          <t>Provincial</t>
        </is>
      </c>
      <c r="F499" s="36" t="inlineStr">
        <is>
          <t>British Columbia</t>
        </is>
      </c>
      <c r="G499" s="36" t="n"/>
      <c r="H499" s="37" t="n">
        <v>85</v>
      </c>
      <c r="I499" s="36" t="n">
        <v>38</v>
      </c>
      <c r="J499" s="36" t="inlineStr">
        <is>
          <t>commercial</t>
        </is>
      </c>
      <c r="K499" s="36" t="inlineStr">
        <is>
          <t>life-province</t>
        </is>
      </c>
      <c r="L499" s="36" t="n">
        <v>3</v>
      </c>
      <c r="M499" s="36" t="inlineStr">
        <is>
          <t>Primary</t>
        </is>
      </c>
      <c r="N499" s="39">
        <f>IFERROR(IF(ISNUMBER(SEARCH(D499,INDEX(Pages!$J$2:$J$829,MATCH(A499,Pages!$B$2:$B$829,0)))),"Yes","No"),"Page not found")</f>
        <v/>
      </c>
      <c r="O499" s="25" t="inlineStr">
        <is>
          <t>policyadvisor</t>
        </is>
      </c>
      <c r="P499" s="25" t="n"/>
    </row>
    <row r="500" ht="15" customHeight="1" s="22">
      <c r="A500" s="36" t="inlineStr">
        <is>
          <t>https://instasure.ca/home-insurance/quebec/longueuil/</t>
        </is>
      </c>
      <c r="B500" s="36" t="inlineStr">
        <is>
          <t>Product × city</t>
        </is>
      </c>
      <c r="C500" s="36" t="inlineStr">
        <is>
          <t>Home insurance</t>
        </is>
      </c>
      <c r="D500" s="36" t="inlineStr">
        <is>
          <t>home insurance longueuil</t>
        </is>
      </c>
      <c r="E500" s="36" t="inlineStr">
        <is>
          <t>City</t>
        </is>
      </c>
      <c r="F500" s="36" t="inlineStr">
        <is>
          <t>Quebec</t>
        </is>
      </c>
      <c r="G500" s="36" t="inlineStr">
        <is>
          <t>Longueuil</t>
        </is>
      </c>
      <c r="H500" s="37" t="n">
        <v>84</v>
      </c>
      <c r="I500" s="36" t="n">
        <v>40</v>
      </c>
      <c r="J500" s="36" t="inlineStr">
        <is>
          <t>local</t>
        </is>
      </c>
      <c r="K500" s="36" t="inlineStr">
        <is>
          <t>property-local</t>
        </is>
      </c>
      <c r="L500" s="36" t="n">
        <v>5</v>
      </c>
      <c r="M500" s="36" t="inlineStr">
        <is>
          <t>Primary</t>
        </is>
      </c>
      <c r="N500" s="39">
        <f>IFERROR(IF(ISNUMBER(SEARCH(D500,INDEX(Pages!$J$2:$J$829,MATCH(A500,Pages!$B$2:$B$829,0)))),"Yes","No"),"Page not found")</f>
        <v/>
      </c>
      <c r="O500" s="25" t="inlineStr">
        <is>
          <t>(none seen)</t>
        </is>
      </c>
      <c r="P500" s="25" t="inlineStr">
        <is>
          <t>Quebec waitlist until AMF registration.</t>
        </is>
      </c>
    </row>
    <row r="501" ht="23.85" customHeight="1" s="22">
      <c r="A501" s="36" t="inlineStr">
        <is>
          <t>https://instasure.ca/life-insurance/british-columbia/coquitlam/</t>
        </is>
      </c>
      <c r="B501" s="36" t="inlineStr">
        <is>
          <t>Product × city</t>
        </is>
      </c>
      <c r="C501" s="36" t="inlineStr">
        <is>
          <t>Life insurance</t>
        </is>
      </c>
      <c r="D501" s="36" t="inlineStr">
        <is>
          <t>life insurance coquitlam</t>
        </is>
      </c>
      <c r="E501" s="36" t="inlineStr">
        <is>
          <t>City</t>
        </is>
      </c>
      <c r="F501" s="36" t="inlineStr">
        <is>
          <t>British Columbia</t>
        </is>
      </c>
      <c r="G501" s="36" t="inlineStr">
        <is>
          <t>Coquitlam</t>
        </is>
      </c>
      <c r="H501" s="37" t="n">
        <v>84</v>
      </c>
      <c r="I501" s="36" t="n">
        <v>27</v>
      </c>
      <c r="J501" s="36" t="inlineStr">
        <is>
          <t>local</t>
        </is>
      </c>
      <c r="K501" s="36" t="inlineStr">
        <is>
          <t>life-local</t>
        </is>
      </c>
      <c r="L501" s="36" t="n">
        <v>3</v>
      </c>
      <c r="M501" s="36" t="inlineStr">
        <is>
          <t>Primary</t>
        </is>
      </c>
      <c r="N501" s="39">
        <f>IFERROR(IF(ISNUMBER(SEARCH(D501,INDEX(Pages!$J$2:$J$829,MATCH(A501,Pages!$B$2:$B$829,0)))),"Yes","No"),"Page not found")</f>
        <v/>
      </c>
      <c r="O501" s="25" t="inlineStr">
        <is>
          <t>(none seen)</t>
        </is>
      </c>
      <c r="P501" s="25" t="inlineStr">
        <is>
          <t>Page exists but is noindex until an editor adds a 300+ character local intro (Admin → SEO → Page overrides).</t>
        </is>
      </c>
    </row>
    <row r="502" ht="15" customHeight="1" s="22">
      <c r="A502" s="36" t="inlineStr">
        <is>
          <t>https://instasure.ca/life-insurance/saskatchewan/</t>
        </is>
      </c>
      <c r="B502" s="36" t="inlineStr">
        <is>
          <t>Product × province</t>
        </is>
      </c>
      <c r="C502" s="36" t="inlineStr">
        <is>
          <t>Life insurance</t>
        </is>
      </c>
      <c r="D502" s="36" t="inlineStr">
        <is>
          <t>life insurance saskatchewan</t>
        </is>
      </c>
      <c r="E502" s="36" t="inlineStr">
        <is>
          <t>Provincial</t>
        </is>
      </c>
      <c r="F502" s="36" t="inlineStr">
        <is>
          <t>Saskatchewan</t>
        </is>
      </c>
      <c r="G502" s="36" t="n"/>
      <c r="H502" s="37" t="n">
        <v>84</v>
      </c>
      <c r="I502" s="36" t="n">
        <v>34</v>
      </c>
      <c r="J502" s="36" t="inlineStr">
        <is>
          <t>commercial</t>
        </is>
      </c>
      <c r="K502" s="36" t="inlineStr">
        <is>
          <t>life-province</t>
        </is>
      </c>
      <c r="L502" s="36" t="n">
        <v>2</v>
      </c>
      <c r="M502" s="36" t="inlineStr">
        <is>
          <t>Primary</t>
        </is>
      </c>
      <c r="N502" s="39">
        <f>IFERROR(IF(ISNUMBER(SEARCH(D502,INDEX(Pages!$J$2:$J$829,MATCH(A502,Pages!$B$2:$B$829,0)))),"Yes","No"),"Page not found")</f>
        <v/>
      </c>
      <c r="O502" s="25" t="inlineStr">
        <is>
          <t>(none seen)</t>
        </is>
      </c>
      <c r="P502" s="25" t="n"/>
    </row>
    <row r="503" ht="15" customHeight="1" s="22">
      <c r="A503" s="36" t="inlineStr">
        <is>
          <t>https://instasure.ca/tenant-insurance/british-columbia/victoria/</t>
        </is>
      </c>
      <c r="B503" s="36" t="inlineStr">
        <is>
          <t>Product × city</t>
        </is>
      </c>
      <c r="C503" s="36" t="inlineStr">
        <is>
          <t>Tenant insurance</t>
        </is>
      </c>
      <c r="D503" s="36" t="inlineStr">
        <is>
          <t>tenant insurance victoria</t>
        </is>
      </c>
      <c r="E503" s="36" t="inlineStr">
        <is>
          <t>City</t>
        </is>
      </c>
      <c r="F503" s="36" t="inlineStr">
        <is>
          <t>British Columbia</t>
        </is>
      </c>
      <c r="G503" s="36" t="inlineStr">
        <is>
          <t>Victoria</t>
        </is>
      </c>
      <c r="H503" s="37" t="n">
        <v>84</v>
      </c>
      <c r="I503" s="36" t="n">
        <v>40</v>
      </c>
      <c r="J503" s="36" t="inlineStr">
        <is>
          <t>local</t>
        </is>
      </c>
      <c r="K503" s="36" t="inlineStr">
        <is>
          <t>property-local</t>
        </is>
      </c>
      <c r="L503" s="36" t="n">
        <v>5</v>
      </c>
      <c r="M503" s="36" t="inlineStr">
        <is>
          <t>Primary</t>
        </is>
      </c>
      <c r="N503" s="39">
        <f>IFERROR(IF(ISNUMBER(SEARCH(D503,INDEX(Pages!$J$2:$J$829,MATCH(A503,Pages!$B$2:$B$829,0)))),"Yes","No"),"Page not found")</f>
        <v/>
      </c>
      <c r="O503" s="25" t="inlineStr">
        <is>
          <t>(none seen)</t>
        </is>
      </c>
      <c r="P503" s="25" t="n"/>
    </row>
    <row r="504" ht="23.85" customHeight="1" s="22">
      <c r="A504" s="36" t="inlineStr">
        <is>
          <t>https://instasure.ca/life-insurance/ontario/barrie/</t>
        </is>
      </c>
      <c r="B504" s="36" t="inlineStr">
        <is>
          <t>Product × city</t>
        </is>
      </c>
      <c r="C504" s="36" t="inlineStr">
        <is>
          <t>Life insurance</t>
        </is>
      </c>
      <c r="D504" s="36" t="inlineStr">
        <is>
          <t>life insurance barrie</t>
        </is>
      </c>
      <c r="E504" s="36" t="inlineStr">
        <is>
          <t>City</t>
        </is>
      </c>
      <c r="F504" s="36" t="inlineStr">
        <is>
          <t>Ontario</t>
        </is>
      </c>
      <c r="G504" s="36" t="inlineStr">
        <is>
          <t>Barrie</t>
        </is>
      </c>
      <c r="H504" s="37" t="n">
        <v>83</v>
      </c>
      <c r="I504" s="36" t="n">
        <v>35</v>
      </c>
      <c r="J504" s="36" t="inlineStr">
        <is>
          <t>local</t>
        </is>
      </c>
      <c r="K504" s="36" t="inlineStr">
        <is>
          <t>life-local</t>
        </is>
      </c>
      <c r="L504" s="36" t="n">
        <v>3</v>
      </c>
      <c r="M504" s="36" t="inlineStr">
        <is>
          <t>Primary</t>
        </is>
      </c>
      <c r="N504" s="39">
        <f>IFERROR(IF(ISNUMBER(SEARCH(D504,INDEX(Pages!$J$2:$J$829,MATCH(A504,Pages!$B$2:$B$829,0)))),"Yes","No"),"Page not found")</f>
        <v/>
      </c>
      <c r="O504" s="25" t="inlineStr">
        <is>
          <t>(none seen)</t>
        </is>
      </c>
      <c r="P504" s="25" t="inlineStr">
        <is>
          <t>Page exists but is noindex until an editor adds a 300+ character local intro (Admin → SEO → Page overrides).</t>
        </is>
      </c>
    </row>
    <row r="505" ht="15" customHeight="1" s="22">
      <c r="A505" s="36" t="inlineStr">
        <is>
          <t>https://instasure.ca/life-insurance/british-columbia/kelowna/</t>
        </is>
      </c>
      <c r="B505" s="36" t="inlineStr">
        <is>
          <t>Product × city</t>
        </is>
      </c>
      <c r="C505" s="36" t="inlineStr">
        <is>
          <t>Life insurance</t>
        </is>
      </c>
      <c r="D505" s="36" t="inlineStr">
        <is>
          <t>life insurance kelowna</t>
        </is>
      </c>
      <c r="E505" s="36" t="inlineStr">
        <is>
          <t>City</t>
        </is>
      </c>
      <c r="F505" s="36" t="inlineStr">
        <is>
          <t>British Columbia</t>
        </is>
      </c>
      <c r="G505" s="36" t="inlineStr">
        <is>
          <t>Kelowna</t>
        </is>
      </c>
      <c r="H505" s="37" t="n">
        <v>82</v>
      </c>
      <c r="I505" s="36" t="n">
        <v>35</v>
      </c>
      <c r="J505" s="36" t="inlineStr">
        <is>
          <t>local</t>
        </is>
      </c>
      <c r="K505" s="36" t="inlineStr">
        <is>
          <t>life-local</t>
        </is>
      </c>
      <c r="L505" s="36" t="n">
        <v>2</v>
      </c>
      <c r="M505" s="36" t="inlineStr">
        <is>
          <t>Primary</t>
        </is>
      </c>
      <c r="N505" s="39">
        <f>IFERROR(IF(ISNUMBER(SEARCH(D505,INDEX(Pages!$J$2:$J$829,MATCH(A505,Pages!$B$2:$B$829,0)))),"Yes","No"),"Page not found")</f>
        <v/>
      </c>
      <c r="O505" s="25" t="inlineStr">
        <is>
          <t>(none seen)</t>
        </is>
      </c>
      <c r="P505" s="25" t="n"/>
    </row>
    <row r="506" ht="23.85" customHeight="1" s="22">
      <c r="A506" s="36" t="inlineStr">
        <is>
          <t>https://instasure.ca/life-insurance/ontario/guelph/</t>
        </is>
      </c>
      <c r="B506" s="36" t="inlineStr">
        <is>
          <t>Product × city</t>
        </is>
      </c>
      <c r="C506" s="36" t="inlineStr">
        <is>
          <t>Life insurance</t>
        </is>
      </c>
      <c r="D506" s="36" t="inlineStr">
        <is>
          <t>life insurance guelph</t>
        </is>
      </c>
      <c r="E506" s="36" t="inlineStr">
        <is>
          <t>City</t>
        </is>
      </c>
      <c r="F506" s="36" t="inlineStr">
        <is>
          <t>Ontario</t>
        </is>
      </c>
      <c r="G506" s="36" t="inlineStr">
        <is>
          <t>Guelph</t>
        </is>
      </c>
      <c r="H506" s="37" t="n">
        <v>82</v>
      </c>
      <c r="I506" s="36" t="n">
        <v>35</v>
      </c>
      <c r="J506" s="36" t="inlineStr">
        <is>
          <t>local</t>
        </is>
      </c>
      <c r="K506" s="36" t="inlineStr">
        <is>
          <t>life-local</t>
        </is>
      </c>
      <c r="L506" s="36" t="n">
        <v>3</v>
      </c>
      <c r="M506" s="36" t="inlineStr">
        <is>
          <t>Primary</t>
        </is>
      </c>
      <c r="N506" s="39">
        <f>IFERROR(IF(ISNUMBER(SEARCH(D506,INDEX(Pages!$J$2:$J$829,MATCH(A506,Pages!$B$2:$B$829,0)))),"Yes","No"),"Page not found")</f>
        <v/>
      </c>
      <c r="O506" s="25" t="inlineStr">
        <is>
          <t>(none seen)</t>
        </is>
      </c>
      <c r="P506" s="25" t="inlineStr">
        <is>
          <t>Page exists but is noindex until an editor adds a 300+ character local intro (Admin → SEO → Page overrides).</t>
        </is>
      </c>
    </row>
    <row r="507" ht="15" customHeight="1" s="22">
      <c r="A507" s="36" t="inlineStr">
        <is>
          <t>https://instasure.ca/disability-insurance/alberta/</t>
        </is>
      </c>
      <c r="B507" s="36" t="inlineStr">
        <is>
          <t>Product × province</t>
        </is>
      </c>
      <c r="C507" s="36" t="inlineStr">
        <is>
          <t>Disability insurance</t>
        </is>
      </c>
      <c r="D507" s="36" t="inlineStr">
        <is>
          <t>disability insurance alberta</t>
        </is>
      </c>
      <c r="E507" s="36" t="inlineStr">
        <is>
          <t>Provincial</t>
        </is>
      </c>
      <c r="F507" s="36" t="inlineStr">
        <is>
          <t>Alberta</t>
        </is>
      </c>
      <c r="G507" s="36" t="n"/>
      <c r="H507" s="37" t="n">
        <v>81</v>
      </c>
      <c r="I507" s="36" t="n">
        <v>32</v>
      </c>
      <c r="J507" s="36" t="inlineStr">
        <is>
          <t>commercial</t>
        </is>
      </c>
      <c r="K507" s="36" t="inlineStr">
        <is>
          <t>living-benefits</t>
        </is>
      </c>
      <c r="L507" s="36" t="n">
        <v>2</v>
      </c>
      <c r="M507" s="36" t="inlineStr">
        <is>
          <t>Primary</t>
        </is>
      </c>
      <c r="N507" s="39">
        <f>IFERROR(IF(ISNUMBER(SEARCH(D507,INDEX(Pages!$J$2:$J$829,MATCH(A507,Pages!$B$2:$B$829,0)))),"Yes","No"),"Page not found")</f>
        <v/>
      </c>
      <c r="O507" s="25" t="inlineStr">
        <is>
          <t>(none seen)</t>
        </is>
      </c>
      <c r="P507" s="25" t="n"/>
    </row>
    <row r="508" ht="15" customHeight="1" s="22">
      <c r="A508" s="36" t="inlineStr">
        <is>
          <t>https://instasure.ca/business-insurance/new-brunswick/</t>
        </is>
      </c>
      <c r="B508" s="36" t="inlineStr">
        <is>
          <t>Product × province</t>
        </is>
      </c>
      <c r="C508" s="36" t="inlineStr">
        <is>
          <t>Business insurance</t>
        </is>
      </c>
      <c r="D508" s="36" t="inlineStr">
        <is>
          <t>business insurance new brunswick</t>
        </is>
      </c>
      <c r="E508" s="36" t="inlineStr">
        <is>
          <t>Provincial</t>
        </is>
      </c>
      <c r="F508" s="36" t="inlineStr">
        <is>
          <t>New Brunswick</t>
        </is>
      </c>
      <c r="G508" s="36" t="n"/>
      <c r="H508" s="37" t="n">
        <v>80</v>
      </c>
      <c r="I508" s="36" t="n">
        <v>34</v>
      </c>
      <c r="J508" s="36" t="inlineStr">
        <is>
          <t>commercial</t>
        </is>
      </c>
      <c r="K508" s="36" t="inlineStr">
        <is>
          <t>business-province</t>
        </is>
      </c>
      <c r="L508" s="36" t="n">
        <v>3</v>
      </c>
      <c r="M508" s="36" t="inlineStr">
        <is>
          <t>Primary</t>
        </is>
      </c>
      <c r="N508" s="39">
        <f>IFERROR(IF(ISNUMBER(SEARCH(D508,INDEX(Pages!$J$2:$J$829,MATCH(A508,Pages!$B$2:$B$829,0)))),"Yes","No"),"Page not found")</f>
        <v/>
      </c>
      <c r="O508" s="25" t="inlineStr">
        <is>
          <t>(none seen)</t>
        </is>
      </c>
      <c r="P508" s="25" t="n"/>
    </row>
    <row r="509" ht="15" customHeight="1" s="22">
      <c r="A509" s="36" t="inlineStr">
        <is>
          <t>https://instasure.ca/business-insurance/ontario/windsor/</t>
        </is>
      </c>
      <c r="B509" s="36" t="inlineStr">
        <is>
          <t>Product × city</t>
        </is>
      </c>
      <c r="C509" s="36" t="inlineStr">
        <is>
          <t>Business insurance</t>
        </is>
      </c>
      <c r="D509" s="36" t="inlineStr">
        <is>
          <t>business insurance windsor</t>
        </is>
      </c>
      <c r="E509" s="36" t="inlineStr">
        <is>
          <t>City</t>
        </is>
      </c>
      <c r="F509" s="36" t="inlineStr">
        <is>
          <t>Ontario</t>
        </is>
      </c>
      <c r="G509" s="36" t="inlineStr">
        <is>
          <t>Windsor</t>
        </is>
      </c>
      <c r="H509" s="37" t="n">
        <v>80</v>
      </c>
      <c r="I509" s="36" t="n">
        <v>41</v>
      </c>
      <c r="J509" s="36" t="inlineStr">
        <is>
          <t>local</t>
        </is>
      </c>
      <c r="K509" s="36" t="inlineStr">
        <is>
          <t>business-local</t>
        </is>
      </c>
      <c r="L509" s="36" t="n">
        <v>3</v>
      </c>
      <c r="M509" s="36" t="inlineStr">
        <is>
          <t>Primary</t>
        </is>
      </c>
      <c r="N509" s="39">
        <f>IFERROR(IF(ISNUMBER(SEARCH(D509,INDEX(Pages!$J$2:$J$829,MATCH(A509,Pages!$B$2:$B$829,0)))),"Yes","No"),"Page not found")</f>
        <v/>
      </c>
      <c r="O509" s="25" t="inlineStr">
        <is>
          <t>(none seen)</t>
        </is>
      </c>
      <c r="P509" s="25" t="n"/>
    </row>
    <row r="510" ht="15" customHeight="1" s="22">
      <c r="A510" s="36" t="inlineStr">
        <is>
          <t>https://instasure.ca/condo-insurance/ontario/windsor/</t>
        </is>
      </c>
      <c r="B510" s="36" t="inlineStr">
        <is>
          <t>Product × city</t>
        </is>
      </c>
      <c r="C510" s="36" t="inlineStr">
        <is>
          <t>Condo insurance</t>
        </is>
      </c>
      <c r="D510" s="36" t="inlineStr">
        <is>
          <t>condo insurance windsor</t>
        </is>
      </c>
      <c r="E510" s="36" t="inlineStr">
        <is>
          <t>City</t>
        </is>
      </c>
      <c r="F510" s="36" t="inlineStr">
        <is>
          <t>Ontario</t>
        </is>
      </c>
      <c r="G510" s="36" t="inlineStr">
        <is>
          <t>Windsor</t>
        </is>
      </c>
      <c r="H510" s="37" t="n">
        <v>80</v>
      </c>
      <c r="I510" s="36" t="n">
        <v>48</v>
      </c>
      <c r="J510" s="36" t="inlineStr">
        <is>
          <t>local</t>
        </is>
      </c>
      <c r="K510" s="36" t="inlineStr">
        <is>
          <t>property-local</t>
        </is>
      </c>
      <c r="L510" s="36" t="n">
        <v>4</v>
      </c>
      <c r="M510" s="36" t="inlineStr">
        <is>
          <t>Primary</t>
        </is>
      </c>
      <c r="N510" s="39">
        <f>IFERROR(IF(ISNUMBER(SEARCH(D510,INDEX(Pages!$J$2:$J$829,MATCH(A510,Pages!$B$2:$B$829,0)))),"Yes","No"),"Page not found")</f>
        <v/>
      </c>
      <c r="O510" s="25" t="inlineStr">
        <is>
          <t>(none seen)</t>
        </is>
      </c>
      <c r="P510" s="25" t="n"/>
    </row>
    <row r="511" ht="15" customHeight="1" s="22">
      <c r="A511" s="36" t="inlineStr">
        <is>
          <t>https://instasure.ca/business-insurance/saskatchewan/regina/</t>
        </is>
      </c>
      <c r="B511" s="36" t="inlineStr">
        <is>
          <t>Product × city</t>
        </is>
      </c>
      <c r="C511" s="36" t="inlineStr">
        <is>
          <t>Business insurance</t>
        </is>
      </c>
      <c r="D511" s="36" t="inlineStr">
        <is>
          <t>business insurance regina</t>
        </is>
      </c>
      <c r="E511" s="36" t="inlineStr">
        <is>
          <t>City</t>
        </is>
      </c>
      <c r="F511" s="36" t="inlineStr">
        <is>
          <t>Saskatchewan</t>
        </is>
      </c>
      <c r="G511" s="36" t="inlineStr">
        <is>
          <t>Regina</t>
        </is>
      </c>
      <c r="H511" s="37" t="n">
        <v>79</v>
      </c>
      <c r="I511" s="36" t="n">
        <v>33</v>
      </c>
      <c r="J511" s="36" t="inlineStr">
        <is>
          <t>local</t>
        </is>
      </c>
      <c r="K511" s="36" t="inlineStr">
        <is>
          <t>business-local</t>
        </is>
      </c>
      <c r="L511" s="36" t="n">
        <v>3</v>
      </c>
      <c r="M511" s="36" t="inlineStr">
        <is>
          <t>Primary</t>
        </is>
      </c>
      <c r="N511" s="39">
        <f>IFERROR(IF(ISNUMBER(SEARCH(D511,INDEX(Pages!$J$2:$J$829,MATCH(A511,Pages!$B$2:$B$829,0)))),"Yes","No"),"Page not found")</f>
        <v/>
      </c>
      <c r="O511" s="25" t="inlineStr">
        <is>
          <t>(none seen)</t>
        </is>
      </c>
      <c r="P511" s="25" t="n"/>
    </row>
    <row r="512" ht="15" customHeight="1" s="22">
      <c r="A512" s="36" t="inlineStr">
        <is>
          <t>https://instasure.ca/condo-insurance/saskatchewan/regina/</t>
        </is>
      </c>
      <c r="B512" s="36" t="inlineStr">
        <is>
          <t>Product × city</t>
        </is>
      </c>
      <c r="C512" s="36" t="inlineStr">
        <is>
          <t>Condo insurance</t>
        </is>
      </c>
      <c r="D512" s="36" t="inlineStr">
        <is>
          <t>condo insurance regina</t>
        </is>
      </c>
      <c r="E512" s="36" t="inlineStr">
        <is>
          <t>City</t>
        </is>
      </c>
      <c r="F512" s="36" t="inlineStr">
        <is>
          <t>Saskatchewan</t>
        </is>
      </c>
      <c r="G512" s="36" t="inlineStr">
        <is>
          <t>Regina</t>
        </is>
      </c>
      <c r="H512" s="37" t="n">
        <v>79</v>
      </c>
      <c r="I512" s="36" t="n">
        <v>40</v>
      </c>
      <c r="J512" s="36" t="inlineStr">
        <is>
          <t>local</t>
        </is>
      </c>
      <c r="K512" s="36" t="inlineStr">
        <is>
          <t>property-local</t>
        </is>
      </c>
      <c r="L512" s="36" t="n">
        <v>4</v>
      </c>
      <c r="M512" s="36" t="inlineStr">
        <is>
          <t>Primary</t>
        </is>
      </c>
      <c r="N512" s="39">
        <f>IFERROR(IF(ISNUMBER(SEARCH(D512,INDEX(Pages!$J$2:$J$829,MATCH(A512,Pages!$B$2:$B$829,0)))),"Yes","No"),"Page not found")</f>
        <v/>
      </c>
      <c r="O512" s="25" t="inlineStr">
        <is>
          <t>(none seen)</t>
        </is>
      </c>
      <c r="P512" s="25" t="n"/>
    </row>
    <row r="513" ht="23.85" customHeight="1" s="22">
      <c r="A513" s="36" t="inlineStr">
        <is>
          <t>https://instasure.ca/life-insurance/ontario/cambridge/</t>
        </is>
      </c>
      <c r="B513" s="36" t="inlineStr">
        <is>
          <t>Product × city</t>
        </is>
      </c>
      <c r="C513" s="36" t="inlineStr">
        <is>
          <t>Life insurance</t>
        </is>
      </c>
      <c r="D513" s="36" t="inlineStr">
        <is>
          <t>life insurance cambridge</t>
        </is>
      </c>
      <c r="E513" s="36" t="inlineStr">
        <is>
          <t>City</t>
        </is>
      </c>
      <c r="F513" s="36" t="inlineStr">
        <is>
          <t>Ontario</t>
        </is>
      </c>
      <c r="G513" s="36" t="inlineStr">
        <is>
          <t>Cambridge</t>
        </is>
      </c>
      <c r="H513" s="37" t="n">
        <v>79</v>
      </c>
      <c r="I513" s="36" t="n">
        <v>27</v>
      </c>
      <c r="J513" s="36" t="inlineStr">
        <is>
          <t>local</t>
        </is>
      </c>
      <c r="K513" s="36" t="inlineStr">
        <is>
          <t>life-local</t>
        </is>
      </c>
      <c r="L513" s="36" t="n">
        <v>3</v>
      </c>
      <c r="M513" s="36" t="inlineStr">
        <is>
          <t>Primary</t>
        </is>
      </c>
      <c r="N513" s="39">
        <f>IFERROR(IF(ISNUMBER(SEARCH(D513,INDEX(Pages!$J$2:$J$829,MATCH(A513,Pages!$B$2:$B$829,0)))),"Yes","No"),"Page not found")</f>
        <v/>
      </c>
      <c r="O513" s="25" t="inlineStr">
        <is>
          <t>(none seen)</t>
        </is>
      </c>
      <c r="P513" s="25" t="inlineStr">
        <is>
          <t>Page exists but is noindex until an editor adds a 300+ character local intro (Admin → SEO → Page overrides).</t>
        </is>
      </c>
    </row>
    <row r="514" ht="23.85" customHeight="1" s="22">
      <c r="A514" s="36" t="inlineStr">
        <is>
          <t>https://instasure.ca/life-insurance/ontario/whitby/</t>
        </is>
      </c>
      <c r="B514" s="36" t="inlineStr">
        <is>
          <t>Product × city</t>
        </is>
      </c>
      <c r="C514" s="36" t="inlineStr">
        <is>
          <t>Life insurance</t>
        </is>
      </c>
      <c r="D514" s="36" t="inlineStr">
        <is>
          <t>life insurance whitby</t>
        </is>
      </c>
      <c r="E514" s="36" t="inlineStr">
        <is>
          <t>City</t>
        </is>
      </c>
      <c r="F514" s="36" t="inlineStr">
        <is>
          <t>Ontario</t>
        </is>
      </c>
      <c r="G514" s="36" t="inlineStr">
        <is>
          <t>Whitby</t>
        </is>
      </c>
      <c r="H514" s="37" t="n">
        <v>79</v>
      </c>
      <c r="I514" s="36" t="n">
        <v>27</v>
      </c>
      <c r="J514" s="36" t="inlineStr">
        <is>
          <t>local</t>
        </is>
      </c>
      <c r="K514" s="36" t="inlineStr">
        <is>
          <t>life-local</t>
        </is>
      </c>
      <c r="L514" s="36" t="n">
        <v>3</v>
      </c>
      <c r="M514" s="36" t="inlineStr">
        <is>
          <t>Primary</t>
        </is>
      </c>
      <c r="N514" s="39">
        <f>IFERROR(IF(ISNUMBER(SEARCH(D514,INDEX(Pages!$J$2:$J$829,MATCH(A514,Pages!$B$2:$B$829,0)))),"Yes","No"),"Page not found")</f>
        <v/>
      </c>
      <c r="O514" s="25" t="inlineStr">
        <is>
          <t>(none seen)</t>
        </is>
      </c>
      <c r="P514" s="25" t="inlineStr">
        <is>
          <t>Page exists but is noindex until an editor adds a 300+ character local intro (Admin → SEO → Page overrides).</t>
        </is>
      </c>
    </row>
    <row r="515" ht="15" customHeight="1" s="22">
      <c r="A515" s="36" t="inlineStr">
        <is>
          <t>https://instasure.ca/condo-insurance/manitoba/</t>
        </is>
      </c>
      <c r="B515" s="36" t="inlineStr">
        <is>
          <t>Product × province</t>
        </is>
      </c>
      <c r="C515" s="36" t="inlineStr">
        <is>
          <t>Condo insurance</t>
        </is>
      </c>
      <c r="D515" s="36" t="inlineStr">
        <is>
          <t>condo insurance manitoba</t>
        </is>
      </c>
      <c r="E515" s="36" t="inlineStr">
        <is>
          <t>Provincial</t>
        </is>
      </c>
      <c r="F515" s="36" t="inlineStr">
        <is>
          <t>Manitoba</t>
        </is>
      </c>
      <c r="G515" s="36" t="n"/>
      <c r="H515" s="37" t="n">
        <v>78</v>
      </c>
      <c r="I515" s="36" t="n">
        <v>29</v>
      </c>
      <c r="J515" s="36" t="inlineStr">
        <is>
          <t>commercial</t>
        </is>
      </c>
      <c r="K515" s="36" t="inlineStr">
        <is>
          <t>property-province</t>
        </is>
      </c>
      <c r="L515" s="36" t="n">
        <v>4</v>
      </c>
      <c r="M515" s="36" t="inlineStr">
        <is>
          <t>Primary</t>
        </is>
      </c>
      <c r="N515" s="39">
        <f>IFERROR(IF(ISNUMBER(SEARCH(D515,INDEX(Pages!$J$2:$J$829,MATCH(A515,Pages!$B$2:$B$829,0)))),"Yes","No"),"Page not found")</f>
        <v/>
      </c>
      <c r="O515" s="25" t="inlineStr">
        <is>
          <t>(none seen)</t>
        </is>
      </c>
      <c r="P515" s="25" t="n"/>
    </row>
    <row r="516" ht="23.85" customHeight="1" s="22">
      <c r="A516" s="36" t="inlineStr">
        <is>
          <t>https://instasure.ca/home-insurance/manitoba/brandon/</t>
        </is>
      </c>
      <c r="B516" s="36" t="inlineStr">
        <is>
          <t>Product × city</t>
        </is>
      </c>
      <c r="C516" s="36" t="inlineStr">
        <is>
          <t>Home insurance</t>
        </is>
      </c>
      <c r="D516" s="36" t="inlineStr">
        <is>
          <t>home insurance brandon</t>
        </is>
      </c>
      <c r="E516" s="36" t="inlineStr">
        <is>
          <t>City</t>
        </is>
      </c>
      <c r="F516" s="36" t="inlineStr">
        <is>
          <t>Manitoba</t>
        </is>
      </c>
      <c r="G516" s="36" t="inlineStr">
        <is>
          <t>Brandon</t>
        </is>
      </c>
      <c r="H516" s="37" t="n">
        <v>78</v>
      </c>
      <c r="I516" s="36" t="n">
        <v>32</v>
      </c>
      <c r="J516" s="36" t="inlineStr">
        <is>
          <t>local</t>
        </is>
      </c>
      <c r="K516" s="36" t="inlineStr">
        <is>
          <t>property-local</t>
        </is>
      </c>
      <c r="L516" s="36" t="n">
        <v>4</v>
      </c>
      <c r="M516" s="36" t="inlineStr">
        <is>
          <t>Primary</t>
        </is>
      </c>
      <c r="N516" s="39">
        <f>IFERROR(IF(ISNUMBER(SEARCH(D516,INDEX(Pages!$J$2:$J$829,MATCH(A516,Pages!$B$2:$B$829,0)))),"Yes","No"),"Page not found")</f>
        <v/>
      </c>
      <c r="O516" s="25" t="inlineStr">
        <is>
          <t>(none seen)</t>
        </is>
      </c>
      <c r="P516" s="25" t="inlineStr">
        <is>
          <t>Page exists but is noindex until an editor adds a 300+ character local intro (Admin → SEO → Page overrides).</t>
        </is>
      </c>
    </row>
    <row r="517" ht="23.85" customHeight="1" s="22">
      <c r="A517" s="36" t="inlineStr">
        <is>
          <t>https://instasure.ca/life-insurance/ontario/st-catharines/</t>
        </is>
      </c>
      <c r="B517" s="36" t="inlineStr">
        <is>
          <t>Product × city</t>
        </is>
      </c>
      <c r="C517" s="36" t="inlineStr">
        <is>
          <t>Life insurance</t>
        </is>
      </c>
      <c r="D517" s="36" t="inlineStr">
        <is>
          <t>life insurance st catharines</t>
        </is>
      </c>
      <c r="E517" s="36" t="inlineStr">
        <is>
          <t>City</t>
        </is>
      </c>
      <c r="F517" s="36" t="inlineStr">
        <is>
          <t>Ontario</t>
        </is>
      </c>
      <c r="G517" s="36" t="inlineStr">
        <is>
          <t>St. Catharines</t>
        </is>
      </c>
      <c r="H517" s="37" t="n">
        <v>78</v>
      </c>
      <c r="I517" s="36" t="n">
        <v>35</v>
      </c>
      <c r="J517" s="36" t="inlineStr">
        <is>
          <t>local</t>
        </is>
      </c>
      <c r="K517" s="36" t="inlineStr">
        <is>
          <t>life-local</t>
        </is>
      </c>
      <c r="L517" s="36" t="n">
        <v>3</v>
      </c>
      <c r="M517" s="36" t="inlineStr">
        <is>
          <t>Primary</t>
        </is>
      </c>
      <c r="N517" s="39">
        <f>IFERROR(IF(ISNUMBER(SEARCH(D517,INDEX(Pages!$J$2:$J$829,MATCH(A517,Pages!$B$2:$B$829,0)))),"Yes","No"),"Page not found")</f>
        <v/>
      </c>
      <c r="O517" s="25" t="inlineStr">
        <is>
          <t>(none seen)</t>
        </is>
      </c>
      <c r="P517" s="25" t="inlineStr">
        <is>
          <t>Page exists but is noindex until an editor adds a 300+ character local intro (Admin → SEO → Page overrides).</t>
        </is>
      </c>
    </row>
    <row r="518" ht="15" customHeight="1" s="22">
      <c r="A518" s="36" t="inlineStr">
        <is>
          <t>https://instasure.ca/critical-illness-insurance/british-columbia/</t>
        </is>
      </c>
      <c r="B518" s="36" t="inlineStr">
        <is>
          <t>Product × province</t>
        </is>
      </c>
      <c r="C518" s="36" t="inlineStr">
        <is>
          <t>Critical illness insurance</t>
        </is>
      </c>
      <c r="D518" s="36" t="inlineStr">
        <is>
          <t>critical illness insurance bc</t>
        </is>
      </c>
      <c r="E518" s="36" t="inlineStr">
        <is>
          <t>Provincial</t>
        </is>
      </c>
      <c r="F518" s="36" t="inlineStr">
        <is>
          <t>British Columbia</t>
        </is>
      </c>
      <c r="G518" s="36" t="n"/>
      <c r="H518" s="37" t="n">
        <v>77</v>
      </c>
      <c r="I518" s="36" t="n">
        <v>29</v>
      </c>
      <c r="J518" s="36" t="inlineStr">
        <is>
          <t>commercial</t>
        </is>
      </c>
      <c r="K518" s="36" t="inlineStr">
        <is>
          <t>living-benefits</t>
        </is>
      </c>
      <c r="L518" s="36" t="n">
        <v>2</v>
      </c>
      <c r="M518" s="36" t="inlineStr">
        <is>
          <t>Primary</t>
        </is>
      </c>
      <c r="N518" s="39">
        <f>IFERROR(IF(ISNUMBER(SEARCH(D518,INDEX(Pages!$J$2:$J$829,MATCH(A518,Pages!$B$2:$B$829,0)))),"Yes","No"),"Page not found")</f>
        <v/>
      </c>
      <c r="O518" s="25" t="inlineStr">
        <is>
          <t>(none seen)</t>
        </is>
      </c>
      <c r="P518" s="25" t="n"/>
    </row>
    <row r="519" ht="23.85" customHeight="1" s="22">
      <c r="A519" s="36" t="inlineStr">
        <is>
          <t>https://instasure.ca/life-insurance/ontario/milton/</t>
        </is>
      </c>
      <c r="B519" s="36" t="inlineStr">
        <is>
          <t>Product × city</t>
        </is>
      </c>
      <c r="C519" s="36" t="inlineStr">
        <is>
          <t>Life insurance</t>
        </is>
      </c>
      <c r="D519" s="36" t="inlineStr">
        <is>
          <t>life insurance milton</t>
        </is>
      </c>
      <c r="E519" s="36" t="inlineStr">
        <is>
          <t>City</t>
        </is>
      </c>
      <c r="F519" s="36" t="inlineStr">
        <is>
          <t>Ontario</t>
        </is>
      </c>
      <c r="G519" s="36" t="inlineStr">
        <is>
          <t>Milton</t>
        </is>
      </c>
      <c r="H519" s="37" t="n">
        <v>77</v>
      </c>
      <c r="I519" s="36" t="n">
        <v>27</v>
      </c>
      <c r="J519" s="36" t="inlineStr">
        <is>
          <t>local</t>
        </is>
      </c>
      <c r="K519" s="36" t="inlineStr">
        <is>
          <t>life-local</t>
        </is>
      </c>
      <c r="L519" s="36" t="n">
        <v>3</v>
      </c>
      <c r="M519" s="36" t="inlineStr">
        <is>
          <t>Primary</t>
        </is>
      </c>
      <c r="N519" s="39">
        <f>IFERROR(IF(ISNUMBER(SEARCH(D519,INDEX(Pages!$J$2:$J$829,MATCH(A519,Pages!$B$2:$B$829,0)))),"Yes","No"),"Page not found")</f>
        <v/>
      </c>
      <c r="O519" s="25" t="inlineStr">
        <is>
          <t>(none seen)</t>
        </is>
      </c>
      <c r="P519" s="25" t="inlineStr">
        <is>
          <t>Page exists but is noindex until an editor adds a 300+ character local intro (Admin → SEO → Page overrides).</t>
        </is>
      </c>
    </row>
    <row r="520" ht="23.85" customHeight="1" s="22">
      <c r="A520" s="36" t="inlineStr">
        <is>
          <t>https://instasure.ca/business-insurance/ontario/oakville/</t>
        </is>
      </c>
      <c r="B520" s="36" t="inlineStr">
        <is>
          <t>Product × city</t>
        </is>
      </c>
      <c r="C520" s="36" t="inlineStr">
        <is>
          <t>Business insurance</t>
        </is>
      </c>
      <c r="D520" s="36" t="inlineStr">
        <is>
          <t>business insurance oakville</t>
        </is>
      </c>
      <c r="E520" s="36" t="inlineStr">
        <is>
          <t>City</t>
        </is>
      </c>
      <c r="F520" s="36" t="inlineStr">
        <is>
          <t>Ontario</t>
        </is>
      </c>
      <c r="G520" s="36" t="inlineStr">
        <is>
          <t>Oakville</t>
        </is>
      </c>
      <c r="H520" s="37" t="n">
        <v>76</v>
      </c>
      <c r="I520" s="36" t="n">
        <v>33</v>
      </c>
      <c r="J520" s="36" t="inlineStr">
        <is>
          <t>local</t>
        </is>
      </c>
      <c r="K520" s="36" t="inlineStr">
        <is>
          <t>business-local</t>
        </is>
      </c>
      <c r="L520" s="36" t="n">
        <v>4</v>
      </c>
      <c r="M520" s="36" t="inlineStr">
        <is>
          <t>Primary</t>
        </is>
      </c>
      <c r="N520" s="39">
        <f>IFERROR(IF(ISNUMBER(SEARCH(D520,INDEX(Pages!$J$2:$J$829,MATCH(A520,Pages!$B$2:$B$829,0)))),"Yes","No"),"Page not found")</f>
        <v/>
      </c>
      <c r="O520" s="25" t="inlineStr">
        <is>
          <t>(none seen)</t>
        </is>
      </c>
      <c r="P520" s="25" t="inlineStr">
        <is>
          <t>Page exists but is noindex until an editor adds a 300+ character local intro (Admin → SEO → Page overrides).</t>
        </is>
      </c>
    </row>
    <row r="521" ht="15" customHeight="1" s="22">
      <c r="A521" s="36" t="inlineStr">
        <is>
          <t>https://instasure.ca/condo-insurance/ontario/oakville/</t>
        </is>
      </c>
      <c r="B521" s="36" t="inlineStr">
        <is>
          <t>Product × city</t>
        </is>
      </c>
      <c r="C521" s="36" t="inlineStr">
        <is>
          <t>Condo insurance</t>
        </is>
      </c>
      <c r="D521" s="36" t="inlineStr">
        <is>
          <t>condo insurance oakville</t>
        </is>
      </c>
      <c r="E521" s="36" t="inlineStr">
        <is>
          <t>City</t>
        </is>
      </c>
      <c r="F521" s="36" t="inlineStr">
        <is>
          <t>Ontario</t>
        </is>
      </c>
      <c r="G521" s="36" t="inlineStr">
        <is>
          <t>Oakville</t>
        </is>
      </c>
      <c r="H521" s="37" t="n">
        <v>76</v>
      </c>
      <c r="I521" s="36" t="n">
        <v>40</v>
      </c>
      <c r="J521" s="36" t="inlineStr">
        <is>
          <t>local</t>
        </is>
      </c>
      <c r="K521" s="36" t="inlineStr">
        <is>
          <t>property-local</t>
        </is>
      </c>
      <c r="L521" s="36" t="n">
        <v>4</v>
      </c>
      <c r="M521" s="36" t="inlineStr">
        <is>
          <t>Primary</t>
        </is>
      </c>
      <c r="N521" s="39">
        <f>IFERROR(IF(ISNUMBER(SEARCH(D521,INDEX(Pages!$J$2:$J$829,MATCH(A521,Pages!$B$2:$B$829,0)))),"Yes","No"),"Page not found")</f>
        <v/>
      </c>
      <c r="O521" s="25" t="inlineStr">
        <is>
          <t>(none seen)</t>
        </is>
      </c>
      <c r="P521" s="25" t="n"/>
    </row>
    <row r="522" ht="23.85" customHeight="1" s="22">
      <c r="A522" s="36" t="inlineStr">
        <is>
          <t>https://instasure.ca/life-insurance/british-columbia/langley/</t>
        </is>
      </c>
      <c r="B522" s="36" t="inlineStr">
        <is>
          <t>Product × city</t>
        </is>
      </c>
      <c r="C522" s="36" t="inlineStr">
        <is>
          <t>Life insurance</t>
        </is>
      </c>
      <c r="D522" s="36" t="inlineStr">
        <is>
          <t>life insurance langley</t>
        </is>
      </c>
      <c r="E522" s="36" t="inlineStr">
        <is>
          <t>City</t>
        </is>
      </c>
      <c r="F522" s="36" t="inlineStr">
        <is>
          <t>British Columbia</t>
        </is>
      </c>
      <c r="G522" s="36" t="inlineStr">
        <is>
          <t>Langley</t>
        </is>
      </c>
      <c r="H522" s="37" t="n">
        <v>76</v>
      </c>
      <c r="I522" s="36" t="n">
        <v>19</v>
      </c>
      <c r="J522" s="36" t="inlineStr">
        <is>
          <t>local</t>
        </is>
      </c>
      <c r="K522" s="36" t="inlineStr">
        <is>
          <t>life-local</t>
        </is>
      </c>
      <c r="L522" s="36" t="n">
        <v>3</v>
      </c>
      <c r="M522" s="36" t="inlineStr">
        <is>
          <t>Primary</t>
        </is>
      </c>
      <c r="N522" s="39">
        <f>IFERROR(IF(ISNUMBER(SEARCH(D522,INDEX(Pages!$J$2:$J$829,MATCH(A522,Pages!$B$2:$B$829,0)))),"Yes","No"),"Page not found")</f>
        <v/>
      </c>
      <c r="O522" s="25" t="inlineStr">
        <is>
          <t>(none seen)</t>
        </is>
      </c>
      <c r="P522" s="25" t="inlineStr">
        <is>
          <t>Page exists but is noindex until an editor adds a 300+ character local intro (Admin → SEO → Page overrides).</t>
        </is>
      </c>
    </row>
    <row r="523" ht="23.85" customHeight="1" s="22">
      <c r="A523" s="36" t="inlineStr">
        <is>
          <t>https://instasure.ca/life-insurance/ontario/kingston/</t>
        </is>
      </c>
      <c r="B523" s="36" t="inlineStr">
        <is>
          <t>Product × city</t>
        </is>
      </c>
      <c r="C523" s="36" t="inlineStr">
        <is>
          <t>Life insurance</t>
        </is>
      </c>
      <c r="D523" s="36" t="inlineStr">
        <is>
          <t>life insurance kingston</t>
        </is>
      </c>
      <c r="E523" s="36" t="inlineStr">
        <is>
          <t>City</t>
        </is>
      </c>
      <c r="F523" s="36" t="inlineStr">
        <is>
          <t>Ontario</t>
        </is>
      </c>
      <c r="G523" s="36" t="inlineStr">
        <is>
          <t>Kingston</t>
        </is>
      </c>
      <c r="H523" s="37" t="n">
        <v>76</v>
      </c>
      <c r="I523" s="36" t="n">
        <v>35</v>
      </c>
      <c r="J523" s="36" t="inlineStr">
        <is>
          <t>local</t>
        </is>
      </c>
      <c r="K523" s="36" t="inlineStr">
        <is>
          <t>life-local</t>
        </is>
      </c>
      <c r="L523" s="36" t="n">
        <v>3</v>
      </c>
      <c r="M523" s="36" t="inlineStr">
        <is>
          <t>Primary</t>
        </is>
      </c>
      <c r="N523" s="39">
        <f>IFERROR(IF(ISNUMBER(SEARCH(D523,INDEX(Pages!$J$2:$J$829,MATCH(A523,Pages!$B$2:$B$829,0)))),"Yes","No"),"Page not found")</f>
        <v/>
      </c>
      <c r="O523" s="25" t="inlineStr">
        <is>
          <t>(none seen)</t>
        </is>
      </c>
      <c r="P523" s="25" t="inlineStr">
        <is>
          <t>Page exists but is noindex until an editor adds a 300+ character local intro (Admin → SEO → Page overrides).</t>
        </is>
      </c>
    </row>
    <row r="524" ht="23.85" customHeight="1" s="22">
      <c r="A524" s="36" t="inlineStr">
        <is>
          <t>https://instasure.ca/business-insurance/british-columbia/richmond/</t>
        </is>
      </c>
      <c r="B524" s="36" t="inlineStr">
        <is>
          <t>Product × city</t>
        </is>
      </c>
      <c r="C524" s="36" t="inlineStr">
        <is>
          <t>Business insurance</t>
        </is>
      </c>
      <c r="D524" s="36" t="inlineStr">
        <is>
          <t>business insurance richmond bc</t>
        </is>
      </c>
      <c r="E524" s="36" t="inlineStr">
        <is>
          <t>City</t>
        </is>
      </c>
      <c r="F524" s="36" t="inlineStr">
        <is>
          <t>British Columbia</t>
        </is>
      </c>
      <c r="G524" s="36" t="inlineStr">
        <is>
          <t>Richmond</t>
        </is>
      </c>
      <c r="H524" s="37" t="n">
        <v>75</v>
      </c>
      <c r="I524" s="36" t="n">
        <v>25</v>
      </c>
      <c r="J524" s="36" t="inlineStr">
        <is>
          <t>local</t>
        </is>
      </c>
      <c r="K524" s="36" t="inlineStr">
        <is>
          <t>business-local</t>
        </is>
      </c>
      <c r="L524" s="36" t="n">
        <v>3</v>
      </c>
      <c r="M524" s="36" t="inlineStr">
        <is>
          <t>Primary</t>
        </is>
      </c>
      <c r="N524" s="39">
        <f>IFERROR(IF(ISNUMBER(SEARCH(D524,INDEX(Pages!$J$2:$J$829,MATCH(A524,Pages!$B$2:$B$829,0)))),"Yes","No"),"Page not found")</f>
        <v/>
      </c>
      <c r="O524" s="25" t="inlineStr">
        <is>
          <t>(none seen)</t>
        </is>
      </c>
      <c r="P524" s="25" t="inlineStr">
        <is>
          <t>Page exists but is noindex until an editor adds a 300+ character local intro (Admin → SEO → Page overrides).</t>
        </is>
      </c>
    </row>
    <row r="525" ht="15" customHeight="1" s="22">
      <c r="A525" s="36" t="inlineStr">
        <is>
          <t>https://instasure.ca/condo-insurance/british-columbia/richmond/</t>
        </is>
      </c>
      <c r="B525" s="36" t="inlineStr">
        <is>
          <t>Product × city</t>
        </is>
      </c>
      <c r="C525" s="36" t="inlineStr">
        <is>
          <t>Condo insurance</t>
        </is>
      </c>
      <c r="D525" s="36" t="inlineStr">
        <is>
          <t>condo insurance richmond bc</t>
        </is>
      </c>
      <c r="E525" s="36" t="inlineStr">
        <is>
          <t>City</t>
        </is>
      </c>
      <c r="F525" s="36" t="inlineStr">
        <is>
          <t>British Columbia</t>
        </is>
      </c>
      <c r="G525" s="36" t="inlineStr">
        <is>
          <t>Richmond</t>
        </is>
      </c>
      <c r="H525" s="37" t="n">
        <v>75</v>
      </c>
      <c r="I525" s="36" t="n">
        <v>32</v>
      </c>
      <c r="J525" s="36" t="inlineStr">
        <is>
          <t>local</t>
        </is>
      </c>
      <c r="K525" s="36" t="inlineStr">
        <is>
          <t>property-local</t>
        </is>
      </c>
      <c r="L525" s="36" t="n">
        <v>4</v>
      </c>
      <c r="M525" s="36" t="inlineStr">
        <is>
          <t>Primary</t>
        </is>
      </c>
      <c r="N525" s="39">
        <f>IFERROR(IF(ISNUMBER(SEARCH(D525,INDEX(Pages!$J$2:$J$829,MATCH(A525,Pages!$B$2:$B$829,0)))),"Yes","No"),"Page not found")</f>
        <v/>
      </c>
      <c r="O525" s="25" t="inlineStr">
        <is>
          <t>(none seen)</t>
        </is>
      </c>
      <c r="P525" s="25" t="n"/>
    </row>
    <row r="526" ht="15" customHeight="1" s="22">
      <c r="A526" s="36" t="inlineStr">
        <is>
          <t>https://instasure.ca/tenant-insurance/new-brunswick/moncton/</t>
        </is>
      </c>
      <c r="B526" s="36" t="inlineStr">
        <is>
          <t>Product × city</t>
        </is>
      </c>
      <c r="C526" s="36" t="inlineStr">
        <is>
          <t>Tenant insurance</t>
        </is>
      </c>
      <c r="D526" s="36" t="inlineStr">
        <is>
          <t>tenant insurance moncton</t>
        </is>
      </c>
      <c r="E526" s="36" t="inlineStr">
        <is>
          <t>City</t>
        </is>
      </c>
      <c r="F526" s="36" t="inlineStr">
        <is>
          <t>New Brunswick</t>
        </is>
      </c>
      <c r="G526" s="36" t="inlineStr">
        <is>
          <t>Moncton</t>
        </is>
      </c>
      <c r="H526" s="37" t="n">
        <v>75</v>
      </c>
      <c r="I526" s="36" t="n">
        <v>32</v>
      </c>
      <c r="J526" s="36" t="inlineStr">
        <is>
          <t>local</t>
        </is>
      </c>
      <c r="K526" s="36" t="inlineStr">
        <is>
          <t>property-local</t>
        </is>
      </c>
      <c r="L526" s="36" t="n">
        <v>5</v>
      </c>
      <c r="M526" s="36" t="inlineStr">
        <is>
          <t>Primary</t>
        </is>
      </c>
      <c r="N526" s="39">
        <f>IFERROR(IF(ISNUMBER(SEARCH(D526,INDEX(Pages!$J$2:$J$829,MATCH(A526,Pages!$B$2:$B$829,0)))),"Yes","No"),"Page not found")</f>
        <v/>
      </c>
      <c r="O526" s="25" t="inlineStr">
        <is>
          <t>(none seen)</t>
        </is>
      </c>
      <c r="P526" s="25" t="n"/>
    </row>
    <row r="527" ht="15" customHeight="1" s="22">
      <c r="A527" s="36" t="inlineStr">
        <is>
          <t>https://instasure.ca/contractor-insurance/alberta/</t>
        </is>
      </c>
      <c r="B527" s="36" t="inlineStr">
        <is>
          <t>Product × province</t>
        </is>
      </c>
      <c r="C527" s="36" t="inlineStr">
        <is>
          <t>Contractor &amp; trades insurance</t>
        </is>
      </c>
      <c r="D527" s="36" t="inlineStr">
        <is>
          <t>contractor insurance alberta</t>
        </is>
      </c>
      <c r="E527" s="36" t="inlineStr">
        <is>
          <t>Provincial</t>
        </is>
      </c>
      <c r="F527" s="36" t="inlineStr">
        <is>
          <t>Alberta</t>
        </is>
      </c>
      <c r="G527" s="36" t="n"/>
      <c r="H527" s="37" t="n">
        <v>74</v>
      </c>
      <c r="I527" s="36" t="n">
        <v>29</v>
      </c>
      <c r="J527" s="36" t="inlineStr">
        <is>
          <t>commercial</t>
        </is>
      </c>
      <c r="K527" s="36" t="inlineStr">
        <is>
          <t>business-province</t>
        </is>
      </c>
      <c r="L527" s="36" t="n">
        <v>3</v>
      </c>
      <c r="M527" s="36" t="inlineStr">
        <is>
          <t>Primary</t>
        </is>
      </c>
      <c r="N527" s="39">
        <f>IFERROR(IF(ISNUMBER(SEARCH(D527,INDEX(Pages!$J$2:$J$829,MATCH(A527,Pages!$B$2:$B$829,0)))),"Yes","No"),"Page not found")</f>
        <v/>
      </c>
      <c r="O527" s="25" t="inlineStr">
        <is>
          <t>(none seen)</t>
        </is>
      </c>
      <c r="P527" s="25" t="n"/>
    </row>
    <row r="528" ht="23.85" customHeight="1" s="22">
      <c r="A528" s="36" t="inlineStr">
        <is>
          <t>https://instasure.ca/life-insurance/ontario/ajax/</t>
        </is>
      </c>
      <c r="B528" s="36" t="inlineStr">
        <is>
          <t>Product × city</t>
        </is>
      </c>
      <c r="C528" s="36" t="inlineStr">
        <is>
          <t>Life insurance</t>
        </is>
      </c>
      <c r="D528" s="36" t="inlineStr">
        <is>
          <t>life insurance ajax</t>
        </is>
      </c>
      <c r="E528" s="36" t="inlineStr">
        <is>
          <t>City</t>
        </is>
      </c>
      <c r="F528" s="36" t="inlineStr">
        <is>
          <t>Ontario</t>
        </is>
      </c>
      <c r="G528" s="36" t="inlineStr">
        <is>
          <t>Ajax</t>
        </is>
      </c>
      <c r="H528" s="37" t="n">
        <v>74</v>
      </c>
      <c r="I528" s="36" t="n">
        <v>27</v>
      </c>
      <c r="J528" s="36" t="inlineStr">
        <is>
          <t>local</t>
        </is>
      </c>
      <c r="K528" s="36" t="inlineStr">
        <is>
          <t>life-local</t>
        </is>
      </c>
      <c r="L528" s="36" t="n">
        <v>3</v>
      </c>
      <c r="M528" s="36" t="inlineStr">
        <is>
          <t>Primary</t>
        </is>
      </c>
      <c r="N528" s="39">
        <f>IFERROR(IF(ISNUMBER(SEARCH(D528,INDEX(Pages!$J$2:$J$829,MATCH(A528,Pages!$B$2:$B$829,0)))),"Yes","No"),"Page not found")</f>
        <v/>
      </c>
      <c r="O528" s="25" t="inlineStr">
        <is>
          <t>(none seen)</t>
        </is>
      </c>
      <c r="P528" s="25" t="inlineStr">
        <is>
          <t>Page exists but is noindex until an editor adds a 300+ character local intro (Admin → SEO → Page overrides).</t>
        </is>
      </c>
    </row>
    <row r="529" ht="15" customHeight="1" s="22">
      <c r="A529" s="36" t="inlineStr">
        <is>
          <t>https://instasure.ca/tenant-insurance/newfoundland-and-labrador/</t>
        </is>
      </c>
      <c r="B529" s="36" t="inlineStr">
        <is>
          <t>Product × province</t>
        </is>
      </c>
      <c r="C529" s="36" t="inlineStr">
        <is>
          <t>Tenant insurance</t>
        </is>
      </c>
      <c r="D529" s="36" t="inlineStr">
        <is>
          <t>tenant insurance newfoundland</t>
        </is>
      </c>
      <c r="E529" s="36" t="inlineStr">
        <is>
          <t>Provincial</t>
        </is>
      </c>
      <c r="F529" s="36" t="inlineStr">
        <is>
          <t>Newfoundland and Labrador</t>
        </is>
      </c>
      <c r="G529" s="36" t="n"/>
      <c r="H529" s="37" t="n">
        <v>74</v>
      </c>
      <c r="I529" s="36" t="n">
        <v>32</v>
      </c>
      <c r="J529" s="36" t="inlineStr">
        <is>
          <t>commercial</t>
        </is>
      </c>
      <c r="K529" s="36" t="inlineStr">
        <is>
          <t>property-province</t>
        </is>
      </c>
      <c r="L529" s="36" t="n">
        <v>5</v>
      </c>
      <c r="M529" s="36" t="inlineStr">
        <is>
          <t>Primary</t>
        </is>
      </c>
      <c r="N529" s="39">
        <f>IFERROR(IF(ISNUMBER(SEARCH(D529,INDEX(Pages!$J$2:$J$829,MATCH(A529,Pages!$B$2:$B$829,0)))),"Yes","No"),"Page not found")</f>
        <v/>
      </c>
      <c r="O529" s="25" t="inlineStr">
        <is>
          <t>(none seen)</t>
        </is>
      </c>
      <c r="P529" s="25" t="n"/>
    </row>
    <row r="530" ht="15" customHeight="1" s="22">
      <c r="A530" s="36" t="inlineStr">
        <is>
          <t>https://instasure.ca/term-life-insurance/alberta/</t>
        </is>
      </c>
      <c r="B530" s="36" t="inlineStr">
        <is>
          <t>Product × province</t>
        </is>
      </c>
      <c r="C530" s="36" t="inlineStr">
        <is>
          <t>Life insurance</t>
        </is>
      </c>
      <c r="D530" s="36" t="inlineStr">
        <is>
          <t>term life insurance alberta</t>
        </is>
      </c>
      <c r="E530" s="36" t="inlineStr">
        <is>
          <t>Provincial</t>
        </is>
      </c>
      <c r="F530" s="36" t="inlineStr">
        <is>
          <t>Alberta</t>
        </is>
      </c>
      <c r="G530" s="36" t="n"/>
      <c r="H530" s="37" t="n">
        <v>74</v>
      </c>
      <c r="I530" s="36" t="n">
        <v>38</v>
      </c>
      <c r="J530" s="36" t="inlineStr">
        <is>
          <t>commercial</t>
        </is>
      </c>
      <c r="K530" s="36" t="inlineStr">
        <is>
          <t>life-province</t>
        </is>
      </c>
      <c r="L530" s="36" t="n">
        <v>3</v>
      </c>
      <c r="M530" s="36" t="inlineStr">
        <is>
          <t>Primary</t>
        </is>
      </c>
      <c r="N530" s="39">
        <f>IFERROR(IF(ISNUMBER(SEARCH(D530,INDEX(Pages!$J$2:$J$829,MATCH(A530,Pages!$B$2:$B$829,0)))),"Yes","No"),"Page not found")</f>
        <v/>
      </c>
      <c r="O530" s="25" t="inlineStr">
        <is>
          <t>policyadvisor</t>
        </is>
      </c>
      <c r="P530" s="25" t="n"/>
    </row>
    <row r="531" ht="15" customHeight="1" s="22">
      <c r="A531" s="36" t="inlineStr">
        <is>
          <t>https://instasure.ca/life-insurance/nova-scotia/</t>
        </is>
      </c>
      <c r="B531" s="36" t="inlineStr">
        <is>
          <t>Product × province</t>
        </is>
      </c>
      <c r="C531" s="36" t="inlineStr">
        <is>
          <t>Life insurance</t>
        </is>
      </c>
      <c r="D531" s="36" t="inlineStr">
        <is>
          <t>life insurance nova scotia</t>
        </is>
      </c>
      <c r="E531" s="36" t="inlineStr">
        <is>
          <t>Provincial</t>
        </is>
      </c>
      <c r="F531" s="36" t="inlineStr">
        <is>
          <t>Nova Scotia</t>
        </is>
      </c>
      <c r="G531" s="36" t="n"/>
      <c r="H531" s="37" t="n">
        <v>73</v>
      </c>
      <c r="I531" s="36" t="n">
        <v>34</v>
      </c>
      <c r="J531" s="36" t="inlineStr">
        <is>
          <t>commercial</t>
        </is>
      </c>
      <c r="K531" s="36" t="inlineStr">
        <is>
          <t>life-province</t>
        </is>
      </c>
      <c r="L531" s="36" t="n">
        <v>2</v>
      </c>
      <c r="M531" s="36" t="inlineStr">
        <is>
          <t>Primary</t>
        </is>
      </c>
      <c r="N531" s="39">
        <f>IFERROR(IF(ISNUMBER(SEARCH(D531,INDEX(Pages!$J$2:$J$829,MATCH(A531,Pages!$B$2:$B$829,0)))),"Yes","No"),"Page not found")</f>
        <v/>
      </c>
      <c r="O531" s="25" t="inlineStr">
        <is>
          <t>(none seen)</t>
        </is>
      </c>
      <c r="P531" s="25" t="n"/>
    </row>
    <row r="532" ht="23.85" customHeight="1" s="22">
      <c r="A532" s="36" t="inlineStr">
        <is>
          <t>https://instasure.ca/business-insurance/ontario/richmond-hill/</t>
        </is>
      </c>
      <c r="B532" s="36" t="inlineStr">
        <is>
          <t>Product × city</t>
        </is>
      </c>
      <c r="C532" s="36" t="inlineStr">
        <is>
          <t>Business insurance</t>
        </is>
      </c>
      <c r="D532" s="36" t="inlineStr">
        <is>
          <t>business insurance richmond hill</t>
        </is>
      </c>
      <c r="E532" s="36" t="inlineStr">
        <is>
          <t>City</t>
        </is>
      </c>
      <c r="F532" s="36" t="inlineStr">
        <is>
          <t>Ontario</t>
        </is>
      </c>
      <c r="G532" s="36" t="inlineStr">
        <is>
          <t>Richmond Hill</t>
        </is>
      </c>
      <c r="H532" s="37" t="n">
        <v>72</v>
      </c>
      <c r="I532" s="36" t="n">
        <v>33</v>
      </c>
      <c r="J532" s="36" t="inlineStr">
        <is>
          <t>local</t>
        </is>
      </c>
      <c r="K532" s="36" t="inlineStr">
        <is>
          <t>business-local</t>
        </is>
      </c>
      <c r="L532" s="36" t="n">
        <v>4</v>
      </c>
      <c r="M532" s="36" t="inlineStr">
        <is>
          <t>Primary</t>
        </is>
      </c>
      <c r="N532" s="39">
        <f>IFERROR(IF(ISNUMBER(SEARCH(D532,INDEX(Pages!$J$2:$J$829,MATCH(A532,Pages!$B$2:$B$829,0)))),"Yes","No"),"Page not found")</f>
        <v/>
      </c>
      <c r="O532" s="25" t="inlineStr">
        <is>
          <t>(none seen)</t>
        </is>
      </c>
      <c r="P532" s="25" t="inlineStr">
        <is>
          <t>Page exists but is noindex until an editor adds a 300+ character local intro (Admin → SEO → Page overrides).</t>
        </is>
      </c>
    </row>
    <row r="533" ht="15" customHeight="1" s="22">
      <c r="A533" s="36" t="inlineStr">
        <is>
          <t>https://instasure.ca/condo-insurance/ontario/richmond-hill/</t>
        </is>
      </c>
      <c r="B533" s="36" t="inlineStr">
        <is>
          <t>Product × city</t>
        </is>
      </c>
      <c r="C533" s="36" t="inlineStr">
        <is>
          <t>Condo insurance</t>
        </is>
      </c>
      <c r="D533" s="36" t="inlineStr">
        <is>
          <t>condo insurance richmond hill</t>
        </is>
      </c>
      <c r="E533" s="36" t="inlineStr">
        <is>
          <t>City</t>
        </is>
      </c>
      <c r="F533" s="36" t="inlineStr">
        <is>
          <t>Ontario</t>
        </is>
      </c>
      <c r="G533" s="36" t="inlineStr">
        <is>
          <t>Richmond Hill</t>
        </is>
      </c>
      <c r="H533" s="37" t="n">
        <v>72</v>
      </c>
      <c r="I533" s="36" t="n">
        <v>40</v>
      </c>
      <c r="J533" s="36" t="inlineStr">
        <is>
          <t>local</t>
        </is>
      </c>
      <c r="K533" s="36" t="inlineStr">
        <is>
          <t>property-local</t>
        </is>
      </c>
      <c r="L533" s="36" t="n">
        <v>4</v>
      </c>
      <c r="M533" s="36" t="inlineStr">
        <is>
          <t>Primary</t>
        </is>
      </c>
      <c r="N533" s="39">
        <f>IFERROR(IF(ISNUMBER(SEARCH(D533,INDEX(Pages!$J$2:$J$829,MATCH(A533,Pages!$B$2:$B$829,0)))),"Yes","No"),"Page not found")</f>
        <v/>
      </c>
      <c r="O533" s="25" t="inlineStr">
        <is>
          <t>(none seen)</t>
        </is>
      </c>
      <c r="P533" s="25" t="n"/>
    </row>
    <row r="534" ht="15" customHeight="1" s="22">
      <c r="A534" s="36" t="inlineStr">
        <is>
          <t>https://instasure.ca/life-insurance/quebec/quebec-city/</t>
        </is>
      </c>
      <c r="B534" s="36" t="inlineStr">
        <is>
          <t>Product × city</t>
        </is>
      </c>
      <c r="C534" s="36" t="inlineStr">
        <is>
          <t>Life insurance</t>
        </is>
      </c>
      <c r="D534" s="36" t="inlineStr">
        <is>
          <t>life insurance quebec city</t>
        </is>
      </c>
      <c r="E534" s="36" t="inlineStr">
        <is>
          <t>City</t>
        </is>
      </c>
      <c r="F534" s="36" t="inlineStr">
        <is>
          <t>Quebec</t>
        </is>
      </c>
      <c r="G534" s="36" t="inlineStr">
        <is>
          <t>Quebec City</t>
        </is>
      </c>
      <c r="H534" s="37" t="n">
        <v>72</v>
      </c>
      <c r="I534" s="36" t="n">
        <v>35</v>
      </c>
      <c r="J534" s="36" t="inlineStr">
        <is>
          <t>local</t>
        </is>
      </c>
      <c r="K534" s="36" t="inlineStr">
        <is>
          <t>life-local</t>
        </is>
      </c>
      <c r="L534" s="36" t="n">
        <v>4</v>
      </c>
      <c r="M534" s="36" t="inlineStr">
        <is>
          <t>Primary</t>
        </is>
      </c>
      <c r="N534" s="39">
        <f>IFERROR(IF(ISNUMBER(SEARCH(D534,INDEX(Pages!$J$2:$J$829,MATCH(A534,Pages!$B$2:$B$829,0)))),"Yes","No"),"Page not found")</f>
        <v/>
      </c>
      <c r="O534" s="25" t="inlineStr">
        <is>
          <t>(none seen)</t>
        </is>
      </c>
      <c r="P534" s="25" t="inlineStr">
        <is>
          <t>Quebec waitlist until AMF registration.</t>
        </is>
      </c>
    </row>
    <row r="535" ht="23.85" customHeight="1" s="22">
      <c r="A535" s="36" t="inlineStr">
        <is>
          <t>https://instasure.ca/life-insurance/ontario/waterloo/</t>
        </is>
      </c>
      <c r="B535" s="36" t="inlineStr">
        <is>
          <t>Product × city</t>
        </is>
      </c>
      <c r="C535" s="36" t="inlineStr">
        <is>
          <t>Life insurance</t>
        </is>
      </c>
      <c r="D535" s="36" t="inlineStr">
        <is>
          <t>life insurance waterloo</t>
        </is>
      </c>
      <c r="E535" s="36" t="inlineStr">
        <is>
          <t>City</t>
        </is>
      </c>
      <c r="F535" s="36" t="inlineStr">
        <is>
          <t>Ontario</t>
        </is>
      </c>
      <c r="G535" s="36" t="inlineStr">
        <is>
          <t>Waterloo</t>
        </is>
      </c>
      <c r="H535" s="37" t="n">
        <v>71</v>
      </c>
      <c r="I535" s="36" t="n">
        <v>35</v>
      </c>
      <c r="J535" s="36" t="inlineStr">
        <is>
          <t>local</t>
        </is>
      </c>
      <c r="K535" s="36" t="inlineStr">
        <is>
          <t>life-local</t>
        </is>
      </c>
      <c r="L535" s="36" t="n">
        <v>3</v>
      </c>
      <c r="M535" s="36" t="inlineStr">
        <is>
          <t>Primary</t>
        </is>
      </c>
      <c r="N535" s="39">
        <f>IFERROR(IF(ISNUMBER(SEARCH(D535,INDEX(Pages!$J$2:$J$829,MATCH(A535,Pages!$B$2:$B$829,0)))),"Yes","No"),"Page not found")</f>
        <v/>
      </c>
      <c r="O535" s="25" t="inlineStr">
        <is>
          <t>(none seen)</t>
        </is>
      </c>
      <c r="P535" s="25" t="inlineStr">
        <is>
          <t>Page exists but is noindex until an editor adds a 300+ character local intro (Admin → SEO → Page overrides).</t>
        </is>
      </c>
    </row>
    <row r="536" ht="23.85" customHeight="1" s="22">
      <c r="A536" s="36" t="inlineStr">
        <is>
          <t>https://instasure.ca/tenant-insurance/alberta/airdrie/</t>
        </is>
      </c>
      <c r="B536" s="36" t="inlineStr">
        <is>
          <t>Product × city</t>
        </is>
      </c>
      <c r="C536" s="36" t="inlineStr">
        <is>
          <t>Tenant insurance</t>
        </is>
      </c>
      <c r="D536" s="36" t="inlineStr">
        <is>
          <t>tenant insurance airdrie</t>
        </is>
      </c>
      <c r="E536" s="36" t="inlineStr">
        <is>
          <t>City</t>
        </is>
      </c>
      <c r="F536" s="36" t="inlineStr">
        <is>
          <t>Alberta</t>
        </is>
      </c>
      <c r="G536" s="36" t="inlineStr">
        <is>
          <t>Airdrie</t>
        </is>
      </c>
      <c r="H536" s="37" t="n">
        <v>71</v>
      </c>
      <c r="I536" s="36" t="n">
        <v>24</v>
      </c>
      <c r="J536" s="36" t="inlineStr">
        <is>
          <t>local</t>
        </is>
      </c>
      <c r="K536" s="36" t="inlineStr">
        <is>
          <t>property-local</t>
        </is>
      </c>
      <c r="L536" s="36" t="n">
        <v>5</v>
      </c>
      <c r="M536" s="36" t="inlineStr">
        <is>
          <t>Primary</t>
        </is>
      </c>
      <c r="N536" s="39">
        <f>IFERROR(IF(ISNUMBER(SEARCH(D536,INDEX(Pages!$J$2:$J$829,MATCH(A536,Pages!$B$2:$B$829,0)))),"Yes","No"),"Page not found")</f>
        <v/>
      </c>
      <c r="O536" s="25" t="inlineStr">
        <is>
          <t>(none seen)</t>
        </is>
      </c>
      <c r="P536" s="25" t="inlineStr">
        <is>
          <t>Page exists but is noindex until an editor adds a 300+ character local intro (Admin → SEO → Page overrides).</t>
        </is>
      </c>
    </row>
    <row r="537" ht="23.85" customHeight="1" s="22">
      <c r="A537" s="36" t="inlineStr">
        <is>
          <t>https://instasure.ca/super-visa-insurance/british-columbia/abbotsford/</t>
        </is>
      </c>
      <c r="B537" s="36" t="inlineStr">
        <is>
          <t>Product × city</t>
        </is>
      </c>
      <c r="C537" s="36" t="inlineStr">
        <is>
          <t>Super Visa &amp; visitors insurance</t>
        </is>
      </c>
      <c r="D537" s="36" t="inlineStr">
        <is>
          <t>super visa insurance abbotsford</t>
        </is>
      </c>
      <c r="E537" s="36" t="inlineStr">
        <is>
          <t>City</t>
        </is>
      </c>
      <c r="F537" s="36" t="inlineStr">
        <is>
          <t>British Columbia</t>
        </is>
      </c>
      <c r="G537" s="36" t="inlineStr">
        <is>
          <t>Abbotsford</t>
        </is>
      </c>
      <c r="H537" s="37" t="n">
        <v>69</v>
      </c>
      <c r="I537" s="36" t="n">
        <v>20</v>
      </c>
      <c r="J537" s="36" t="inlineStr">
        <is>
          <t>local</t>
        </is>
      </c>
      <c r="K537" s="36" t="inlineStr">
        <is>
          <t>travel-visitors</t>
        </is>
      </c>
      <c r="L537" s="36" t="n">
        <v>4</v>
      </c>
      <c r="M537" s="36" t="inlineStr">
        <is>
          <t>Primary</t>
        </is>
      </c>
      <c r="N537" s="39">
        <f>IFERROR(IF(ISNUMBER(SEARCH(D537,INDEX(Pages!$J$2:$J$829,MATCH(A537,Pages!$B$2:$B$829,0)))),"Yes","No"),"Page not found")</f>
        <v/>
      </c>
      <c r="O537" s="25" t="inlineStr">
        <is>
          <t>(none seen)</t>
        </is>
      </c>
      <c r="P537" s="25" t="inlineStr">
        <is>
          <t>Page exists but is noindex until an editor adds a 300+ character local intro (Admin → SEO → Page overrides).</t>
        </is>
      </c>
    </row>
    <row r="538" ht="23.85" customHeight="1" s="22">
      <c r="A538" s="36" t="inlineStr">
        <is>
          <t>https://instasure.ca/business-insurance/ontario/burlington/</t>
        </is>
      </c>
      <c r="B538" s="36" t="inlineStr">
        <is>
          <t>Product × city</t>
        </is>
      </c>
      <c r="C538" s="36" t="inlineStr">
        <is>
          <t>Business insurance</t>
        </is>
      </c>
      <c r="D538" s="36" t="inlineStr">
        <is>
          <t>business insurance burlington</t>
        </is>
      </c>
      <c r="E538" s="36" t="inlineStr">
        <is>
          <t>City</t>
        </is>
      </c>
      <c r="F538" s="36" t="inlineStr">
        <is>
          <t>Ontario</t>
        </is>
      </c>
      <c r="G538" s="36" t="inlineStr">
        <is>
          <t>Burlington</t>
        </is>
      </c>
      <c r="H538" s="37" t="n">
        <v>68</v>
      </c>
      <c r="I538" s="36" t="n">
        <v>33</v>
      </c>
      <c r="J538" s="36" t="inlineStr">
        <is>
          <t>local</t>
        </is>
      </c>
      <c r="K538" s="36" t="inlineStr">
        <is>
          <t>business-local</t>
        </is>
      </c>
      <c r="L538" s="36" t="n">
        <v>4</v>
      </c>
      <c r="M538" s="36" t="inlineStr">
        <is>
          <t>Primary</t>
        </is>
      </c>
      <c r="N538" s="39">
        <f>IFERROR(IF(ISNUMBER(SEARCH(D538,INDEX(Pages!$J$2:$J$829,MATCH(A538,Pages!$B$2:$B$829,0)))),"Yes","No"),"Page not found")</f>
        <v/>
      </c>
      <c r="O538" s="25" t="inlineStr">
        <is>
          <t>(none seen)</t>
        </is>
      </c>
      <c r="P538" s="25" t="inlineStr">
        <is>
          <t>Page exists but is noindex until an editor adds a 300+ character local intro (Admin → SEO → Page overrides).</t>
        </is>
      </c>
    </row>
    <row r="539" ht="15" customHeight="1" s="22">
      <c r="A539" s="36" t="inlineStr">
        <is>
          <t>https://instasure.ca/condo-insurance/ontario/burlington/</t>
        </is>
      </c>
      <c r="B539" s="36" t="inlineStr">
        <is>
          <t>Product × city</t>
        </is>
      </c>
      <c r="C539" s="36" t="inlineStr">
        <is>
          <t>Condo insurance</t>
        </is>
      </c>
      <c r="D539" s="36" t="inlineStr">
        <is>
          <t>condo insurance burlington</t>
        </is>
      </c>
      <c r="E539" s="36" t="inlineStr">
        <is>
          <t>City</t>
        </is>
      </c>
      <c r="F539" s="36" t="inlineStr">
        <is>
          <t>Ontario</t>
        </is>
      </c>
      <c r="G539" s="36" t="inlineStr">
        <is>
          <t>Burlington</t>
        </is>
      </c>
      <c r="H539" s="37" t="n">
        <v>68</v>
      </c>
      <c r="I539" s="36" t="n">
        <v>40</v>
      </c>
      <c r="J539" s="36" t="inlineStr">
        <is>
          <t>local</t>
        </is>
      </c>
      <c r="K539" s="36" t="inlineStr">
        <is>
          <t>property-local</t>
        </is>
      </c>
      <c r="L539" s="36" t="n">
        <v>4</v>
      </c>
      <c r="M539" s="36" t="inlineStr">
        <is>
          <t>Primary</t>
        </is>
      </c>
      <c r="N539" s="39">
        <f>IFERROR(IF(ISNUMBER(SEARCH(D539,INDEX(Pages!$J$2:$J$829,MATCH(A539,Pages!$B$2:$B$829,0)))),"Yes","No"),"Page not found")</f>
        <v/>
      </c>
      <c r="O539" s="25" t="inlineStr">
        <is>
          <t>(none seen)</t>
        </is>
      </c>
      <c r="P539" s="25" t="n"/>
    </row>
    <row r="540" ht="15" customHeight="1" s="22">
      <c r="A540" s="36" t="inlineStr">
        <is>
          <t>https://instasure.ca/tenant-insurance/new-brunswick/saint-john/</t>
        </is>
      </c>
      <c r="B540" s="36" t="inlineStr">
        <is>
          <t>Product × city</t>
        </is>
      </c>
      <c r="C540" s="36" t="inlineStr">
        <is>
          <t>Tenant insurance</t>
        </is>
      </c>
      <c r="D540" s="36" t="inlineStr">
        <is>
          <t>tenant insurance saint john</t>
        </is>
      </c>
      <c r="E540" s="36" t="inlineStr">
        <is>
          <t>City</t>
        </is>
      </c>
      <c r="F540" s="36" t="inlineStr">
        <is>
          <t>New Brunswick</t>
        </is>
      </c>
      <c r="G540" s="36" t="inlineStr">
        <is>
          <t>Saint John</t>
        </is>
      </c>
      <c r="H540" s="37" t="n">
        <v>68</v>
      </c>
      <c r="I540" s="36" t="n">
        <v>32</v>
      </c>
      <c r="J540" s="36" t="inlineStr">
        <is>
          <t>local</t>
        </is>
      </c>
      <c r="K540" s="36" t="inlineStr">
        <is>
          <t>property-local</t>
        </is>
      </c>
      <c r="L540" s="36" t="n">
        <v>5</v>
      </c>
      <c r="M540" s="36" t="inlineStr">
        <is>
          <t>Primary</t>
        </is>
      </c>
      <c r="N540" s="39">
        <f>IFERROR(IF(ISNUMBER(SEARCH(D540,INDEX(Pages!$J$2:$J$829,MATCH(A540,Pages!$B$2:$B$829,0)))),"Yes","No"),"Page not found")</f>
        <v/>
      </c>
      <c r="O540" s="25" t="inlineStr">
        <is>
          <t>(none seen)</t>
        </is>
      </c>
      <c r="P540" s="25" t="n"/>
    </row>
    <row r="541" ht="15" customHeight="1" s="22">
      <c r="A541" s="36" t="inlineStr">
        <is>
          <t>https://instasure.ca/condo-insurance/saskatchewan/</t>
        </is>
      </c>
      <c r="B541" s="36" t="inlineStr">
        <is>
          <t>Product × province</t>
        </is>
      </c>
      <c r="C541" s="36" t="inlineStr">
        <is>
          <t>Condo insurance</t>
        </is>
      </c>
      <c r="D541" s="36" t="inlineStr">
        <is>
          <t>condo insurance saskatchewan</t>
        </is>
      </c>
      <c r="E541" s="36" t="inlineStr">
        <is>
          <t>Provincial</t>
        </is>
      </c>
      <c r="F541" s="36" t="inlineStr">
        <is>
          <t>Saskatchewan</t>
        </is>
      </c>
      <c r="G541" s="36" t="n"/>
      <c r="H541" s="37" t="n">
        <v>67</v>
      </c>
      <c r="I541" s="36" t="n">
        <v>29</v>
      </c>
      <c r="J541" s="36" t="inlineStr">
        <is>
          <t>commercial</t>
        </is>
      </c>
      <c r="K541" s="36" t="inlineStr">
        <is>
          <t>property-province</t>
        </is>
      </c>
      <c r="L541" s="36" t="n">
        <v>4</v>
      </c>
      <c r="M541" s="36" t="inlineStr">
        <is>
          <t>Primary</t>
        </is>
      </c>
      <c r="N541" s="39">
        <f>IFERROR(IF(ISNUMBER(SEARCH(D541,INDEX(Pages!$J$2:$J$829,MATCH(A541,Pages!$B$2:$B$829,0)))),"Yes","No"),"Page not found")</f>
        <v/>
      </c>
      <c r="O541" s="25" t="inlineStr">
        <is>
          <t>(none seen)</t>
        </is>
      </c>
      <c r="P541" s="25" t="n"/>
    </row>
    <row r="542" ht="15" customHeight="1" s="22">
      <c r="A542" s="36" t="inlineStr">
        <is>
          <t>https://instasure.ca/critical-illness-insurance/alberta/</t>
        </is>
      </c>
      <c r="B542" s="36" t="inlineStr">
        <is>
          <t>Product × province</t>
        </is>
      </c>
      <c r="C542" s="36" t="inlineStr">
        <is>
          <t>Critical illness insurance</t>
        </is>
      </c>
      <c r="D542" s="36" t="inlineStr">
        <is>
          <t>critical illness insurance alberta</t>
        </is>
      </c>
      <c r="E542" s="36" t="inlineStr">
        <is>
          <t>Provincial</t>
        </is>
      </c>
      <c r="F542" s="36" t="inlineStr">
        <is>
          <t>Alberta</t>
        </is>
      </c>
      <c r="G542" s="36" t="n"/>
      <c r="H542" s="37" t="n">
        <v>66</v>
      </c>
      <c r="I542" s="36" t="n">
        <v>29</v>
      </c>
      <c r="J542" s="36" t="inlineStr">
        <is>
          <t>commercial</t>
        </is>
      </c>
      <c r="K542" s="36" t="inlineStr">
        <is>
          <t>living-benefits</t>
        </is>
      </c>
      <c r="L542" s="36" t="n">
        <v>2</v>
      </c>
      <c r="M542" s="36" t="inlineStr">
        <is>
          <t>Primary</t>
        </is>
      </c>
      <c r="N542" s="39">
        <f>IFERROR(IF(ISNUMBER(SEARCH(D542,INDEX(Pages!$J$2:$J$829,MATCH(A542,Pages!$B$2:$B$829,0)))),"Yes","No"),"Page not found")</f>
        <v/>
      </c>
      <c r="O542" s="25" t="inlineStr">
        <is>
          <t>(none seen)</t>
        </is>
      </c>
      <c r="P542" s="25" t="n"/>
    </row>
    <row r="543" ht="15" customHeight="1" s="22">
      <c r="A543" s="36" t="inlineStr">
        <is>
          <t>https://instasure.ca/life-insurance/newfoundland-and-labrador/st-johns/</t>
        </is>
      </c>
      <c r="B543" s="36" t="inlineStr">
        <is>
          <t>Product × city</t>
        </is>
      </c>
      <c r="C543" s="36" t="inlineStr">
        <is>
          <t>Life insurance</t>
        </is>
      </c>
      <c r="D543" s="36" t="inlineStr">
        <is>
          <t>life insurance st johns</t>
        </is>
      </c>
      <c r="E543" s="36" t="inlineStr">
        <is>
          <t>City</t>
        </is>
      </c>
      <c r="F543" s="36" t="inlineStr">
        <is>
          <t>Newfoundland and Labrador</t>
        </is>
      </c>
      <c r="G543" s="36" t="inlineStr">
        <is>
          <t>St. John’s</t>
        </is>
      </c>
      <c r="H543" s="37" t="n">
        <v>66</v>
      </c>
      <c r="I543" s="36" t="n">
        <v>35</v>
      </c>
      <c r="J543" s="36" t="inlineStr">
        <is>
          <t>local</t>
        </is>
      </c>
      <c r="K543" s="36" t="inlineStr">
        <is>
          <t>life-local</t>
        </is>
      </c>
      <c r="L543" s="36" t="n">
        <v>2</v>
      </c>
      <c r="M543" s="36" t="inlineStr">
        <is>
          <t>Primary</t>
        </is>
      </c>
      <c r="N543" s="39">
        <f>IFERROR(IF(ISNUMBER(SEARCH(D543,INDEX(Pages!$J$2:$J$829,MATCH(A543,Pages!$B$2:$B$829,0)))),"Yes","No"),"Page not found")</f>
        <v/>
      </c>
      <c r="O543" s="25" t="inlineStr">
        <is>
          <t>(none seen)</t>
        </is>
      </c>
      <c r="P543" s="25" t="n"/>
    </row>
    <row r="544" ht="23.85" customHeight="1" s="22">
      <c r="A544" s="36" t="inlineStr">
        <is>
          <t>https://instasure.ca/business-insurance/ontario/oshawa/</t>
        </is>
      </c>
      <c r="B544" s="36" t="inlineStr">
        <is>
          <t>Product × city</t>
        </is>
      </c>
      <c r="C544" s="36" t="inlineStr">
        <is>
          <t>Business insurance</t>
        </is>
      </c>
      <c r="D544" s="36" t="inlineStr">
        <is>
          <t>business insurance oshawa</t>
        </is>
      </c>
      <c r="E544" s="36" t="inlineStr">
        <is>
          <t>City</t>
        </is>
      </c>
      <c r="F544" s="36" t="inlineStr">
        <is>
          <t>Ontario</t>
        </is>
      </c>
      <c r="G544" s="36" t="inlineStr">
        <is>
          <t>Oshawa</t>
        </is>
      </c>
      <c r="H544" s="37" t="n">
        <v>65</v>
      </c>
      <c r="I544" s="36" t="n">
        <v>33</v>
      </c>
      <c r="J544" s="36" t="inlineStr">
        <is>
          <t>local</t>
        </is>
      </c>
      <c r="K544" s="36" t="inlineStr">
        <is>
          <t>business-local</t>
        </is>
      </c>
      <c r="L544" s="36" t="n">
        <v>4</v>
      </c>
      <c r="M544" s="36" t="inlineStr">
        <is>
          <t>Primary</t>
        </is>
      </c>
      <c r="N544" s="39">
        <f>IFERROR(IF(ISNUMBER(SEARCH(D544,INDEX(Pages!$J$2:$J$829,MATCH(A544,Pages!$B$2:$B$829,0)))),"Yes","No"),"Page not found")</f>
        <v/>
      </c>
      <c r="O544" s="25" t="inlineStr">
        <is>
          <t>(none seen)</t>
        </is>
      </c>
      <c r="P544" s="25" t="inlineStr">
        <is>
          <t>Page exists but is noindex until an editor adds a 300+ character local intro (Admin → SEO → Page overrides).</t>
        </is>
      </c>
    </row>
    <row r="545" ht="15" customHeight="1" s="22">
      <c r="A545" s="36" t="inlineStr">
        <is>
          <t>https://instasure.ca/condo-insurance/ontario/oshawa/</t>
        </is>
      </c>
      <c r="B545" s="36" t="inlineStr">
        <is>
          <t>Product × city</t>
        </is>
      </c>
      <c r="C545" s="36" t="inlineStr">
        <is>
          <t>Condo insurance</t>
        </is>
      </c>
      <c r="D545" s="36" t="inlineStr">
        <is>
          <t>condo insurance oshawa</t>
        </is>
      </c>
      <c r="E545" s="36" t="inlineStr">
        <is>
          <t>City</t>
        </is>
      </c>
      <c r="F545" s="36" t="inlineStr">
        <is>
          <t>Ontario</t>
        </is>
      </c>
      <c r="G545" s="36" t="inlineStr">
        <is>
          <t>Oshawa</t>
        </is>
      </c>
      <c r="H545" s="37" t="n">
        <v>65</v>
      </c>
      <c r="I545" s="36" t="n">
        <v>40</v>
      </c>
      <c r="J545" s="36" t="inlineStr">
        <is>
          <t>local</t>
        </is>
      </c>
      <c r="K545" s="36" t="inlineStr">
        <is>
          <t>property-local</t>
        </is>
      </c>
      <c r="L545" s="36" t="n">
        <v>4</v>
      </c>
      <c r="M545" s="36" t="inlineStr">
        <is>
          <t>Primary</t>
        </is>
      </c>
      <c r="N545" s="39">
        <f>IFERROR(IF(ISNUMBER(SEARCH(D545,INDEX(Pages!$J$2:$J$829,MATCH(A545,Pages!$B$2:$B$829,0)))),"Yes","No"),"Page not found")</f>
        <v/>
      </c>
      <c r="O545" s="25" t="inlineStr">
        <is>
          <t>(none seen)</t>
        </is>
      </c>
      <c r="P545" s="25" t="n"/>
    </row>
    <row r="546" ht="23.85" customHeight="1" s="22">
      <c r="A546" s="36" t="inlineStr">
        <is>
          <t>https://instasure.ca/life-insurance/ontario/thunder-bay/</t>
        </is>
      </c>
      <c r="B546" s="36" t="inlineStr">
        <is>
          <t>Product × city</t>
        </is>
      </c>
      <c r="C546" s="36" t="inlineStr">
        <is>
          <t>Life insurance</t>
        </is>
      </c>
      <c r="D546" s="36" t="inlineStr">
        <is>
          <t>life insurance thunder bay</t>
        </is>
      </c>
      <c r="E546" s="36" t="inlineStr">
        <is>
          <t>City</t>
        </is>
      </c>
      <c r="F546" s="36" t="inlineStr">
        <is>
          <t>Ontario</t>
        </is>
      </c>
      <c r="G546" s="36" t="inlineStr">
        <is>
          <t>Thunder Bay</t>
        </is>
      </c>
      <c r="H546" s="37" t="n">
        <v>65</v>
      </c>
      <c r="I546" s="36" t="n">
        <v>27</v>
      </c>
      <c r="J546" s="36" t="inlineStr">
        <is>
          <t>local</t>
        </is>
      </c>
      <c r="K546" s="36" t="inlineStr">
        <is>
          <t>life-local</t>
        </is>
      </c>
      <c r="L546" s="36" t="n">
        <v>3</v>
      </c>
      <c r="M546" s="36" t="inlineStr">
        <is>
          <t>Primary</t>
        </is>
      </c>
      <c r="N546" s="39">
        <f>IFERROR(IF(ISNUMBER(SEARCH(D546,INDEX(Pages!$J$2:$J$829,MATCH(A546,Pages!$B$2:$B$829,0)))),"Yes","No"),"Page not found")</f>
        <v/>
      </c>
      <c r="O546" s="25" t="inlineStr">
        <is>
          <t>(none seen)</t>
        </is>
      </c>
      <c r="P546" s="25" t="inlineStr">
        <is>
          <t>Page exists but is noindex until an editor adds a 300+ character local intro (Admin → SEO → Page overrides).</t>
        </is>
      </c>
    </row>
    <row r="547" ht="15" customHeight="1" s="22">
      <c r="A547" s="36" t="inlineStr">
        <is>
          <t>https://instasure.ca/insurance/british-columbia/kelowna/</t>
        </is>
      </c>
      <c r="B547" s="36" t="inlineStr">
        <is>
          <t>Place hub</t>
        </is>
      </c>
      <c r="C547" s="36" t="inlineStr">
        <is>
          <t>Multi-line (place hubs)</t>
        </is>
      </c>
      <c r="D547" s="36" t="inlineStr">
        <is>
          <t>insurance advisor kelowna</t>
        </is>
      </c>
      <c r="E547" s="36" t="inlineStr">
        <is>
          <t>City</t>
        </is>
      </c>
      <c r="F547" s="36" t="inlineStr">
        <is>
          <t>British Columbia</t>
        </is>
      </c>
      <c r="G547" s="36" t="inlineStr">
        <is>
          <t>Kelowna</t>
        </is>
      </c>
      <c r="H547" s="37" t="n">
        <v>64</v>
      </c>
      <c r="I547" s="36" t="n">
        <v>30</v>
      </c>
      <c r="J547" s="36" t="inlineStr">
        <is>
          <t>local</t>
        </is>
      </c>
      <c r="K547" s="36" t="inlineStr">
        <is>
          <t>advisors</t>
        </is>
      </c>
      <c r="L547" s="36" t="n">
        <v>3</v>
      </c>
      <c r="M547" s="36" t="inlineStr">
        <is>
          <t>Primary</t>
        </is>
      </c>
      <c r="N547" s="39">
        <f>IFERROR(IF(ISNUMBER(SEARCH(D547,INDEX(Pages!$J$2:$J$829,MATCH(A547,Pages!$B$2:$B$829,0)))),"Yes","No"),"Page not found")</f>
        <v/>
      </c>
      <c r="O547" s="25" t="inlineStr">
        <is>
          <t>local brokers, thinkinsure, rates.ca (broker pages)</t>
        </is>
      </c>
      <c r="P547" s="25" t="inlineStr">
        <is>
          <t>City hub. Add a Google Business Profile only where an advisor really works from that city.</t>
        </is>
      </c>
    </row>
    <row r="548" ht="15" customHeight="1" s="22">
      <c r="A548" s="36" t="inlineStr">
        <is>
          <t>https://instasure.ca/tenant-insurance/quebec/gatineau/</t>
        </is>
      </c>
      <c r="B548" s="36" t="inlineStr">
        <is>
          <t>Product × city</t>
        </is>
      </c>
      <c r="C548" s="36" t="inlineStr">
        <is>
          <t>Tenant insurance</t>
        </is>
      </c>
      <c r="D548" s="36" t="inlineStr">
        <is>
          <t>tenant insurance gatineau</t>
        </is>
      </c>
      <c r="E548" s="36" t="inlineStr">
        <is>
          <t>City</t>
        </is>
      </c>
      <c r="F548" s="36" t="inlineStr">
        <is>
          <t>Quebec</t>
        </is>
      </c>
      <c r="G548" s="36" t="inlineStr">
        <is>
          <t>Gatineau</t>
        </is>
      </c>
      <c r="H548" s="37" t="n">
        <v>64</v>
      </c>
      <c r="I548" s="36" t="n">
        <v>32</v>
      </c>
      <c r="J548" s="36" t="inlineStr">
        <is>
          <t>local</t>
        </is>
      </c>
      <c r="K548" s="36" t="inlineStr">
        <is>
          <t>property-local</t>
        </is>
      </c>
      <c r="L548" s="36" t="n">
        <v>5</v>
      </c>
      <c r="M548" s="36" t="inlineStr">
        <is>
          <t>Primary</t>
        </is>
      </c>
      <c r="N548" s="39">
        <f>IFERROR(IF(ISNUMBER(SEARCH(D548,INDEX(Pages!$J$2:$J$829,MATCH(A548,Pages!$B$2:$B$829,0)))),"Yes","No"),"Page not found")</f>
        <v/>
      </c>
      <c r="O548" s="25" t="inlineStr">
        <is>
          <t>(none seen)</t>
        </is>
      </c>
      <c r="P548" s="25" t="inlineStr">
        <is>
          <t>Quebec waitlist until AMF registration.</t>
        </is>
      </c>
    </row>
    <row r="549" ht="15" customHeight="1" s="22">
      <c r="A549" s="36" t="inlineStr">
        <is>
          <t>https://instasure.ca/tenant-insurance/new-brunswick/fredericton/</t>
        </is>
      </c>
      <c r="B549" s="36" t="inlineStr">
        <is>
          <t>Product × city</t>
        </is>
      </c>
      <c r="C549" s="36" t="inlineStr">
        <is>
          <t>Tenant insurance</t>
        </is>
      </c>
      <c r="D549" s="36" t="inlineStr">
        <is>
          <t>tenant insurance fredericton</t>
        </is>
      </c>
      <c r="E549" s="36" t="inlineStr">
        <is>
          <t>City</t>
        </is>
      </c>
      <c r="F549" s="36" t="inlineStr">
        <is>
          <t>New Brunswick</t>
        </is>
      </c>
      <c r="G549" s="36" t="inlineStr">
        <is>
          <t>Fredericton</t>
        </is>
      </c>
      <c r="H549" s="37" t="n">
        <v>63</v>
      </c>
      <c r="I549" s="36" t="n">
        <v>32</v>
      </c>
      <c r="J549" s="36" t="inlineStr">
        <is>
          <t>local</t>
        </is>
      </c>
      <c r="K549" s="36" t="inlineStr">
        <is>
          <t>property-local</t>
        </is>
      </c>
      <c r="L549" s="36" t="n">
        <v>5</v>
      </c>
      <c r="M549" s="36" t="inlineStr">
        <is>
          <t>Primary</t>
        </is>
      </c>
      <c r="N549" s="39">
        <f>IFERROR(IF(ISNUMBER(SEARCH(D549,INDEX(Pages!$J$2:$J$829,MATCH(A549,Pages!$B$2:$B$829,0)))),"Yes","No"),"Page not found")</f>
        <v/>
      </c>
      <c r="O549" s="25" t="inlineStr">
        <is>
          <t>(none seen)</t>
        </is>
      </c>
      <c r="P549" s="25" t="n"/>
    </row>
    <row r="550" ht="23.85" customHeight="1" s="22">
      <c r="A550" s="36" t="inlineStr">
        <is>
          <t>https://instasure.ca/business-insurance/ontario/sudbury/</t>
        </is>
      </c>
      <c r="B550" s="36" t="inlineStr">
        <is>
          <t>Product × city</t>
        </is>
      </c>
      <c r="C550" s="36" t="inlineStr">
        <is>
          <t>Business insurance</t>
        </is>
      </c>
      <c r="D550" s="36" t="inlineStr">
        <is>
          <t>business insurance sudbury</t>
        </is>
      </c>
      <c r="E550" s="36" t="inlineStr">
        <is>
          <t>City</t>
        </is>
      </c>
      <c r="F550" s="36" t="inlineStr">
        <is>
          <t>Ontario</t>
        </is>
      </c>
      <c r="G550" s="36" t="inlineStr">
        <is>
          <t>Sudbury</t>
        </is>
      </c>
      <c r="H550" s="37" t="n">
        <v>62</v>
      </c>
      <c r="I550" s="36" t="n">
        <v>25</v>
      </c>
      <c r="J550" s="36" t="inlineStr">
        <is>
          <t>local</t>
        </is>
      </c>
      <c r="K550" s="36" t="inlineStr">
        <is>
          <t>business-local</t>
        </is>
      </c>
      <c r="L550" s="36" t="n">
        <v>4</v>
      </c>
      <c r="M550" s="36" t="inlineStr">
        <is>
          <t>Primary</t>
        </is>
      </c>
      <c r="N550" s="39">
        <f>IFERROR(IF(ISNUMBER(SEARCH(D550,INDEX(Pages!$J$2:$J$829,MATCH(A550,Pages!$B$2:$B$829,0)))),"Yes","No"),"Page not found")</f>
        <v/>
      </c>
      <c r="O550" s="25" t="inlineStr">
        <is>
          <t>(none seen)</t>
        </is>
      </c>
      <c r="P550" s="25" t="inlineStr">
        <is>
          <t>Page exists but is noindex until an editor adds a 300+ character local intro (Admin → SEO → Page overrides).</t>
        </is>
      </c>
    </row>
    <row r="551" ht="23.85" customHeight="1" s="22">
      <c r="A551" s="36" t="inlineStr">
        <is>
          <t>https://instasure.ca/condo-insurance/ontario/sudbury/</t>
        </is>
      </c>
      <c r="B551" s="36" t="inlineStr">
        <is>
          <t>Product × city</t>
        </is>
      </c>
      <c r="C551" s="36" t="inlineStr">
        <is>
          <t>Condo insurance</t>
        </is>
      </c>
      <c r="D551" s="36" t="inlineStr">
        <is>
          <t>condo insurance sudbury</t>
        </is>
      </c>
      <c r="E551" s="36" t="inlineStr">
        <is>
          <t>City</t>
        </is>
      </c>
      <c r="F551" s="36" t="inlineStr">
        <is>
          <t>Ontario</t>
        </is>
      </c>
      <c r="G551" s="36" t="inlineStr">
        <is>
          <t>Sudbury</t>
        </is>
      </c>
      <c r="H551" s="37" t="n">
        <v>62</v>
      </c>
      <c r="I551" s="36" t="n">
        <v>32</v>
      </c>
      <c r="J551" s="36" t="inlineStr">
        <is>
          <t>local</t>
        </is>
      </c>
      <c r="K551" s="36" t="inlineStr">
        <is>
          <t>property-local</t>
        </is>
      </c>
      <c r="L551" s="36" t="n">
        <v>5</v>
      </c>
      <c r="M551" s="36" t="inlineStr">
        <is>
          <t>Primary</t>
        </is>
      </c>
      <c r="N551" s="39">
        <f>IFERROR(IF(ISNUMBER(SEARCH(D551,INDEX(Pages!$J$2:$J$829,MATCH(A551,Pages!$B$2:$B$829,0)))),"Yes","No"),"Page not found")</f>
        <v/>
      </c>
      <c r="O551" s="25" t="inlineStr">
        <is>
          <t>(none seen)</t>
        </is>
      </c>
      <c r="P551" s="25" t="inlineStr">
        <is>
          <t>Page exists but is noindex until an editor adds a 300+ character local intro (Admin → SEO → Page overrides).</t>
        </is>
      </c>
    </row>
    <row r="552" ht="15" customHeight="1" s="22">
      <c r="A552" s="36" t="inlineStr">
        <is>
          <t>https://instasure.ca/home-insurance/prince-edward-island/charlottetown/</t>
        </is>
      </c>
      <c r="B552" s="36" t="inlineStr">
        <is>
          <t>Product × city</t>
        </is>
      </c>
      <c r="C552" s="36" t="inlineStr">
        <is>
          <t>Home insurance</t>
        </is>
      </c>
      <c r="D552" s="36" t="inlineStr">
        <is>
          <t>home insurance charlottetown</t>
        </is>
      </c>
      <c r="E552" s="36" t="inlineStr">
        <is>
          <t>City</t>
        </is>
      </c>
      <c r="F552" s="36" t="inlineStr">
        <is>
          <t>Prince Edward Island</t>
        </is>
      </c>
      <c r="G552" s="36" t="inlineStr">
        <is>
          <t>Charlottetown</t>
        </is>
      </c>
      <c r="H552" s="37" t="n">
        <v>62</v>
      </c>
      <c r="I552" s="36" t="n">
        <v>40</v>
      </c>
      <c r="J552" s="36" t="inlineStr">
        <is>
          <t>local</t>
        </is>
      </c>
      <c r="K552" s="36" t="inlineStr">
        <is>
          <t>property-local</t>
        </is>
      </c>
      <c r="L552" s="36" t="n">
        <v>4</v>
      </c>
      <c r="M552" s="36" t="inlineStr">
        <is>
          <t>Primary</t>
        </is>
      </c>
      <c r="N552" s="39">
        <f>IFERROR(IF(ISNUMBER(SEARCH(D552,INDEX(Pages!$J$2:$J$829,MATCH(A552,Pages!$B$2:$B$829,0)))),"Yes","No"),"Page not found")</f>
        <v/>
      </c>
      <c r="O552" s="25" t="inlineStr">
        <is>
          <t>(none seen)</t>
        </is>
      </c>
      <c r="P552" s="25" t="n"/>
    </row>
    <row r="553" ht="23.85" customHeight="1" s="22">
      <c r="A553" s="36" t="inlineStr">
        <is>
          <t>https://instasure.ca/home-insurance/quebec/sherbrooke/</t>
        </is>
      </c>
      <c r="B553" s="36" t="inlineStr">
        <is>
          <t>Product × city</t>
        </is>
      </c>
      <c r="C553" s="36" t="inlineStr">
        <is>
          <t>Home insurance</t>
        </is>
      </c>
      <c r="D553" s="36" t="inlineStr">
        <is>
          <t>home insurance sherbrooke</t>
        </is>
      </c>
      <c r="E553" s="36" t="inlineStr">
        <is>
          <t>City</t>
        </is>
      </c>
      <c r="F553" s="36" t="inlineStr">
        <is>
          <t>Quebec</t>
        </is>
      </c>
      <c r="G553" s="36" t="inlineStr">
        <is>
          <t>Sherbrooke</t>
        </is>
      </c>
      <c r="H553" s="37" t="n">
        <v>62</v>
      </c>
      <c r="I553" s="36" t="n">
        <v>32</v>
      </c>
      <c r="J553" s="36" t="inlineStr">
        <is>
          <t>local</t>
        </is>
      </c>
      <c r="K553" s="36" t="inlineStr">
        <is>
          <t>property-local</t>
        </is>
      </c>
      <c r="L553" s="36" t="n">
        <v>5</v>
      </c>
      <c r="M553" s="36" t="inlineStr">
        <is>
          <t>Primary</t>
        </is>
      </c>
      <c r="N553" s="39">
        <f>IFERROR(IF(ISNUMBER(SEARCH(D553,INDEX(Pages!$J$2:$J$829,MATCH(A553,Pages!$B$2:$B$829,0)))),"Yes","No"),"Page not found")</f>
        <v/>
      </c>
      <c r="O553" s="25" t="inlineStr">
        <is>
          <t>(none seen)</t>
        </is>
      </c>
      <c r="P553" s="25" t="inlineStr">
        <is>
          <t>Page exists but is noindex until an editor adds a 300+ character local intro (Admin → SEO → Page overrides). Quebec waitlist until AMF registration.</t>
        </is>
      </c>
    </row>
    <row r="554" ht="23.85" customHeight="1" s="22">
      <c r="A554" s="36" t="inlineStr">
        <is>
          <t>https://instasure.ca/life-insurance/alberta/red-deer/</t>
        </is>
      </c>
      <c r="B554" s="36" t="inlineStr">
        <is>
          <t>Product × city</t>
        </is>
      </c>
      <c r="C554" s="36" t="inlineStr">
        <is>
          <t>Life insurance</t>
        </is>
      </c>
      <c r="D554" s="36" t="inlineStr">
        <is>
          <t>life insurance red deer</t>
        </is>
      </c>
      <c r="E554" s="36" t="inlineStr">
        <is>
          <t>City</t>
        </is>
      </c>
      <c r="F554" s="36" t="inlineStr">
        <is>
          <t>Alberta</t>
        </is>
      </c>
      <c r="G554" s="36" t="inlineStr">
        <is>
          <t>Red Deer</t>
        </is>
      </c>
      <c r="H554" s="37" t="n">
        <v>61</v>
      </c>
      <c r="I554" s="36" t="n">
        <v>27</v>
      </c>
      <c r="J554" s="36" t="inlineStr">
        <is>
          <t>local</t>
        </is>
      </c>
      <c r="K554" s="36" t="inlineStr">
        <is>
          <t>life-local</t>
        </is>
      </c>
      <c r="L554" s="36" t="n">
        <v>3</v>
      </c>
      <c r="M554" s="36" t="inlineStr">
        <is>
          <t>Primary</t>
        </is>
      </c>
      <c r="N554" s="39">
        <f>IFERROR(IF(ISNUMBER(SEARCH(D554,INDEX(Pages!$J$2:$J$829,MATCH(A554,Pages!$B$2:$B$829,0)))),"Yes","No"),"Page not found")</f>
        <v/>
      </c>
      <c r="O554" s="25" t="inlineStr">
        <is>
          <t>(none seen)</t>
        </is>
      </c>
      <c r="P554" s="25" t="inlineStr">
        <is>
          <t>Page exists but is noindex until an editor adds a 300+ character local intro (Admin → SEO → Page overrides).</t>
        </is>
      </c>
    </row>
    <row r="555" ht="23.85" customHeight="1" s="22">
      <c r="A555" s="36" t="inlineStr">
        <is>
          <t>https://instasure.ca/life-insurance/ontario/pickering/</t>
        </is>
      </c>
      <c r="B555" s="36" t="inlineStr">
        <is>
          <t>Product × city</t>
        </is>
      </c>
      <c r="C555" s="36" t="inlineStr">
        <is>
          <t>Life insurance</t>
        </is>
      </c>
      <c r="D555" s="36" t="inlineStr">
        <is>
          <t>life insurance pickering</t>
        </is>
      </c>
      <c r="E555" s="36" t="inlineStr">
        <is>
          <t>City</t>
        </is>
      </c>
      <c r="F555" s="36" t="inlineStr">
        <is>
          <t>Ontario</t>
        </is>
      </c>
      <c r="G555" s="36" t="inlineStr">
        <is>
          <t>Pickering</t>
        </is>
      </c>
      <c r="H555" s="37" t="n">
        <v>61</v>
      </c>
      <c r="I555" s="36" t="n">
        <v>27</v>
      </c>
      <c r="J555" s="36" t="inlineStr">
        <is>
          <t>local</t>
        </is>
      </c>
      <c r="K555" s="36" t="inlineStr">
        <is>
          <t>life-local</t>
        </is>
      </c>
      <c r="L555" s="36" t="n">
        <v>3</v>
      </c>
      <c r="M555" s="36" t="inlineStr">
        <is>
          <t>Primary</t>
        </is>
      </c>
      <c r="N555" s="39">
        <f>IFERROR(IF(ISNUMBER(SEARCH(D555,INDEX(Pages!$J$2:$J$829,MATCH(A555,Pages!$B$2:$B$829,0)))),"Yes","No"),"Page not found")</f>
        <v/>
      </c>
      <c r="O555" s="25" t="inlineStr">
        <is>
          <t>(none seen)</t>
        </is>
      </c>
      <c r="P555" s="25" t="inlineStr">
        <is>
          <t>Page exists but is noindex until an editor adds a 300+ character local intro (Admin → SEO → Page overrides).</t>
        </is>
      </c>
    </row>
    <row r="556" ht="15" customHeight="1" s="22">
      <c r="A556" s="36" t="inlineStr">
        <is>
          <t>https://instasure.ca/health-dental-insurance/newfoundland-and-labrador/</t>
        </is>
      </c>
      <c r="B556" s="36" t="inlineStr">
        <is>
          <t>Product × province</t>
        </is>
      </c>
      <c r="C556" s="36" t="inlineStr">
        <is>
          <t>Health &amp; dental insurance</t>
        </is>
      </c>
      <c r="D556" s="36" t="inlineStr">
        <is>
          <t>health insurance newfoundland</t>
        </is>
      </c>
      <c r="E556" s="36" t="inlineStr">
        <is>
          <t>Provincial</t>
        </is>
      </c>
      <c r="F556" s="36" t="inlineStr">
        <is>
          <t>Newfoundland and Labrador</t>
        </is>
      </c>
      <c r="G556" s="36" t="n"/>
      <c r="H556" s="37" t="n">
        <v>60</v>
      </c>
      <c r="I556" s="36" t="n">
        <v>39</v>
      </c>
      <c r="J556" s="36" t="inlineStr">
        <is>
          <t>commercial</t>
        </is>
      </c>
      <c r="K556" s="36" t="inlineStr">
        <is>
          <t>health-province</t>
        </is>
      </c>
      <c r="L556" s="36" t="n">
        <v>4</v>
      </c>
      <c r="M556" s="36" t="inlineStr">
        <is>
          <t>Primary</t>
        </is>
      </c>
      <c r="N556" s="39">
        <f>IFERROR(IF(ISNUMBER(SEARCH(D556,INDEX(Pages!$J$2:$J$829,MATCH(A556,Pages!$B$2:$B$829,0)))),"Yes","No"),"Page not found")</f>
        <v/>
      </c>
      <c r="O556" s="25" t="inlineStr">
        <is>
          <t>(none seen)</t>
        </is>
      </c>
      <c r="P556" s="25" t="n"/>
    </row>
    <row r="557" ht="23.85" customHeight="1" s="22">
      <c r="A557" s="36" t="inlineStr">
        <is>
          <t>https://instasure.ca/life-insurance/alberta/lethbridge/</t>
        </is>
      </c>
      <c r="B557" s="36" t="inlineStr">
        <is>
          <t>Product × city</t>
        </is>
      </c>
      <c r="C557" s="36" t="inlineStr">
        <is>
          <t>Life insurance</t>
        </is>
      </c>
      <c r="D557" s="36" t="inlineStr">
        <is>
          <t>life insurance lethbridge</t>
        </is>
      </c>
      <c r="E557" s="36" t="inlineStr">
        <is>
          <t>City</t>
        </is>
      </c>
      <c r="F557" s="36" t="inlineStr">
        <is>
          <t>Alberta</t>
        </is>
      </c>
      <c r="G557" s="36" t="inlineStr">
        <is>
          <t>Lethbridge</t>
        </is>
      </c>
      <c r="H557" s="37" t="n">
        <v>60</v>
      </c>
      <c r="I557" s="36" t="n">
        <v>27</v>
      </c>
      <c r="J557" s="36" t="inlineStr">
        <is>
          <t>local</t>
        </is>
      </c>
      <c r="K557" s="36" t="inlineStr">
        <is>
          <t>life-local</t>
        </is>
      </c>
      <c r="L557" s="36" t="n">
        <v>3</v>
      </c>
      <c r="M557" s="36" t="inlineStr">
        <is>
          <t>Primary</t>
        </is>
      </c>
      <c r="N557" s="39">
        <f>IFERROR(IF(ISNUMBER(SEARCH(D557,INDEX(Pages!$J$2:$J$829,MATCH(A557,Pages!$B$2:$B$829,0)))),"Yes","No"),"Page not found")</f>
        <v/>
      </c>
      <c r="O557" s="25" t="inlineStr">
        <is>
          <t>(none seen)</t>
        </is>
      </c>
      <c r="P557" s="25" t="inlineStr">
        <is>
          <t>Page exists but is noindex until an editor adds a 300+ character local intro (Admin → SEO → Page overrides).</t>
        </is>
      </c>
    </row>
    <row r="558" ht="15" customHeight="1" s="22">
      <c r="A558" s="36" t="inlineStr">
        <is>
          <t>https://instasure.ca/life-insurance/new-brunswick/</t>
        </is>
      </c>
      <c r="B558" s="36" t="inlineStr">
        <is>
          <t>Product × province</t>
        </is>
      </c>
      <c r="C558" s="36" t="inlineStr">
        <is>
          <t>Life insurance</t>
        </is>
      </c>
      <c r="D558" s="36" t="inlineStr">
        <is>
          <t>life insurance new brunswick</t>
        </is>
      </c>
      <c r="E558" s="36" t="inlineStr">
        <is>
          <t>Provincial</t>
        </is>
      </c>
      <c r="F558" s="36" t="inlineStr">
        <is>
          <t>New Brunswick</t>
        </is>
      </c>
      <c r="G558" s="36" t="n"/>
      <c r="H558" s="37" t="n">
        <v>60</v>
      </c>
      <c r="I558" s="36" t="n">
        <v>34</v>
      </c>
      <c r="J558" s="36" t="inlineStr">
        <is>
          <t>commercial</t>
        </is>
      </c>
      <c r="K558" s="36" t="inlineStr">
        <is>
          <t>life-province</t>
        </is>
      </c>
      <c r="L558" s="36" t="n">
        <v>2</v>
      </c>
      <c r="M558" s="36" t="inlineStr">
        <is>
          <t>Primary</t>
        </is>
      </c>
      <c r="N558" s="39">
        <f>IFERROR(IF(ISNUMBER(SEARCH(D558,INDEX(Pages!$J$2:$J$829,MATCH(A558,Pages!$B$2:$B$829,0)))),"Yes","No"),"Page not found")</f>
        <v/>
      </c>
      <c r="O558" s="25" t="inlineStr">
        <is>
          <t>(none seen)</t>
        </is>
      </c>
      <c r="P558" s="25" t="n"/>
    </row>
    <row r="559" ht="15" customHeight="1" s="22">
      <c r="A559" s="36" t="inlineStr">
        <is>
          <t>https://instasure.ca/life-insurance/quebec/laval/</t>
        </is>
      </c>
      <c r="B559" s="36" t="inlineStr">
        <is>
          <t>Product × city</t>
        </is>
      </c>
      <c r="C559" s="36" t="inlineStr">
        <is>
          <t>Life insurance</t>
        </is>
      </c>
      <c r="D559" s="36" t="inlineStr">
        <is>
          <t>life insurance laval</t>
        </is>
      </c>
      <c r="E559" s="36" t="inlineStr">
        <is>
          <t>City</t>
        </is>
      </c>
      <c r="F559" s="36" t="inlineStr">
        <is>
          <t>Quebec</t>
        </is>
      </c>
      <c r="G559" s="36" t="inlineStr">
        <is>
          <t>Laval</t>
        </is>
      </c>
      <c r="H559" s="37" t="n">
        <v>60</v>
      </c>
      <c r="I559" s="36" t="n">
        <v>35</v>
      </c>
      <c r="J559" s="36" t="inlineStr">
        <is>
          <t>local</t>
        </is>
      </c>
      <c r="K559" s="36" t="inlineStr">
        <is>
          <t>life-local</t>
        </is>
      </c>
      <c r="L559" s="36" t="n">
        <v>4</v>
      </c>
      <c r="M559" s="36" t="inlineStr">
        <is>
          <t>Primary</t>
        </is>
      </c>
      <c r="N559" s="39">
        <f>IFERROR(IF(ISNUMBER(SEARCH(D559,INDEX(Pages!$J$2:$J$829,MATCH(A559,Pages!$B$2:$B$829,0)))),"Yes","No"),"Page not found")</f>
        <v/>
      </c>
      <c r="O559" s="25" t="inlineStr">
        <is>
          <t>(none seen)</t>
        </is>
      </c>
      <c r="P559" s="25" t="inlineStr">
        <is>
          <t>Quebec waitlist until AMF registration.</t>
        </is>
      </c>
    </row>
    <row r="560" ht="15" customHeight="1" s="22">
      <c r="A560" s="36" t="inlineStr">
        <is>
          <t>https://instasure.ca/mortgage-life-insurance/british-columbia/</t>
        </is>
      </c>
      <c r="B560" s="36" t="inlineStr">
        <is>
          <t>Product × province</t>
        </is>
      </c>
      <c r="C560" s="36" t="inlineStr">
        <is>
          <t>Mortgage protection</t>
        </is>
      </c>
      <c r="D560" s="36" t="inlineStr">
        <is>
          <t>mortgage life insurance bc</t>
        </is>
      </c>
      <c r="E560" s="36" t="inlineStr">
        <is>
          <t>Provincial</t>
        </is>
      </c>
      <c r="F560" s="36" t="inlineStr">
        <is>
          <t>British Columbia</t>
        </is>
      </c>
      <c r="G560" s="36" t="n"/>
      <c r="H560" s="37" t="n">
        <v>60</v>
      </c>
      <c r="I560" s="36" t="n">
        <v>29</v>
      </c>
      <c r="J560" s="36" t="inlineStr">
        <is>
          <t>commercial</t>
        </is>
      </c>
      <c r="K560" s="36" t="inlineStr">
        <is>
          <t>life-mortgage</t>
        </is>
      </c>
      <c r="L560" s="36" t="n">
        <v>3</v>
      </c>
      <c r="M560" s="36" t="inlineStr">
        <is>
          <t>Primary</t>
        </is>
      </c>
      <c r="N560" s="39">
        <f>IFERROR(IF(ISNUMBER(SEARCH(D560,INDEX(Pages!$J$2:$J$829,MATCH(A560,Pages!$B$2:$B$829,0)))),"Yes","No"),"Page not found")</f>
        <v/>
      </c>
      <c r="O560" s="25" t="inlineStr">
        <is>
          <t>(none seen)</t>
        </is>
      </c>
      <c r="P560" s="25" t="n"/>
    </row>
    <row r="561" ht="15" customHeight="1" s="22">
      <c r="A561" s="36" t="inlineStr">
        <is>
          <t>https://instasure.ca/super-visa-insurance/british-columbia/burnaby/</t>
        </is>
      </c>
      <c r="B561" s="36" t="inlineStr">
        <is>
          <t>Product × city</t>
        </is>
      </c>
      <c r="C561" s="36" t="inlineStr">
        <is>
          <t>Super Visa &amp; visitors insurance</t>
        </is>
      </c>
      <c r="D561" s="36" t="inlineStr">
        <is>
          <t>super visa insurance burnaby</t>
        </is>
      </c>
      <c r="E561" s="36" t="inlineStr">
        <is>
          <t>City</t>
        </is>
      </c>
      <c r="F561" s="36" t="inlineStr">
        <is>
          <t>British Columbia</t>
        </is>
      </c>
      <c r="G561" s="36" t="inlineStr">
        <is>
          <t>Burnaby</t>
        </is>
      </c>
      <c r="H561" s="37" t="n">
        <v>60</v>
      </c>
      <c r="I561" s="36" t="n">
        <v>28</v>
      </c>
      <c r="J561" s="36" t="inlineStr">
        <is>
          <t>local</t>
        </is>
      </c>
      <c r="K561" s="36" t="inlineStr">
        <is>
          <t>travel-visitors</t>
        </is>
      </c>
      <c r="L561" s="36" t="n">
        <v>4</v>
      </c>
      <c r="M561" s="36" t="inlineStr">
        <is>
          <t>Primary</t>
        </is>
      </c>
      <c r="N561" s="39">
        <f>IFERROR(IF(ISNUMBER(SEARCH(D561,INDEX(Pages!$J$2:$J$829,MATCH(A561,Pages!$B$2:$B$829,0)))),"Yes","No"),"Page not found")</f>
        <v/>
      </c>
      <c r="O561" s="25" t="inlineStr">
        <is>
          <t>(none seen)</t>
        </is>
      </c>
      <c r="P561" s="25" t="n"/>
    </row>
    <row r="562" ht="23.85" customHeight="1" s="22">
      <c r="A562" s="36" t="inlineStr">
        <is>
          <t>https://instasure.ca/super-visa-insurance/british-columbia/richmond/</t>
        </is>
      </c>
      <c r="B562" s="36" t="inlineStr">
        <is>
          <t>Product × city</t>
        </is>
      </c>
      <c r="C562" s="36" t="inlineStr">
        <is>
          <t>Super Visa &amp; visitors insurance</t>
        </is>
      </c>
      <c r="D562" s="36" t="inlineStr">
        <is>
          <t>super visa insurance richmond bc</t>
        </is>
      </c>
      <c r="E562" s="36" t="inlineStr">
        <is>
          <t>City</t>
        </is>
      </c>
      <c r="F562" s="36" t="inlineStr">
        <is>
          <t>British Columbia</t>
        </is>
      </c>
      <c r="G562" s="36" t="inlineStr">
        <is>
          <t>Richmond</t>
        </is>
      </c>
      <c r="H562" s="37" t="n">
        <v>60</v>
      </c>
      <c r="I562" s="36" t="n">
        <v>20</v>
      </c>
      <c r="J562" s="36" t="inlineStr">
        <is>
          <t>local</t>
        </is>
      </c>
      <c r="K562" s="36" t="inlineStr">
        <is>
          <t>travel-visitors</t>
        </is>
      </c>
      <c r="L562" s="36" t="n">
        <v>4</v>
      </c>
      <c r="M562" s="36" t="inlineStr">
        <is>
          <t>Primary</t>
        </is>
      </c>
      <c r="N562" s="39">
        <f>IFERROR(IF(ISNUMBER(SEARCH(D562,INDEX(Pages!$J$2:$J$829,MATCH(A562,Pages!$B$2:$B$829,0)))),"Yes","No"),"Page not found")</f>
        <v/>
      </c>
      <c r="O562" s="25" t="inlineStr">
        <is>
          <t>(none seen)</t>
        </is>
      </c>
      <c r="P562" s="25" t="inlineStr">
        <is>
          <t>Page exists but is noindex until an editor adds a 300+ character local intro (Admin → SEO → Page overrides).</t>
        </is>
      </c>
    </row>
    <row r="563" ht="15" customHeight="1" s="22">
      <c r="A563" s="36" t="inlineStr">
        <is>
          <t>https://instasure.ca/super-visa-insurance/manitoba/</t>
        </is>
      </c>
      <c r="B563" s="36" t="inlineStr">
        <is>
          <t>Product × province</t>
        </is>
      </c>
      <c r="C563" s="36" t="inlineStr">
        <is>
          <t>Super Visa &amp; visitors insurance</t>
        </is>
      </c>
      <c r="D563" s="36" t="inlineStr">
        <is>
          <t>super visa insurance manitoba</t>
        </is>
      </c>
      <c r="E563" s="36" t="inlineStr">
        <is>
          <t>Provincial</t>
        </is>
      </c>
      <c r="F563" s="36" t="inlineStr">
        <is>
          <t>Manitoba</t>
        </is>
      </c>
      <c r="G563" s="36" t="n"/>
      <c r="H563" s="37" t="n">
        <v>59</v>
      </c>
      <c r="I563" s="36" t="n">
        <v>24</v>
      </c>
      <c r="J563" s="36" t="inlineStr">
        <is>
          <t>commercial</t>
        </is>
      </c>
      <c r="K563" s="36" t="inlineStr">
        <is>
          <t>travel-visitors</t>
        </is>
      </c>
      <c r="L563" s="36" t="n">
        <v>4</v>
      </c>
      <c r="M563" s="36" t="inlineStr">
        <is>
          <t>Primary</t>
        </is>
      </c>
      <c r="N563" s="39">
        <f>IFERROR(IF(ISNUMBER(SEARCH(D563,INDEX(Pages!$J$2:$J$829,MATCH(A563,Pages!$B$2:$B$829,0)))),"Yes","No"),"Page not found")</f>
        <v/>
      </c>
      <c r="O563" s="25" t="inlineStr">
        <is>
          <t>(none seen)</t>
        </is>
      </c>
      <c r="P563" s="25" t="inlineStr">
        <is>
          <t>Province page targets super visa buyers sponsoring parents locally.</t>
        </is>
      </c>
    </row>
    <row r="564" ht="23.85" customHeight="1" s="22">
      <c r="A564" s="36" t="inlineStr">
        <is>
          <t>https://instasure.ca/business-insurance/british-columbia/abbotsford/</t>
        </is>
      </c>
      <c r="B564" s="36" t="inlineStr">
        <is>
          <t>Product × city</t>
        </is>
      </c>
      <c r="C564" s="36" t="inlineStr">
        <is>
          <t>Business insurance</t>
        </is>
      </c>
      <c r="D564" s="36" t="inlineStr">
        <is>
          <t>business insurance abbotsford</t>
        </is>
      </c>
      <c r="E564" s="36" t="inlineStr">
        <is>
          <t>City</t>
        </is>
      </c>
      <c r="F564" s="36" t="inlineStr">
        <is>
          <t>British Columbia</t>
        </is>
      </c>
      <c r="G564" s="36" t="inlineStr">
        <is>
          <t>Abbotsford</t>
        </is>
      </c>
      <c r="H564" s="37" t="n">
        <v>58</v>
      </c>
      <c r="I564" s="36" t="n">
        <v>25</v>
      </c>
      <c r="J564" s="36" t="inlineStr">
        <is>
          <t>local</t>
        </is>
      </c>
      <c r="K564" s="36" t="inlineStr">
        <is>
          <t>business-local</t>
        </is>
      </c>
      <c r="L564" s="36" t="n">
        <v>4</v>
      </c>
      <c r="M564" s="36" t="inlineStr">
        <is>
          <t>Primary</t>
        </is>
      </c>
      <c r="N564" s="39">
        <f>IFERROR(IF(ISNUMBER(SEARCH(D564,INDEX(Pages!$J$2:$J$829,MATCH(A564,Pages!$B$2:$B$829,0)))),"Yes","No"),"Page not found")</f>
        <v/>
      </c>
      <c r="O564" s="25" t="inlineStr">
        <is>
          <t>(none seen)</t>
        </is>
      </c>
      <c r="P564" s="25" t="inlineStr">
        <is>
          <t>Page exists but is noindex until an editor adds a 300+ character local intro (Admin → SEO → Page overrides).</t>
        </is>
      </c>
    </row>
    <row r="565" ht="15" customHeight="1" s="22">
      <c r="A565" s="36" t="inlineStr">
        <is>
          <t>https://instasure.ca/condo-insurance/british-columbia/abbotsford/</t>
        </is>
      </c>
      <c r="B565" s="36" t="inlineStr">
        <is>
          <t>Product × city</t>
        </is>
      </c>
      <c r="C565" s="36" t="inlineStr">
        <is>
          <t>Condo insurance</t>
        </is>
      </c>
      <c r="D565" s="36" t="inlineStr">
        <is>
          <t>condo insurance abbotsford</t>
        </is>
      </c>
      <c r="E565" s="36" t="inlineStr">
        <is>
          <t>City</t>
        </is>
      </c>
      <c r="F565" s="36" t="inlineStr">
        <is>
          <t>British Columbia</t>
        </is>
      </c>
      <c r="G565" s="36" t="inlineStr">
        <is>
          <t>Abbotsford</t>
        </is>
      </c>
      <c r="H565" s="37" t="n">
        <v>58</v>
      </c>
      <c r="I565" s="36" t="n">
        <v>32</v>
      </c>
      <c r="J565" s="36" t="inlineStr">
        <is>
          <t>local</t>
        </is>
      </c>
      <c r="K565" s="36" t="inlineStr">
        <is>
          <t>property-local</t>
        </is>
      </c>
      <c r="L565" s="36" t="n">
        <v>4</v>
      </c>
      <c r="M565" s="36" t="inlineStr">
        <is>
          <t>Primary</t>
        </is>
      </c>
      <c r="N565" s="39">
        <f>IFERROR(IF(ISNUMBER(SEARCH(D565,INDEX(Pages!$J$2:$J$829,MATCH(A565,Pages!$B$2:$B$829,0)))),"Yes","No"),"Page not found")</f>
        <v/>
      </c>
      <c r="O565" s="25" t="inlineStr">
        <is>
          <t>(none seen)</t>
        </is>
      </c>
      <c r="P565" s="25" t="n"/>
    </row>
    <row r="566" ht="15" customHeight="1" s="22">
      <c r="A566" s="36" t="inlineStr">
        <is>
          <t>https://instasure.ca/condo-insurance/nova-scotia/</t>
        </is>
      </c>
      <c r="B566" s="36" t="inlineStr">
        <is>
          <t>Product × province</t>
        </is>
      </c>
      <c r="C566" s="36" t="inlineStr">
        <is>
          <t>Condo insurance</t>
        </is>
      </c>
      <c r="D566" s="36" t="inlineStr">
        <is>
          <t>condo insurance nova scotia</t>
        </is>
      </c>
      <c r="E566" s="36" t="inlineStr">
        <is>
          <t>Provincial</t>
        </is>
      </c>
      <c r="F566" s="36" t="inlineStr">
        <is>
          <t>Nova Scotia</t>
        </is>
      </c>
      <c r="G566" s="36" t="n"/>
      <c r="H566" s="37" t="n">
        <v>58</v>
      </c>
      <c r="I566" s="36" t="n">
        <v>33</v>
      </c>
      <c r="J566" s="36" t="inlineStr">
        <is>
          <t>commercial</t>
        </is>
      </c>
      <c r="K566" s="36" t="inlineStr">
        <is>
          <t>property-province</t>
        </is>
      </c>
      <c r="L566" s="36" t="n">
        <v>5</v>
      </c>
      <c r="M566" s="36" t="inlineStr">
        <is>
          <t>Primary</t>
        </is>
      </c>
      <c r="N566" s="39">
        <f>IFERROR(IF(ISNUMBER(SEARCH(D566,INDEX(Pages!$J$2:$J$829,MATCH(A566,Pages!$B$2:$B$829,0)))),"Yes","No"),"Page not found")</f>
        <v/>
      </c>
      <c r="O566" s="25" t="inlineStr">
        <is>
          <t>ratehub</t>
        </is>
      </c>
      <c r="P566" s="25" t="n"/>
    </row>
    <row r="567" ht="23.85" customHeight="1" s="22">
      <c r="A567" s="36" t="inlineStr">
        <is>
          <t>https://instasure.ca/business-insurance/british-columbia/coquitlam/</t>
        </is>
      </c>
      <c r="B567" s="36" t="inlineStr">
        <is>
          <t>Product × city</t>
        </is>
      </c>
      <c r="C567" s="36" t="inlineStr">
        <is>
          <t>Business insurance</t>
        </is>
      </c>
      <c r="D567" s="36" t="inlineStr">
        <is>
          <t>business insurance coquitlam</t>
        </is>
      </c>
      <c r="E567" s="36" t="inlineStr">
        <is>
          <t>City</t>
        </is>
      </c>
      <c r="F567" s="36" t="inlineStr">
        <is>
          <t>British Columbia</t>
        </is>
      </c>
      <c r="G567" s="36" t="inlineStr">
        <is>
          <t>Coquitlam</t>
        </is>
      </c>
      <c r="H567" s="37" t="n">
        <v>57</v>
      </c>
      <c r="I567" s="36" t="n">
        <v>25</v>
      </c>
      <c r="J567" s="36" t="inlineStr">
        <is>
          <t>local</t>
        </is>
      </c>
      <c r="K567" s="36" t="inlineStr">
        <is>
          <t>business-local</t>
        </is>
      </c>
      <c r="L567" s="36" t="n">
        <v>4</v>
      </c>
      <c r="M567" s="36" t="inlineStr">
        <is>
          <t>Primary</t>
        </is>
      </c>
      <c r="N567" s="39">
        <f>IFERROR(IF(ISNUMBER(SEARCH(D567,INDEX(Pages!$J$2:$J$829,MATCH(A567,Pages!$B$2:$B$829,0)))),"Yes","No"),"Page not found")</f>
        <v/>
      </c>
      <c r="O567" s="25" t="inlineStr">
        <is>
          <t>(none seen)</t>
        </is>
      </c>
      <c r="P567" s="25" t="inlineStr">
        <is>
          <t>Page exists but is noindex until an editor adds a 300+ character local intro (Admin → SEO → Page overrides).</t>
        </is>
      </c>
    </row>
    <row r="568" ht="15" customHeight="1" s="22">
      <c r="A568" s="36" t="inlineStr">
        <is>
          <t>https://instasure.ca/condo-insurance/british-columbia/coquitlam/</t>
        </is>
      </c>
      <c r="B568" s="36" t="inlineStr">
        <is>
          <t>Product × city</t>
        </is>
      </c>
      <c r="C568" s="36" t="inlineStr">
        <is>
          <t>Condo insurance</t>
        </is>
      </c>
      <c r="D568" s="36" t="inlineStr">
        <is>
          <t>condo insurance coquitlam</t>
        </is>
      </c>
      <c r="E568" s="36" t="inlineStr">
        <is>
          <t>City</t>
        </is>
      </c>
      <c r="F568" s="36" t="inlineStr">
        <is>
          <t>British Columbia</t>
        </is>
      </c>
      <c r="G568" s="36" t="inlineStr">
        <is>
          <t>Coquitlam</t>
        </is>
      </c>
      <c r="H568" s="37" t="n">
        <v>57</v>
      </c>
      <c r="I568" s="36" t="n">
        <v>32</v>
      </c>
      <c r="J568" s="36" t="inlineStr">
        <is>
          <t>local</t>
        </is>
      </c>
      <c r="K568" s="36" t="inlineStr">
        <is>
          <t>property-local</t>
        </is>
      </c>
      <c r="L568" s="36" t="n">
        <v>4</v>
      </c>
      <c r="M568" s="36" t="inlineStr">
        <is>
          <t>Primary</t>
        </is>
      </c>
      <c r="N568" s="39">
        <f>IFERROR(IF(ISNUMBER(SEARCH(D568,INDEX(Pages!$J$2:$J$829,MATCH(A568,Pages!$B$2:$B$829,0)))),"Yes","No"),"Page not found")</f>
        <v/>
      </c>
      <c r="O568" s="25" t="inlineStr">
        <is>
          <t>(none seen)</t>
        </is>
      </c>
      <c r="P568" s="25" t="n"/>
    </row>
    <row r="569" ht="15" customHeight="1" s="22">
      <c r="A569" s="36" t="inlineStr">
        <is>
          <t>https://instasure.ca/life-insurance/british-columbia/victoria/</t>
        </is>
      </c>
      <c r="B569" s="36" t="inlineStr">
        <is>
          <t>Product × city</t>
        </is>
      </c>
      <c r="C569" s="36" t="inlineStr">
        <is>
          <t>Life insurance</t>
        </is>
      </c>
      <c r="D569" s="36" t="inlineStr">
        <is>
          <t>life insurance victoria</t>
        </is>
      </c>
      <c r="E569" s="36" t="inlineStr">
        <is>
          <t>City</t>
        </is>
      </c>
      <c r="F569" s="36" t="inlineStr">
        <is>
          <t>British Columbia</t>
        </is>
      </c>
      <c r="G569" s="36" t="inlineStr">
        <is>
          <t>Victoria</t>
        </is>
      </c>
      <c r="H569" s="37" t="n">
        <v>57</v>
      </c>
      <c r="I569" s="36" t="n">
        <v>35</v>
      </c>
      <c r="J569" s="36" t="inlineStr">
        <is>
          <t>local</t>
        </is>
      </c>
      <c r="K569" s="36" t="inlineStr">
        <is>
          <t>life-local</t>
        </is>
      </c>
      <c r="L569" s="36" t="n">
        <v>3</v>
      </c>
      <c r="M569" s="36" t="inlineStr">
        <is>
          <t>Primary</t>
        </is>
      </c>
      <c r="N569" s="39">
        <f>IFERROR(IF(ISNUMBER(SEARCH(D569,INDEX(Pages!$J$2:$J$829,MATCH(A569,Pages!$B$2:$B$829,0)))),"Yes","No"),"Page not found")</f>
        <v/>
      </c>
      <c r="O569" s="25" t="inlineStr">
        <is>
          <t>(none seen)</t>
        </is>
      </c>
      <c r="P569" s="25" t="n"/>
    </row>
    <row r="570" ht="15" customHeight="1" s="22">
      <c r="A570" s="36" t="inlineStr">
        <is>
          <t>https://instasure.ca/tenant-insurance/quebec/longueuil/</t>
        </is>
      </c>
      <c r="B570" s="36" t="inlineStr">
        <is>
          <t>Product × city</t>
        </is>
      </c>
      <c r="C570" s="36" t="inlineStr">
        <is>
          <t>Tenant insurance</t>
        </is>
      </c>
      <c r="D570" s="36" t="inlineStr">
        <is>
          <t>tenant insurance longueuil</t>
        </is>
      </c>
      <c r="E570" s="36" t="inlineStr">
        <is>
          <t>City</t>
        </is>
      </c>
      <c r="F570" s="36" t="inlineStr">
        <is>
          <t>Quebec</t>
        </is>
      </c>
      <c r="G570" s="36" t="inlineStr">
        <is>
          <t>Longueuil</t>
        </is>
      </c>
      <c r="H570" s="37" t="n">
        <v>57</v>
      </c>
      <c r="I570" s="36" t="n">
        <v>32</v>
      </c>
      <c r="J570" s="36" t="inlineStr">
        <is>
          <t>local</t>
        </is>
      </c>
      <c r="K570" s="36" t="inlineStr">
        <is>
          <t>property-local</t>
        </is>
      </c>
      <c r="L570" s="36" t="n">
        <v>5</v>
      </c>
      <c r="M570" s="36" t="inlineStr">
        <is>
          <t>Primary</t>
        </is>
      </c>
      <c r="N570" s="39">
        <f>IFERROR(IF(ISNUMBER(SEARCH(D570,INDEX(Pages!$J$2:$J$829,MATCH(A570,Pages!$B$2:$B$829,0)))),"Yes","No"),"Page not found")</f>
        <v/>
      </c>
      <c r="O570" s="25" t="inlineStr">
        <is>
          <t>(none seen)</t>
        </is>
      </c>
      <c r="P570" s="25" t="inlineStr">
        <is>
          <t>Quebec waitlist until AMF registration.</t>
        </is>
      </c>
    </row>
    <row r="571" ht="23.85" customHeight="1" s="22">
      <c r="A571" s="36" t="inlineStr">
        <is>
          <t>https://instasure.ca/business-insurance/ontario/barrie/</t>
        </is>
      </c>
      <c r="B571" s="36" t="inlineStr">
        <is>
          <t>Product × city</t>
        </is>
      </c>
      <c r="C571" s="36" t="inlineStr">
        <is>
          <t>Business insurance</t>
        </is>
      </c>
      <c r="D571" s="36" t="inlineStr">
        <is>
          <t>business insurance barrie</t>
        </is>
      </c>
      <c r="E571" s="36" t="inlineStr">
        <is>
          <t>City</t>
        </is>
      </c>
      <c r="F571" s="36" t="inlineStr">
        <is>
          <t>Ontario</t>
        </is>
      </c>
      <c r="G571" s="36" t="inlineStr">
        <is>
          <t>Barrie</t>
        </is>
      </c>
      <c r="H571" s="37" t="n">
        <v>56</v>
      </c>
      <c r="I571" s="36" t="n">
        <v>33</v>
      </c>
      <c r="J571" s="36" t="inlineStr">
        <is>
          <t>local</t>
        </is>
      </c>
      <c r="K571" s="36" t="inlineStr">
        <is>
          <t>business-local</t>
        </is>
      </c>
      <c r="L571" s="36" t="n">
        <v>4</v>
      </c>
      <c r="M571" s="36" t="inlineStr">
        <is>
          <t>Primary</t>
        </is>
      </c>
      <c r="N571" s="39">
        <f>IFERROR(IF(ISNUMBER(SEARCH(D571,INDEX(Pages!$J$2:$J$829,MATCH(A571,Pages!$B$2:$B$829,0)))),"Yes","No"),"Page not found")</f>
        <v/>
      </c>
      <c r="O571" s="25" t="inlineStr">
        <is>
          <t>(none seen)</t>
        </is>
      </c>
      <c r="P571" s="25" t="inlineStr">
        <is>
          <t>Page exists but is noindex until an editor adds a 300+ character local intro (Admin → SEO → Page overrides).</t>
        </is>
      </c>
    </row>
    <row r="572" ht="15" customHeight="1" s="22">
      <c r="A572" s="36" t="inlineStr">
        <is>
          <t>https://instasure.ca/condo-insurance/ontario/barrie/</t>
        </is>
      </c>
      <c r="B572" s="36" t="inlineStr">
        <is>
          <t>Product × city</t>
        </is>
      </c>
      <c r="C572" s="36" t="inlineStr">
        <is>
          <t>Condo insurance</t>
        </is>
      </c>
      <c r="D572" s="36" t="inlineStr">
        <is>
          <t>condo insurance barrie</t>
        </is>
      </c>
      <c r="E572" s="36" t="inlineStr">
        <is>
          <t>City</t>
        </is>
      </c>
      <c r="F572" s="36" t="inlineStr">
        <is>
          <t>Ontario</t>
        </is>
      </c>
      <c r="G572" s="36" t="inlineStr">
        <is>
          <t>Barrie</t>
        </is>
      </c>
      <c r="H572" s="37" t="n">
        <v>56</v>
      </c>
      <c r="I572" s="36" t="n">
        <v>40</v>
      </c>
      <c r="J572" s="36" t="inlineStr">
        <is>
          <t>local</t>
        </is>
      </c>
      <c r="K572" s="36" t="inlineStr">
        <is>
          <t>property-local</t>
        </is>
      </c>
      <c r="L572" s="36" t="n">
        <v>5</v>
      </c>
      <c r="M572" s="36" t="inlineStr">
        <is>
          <t>Primary</t>
        </is>
      </c>
      <c r="N572" s="39">
        <f>IFERROR(IF(ISNUMBER(SEARCH(D572,INDEX(Pages!$J$2:$J$829,MATCH(A572,Pages!$B$2:$B$829,0)))),"Yes","No"),"Page not found")</f>
        <v/>
      </c>
      <c r="O572" s="25" t="inlineStr">
        <is>
          <t>(none seen)</t>
        </is>
      </c>
      <c r="P572" s="25" t="n"/>
    </row>
    <row r="573" ht="15" customHeight="1" s="22">
      <c r="A573" s="36" t="inlineStr">
        <is>
          <t>https://instasure.ca/business-insurance/british-columbia/kelowna/</t>
        </is>
      </c>
      <c r="B573" s="36" t="inlineStr">
        <is>
          <t>Product × city</t>
        </is>
      </c>
      <c r="C573" s="36" t="inlineStr">
        <is>
          <t>Business insurance</t>
        </is>
      </c>
      <c r="D573" s="36" t="inlineStr">
        <is>
          <t>business insurance kelowna</t>
        </is>
      </c>
      <c r="E573" s="36" t="inlineStr">
        <is>
          <t>City</t>
        </is>
      </c>
      <c r="F573" s="36" t="inlineStr">
        <is>
          <t>British Columbia</t>
        </is>
      </c>
      <c r="G573" s="36" t="inlineStr">
        <is>
          <t>Kelowna</t>
        </is>
      </c>
      <c r="H573" s="37" t="n">
        <v>55</v>
      </c>
      <c r="I573" s="36" t="n">
        <v>33</v>
      </c>
      <c r="J573" s="36" t="inlineStr">
        <is>
          <t>local</t>
        </is>
      </c>
      <c r="K573" s="36" t="inlineStr">
        <is>
          <t>business-local</t>
        </is>
      </c>
      <c r="L573" s="36" t="n">
        <v>3</v>
      </c>
      <c r="M573" s="36" t="inlineStr">
        <is>
          <t>Primary</t>
        </is>
      </c>
      <c r="N573" s="39">
        <f>IFERROR(IF(ISNUMBER(SEARCH(D573,INDEX(Pages!$J$2:$J$829,MATCH(A573,Pages!$B$2:$B$829,0)))),"Yes","No"),"Page not found")</f>
        <v/>
      </c>
      <c r="O573" s="25" t="inlineStr">
        <is>
          <t>(none seen)</t>
        </is>
      </c>
      <c r="P573" s="25" t="n"/>
    </row>
    <row r="574" ht="15" customHeight="1" s="22">
      <c r="A574" s="36" t="inlineStr">
        <is>
          <t>https://instasure.ca/business-insurance/newfoundland-and-labrador/</t>
        </is>
      </c>
      <c r="B574" s="36" t="inlineStr">
        <is>
          <t>Product × province</t>
        </is>
      </c>
      <c r="C574" s="36" t="inlineStr">
        <is>
          <t>Business insurance</t>
        </is>
      </c>
      <c r="D574" s="36" t="inlineStr">
        <is>
          <t>business insurance newfoundland</t>
        </is>
      </c>
      <c r="E574" s="36" t="inlineStr">
        <is>
          <t>Provincial</t>
        </is>
      </c>
      <c r="F574" s="36" t="inlineStr">
        <is>
          <t>Newfoundland and Labrador</t>
        </is>
      </c>
      <c r="G574" s="36" t="n"/>
      <c r="H574" s="37" t="n">
        <v>55</v>
      </c>
      <c r="I574" s="36" t="n">
        <v>34</v>
      </c>
      <c r="J574" s="36" t="inlineStr">
        <is>
          <t>commercial</t>
        </is>
      </c>
      <c r="K574" s="36" t="inlineStr">
        <is>
          <t>business-province</t>
        </is>
      </c>
      <c r="L574" s="36" t="n">
        <v>3</v>
      </c>
      <c r="M574" s="36" t="inlineStr">
        <is>
          <t>Primary</t>
        </is>
      </c>
      <c r="N574" s="39">
        <f>IFERROR(IF(ISNUMBER(SEARCH(D574,INDEX(Pages!$J$2:$J$829,MATCH(A574,Pages!$B$2:$B$829,0)))),"Yes","No"),"Page not found")</f>
        <v/>
      </c>
      <c r="O574" s="25" t="inlineStr">
        <is>
          <t>(none seen)</t>
        </is>
      </c>
      <c r="P574" s="25" t="n"/>
    </row>
    <row r="575" ht="23.85" customHeight="1" s="22">
      <c r="A575" s="36" t="inlineStr">
        <is>
          <t>https://instasure.ca/business-insurance/ontario/guelph/</t>
        </is>
      </c>
      <c r="B575" s="36" t="inlineStr">
        <is>
          <t>Product × city</t>
        </is>
      </c>
      <c r="C575" s="36" t="inlineStr">
        <is>
          <t>Business insurance</t>
        </is>
      </c>
      <c r="D575" s="36" t="inlineStr">
        <is>
          <t>business insurance guelph</t>
        </is>
      </c>
      <c r="E575" s="36" t="inlineStr">
        <is>
          <t>City</t>
        </is>
      </c>
      <c r="F575" s="36" t="inlineStr">
        <is>
          <t>Ontario</t>
        </is>
      </c>
      <c r="G575" s="36" t="inlineStr">
        <is>
          <t>Guelph</t>
        </is>
      </c>
      <c r="H575" s="37" t="n">
        <v>55</v>
      </c>
      <c r="I575" s="36" t="n">
        <v>33</v>
      </c>
      <c r="J575" s="36" t="inlineStr">
        <is>
          <t>local</t>
        </is>
      </c>
      <c r="K575" s="36" t="inlineStr">
        <is>
          <t>business-local</t>
        </is>
      </c>
      <c r="L575" s="36" t="n">
        <v>4</v>
      </c>
      <c r="M575" s="36" t="inlineStr">
        <is>
          <t>Primary</t>
        </is>
      </c>
      <c r="N575" s="39">
        <f>IFERROR(IF(ISNUMBER(SEARCH(D575,INDEX(Pages!$J$2:$J$829,MATCH(A575,Pages!$B$2:$B$829,0)))),"Yes","No"),"Page not found")</f>
        <v/>
      </c>
      <c r="O575" s="25" t="inlineStr">
        <is>
          <t>(none seen)</t>
        </is>
      </c>
      <c r="P575" s="25" t="inlineStr">
        <is>
          <t>Page exists but is noindex until an editor adds a 300+ character local intro (Admin → SEO → Page overrides).</t>
        </is>
      </c>
    </row>
    <row r="576" ht="15" customHeight="1" s="22">
      <c r="A576" s="36" t="inlineStr">
        <is>
          <t>https://instasure.ca/condo-insurance/british-columbia/kelowna/</t>
        </is>
      </c>
      <c r="B576" s="36" t="inlineStr">
        <is>
          <t>Product × city</t>
        </is>
      </c>
      <c r="C576" s="36" t="inlineStr">
        <is>
          <t>Condo insurance</t>
        </is>
      </c>
      <c r="D576" s="36" t="inlineStr">
        <is>
          <t>condo insurance kelowna</t>
        </is>
      </c>
      <c r="E576" s="36" t="inlineStr">
        <is>
          <t>City</t>
        </is>
      </c>
      <c r="F576" s="36" t="inlineStr">
        <is>
          <t>British Columbia</t>
        </is>
      </c>
      <c r="G576" s="36" t="inlineStr">
        <is>
          <t>Kelowna</t>
        </is>
      </c>
      <c r="H576" s="37" t="n">
        <v>55</v>
      </c>
      <c r="I576" s="36" t="n">
        <v>40</v>
      </c>
      <c r="J576" s="36" t="inlineStr">
        <is>
          <t>local</t>
        </is>
      </c>
      <c r="K576" s="36" t="inlineStr">
        <is>
          <t>property-local</t>
        </is>
      </c>
      <c r="L576" s="36" t="n">
        <v>5</v>
      </c>
      <c r="M576" s="36" t="inlineStr">
        <is>
          <t>Primary</t>
        </is>
      </c>
      <c r="N576" s="39">
        <f>IFERROR(IF(ISNUMBER(SEARCH(D576,INDEX(Pages!$J$2:$J$829,MATCH(A576,Pages!$B$2:$B$829,0)))),"Yes","No"),"Page not found")</f>
        <v/>
      </c>
      <c r="O576" s="25" t="inlineStr">
        <is>
          <t>(none seen)</t>
        </is>
      </c>
      <c r="P576" s="25" t="n"/>
    </row>
    <row r="577" ht="15" customHeight="1" s="22">
      <c r="A577" s="36" t="inlineStr">
        <is>
          <t>https://instasure.ca/condo-insurance/ontario/guelph/</t>
        </is>
      </c>
      <c r="B577" s="36" t="inlineStr">
        <is>
          <t>Product × city</t>
        </is>
      </c>
      <c r="C577" s="36" t="inlineStr">
        <is>
          <t>Condo insurance</t>
        </is>
      </c>
      <c r="D577" s="36" t="inlineStr">
        <is>
          <t>condo insurance guelph</t>
        </is>
      </c>
      <c r="E577" s="36" t="inlineStr">
        <is>
          <t>City</t>
        </is>
      </c>
      <c r="F577" s="36" t="inlineStr">
        <is>
          <t>Ontario</t>
        </is>
      </c>
      <c r="G577" s="36" t="inlineStr">
        <is>
          <t>Guelph</t>
        </is>
      </c>
      <c r="H577" s="37" t="n">
        <v>55</v>
      </c>
      <c r="I577" s="36" t="n">
        <v>40</v>
      </c>
      <c r="J577" s="36" t="inlineStr">
        <is>
          <t>local</t>
        </is>
      </c>
      <c r="K577" s="36" t="inlineStr">
        <is>
          <t>property-local</t>
        </is>
      </c>
      <c r="L577" s="36" t="n">
        <v>5</v>
      </c>
      <c r="M577" s="36" t="inlineStr">
        <is>
          <t>Primary</t>
        </is>
      </c>
      <c r="N577" s="39">
        <f>IFERROR(IF(ISNUMBER(SEARCH(D577,INDEX(Pages!$J$2:$J$829,MATCH(A577,Pages!$B$2:$B$829,0)))),"Yes","No"),"Page not found")</f>
        <v/>
      </c>
      <c r="O577" s="25" t="inlineStr">
        <is>
          <t>(none seen)</t>
        </is>
      </c>
      <c r="P577" s="25" t="n"/>
    </row>
    <row r="578" ht="23.85" customHeight="1" s="22">
      <c r="A578" s="36" t="inlineStr">
        <is>
          <t>https://instasure.ca/business-insurance/ontario/cambridge/</t>
        </is>
      </c>
      <c r="B578" s="36" t="inlineStr">
        <is>
          <t>Product × city</t>
        </is>
      </c>
      <c r="C578" s="36" t="inlineStr">
        <is>
          <t>Business insurance</t>
        </is>
      </c>
      <c r="D578" s="36" t="inlineStr">
        <is>
          <t>business insurance cambridge</t>
        </is>
      </c>
      <c r="E578" s="36" t="inlineStr">
        <is>
          <t>City</t>
        </is>
      </c>
      <c r="F578" s="36" t="inlineStr">
        <is>
          <t>Ontario</t>
        </is>
      </c>
      <c r="G578" s="36" t="inlineStr">
        <is>
          <t>Cambridge</t>
        </is>
      </c>
      <c r="H578" s="37" t="n">
        <v>53</v>
      </c>
      <c r="I578" s="36" t="n">
        <v>25</v>
      </c>
      <c r="J578" s="36" t="inlineStr">
        <is>
          <t>local</t>
        </is>
      </c>
      <c r="K578" s="36" t="inlineStr">
        <is>
          <t>business-local</t>
        </is>
      </c>
      <c r="L578" s="36" t="n">
        <v>4</v>
      </c>
      <c r="M578" s="36" t="inlineStr">
        <is>
          <t>Primary</t>
        </is>
      </c>
      <c r="N578" s="39">
        <f>IFERROR(IF(ISNUMBER(SEARCH(D578,INDEX(Pages!$J$2:$J$829,MATCH(A578,Pages!$B$2:$B$829,0)))),"Yes","No"),"Page not found")</f>
        <v/>
      </c>
      <c r="O578" s="25" t="inlineStr">
        <is>
          <t>(none seen)</t>
        </is>
      </c>
      <c r="P578" s="25" t="inlineStr">
        <is>
          <t>Page exists but is noindex until an editor adds a 300+ character local intro (Admin → SEO → Page overrides).</t>
        </is>
      </c>
    </row>
    <row r="579" ht="23.85" customHeight="1" s="22">
      <c r="A579" s="36" t="inlineStr">
        <is>
          <t>https://instasure.ca/business-insurance/ontario/st-catharines/</t>
        </is>
      </c>
      <c r="B579" s="36" t="inlineStr">
        <is>
          <t>Product × city</t>
        </is>
      </c>
      <c r="C579" s="36" t="inlineStr">
        <is>
          <t>Business insurance</t>
        </is>
      </c>
      <c r="D579" s="36" t="inlineStr">
        <is>
          <t>business insurance st catharines</t>
        </is>
      </c>
      <c r="E579" s="36" t="inlineStr">
        <is>
          <t>City</t>
        </is>
      </c>
      <c r="F579" s="36" t="inlineStr">
        <is>
          <t>Ontario</t>
        </is>
      </c>
      <c r="G579" s="36" t="inlineStr">
        <is>
          <t>St. Catharines</t>
        </is>
      </c>
      <c r="H579" s="37" t="n">
        <v>53</v>
      </c>
      <c r="I579" s="36" t="n">
        <v>33</v>
      </c>
      <c r="J579" s="36" t="inlineStr">
        <is>
          <t>local</t>
        </is>
      </c>
      <c r="K579" s="36" t="inlineStr">
        <is>
          <t>business-local</t>
        </is>
      </c>
      <c r="L579" s="36" t="n">
        <v>4</v>
      </c>
      <c r="M579" s="36" t="inlineStr">
        <is>
          <t>Primary</t>
        </is>
      </c>
      <c r="N579" s="39">
        <f>IFERROR(IF(ISNUMBER(SEARCH(D579,INDEX(Pages!$J$2:$J$829,MATCH(A579,Pages!$B$2:$B$829,0)))),"Yes","No"),"Page not found")</f>
        <v/>
      </c>
      <c r="O579" s="25" t="inlineStr">
        <is>
          <t>(none seen)</t>
        </is>
      </c>
      <c r="P579" s="25" t="inlineStr">
        <is>
          <t>Page exists but is noindex until an editor adds a 300+ character local intro (Admin → SEO → Page overrides).</t>
        </is>
      </c>
    </row>
    <row r="580" ht="23.85" customHeight="1" s="22">
      <c r="A580" s="36" t="inlineStr">
        <is>
          <t>https://instasure.ca/business-insurance/ontario/whitby/</t>
        </is>
      </c>
      <c r="B580" s="36" t="inlineStr">
        <is>
          <t>Product × city</t>
        </is>
      </c>
      <c r="C580" s="36" t="inlineStr">
        <is>
          <t>Business insurance</t>
        </is>
      </c>
      <c r="D580" s="36" t="inlineStr">
        <is>
          <t>business insurance whitby</t>
        </is>
      </c>
      <c r="E580" s="36" t="inlineStr">
        <is>
          <t>City</t>
        </is>
      </c>
      <c r="F580" s="36" t="inlineStr">
        <is>
          <t>Ontario</t>
        </is>
      </c>
      <c r="G580" s="36" t="inlineStr">
        <is>
          <t>Whitby</t>
        </is>
      </c>
      <c r="H580" s="37" t="n">
        <v>53</v>
      </c>
      <c r="I580" s="36" t="n">
        <v>25</v>
      </c>
      <c r="J580" s="36" t="inlineStr">
        <is>
          <t>local</t>
        </is>
      </c>
      <c r="K580" s="36" t="inlineStr">
        <is>
          <t>business-local</t>
        </is>
      </c>
      <c r="L580" s="36" t="n">
        <v>4</v>
      </c>
      <c r="M580" s="36" t="inlineStr">
        <is>
          <t>Primary</t>
        </is>
      </c>
      <c r="N580" s="39">
        <f>IFERROR(IF(ISNUMBER(SEARCH(D580,INDEX(Pages!$J$2:$J$829,MATCH(A580,Pages!$B$2:$B$829,0)))),"Yes","No"),"Page not found")</f>
        <v/>
      </c>
      <c r="O580" s="25" t="inlineStr">
        <is>
          <t>(none seen)</t>
        </is>
      </c>
      <c r="P580" s="25" t="inlineStr">
        <is>
          <t>Page exists but is noindex until an editor adds a 300+ character local intro (Admin → SEO → Page overrides).</t>
        </is>
      </c>
    </row>
    <row r="581" ht="23.85" customHeight="1" s="22">
      <c r="A581" s="36" t="inlineStr">
        <is>
          <t>https://instasure.ca/condo-insurance/ontario/cambridge/</t>
        </is>
      </c>
      <c r="B581" s="36" t="inlineStr">
        <is>
          <t>Product × city</t>
        </is>
      </c>
      <c r="C581" s="36" t="inlineStr">
        <is>
          <t>Condo insurance</t>
        </is>
      </c>
      <c r="D581" s="36" t="inlineStr">
        <is>
          <t>condo insurance cambridge</t>
        </is>
      </c>
      <c r="E581" s="36" t="inlineStr">
        <is>
          <t>City</t>
        </is>
      </c>
      <c r="F581" s="36" t="inlineStr">
        <is>
          <t>Ontario</t>
        </is>
      </c>
      <c r="G581" s="36" t="inlineStr">
        <is>
          <t>Cambridge</t>
        </is>
      </c>
      <c r="H581" s="37" t="n">
        <v>53</v>
      </c>
      <c r="I581" s="36" t="n">
        <v>32</v>
      </c>
      <c r="J581" s="36" t="inlineStr">
        <is>
          <t>local</t>
        </is>
      </c>
      <c r="K581" s="36" t="inlineStr">
        <is>
          <t>property-local</t>
        </is>
      </c>
      <c r="L581" s="36" t="n">
        <v>5</v>
      </c>
      <c r="M581" s="36" t="inlineStr">
        <is>
          <t>Primary</t>
        </is>
      </c>
      <c r="N581" s="39">
        <f>IFERROR(IF(ISNUMBER(SEARCH(D581,INDEX(Pages!$J$2:$J$829,MATCH(A581,Pages!$B$2:$B$829,0)))),"Yes","No"),"Page not found")</f>
        <v/>
      </c>
      <c r="O581" s="25" t="inlineStr">
        <is>
          <t>(none seen)</t>
        </is>
      </c>
      <c r="P581" s="25" t="inlineStr">
        <is>
          <t>Page exists but is noindex until an editor adds a 300+ character local intro (Admin → SEO → Page overrides).</t>
        </is>
      </c>
    </row>
    <row r="582" ht="15" customHeight="1" s="22">
      <c r="A582" s="36" t="inlineStr">
        <is>
          <t>https://instasure.ca/condo-insurance/ontario/st-catharines/</t>
        </is>
      </c>
      <c r="B582" s="36" t="inlineStr">
        <is>
          <t>Product × city</t>
        </is>
      </c>
      <c r="C582" s="36" t="inlineStr">
        <is>
          <t>Condo insurance</t>
        </is>
      </c>
      <c r="D582" s="36" t="inlineStr">
        <is>
          <t>condo insurance st catharines</t>
        </is>
      </c>
      <c r="E582" s="36" t="inlineStr">
        <is>
          <t>City</t>
        </is>
      </c>
      <c r="F582" s="36" t="inlineStr">
        <is>
          <t>Ontario</t>
        </is>
      </c>
      <c r="G582" s="36" t="inlineStr">
        <is>
          <t>St. Catharines</t>
        </is>
      </c>
      <c r="H582" s="37" t="n">
        <v>53</v>
      </c>
      <c r="I582" s="36" t="n">
        <v>40</v>
      </c>
      <c r="J582" s="36" t="inlineStr">
        <is>
          <t>local</t>
        </is>
      </c>
      <c r="K582" s="36" t="inlineStr">
        <is>
          <t>property-local</t>
        </is>
      </c>
      <c r="L582" s="36" t="n">
        <v>5</v>
      </c>
      <c r="M582" s="36" t="inlineStr">
        <is>
          <t>Primary</t>
        </is>
      </c>
      <c r="N582" s="39">
        <f>IFERROR(IF(ISNUMBER(SEARCH(D582,INDEX(Pages!$J$2:$J$829,MATCH(A582,Pages!$B$2:$B$829,0)))),"Yes","No"),"Page not found")</f>
        <v/>
      </c>
      <c r="O582" s="25" t="inlineStr">
        <is>
          <t>(none seen)</t>
        </is>
      </c>
      <c r="P582" s="25" t="n"/>
    </row>
    <row r="583" ht="23.85" customHeight="1" s="22">
      <c r="A583" s="36" t="inlineStr">
        <is>
          <t>https://instasure.ca/condo-insurance/ontario/whitby/</t>
        </is>
      </c>
      <c r="B583" s="36" t="inlineStr">
        <is>
          <t>Product × city</t>
        </is>
      </c>
      <c r="C583" s="36" t="inlineStr">
        <is>
          <t>Condo insurance</t>
        </is>
      </c>
      <c r="D583" s="36" t="inlineStr">
        <is>
          <t>condo insurance whitby</t>
        </is>
      </c>
      <c r="E583" s="36" t="inlineStr">
        <is>
          <t>City</t>
        </is>
      </c>
      <c r="F583" s="36" t="inlineStr">
        <is>
          <t>Ontario</t>
        </is>
      </c>
      <c r="G583" s="36" t="inlineStr">
        <is>
          <t>Whitby</t>
        </is>
      </c>
      <c r="H583" s="37" t="n">
        <v>53</v>
      </c>
      <c r="I583" s="36" t="n">
        <v>32</v>
      </c>
      <c r="J583" s="36" t="inlineStr">
        <is>
          <t>local</t>
        </is>
      </c>
      <c r="K583" s="36" t="inlineStr">
        <is>
          <t>property-local</t>
        </is>
      </c>
      <c r="L583" s="36" t="n">
        <v>5</v>
      </c>
      <c r="M583" s="36" t="inlineStr">
        <is>
          <t>Primary</t>
        </is>
      </c>
      <c r="N583" s="39">
        <f>IFERROR(IF(ISNUMBER(SEARCH(D583,INDEX(Pages!$J$2:$J$829,MATCH(A583,Pages!$B$2:$B$829,0)))),"Yes","No"),"Page not found")</f>
        <v/>
      </c>
      <c r="O583" s="25" t="inlineStr">
        <is>
          <t>(none seen)</t>
        </is>
      </c>
      <c r="P583" s="25" t="inlineStr">
        <is>
          <t>Page exists but is noindex until an editor adds a 300+ character local intro (Admin → SEO → Page overrides).</t>
        </is>
      </c>
    </row>
    <row r="584" ht="23.85" customHeight="1" s="22">
      <c r="A584" s="36" t="inlineStr">
        <is>
          <t>https://instasure.ca/tenant-insurance/manitoba/brandon/</t>
        </is>
      </c>
      <c r="B584" s="36" t="inlineStr">
        <is>
          <t>Product × city</t>
        </is>
      </c>
      <c r="C584" s="36" t="inlineStr">
        <is>
          <t>Tenant insurance</t>
        </is>
      </c>
      <c r="D584" s="36" t="inlineStr">
        <is>
          <t>tenant insurance brandon</t>
        </is>
      </c>
      <c r="E584" s="36" t="inlineStr">
        <is>
          <t>City</t>
        </is>
      </c>
      <c r="F584" s="36" t="inlineStr">
        <is>
          <t>Manitoba</t>
        </is>
      </c>
      <c r="G584" s="36" t="inlineStr">
        <is>
          <t>Brandon</t>
        </is>
      </c>
      <c r="H584" s="37" t="n">
        <v>53</v>
      </c>
      <c r="I584" s="36" t="n">
        <v>24</v>
      </c>
      <c r="J584" s="36" t="inlineStr">
        <is>
          <t>local</t>
        </is>
      </c>
      <c r="K584" s="36" t="inlineStr">
        <is>
          <t>property-local</t>
        </is>
      </c>
      <c r="L584" s="36" t="n">
        <v>5</v>
      </c>
      <c r="M584" s="36" t="inlineStr">
        <is>
          <t>Primary</t>
        </is>
      </c>
      <c r="N584" s="39">
        <f>IFERROR(IF(ISNUMBER(SEARCH(D584,INDEX(Pages!$J$2:$J$829,MATCH(A584,Pages!$B$2:$B$829,0)))),"Yes","No"),"Page not found")</f>
        <v/>
      </c>
      <c r="O584" s="25" t="inlineStr">
        <is>
          <t>(none seen)</t>
        </is>
      </c>
      <c r="P584" s="25" t="inlineStr">
        <is>
          <t>Page exists but is noindex until an editor adds a 300+ character local intro (Admin → SEO → Page overrides).</t>
        </is>
      </c>
    </row>
    <row r="585" ht="23.85" customHeight="1" s="22">
      <c r="A585" s="36" t="inlineStr">
        <is>
          <t>https://instasure.ca/business-insurance/british-columbia/langley/</t>
        </is>
      </c>
      <c r="B585" s="36" t="inlineStr">
        <is>
          <t>Product × city</t>
        </is>
      </c>
      <c r="C585" s="36" t="inlineStr">
        <is>
          <t>Business insurance</t>
        </is>
      </c>
      <c r="D585" s="36" t="inlineStr">
        <is>
          <t>business insurance langley</t>
        </is>
      </c>
      <c r="E585" s="36" t="inlineStr">
        <is>
          <t>City</t>
        </is>
      </c>
      <c r="F585" s="36" t="inlineStr">
        <is>
          <t>British Columbia</t>
        </is>
      </c>
      <c r="G585" s="36" t="inlineStr">
        <is>
          <t>Langley</t>
        </is>
      </c>
      <c r="H585" s="37" t="n">
        <v>52</v>
      </c>
      <c r="I585" s="36" t="n">
        <v>17</v>
      </c>
      <c r="J585" s="36" t="inlineStr">
        <is>
          <t>local</t>
        </is>
      </c>
      <c r="K585" s="36" t="inlineStr">
        <is>
          <t>business-local</t>
        </is>
      </c>
      <c r="L585" s="36" t="n">
        <v>3</v>
      </c>
      <c r="M585" s="36" t="inlineStr">
        <is>
          <t>Primary</t>
        </is>
      </c>
      <c r="N585" s="39">
        <f>IFERROR(IF(ISNUMBER(SEARCH(D585,INDEX(Pages!$J$2:$J$829,MATCH(A585,Pages!$B$2:$B$829,0)))),"Yes","No"),"Page not found")</f>
        <v/>
      </c>
      <c r="O585" s="25" t="inlineStr">
        <is>
          <t>(none seen)</t>
        </is>
      </c>
      <c r="P585" s="25" t="inlineStr">
        <is>
          <t>Page exists but is noindex until an editor adds a 300+ character local intro (Admin → SEO → Page overrides).</t>
        </is>
      </c>
    </row>
    <row r="586" ht="23.85" customHeight="1" s="22">
      <c r="A586" s="36" t="inlineStr">
        <is>
          <t>https://instasure.ca/business-insurance/ontario/kingston/</t>
        </is>
      </c>
      <c r="B586" s="36" t="inlineStr">
        <is>
          <t>Product × city</t>
        </is>
      </c>
      <c r="C586" s="36" t="inlineStr">
        <is>
          <t>Business insurance</t>
        </is>
      </c>
      <c r="D586" s="36" t="inlineStr">
        <is>
          <t>business insurance kingston</t>
        </is>
      </c>
      <c r="E586" s="36" t="inlineStr">
        <is>
          <t>City</t>
        </is>
      </c>
      <c r="F586" s="36" t="inlineStr">
        <is>
          <t>Ontario</t>
        </is>
      </c>
      <c r="G586" s="36" t="inlineStr">
        <is>
          <t>Kingston</t>
        </is>
      </c>
      <c r="H586" s="37" t="n">
        <v>52</v>
      </c>
      <c r="I586" s="36" t="n">
        <v>33</v>
      </c>
      <c r="J586" s="36" t="inlineStr">
        <is>
          <t>local</t>
        </is>
      </c>
      <c r="K586" s="36" t="inlineStr">
        <is>
          <t>business-local</t>
        </is>
      </c>
      <c r="L586" s="36" t="n">
        <v>4</v>
      </c>
      <c r="M586" s="36" t="inlineStr">
        <is>
          <t>Primary</t>
        </is>
      </c>
      <c r="N586" s="39">
        <f>IFERROR(IF(ISNUMBER(SEARCH(D586,INDEX(Pages!$J$2:$J$829,MATCH(A586,Pages!$B$2:$B$829,0)))),"Yes","No"),"Page not found")</f>
        <v/>
      </c>
      <c r="O586" s="25" t="inlineStr">
        <is>
          <t>(none seen)</t>
        </is>
      </c>
      <c r="P586" s="25" t="inlineStr">
        <is>
          <t>Page exists but is noindex until an editor adds a 300+ character local intro (Admin → SEO → Page overrides).</t>
        </is>
      </c>
    </row>
    <row r="587" ht="23.85" customHeight="1" s="22">
      <c r="A587" s="36" t="inlineStr">
        <is>
          <t>https://instasure.ca/business-insurance/ontario/milton/</t>
        </is>
      </c>
      <c r="B587" s="36" t="inlineStr">
        <is>
          <t>Product × city</t>
        </is>
      </c>
      <c r="C587" s="36" t="inlineStr">
        <is>
          <t>Business insurance</t>
        </is>
      </c>
      <c r="D587" s="36" t="inlineStr">
        <is>
          <t>business insurance milton</t>
        </is>
      </c>
      <c r="E587" s="36" t="inlineStr">
        <is>
          <t>City</t>
        </is>
      </c>
      <c r="F587" s="36" t="inlineStr">
        <is>
          <t>Ontario</t>
        </is>
      </c>
      <c r="G587" s="36" t="inlineStr">
        <is>
          <t>Milton</t>
        </is>
      </c>
      <c r="H587" s="37" t="n">
        <v>52</v>
      </c>
      <c r="I587" s="36" t="n">
        <v>25</v>
      </c>
      <c r="J587" s="36" t="inlineStr">
        <is>
          <t>local</t>
        </is>
      </c>
      <c r="K587" s="36" t="inlineStr">
        <is>
          <t>business-local</t>
        </is>
      </c>
      <c r="L587" s="36" t="n">
        <v>4</v>
      </c>
      <c r="M587" s="36" t="inlineStr">
        <is>
          <t>Primary</t>
        </is>
      </c>
      <c r="N587" s="39">
        <f>IFERROR(IF(ISNUMBER(SEARCH(D587,INDEX(Pages!$J$2:$J$829,MATCH(A587,Pages!$B$2:$B$829,0)))),"Yes","No"),"Page not found")</f>
        <v/>
      </c>
      <c r="O587" s="25" t="inlineStr">
        <is>
          <t>(none seen)</t>
        </is>
      </c>
      <c r="P587" s="25" t="inlineStr">
        <is>
          <t>Page exists but is noindex until an editor adds a 300+ character local intro (Admin → SEO → Page overrides).</t>
        </is>
      </c>
    </row>
    <row r="588" ht="23.85" customHeight="1" s="22">
      <c r="A588" s="36" t="inlineStr">
        <is>
          <t>https://instasure.ca/condo-insurance/british-columbia/langley/</t>
        </is>
      </c>
      <c r="B588" s="36" t="inlineStr">
        <is>
          <t>Product × city</t>
        </is>
      </c>
      <c r="C588" s="36" t="inlineStr">
        <is>
          <t>Condo insurance</t>
        </is>
      </c>
      <c r="D588" s="36" t="inlineStr">
        <is>
          <t>condo insurance langley</t>
        </is>
      </c>
      <c r="E588" s="36" t="inlineStr">
        <is>
          <t>City</t>
        </is>
      </c>
      <c r="F588" s="36" t="inlineStr">
        <is>
          <t>British Columbia</t>
        </is>
      </c>
      <c r="G588" s="36" t="inlineStr">
        <is>
          <t>Langley</t>
        </is>
      </c>
      <c r="H588" s="37" t="n">
        <v>52</v>
      </c>
      <c r="I588" s="36" t="n">
        <v>24</v>
      </c>
      <c r="J588" s="36" t="inlineStr">
        <is>
          <t>local</t>
        </is>
      </c>
      <c r="K588" s="36" t="inlineStr">
        <is>
          <t>property-local</t>
        </is>
      </c>
      <c r="L588" s="36" t="n">
        <v>5</v>
      </c>
      <c r="M588" s="36" t="inlineStr">
        <is>
          <t>Primary</t>
        </is>
      </c>
      <c r="N588" s="39">
        <f>IFERROR(IF(ISNUMBER(SEARCH(D588,INDEX(Pages!$J$2:$J$829,MATCH(A588,Pages!$B$2:$B$829,0)))),"Yes","No"),"Page not found")</f>
        <v/>
      </c>
      <c r="O588" s="25" t="inlineStr">
        <is>
          <t>(none seen)</t>
        </is>
      </c>
      <c r="P588" s="25" t="inlineStr">
        <is>
          <t>Page exists but is noindex until an editor adds a 300+ character local intro (Admin → SEO → Page overrides).</t>
        </is>
      </c>
    </row>
    <row r="589" ht="15" customHeight="1" s="22">
      <c r="A589" s="36" t="inlineStr">
        <is>
          <t>https://instasure.ca/condo-insurance/ontario/kingston/</t>
        </is>
      </c>
      <c r="B589" s="36" t="inlineStr">
        <is>
          <t>Product × city</t>
        </is>
      </c>
      <c r="C589" s="36" t="inlineStr">
        <is>
          <t>Condo insurance</t>
        </is>
      </c>
      <c r="D589" s="36" t="inlineStr">
        <is>
          <t>condo insurance kingston</t>
        </is>
      </c>
      <c r="E589" s="36" t="inlineStr">
        <is>
          <t>City</t>
        </is>
      </c>
      <c r="F589" s="36" t="inlineStr">
        <is>
          <t>Ontario</t>
        </is>
      </c>
      <c r="G589" s="36" t="inlineStr">
        <is>
          <t>Kingston</t>
        </is>
      </c>
      <c r="H589" s="37" t="n">
        <v>52</v>
      </c>
      <c r="I589" s="36" t="n">
        <v>40</v>
      </c>
      <c r="J589" s="36" t="inlineStr">
        <is>
          <t>local</t>
        </is>
      </c>
      <c r="K589" s="36" t="inlineStr">
        <is>
          <t>property-local</t>
        </is>
      </c>
      <c r="L589" s="36" t="n">
        <v>5</v>
      </c>
      <c r="M589" s="36" t="inlineStr">
        <is>
          <t>Primary</t>
        </is>
      </c>
      <c r="N589" s="39">
        <f>IFERROR(IF(ISNUMBER(SEARCH(D589,INDEX(Pages!$J$2:$J$829,MATCH(A589,Pages!$B$2:$B$829,0)))),"Yes","No"),"Page not found")</f>
        <v/>
      </c>
      <c r="O589" s="25" t="inlineStr">
        <is>
          <t>(none seen)</t>
        </is>
      </c>
      <c r="P589" s="25" t="n"/>
    </row>
    <row r="590" ht="23.85" customHeight="1" s="22">
      <c r="A590" s="36" t="inlineStr">
        <is>
          <t>https://instasure.ca/condo-insurance/ontario/milton/</t>
        </is>
      </c>
      <c r="B590" s="36" t="inlineStr">
        <is>
          <t>Product × city</t>
        </is>
      </c>
      <c r="C590" s="36" t="inlineStr">
        <is>
          <t>Condo insurance</t>
        </is>
      </c>
      <c r="D590" s="36" t="inlineStr">
        <is>
          <t>condo insurance milton</t>
        </is>
      </c>
      <c r="E590" s="36" t="inlineStr">
        <is>
          <t>City</t>
        </is>
      </c>
      <c r="F590" s="36" t="inlineStr">
        <is>
          <t>Ontario</t>
        </is>
      </c>
      <c r="G590" s="36" t="inlineStr">
        <is>
          <t>Milton</t>
        </is>
      </c>
      <c r="H590" s="37" t="n">
        <v>52</v>
      </c>
      <c r="I590" s="36" t="n">
        <v>32</v>
      </c>
      <c r="J590" s="36" t="inlineStr">
        <is>
          <t>local</t>
        </is>
      </c>
      <c r="K590" s="36" t="inlineStr">
        <is>
          <t>property-local</t>
        </is>
      </c>
      <c r="L590" s="36" t="n">
        <v>5</v>
      </c>
      <c r="M590" s="36" t="inlineStr">
        <is>
          <t>Primary</t>
        </is>
      </c>
      <c r="N590" s="39">
        <f>IFERROR(IF(ISNUMBER(SEARCH(D590,INDEX(Pages!$J$2:$J$829,MATCH(A590,Pages!$B$2:$B$829,0)))),"Yes","No"),"Page not found")</f>
        <v/>
      </c>
      <c r="O590" s="25" t="inlineStr">
        <is>
          <t>(none seen)</t>
        </is>
      </c>
      <c r="P590" s="25" t="inlineStr">
        <is>
          <t>Page exists but is noindex until an editor adds a 300+ character local intro (Admin → SEO → Page overrides).</t>
        </is>
      </c>
    </row>
    <row r="591" ht="15" customHeight="1" s="22">
      <c r="A591" s="36" t="inlineStr">
        <is>
          <t>https://instasure.ca/insurance/newfoundland-and-labrador/st-johns/</t>
        </is>
      </c>
      <c r="B591" s="36" t="inlineStr">
        <is>
          <t>Place hub</t>
        </is>
      </c>
      <c r="C591" s="36" t="inlineStr">
        <is>
          <t>Multi-line (place hubs)</t>
        </is>
      </c>
      <c r="D591" s="36" t="inlineStr">
        <is>
          <t>insurance advisor st johns</t>
        </is>
      </c>
      <c r="E591" s="36" t="inlineStr">
        <is>
          <t>City</t>
        </is>
      </c>
      <c r="F591" s="36" t="inlineStr">
        <is>
          <t>Newfoundland and Labrador</t>
        </is>
      </c>
      <c r="G591" s="36" t="inlineStr">
        <is>
          <t>St. John’s</t>
        </is>
      </c>
      <c r="H591" s="37" t="n">
        <v>52</v>
      </c>
      <c r="I591" s="36" t="n">
        <v>30</v>
      </c>
      <c r="J591" s="36" t="inlineStr">
        <is>
          <t>local</t>
        </is>
      </c>
      <c r="K591" s="36" t="inlineStr">
        <is>
          <t>advisors</t>
        </is>
      </c>
      <c r="L591" s="36" t="n">
        <v>4</v>
      </c>
      <c r="M591" s="36" t="inlineStr">
        <is>
          <t>Primary</t>
        </is>
      </c>
      <c r="N591" s="39">
        <f>IFERROR(IF(ISNUMBER(SEARCH(D591,INDEX(Pages!$J$2:$J$829,MATCH(A591,Pages!$B$2:$B$829,0)))),"Yes","No"),"Page not found")</f>
        <v/>
      </c>
      <c r="O591" s="25" t="inlineStr">
        <is>
          <t>local brokers, thinkinsure, rates.ca (broker pages)</t>
        </is>
      </c>
      <c r="P591" s="25" t="inlineStr">
        <is>
          <t>City hub. Add a Google Business Profile only where an advisor really works from that city.</t>
        </is>
      </c>
    </row>
    <row r="592" ht="15" customHeight="1" s="22">
      <c r="A592" s="36" t="inlineStr">
        <is>
          <t>https://instasure.ca/mortgage-life-insurance/alberta/</t>
        </is>
      </c>
      <c r="B592" s="36" t="inlineStr">
        <is>
          <t>Product × province</t>
        </is>
      </c>
      <c r="C592" s="36" t="inlineStr">
        <is>
          <t>Mortgage protection</t>
        </is>
      </c>
      <c r="D592" s="36" t="inlineStr">
        <is>
          <t>mortgage life insurance alberta</t>
        </is>
      </c>
      <c r="E592" s="36" t="inlineStr">
        <is>
          <t>Provincial</t>
        </is>
      </c>
      <c r="F592" s="36" t="inlineStr">
        <is>
          <t>Alberta</t>
        </is>
      </c>
      <c r="G592" s="36" t="n"/>
      <c r="H592" s="37" t="n">
        <v>52</v>
      </c>
      <c r="I592" s="36" t="n">
        <v>29</v>
      </c>
      <c r="J592" s="36" t="inlineStr">
        <is>
          <t>commercial</t>
        </is>
      </c>
      <c r="K592" s="36" t="inlineStr">
        <is>
          <t>life-mortgage</t>
        </is>
      </c>
      <c r="L592" s="36" t="n">
        <v>3</v>
      </c>
      <c r="M592" s="36" t="inlineStr">
        <is>
          <t>Primary</t>
        </is>
      </c>
      <c r="N592" s="39">
        <f>IFERROR(IF(ISNUMBER(SEARCH(D592,INDEX(Pages!$J$2:$J$829,MATCH(A592,Pages!$B$2:$B$829,0)))),"Yes","No"),"Page not found")</f>
        <v/>
      </c>
      <c r="O592" s="25" t="inlineStr">
        <is>
          <t>(none seen)</t>
        </is>
      </c>
      <c r="P592" s="25" t="n"/>
    </row>
    <row r="593" ht="15" customHeight="1" s="22">
      <c r="A593" s="36" t="inlineStr">
        <is>
          <t>https://instasure.ca/group-benefits/british-columbia/</t>
        </is>
      </c>
      <c r="B593" s="36" t="inlineStr">
        <is>
          <t>Product × province</t>
        </is>
      </c>
      <c r="C593" s="36" t="inlineStr">
        <is>
          <t>Group benefits</t>
        </is>
      </c>
      <c r="D593" s="36" t="inlineStr">
        <is>
          <t>group benefits bc</t>
        </is>
      </c>
      <c r="E593" s="36" t="inlineStr">
        <is>
          <t>Provincial</t>
        </is>
      </c>
      <c r="F593" s="36" t="inlineStr">
        <is>
          <t>British Columbia</t>
        </is>
      </c>
      <c r="G593" s="36" t="n"/>
      <c r="H593" s="37" t="n">
        <v>51</v>
      </c>
      <c r="I593" s="36" t="n">
        <v>33</v>
      </c>
      <c r="J593" s="36" t="inlineStr">
        <is>
          <t>commercial</t>
        </is>
      </c>
      <c r="K593" s="36" t="inlineStr">
        <is>
          <t>business-benefits</t>
        </is>
      </c>
      <c r="L593" s="36" t="n">
        <v>2</v>
      </c>
      <c r="M593" s="36" t="inlineStr">
        <is>
          <t>Primary</t>
        </is>
      </c>
      <c r="N593" s="39">
        <f>IFERROR(IF(ISNUMBER(SEARCH(D593,INDEX(Pages!$J$2:$J$829,MATCH(A593,Pages!$B$2:$B$829,0)))),"Yes","No"),"Page not found")</f>
        <v/>
      </c>
      <c r="O593" s="25" t="inlineStr">
        <is>
          <t>policyadvisor</t>
        </is>
      </c>
      <c r="P593" s="25" t="n"/>
    </row>
    <row r="594" ht="23.85" customHeight="1" s="22">
      <c r="A594" s="36" t="inlineStr">
        <is>
          <t>https://instasure.ca/life-insurance/new-brunswick/moncton/</t>
        </is>
      </c>
      <c r="B594" s="36" t="inlineStr">
        <is>
          <t>Product × city</t>
        </is>
      </c>
      <c r="C594" s="36" t="inlineStr">
        <is>
          <t>Life insurance</t>
        </is>
      </c>
      <c r="D594" s="36" t="inlineStr">
        <is>
          <t>life insurance moncton</t>
        </is>
      </c>
      <c r="E594" s="36" t="inlineStr">
        <is>
          <t>City</t>
        </is>
      </c>
      <c r="F594" s="36" t="inlineStr">
        <is>
          <t>New Brunswick</t>
        </is>
      </c>
      <c r="G594" s="36" t="inlineStr">
        <is>
          <t>Moncton</t>
        </is>
      </c>
      <c r="H594" s="37" t="n">
        <v>51</v>
      </c>
      <c r="I594" s="36" t="n">
        <v>27</v>
      </c>
      <c r="J594" s="36" t="inlineStr">
        <is>
          <t>local</t>
        </is>
      </c>
      <c r="K594" s="36" t="inlineStr">
        <is>
          <t>life-local</t>
        </is>
      </c>
      <c r="L594" s="36" t="n">
        <v>3</v>
      </c>
      <c r="M594" s="36" t="inlineStr">
        <is>
          <t>Primary</t>
        </is>
      </c>
      <c r="N594" s="39">
        <f>IFERROR(IF(ISNUMBER(SEARCH(D594,INDEX(Pages!$J$2:$J$829,MATCH(A594,Pages!$B$2:$B$829,0)))),"Yes","No"),"Page not found")</f>
        <v/>
      </c>
      <c r="O594" s="25" t="inlineStr">
        <is>
          <t>(none seen)</t>
        </is>
      </c>
      <c r="P594" s="25" t="inlineStr">
        <is>
          <t>Page exists but is noindex until an editor adds a 300+ character local intro (Admin → SEO → Page overrides).</t>
        </is>
      </c>
    </row>
    <row r="595" ht="23.85" customHeight="1" s="22">
      <c r="A595" s="36" t="inlineStr">
        <is>
          <t>https://instasure.ca/business-insurance/ontario/ajax/</t>
        </is>
      </c>
      <c r="B595" s="36" t="inlineStr">
        <is>
          <t>Product × city</t>
        </is>
      </c>
      <c r="C595" s="36" t="inlineStr">
        <is>
          <t>Business insurance</t>
        </is>
      </c>
      <c r="D595" s="36" t="inlineStr">
        <is>
          <t>business insurance ajax</t>
        </is>
      </c>
      <c r="E595" s="36" t="inlineStr">
        <is>
          <t>City</t>
        </is>
      </c>
      <c r="F595" s="36" t="inlineStr">
        <is>
          <t>Ontario</t>
        </is>
      </c>
      <c r="G595" s="36" t="inlineStr">
        <is>
          <t>Ajax</t>
        </is>
      </c>
      <c r="H595" s="37" t="n">
        <v>50</v>
      </c>
      <c r="I595" s="36" t="n">
        <v>25</v>
      </c>
      <c r="J595" s="36" t="inlineStr">
        <is>
          <t>local</t>
        </is>
      </c>
      <c r="K595" s="36" t="inlineStr">
        <is>
          <t>business-local</t>
        </is>
      </c>
      <c r="L595" s="36" t="n">
        <v>4</v>
      </c>
      <c r="M595" s="36" t="inlineStr">
        <is>
          <t>Primary</t>
        </is>
      </c>
      <c r="N595" s="39">
        <f>IFERROR(IF(ISNUMBER(SEARCH(D595,INDEX(Pages!$J$2:$J$829,MATCH(A595,Pages!$B$2:$B$829,0)))),"Yes","No"),"Page not found")</f>
        <v/>
      </c>
      <c r="O595" s="25" t="inlineStr">
        <is>
          <t>(none seen)</t>
        </is>
      </c>
      <c r="P595" s="25" t="inlineStr">
        <is>
          <t>Page exists but is noindex until an editor adds a 300+ character local intro (Admin → SEO → Page overrides).</t>
        </is>
      </c>
    </row>
    <row r="596" ht="23.85" customHeight="1" s="22">
      <c r="A596" s="36" t="inlineStr">
        <is>
          <t>https://instasure.ca/condo-insurance/ontario/ajax/</t>
        </is>
      </c>
      <c r="B596" s="36" t="inlineStr">
        <is>
          <t>Product × city</t>
        </is>
      </c>
      <c r="C596" s="36" t="inlineStr">
        <is>
          <t>Condo insurance</t>
        </is>
      </c>
      <c r="D596" s="36" t="inlineStr">
        <is>
          <t>condo insurance ajax</t>
        </is>
      </c>
      <c r="E596" s="36" t="inlineStr">
        <is>
          <t>City</t>
        </is>
      </c>
      <c r="F596" s="36" t="inlineStr">
        <is>
          <t>Ontario</t>
        </is>
      </c>
      <c r="G596" s="36" t="inlineStr">
        <is>
          <t>Ajax</t>
        </is>
      </c>
      <c r="H596" s="37" t="n">
        <v>50</v>
      </c>
      <c r="I596" s="36" t="n">
        <v>32</v>
      </c>
      <c r="J596" s="36" t="inlineStr">
        <is>
          <t>local</t>
        </is>
      </c>
      <c r="K596" s="36" t="inlineStr">
        <is>
          <t>property-local</t>
        </is>
      </c>
      <c r="L596" s="36" t="n">
        <v>5</v>
      </c>
      <c r="M596" s="36" t="inlineStr">
        <is>
          <t>Primary</t>
        </is>
      </c>
      <c r="N596" s="39">
        <f>IFERROR(IF(ISNUMBER(SEARCH(D596,INDEX(Pages!$J$2:$J$829,MATCH(A596,Pages!$B$2:$B$829,0)))),"Yes","No"),"Page not found")</f>
        <v/>
      </c>
      <c r="O596" s="25" t="inlineStr">
        <is>
          <t>(none seen)</t>
        </is>
      </c>
      <c r="P596" s="25" t="inlineStr">
        <is>
          <t>Page exists but is noindex until an editor adds a 300+ character local intro (Admin → SEO → Page overrides).</t>
        </is>
      </c>
    </row>
    <row r="597" ht="15" customHeight="1" s="22">
      <c r="A597" s="36" t="inlineStr">
        <is>
          <t>https://instasure.ca/super-visa-insurance/saskatchewan/</t>
        </is>
      </c>
      <c r="B597" s="36" t="inlineStr">
        <is>
          <t>Product × province</t>
        </is>
      </c>
      <c r="C597" s="36" t="inlineStr">
        <is>
          <t>Super Visa &amp; visitors insurance</t>
        </is>
      </c>
      <c r="D597" s="36" t="inlineStr">
        <is>
          <t>super visa insurance saskatchewan</t>
        </is>
      </c>
      <c r="E597" s="36" t="inlineStr">
        <is>
          <t>Provincial</t>
        </is>
      </c>
      <c r="F597" s="36" t="inlineStr">
        <is>
          <t>Saskatchewan</t>
        </is>
      </c>
      <c r="G597" s="36" t="n"/>
      <c r="H597" s="37" t="n">
        <v>50</v>
      </c>
      <c r="I597" s="36" t="n">
        <v>24</v>
      </c>
      <c r="J597" s="36" t="inlineStr">
        <is>
          <t>commercial</t>
        </is>
      </c>
      <c r="K597" s="36" t="inlineStr">
        <is>
          <t>travel-visitors</t>
        </is>
      </c>
      <c r="L597" s="36" t="n">
        <v>4</v>
      </c>
      <c r="M597" s="36" t="inlineStr">
        <is>
          <t>Primary</t>
        </is>
      </c>
      <c r="N597" s="39">
        <f>IFERROR(IF(ISNUMBER(SEARCH(D597,INDEX(Pages!$J$2:$J$829,MATCH(A597,Pages!$B$2:$B$829,0)))),"Yes","No"),"Page not found")</f>
        <v/>
      </c>
      <c r="O597" s="25" t="inlineStr">
        <is>
          <t>(none seen)</t>
        </is>
      </c>
      <c r="P597" s="25" t="inlineStr">
        <is>
          <t>Province page targets super visa buyers sponsoring parents locally.</t>
        </is>
      </c>
    </row>
    <row r="598" ht="15" customHeight="1" s="22">
      <c r="A598" s="36" t="inlineStr">
        <is>
          <t>https://instasure.ca/super-visa-insurance/saskatchewan/saskatoon/</t>
        </is>
      </c>
      <c r="B598" s="36" t="inlineStr">
        <is>
          <t>Product × city</t>
        </is>
      </c>
      <c r="C598" s="36" t="inlineStr">
        <is>
          <t>Super Visa &amp; visitors insurance</t>
        </is>
      </c>
      <c r="D598" s="36" t="inlineStr">
        <is>
          <t>super visa insurance saskatoon</t>
        </is>
      </c>
      <c r="E598" s="36" t="inlineStr">
        <is>
          <t>City</t>
        </is>
      </c>
      <c r="F598" s="36" t="inlineStr">
        <is>
          <t>Saskatchewan</t>
        </is>
      </c>
      <c r="G598" s="36" t="inlineStr">
        <is>
          <t>Saskatoon</t>
        </is>
      </c>
      <c r="H598" s="37" t="n">
        <v>49</v>
      </c>
      <c r="I598" s="36" t="n">
        <v>28</v>
      </c>
      <c r="J598" s="36" t="inlineStr">
        <is>
          <t>local</t>
        </is>
      </c>
      <c r="K598" s="36" t="inlineStr">
        <is>
          <t>travel-visitors</t>
        </is>
      </c>
      <c r="L598" s="36" t="n">
        <v>4</v>
      </c>
      <c r="M598" s="36" t="inlineStr">
        <is>
          <t>Primary</t>
        </is>
      </c>
      <c r="N598" s="39">
        <f>IFERROR(IF(ISNUMBER(SEARCH(D598,INDEX(Pages!$J$2:$J$829,MATCH(A598,Pages!$B$2:$B$829,0)))),"Yes","No"),"Page not found")</f>
        <v/>
      </c>
      <c r="O598" s="25" t="inlineStr">
        <is>
          <t>(none seen)</t>
        </is>
      </c>
      <c r="P598" s="25" t="n"/>
    </row>
    <row r="599" ht="23.85" customHeight="1" s="22">
      <c r="A599" s="36" t="inlineStr">
        <is>
          <t>https://instasure.ca/business-insurance/ontario/waterloo/</t>
        </is>
      </c>
      <c r="B599" s="36" t="inlineStr">
        <is>
          <t>Product × city</t>
        </is>
      </c>
      <c r="C599" s="36" t="inlineStr">
        <is>
          <t>Business insurance</t>
        </is>
      </c>
      <c r="D599" s="36" t="inlineStr">
        <is>
          <t>business insurance waterloo</t>
        </is>
      </c>
      <c r="E599" s="36" t="inlineStr">
        <is>
          <t>City</t>
        </is>
      </c>
      <c r="F599" s="36" t="inlineStr">
        <is>
          <t>Ontario</t>
        </is>
      </c>
      <c r="G599" s="36" t="inlineStr">
        <is>
          <t>Waterloo</t>
        </is>
      </c>
      <c r="H599" s="37" t="n">
        <v>48</v>
      </c>
      <c r="I599" s="36" t="n">
        <v>33</v>
      </c>
      <c r="J599" s="36" t="inlineStr">
        <is>
          <t>local</t>
        </is>
      </c>
      <c r="K599" s="36" t="inlineStr">
        <is>
          <t>business-local</t>
        </is>
      </c>
      <c r="L599" s="36" t="n">
        <v>4</v>
      </c>
      <c r="M599" s="36" t="inlineStr">
        <is>
          <t>Primary</t>
        </is>
      </c>
      <c r="N599" s="39">
        <f>IFERROR(IF(ISNUMBER(SEARCH(D599,INDEX(Pages!$J$2:$J$829,MATCH(A599,Pages!$B$2:$B$829,0)))),"Yes","No"),"Page not found")</f>
        <v/>
      </c>
      <c r="O599" s="25" t="inlineStr">
        <is>
          <t>(none seen)</t>
        </is>
      </c>
      <c r="P599" s="25" t="inlineStr">
        <is>
          <t>Page exists but is noindex until an editor adds a 300+ character local intro (Admin → SEO → Page overrides).</t>
        </is>
      </c>
    </row>
    <row r="600" ht="15" customHeight="1" s="22">
      <c r="A600" s="36" t="inlineStr">
        <is>
          <t>https://instasure.ca/business-insurance/quebec/quebec-city/</t>
        </is>
      </c>
      <c r="B600" s="36" t="inlineStr">
        <is>
          <t>Product × city</t>
        </is>
      </c>
      <c r="C600" s="36" t="inlineStr">
        <is>
          <t>Business insurance</t>
        </is>
      </c>
      <c r="D600" s="36" t="inlineStr">
        <is>
          <t>business insurance quebec city</t>
        </is>
      </c>
      <c r="E600" s="36" t="inlineStr">
        <is>
          <t>City</t>
        </is>
      </c>
      <c r="F600" s="36" t="inlineStr">
        <is>
          <t>Quebec</t>
        </is>
      </c>
      <c r="G600" s="36" t="inlineStr">
        <is>
          <t>Quebec City</t>
        </is>
      </c>
      <c r="H600" s="37" t="n">
        <v>48</v>
      </c>
      <c r="I600" s="36" t="n">
        <v>33</v>
      </c>
      <c r="J600" s="36" t="inlineStr">
        <is>
          <t>local</t>
        </is>
      </c>
      <c r="K600" s="36" t="inlineStr">
        <is>
          <t>business-local</t>
        </is>
      </c>
      <c r="L600" s="36" t="n">
        <v>5</v>
      </c>
      <c r="M600" s="36" t="inlineStr">
        <is>
          <t>Primary</t>
        </is>
      </c>
      <c r="N600" s="39">
        <f>IFERROR(IF(ISNUMBER(SEARCH(D600,INDEX(Pages!$J$2:$J$829,MATCH(A600,Pages!$B$2:$B$829,0)))),"Yes","No"),"Page not found")</f>
        <v/>
      </c>
      <c r="O600" s="25" t="inlineStr">
        <is>
          <t>(none seen)</t>
        </is>
      </c>
      <c r="P600" s="25" t="inlineStr">
        <is>
          <t>Quebec waitlist until AMF registration.</t>
        </is>
      </c>
    </row>
    <row r="601" ht="15" customHeight="1" s="22">
      <c r="A601" s="36" t="inlineStr">
        <is>
          <t>https://instasure.ca/condo-insurance/new-brunswick/</t>
        </is>
      </c>
      <c r="B601" s="36" t="inlineStr">
        <is>
          <t>Product × province</t>
        </is>
      </c>
      <c r="C601" s="36" t="inlineStr">
        <is>
          <t>Condo insurance</t>
        </is>
      </c>
      <c r="D601" s="36" t="inlineStr">
        <is>
          <t>condo insurance new brunswick</t>
        </is>
      </c>
      <c r="E601" s="36" t="inlineStr">
        <is>
          <t>Provincial</t>
        </is>
      </c>
      <c r="F601" s="36" t="inlineStr">
        <is>
          <t>New Brunswick</t>
        </is>
      </c>
      <c r="G601" s="36" t="n"/>
      <c r="H601" s="37" t="n">
        <v>48</v>
      </c>
      <c r="I601" s="36" t="n">
        <v>33</v>
      </c>
      <c r="J601" s="36" t="inlineStr">
        <is>
          <t>commercial</t>
        </is>
      </c>
      <c r="K601" s="36" t="inlineStr">
        <is>
          <t>property-province</t>
        </is>
      </c>
      <c r="L601" s="36" t="n">
        <v>5</v>
      </c>
      <c r="M601" s="36" t="inlineStr">
        <is>
          <t>Primary</t>
        </is>
      </c>
      <c r="N601" s="39">
        <f>IFERROR(IF(ISNUMBER(SEARCH(D601,INDEX(Pages!$J$2:$J$829,MATCH(A601,Pages!$B$2:$B$829,0)))),"Yes","No"),"Page not found")</f>
        <v/>
      </c>
      <c r="O601" s="25" t="inlineStr">
        <is>
          <t>sonnet</t>
        </is>
      </c>
      <c r="P601" s="25" t="n"/>
    </row>
    <row r="602" ht="15" customHeight="1" s="22">
      <c r="A602" s="36" t="inlineStr">
        <is>
          <t>https://instasure.ca/condo-insurance/ontario/waterloo/</t>
        </is>
      </c>
      <c r="B602" s="36" t="inlineStr">
        <is>
          <t>Product × city</t>
        </is>
      </c>
      <c r="C602" s="36" t="inlineStr">
        <is>
          <t>Condo insurance</t>
        </is>
      </c>
      <c r="D602" s="36" t="inlineStr">
        <is>
          <t>condo insurance waterloo</t>
        </is>
      </c>
      <c r="E602" s="36" t="inlineStr">
        <is>
          <t>City</t>
        </is>
      </c>
      <c r="F602" s="36" t="inlineStr">
        <is>
          <t>Ontario</t>
        </is>
      </c>
      <c r="G602" s="36" t="inlineStr">
        <is>
          <t>Waterloo</t>
        </is>
      </c>
      <c r="H602" s="37" t="n">
        <v>48</v>
      </c>
      <c r="I602" s="36" t="n">
        <v>40</v>
      </c>
      <c r="J602" s="36" t="inlineStr">
        <is>
          <t>local</t>
        </is>
      </c>
      <c r="K602" s="36" t="inlineStr">
        <is>
          <t>property-local</t>
        </is>
      </c>
      <c r="L602" s="36" t="n">
        <v>5</v>
      </c>
      <c r="M602" s="36" t="inlineStr">
        <is>
          <t>Primary</t>
        </is>
      </c>
      <c r="N602" s="39">
        <f>IFERROR(IF(ISNUMBER(SEARCH(D602,INDEX(Pages!$J$2:$J$829,MATCH(A602,Pages!$B$2:$B$829,0)))),"Yes","No"),"Page not found")</f>
        <v/>
      </c>
      <c r="O602" s="25" t="inlineStr">
        <is>
          <t>(none seen)</t>
        </is>
      </c>
      <c r="P602" s="25" t="n"/>
    </row>
    <row r="603" ht="15" customHeight="1" s="22">
      <c r="A603" s="36" t="inlineStr">
        <is>
          <t>https://instasure.ca/condo-insurance/quebec/quebec-city/</t>
        </is>
      </c>
      <c r="B603" s="36" t="inlineStr">
        <is>
          <t>Product × city</t>
        </is>
      </c>
      <c r="C603" s="36" t="inlineStr">
        <is>
          <t>Condo insurance</t>
        </is>
      </c>
      <c r="D603" s="36" t="inlineStr">
        <is>
          <t>condo insurance quebec city</t>
        </is>
      </c>
      <c r="E603" s="36" t="inlineStr">
        <is>
          <t>City</t>
        </is>
      </c>
      <c r="F603" s="36" t="inlineStr">
        <is>
          <t>Quebec</t>
        </is>
      </c>
      <c r="G603" s="36" t="inlineStr">
        <is>
          <t>Quebec City</t>
        </is>
      </c>
      <c r="H603" s="37" t="n">
        <v>48</v>
      </c>
      <c r="I603" s="36" t="n">
        <v>40</v>
      </c>
      <c r="J603" s="36" t="inlineStr">
        <is>
          <t>local</t>
        </is>
      </c>
      <c r="K603" s="36" t="inlineStr">
        <is>
          <t>property-local</t>
        </is>
      </c>
      <c r="L603" s="36" t="n">
        <v>5</v>
      </c>
      <c r="M603" s="36" t="inlineStr">
        <is>
          <t>Primary</t>
        </is>
      </c>
      <c r="N603" s="39">
        <f>IFERROR(IF(ISNUMBER(SEARCH(D603,INDEX(Pages!$J$2:$J$829,MATCH(A603,Pages!$B$2:$B$829,0)))),"Yes","No"),"Page not found")</f>
        <v/>
      </c>
      <c r="O603" s="25" t="inlineStr">
        <is>
          <t>(none seen)</t>
        </is>
      </c>
      <c r="P603" s="25" t="inlineStr">
        <is>
          <t>Quebec waitlist until AMF registration.</t>
        </is>
      </c>
    </row>
    <row r="604" ht="23.85" customHeight="1" s="22">
      <c r="A604" s="36" t="inlineStr">
        <is>
          <t>https://instasure.ca/life-insurance/alberta/airdrie/</t>
        </is>
      </c>
      <c r="B604" s="36" t="inlineStr">
        <is>
          <t>Product × city</t>
        </is>
      </c>
      <c r="C604" s="36" t="inlineStr">
        <is>
          <t>Life insurance</t>
        </is>
      </c>
      <c r="D604" s="36" t="inlineStr">
        <is>
          <t>life insurance airdrie</t>
        </is>
      </c>
      <c r="E604" s="36" t="inlineStr">
        <is>
          <t>City</t>
        </is>
      </c>
      <c r="F604" s="36" t="inlineStr">
        <is>
          <t>Alberta</t>
        </is>
      </c>
      <c r="G604" s="36" t="inlineStr">
        <is>
          <t>Airdrie</t>
        </is>
      </c>
      <c r="H604" s="37" t="n">
        <v>48</v>
      </c>
      <c r="I604" s="36" t="n">
        <v>19</v>
      </c>
      <c r="J604" s="36" t="inlineStr">
        <is>
          <t>local</t>
        </is>
      </c>
      <c r="K604" s="36" t="inlineStr">
        <is>
          <t>life-local</t>
        </is>
      </c>
      <c r="L604" s="36" t="n">
        <v>3</v>
      </c>
      <c r="M604" s="36" t="inlineStr">
        <is>
          <t>Primary</t>
        </is>
      </c>
      <c r="N604" s="39">
        <f>IFERROR(IF(ISNUMBER(SEARCH(D604,INDEX(Pages!$J$2:$J$829,MATCH(A604,Pages!$B$2:$B$829,0)))),"Yes","No"),"Page not found")</f>
        <v/>
      </c>
      <c r="O604" s="25" t="inlineStr">
        <is>
          <t>(none seen)</t>
        </is>
      </c>
      <c r="P604" s="25" t="inlineStr">
        <is>
          <t>Page exists but is noindex until an editor adds a 300+ character local intro (Admin → SEO → Page overrides).</t>
        </is>
      </c>
    </row>
    <row r="605" ht="15" customHeight="1" s="22">
      <c r="A605" s="36" t="inlineStr">
        <is>
          <t>https://instasure.ca/disability-insurance/quebec/</t>
        </is>
      </c>
      <c r="B605" s="36" t="inlineStr">
        <is>
          <t>Product × province</t>
        </is>
      </c>
      <c r="C605" s="36" t="inlineStr">
        <is>
          <t>Disability insurance</t>
        </is>
      </c>
      <c r="D605" s="36" t="inlineStr">
        <is>
          <t>disability insurance quebec</t>
        </is>
      </c>
      <c r="E605" s="36" t="inlineStr">
        <is>
          <t>Provincial</t>
        </is>
      </c>
      <c r="F605" s="36" t="inlineStr">
        <is>
          <t>Quebec</t>
        </is>
      </c>
      <c r="G605" s="36" t="n"/>
      <c r="H605" s="37" t="n">
        <v>47</v>
      </c>
      <c r="I605" s="36" t="n">
        <v>32</v>
      </c>
      <c r="J605" s="36" t="inlineStr">
        <is>
          <t>commercial</t>
        </is>
      </c>
      <c r="K605" s="36" t="inlineStr">
        <is>
          <t>living-benefits</t>
        </is>
      </c>
      <c r="L605" s="36" t="n">
        <v>4</v>
      </c>
      <c r="M605" s="36" t="inlineStr">
        <is>
          <t>Primary</t>
        </is>
      </c>
      <c r="N605" s="39">
        <f>IFERROR(IF(ISNUMBER(SEARCH(D605,INDEX(Pages!$J$2:$J$829,MATCH(A605,Pages!$B$2:$B$829,0)))),"Yes","No"),"Page not found")</f>
        <v/>
      </c>
      <c r="O605" s="25" t="inlineStr">
        <is>
          <t>(none seen)</t>
        </is>
      </c>
      <c r="P605" s="25" t="inlineStr">
        <is>
          <t>Quebec waitlist until AMF registration; English phrase only (French terms listed separately).</t>
        </is>
      </c>
    </row>
    <row r="606" ht="15" customHeight="1" s="22">
      <c r="A606" s="36" t="inlineStr">
        <is>
          <t>https://instasure.ca/home-insurance/prince-edward-island/</t>
        </is>
      </c>
      <c r="B606" s="36" t="inlineStr">
        <is>
          <t>Product × province</t>
        </is>
      </c>
      <c r="C606" s="36" t="inlineStr">
        <is>
          <t>Home insurance</t>
        </is>
      </c>
      <c r="D606" s="36" t="inlineStr">
        <is>
          <t>home insurance pei</t>
        </is>
      </c>
      <c r="E606" s="36" t="inlineStr">
        <is>
          <t>Provincial</t>
        </is>
      </c>
      <c r="F606" s="36" t="inlineStr">
        <is>
          <t>Prince Edward Island</t>
        </is>
      </c>
      <c r="G606" s="36" t="n"/>
      <c r="H606" s="37" t="n">
        <v>46</v>
      </c>
      <c r="I606" s="36" t="n">
        <v>39</v>
      </c>
      <c r="J606" s="36" t="inlineStr">
        <is>
          <t>commercial</t>
        </is>
      </c>
      <c r="K606" s="36" t="inlineStr">
        <is>
          <t>property-province</t>
        </is>
      </c>
      <c r="L606" s="36" t="n">
        <v>4</v>
      </c>
      <c r="M606" s="36" t="inlineStr">
        <is>
          <t>Primary</t>
        </is>
      </c>
      <c r="N606" s="39">
        <f>IFERROR(IF(ISNUMBER(SEARCH(D606,INDEX(Pages!$J$2:$J$829,MATCH(A606,Pages!$B$2:$B$829,0)))),"Yes","No"),"Page not found")</f>
        <v/>
      </c>
      <c r="O606" s="25" t="inlineStr">
        <is>
          <t>(none seen)</t>
        </is>
      </c>
      <c r="P606" s="25" t="n"/>
    </row>
    <row r="607" ht="23.85" customHeight="1" s="22">
      <c r="A607" s="36" t="inlineStr">
        <is>
          <t>https://instasure.ca/life-insurance/new-brunswick/saint-john/</t>
        </is>
      </c>
      <c r="B607" s="36" t="inlineStr">
        <is>
          <t>Product × city</t>
        </is>
      </c>
      <c r="C607" s="36" t="inlineStr">
        <is>
          <t>Life insurance</t>
        </is>
      </c>
      <c r="D607" s="36" t="inlineStr">
        <is>
          <t>life insurance saint john</t>
        </is>
      </c>
      <c r="E607" s="36" t="inlineStr">
        <is>
          <t>City</t>
        </is>
      </c>
      <c r="F607" s="36" t="inlineStr">
        <is>
          <t>New Brunswick</t>
        </is>
      </c>
      <c r="G607" s="36" t="inlineStr">
        <is>
          <t>Saint John</t>
        </is>
      </c>
      <c r="H607" s="37" t="n">
        <v>46</v>
      </c>
      <c r="I607" s="36" t="n">
        <v>27</v>
      </c>
      <c r="J607" s="36" t="inlineStr">
        <is>
          <t>local</t>
        </is>
      </c>
      <c r="K607" s="36" t="inlineStr">
        <is>
          <t>life-local</t>
        </is>
      </c>
      <c r="L607" s="36" t="n">
        <v>3</v>
      </c>
      <c r="M607" s="36" t="inlineStr">
        <is>
          <t>Primary</t>
        </is>
      </c>
      <c r="N607" s="39">
        <f>IFERROR(IF(ISNUMBER(SEARCH(D607,INDEX(Pages!$J$2:$J$829,MATCH(A607,Pages!$B$2:$B$829,0)))),"Yes","No"),"Page not found")</f>
        <v/>
      </c>
      <c r="O607" s="25" t="inlineStr">
        <is>
          <t>(none seen)</t>
        </is>
      </c>
      <c r="P607" s="25" t="inlineStr">
        <is>
          <t>Page exists but is noindex until an editor adds a 300+ character local intro (Admin → SEO → Page overrides).</t>
        </is>
      </c>
    </row>
    <row r="608" ht="15" customHeight="1" s="22">
      <c r="A608" s="36" t="inlineStr">
        <is>
          <t>https://instasure.ca/super-visa-insurance/quebec/montreal/</t>
        </is>
      </c>
      <c r="B608" s="36" t="inlineStr">
        <is>
          <t>Product × city</t>
        </is>
      </c>
      <c r="C608" s="36" t="inlineStr">
        <is>
          <t>Super Visa &amp; visitors insurance</t>
        </is>
      </c>
      <c r="D608" s="36" t="inlineStr">
        <is>
          <t>super visa insurance montreal</t>
        </is>
      </c>
      <c r="E608" s="36" t="inlineStr">
        <is>
          <t>City</t>
        </is>
      </c>
      <c r="F608" s="36" t="inlineStr">
        <is>
          <t>Quebec</t>
        </is>
      </c>
      <c r="G608" s="36" t="inlineStr">
        <is>
          <t>Montreal</t>
        </is>
      </c>
      <c r="H608" s="37" t="n">
        <v>46</v>
      </c>
      <c r="I608" s="36" t="n">
        <v>28</v>
      </c>
      <c r="J608" s="36" t="inlineStr">
        <is>
          <t>local</t>
        </is>
      </c>
      <c r="K608" s="36" t="inlineStr">
        <is>
          <t>travel-visitors</t>
        </is>
      </c>
      <c r="L608" s="36" t="n">
        <v>5</v>
      </c>
      <c r="M608" s="36" t="inlineStr">
        <is>
          <t>Primary</t>
        </is>
      </c>
      <c r="N608" s="39">
        <f>IFERROR(IF(ISNUMBER(SEARCH(D608,INDEX(Pages!$J$2:$J$829,MATCH(A608,Pages!$B$2:$B$829,0)))),"Yes","No"),"Page not found")</f>
        <v/>
      </c>
      <c r="O608" s="25" t="inlineStr">
        <is>
          <t>(none seen)</t>
        </is>
      </c>
      <c r="P608" s="25" t="inlineStr">
        <is>
          <t>Quebec waitlist until AMF registration.</t>
        </is>
      </c>
    </row>
    <row r="609" ht="15" customHeight="1" s="22">
      <c r="A609" s="36" t="inlineStr">
        <is>
          <t>https://instasure.ca/business-insurance/newfoundland-and-labrador/st-johns/</t>
        </is>
      </c>
      <c r="B609" s="36" t="inlineStr">
        <is>
          <t>Product × city</t>
        </is>
      </c>
      <c r="C609" s="36" t="inlineStr">
        <is>
          <t>Business insurance</t>
        </is>
      </c>
      <c r="D609" s="36" t="inlineStr">
        <is>
          <t>business insurance st johns</t>
        </is>
      </c>
      <c r="E609" s="36" t="inlineStr">
        <is>
          <t>City</t>
        </is>
      </c>
      <c r="F609" s="36" t="inlineStr">
        <is>
          <t>Newfoundland and Labrador</t>
        </is>
      </c>
      <c r="G609" s="36" t="inlineStr">
        <is>
          <t>St. John’s</t>
        </is>
      </c>
      <c r="H609" s="37" t="n">
        <v>45</v>
      </c>
      <c r="I609" s="36" t="n">
        <v>33</v>
      </c>
      <c r="J609" s="36" t="inlineStr">
        <is>
          <t>local</t>
        </is>
      </c>
      <c r="K609" s="36" t="inlineStr">
        <is>
          <t>business-local</t>
        </is>
      </c>
      <c r="L609" s="36" t="n">
        <v>3</v>
      </c>
      <c r="M609" s="36" t="inlineStr">
        <is>
          <t>Primary</t>
        </is>
      </c>
      <c r="N609" s="39">
        <f>IFERROR(IF(ISNUMBER(SEARCH(D609,INDEX(Pages!$J$2:$J$829,MATCH(A609,Pages!$B$2:$B$829,0)))),"Yes","No"),"Page not found")</f>
        <v/>
      </c>
      <c r="O609" s="25" t="inlineStr">
        <is>
          <t>(none seen)</t>
        </is>
      </c>
      <c r="P609" s="25" t="n"/>
    </row>
    <row r="610" ht="15" customHeight="1" s="22">
      <c r="A610" s="36" t="inlineStr">
        <is>
          <t>https://instasure.ca/condo-insurance/newfoundland-and-labrador/st-johns/</t>
        </is>
      </c>
      <c r="B610" s="36" t="inlineStr">
        <is>
          <t>Product × city</t>
        </is>
      </c>
      <c r="C610" s="36" t="inlineStr">
        <is>
          <t>Condo insurance</t>
        </is>
      </c>
      <c r="D610" s="36" t="inlineStr">
        <is>
          <t>condo insurance st johns</t>
        </is>
      </c>
      <c r="E610" s="36" t="inlineStr">
        <is>
          <t>City</t>
        </is>
      </c>
      <c r="F610" s="36" t="inlineStr">
        <is>
          <t>Newfoundland and Labrador</t>
        </is>
      </c>
      <c r="G610" s="36" t="inlineStr">
        <is>
          <t>St. John’s</t>
        </is>
      </c>
      <c r="H610" s="37" t="n">
        <v>45</v>
      </c>
      <c r="I610" s="36" t="n">
        <v>40</v>
      </c>
      <c r="J610" s="36" t="inlineStr">
        <is>
          <t>local</t>
        </is>
      </c>
      <c r="K610" s="36" t="inlineStr">
        <is>
          <t>property-local</t>
        </is>
      </c>
      <c r="L610" s="36" t="n">
        <v>5</v>
      </c>
      <c r="M610" s="36" t="inlineStr">
        <is>
          <t>Primary</t>
        </is>
      </c>
      <c r="N610" s="39">
        <f>IFERROR(IF(ISNUMBER(SEARCH(D610,INDEX(Pages!$J$2:$J$829,MATCH(A610,Pages!$B$2:$B$829,0)))),"Yes","No"),"Page not found")</f>
        <v/>
      </c>
      <c r="O610" s="25" t="inlineStr">
        <is>
          <t>(none seen)</t>
        </is>
      </c>
      <c r="P610" s="25" t="n"/>
    </row>
    <row r="611" ht="15" customHeight="1" s="22">
      <c r="A611" s="36" t="inlineStr">
        <is>
          <t>https://instasure.ca/super-visa-insurance/ontario/hamilton/</t>
        </is>
      </c>
      <c r="B611" s="36" t="inlineStr">
        <is>
          <t>Product × city</t>
        </is>
      </c>
      <c r="C611" s="36" t="inlineStr">
        <is>
          <t>Super Visa &amp; visitors insurance</t>
        </is>
      </c>
      <c r="D611" s="36" t="inlineStr">
        <is>
          <t>super visa insurance hamilton</t>
        </is>
      </c>
      <c r="E611" s="36" t="inlineStr">
        <is>
          <t>City</t>
        </is>
      </c>
      <c r="F611" s="36" t="inlineStr">
        <is>
          <t>Ontario</t>
        </is>
      </c>
      <c r="G611" s="36" t="inlineStr">
        <is>
          <t>Hamilton</t>
        </is>
      </c>
      <c r="H611" s="37" t="n">
        <v>45</v>
      </c>
      <c r="I611" s="36" t="n">
        <v>36</v>
      </c>
      <c r="J611" s="36" t="inlineStr">
        <is>
          <t>local</t>
        </is>
      </c>
      <c r="K611" s="36" t="inlineStr">
        <is>
          <t>travel-visitors</t>
        </is>
      </c>
      <c r="L611" s="36" t="n">
        <v>4</v>
      </c>
      <c r="M611" s="36" t="inlineStr">
        <is>
          <t>Primary</t>
        </is>
      </c>
      <c r="N611" s="39">
        <f>IFERROR(IF(ISNUMBER(SEARCH(D611,INDEX(Pages!$J$2:$J$829,MATCH(A611,Pages!$B$2:$B$829,0)))),"Yes","No"),"Page not found")</f>
        <v/>
      </c>
      <c r="O611" s="25" t="inlineStr">
        <is>
          <t>(none seen)</t>
        </is>
      </c>
      <c r="P611" s="25" t="n"/>
    </row>
    <row r="612" ht="23.85" customHeight="1" s="22">
      <c r="A612" s="36" t="inlineStr">
        <is>
          <t>https://instasure.ca/business-insurance/ontario/thunder-bay/</t>
        </is>
      </c>
      <c r="B612" s="36" t="inlineStr">
        <is>
          <t>Product × city</t>
        </is>
      </c>
      <c r="C612" s="36" t="inlineStr">
        <is>
          <t>Business insurance</t>
        </is>
      </c>
      <c r="D612" s="36" t="inlineStr">
        <is>
          <t>business insurance thunder bay</t>
        </is>
      </c>
      <c r="E612" s="36" t="inlineStr">
        <is>
          <t>City</t>
        </is>
      </c>
      <c r="F612" s="36" t="inlineStr">
        <is>
          <t>Ontario</t>
        </is>
      </c>
      <c r="G612" s="36" t="inlineStr">
        <is>
          <t>Thunder Bay</t>
        </is>
      </c>
      <c r="H612" s="37" t="n">
        <v>44</v>
      </c>
      <c r="I612" s="36" t="n">
        <v>25</v>
      </c>
      <c r="J612" s="36" t="inlineStr">
        <is>
          <t>local</t>
        </is>
      </c>
      <c r="K612" s="36" t="inlineStr">
        <is>
          <t>business-local</t>
        </is>
      </c>
      <c r="L612" s="36" t="n">
        <v>4</v>
      </c>
      <c r="M612" s="36" t="inlineStr">
        <is>
          <t>Primary</t>
        </is>
      </c>
      <c r="N612" s="39">
        <f>IFERROR(IF(ISNUMBER(SEARCH(D612,INDEX(Pages!$J$2:$J$829,MATCH(A612,Pages!$B$2:$B$829,0)))),"Yes","No"),"Page not found")</f>
        <v/>
      </c>
      <c r="O612" s="25" t="inlineStr">
        <is>
          <t>(none seen)</t>
        </is>
      </c>
      <c r="P612" s="25" t="inlineStr">
        <is>
          <t>Page exists but is noindex until an editor adds a 300+ character local intro (Admin → SEO → Page overrides).</t>
        </is>
      </c>
    </row>
    <row r="613" ht="23.85" customHeight="1" s="22">
      <c r="A613" s="36" t="inlineStr">
        <is>
          <t>https://instasure.ca/condo-insurance/ontario/thunder-bay/</t>
        </is>
      </c>
      <c r="B613" s="36" t="inlineStr">
        <is>
          <t>Product × city</t>
        </is>
      </c>
      <c r="C613" s="36" t="inlineStr">
        <is>
          <t>Condo insurance</t>
        </is>
      </c>
      <c r="D613" s="36" t="inlineStr">
        <is>
          <t>condo insurance thunder bay</t>
        </is>
      </c>
      <c r="E613" s="36" t="inlineStr">
        <is>
          <t>City</t>
        </is>
      </c>
      <c r="F613" s="36" t="inlineStr">
        <is>
          <t>Ontario</t>
        </is>
      </c>
      <c r="G613" s="36" t="inlineStr">
        <is>
          <t>Thunder Bay</t>
        </is>
      </c>
      <c r="H613" s="37" t="n">
        <v>44</v>
      </c>
      <c r="I613" s="36" t="n">
        <v>32</v>
      </c>
      <c r="J613" s="36" t="inlineStr">
        <is>
          <t>local</t>
        </is>
      </c>
      <c r="K613" s="36" t="inlineStr">
        <is>
          <t>property-local</t>
        </is>
      </c>
      <c r="L613" s="36" t="n">
        <v>5</v>
      </c>
      <c r="M613" s="36" t="inlineStr">
        <is>
          <t>Primary</t>
        </is>
      </c>
      <c r="N613" s="39">
        <f>IFERROR(IF(ISNUMBER(SEARCH(D613,INDEX(Pages!$J$2:$J$829,MATCH(A613,Pages!$B$2:$B$829,0)))),"Yes","No"),"Page not found")</f>
        <v/>
      </c>
      <c r="O613" s="25" t="inlineStr">
        <is>
          <t>(none seen)</t>
        </is>
      </c>
      <c r="P613" s="25" t="inlineStr">
        <is>
          <t>Page exists but is noindex until an editor adds a 300+ character local intro (Admin → SEO → Page overrides).</t>
        </is>
      </c>
    </row>
    <row r="614" ht="15" customHeight="1" s="22">
      <c r="A614" s="36" t="inlineStr">
        <is>
          <t>https://instasure.ca/group-benefits/alberta/</t>
        </is>
      </c>
      <c r="B614" s="36" t="inlineStr">
        <is>
          <t>Product × province</t>
        </is>
      </c>
      <c r="C614" s="36" t="inlineStr">
        <is>
          <t>Group benefits</t>
        </is>
      </c>
      <c r="D614" s="36" t="inlineStr">
        <is>
          <t>group benefits alberta</t>
        </is>
      </c>
      <c r="E614" s="36" t="inlineStr">
        <is>
          <t>Provincial</t>
        </is>
      </c>
      <c r="F614" s="36" t="inlineStr">
        <is>
          <t>Alberta</t>
        </is>
      </c>
      <c r="G614" s="36" t="n"/>
      <c r="H614" s="37" t="n">
        <v>44</v>
      </c>
      <c r="I614" s="36" t="n">
        <v>33</v>
      </c>
      <c r="J614" s="36" t="inlineStr">
        <is>
          <t>commercial</t>
        </is>
      </c>
      <c r="K614" s="36" t="inlineStr">
        <is>
          <t>business-benefits</t>
        </is>
      </c>
      <c r="L614" s="36" t="n">
        <v>2</v>
      </c>
      <c r="M614" s="36" t="inlineStr">
        <is>
          <t>Primary</t>
        </is>
      </c>
      <c r="N614" s="39">
        <f>IFERROR(IF(ISNUMBER(SEARCH(D614,INDEX(Pages!$J$2:$J$829,MATCH(A614,Pages!$B$2:$B$829,0)))),"Yes","No"),"Page not found")</f>
        <v/>
      </c>
      <c r="O614" s="25" t="inlineStr">
        <is>
          <t>policyadvisor</t>
        </is>
      </c>
      <c r="P614" s="25" t="n"/>
    </row>
    <row r="615" ht="15" customHeight="1" s="22">
      <c r="A615" s="36" t="inlineStr">
        <is>
          <t>https://instasure.ca/insurance/british-columbia/victoria/</t>
        </is>
      </c>
      <c r="B615" s="36" t="inlineStr">
        <is>
          <t>Place hub</t>
        </is>
      </c>
      <c r="C615" s="36" t="inlineStr">
        <is>
          <t>Multi-line (place hubs)</t>
        </is>
      </c>
      <c r="D615" s="36" t="inlineStr">
        <is>
          <t>insurance advisor victoria</t>
        </is>
      </c>
      <c r="E615" s="36" t="inlineStr">
        <is>
          <t>City</t>
        </is>
      </c>
      <c r="F615" s="36" t="inlineStr">
        <is>
          <t>British Columbia</t>
        </is>
      </c>
      <c r="G615" s="36" t="inlineStr">
        <is>
          <t>Victoria</t>
        </is>
      </c>
      <c r="H615" s="37" t="n">
        <v>44</v>
      </c>
      <c r="I615" s="36" t="n">
        <v>30</v>
      </c>
      <c r="J615" s="36" t="inlineStr">
        <is>
          <t>local</t>
        </is>
      </c>
      <c r="K615" s="36" t="inlineStr">
        <is>
          <t>advisors</t>
        </is>
      </c>
      <c r="L615" s="36" t="n">
        <v>4</v>
      </c>
      <c r="M615" s="36" t="inlineStr">
        <is>
          <t>Primary</t>
        </is>
      </c>
      <c r="N615" s="39">
        <f>IFERROR(IF(ISNUMBER(SEARCH(D615,INDEX(Pages!$J$2:$J$829,MATCH(A615,Pages!$B$2:$B$829,0)))),"Yes","No"),"Page not found")</f>
        <v/>
      </c>
      <c r="O615" s="25" t="inlineStr">
        <is>
          <t>local brokers, thinkinsure, rates.ca (broker pages)</t>
        </is>
      </c>
      <c r="P615" s="25" t="inlineStr">
        <is>
          <t>City hub. Add a Google Business Profile only where an advisor really works from that city.</t>
        </is>
      </c>
    </row>
    <row r="616" ht="15" customHeight="1" s="22">
      <c r="A616" s="36" t="inlineStr">
        <is>
          <t>https://instasure.ca/super-visa-insurance/nova-scotia/</t>
        </is>
      </c>
      <c r="B616" s="36" t="inlineStr">
        <is>
          <t>Product × province</t>
        </is>
      </c>
      <c r="C616" s="36" t="inlineStr">
        <is>
          <t>Super Visa &amp; visitors insurance</t>
        </is>
      </c>
      <c r="D616" s="36" t="inlineStr">
        <is>
          <t>super visa insurance nova scotia</t>
        </is>
      </c>
      <c r="E616" s="36" t="inlineStr">
        <is>
          <t>Provincial</t>
        </is>
      </c>
      <c r="F616" s="36" t="inlineStr">
        <is>
          <t>Nova Scotia</t>
        </is>
      </c>
      <c r="G616" s="36" t="n"/>
      <c r="H616" s="37" t="n">
        <v>44</v>
      </c>
      <c r="I616" s="36" t="n">
        <v>24</v>
      </c>
      <c r="J616" s="36" t="inlineStr">
        <is>
          <t>commercial</t>
        </is>
      </c>
      <c r="K616" s="36" t="inlineStr">
        <is>
          <t>travel-visitors</t>
        </is>
      </c>
      <c r="L616" s="36" t="n">
        <v>4</v>
      </c>
      <c r="M616" s="36" t="inlineStr">
        <is>
          <t>Primary</t>
        </is>
      </c>
      <c r="N616" s="39">
        <f>IFERROR(IF(ISNUMBER(SEARCH(D616,INDEX(Pages!$J$2:$J$829,MATCH(A616,Pages!$B$2:$B$829,0)))),"Yes","No"),"Page not found")</f>
        <v/>
      </c>
      <c r="O616" s="25" t="inlineStr">
        <is>
          <t>(none seen)</t>
        </is>
      </c>
      <c r="P616" s="25" t="inlineStr">
        <is>
          <t>Province page targets super visa buyers sponsoring parents locally.</t>
        </is>
      </c>
    </row>
    <row r="617" ht="15" customHeight="1" s="22">
      <c r="A617" s="36" t="inlineStr">
        <is>
          <t>https://instasure.ca/super-visa-insurance/nova-scotia/halifax/</t>
        </is>
      </c>
      <c r="B617" s="36" t="inlineStr">
        <is>
          <t>Product × city</t>
        </is>
      </c>
      <c r="C617" s="36" t="inlineStr">
        <is>
          <t>Super Visa &amp; visitors insurance</t>
        </is>
      </c>
      <c r="D617" s="36" t="inlineStr">
        <is>
          <t>super visa insurance halifax</t>
        </is>
      </c>
      <c r="E617" s="36" t="inlineStr">
        <is>
          <t>City</t>
        </is>
      </c>
      <c r="F617" s="36" t="inlineStr">
        <is>
          <t>Nova Scotia</t>
        </is>
      </c>
      <c r="G617" s="36" t="inlineStr">
        <is>
          <t>Halifax</t>
        </is>
      </c>
      <c r="H617" s="37" t="n">
        <v>44</v>
      </c>
      <c r="I617" s="36" t="n">
        <v>28</v>
      </c>
      <c r="J617" s="36" t="inlineStr">
        <is>
          <t>local</t>
        </is>
      </c>
      <c r="K617" s="36" t="inlineStr">
        <is>
          <t>travel-visitors</t>
        </is>
      </c>
      <c r="L617" s="36" t="n">
        <v>4</v>
      </c>
      <c r="M617" s="36" t="inlineStr">
        <is>
          <t>Primary</t>
        </is>
      </c>
      <c r="N617" s="39">
        <f>IFERROR(IF(ISNUMBER(SEARCH(D617,INDEX(Pages!$J$2:$J$829,MATCH(A617,Pages!$B$2:$B$829,0)))),"Yes","No"),"Page not found")</f>
        <v/>
      </c>
      <c r="O617" s="25" t="inlineStr">
        <is>
          <t>(none seen)</t>
        </is>
      </c>
      <c r="P617" s="25" t="n"/>
    </row>
    <row r="618" ht="15" customHeight="1" s="22">
      <c r="A618" s="36" t="inlineStr">
        <is>
          <t>https://instasure.ca/contractor-insurance/quebec/</t>
        </is>
      </c>
      <c r="B618" s="36" t="inlineStr">
        <is>
          <t>Product × province</t>
        </is>
      </c>
      <c r="C618" s="36" t="inlineStr">
        <is>
          <t>Contractor &amp; trades insurance</t>
        </is>
      </c>
      <c r="D618" s="36" t="inlineStr">
        <is>
          <t>contractor insurance quebec</t>
        </is>
      </c>
      <c r="E618" s="36" t="inlineStr">
        <is>
          <t>Provincial</t>
        </is>
      </c>
      <c r="F618" s="36" t="inlineStr">
        <is>
          <t>Quebec</t>
        </is>
      </c>
      <c r="G618" s="36" t="n"/>
      <c r="H618" s="37" t="n">
        <v>43</v>
      </c>
      <c r="I618" s="36" t="n">
        <v>29</v>
      </c>
      <c r="J618" s="36" t="inlineStr">
        <is>
          <t>commercial</t>
        </is>
      </c>
      <c r="K618" s="36" t="inlineStr">
        <is>
          <t>business-province</t>
        </is>
      </c>
      <c r="L618" s="36" t="n">
        <v>5</v>
      </c>
      <c r="M618" s="36" t="inlineStr">
        <is>
          <t>Primary</t>
        </is>
      </c>
      <c r="N618" s="39">
        <f>IFERROR(IF(ISNUMBER(SEARCH(D618,INDEX(Pages!$J$2:$J$829,MATCH(A618,Pages!$B$2:$B$829,0)))),"Yes","No"),"Page not found")</f>
        <v/>
      </c>
      <c r="O618" s="25" t="inlineStr">
        <is>
          <t>(none seen)</t>
        </is>
      </c>
      <c r="P618" s="25" t="inlineStr">
        <is>
          <t>Quebec waitlist until AMF registration; English phrase only (French terms listed separately).</t>
        </is>
      </c>
    </row>
    <row r="619" ht="23.85" customHeight="1" s="22">
      <c r="A619" s="36" t="inlineStr">
        <is>
          <t>https://instasure.ca/life-insurance/quebec/gatineau/</t>
        </is>
      </c>
      <c r="B619" s="36" t="inlineStr">
        <is>
          <t>Product × city</t>
        </is>
      </c>
      <c r="C619" s="36" t="inlineStr">
        <is>
          <t>Life insurance</t>
        </is>
      </c>
      <c r="D619" s="36" t="inlineStr">
        <is>
          <t>life insurance gatineau</t>
        </is>
      </c>
      <c r="E619" s="36" t="inlineStr">
        <is>
          <t>City</t>
        </is>
      </c>
      <c r="F619" s="36" t="inlineStr">
        <is>
          <t>Quebec</t>
        </is>
      </c>
      <c r="G619" s="36" t="inlineStr">
        <is>
          <t>Gatineau</t>
        </is>
      </c>
      <c r="H619" s="37" t="n">
        <v>43</v>
      </c>
      <c r="I619" s="36" t="n">
        <v>27</v>
      </c>
      <c r="J619" s="36" t="inlineStr">
        <is>
          <t>local</t>
        </is>
      </c>
      <c r="K619" s="36" t="inlineStr">
        <is>
          <t>life-local</t>
        </is>
      </c>
      <c r="L619" s="36" t="n">
        <v>5</v>
      </c>
      <c r="M619" s="36" t="inlineStr">
        <is>
          <t>Primary</t>
        </is>
      </c>
      <c r="N619" s="39">
        <f>IFERROR(IF(ISNUMBER(SEARCH(D619,INDEX(Pages!$J$2:$J$829,MATCH(A619,Pages!$B$2:$B$829,0)))),"Yes","No"),"Page not found")</f>
        <v/>
      </c>
      <c r="O619" s="25" t="inlineStr">
        <is>
          <t>(none seen)</t>
        </is>
      </c>
      <c r="P619" s="25" t="inlineStr">
        <is>
          <t>Page exists but is noindex until an editor adds a 300+ character local intro (Admin → SEO → Page overrides). Quebec waitlist until AMF registration.</t>
        </is>
      </c>
    </row>
    <row r="620" ht="15" customHeight="1" s="22">
      <c r="A620" s="36" t="inlineStr">
        <is>
          <t>https://instasure.ca/super-visa-insurance/saskatchewan/regina/</t>
        </is>
      </c>
      <c r="B620" s="36" t="inlineStr">
        <is>
          <t>Product × city</t>
        </is>
      </c>
      <c r="C620" s="36" t="inlineStr">
        <is>
          <t>Super Visa &amp; visitors insurance</t>
        </is>
      </c>
      <c r="D620" s="36" t="inlineStr">
        <is>
          <t>super visa insurance regina</t>
        </is>
      </c>
      <c r="E620" s="36" t="inlineStr">
        <is>
          <t>City</t>
        </is>
      </c>
      <c r="F620" s="36" t="inlineStr">
        <is>
          <t>Saskatchewan</t>
        </is>
      </c>
      <c r="G620" s="36" t="inlineStr">
        <is>
          <t>Regina</t>
        </is>
      </c>
      <c r="H620" s="37" t="n">
        <v>43</v>
      </c>
      <c r="I620" s="36" t="n">
        <v>28</v>
      </c>
      <c r="J620" s="36" t="inlineStr">
        <is>
          <t>local</t>
        </is>
      </c>
      <c r="K620" s="36" t="inlineStr">
        <is>
          <t>travel-visitors</t>
        </is>
      </c>
      <c r="L620" s="36" t="n">
        <v>4</v>
      </c>
      <c r="M620" s="36" t="inlineStr">
        <is>
          <t>Primary</t>
        </is>
      </c>
      <c r="N620" s="39">
        <f>IFERROR(IF(ISNUMBER(SEARCH(D620,INDEX(Pages!$J$2:$J$829,MATCH(A620,Pages!$B$2:$B$829,0)))),"Yes","No"),"Page not found")</f>
        <v/>
      </c>
      <c r="O620" s="25" t="inlineStr">
        <is>
          <t>(none seen)</t>
        </is>
      </c>
      <c r="P620" s="25" t="n"/>
    </row>
    <row r="621" ht="15" customHeight="1" s="22">
      <c r="A621" s="36" t="inlineStr">
        <is>
          <t>https://instasure.ca/term-life-insurance/quebec/</t>
        </is>
      </c>
      <c r="B621" s="36" t="inlineStr">
        <is>
          <t>Product × province</t>
        </is>
      </c>
      <c r="C621" s="36" t="inlineStr">
        <is>
          <t>Life insurance</t>
        </is>
      </c>
      <c r="D621" s="36" t="inlineStr">
        <is>
          <t>term life insurance quebec</t>
        </is>
      </c>
      <c r="E621" s="36" t="inlineStr">
        <is>
          <t>Provincial</t>
        </is>
      </c>
      <c r="F621" s="36" t="inlineStr">
        <is>
          <t>Quebec</t>
        </is>
      </c>
      <c r="G621" s="36" t="n"/>
      <c r="H621" s="37" t="n">
        <v>43</v>
      </c>
      <c r="I621" s="36" t="n">
        <v>34</v>
      </c>
      <c r="J621" s="36" t="inlineStr">
        <is>
          <t>commercial</t>
        </is>
      </c>
      <c r="K621" s="36" t="inlineStr">
        <is>
          <t>life-province</t>
        </is>
      </c>
      <c r="L621" s="36" t="n">
        <v>4</v>
      </c>
      <c r="M621" s="36" t="inlineStr">
        <is>
          <t>Primary</t>
        </is>
      </c>
      <c r="N621" s="39">
        <f>IFERROR(IF(ISNUMBER(SEARCH(D621,INDEX(Pages!$J$2:$J$829,MATCH(A621,Pages!$B$2:$B$829,0)))),"Yes","No"),"Page not found")</f>
        <v/>
      </c>
      <c r="O621" s="25" t="inlineStr">
        <is>
          <t>(none seen)</t>
        </is>
      </c>
      <c r="P621" s="25" t="inlineStr">
        <is>
          <t>Quebec waitlist until AMF registration; English phrase only (French terms listed separately).</t>
        </is>
      </c>
    </row>
    <row r="622" ht="23.85" customHeight="1" s="22">
      <c r="A622" s="36" t="inlineStr">
        <is>
          <t>https://instasure.ca/life-insurance/new-brunswick/fredericton/</t>
        </is>
      </c>
      <c r="B622" s="36" t="inlineStr">
        <is>
          <t>Product × city</t>
        </is>
      </c>
      <c r="C622" s="36" t="inlineStr">
        <is>
          <t>Life insurance</t>
        </is>
      </c>
      <c r="D622" s="36" t="inlineStr">
        <is>
          <t>life insurance fredericton</t>
        </is>
      </c>
      <c r="E622" s="36" t="inlineStr">
        <is>
          <t>City</t>
        </is>
      </c>
      <c r="F622" s="36" t="inlineStr">
        <is>
          <t>New Brunswick</t>
        </is>
      </c>
      <c r="G622" s="36" t="inlineStr">
        <is>
          <t>Fredericton</t>
        </is>
      </c>
      <c r="H622" s="37" t="n">
        <v>42</v>
      </c>
      <c r="I622" s="36" t="n">
        <v>27</v>
      </c>
      <c r="J622" s="36" t="inlineStr">
        <is>
          <t>local</t>
        </is>
      </c>
      <c r="K622" s="36" t="inlineStr">
        <is>
          <t>life-local</t>
        </is>
      </c>
      <c r="L622" s="36" t="n">
        <v>4</v>
      </c>
      <c r="M622" s="36" t="inlineStr">
        <is>
          <t>Primary</t>
        </is>
      </c>
      <c r="N622" s="39">
        <f>IFERROR(IF(ISNUMBER(SEARCH(D622,INDEX(Pages!$J$2:$J$829,MATCH(A622,Pages!$B$2:$B$829,0)))),"Yes","No"),"Page not found")</f>
        <v/>
      </c>
      <c r="O622" s="25" t="inlineStr">
        <is>
          <t>(none seen)</t>
        </is>
      </c>
      <c r="P622" s="25" t="inlineStr">
        <is>
          <t>Page exists but is noindex until an editor adds a 300+ character local intro (Admin → SEO → Page overrides).</t>
        </is>
      </c>
    </row>
    <row r="623" ht="15" customHeight="1" s="22">
      <c r="A623" s="36" t="inlineStr">
        <is>
          <t>https://instasure.ca/tenant-insurance/prince-edward-island/charlottetown/</t>
        </is>
      </c>
      <c r="B623" s="36" t="inlineStr">
        <is>
          <t>Product × city</t>
        </is>
      </c>
      <c r="C623" s="36" t="inlineStr">
        <is>
          <t>Tenant insurance</t>
        </is>
      </c>
      <c r="D623" s="36" t="inlineStr">
        <is>
          <t>tenant insurance charlottetown</t>
        </is>
      </c>
      <c r="E623" s="36" t="inlineStr">
        <is>
          <t>City</t>
        </is>
      </c>
      <c r="F623" s="36" t="inlineStr">
        <is>
          <t>Prince Edward Island</t>
        </is>
      </c>
      <c r="G623" s="36" t="inlineStr">
        <is>
          <t>Charlottetown</t>
        </is>
      </c>
      <c r="H623" s="37" t="n">
        <v>42</v>
      </c>
      <c r="I623" s="36" t="n">
        <v>32</v>
      </c>
      <c r="J623" s="36" t="inlineStr">
        <is>
          <t>local</t>
        </is>
      </c>
      <c r="K623" s="36" t="inlineStr">
        <is>
          <t>property-local</t>
        </is>
      </c>
      <c r="L623" s="36" t="n">
        <v>5</v>
      </c>
      <c r="M623" s="36" t="inlineStr">
        <is>
          <t>Primary</t>
        </is>
      </c>
      <c r="N623" s="39">
        <f>IFERROR(IF(ISNUMBER(SEARCH(D623,INDEX(Pages!$J$2:$J$829,MATCH(A623,Pages!$B$2:$B$829,0)))),"Yes","No"),"Page not found")</f>
        <v/>
      </c>
      <c r="O623" s="25" t="inlineStr">
        <is>
          <t>(none seen)</t>
        </is>
      </c>
      <c r="P623" s="25" t="n"/>
    </row>
    <row r="624" ht="23.85" customHeight="1" s="22">
      <c r="A624" s="36" t="inlineStr">
        <is>
          <t>https://instasure.ca/tenant-insurance/quebec/sherbrooke/</t>
        </is>
      </c>
      <c r="B624" s="36" t="inlineStr">
        <is>
          <t>Product × city</t>
        </is>
      </c>
      <c r="C624" s="36" t="inlineStr">
        <is>
          <t>Tenant insurance</t>
        </is>
      </c>
      <c r="D624" s="36" t="inlineStr">
        <is>
          <t>tenant insurance sherbrooke</t>
        </is>
      </c>
      <c r="E624" s="36" t="inlineStr">
        <is>
          <t>City</t>
        </is>
      </c>
      <c r="F624" s="36" t="inlineStr">
        <is>
          <t>Quebec</t>
        </is>
      </c>
      <c r="G624" s="36" t="inlineStr">
        <is>
          <t>Sherbrooke</t>
        </is>
      </c>
      <c r="H624" s="37" t="n">
        <v>42</v>
      </c>
      <c r="I624" s="36" t="n">
        <v>24</v>
      </c>
      <c r="J624" s="36" t="inlineStr">
        <is>
          <t>local</t>
        </is>
      </c>
      <c r="K624" s="36" t="inlineStr">
        <is>
          <t>property-local</t>
        </is>
      </c>
      <c r="L624" s="36" t="n">
        <v>5</v>
      </c>
      <c r="M624" s="36" t="inlineStr">
        <is>
          <t>Primary</t>
        </is>
      </c>
      <c r="N624" s="39">
        <f>IFERROR(IF(ISNUMBER(SEARCH(D624,INDEX(Pages!$J$2:$J$829,MATCH(A624,Pages!$B$2:$B$829,0)))),"Yes","No"),"Page not found")</f>
        <v/>
      </c>
      <c r="O624" s="25" t="inlineStr">
        <is>
          <t>(none seen)</t>
        </is>
      </c>
      <c r="P624" s="25" t="inlineStr">
        <is>
          <t>Page exists but is noindex until an editor adds a 300+ character local intro (Admin → SEO → Page overrides). Quebec waitlist until AMF registration.</t>
        </is>
      </c>
    </row>
    <row r="625" ht="23.85" customHeight="1" s="22">
      <c r="A625" s="36" t="inlineStr">
        <is>
          <t>https://instasure.ca/business-insurance/alberta/lethbridge/</t>
        </is>
      </c>
      <c r="B625" s="36" t="inlineStr">
        <is>
          <t>Product × city</t>
        </is>
      </c>
      <c r="C625" s="36" t="inlineStr">
        <is>
          <t>Business insurance</t>
        </is>
      </c>
      <c r="D625" s="36" t="inlineStr">
        <is>
          <t>business insurance lethbridge</t>
        </is>
      </c>
      <c r="E625" s="36" t="inlineStr">
        <is>
          <t>City</t>
        </is>
      </c>
      <c r="F625" s="36" t="inlineStr">
        <is>
          <t>Alberta</t>
        </is>
      </c>
      <c r="G625" s="36" t="inlineStr">
        <is>
          <t>Lethbridge</t>
        </is>
      </c>
      <c r="H625" s="37" t="n">
        <v>41</v>
      </c>
      <c r="I625" s="36" t="n">
        <v>25</v>
      </c>
      <c r="J625" s="36" t="inlineStr">
        <is>
          <t>local</t>
        </is>
      </c>
      <c r="K625" s="36" t="inlineStr">
        <is>
          <t>business-local</t>
        </is>
      </c>
      <c r="L625" s="36" t="n">
        <v>4</v>
      </c>
      <c r="M625" s="36" t="inlineStr">
        <is>
          <t>Primary</t>
        </is>
      </c>
      <c r="N625" s="39">
        <f>IFERROR(IF(ISNUMBER(SEARCH(D625,INDEX(Pages!$J$2:$J$829,MATCH(A625,Pages!$B$2:$B$829,0)))),"Yes","No"),"Page not found")</f>
        <v/>
      </c>
      <c r="O625" s="25" t="inlineStr">
        <is>
          <t>(none seen)</t>
        </is>
      </c>
      <c r="P625" s="25" t="inlineStr">
        <is>
          <t>Page exists but is noindex until an editor adds a 300+ character local intro (Admin → SEO → Page overrides).</t>
        </is>
      </c>
    </row>
    <row r="626" ht="23.85" customHeight="1" s="22">
      <c r="A626" s="36" t="inlineStr">
        <is>
          <t>https://instasure.ca/business-insurance/alberta/red-deer/</t>
        </is>
      </c>
      <c r="B626" s="36" t="inlineStr">
        <is>
          <t>Product × city</t>
        </is>
      </c>
      <c r="C626" s="36" t="inlineStr">
        <is>
          <t>Business insurance</t>
        </is>
      </c>
      <c r="D626" s="36" t="inlineStr">
        <is>
          <t>business insurance red deer</t>
        </is>
      </c>
      <c r="E626" s="36" t="inlineStr">
        <is>
          <t>City</t>
        </is>
      </c>
      <c r="F626" s="36" t="inlineStr">
        <is>
          <t>Alberta</t>
        </is>
      </c>
      <c r="G626" s="36" t="inlineStr">
        <is>
          <t>Red Deer</t>
        </is>
      </c>
      <c r="H626" s="37" t="n">
        <v>41</v>
      </c>
      <c r="I626" s="36" t="n">
        <v>25</v>
      </c>
      <c r="J626" s="36" t="inlineStr">
        <is>
          <t>local</t>
        </is>
      </c>
      <c r="K626" s="36" t="inlineStr">
        <is>
          <t>business-local</t>
        </is>
      </c>
      <c r="L626" s="36" t="n">
        <v>4</v>
      </c>
      <c r="M626" s="36" t="inlineStr">
        <is>
          <t>Primary</t>
        </is>
      </c>
      <c r="N626" s="39">
        <f>IFERROR(IF(ISNUMBER(SEARCH(D626,INDEX(Pages!$J$2:$J$829,MATCH(A626,Pages!$B$2:$B$829,0)))),"Yes","No"),"Page not found")</f>
        <v/>
      </c>
      <c r="O626" s="25" t="inlineStr">
        <is>
          <t>(none seen)</t>
        </is>
      </c>
      <c r="P626" s="25" t="inlineStr">
        <is>
          <t>Page exists but is noindex until an editor adds a 300+ character local intro (Admin → SEO → Page overrides).</t>
        </is>
      </c>
    </row>
    <row r="627" ht="23.85" customHeight="1" s="22">
      <c r="A627" s="36" t="inlineStr">
        <is>
          <t>https://instasure.ca/business-insurance/ontario/pickering/</t>
        </is>
      </c>
      <c r="B627" s="36" t="inlineStr">
        <is>
          <t>Product × city</t>
        </is>
      </c>
      <c r="C627" s="36" t="inlineStr">
        <is>
          <t>Business insurance</t>
        </is>
      </c>
      <c r="D627" s="36" t="inlineStr">
        <is>
          <t>business insurance pickering</t>
        </is>
      </c>
      <c r="E627" s="36" t="inlineStr">
        <is>
          <t>City</t>
        </is>
      </c>
      <c r="F627" s="36" t="inlineStr">
        <is>
          <t>Ontario</t>
        </is>
      </c>
      <c r="G627" s="36" t="inlineStr">
        <is>
          <t>Pickering</t>
        </is>
      </c>
      <c r="H627" s="37" t="n">
        <v>41</v>
      </c>
      <c r="I627" s="36" t="n">
        <v>25</v>
      </c>
      <c r="J627" s="36" t="inlineStr">
        <is>
          <t>local</t>
        </is>
      </c>
      <c r="K627" s="36" t="inlineStr">
        <is>
          <t>business-local</t>
        </is>
      </c>
      <c r="L627" s="36" t="n">
        <v>4</v>
      </c>
      <c r="M627" s="36" t="inlineStr">
        <is>
          <t>Primary</t>
        </is>
      </c>
      <c r="N627" s="39">
        <f>IFERROR(IF(ISNUMBER(SEARCH(D627,INDEX(Pages!$J$2:$J$829,MATCH(A627,Pages!$B$2:$B$829,0)))),"Yes","No"),"Page not found")</f>
        <v/>
      </c>
      <c r="O627" s="25" t="inlineStr">
        <is>
          <t>(none seen)</t>
        </is>
      </c>
      <c r="P627" s="25" t="inlineStr">
        <is>
          <t>Page exists but is noindex until an editor adds a 300+ character local intro (Admin → SEO → Page overrides).</t>
        </is>
      </c>
    </row>
    <row r="628" ht="15" customHeight="1" s="22">
      <c r="A628" s="36" t="inlineStr">
        <is>
          <t>https://instasure.ca/condo-insurance/alberta/lethbridge/</t>
        </is>
      </c>
      <c r="B628" s="36" t="inlineStr">
        <is>
          <t>Product × city</t>
        </is>
      </c>
      <c r="C628" s="36" t="inlineStr">
        <is>
          <t>Condo insurance</t>
        </is>
      </c>
      <c r="D628" s="36" t="inlineStr">
        <is>
          <t>condo insurance lethbridge</t>
        </is>
      </c>
      <c r="E628" s="36" t="inlineStr">
        <is>
          <t>City</t>
        </is>
      </c>
      <c r="F628" s="36" t="inlineStr">
        <is>
          <t>Alberta</t>
        </is>
      </c>
      <c r="G628" s="36" t="inlineStr">
        <is>
          <t>Lethbridge</t>
        </is>
      </c>
      <c r="H628" s="37" t="n">
        <v>41</v>
      </c>
      <c r="I628" s="36" t="n">
        <v>32</v>
      </c>
      <c r="J628" s="36" t="inlineStr">
        <is>
          <t>local</t>
        </is>
      </c>
      <c r="K628" s="36" t="inlineStr">
        <is>
          <t>property-local</t>
        </is>
      </c>
      <c r="L628" s="36" t="n">
        <v>5</v>
      </c>
      <c r="M628" s="36" t="inlineStr">
        <is>
          <t>Primary</t>
        </is>
      </c>
      <c r="N628" s="39">
        <f>IFERROR(IF(ISNUMBER(SEARCH(D628,INDEX(Pages!$J$2:$J$829,MATCH(A628,Pages!$B$2:$B$829,0)))),"Yes","No"),"Page not found")</f>
        <v/>
      </c>
      <c r="O628" s="25" t="inlineStr">
        <is>
          <t>(none seen)</t>
        </is>
      </c>
      <c r="P628" s="25" t="n"/>
    </row>
    <row r="629" ht="15" customHeight="1" s="22">
      <c r="A629" s="36" t="inlineStr">
        <is>
          <t>https://instasure.ca/condo-insurance/alberta/red-deer/</t>
        </is>
      </c>
      <c r="B629" s="36" t="inlineStr">
        <is>
          <t>Product × city</t>
        </is>
      </c>
      <c r="C629" s="36" t="inlineStr">
        <is>
          <t>Condo insurance</t>
        </is>
      </c>
      <c r="D629" s="36" t="inlineStr">
        <is>
          <t>condo insurance red deer</t>
        </is>
      </c>
      <c r="E629" s="36" t="inlineStr">
        <is>
          <t>City</t>
        </is>
      </c>
      <c r="F629" s="36" t="inlineStr">
        <is>
          <t>Alberta</t>
        </is>
      </c>
      <c r="G629" s="36" t="inlineStr">
        <is>
          <t>Red Deer</t>
        </is>
      </c>
      <c r="H629" s="37" t="n">
        <v>41</v>
      </c>
      <c r="I629" s="36" t="n">
        <v>32</v>
      </c>
      <c r="J629" s="36" t="inlineStr">
        <is>
          <t>local</t>
        </is>
      </c>
      <c r="K629" s="36" t="inlineStr">
        <is>
          <t>property-local</t>
        </is>
      </c>
      <c r="L629" s="36" t="n">
        <v>5</v>
      </c>
      <c r="M629" s="36" t="inlineStr">
        <is>
          <t>Primary</t>
        </is>
      </c>
      <c r="N629" s="39">
        <f>IFERROR(IF(ISNUMBER(SEARCH(D629,INDEX(Pages!$J$2:$J$829,MATCH(A629,Pages!$B$2:$B$829,0)))),"Yes","No"),"Page not found")</f>
        <v/>
      </c>
      <c r="O629" s="25" t="inlineStr">
        <is>
          <t>(none seen)</t>
        </is>
      </c>
      <c r="P629" s="25" t="n"/>
    </row>
    <row r="630" ht="23.85" customHeight="1" s="22">
      <c r="A630" s="36" t="inlineStr">
        <is>
          <t>https://instasure.ca/condo-insurance/ontario/pickering/</t>
        </is>
      </c>
      <c r="B630" s="36" t="inlineStr">
        <is>
          <t>Product × city</t>
        </is>
      </c>
      <c r="C630" s="36" t="inlineStr">
        <is>
          <t>Condo insurance</t>
        </is>
      </c>
      <c r="D630" s="36" t="inlineStr">
        <is>
          <t>condo insurance pickering</t>
        </is>
      </c>
      <c r="E630" s="36" t="inlineStr">
        <is>
          <t>City</t>
        </is>
      </c>
      <c r="F630" s="36" t="inlineStr">
        <is>
          <t>Ontario</t>
        </is>
      </c>
      <c r="G630" s="36" t="inlineStr">
        <is>
          <t>Pickering</t>
        </is>
      </c>
      <c r="H630" s="37" t="n">
        <v>41</v>
      </c>
      <c r="I630" s="36" t="n">
        <v>32</v>
      </c>
      <c r="J630" s="36" t="inlineStr">
        <is>
          <t>local</t>
        </is>
      </c>
      <c r="K630" s="36" t="inlineStr">
        <is>
          <t>property-local</t>
        </is>
      </c>
      <c r="L630" s="36" t="n">
        <v>5</v>
      </c>
      <c r="M630" s="36" t="inlineStr">
        <is>
          <t>Primary</t>
        </is>
      </c>
      <c r="N630" s="39">
        <f>IFERROR(IF(ISNUMBER(SEARCH(D630,INDEX(Pages!$J$2:$J$829,MATCH(A630,Pages!$B$2:$B$829,0)))),"Yes","No"),"Page not found")</f>
        <v/>
      </c>
      <c r="O630" s="25" t="inlineStr">
        <is>
          <t>(none seen)</t>
        </is>
      </c>
      <c r="P630" s="25" t="inlineStr">
        <is>
          <t>Page exists but is noindex until an editor adds a 300+ character local intro (Admin → SEO → Page overrides).</t>
        </is>
      </c>
    </row>
    <row r="631" ht="15" customHeight="1" s="22">
      <c r="A631" s="36" t="inlineStr">
        <is>
          <t>https://instasure.ca/life-insurance/newfoundland-and-labrador/</t>
        </is>
      </c>
      <c r="B631" s="36" t="inlineStr">
        <is>
          <t>Product × province</t>
        </is>
      </c>
      <c r="C631" s="36" t="inlineStr">
        <is>
          <t>Life insurance</t>
        </is>
      </c>
      <c r="D631" s="36" t="inlineStr">
        <is>
          <t>life insurance newfoundland</t>
        </is>
      </c>
      <c r="E631" s="36" t="inlineStr">
        <is>
          <t>Provincial</t>
        </is>
      </c>
      <c r="F631" s="36" t="inlineStr">
        <is>
          <t>Newfoundland and Labrador</t>
        </is>
      </c>
      <c r="G631" s="36" t="n"/>
      <c r="H631" s="37" t="n">
        <v>41</v>
      </c>
      <c r="I631" s="36" t="n">
        <v>34</v>
      </c>
      <c r="J631" s="36" t="inlineStr">
        <is>
          <t>commercial</t>
        </is>
      </c>
      <c r="K631" s="36" t="inlineStr">
        <is>
          <t>life-province</t>
        </is>
      </c>
      <c r="L631" s="36" t="n">
        <v>3</v>
      </c>
      <c r="M631" s="36" t="inlineStr">
        <is>
          <t>Primary</t>
        </is>
      </c>
      <c r="N631" s="39">
        <f>IFERROR(IF(ISNUMBER(SEARCH(D631,INDEX(Pages!$J$2:$J$829,MATCH(A631,Pages!$B$2:$B$829,0)))),"Yes","No"),"Page not found")</f>
        <v/>
      </c>
      <c r="O631" s="25" t="inlineStr">
        <is>
          <t>(none seen)</t>
        </is>
      </c>
      <c r="P631" s="25" t="n"/>
    </row>
    <row r="632" ht="15" customHeight="1" s="22">
      <c r="A632" s="36" t="inlineStr">
        <is>
          <t>https://instasure.ca/business-insurance/quebec/laval/</t>
        </is>
      </c>
      <c r="B632" s="36" t="inlineStr">
        <is>
          <t>Product × city</t>
        </is>
      </c>
      <c r="C632" s="36" t="inlineStr">
        <is>
          <t>Business insurance</t>
        </is>
      </c>
      <c r="D632" s="36" t="inlineStr">
        <is>
          <t>business insurance laval</t>
        </is>
      </c>
      <c r="E632" s="36" t="inlineStr">
        <is>
          <t>City</t>
        </is>
      </c>
      <c r="F632" s="36" t="inlineStr">
        <is>
          <t>Quebec</t>
        </is>
      </c>
      <c r="G632" s="36" t="inlineStr">
        <is>
          <t>Laval</t>
        </is>
      </c>
      <c r="H632" s="37" t="n">
        <v>40</v>
      </c>
      <c r="I632" s="36" t="n">
        <v>33</v>
      </c>
      <c r="J632" s="36" t="inlineStr">
        <is>
          <t>local</t>
        </is>
      </c>
      <c r="K632" s="36" t="inlineStr">
        <is>
          <t>business-local</t>
        </is>
      </c>
      <c r="L632" s="36" t="n">
        <v>5</v>
      </c>
      <c r="M632" s="36" t="inlineStr">
        <is>
          <t>Primary</t>
        </is>
      </c>
      <c r="N632" s="39">
        <f>IFERROR(IF(ISNUMBER(SEARCH(D632,INDEX(Pages!$J$2:$J$829,MATCH(A632,Pages!$B$2:$B$829,0)))),"Yes","No"),"Page not found")</f>
        <v/>
      </c>
      <c r="O632" s="25" t="inlineStr">
        <is>
          <t>(none seen)</t>
        </is>
      </c>
      <c r="P632" s="25" t="inlineStr">
        <is>
          <t>Quebec waitlist until AMF registration.</t>
        </is>
      </c>
    </row>
    <row r="633" ht="15" customHeight="1" s="22">
      <c r="A633" s="36" t="inlineStr">
        <is>
          <t>https://instasure.ca/condo-insurance/quebec/laval/</t>
        </is>
      </c>
      <c r="B633" s="36" t="inlineStr">
        <is>
          <t>Product × city</t>
        </is>
      </c>
      <c r="C633" s="36" t="inlineStr">
        <is>
          <t>Condo insurance</t>
        </is>
      </c>
      <c r="D633" s="36" t="inlineStr">
        <is>
          <t>condo insurance laval</t>
        </is>
      </c>
      <c r="E633" s="36" t="inlineStr">
        <is>
          <t>City</t>
        </is>
      </c>
      <c r="F633" s="36" t="inlineStr">
        <is>
          <t>Quebec</t>
        </is>
      </c>
      <c r="G633" s="36" t="inlineStr">
        <is>
          <t>Laval</t>
        </is>
      </c>
      <c r="H633" s="37" t="n">
        <v>40</v>
      </c>
      <c r="I633" s="36" t="n">
        <v>40</v>
      </c>
      <c r="J633" s="36" t="inlineStr">
        <is>
          <t>local</t>
        </is>
      </c>
      <c r="K633" s="36" t="inlineStr">
        <is>
          <t>property-local</t>
        </is>
      </c>
      <c r="L633" s="36" t="n">
        <v>5</v>
      </c>
      <c r="M633" s="36" t="inlineStr">
        <is>
          <t>Primary</t>
        </is>
      </c>
      <c r="N633" s="39">
        <f>IFERROR(IF(ISNUMBER(SEARCH(D633,INDEX(Pages!$J$2:$J$829,MATCH(A633,Pages!$B$2:$B$829,0)))),"Yes","No"),"Page not found")</f>
        <v/>
      </c>
      <c r="O633" s="25" t="inlineStr">
        <is>
          <t>(none seen)</t>
        </is>
      </c>
      <c r="P633" s="25" t="inlineStr">
        <is>
          <t>Quebec waitlist until AMF registration.</t>
        </is>
      </c>
    </row>
    <row r="634" ht="15" customHeight="1" s="22">
      <c r="A634" s="36" t="inlineStr">
        <is>
          <t>https://instasure.ca/business-insurance/british-columbia/victoria/</t>
        </is>
      </c>
      <c r="B634" s="36" t="inlineStr">
        <is>
          <t>Product × city</t>
        </is>
      </c>
      <c r="C634" s="36" t="inlineStr">
        <is>
          <t>Business insurance</t>
        </is>
      </c>
      <c r="D634" s="36" t="inlineStr">
        <is>
          <t>business insurance victoria</t>
        </is>
      </c>
      <c r="E634" s="36" t="inlineStr">
        <is>
          <t>City</t>
        </is>
      </c>
      <c r="F634" s="36" t="inlineStr">
        <is>
          <t>British Columbia</t>
        </is>
      </c>
      <c r="G634" s="36" t="inlineStr">
        <is>
          <t>Victoria</t>
        </is>
      </c>
      <c r="H634" s="37" t="n">
        <v>39</v>
      </c>
      <c r="I634" s="36" t="n">
        <v>33</v>
      </c>
      <c r="J634" s="36" t="inlineStr">
        <is>
          <t>local</t>
        </is>
      </c>
      <c r="K634" s="36" t="inlineStr">
        <is>
          <t>business-local</t>
        </is>
      </c>
      <c r="L634" s="36" t="n">
        <v>3</v>
      </c>
      <c r="M634" s="36" t="inlineStr">
        <is>
          <t>Primary</t>
        </is>
      </c>
      <c r="N634" s="39">
        <f>IFERROR(IF(ISNUMBER(SEARCH(D634,INDEX(Pages!$J$2:$J$829,MATCH(A634,Pages!$B$2:$B$829,0)))),"Yes","No"),"Page not found")</f>
        <v/>
      </c>
      <c r="O634" s="25" t="inlineStr">
        <is>
          <t>(none seen)</t>
        </is>
      </c>
      <c r="P634" s="25" t="n"/>
    </row>
    <row r="635" ht="15" customHeight="1" s="22">
      <c r="A635" s="36" t="inlineStr">
        <is>
          <t>https://instasure.ca/condo-insurance/british-columbia/victoria/</t>
        </is>
      </c>
      <c r="B635" s="36" t="inlineStr">
        <is>
          <t>Product × city</t>
        </is>
      </c>
      <c r="C635" s="36" t="inlineStr">
        <is>
          <t>Condo insurance</t>
        </is>
      </c>
      <c r="D635" s="36" t="inlineStr">
        <is>
          <t>condo insurance victoria</t>
        </is>
      </c>
      <c r="E635" s="36" t="inlineStr">
        <is>
          <t>City</t>
        </is>
      </c>
      <c r="F635" s="36" t="inlineStr">
        <is>
          <t>British Columbia</t>
        </is>
      </c>
      <c r="G635" s="36" t="inlineStr">
        <is>
          <t>Victoria</t>
        </is>
      </c>
      <c r="H635" s="37" t="n">
        <v>39</v>
      </c>
      <c r="I635" s="36" t="n">
        <v>40</v>
      </c>
      <c r="J635" s="36" t="inlineStr">
        <is>
          <t>local</t>
        </is>
      </c>
      <c r="K635" s="36" t="inlineStr">
        <is>
          <t>property-local</t>
        </is>
      </c>
      <c r="L635" s="36" t="n">
        <v>5</v>
      </c>
      <c r="M635" s="36" t="inlineStr">
        <is>
          <t>Primary</t>
        </is>
      </c>
      <c r="N635" s="39">
        <f>IFERROR(IF(ISNUMBER(SEARCH(D635,INDEX(Pages!$J$2:$J$829,MATCH(A635,Pages!$B$2:$B$829,0)))),"Yes","No"),"Page not found")</f>
        <v/>
      </c>
      <c r="O635" s="25" t="inlineStr">
        <is>
          <t>(none seen)</t>
        </is>
      </c>
      <c r="P635" s="25" t="n"/>
    </row>
    <row r="636" ht="15" customHeight="1" s="22">
      <c r="A636" s="36" t="inlineStr">
        <is>
          <t>https://instasure.ca/critical-illness-insurance/quebec/</t>
        </is>
      </c>
      <c r="B636" s="36" t="inlineStr">
        <is>
          <t>Product × province</t>
        </is>
      </c>
      <c r="C636" s="36" t="inlineStr">
        <is>
          <t>Critical illness insurance</t>
        </is>
      </c>
      <c r="D636" s="36" t="inlineStr">
        <is>
          <t>critical illness insurance quebec</t>
        </is>
      </c>
      <c r="E636" s="36" t="inlineStr">
        <is>
          <t>Provincial</t>
        </is>
      </c>
      <c r="F636" s="36" t="inlineStr">
        <is>
          <t>Quebec</t>
        </is>
      </c>
      <c r="G636" s="36" t="n"/>
      <c r="H636" s="37" t="n">
        <v>39</v>
      </c>
      <c r="I636" s="36" t="n">
        <v>29</v>
      </c>
      <c r="J636" s="36" t="inlineStr">
        <is>
          <t>commercial</t>
        </is>
      </c>
      <c r="K636" s="36" t="inlineStr">
        <is>
          <t>living-benefits</t>
        </is>
      </c>
      <c r="L636" s="36" t="n">
        <v>4</v>
      </c>
      <c r="M636" s="36" t="inlineStr">
        <is>
          <t>Primary</t>
        </is>
      </c>
      <c r="N636" s="39">
        <f>IFERROR(IF(ISNUMBER(SEARCH(D636,INDEX(Pages!$J$2:$J$829,MATCH(A636,Pages!$B$2:$B$829,0)))),"Yes","No"),"Page not found")</f>
        <v/>
      </c>
      <c r="O636" s="25" t="inlineStr">
        <is>
          <t>(none seen)</t>
        </is>
      </c>
      <c r="P636" s="25" t="inlineStr">
        <is>
          <t>Quebec waitlist until AMF registration; English phrase only (French terms listed separately).</t>
        </is>
      </c>
    </row>
    <row r="637" ht="23.85" customHeight="1" s="22">
      <c r="A637" s="36" t="inlineStr">
        <is>
          <t>https://instasure.ca/life-insurance/quebec/longueuil/</t>
        </is>
      </c>
      <c r="B637" s="36" t="inlineStr">
        <is>
          <t>Product × city</t>
        </is>
      </c>
      <c r="C637" s="36" t="inlineStr">
        <is>
          <t>Life insurance</t>
        </is>
      </c>
      <c r="D637" s="36" t="inlineStr">
        <is>
          <t>life insurance longueuil</t>
        </is>
      </c>
      <c r="E637" s="36" t="inlineStr">
        <is>
          <t>City</t>
        </is>
      </c>
      <c r="F637" s="36" t="inlineStr">
        <is>
          <t>Quebec</t>
        </is>
      </c>
      <c r="G637" s="36" t="inlineStr">
        <is>
          <t>Longueuil</t>
        </is>
      </c>
      <c r="H637" s="37" t="n">
        <v>39</v>
      </c>
      <c r="I637" s="36" t="n">
        <v>27</v>
      </c>
      <c r="J637" s="36" t="inlineStr">
        <is>
          <t>local</t>
        </is>
      </c>
      <c r="K637" s="36" t="inlineStr">
        <is>
          <t>life-local</t>
        </is>
      </c>
      <c r="L637" s="36" t="n">
        <v>5</v>
      </c>
      <c r="M637" s="36" t="inlineStr">
        <is>
          <t>Primary</t>
        </is>
      </c>
      <c r="N637" s="39">
        <f>IFERROR(IF(ISNUMBER(SEARCH(D637,INDEX(Pages!$J$2:$J$829,MATCH(A637,Pages!$B$2:$B$829,0)))),"Yes","No"),"Page not found")</f>
        <v/>
      </c>
      <c r="O637" s="25" t="inlineStr">
        <is>
          <t>(none seen)</t>
        </is>
      </c>
      <c r="P637" s="25" t="inlineStr">
        <is>
          <t>Page exists but is noindex until an editor adds a 300+ character local intro (Admin → SEO → Page overrides). Quebec waitlist until AMF registration.</t>
        </is>
      </c>
    </row>
    <row r="638" ht="23.85" customHeight="1" s="22">
      <c r="A638" s="36" t="inlineStr">
        <is>
          <t>https://instasure.ca/life-insurance/manitoba/brandon/</t>
        </is>
      </c>
      <c r="B638" s="36" t="inlineStr">
        <is>
          <t>Product × city</t>
        </is>
      </c>
      <c r="C638" s="36" t="inlineStr">
        <is>
          <t>Life insurance</t>
        </is>
      </c>
      <c r="D638" s="36" t="inlineStr">
        <is>
          <t>life insurance brandon</t>
        </is>
      </c>
      <c r="E638" s="36" t="inlineStr">
        <is>
          <t>City</t>
        </is>
      </c>
      <c r="F638" s="36" t="inlineStr">
        <is>
          <t>Manitoba</t>
        </is>
      </c>
      <c r="G638" s="36" t="inlineStr">
        <is>
          <t>Brandon</t>
        </is>
      </c>
      <c r="H638" s="37" t="n">
        <v>36</v>
      </c>
      <c r="I638" s="36" t="n">
        <v>19</v>
      </c>
      <c r="J638" s="36" t="inlineStr">
        <is>
          <t>local</t>
        </is>
      </c>
      <c r="K638" s="36" t="inlineStr">
        <is>
          <t>life-local</t>
        </is>
      </c>
      <c r="L638" s="36" t="n">
        <v>3</v>
      </c>
      <c r="M638" s="36" t="inlineStr">
        <is>
          <t>Primary</t>
        </is>
      </c>
      <c r="N638" s="39">
        <f>IFERROR(IF(ISNUMBER(SEARCH(D638,INDEX(Pages!$J$2:$J$829,MATCH(A638,Pages!$B$2:$B$829,0)))),"Yes","No"),"Page not found")</f>
        <v/>
      </c>
      <c r="O638" s="25" t="inlineStr">
        <is>
          <t>(none seen)</t>
        </is>
      </c>
      <c r="P638" s="25" t="inlineStr">
        <is>
          <t>Page exists but is noindex until an editor adds a 300+ character local intro (Admin → SEO → Page overrides).</t>
        </is>
      </c>
    </row>
    <row r="639" ht="15" customHeight="1" s="22">
      <c r="A639" s="36" t="inlineStr">
        <is>
          <t>https://instasure.ca/super-visa-insurance/new-brunswick/</t>
        </is>
      </c>
      <c r="B639" s="36" t="inlineStr">
        <is>
          <t>Product × province</t>
        </is>
      </c>
      <c r="C639" s="36" t="inlineStr">
        <is>
          <t>Super Visa &amp; visitors insurance</t>
        </is>
      </c>
      <c r="D639" s="36" t="inlineStr">
        <is>
          <t>super visa insurance new brunswick</t>
        </is>
      </c>
      <c r="E639" s="36" t="inlineStr">
        <is>
          <t>Provincial</t>
        </is>
      </c>
      <c r="F639" s="36" t="inlineStr">
        <is>
          <t>New Brunswick</t>
        </is>
      </c>
      <c r="G639" s="36" t="n"/>
      <c r="H639" s="37" t="n">
        <v>36</v>
      </c>
      <c r="I639" s="36" t="n">
        <v>24</v>
      </c>
      <c r="J639" s="36" t="inlineStr">
        <is>
          <t>commercial</t>
        </is>
      </c>
      <c r="K639" s="36" t="inlineStr">
        <is>
          <t>travel-visitors</t>
        </is>
      </c>
      <c r="L639" s="36" t="n">
        <v>4</v>
      </c>
      <c r="M639" s="36" t="inlineStr">
        <is>
          <t>Primary</t>
        </is>
      </c>
      <c r="N639" s="39">
        <f>IFERROR(IF(ISNUMBER(SEARCH(D639,INDEX(Pages!$J$2:$J$829,MATCH(A639,Pages!$B$2:$B$829,0)))),"Yes","No"),"Page not found")</f>
        <v/>
      </c>
      <c r="O639" s="25" t="inlineStr">
        <is>
          <t>(none seen)</t>
        </is>
      </c>
      <c r="P639" s="25" t="inlineStr">
        <is>
          <t>Province page targets super visa buyers sponsoring parents locally.</t>
        </is>
      </c>
    </row>
    <row r="640" ht="15" customHeight="1" s="22">
      <c r="A640" s="36" t="inlineStr">
        <is>
          <t>https://instasure.ca/super-visa-insurance/ontario/london/</t>
        </is>
      </c>
      <c r="B640" s="36" t="inlineStr">
        <is>
          <t>Product × city</t>
        </is>
      </c>
      <c r="C640" s="36" t="inlineStr">
        <is>
          <t>Super Visa &amp; visitors insurance</t>
        </is>
      </c>
      <c r="D640" s="36" t="inlineStr">
        <is>
          <t>super visa insurance london ontario</t>
        </is>
      </c>
      <c r="E640" s="36" t="inlineStr">
        <is>
          <t>City</t>
        </is>
      </c>
      <c r="F640" s="36" t="inlineStr">
        <is>
          <t>Ontario</t>
        </is>
      </c>
      <c r="G640" s="36" t="inlineStr">
        <is>
          <t>London</t>
        </is>
      </c>
      <c r="H640" s="37" t="n">
        <v>35</v>
      </c>
      <c r="I640" s="36" t="n">
        <v>36</v>
      </c>
      <c r="J640" s="36" t="inlineStr">
        <is>
          <t>local</t>
        </is>
      </c>
      <c r="K640" s="36" t="inlineStr">
        <is>
          <t>travel-visitors</t>
        </is>
      </c>
      <c r="L640" s="36" t="n">
        <v>5</v>
      </c>
      <c r="M640" s="36" t="inlineStr">
        <is>
          <t>Primary</t>
        </is>
      </c>
      <c r="N640" s="39">
        <f>IFERROR(IF(ISNUMBER(SEARCH(D640,INDEX(Pages!$J$2:$J$829,MATCH(A640,Pages!$B$2:$B$829,0)))),"Yes","No"),"Page not found")</f>
        <v/>
      </c>
      <c r="O640" s="25" t="inlineStr">
        <is>
          <t>(none seen)</t>
        </is>
      </c>
      <c r="P640" s="25" t="n"/>
    </row>
    <row r="641" ht="23.85" customHeight="1" s="22">
      <c r="A641" s="36" t="inlineStr">
        <is>
          <t>https://instasure.ca/business-insurance/new-brunswick/moncton/</t>
        </is>
      </c>
      <c r="B641" s="36" t="inlineStr">
        <is>
          <t>Product × city</t>
        </is>
      </c>
      <c r="C641" s="36" t="inlineStr">
        <is>
          <t>Business insurance</t>
        </is>
      </c>
      <c r="D641" s="36" t="inlineStr">
        <is>
          <t>business insurance moncton</t>
        </is>
      </c>
      <c r="E641" s="36" t="inlineStr">
        <is>
          <t>City</t>
        </is>
      </c>
      <c r="F641" s="36" t="inlineStr">
        <is>
          <t>New Brunswick</t>
        </is>
      </c>
      <c r="G641" s="36" t="inlineStr">
        <is>
          <t>Moncton</t>
        </is>
      </c>
      <c r="H641" s="37" t="n">
        <v>34</v>
      </c>
      <c r="I641" s="36" t="n">
        <v>25</v>
      </c>
      <c r="J641" s="36" t="inlineStr">
        <is>
          <t>local</t>
        </is>
      </c>
      <c r="K641" s="36" t="inlineStr">
        <is>
          <t>business-local</t>
        </is>
      </c>
      <c r="L641" s="36" t="n">
        <v>4</v>
      </c>
      <c r="M641" s="36" t="inlineStr">
        <is>
          <t>Primary</t>
        </is>
      </c>
      <c r="N641" s="39">
        <f>IFERROR(IF(ISNUMBER(SEARCH(D641,INDEX(Pages!$J$2:$J$829,MATCH(A641,Pages!$B$2:$B$829,0)))),"Yes","No"),"Page not found")</f>
        <v/>
      </c>
      <c r="O641" s="25" t="inlineStr">
        <is>
          <t>(none seen)</t>
        </is>
      </c>
      <c r="P641" s="25" t="inlineStr">
        <is>
          <t>Page exists but is noindex until an editor adds a 300+ character local intro (Admin → SEO → Page overrides).</t>
        </is>
      </c>
    </row>
    <row r="642" ht="15" customHeight="1" s="22">
      <c r="A642" s="36" t="inlineStr">
        <is>
          <t>https://instasure.ca/condo-insurance/new-brunswick/moncton/</t>
        </is>
      </c>
      <c r="B642" s="36" t="inlineStr">
        <is>
          <t>Product × city</t>
        </is>
      </c>
      <c r="C642" s="36" t="inlineStr">
        <is>
          <t>Condo insurance</t>
        </is>
      </c>
      <c r="D642" s="36" t="inlineStr">
        <is>
          <t>condo insurance moncton</t>
        </is>
      </c>
      <c r="E642" s="36" t="inlineStr">
        <is>
          <t>City</t>
        </is>
      </c>
      <c r="F642" s="36" t="inlineStr">
        <is>
          <t>New Brunswick</t>
        </is>
      </c>
      <c r="G642" s="36" t="inlineStr">
        <is>
          <t>Moncton</t>
        </is>
      </c>
      <c r="H642" s="37" t="n">
        <v>34</v>
      </c>
      <c r="I642" s="36" t="n">
        <v>32</v>
      </c>
      <c r="J642" s="36" t="inlineStr">
        <is>
          <t>local</t>
        </is>
      </c>
      <c r="K642" s="36" t="inlineStr">
        <is>
          <t>property-local</t>
        </is>
      </c>
      <c r="L642" s="36" t="n">
        <v>5</v>
      </c>
      <c r="M642" s="36" t="inlineStr">
        <is>
          <t>Primary</t>
        </is>
      </c>
      <c r="N642" s="39">
        <f>IFERROR(IF(ISNUMBER(SEARCH(D642,INDEX(Pages!$J$2:$J$829,MATCH(A642,Pages!$B$2:$B$829,0)))),"Yes","No"),"Page not found")</f>
        <v/>
      </c>
      <c r="O642" s="25" t="inlineStr">
        <is>
          <t>(none seen)</t>
        </is>
      </c>
      <c r="P642" s="25" t="n"/>
    </row>
    <row r="643" ht="15" customHeight="1" s="22">
      <c r="A643" s="36" t="inlineStr">
        <is>
          <t>https://instasure.ca/condo-insurance/newfoundland-and-labrador/</t>
        </is>
      </c>
      <c r="B643" s="36" t="inlineStr">
        <is>
          <t>Product × province</t>
        </is>
      </c>
      <c r="C643" s="36" t="inlineStr">
        <is>
          <t>Condo insurance</t>
        </is>
      </c>
      <c r="D643" s="36" t="inlineStr">
        <is>
          <t>condo insurance newfoundland</t>
        </is>
      </c>
      <c r="E643" s="36" t="inlineStr">
        <is>
          <t>Provincial</t>
        </is>
      </c>
      <c r="F643" s="36" t="inlineStr">
        <is>
          <t>Newfoundland and Labrador</t>
        </is>
      </c>
      <c r="G643" s="36" t="n"/>
      <c r="H643" s="37" t="n">
        <v>33</v>
      </c>
      <c r="I643" s="36" t="n">
        <v>29</v>
      </c>
      <c r="J643" s="36" t="inlineStr">
        <is>
          <t>commercial</t>
        </is>
      </c>
      <c r="K643" s="36" t="inlineStr">
        <is>
          <t>property-province</t>
        </is>
      </c>
      <c r="L643" s="36" t="n">
        <v>5</v>
      </c>
      <c r="M643" s="36" t="inlineStr">
        <is>
          <t>Primary</t>
        </is>
      </c>
      <c r="N643" s="39">
        <f>IFERROR(IF(ISNUMBER(SEARCH(D643,INDEX(Pages!$J$2:$J$829,MATCH(A643,Pages!$B$2:$B$829,0)))),"Yes","No"),"Page not found")</f>
        <v/>
      </c>
      <c r="O643" s="25" t="inlineStr">
        <is>
          <t>(none seen)</t>
        </is>
      </c>
      <c r="P643" s="25" t="n"/>
    </row>
    <row r="644" ht="23.85" customHeight="1" s="22">
      <c r="A644" s="36" t="inlineStr">
        <is>
          <t>https://instasure.ca/business-insurance/alberta/airdrie/</t>
        </is>
      </c>
      <c r="B644" s="36" t="inlineStr">
        <is>
          <t>Product × city</t>
        </is>
      </c>
      <c r="C644" s="36" t="inlineStr">
        <is>
          <t>Business insurance</t>
        </is>
      </c>
      <c r="D644" s="36" t="inlineStr">
        <is>
          <t>business insurance airdrie</t>
        </is>
      </c>
      <c r="E644" s="36" t="inlineStr">
        <is>
          <t>City</t>
        </is>
      </c>
      <c r="F644" s="36" t="inlineStr">
        <is>
          <t>Alberta</t>
        </is>
      </c>
      <c r="G644" s="36" t="inlineStr">
        <is>
          <t>Airdrie</t>
        </is>
      </c>
      <c r="H644" s="37" t="n">
        <v>32</v>
      </c>
      <c r="I644" s="36" t="n">
        <v>17</v>
      </c>
      <c r="J644" s="36" t="inlineStr">
        <is>
          <t>local</t>
        </is>
      </c>
      <c r="K644" s="36" t="inlineStr">
        <is>
          <t>business-local</t>
        </is>
      </c>
      <c r="L644" s="36" t="n">
        <v>4</v>
      </c>
      <c r="M644" s="36" t="inlineStr">
        <is>
          <t>Primary</t>
        </is>
      </c>
      <c r="N644" s="39">
        <f>IFERROR(IF(ISNUMBER(SEARCH(D644,INDEX(Pages!$J$2:$J$829,MATCH(A644,Pages!$B$2:$B$829,0)))),"Yes","No"),"Page not found")</f>
        <v/>
      </c>
      <c r="O644" s="25" t="inlineStr">
        <is>
          <t>(none seen)</t>
        </is>
      </c>
      <c r="P644" s="25" t="inlineStr">
        <is>
          <t>Page exists but is noindex until an editor adds a 300+ character local intro (Admin → SEO → Page overrides).</t>
        </is>
      </c>
    </row>
    <row r="645" ht="23.85" customHeight="1" s="22">
      <c r="A645" s="36" t="inlineStr">
        <is>
          <t>https://instasure.ca/condo-insurance/alberta/airdrie/</t>
        </is>
      </c>
      <c r="B645" s="36" t="inlineStr">
        <is>
          <t>Product × city</t>
        </is>
      </c>
      <c r="C645" s="36" t="inlineStr">
        <is>
          <t>Condo insurance</t>
        </is>
      </c>
      <c r="D645" s="36" t="inlineStr">
        <is>
          <t>condo insurance airdrie</t>
        </is>
      </c>
      <c r="E645" s="36" t="inlineStr">
        <is>
          <t>City</t>
        </is>
      </c>
      <c r="F645" s="36" t="inlineStr">
        <is>
          <t>Alberta</t>
        </is>
      </c>
      <c r="G645" s="36" t="inlineStr">
        <is>
          <t>Airdrie</t>
        </is>
      </c>
      <c r="H645" s="37" t="n">
        <v>32</v>
      </c>
      <c r="I645" s="36" t="n">
        <v>24</v>
      </c>
      <c r="J645" s="36" t="inlineStr">
        <is>
          <t>local</t>
        </is>
      </c>
      <c r="K645" s="36" t="inlineStr">
        <is>
          <t>property-local</t>
        </is>
      </c>
      <c r="L645" s="36" t="n">
        <v>5</v>
      </c>
      <c r="M645" s="36" t="inlineStr">
        <is>
          <t>Primary</t>
        </is>
      </c>
      <c r="N645" s="39">
        <f>IFERROR(IF(ISNUMBER(SEARCH(D645,INDEX(Pages!$J$2:$J$829,MATCH(A645,Pages!$B$2:$B$829,0)))),"Yes","No"),"Page not found")</f>
        <v/>
      </c>
      <c r="O645" s="25" t="inlineStr">
        <is>
          <t>(none seen)</t>
        </is>
      </c>
      <c r="P645" s="25" t="inlineStr">
        <is>
          <t>Page exists but is noindex until an editor adds a 300+ character local intro (Admin → SEO → Page overrides).</t>
        </is>
      </c>
    </row>
    <row r="646" ht="23.85" customHeight="1" s="22">
      <c r="A646" s="36" t="inlineStr">
        <is>
          <t>https://instasure.ca/business-insurance/new-brunswick/saint-john/</t>
        </is>
      </c>
      <c r="B646" s="36" t="inlineStr">
        <is>
          <t>Product × city</t>
        </is>
      </c>
      <c r="C646" s="36" t="inlineStr">
        <is>
          <t>Business insurance</t>
        </is>
      </c>
      <c r="D646" s="36" t="inlineStr">
        <is>
          <t>business insurance saint john</t>
        </is>
      </c>
      <c r="E646" s="36" t="inlineStr">
        <is>
          <t>City</t>
        </is>
      </c>
      <c r="F646" s="36" t="inlineStr">
        <is>
          <t>New Brunswick</t>
        </is>
      </c>
      <c r="G646" s="36" t="inlineStr">
        <is>
          <t>Saint John</t>
        </is>
      </c>
      <c r="H646" s="37" t="n">
        <v>31</v>
      </c>
      <c r="I646" s="36" t="n">
        <v>25</v>
      </c>
      <c r="J646" s="36" t="inlineStr">
        <is>
          <t>local</t>
        </is>
      </c>
      <c r="K646" s="36" t="inlineStr">
        <is>
          <t>business-local</t>
        </is>
      </c>
      <c r="L646" s="36" t="n">
        <v>4</v>
      </c>
      <c r="M646" s="36" t="inlineStr">
        <is>
          <t>Primary</t>
        </is>
      </c>
      <c r="N646" s="39">
        <f>IFERROR(IF(ISNUMBER(SEARCH(D646,INDEX(Pages!$J$2:$J$829,MATCH(A646,Pages!$B$2:$B$829,0)))),"Yes","No"),"Page not found")</f>
        <v/>
      </c>
      <c r="O646" s="25" t="inlineStr">
        <is>
          <t>(none seen)</t>
        </is>
      </c>
      <c r="P646" s="25" t="inlineStr">
        <is>
          <t>Page exists but is noindex until an editor adds a 300+ character local intro (Admin → SEO → Page overrides).</t>
        </is>
      </c>
    </row>
    <row r="647" ht="15" customHeight="1" s="22">
      <c r="A647" s="36" t="inlineStr">
        <is>
          <t>https://instasure.ca/condo-insurance/new-brunswick/saint-john/</t>
        </is>
      </c>
      <c r="B647" s="36" t="inlineStr">
        <is>
          <t>Product × city</t>
        </is>
      </c>
      <c r="C647" s="36" t="inlineStr">
        <is>
          <t>Condo insurance</t>
        </is>
      </c>
      <c r="D647" s="36" t="inlineStr">
        <is>
          <t>condo insurance saint john</t>
        </is>
      </c>
      <c r="E647" s="36" t="inlineStr">
        <is>
          <t>City</t>
        </is>
      </c>
      <c r="F647" s="36" t="inlineStr">
        <is>
          <t>New Brunswick</t>
        </is>
      </c>
      <c r="G647" s="36" t="inlineStr">
        <is>
          <t>Saint John</t>
        </is>
      </c>
      <c r="H647" s="37" t="n">
        <v>31</v>
      </c>
      <c r="I647" s="36" t="n">
        <v>32</v>
      </c>
      <c r="J647" s="36" t="inlineStr">
        <is>
          <t>local</t>
        </is>
      </c>
      <c r="K647" s="36" t="inlineStr">
        <is>
          <t>property-local</t>
        </is>
      </c>
      <c r="L647" s="36" t="n">
        <v>5</v>
      </c>
      <c r="M647" s="36" t="inlineStr">
        <is>
          <t>Primary</t>
        </is>
      </c>
      <c r="N647" s="39">
        <f>IFERROR(IF(ISNUMBER(SEARCH(D647,INDEX(Pages!$J$2:$J$829,MATCH(A647,Pages!$B$2:$B$829,0)))),"Yes","No"),"Page not found")</f>
        <v/>
      </c>
      <c r="O647" s="25" t="inlineStr">
        <is>
          <t>(none seen)</t>
        </is>
      </c>
      <c r="P647" s="25" t="n"/>
    </row>
    <row r="648" ht="15" customHeight="1" s="22">
      <c r="A648" s="36" t="inlineStr">
        <is>
          <t>https://instasure.ca/mortgage-life-insurance/quebec/</t>
        </is>
      </c>
      <c r="B648" s="36" t="inlineStr">
        <is>
          <t>Product × province</t>
        </is>
      </c>
      <c r="C648" s="36" t="inlineStr">
        <is>
          <t>Mortgage protection</t>
        </is>
      </c>
      <c r="D648" s="36" t="inlineStr">
        <is>
          <t>mortgage life insurance quebec</t>
        </is>
      </c>
      <c r="E648" s="36" t="inlineStr">
        <is>
          <t>Provincial</t>
        </is>
      </c>
      <c r="F648" s="36" t="inlineStr">
        <is>
          <t>Quebec</t>
        </is>
      </c>
      <c r="G648" s="36" t="n"/>
      <c r="H648" s="37" t="n">
        <v>30</v>
      </c>
      <c r="I648" s="36" t="n">
        <v>29</v>
      </c>
      <c r="J648" s="36" t="inlineStr">
        <is>
          <t>commercial</t>
        </is>
      </c>
      <c r="K648" s="36" t="inlineStr">
        <is>
          <t>life-mortgage</t>
        </is>
      </c>
      <c r="L648" s="36" t="n">
        <v>5</v>
      </c>
      <c r="M648" s="36" t="inlineStr">
        <is>
          <t>Primary</t>
        </is>
      </c>
      <c r="N648" s="39">
        <f>IFERROR(IF(ISNUMBER(SEARCH(D648,INDEX(Pages!$J$2:$J$829,MATCH(A648,Pages!$B$2:$B$829,0)))),"Yes","No"),"Page not found")</f>
        <v/>
      </c>
      <c r="O648" s="25" t="inlineStr">
        <is>
          <t>(none seen)</t>
        </is>
      </c>
      <c r="P648" s="25" t="inlineStr">
        <is>
          <t>Quebec waitlist until AMF registration; English phrase only (French terms listed separately).</t>
        </is>
      </c>
    </row>
    <row r="649" ht="23.85" customHeight="1" s="22">
      <c r="A649" s="36" t="inlineStr">
        <is>
          <t>https://instasure.ca/business-insurance/new-brunswick/fredericton/</t>
        </is>
      </c>
      <c r="B649" s="36" t="inlineStr">
        <is>
          <t>Product × city</t>
        </is>
      </c>
      <c r="C649" s="36" t="inlineStr">
        <is>
          <t>Business insurance</t>
        </is>
      </c>
      <c r="D649" s="36" t="inlineStr">
        <is>
          <t>business insurance fredericton</t>
        </is>
      </c>
      <c r="E649" s="36" t="inlineStr">
        <is>
          <t>City</t>
        </is>
      </c>
      <c r="F649" s="36" t="inlineStr">
        <is>
          <t>New Brunswick</t>
        </is>
      </c>
      <c r="G649" s="36" t="inlineStr">
        <is>
          <t>Fredericton</t>
        </is>
      </c>
      <c r="H649" s="37" t="n">
        <v>29</v>
      </c>
      <c r="I649" s="36" t="n">
        <v>25</v>
      </c>
      <c r="J649" s="36" t="inlineStr">
        <is>
          <t>local</t>
        </is>
      </c>
      <c r="K649" s="36" t="inlineStr">
        <is>
          <t>business-local</t>
        </is>
      </c>
      <c r="L649" s="36" t="n">
        <v>4</v>
      </c>
      <c r="M649" s="36" t="inlineStr">
        <is>
          <t>Primary</t>
        </is>
      </c>
      <c r="N649" s="39">
        <f>IFERROR(IF(ISNUMBER(SEARCH(D649,INDEX(Pages!$J$2:$J$829,MATCH(A649,Pages!$B$2:$B$829,0)))),"Yes","No"),"Page not found")</f>
        <v/>
      </c>
      <c r="O649" s="25" t="inlineStr">
        <is>
          <t>(none seen)</t>
        </is>
      </c>
      <c r="P649" s="25" t="inlineStr">
        <is>
          <t>Page exists but is noindex until an editor adds a 300+ character local intro (Admin → SEO → Page overrides).</t>
        </is>
      </c>
    </row>
    <row r="650" ht="23.85" customHeight="1" s="22">
      <c r="A650" s="36" t="inlineStr">
        <is>
          <t>https://instasure.ca/business-insurance/quebec/gatineau/</t>
        </is>
      </c>
      <c r="B650" s="36" t="inlineStr">
        <is>
          <t>Product × city</t>
        </is>
      </c>
      <c r="C650" s="36" t="inlineStr">
        <is>
          <t>Business insurance</t>
        </is>
      </c>
      <c r="D650" s="36" t="inlineStr">
        <is>
          <t>business insurance gatineau</t>
        </is>
      </c>
      <c r="E650" s="36" t="inlineStr">
        <is>
          <t>City</t>
        </is>
      </c>
      <c r="F650" s="36" t="inlineStr">
        <is>
          <t>Quebec</t>
        </is>
      </c>
      <c r="G650" s="36" t="inlineStr">
        <is>
          <t>Gatineau</t>
        </is>
      </c>
      <c r="H650" s="37" t="n">
        <v>29</v>
      </c>
      <c r="I650" s="36" t="n">
        <v>25</v>
      </c>
      <c r="J650" s="36" t="inlineStr">
        <is>
          <t>local</t>
        </is>
      </c>
      <c r="K650" s="36" t="inlineStr">
        <is>
          <t>business-local</t>
        </is>
      </c>
      <c r="L650" s="36" t="n">
        <v>5</v>
      </c>
      <c r="M650" s="36" t="inlineStr">
        <is>
          <t>Primary</t>
        </is>
      </c>
      <c r="N650" s="39">
        <f>IFERROR(IF(ISNUMBER(SEARCH(D650,INDEX(Pages!$J$2:$J$829,MATCH(A650,Pages!$B$2:$B$829,0)))),"Yes","No"),"Page not found")</f>
        <v/>
      </c>
      <c r="O650" s="25" t="inlineStr">
        <is>
          <t>(none seen)</t>
        </is>
      </c>
      <c r="P650" s="25" t="inlineStr">
        <is>
          <t>Page exists but is noindex until an editor adds a 300+ character local intro (Admin → SEO → Page overrides). Quebec waitlist until AMF registration.</t>
        </is>
      </c>
    </row>
    <row r="651" ht="15" customHeight="1" s="22">
      <c r="A651" s="36" t="inlineStr">
        <is>
          <t>https://instasure.ca/condo-insurance/new-brunswick/fredericton/</t>
        </is>
      </c>
      <c r="B651" s="36" t="inlineStr">
        <is>
          <t>Product × city</t>
        </is>
      </c>
      <c r="C651" s="36" t="inlineStr">
        <is>
          <t>Condo insurance</t>
        </is>
      </c>
      <c r="D651" s="36" t="inlineStr">
        <is>
          <t>condo insurance fredericton</t>
        </is>
      </c>
      <c r="E651" s="36" t="inlineStr">
        <is>
          <t>City</t>
        </is>
      </c>
      <c r="F651" s="36" t="inlineStr">
        <is>
          <t>New Brunswick</t>
        </is>
      </c>
      <c r="G651" s="36" t="inlineStr">
        <is>
          <t>Fredericton</t>
        </is>
      </c>
      <c r="H651" s="37" t="n">
        <v>29</v>
      </c>
      <c r="I651" s="36" t="n">
        <v>32</v>
      </c>
      <c r="J651" s="36" t="inlineStr">
        <is>
          <t>local</t>
        </is>
      </c>
      <c r="K651" s="36" t="inlineStr">
        <is>
          <t>property-local</t>
        </is>
      </c>
      <c r="L651" s="36" t="n">
        <v>5</v>
      </c>
      <c r="M651" s="36" t="inlineStr">
        <is>
          <t>Primary</t>
        </is>
      </c>
      <c r="N651" s="39">
        <f>IFERROR(IF(ISNUMBER(SEARCH(D651,INDEX(Pages!$J$2:$J$829,MATCH(A651,Pages!$B$2:$B$829,0)))),"Yes","No"),"Page not found")</f>
        <v/>
      </c>
      <c r="O651" s="25" t="inlineStr">
        <is>
          <t>(none seen)</t>
        </is>
      </c>
      <c r="P651" s="25" t="n"/>
    </row>
    <row r="652" ht="15" customHeight="1" s="22">
      <c r="A652" s="36" t="inlineStr">
        <is>
          <t>https://instasure.ca/condo-insurance/quebec/gatineau/</t>
        </is>
      </c>
      <c r="B652" s="36" t="inlineStr">
        <is>
          <t>Product × city</t>
        </is>
      </c>
      <c r="C652" s="36" t="inlineStr">
        <is>
          <t>Condo insurance</t>
        </is>
      </c>
      <c r="D652" s="36" t="inlineStr">
        <is>
          <t>condo insurance gatineau</t>
        </is>
      </c>
      <c r="E652" s="36" t="inlineStr">
        <is>
          <t>City</t>
        </is>
      </c>
      <c r="F652" s="36" t="inlineStr">
        <is>
          <t>Quebec</t>
        </is>
      </c>
      <c r="G652" s="36" t="inlineStr">
        <is>
          <t>Gatineau</t>
        </is>
      </c>
      <c r="H652" s="37" t="n">
        <v>29</v>
      </c>
      <c r="I652" s="36" t="n">
        <v>32</v>
      </c>
      <c r="J652" s="36" t="inlineStr">
        <is>
          <t>local</t>
        </is>
      </c>
      <c r="K652" s="36" t="inlineStr">
        <is>
          <t>property-local</t>
        </is>
      </c>
      <c r="L652" s="36" t="n">
        <v>5</v>
      </c>
      <c r="M652" s="36" t="inlineStr">
        <is>
          <t>Primary</t>
        </is>
      </c>
      <c r="N652" s="39">
        <f>IFERROR(IF(ISNUMBER(SEARCH(D652,INDEX(Pages!$J$2:$J$829,MATCH(A652,Pages!$B$2:$B$829,0)))),"Yes","No"),"Page not found")</f>
        <v/>
      </c>
      <c r="O652" s="25" t="inlineStr">
        <is>
          <t>(none seen)</t>
        </is>
      </c>
      <c r="P652" s="25" t="inlineStr">
        <is>
          <t>Quebec waitlist until AMF registration.</t>
        </is>
      </c>
    </row>
    <row r="653" ht="15" customHeight="1" s="22">
      <c r="A653" s="36" t="inlineStr">
        <is>
          <t>https://instasure.ca/disability-insurance/manitoba/</t>
        </is>
      </c>
      <c r="B653" s="36" t="inlineStr">
        <is>
          <t>Product × province</t>
        </is>
      </c>
      <c r="C653" s="36" t="inlineStr">
        <is>
          <t>Disability insurance</t>
        </is>
      </c>
      <c r="D653" s="36" t="inlineStr">
        <is>
          <t>disability insurance manitoba</t>
        </is>
      </c>
      <c r="E653" s="36" t="inlineStr">
        <is>
          <t>Provincial</t>
        </is>
      </c>
      <c r="F653" s="36" t="inlineStr">
        <is>
          <t>Manitoba</t>
        </is>
      </c>
      <c r="G653" s="36" t="n"/>
      <c r="H653" s="37" t="n">
        <v>29</v>
      </c>
      <c r="I653" s="36" t="n">
        <v>22</v>
      </c>
      <c r="J653" s="36" t="inlineStr">
        <is>
          <t>commercial</t>
        </is>
      </c>
      <c r="K653" s="36" t="inlineStr">
        <is>
          <t>living-benefits</t>
        </is>
      </c>
      <c r="L653" s="36" t="n">
        <v>3</v>
      </c>
      <c r="M653" s="36" t="inlineStr">
        <is>
          <t>Primary</t>
        </is>
      </c>
      <c r="N653" s="39">
        <f>IFERROR(IF(ISNUMBER(SEARCH(D653,INDEX(Pages!$J$2:$J$829,MATCH(A653,Pages!$B$2:$B$829,0)))),"Yes","No"),"Page not found")</f>
        <v/>
      </c>
      <c r="O653" s="25" t="inlineStr">
        <is>
          <t>(none seen)</t>
        </is>
      </c>
      <c r="P653" s="25" t="n"/>
    </row>
    <row r="654" ht="23.85" customHeight="1" s="22">
      <c r="A654" s="36" t="inlineStr">
        <is>
          <t>https://instasure.ca/life-insurance/prince-edward-island/charlottetown/</t>
        </is>
      </c>
      <c r="B654" s="36" t="inlineStr">
        <is>
          <t>Product × city</t>
        </is>
      </c>
      <c r="C654" s="36" t="inlineStr">
        <is>
          <t>Life insurance</t>
        </is>
      </c>
      <c r="D654" s="36" t="inlineStr">
        <is>
          <t>life insurance charlottetown</t>
        </is>
      </c>
      <c r="E654" s="36" t="inlineStr">
        <is>
          <t>City</t>
        </is>
      </c>
      <c r="F654" s="36" t="inlineStr">
        <is>
          <t>Prince Edward Island</t>
        </is>
      </c>
      <c r="G654" s="36" t="inlineStr">
        <is>
          <t>Charlottetown</t>
        </is>
      </c>
      <c r="H654" s="37" t="n">
        <v>29</v>
      </c>
      <c r="I654" s="36" t="n">
        <v>27</v>
      </c>
      <c r="J654" s="36" t="inlineStr">
        <is>
          <t>local</t>
        </is>
      </c>
      <c r="K654" s="36" t="inlineStr">
        <is>
          <t>life-local</t>
        </is>
      </c>
      <c r="L654" s="36" t="n">
        <v>4</v>
      </c>
      <c r="M654" s="36" t="inlineStr">
        <is>
          <t>Primary</t>
        </is>
      </c>
      <c r="N654" s="39">
        <f>IFERROR(IF(ISNUMBER(SEARCH(D654,INDEX(Pages!$J$2:$J$829,MATCH(A654,Pages!$B$2:$B$829,0)))),"Yes","No"),"Page not found")</f>
        <v/>
      </c>
      <c r="O654" s="25" t="inlineStr">
        <is>
          <t>(none seen)</t>
        </is>
      </c>
      <c r="P654" s="25" t="inlineStr">
        <is>
          <t>Page exists but is noindex until an editor adds a 300+ character local intro (Admin → SEO → Page overrides).</t>
        </is>
      </c>
    </row>
    <row r="655" ht="23.85" customHeight="1" s="22">
      <c r="A655" s="36" t="inlineStr">
        <is>
          <t>https://instasure.ca/life-insurance/quebec/sherbrooke/</t>
        </is>
      </c>
      <c r="B655" s="36" t="inlineStr">
        <is>
          <t>Product × city</t>
        </is>
      </c>
      <c r="C655" s="36" t="inlineStr">
        <is>
          <t>Life insurance</t>
        </is>
      </c>
      <c r="D655" s="36" t="inlineStr">
        <is>
          <t>life insurance sherbrooke</t>
        </is>
      </c>
      <c r="E655" s="36" t="inlineStr">
        <is>
          <t>City</t>
        </is>
      </c>
      <c r="F655" s="36" t="inlineStr">
        <is>
          <t>Quebec</t>
        </is>
      </c>
      <c r="G655" s="36" t="inlineStr">
        <is>
          <t>Sherbrooke</t>
        </is>
      </c>
      <c r="H655" s="37" t="n">
        <v>28</v>
      </c>
      <c r="I655" s="36" t="n">
        <v>19</v>
      </c>
      <c r="J655" s="36" t="inlineStr">
        <is>
          <t>local</t>
        </is>
      </c>
      <c r="K655" s="36" t="inlineStr">
        <is>
          <t>life-local</t>
        </is>
      </c>
      <c r="L655" s="36" t="n">
        <v>5</v>
      </c>
      <c r="M655" s="36" t="inlineStr">
        <is>
          <t>Primary</t>
        </is>
      </c>
      <c r="N655" s="39">
        <f>IFERROR(IF(ISNUMBER(SEARCH(D655,INDEX(Pages!$J$2:$J$829,MATCH(A655,Pages!$B$2:$B$829,0)))),"Yes","No"),"Page not found")</f>
        <v/>
      </c>
      <c r="O655" s="25" t="inlineStr">
        <is>
          <t>(none seen)</t>
        </is>
      </c>
      <c r="P655" s="25" t="inlineStr">
        <is>
          <t>Page exists but is noindex until an editor adds a 300+ character local intro (Admin → SEO → Page overrides). Quebec waitlist until AMF registration.</t>
        </is>
      </c>
    </row>
    <row r="656" ht="15" customHeight="1" s="22">
      <c r="A656" s="36" t="inlineStr">
        <is>
          <t>https://instasure.ca/super-visa-insurance/ontario/vaughan/</t>
        </is>
      </c>
      <c r="B656" s="36" t="inlineStr">
        <is>
          <t>Product × city</t>
        </is>
      </c>
      <c r="C656" s="36" t="inlineStr">
        <is>
          <t>Super Visa &amp; visitors insurance</t>
        </is>
      </c>
      <c r="D656" s="36" t="inlineStr">
        <is>
          <t>super visa insurance vaughan</t>
        </is>
      </c>
      <c r="E656" s="36" t="inlineStr">
        <is>
          <t>City</t>
        </is>
      </c>
      <c r="F656" s="36" t="inlineStr">
        <is>
          <t>Ontario</t>
        </is>
      </c>
      <c r="G656" s="36" t="inlineStr">
        <is>
          <t>Vaughan</t>
        </is>
      </c>
      <c r="H656" s="37" t="n">
        <v>28</v>
      </c>
      <c r="I656" s="36" t="n">
        <v>36</v>
      </c>
      <c r="J656" s="36" t="inlineStr">
        <is>
          <t>local</t>
        </is>
      </c>
      <c r="K656" s="36" t="inlineStr">
        <is>
          <t>travel-visitors</t>
        </is>
      </c>
      <c r="L656" s="36" t="n">
        <v>5</v>
      </c>
      <c r="M656" s="36" t="inlineStr">
        <is>
          <t>Primary</t>
        </is>
      </c>
      <c r="N656" s="39">
        <f>IFERROR(IF(ISNUMBER(SEARCH(D656,INDEX(Pages!$J$2:$J$829,MATCH(A656,Pages!$B$2:$B$829,0)))),"Yes","No"),"Page not found")</f>
        <v/>
      </c>
      <c r="O656" s="25" t="inlineStr">
        <is>
          <t>(none seen)</t>
        </is>
      </c>
      <c r="P656" s="25" t="n"/>
    </row>
    <row r="657" ht="23.85" customHeight="1" s="22">
      <c r="A657" s="36" t="inlineStr">
        <is>
          <t>https://instasure.ca/business-insurance/quebec/longueuil/</t>
        </is>
      </c>
      <c r="B657" s="36" t="inlineStr">
        <is>
          <t>Product × city</t>
        </is>
      </c>
      <c r="C657" s="36" t="inlineStr">
        <is>
          <t>Business insurance</t>
        </is>
      </c>
      <c r="D657" s="36" t="inlineStr">
        <is>
          <t>business insurance longueuil</t>
        </is>
      </c>
      <c r="E657" s="36" t="inlineStr">
        <is>
          <t>City</t>
        </is>
      </c>
      <c r="F657" s="36" t="inlineStr">
        <is>
          <t>Quebec</t>
        </is>
      </c>
      <c r="G657" s="36" t="inlineStr">
        <is>
          <t>Longueuil</t>
        </is>
      </c>
      <c r="H657" s="37" t="n">
        <v>26</v>
      </c>
      <c r="I657" s="36" t="n">
        <v>25</v>
      </c>
      <c r="J657" s="36" t="inlineStr">
        <is>
          <t>local</t>
        </is>
      </c>
      <c r="K657" s="36" t="inlineStr">
        <is>
          <t>business-local</t>
        </is>
      </c>
      <c r="L657" s="36" t="n">
        <v>5</v>
      </c>
      <c r="M657" s="36" t="inlineStr">
        <is>
          <t>Primary</t>
        </is>
      </c>
      <c r="N657" s="39">
        <f>IFERROR(IF(ISNUMBER(SEARCH(D657,INDEX(Pages!$J$2:$J$829,MATCH(A657,Pages!$B$2:$B$829,0)))),"Yes","No"),"Page not found")</f>
        <v/>
      </c>
      <c r="O657" s="25" t="inlineStr">
        <is>
          <t>(none seen)</t>
        </is>
      </c>
      <c r="P657" s="25" t="inlineStr">
        <is>
          <t>Page exists but is noindex until an editor adds a 300+ character local intro (Admin → SEO → Page overrides). Quebec waitlist until AMF registration.</t>
        </is>
      </c>
    </row>
    <row r="658" ht="15" customHeight="1" s="22">
      <c r="A658" s="36" t="inlineStr">
        <is>
          <t>https://instasure.ca/condo-insurance/quebec/longueuil/</t>
        </is>
      </c>
      <c r="B658" s="36" t="inlineStr">
        <is>
          <t>Product × city</t>
        </is>
      </c>
      <c r="C658" s="36" t="inlineStr">
        <is>
          <t>Condo insurance</t>
        </is>
      </c>
      <c r="D658" s="36" t="inlineStr">
        <is>
          <t>condo insurance longueuil</t>
        </is>
      </c>
      <c r="E658" s="36" t="inlineStr">
        <is>
          <t>City</t>
        </is>
      </c>
      <c r="F658" s="36" t="inlineStr">
        <is>
          <t>Quebec</t>
        </is>
      </c>
      <c r="G658" s="36" t="inlineStr">
        <is>
          <t>Longueuil</t>
        </is>
      </c>
      <c r="H658" s="37" t="n">
        <v>26</v>
      </c>
      <c r="I658" s="36" t="n">
        <v>32</v>
      </c>
      <c r="J658" s="36" t="inlineStr">
        <is>
          <t>local</t>
        </is>
      </c>
      <c r="K658" s="36" t="inlineStr">
        <is>
          <t>property-local</t>
        </is>
      </c>
      <c r="L658" s="36" t="n">
        <v>5</v>
      </c>
      <c r="M658" s="36" t="inlineStr">
        <is>
          <t>Primary</t>
        </is>
      </c>
      <c r="N658" s="39">
        <f>IFERROR(IF(ISNUMBER(SEARCH(D658,INDEX(Pages!$J$2:$J$829,MATCH(A658,Pages!$B$2:$B$829,0)))),"Yes","No"),"Page not found")</f>
        <v/>
      </c>
      <c r="O658" s="25" t="inlineStr">
        <is>
          <t>(none seen)</t>
        </is>
      </c>
      <c r="P658" s="25" t="inlineStr">
        <is>
          <t>Quebec waitlist until AMF registration.</t>
        </is>
      </c>
    </row>
    <row r="659" ht="15" customHeight="1" s="22">
      <c r="A659" s="36" t="inlineStr">
        <is>
          <t>https://instasure.ca/contractor-insurance/manitoba/</t>
        </is>
      </c>
      <c r="B659" s="36" t="inlineStr">
        <is>
          <t>Product × province</t>
        </is>
      </c>
      <c r="C659" s="36" t="inlineStr">
        <is>
          <t>Contractor &amp; trades insurance</t>
        </is>
      </c>
      <c r="D659" s="36" t="inlineStr">
        <is>
          <t>contractor insurance manitoba</t>
        </is>
      </c>
      <c r="E659" s="36" t="inlineStr">
        <is>
          <t>Provincial</t>
        </is>
      </c>
      <c r="F659" s="36" t="inlineStr">
        <is>
          <t>Manitoba</t>
        </is>
      </c>
      <c r="G659" s="36" t="n"/>
      <c r="H659" s="37" t="n">
        <v>26</v>
      </c>
      <c r="I659" s="36" t="n">
        <v>19</v>
      </c>
      <c r="J659" s="36" t="inlineStr">
        <is>
          <t>commercial</t>
        </is>
      </c>
      <c r="K659" s="36" t="inlineStr">
        <is>
          <t>business-province</t>
        </is>
      </c>
      <c r="L659" s="36" t="n">
        <v>3</v>
      </c>
      <c r="M659" s="36" t="inlineStr">
        <is>
          <t>Primary</t>
        </is>
      </c>
      <c r="N659" s="39">
        <f>IFERROR(IF(ISNUMBER(SEARCH(D659,INDEX(Pages!$J$2:$J$829,MATCH(A659,Pages!$B$2:$B$829,0)))),"Yes","No"),"Page not found")</f>
        <v/>
      </c>
      <c r="O659" s="25" t="inlineStr">
        <is>
          <t>(none seen)</t>
        </is>
      </c>
      <c r="P659" s="25" t="n"/>
    </row>
    <row r="660" ht="15" customHeight="1" s="22">
      <c r="A660" s="36" t="inlineStr">
        <is>
          <t>https://instasure.ca/group-benefits/quebec/</t>
        </is>
      </c>
      <c r="B660" s="36" t="inlineStr">
        <is>
          <t>Product × province</t>
        </is>
      </c>
      <c r="C660" s="36" t="inlineStr">
        <is>
          <t>Group benefits</t>
        </is>
      </c>
      <c r="D660" s="36" t="inlineStr">
        <is>
          <t>group benefits quebec</t>
        </is>
      </c>
      <c r="E660" s="36" t="inlineStr">
        <is>
          <t>Provincial</t>
        </is>
      </c>
      <c r="F660" s="36" t="inlineStr">
        <is>
          <t>Quebec</t>
        </is>
      </c>
      <c r="G660" s="36" t="n"/>
      <c r="H660" s="37" t="n">
        <v>26</v>
      </c>
      <c r="I660" s="36" t="n">
        <v>29</v>
      </c>
      <c r="J660" s="36" t="inlineStr">
        <is>
          <t>commercial</t>
        </is>
      </c>
      <c r="K660" s="36" t="inlineStr">
        <is>
          <t>business-benefits</t>
        </is>
      </c>
      <c r="L660" s="36" t="n">
        <v>4</v>
      </c>
      <c r="M660" s="36" t="inlineStr">
        <is>
          <t>Primary</t>
        </is>
      </c>
      <c r="N660" s="39">
        <f>IFERROR(IF(ISNUMBER(SEARCH(D660,INDEX(Pages!$J$2:$J$829,MATCH(A660,Pages!$B$2:$B$829,0)))),"Yes","No"),"Page not found")</f>
        <v/>
      </c>
      <c r="O660" s="25" t="inlineStr">
        <is>
          <t>(none seen)</t>
        </is>
      </c>
      <c r="P660" s="25" t="inlineStr">
        <is>
          <t>Quebec waitlist until AMF registration; English phrase only (French terms listed separately).</t>
        </is>
      </c>
    </row>
    <row r="661" ht="15" customHeight="1" s="22">
      <c r="A661" s="36" t="inlineStr">
        <is>
          <t>https://instasure.ca/term-life-insurance/manitoba/</t>
        </is>
      </c>
      <c r="B661" s="36" t="inlineStr">
        <is>
          <t>Product × province</t>
        </is>
      </c>
      <c r="C661" s="36" t="inlineStr">
        <is>
          <t>Life insurance</t>
        </is>
      </c>
      <c r="D661" s="36" t="inlineStr">
        <is>
          <t>term life insurance manitoba</t>
        </is>
      </c>
      <c r="E661" s="36" t="inlineStr">
        <is>
          <t>Provincial</t>
        </is>
      </c>
      <c r="F661" s="36" t="inlineStr">
        <is>
          <t>Manitoba</t>
        </is>
      </c>
      <c r="G661" s="36" t="n"/>
      <c r="H661" s="37" t="n">
        <v>26</v>
      </c>
      <c r="I661" s="36" t="n">
        <v>28</v>
      </c>
      <c r="J661" s="36" t="inlineStr">
        <is>
          <t>commercial</t>
        </is>
      </c>
      <c r="K661" s="36" t="inlineStr">
        <is>
          <t>life-province</t>
        </is>
      </c>
      <c r="L661" s="36" t="n">
        <v>4</v>
      </c>
      <c r="M661" s="36" t="inlineStr">
        <is>
          <t>Primary</t>
        </is>
      </c>
      <c r="N661" s="39">
        <f>IFERROR(IF(ISNUMBER(SEARCH(D661,INDEX(Pages!$J$2:$J$829,MATCH(A661,Pages!$B$2:$B$829,0)))),"Yes","No"),"Page not found")</f>
        <v/>
      </c>
      <c r="O661" s="25" t="inlineStr">
        <is>
          <t>policyadvisor</t>
        </is>
      </c>
      <c r="P661" s="25" t="n"/>
    </row>
    <row r="662" ht="15" customHeight="1" s="22">
      <c r="A662" s="36" t="inlineStr">
        <is>
          <t>https://instasure.ca/disability-insurance/saskatchewan/</t>
        </is>
      </c>
      <c r="B662" s="36" t="inlineStr">
        <is>
          <t>Product × province</t>
        </is>
      </c>
      <c r="C662" s="36" t="inlineStr">
        <is>
          <t>Disability insurance</t>
        </is>
      </c>
      <c r="D662" s="36" t="inlineStr">
        <is>
          <t>disability insurance saskatchewan</t>
        </is>
      </c>
      <c r="E662" s="36" t="inlineStr">
        <is>
          <t>Provincial</t>
        </is>
      </c>
      <c r="F662" s="36" t="inlineStr">
        <is>
          <t>Saskatchewan</t>
        </is>
      </c>
      <c r="G662" s="36" t="n"/>
      <c r="H662" s="37" t="n">
        <v>25</v>
      </c>
      <c r="I662" s="36" t="n">
        <v>22</v>
      </c>
      <c r="J662" s="36" t="inlineStr">
        <is>
          <t>commercial</t>
        </is>
      </c>
      <c r="K662" s="36" t="inlineStr">
        <is>
          <t>living-benefits</t>
        </is>
      </c>
      <c r="L662" s="36" t="n">
        <v>3</v>
      </c>
      <c r="M662" s="36" t="inlineStr">
        <is>
          <t>Primary</t>
        </is>
      </c>
      <c r="N662" s="39">
        <f>IFERROR(IF(ISNUMBER(SEARCH(D662,INDEX(Pages!$J$2:$J$829,MATCH(A662,Pages!$B$2:$B$829,0)))),"Yes","No"),"Page not found")</f>
        <v/>
      </c>
      <c r="O662" s="25" t="inlineStr">
        <is>
          <t>(none seen)</t>
        </is>
      </c>
      <c r="P662" s="25" t="n"/>
    </row>
    <row r="663" ht="15" customHeight="1" s="22">
      <c r="A663" s="36" t="inlineStr">
        <is>
          <t>https://instasure.ca/super-visa-insurance/newfoundland-and-labrador/</t>
        </is>
      </c>
      <c r="B663" s="36" t="inlineStr">
        <is>
          <t>Product × province</t>
        </is>
      </c>
      <c r="C663" s="36" t="inlineStr">
        <is>
          <t>Super Visa &amp; visitors insurance</t>
        </is>
      </c>
      <c r="D663" s="36" t="inlineStr">
        <is>
          <t>super visa insurance newfoundland</t>
        </is>
      </c>
      <c r="E663" s="36" t="inlineStr">
        <is>
          <t>Provincial</t>
        </is>
      </c>
      <c r="F663" s="36" t="inlineStr">
        <is>
          <t>Newfoundland and Labrador</t>
        </is>
      </c>
      <c r="G663" s="36" t="n"/>
      <c r="H663" s="37" t="n">
        <v>25</v>
      </c>
      <c r="I663" s="36" t="n">
        <v>24</v>
      </c>
      <c r="J663" s="36" t="inlineStr">
        <is>
          <t>commercial</t>
        </is>
      </c>
      <c r="K663" s="36" t="inlineStr">
        <is>
          <t>travel-visitors</t>
        </is>
      </c>
      <c r="L663" s="36" t="n">
        <v>5</v>
      </c>
      <c r="M663" s="36" t="inlineStr">
        <is>
          <t>Primary</t>
        </is>
      </c>
      <c r="N663" s="39">
        <f>IFERROR(IF(ISNUMBER(SEARCH(D663,INDEX(Pages!$J$2:$J$829,MATCH(A663,Pages!$B$2:$B$829,0)))),"Yes","No"),"Page not found")</f>
        <v/>
      </c>
      <c r="O663" s="25" t="inlineStr">
        <is>
          <t>(none seen)</t>
        </is>
      </c>
      <c r="P663" s="25" t="inlineStr">
        <is>
          <t>Province page targets super visa buyers sponsoring parents locally.</t>
        </is>
      </c>
    </row>
    <row r="664" ht="15" customHeight="1" s="22">
      <c r="A664" s="36" t="inlineStr">
        <is>
          <t>https://instasure.ca/tenant-insurance/prince-edward-island/</t>
        </is>
      </c>
      <c r="B664" s="36" t="inlineStr">
        <is>
          <t>Product × province</t>
        </is>
      </c>
      <c r="C664" s="36" t="inlineStr">
        <is>
          <t>Tenant insurance</t>
        </is>
      </c>
      <c r="D664" s="36" t="inlineStr">
        <is>
          <t>tenant insurance pei</t>
        </is>
      </c>
      <c r="E664" s="36" t="inlineStr">
        <is>
          <t>Provincial</t>
        </is>
      </c>
      <c r="F664" s="36" t="inlineStr">
        <is>
          <t>Prince Edward Island</t>
        </is>
      </c>
      <c r="G664" s="36" t="n"/>
      <c r="H664" s="37" t="n">
        <v>25</v>
      </c>
      <c r="I664" s="36" t="n">
        <v>32</v>
      </c>
      <c r="J664" s="36" t="inlineStr">
        <is>
          <t>commercial</t>
        </is>
      </c>
      <c r="K664" s="36" t="inlineStr">
        <is>
          <t>property-province</t>
        </is>
      </c>
      <c r="L664" s="36" t="n">
        <v>5</v>
      </c>
      <c r="M664" s="36" t="inlineStr">
        <is>
          <t>Primary</t>
        </is>
      </c>
      <c r="N664" s="39">
        <f>IFERROR(IF(ISNUMBER(SEARCH(D664,INDEX(Pages!$J$2:$J$829,MATCH(A664,Pages!$B$2:$B$829,0)))),"Yes","No"),"Page not found")</f>
        <v/>
      </c>
      <c r="O664" s="25" t="inlineStr">
        <is>
          <t>(none seen)</t>
        </is>
      </c>
      <c r="P664" s="25" t="n"/>
    </row>
    <row r="665" ht="23.85" customHeight="1" s="22">
      <c r="A665" s="36" t="inlineStr">
        <is>
          <t>https://instasure.ca/business-insurance/manitoba/brandon/</t>
        </is>
      </c>
      <c r="B665" s="36" t="inlineStr">
        <is>
          <t>Product × city</t>
        </is>
      </c>
      <c r="C665" s="36" t="inlineStr">
        <is>
          <t>Business insurance</t>
        </is>
      </c>
      <c r="D665" s="36" t="inlineStr">
        <is>
          <t>business insurance brandon</t>
        </is>
      </c>
      <c r="E665" s="36" t="inlineStr">
        <is>
          <t>City</t>
        </is>
      </c>
      <c r="F665" s="36" t="inlineStr">
        <is>
          <t>Manitoba</t>
        </is>
      </c>
      <c r="G665" s="36" t="inlineStr">
        <is>
          <t>Brandon</t>
        </is>
      </c>
      <c r="H665" s="37" t="n">
        <v>24</v>
      </c>
      <c r="I665" s="36" t="n">
        <v>17</v>
      </c>
      <c r="J665" s="36" t="inlineStr">
        <is>
          <t>local</t>
        </is>
      </c>
      <c r="K665" s="36" t="inlineStr">
        <is>
          <t>business-local</t>
        </is>
      </c>
      <c r="L665" s="36" t="n">
        <v>4</v>
      </c>
      <c r="M665" s="36" t="inlineStr">
        <is>
          <t>Primary</t>
        </is>
      </c>
      <c r="N665" s="39">
        <f>IFERROR(IF(ISNUMBER(SEARCH(D665,INDEX(Pages!$J$2:$J$829,MATCH(A665,Pages!$B$2:$B$829,0)))),"Yes","No"),"Page not found")</f>
        <v/>
      </c>
      <c r="O665" s="25" t="inlineStr">
        <is>
          <t>(none seen)</t>
        </is>
      </c>
      <c r="P665" s="25" t="inlineStr">
        <is>
          <t>Page exists but is noindex until an editor adds a 300+ character local intro (Admin → SEO → Page overrides).</t>
        </is>
      </c>
    </row>
    <row r="666" ht="23.85" customHeight="1" s="22">
      <c r="A666" s="36" t="inlineStr">
        <is>
          <t>https://instasure.ca/condo-insurance/manitoba/brandon/</t>
        </is>
      </c>
      <c r="B666" s="36" t="inlineStr">
        <is>
          <t>Product × city</t>
        </is>
      </c>
      <c r="C666" s="36" t="inlineStr">
        <is>
          <t>Condo insurance</t>
        </is>
      </c>
      <c r="D666" s="36" t="inlineStr">
        <is>
          <t>condo insurance brandon</t>
        </is>
      </c>
      <c r="E666" s="36" t="inlineStr">
        <is>
          <t>City</t>
        </is>
      </c>
      <c r="F666" s="36" t="inlineStr">
        <is>
          <t>Manitoba</t>
        </is>
      </c>
      <c r="G666" s="36" t="inlineStr">
        <is>
          <t>Brandon</t>
        </is>
      </c>
      <c r="H666" s="37" t="n">
        <v>24</v>
      </c>
      <c r="I666" s="36" t="n">
        <v>24</v>
      </c>
      <c r="J666" s="36" t="inlineStr">
        <is>
          <t>local</t>
        </is>
      </c>
      <c r="K666" s="36" t="inlineStr">
        <is>
          <t>property-local</t>
        </is>
      </c>
      <c r="L666" s="36" t="n">
        <v>5</v>
      </c>
      <c r="M666" s="36" t="inlineStr">
        <is>
          <t>Primary</t>
        </is>
      </c>
      <c r="N666" s="39">
        <f>IFERROR(IF(ISNUMBER(SEARCH(D666,INDEX(Pages!$J$2:$J$829,MATCH(A666,Pages!$B$2:$B$829,0)))),"Yes","No"),"Page not found")</f>
        <v/>
      </c>
      <c r="O666" s="25" t="inlineStr">
        <is>
          <t>(none seen)</t>
        </is>
      </c>
      <c r="P666" s="25" t="inlineStr">
        <is>
          <t>Page exists but is noindex until an editor adds a 300+ character local intro (Admin → SEO → Page overrides).</t>
        </is>
      </c>
    </row>
    <row r="667" ht="15" customHeight="1" s="22">
      <c r="A667" s="36" t="inlineStr">
        <is>
          <t>https://instasure.ca/super-visa-insurance/ontario/kitchener/</t>
        </is>
      </c>
      <c r="B667" s="36" t="inlineStr">
        <is>
          <t>Product × city</t>
        </is>
      </c>
      <c r="C667" s="36" t="inlineStr">
        <is>
          <t>Super Visa &amp; visitors insurance</t>
        </is>
      </c>
      <c r="D667" s="36" t="inlineStr">
        <is>
          <t>super visa insurance kitchener</t>
        </is>
      </c>
      <c r="E667" s="36" t="inlineStr">
        <is>
          <t>City</t>
        </is>
      </c>
      <c r="F667" s="36" t="inlineStr">
        <is>
          <t>Ontario</t>
        </is>
      </c>
      <c r="G667" s="36" t="inlineStr">
        <is>
          <t>Kitchener</t>
        </is>
      </c>
      <c r="H667" s="37" t="n">
        <v>24</v>
      </c>
      <c r="I667" s="36" t="n">
        <v>36</v>
      </c>
      <c r="J667" s="36" t="inlineStr">
        <is>
          <t>local</t>
        </is>
      </c>
      <c r="K667" s="36" t="inlineStr">
        <is>
          <t>travel-visitors</t>
        </is>
      </c>
      <c r="L667" s="36" t="n">
        <v>5</v>
      </c>
      <c r="M667" s="36" t="inlineStr">
        <is>
          <t>Primary</t>
        </is>
      </c>
      <c r="N667" s="39">
        <f>IFERROR(IF(ISNUMBER(SEARCH(D667,INDEX(Pages!$J$2:$J$829,MATCH(A667,Pages!$B$2:$B$829,0)))),"Yes","No"),"Page not found")</f>
        <v/>
      </c>
      <c r="O667" s="25" t="inlineStr">
        <is>
          <t>(none seen)</t>
        </is>
      </c>
      <c r="P667" s="25" t="n"/>
    </row>
    <row r="668" ht="15" customHeight="1" s="22">
      <c r="A668" s="36" t="inlineStr">
        <is>
          <t>https://instasure.ca/critical-illness-insurance/manitoba/</t>
        </is>
      </c>
      <c r="B668" s="36" t="inlineStr">
        <is>
          <t>Product × province</t>
        </is>
      </c>
      <c r="C668" s="36" t="inlineStr">
        <is>
          <t>Critical illness insurance</t>
        </is>
      </c>
      <c r="D668" s="36" t="inlineStr">
        <is>
          <t>critical illness insurance manitoba</t>
        </is>
      </c>
      <c r="E668" s="36" t="inlineStr">
        <is>
          <t>Provincial</t>
        </is>
      </c>
      <c r="F668" s="36" t="inlineStr">
        <is>
          <t>Manitoba</t>
        </is>
      </c>
      <c r="G668" s="36" t="n"/>
      <c r="H668" s="37" t="n">
        <v>23</v>
      </c>
      <c r="I668" s="36" t="n">
        <v>19</v>
      </c>
      <c r="J668" s="36" t="inlineStr">
        <is>
          <t>commercial</t>
        </is>
      </c>
      <c r="K668" s="36" t="inlineStr">
        <is>
          <t>living-benefits</t>
        </is>
      </c>
      <c r="L668" s="36" t="n">
        <v>3</v>
      </c>
      <c r="M668" s="36" t="inlineStr">
        <is>
          <t>Primary</t>
        </is>
      </c>
      <c r="N668" s="39">
        <f>IFERROR(IF(ISNUMBER(SEARCH(D668,INDEX(Pages!$J$2:$J$829,MATCH(A668,Pages!$B$2:$B$829,0)))),"Yes","No"),"Page not found")</f>
        <v/>
      </c>
      <c r="O668" s="25" t="inlineStr">
        <is>
          <t>(none seen)</t>
        </is>
      </c>
      <c r="P668" s="25" t="n"/>
    </row>
    <row r="669" ht="15" customHeight="1" s="22">
      <c r="A669" s="36" t="inlineStr">
        <is>
          <t>https://instasure.ca/contractor-insurance/saskatchewan/</t>
        </is>
      </c>
      <c r="B669" s="36" t="inlineStr">
        <is>
          <t>Product × province</t>
        </is>
      </c>
      <c r="C669" s="36" t="inlineStr">
        <is>
          <t>Contractor &amp; trades insurance</t>
        </is>
      </c>
      <c r="D669" s="36" t="inlineStr">
        <is>
          <t>contractor insurance saskatchewan</t>
        </is>
      </c>
      <c r="E669" s="36" t="inlineStr">
        <is>
          <t>Provincial</t>
        </is>
      </c>
      <c r="F669" s="36" t="inlineStr">
        <is>
          <t>Saskatchewan</t>
        </is>
      </c>
      <c r="G669" s="36" t="n"/>
      <c r="H669" s="37" t="n">
        <v>22</v>
      </c>
      <c r="I669" s="36" t="n">
        <v>19</v>
      </c>
      <c r="J669" s="36" t="inlineStr">
        <is>
          <t>commercial</t>
        </is>
      </c>
      <c r="K669" s="36" t="inlineStr">
        <is>
          <t>business-province</t>
        </is>
      </c>
      <c r="L669" s="36" t="n">
        <v>3</v>
      </c>
      <c r="M669" s="36" t="inlineStr">
        <is>
          <t>Primary</t>
        </is>
      </c>
      <c r="N669" s="39">
        <f>IFERROR(IF(ISNUMBER(SEARCH(D669,INDEX(Pages!$J$2:$J$829,MATCH(A669,Pages!$B$2:$B$829,0)))),"Yes","No"),"Page not found")</f>
        <v/>
      </c>
      <c r="O669" s="25" t="inlineStr">
        <is>
          <t>(none seen)</t>
        </is>
      </c>
      <c r="P669" s="25" t="n"/>
    </row>
    <row r="670" ht="15" customHeight="1" s="22">
      <c r="A670" s="36" t="inlineStr">
        <is>
          <t>https://instasure.ca/super-visa-insurance/ontario/windsor/</t>
        </is>
      </c>
      <c r="B670" s="36" t="inlineStr">
        <is>
          <t>Product × city</t>
        </is>
      </c>
      <c r="C670" s="36" t="inlineStr">
        <is>
          <t>Super Visa &amp; visitors insurance</t>
        </is>
      </c>
      <c r="D670" s="36" t="inlineStr">
        <is>
          <t>super visa insurance windsor</t>
        </is>
      </c>
      <c r="E670" s="36" t="inlineStr">
        <is>
          <t>City</t>
        </is>
      </c>
      <c r="F670" s="36" t="inlineStr">
        <is>
          <t>Ontario</t>
        </is>
      </c>
      <c r="G670" s="36" t="inlineStr">
        <is>
          <t>Windsor</t>
        </is>
      </c>
      <c r="H670" s="37" t="n">
        <v>22</v>
      </c>
      <c r="I670" s="36" t="n">
        <v>36</v>
      </c>
      <c r="J670" s="36" t="inlineStr">
        <is>
          <t>local</t>
        </is>
      </c>
      <c r="K670" s="36" t="inlineStr">
        <is>
          <t>travel-visitors</t>
        </is>
      </c>
      <c r="L670" s="36" t="n">
        <v>5</v>
      </c>
      <c r="M670" s="36" t="inlineStr">
        <is>
          <t>Primary</t>
        </is>
      </c>
      <c r="N670" s="39">
        <f>IFERROR(IF(ISNUMBER(SEARCH(D670,INDEX(Pages!$J$2:$J$829,MATCH(A670,Pages!$B$2:$B$829,0)))),"Yes","No"),"Page not found")</f>
        <v/>
      </c>
      <c r="O670" s="25" t="inlineStr">
        <is>
          <t>(none seen)</t>
        </is>
      </c>
      <c r="P670" s="25" t="n"/>
    </row>
    <row r="671" ht="15" customHeight="1" s="22">
      <c r="A671" s="36" t="inlineStr">
        <is>
          <t>https://instasure.ca/term-life-insurance/saskatchewan/</t>
        </is>
      </c>
      <c r="B671" s="36" t="inlineStr">
        <is>
          <t>Product × province</t>
        </is>
      </c>
      <c r="C671" s="36" t="inlineStr">
        <is>
          <t>Life insurance</t>
        </is>
      </c>
      <c r="D671" s="36" t="inlineStr">
        <is>
          <t>term life insurance saskatchewan</t>
        </is>
      </c>
      <c r="E671" s="36" t="inlineStr">
        <is>
          <t>Provincial</t>
        </is>
      </c>
      <c r="F671" s="36" t="inlineStr">
        <is>
          <t>Saskatchewan</t>
        </is>
      </c>
      <c r="G671" s="36" t="n"/>
      <c r="H671" s="37" t="n">
        <v>22</v>
      </c>
      <c r="I671" s="36" t="n">
        <v>24</v>
      </c>
      <c r="J671" s="36" t="inlineStr">
        <is>
          <t>commercial</t>
        </is>
      </c>
      <c r="K671" s="36" t="inlineStr">
        <is>
          <t>life-province</t>
        </is>
      </c>
      <c r="L671" s="36" t="n">
        <v>3</v>
      </c>
      <c r="M671" s="36" t="inlineStr">
        <is>
          <t>Primary</t>
        </is>
      </c>
      <c r="N671" s="39">
        <f>IFERROR(IF(ISNUMBER(SEARCH(D671,INDEX(Pages!$J$2:$J$829,MATCH(A671,Pages!$B$2:$B$829,0)))),"Yes","No"),"Page not found")</f>
        <v/>
      </c>
      <c r="O671" s="25" t="inlineStr">
        <is>
          <t>(none seen)</t>
        </is>
      </c>
      <c r="P671" s="25" t="n"/>
    </row>
    <row r="672" ht="15" customHeight="1" s="22">
      <c r="A672" s="36" t="inlineStr">
        <is>
          <t>https://instasure.ca/disability-insurance/nova-scotia/</t>
        </is>
      </c>
      <c r="B672" s="36" t="inlineStr">
        <is>
          <t>Product × province</t>
        </is>
      </c>
      <c r="C672" s="36" t="inlineStr">
        <is>
          <t>Disability insurance</t>
        </is>
      </c>
      <c r="D672" s="36" t="inlineStr">
        <is>
          <t>disability insurance nova scotia</t>
        </is>
      </c>
      <c r="E672" s="36" t="inlineStr">
        <is>
          <t>Provincial</t>
        </is>
      </c>
      <c r="F672" s="36" t="inlineStr">
        <is>
          <t>Nova Scotia</t>
        </is>
      </c>
      <c r="G672" s="36" t="n"/>
      <c r="H672" s="37" t="n">
        <v>21</v>
      </c>
      <c r="I672" s="36" t="n">
        <v>22</v>
      </c>
      <c r="J672" s="36" t="inlineStr">
        <is>
          <t>commercial</t>
        </is>
      </c>
      <c r="K672" s="36" t="inlineStr">
        <is>
          <t>living-benefits</t>
        </is>
      </c>
      <c r="L672" s="36" t="n">
        <v>3</v>
      </c>
      <c r="M672" s="36" t="inlineStr">
        <is>
          <t>Primary</t>
        </is>
      </c>
      <c r="N672" s="39">
        <f>IFERROR(IF(ISNUMBER(SEARCH(D672,INDEX(Pages!$J$2:$J$829,MATCH(A672,Pages!$B$2:$B$829,0)))),"Yes","No"),"Page not found")</f>
        <v/>
      </c>
      <c r="O672" s="25" t="inlineStr">
        <is>
          <t>(none seen)</t>
        </is>
      </c>
      <c r="P672" s="25" t="n"/>
    </row>
    <row r="673" ht="15" customHeight="1" s="22">
      <c r="A673" s="36" t="inlineStr">
        <is>
          <t>https://instasure.ca/critical-illness-insurance/saskatchewan/</t>
        </is>
      </c>
      <c r="B673" s="36" t="inlineStr">
        <is>
          <t>Product × province</t>
        </is>
      </c>
      <c r="C673" s="36" t="inlineStr">
        <is>
          <t>Critical illness insurance</t>
        </is>
      </c>
      <c r="D673" s="36" t="inlineStr">
        <is>
          <t>critical illness insurance saskatchewan</t>
        </is>
      </c>
      <c r="E673" s="36" t="inlineStr">
        <is>
          <t>Provincial</t>
        </is>
      </c>
      <c r="F673" s="36" t="inlineStr">
        <is>
          <t>Saskatchewan</t>
        </is>
      </c>
      <c r="G673" s="36" t="n"/>
      <c r="H673" s="37" t="n">
        <v>20</v>
      </c>
      <c r="I673" s="36" t="n">
        <v>19</v>
      </c>
      <c r="J673" s="36" t="inlineStr">
        <is>
          <t>commercial</t>
        </is>
      </c>
      <c r="K673" s="36" t="inlineStr">
        <is>
          <t>living-benefits</t>
        </is>
      </c>
      <c r="L673" s="36" t="n">
        <v>3</v>
      </c>
      <c r="M673" s="36" t="inlineStr">
        <is>
          <t>Primary</t>
        </is>
      </c>
      <c r="N673" s="39">
        <f>IFERROR(IF(ISNUMBER(SEARCH(D673,INDEX(Pages!$J$2:$J$829,MATCH(A673,Pages!$B$2:$B$829,0)))),"Yes","No"),"Page not found")</f>
        <v/>
      </c>
      <c r="O673" s="25" t="inlineStr">
        <is>
          <t>(none seen)</t>
        </is>
      </c>
      <c r="P673" s="25" t="n"/>
    </row>
    <row r="674" ht="15" customHeight="1" s="22">
      <c r="A674" s="36" t="inlineStr">
        <is>
          <t>https://instasure.ca/health-dental-insurance/prince-edward-island/</t>
        </is>
      </c>
      <c r="B674" s="36" t="inlineStr">
        <is>
          <t>Product × province</t>
        </is>
      </c>
      <c r="C674" s="36" t="inlineStr">
        <is>
          <t>Health &amp; dental insurance</t>
        </is>
      </c>
      <c r="D674" s="36" t="inlineStr">
        <is>
          <t>health insurance pei</t>
        </is>
      </c>
      <c r="E674" s="36" t="inlineStr">
        <is>
          <t>Provincial</t>
        </is>
      </c>
      <c r="F674" s="36" t="inlineStr">
        <is>
          <t>Prince Edward Island</t>
        </is>
      </c>
      <c r="G674" s="36" t="n"/>
      <c r="H674" s="37" t="n">
        <v>20</v>
      </c>
      <c r="I674" s="36" t="n">
        <v>39</v>
      </c>
      <c r="J674" s="36" t="inlineStr">
        <is>
          <t>commercial</t>
        </is>
      </c>
      <c r="K674" s="36" t="inlineStr">
        <is>
          <t>health-province</t>
        </is>
      </c>
      <c r="L674" s="36" t="n">
        <v>5</v>
      </c>
      <c r="M674" s="36" t="inlineStr">
        <is>
          <t>Primary</t>
        </is>
      </c>
      <c r="N674" s="39">
        <f>IFERROR(IF(ISNUMBER(SEARCH(D674,INDEX(Pages!$J$2:$J$829,MATCH(A674,Pages!$B$2:$B$829,0)))),"Yes","No"),"Page not found")</f>
        <v/>
      </c>
      <c r="O674" s="25" t="inlineStr">
        <is>
          <t>(none seen)</t>
        </is>
      </c>
      <c r="P674" s="25" t="n"/>
    </row>
    <row r="675" ht="23.85" customHeight="1" s="22">
      <c r="A675" s="36" t="inlineStr">
        <is>
          <t>https://instasure.ca/super-visa-insurance/ontario/oakville/</t>
        </is>
      </c>
      <c r="B675" s="36" t="inlineStr">
        <is>
          <t>Product × city</t>
        </is>
      </c>
      <c r="C675" s="36" t="inlineStr">
        <is>
          <t>Super Visa &amp; visitors insurance</t>
        </is>
      </c>
      <c r="D675" s="36" t="inlineStr">
        <is>
          <t>super visa insurance oakville</t>
        </is>
      </c>
      <c r="E675" s="36" t="inlineStr">
        <is>
          <t>City</t>
        </is>
      </c>
      <c r="F675" s="36" t="inlineStr">
        <is>
          <t>Ontario</t>
        </is>
      </c>
      <c r="G675" s="36" t="inlineStr">
        <is>
          <t>Oakville</t>
        </is>
      </c>
      <c r="H675" s="37" t="n">
        <v>20</v>
      </c>
      <c r="I675" s="36" t="n">
        <v>28</v>
      </c>
      <c r="J675" s="36" t="inlineStr">
        <is>
          <t>local</t>
        </is>
      </c>
      <c r="K675" s="36" t="inlineStr">
        <is>
          <t>travel-visitors</t>
        </is>
      </c>
      <c r="L675" s="36" t="n">
        <v>5</v>
      </c>
      <c r="M675" s="36" t="inlineStr">
        <is>
          <t>Primary</t>
        </is>
      </c>
      <c r="N675" s="39">
        <f>IFERROR(IF(ISNUMBER(SEARCH(D675,INDEX(Pages!$J$2:$J$829,MATCH(A675,Pages!$B$2:$B$829,0)))),"Yes","No"),"Page not found")</f>
        <v/>
      </c>
      <c r="O675" s="25" t="inlineStr">
        <is>
          <t>(none seen)</t>
        </is>
      </c>
      <c r="P675" s="25" t="inlineStr">
        <is>
          <t>Page exists but is noindex until an editor adds a 300+ character local intro (Admin → SEO → Page overrides).</t>
        </is>
      </c>
    </row>
  </sheetData>
  <autoFilter ref="A1:P67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tabColor rgb="FF7A8CA0"/>
    <outlinePr summaryBelow="1" summaryRight="1"/>
    <pageSetUpPr fitToPage="0"/>
  </sheetPr>
  <dimension ref="A1:P16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40" customWidth="1" style="21" min="1" max="1"/>
    <col width="24" customWidth="1" style="21" min="2" max="2"/>
    <col width="22" customWidth="1" style="21" min="3" max="3"/>
    <col width="12" customWidth="1" style="21" min="4" max="4"/>
    <col width="10" customWidth="1" style="21" min="5" max="5"/>
    <col width="13" customWidth="1" style="21" min="6" max="6"/>
    <col width="18" customWidth="1" style="21" min="7" max="7"/>
    <col width="9" customWidth="1" style="21" min="8" max="8"/>
    <col width="50" customWidth="1" style="21" min="9" max="9"/>
    <col width="9" customWidth="1" style="21" min="10" max="10"/>
    <col width="11" customWidth="1" style="21" min="11" max="11"/>
    <col width="40" customWidth="1" style="21" min="12" max="12"/>
    <col width="60" customWidth="1" style="21" min="13" max="13"/>
    <col width="14" customWidth="1" style="21" min="14" max="14"/>
    <col width="11" customWidth="1" style="21" min="15" max="15"/>
    <col width="12" customWidth="1" style="21" min="16" max="16"/>
  </cols>
  <sheetData>
    <row r="1" ht="31.5" customHeight="1" s="22">
      <c r="A1" s="30" t="inlineStr">
        <is>
          <t>Keyword</t>
        </is>
      </c>
      <c r="B1" s="30" t="inlineStr">
        <is>
          <t>Insurance segment</t>
        </is>
      </c>
      <c r="C1" s="30" t="inlineStr">
        <is>
          <t>Product line</t>
        </is>
      </c>
      <c r="D1" s="30" t="inlineStr">
        <is>
          <t>Volume / mo (modelled)</t>
        </is>
      </c>
      <c r="E1" s="30" t="inlineStr">
        <is>
          <t>Difficulty (0–100)</t>
        </is>
      </c>
      <c r="F1" s="30" t="inlineStr">
        <is>
          <t>Intent</t>
        </is>
      </c>
      <c r="G1" s="30" t="inlineStr">
        <is>
          <t>Cluster</t>
        </is>
      </c>
      <c r="H1" s="30" t="inlineStr">
        <is>
          <t>Priority (1 = first)</t>
        </is>
      </c>
      <c r="I1" s="30" t="inlineStr">
        <is>
          <t>Target page</t>
        </is>
      </c>
      <c r="J1" s="30" t="inlineStr">
        <is>
          <t>Mapped?</t>
        </is>
      </c>
      <c r="K1" s="30" t="inlineStr">
        <is>
          <t>Keyword in target title?</t>
        </is>
      </c>
      <c r="L1" s="30" t="inlineStr">
        <is>
          <t>Competitors seen</t>
        </is>
      </c>
      <c r="M1" s="30" t="inlineStr">
        <is>
          <t>Notes / planned URL</t>
        </is>
      </c>
      <c r="N1" s="30" t="inlineStr">
        <is>
          <t>Measured volume (Keyword Planner)</t>
        </is>
      </c>
      <c r="O1" s="30" t="inlineStr">
        <is>
          <t>Current Google rank</t>
        </is>
      </c>
      <c r="P1" s="30" t="inlineStr">
        <is>
          <t>Last checked</t>
        </is>
      </c>
    </row>
    <row r="2" ht="15" customHeight="1" s="22">
      <c r="A2" s="36" t="inlineStr">
        <is>
          <t>car insurance</t>
        </is>
      </c>
      <c r="B2" s="36" t="inlineStr">
        <is>
          <t>Car insurance</t>
        </is>
      </c>
      <c r="C2" s="36" t="inlineStr">
        <is>
          <t>Car Insurance</t>
        </is>
      </c>
      <c r="D2" s="37" t="n">
        <v>74000</v>
      </c>
      <c r="E2" s="36" t="n">
        <v>85</v>
      </c>
      <c r="F2" s="36" t="inlineStr">
        <is>
          <t>commercial</t>
        </is>
      </c>
      <c r="G2" s="36" t="inlineStr">
        <is>
          <t>auto-core</t>
        </is>
      </c>
      <c r="H2" s="36" t="n">
        <v>2</v>
      </c>
      <c r="I2" s="36" t="inlineStr">
        <is>
          <t>https://instasure.ca/car-insurance/</t>
        </is>
      </c>
      <c r="J2" s="36">
        <f>IF(I2="","No","Yes")</f>
        <v/>
      </c>
      <c r="K2" s="39">
        <f>IF(I2="","",IFERROR(IF(ISNUMBER(SEARCH(A2,INDEX(Pages!$J$2:$J$829,MATCH(I2,Pages!$B$2:$B$829,0)))),"Yes","No"),"Page not found"))</f>
        <v/>
      </c>
      <c r="L2" s="25" t="inlineStr">
        <is>
          <t>ratehub, rates.ca, kanetix, mychoice, insurer brands</t>
        </is>
      </c>
      <c r="M2" s="25" t="inlineStr">
        <is>
          <t>Head term. Win through province and city depth rather than head-on.</t>
        </is>
      </c>
      <c r="N2" s="40" t="n"/>
      <c r="O2" s="38" t="n"/>
      <c r="P2" s="38" t="n"/>
    </row>
    <row r="3" ht="15" customHeight="1" s="22">
      <c r="A3" s="36" t="inlineStr">
        <is>
          <t>travel insurance</t>
        </is>
      </c>
      <c r="B3" s="36" t="inlineStr">
        <is>
          <t>Travel insurance</t>
        </is>
      </c>
      <c r="C3" s="36" t="inlineStr">
        <is>
          <t>Travel Insurance</t>
        </is>
      </c>
      <c r="D3" s="37" t="n">
        <v>40000</v>
      </c>
      <c r="E3" s="36" t="n">
        <v>80</v>
      </c>
      <c r="F3" s="36" t="inlineStr">
        <is>
          <t>commercial</t>
        </is>
      </c>
      <c r="G3" s="36" t="inlineStr">
        <is>
          <t>travel</t>
        </is>
      </c>
      <c r="H3" s="36" t="n">
        <v>3</v>
      </c>
      <c r="I3" s="36" t="inlineStr">
        <is>
          <t>https://instasure.ca/travel-insurance/</t>
        </is>
      </c>
      <c r="J3" s="36">
        <f>IF(I3="","No","Yes")</f>
        <v/>
      </c>
      <c r="K3" s="39">
        <f>IF(I3="","",IFERROR(IF(ISNUMBER(SEARCH(A3,INDEX(Pages!$J$2:$J$829,MATCH(I3,Pages!$B$2:$B$829,0)))),"Yes","No"),"Page not found"))</f>
        <v/>
      </c>
      <c r="L3" s="25" t="inlineStr">
        <is>
          <t>sun life, manulife, credit cards, ratehub</t>
        </is>
      </c>
      <c r="M3" s="25" t="inlineStr">
        <is>
          <t>Huge but low lead value. Capture through super visa, snowbird and visitors.</t>
        </is>
      </c>
      <c r="N3" s="40" t="n"/>
      <c r="O3" s="38" t="n"/>
      <c r="P3" s="38" t="n"/>
    </row>
    <row r="4" ht="15" customHeight="1" s="22">
      <c r="A4" s="36" t="inlineStr">
        <is>
          <t>auto insurance</t>
        </is>
      </c>
      <c r="B4" s="36" t="inlineStr">
        <is>
          <t>Car insurance</t>
        </is>
      </c>
      <c r="C4" s="36" t="inlineStr">
        <is>
          <t>Car Insurance</t>
        </is>
      </c>
      <c r="D4" s="37" t="n">
        <v>33000</v>
      </c>
      <c r="E4" s="36" t="n">
        <v>82</v>
      </c>
      <c r="F4" s="36" t="inlineStr">
        <is>
          <t>commercial</t>
        </is>
      </c>
      <c r="G4" s="36" t="inlineStr">
        <is>
          <t>auto-core</t>
        </is>
      </c>
      <c r="H4" s="36" t="n">
        <v>3</v>
      </c>
      <c r="I4" s="36" t="inlineStr">
        <is>
          <t>https://instasure.ca/car-insurance/</t>
        </is>
      </c>
      <c r="J4" s="36">
        <f>IF(I4="","No","Yes")</f>
        <v/>
      </c>
      <c r="K4" s="39">
        <f>IF(I4="","",IFERROR(IF(ISNUMBER(SEARCH(A4,INDEX(Pages!$J$2:$J$829,MATCH(I4,Pages!$B$2:$B$829,0)))),"Yes","No"),"Page not found"))</f>
        <v/>
      </c>
      <c r="L4" s="25" t="inlineStr">
        <is>
          <t>ratehub, rates.ca, insurer brands</t>
        </is>
      </c>
      <c r="M4" s="25" t="inlineStr">
        <is>
          <t>Synonym. Use in H2s and meta descriptions, not a separate page.</t>
        </is>
      </c>
      <c r="N4" s="40" t="n"/>
      <c r="O4" s="38" t="n"/>
      <c r="P4" s="38" t="n"/>
    </row>
    <row r="5" ht="23.85" customHeight="1" s="22">
      <c r="A5" s="36" t="inlineStr">
        <is>
          <t>life insurance</t>
        </is>
      </c>
      <c r="B5" s="36" t="inlineStr">
        <is>
          <t>Life insurance</t>
        </is>
      </c>
      <c r="C5" s="36" t="inlineStr">
        <is>
          <t>Life Insurance</t>
        </is>
      </c>
      <c r="D5" s="37" t="n">
        <v>33000</v>
      </c>
      <c r="E5" s="36" t="n">
        <v>85</v>
      </c>
      <c r="F5" s="36" t="inlineStr">
        <is>
          <t>commercial</t>
        </is>
      </c>
      <c r="G5" s="36" t="inlineStr">
        <is>
          <t>life-core</t>
        </is>
      </c>
      <c r="H5" s="36" t="n">
        <v>1</v>
      </c>
      <c r="I5" s="36" t="inlineStr">
        <is>
          <t>https://instasure.ca/life-insurance/</t>
        </is>
      </c>
      <c r="J5" s="36">
        <f>IF(I5="","No","Yes")</f>
        <v/>
      </c>
      <c r="K5" s="39">
        <f>IF(I5="","",IFERROR(IF(ISNUMBER(SEARCH(A5,INDEX(Pages!$J$2:$J$829,MATCH(I5,Pages!$B$2:$B$829,0)))),"Yes","No"),"Page not found"))</f>
        <v/>
      </c>
      <c r="L5" s="25" t="inlineStr">
        <is>
          <t>policyadvisor, sun life, manulife, policyme, ratehub, canada life</t>
        </is>
      </c>
      <c r="M5" s="25" t="inlineStr">
        <is>
          <t>Highest-value head term. Province, city and cost pages feed it.</t>
        </is>
      </c>
      <c r="N5" s="40" t="n"/>
      <c r="O5" s="38" t="n"/>
      <c r="P5" s="38" t="n"/>
    </row>
    <row r="6" ht="15" customHeight="1" s="22">
      <c r="A6" s="36" t="inlineStr">
        <is>
          <t>home insurance</t>
        </is>
      </c>
      <c r="B6" s="36" t="inlineStr">
        <is>
          <t>Home insurance</t>
        </is>
      </c>
      <c r="C6" s="36" t="inlineStr">
        <is>
          <t>Home Insurance</t>
        </is>
      </c>
      <c r="D6" s="37" t="n">
        <v>27000</v>
      </c>
      <c r="E6" s="36" t="n">
        <v>82</v>
      </c>
      <c r="F6" s="36" t="inlineStr">
        <is>
          <t>commercial</t>
        </is>
      </c>
      <c r="G6" s="36" t="inlineStr">
        <is>
          <t>property-core</t>
        </is>
      </c>
      <c r="H6" s="36" t="n">
        <v>1</v>
      </c>
      <c r="I6" s="36" t="inlineStr">
        <is>
          <t>https://instasure.ca/home-insurance/</t>
        </is>
      </c>
      <c r="J6" s="36">
        <f>IF(I6="","No","Yes")</f>
        <v/>
      </c>
      <c r="K6" s="39">
        <f>IF(I6="","",IFERROR(IF(ISNUMBER(SEARCH(A6,INDEX(Pages!$J$2:$J$829,MATCH(I6,Pages!$B$2:$B$829,0)))),"Yes","No"),"Page not found"))</f>
        <v/>
      </c>
      <c r="L6" s="25" t="inlineStr">
        <is>
          <t>ratehub, rates.ca, sonnet, insurer brands</t>
        </is>
      </c>
      <c r="M6" s="25" t="n"/>
      <c r="N6" s="40" t="n"/>
      <c r="O6" s="38" t="n"/>
      <c r="P6" s="38" t="n"/>
    </row>
    <row r="7" ht="15" customHeight="1" s="22">
      <c r="A7" s="36" t="inlineStr">
        <is>
          <t>tenant insurance</t>
        </is>
      </c>
      <c r="B7" s="36" t="inlineStr">
        <is>
          <t>Tenant insurance</t>
        </is>
      </c>
      <c r="C7" s="36" t="inlineStr">
        <is>
          <t>Tenant Insurance</t>
        </is>
      </c>
      <c r="D7" s="37" t="n">
        <v>15000</v>
      </c>
      <c r="E7" s="36" t="n">
        <v>70</v>
      </c>
      <c r="F7" s="36" t="inlineStr">
        <is>
          <t>commercial</t>
        </is>
      </c>
      <c r="G7" s="36" t="inlineStr">
        <is>
          <t>property-core</t>
        </is>
      </c>
      <c r="H7" s="36" t="n">
        <v>1</v>
      </c>
      <c r="I7" s="36" t="inlineStr">
        <is>
          <t>https://instasure.ca/tenant-insurance/</t>
        </is>
      </c>
      <c r="J7" s="36">
        <f>IF(I7="","No","Yes")</f>
        <v/>
      </c>
      <c r="K7" s="39">
        <f>IF(I7="","",IFERROR(IF(ISNUMBER(SEARCH(A7,INDEX(Pages!$J$2:$J$829,MATCH(I7,Pages!$B$2:$B$829,0)))),"Yes","No"),"Page not found"))</f>
        <v/>
      </c>
      <c r="L7" s="25" t="inlineStr">
        <is>
          <t>sonnet, ratehub, rates.ca, squareone</t>
        </is>
      </c>
      <c r="M7" s="25" t="n"/>
      <c r="N7" s="40" t="n"/>
      <c r="O7" s="38" t="n"/>
      <c r="P7" s="38" t="n"/>
    </row>
    <row r="8" ht="15" customHeight="1" s="22">
      <c r="A8" s="36" t="inlineStr">
        <is>
          <t>car insurance quotes</t>
        </is>
      </c>
      <c r="B8" s="36" t="inlineStr">
        <is>
          <t>Car insurance</t>
        </is>
      </c>
      <c r="C8" s="36" t="inlineStr">
        <is>
          <t>Car Insurance</t>
        </is>
      </c>
      <c r="D8" s="37" t="n">
        <v>14000</v>
      </c>
      <c r="E8" s="36" t="n">
        <v>78</v>
      </c>
      <c r="F8" s="36" t="inlineStr">
        <is>
          <t>transactional</t>
        </is>
      </c>
      <c r="G8" s="36" t="inlineStr">
        <is>
          <t>auto-core</t>
        </is>
      </c>
      <c r="H8" s="36" t="n">
        <v>1</v>
      </c>
      <c r="I8" s="36" t="inlineStr">
        <is>
          <t>https://instasure.ca/quote/car-insurance/</t>
        </is>
      </c>
      <c r="J8" s="36">
        <f>IF(I8="","No","Yes")</f>
        <v/>
      </c>
      <c r="K8" s="39">
        <f>IF(I8="","",IFERROR(IF(ISNUMBER(SEARCH(A8,INDEX(Pages!$J$2:$J$829,MATCH(I8,Pages!$B$2:$B$829,0)))),"Yes","No"),"Page not found"))</f>
        <v/>
      </c>
      <c r="L8" s="25" t="inlineStr">
        <is>
          <t>ratehub, rates.ca, kanetix, lowestrates</t>
        </is>
      </c>
      <c r="M8" s="25" t="inlineStr">
        <is>
          <t>Money term: send to the instant estimate flow.</t>
        </is>
      </c>
      <c r="N8" s="40" t="n"/>
      <c r="O8" s="38" t="n"/>
      <c r="P8" s="38" t="n"/>
    </row>
    <row r="9" ht="23.85" customHeight="1" s="22">
      <c r="A9" s="36" t="inlineStr">
        <is>
          <t>pet insurance</t>
        </is>
      </c>
      <c r="B9" s="36" t="inlineStr">
        <is>
          <t>Pet insurance</t>
        </is>
      </c>
      <c r="C9" s="36" t="inlineStr">
        <is>
          <t>Home Insurance</t>
        </is>
      </c>
      <c r="D9" s="37" t="n">
        <v>14000</v>
      </c>
      <c r="E9" s="36" t="n">
        <v>70</v>
      </c>
      <c r="F9" s="36" t="inlineStr">
        <is>
          <t>commercial</t>
        </is>
      </c>
      <c r="G9" s="36" t="inlineStr">
        <is>
          <t>specialty-personal</t>
        </is>
      </c>
      <c r="H9" s="36" t="n">
        <v>4</v>
      </c>
      <c r="I9" s="36" t="inlineStr">
        <is>
          <t>https://instasure.ca/pet-insurance/</t>
        </is>
      </c>
      <c r="J9" s="36">
        <f>IF(I9="","No","Yes")</f>
        <v/>
      </c>
      <c r="K9" s="39">
        <f>IF(I9="","",IFERROR(IF(ISNUMBER(SEARCH(A9,INDEX(Pages!$J$2:$J$829,MATCH(I9,Pages!$B$2:$B$829,0)))),"Yes","No"),"Page not found"))</f>
        <v/>
      </c>
      <c r="L9" s="25" t="inlineStr">
        <is>
          <t>sonnet (pet product), trupanion, petsecure, pets plus us</t>
        </is>
      </c>
      <c r="M9" s="25" t="inlineStr">
        <is>
          <t>Big but low advisor fit: most pet insurers sell direct. A completeness page that keeps visitors on site.</t>
        </is>
      </c>
      <c r="N9" s="40" t="n"/>
      <c r="O9" s="38" t="n"/>
      <c r="P9" s="38" t="n"/>
    </row>
    <row r="10" ht="23.85" customHeight="1" s="22">
      <c r="A10" s="36" t="inlineStr">
        <is>
          <t>cheap car insurance</t>
        </is>
      </c>
      <c r="B10" s="36" t="inlineStr">
        <is>
          <t>Car insurance</t>
        </is>
      </c>
      <c r="C10" s="36" t="inlineStr">
        <is>
          <t>Car Insurance</t>
        </is>
      </c>
      <c r="D10" s="37" t="n">
        <v>9900</v>
      </c>
      <c r="E10" s="36" t="n">
        <v>75</v>
      </c>
      <c r="F10" s="36" t="inlineStr">
        <is>
          <t>transactional</t>
        </is>
      </c>
      <c r="G10" s="36" t="inlineStr">
        <is>
          <t>auto-cost</t>
        </is>
      </c>
      <c r="H10" s="36" t="n">
        <v>2</v>
      </c>
      <c r="I10" s="36" t="inlineStr">
        <is>
          <t>https://instasure.ca/car-insurance/</t>
        </is>
      </c>
      <c r="J10" s="36">
        <f>IF(I10="","No","Yes")</f>
        <v/>
      </c>
      <c r="K10" s="39">
        <f>IF(I10="","",IFERROR(IF(ISNUMBER(SEARCH(A10,INDEX(Pages!$J$2:$J$829,MATCH(I10,Pages!$B$2:$B$829,0)))),"Yes","No"),"Page not found"))</f>
        <v/>
      </c>
      <c r="L10" s="25" t="inlineStr">
        <is>
          <t>ratehub (15 ways), rates.ca, mychoice</t>
        </is>
      </c>
      <c r="M10" s="25" t="inlineStr">
        <is>
          <t>Answer with savings factors and compare. No "cheapest" claim without a published methodology.</t>
        </is>
      </c>
      <c r="N10" s="40" t="n"/>
      <c r="O10" s="38" t="n"/>
      <c r="P10" s="38" t="n"/>
    </row>
    <row r="11" ht="15" customHeight="1" s="22">
      <c r="A11" s="36" t="inlineStr">
        <is>
          <t>renters insurance</t>
        </is>
      </c>
      <c r="B11" s="36" t="inlineStr">
        <is>
          <t>Tenant insurance</t>
        </is>
      </c>
      <c r="C11" s="36" t="inlineStr">
        <is>
          <t>Tenant Insurance</t>
        </is>
      </c>
      <c r="D11" s="37" t="n">
        <v>9900</v>
      </c>
      <c r="E11" s="36" t="n">
        <v>65</v>
      </c>
      <c r="F11" s="36" t="inlineStr">
        <is>
          <t>commercial</t>
        </is>
      </c>
      <c r="G11" s="36" t="inlineStr">
        <is>
          <t>property-core</t>
        </is>
      </c>
      <c r="H11" s="36" t="n">
        <v>2</v>
      </c>
      <c r="I11" s="36" t="inlineStr">
        <is>
          <t>https://instasure.ca/tenant-insurance/</t>
        </is>
      </c>
      <c r="J11" s="36">
        <f>IF(I11="","No","Yes")</f>
        <v/>
      </c>
      <c r="K11" s="39">
        <f>IF(I11="","",IFERROR(IF(ISNUMBER(SEARCH(A11,INDEX(Pages!$J$2:$J$829,MATCH(I11,Pages!$B$2:$B$829,0)))),"Yes","No"),"Page not found"))</f>
        <v/>
      </c>
      <c r="L11" s="25" t="inlineStr">
        <is>
          <t>sonnet, ratehub</t>
        </is>
      </c>
      <c r="M11" s="25" t="inlineStr">
        <is>
          <t>Synonym used in titles ("Tenant (Renters) Insurance").</t>
        </is>
      </c>
      <c r="N11" s="40" t="n"/>
      <c r="O11" s="38" t="n"/>
      <c r="P11" s="38" t="n"/>
    </row>
    <row r="12" ht="23.85" customHeight="1" s="22">
      <c r="A12" s="36" t="inlineStr">
        <is>
          <t>super visa insurance</t>
        </is>
      </c>
      <c r="B12" s="36" t="inlineStr">
        <is>
          <t>Super Visa &amp; visitors insurance</t>
        </is>
      </c>
      <c r="C12" s="36" t="inlineStr">
        <is>
          <t>Super Visa Insurance</t>
        </is>
      </c>
      <c r="D12" s="37" t="n">
        <v>9900</v>
      </c>
      <c r="E12" s="36" t="n">
        <v>55</v>
      </c>
      <c r="F12" s="36" t="inlineStr">
        <is>
          <t>transactional</t>
        </is>
      </c>
      <c r="G12" s="36" t="inlineStr">
        <is>
          <t>travel-visitors</t>
        </is>
      </c>
      <c r="H12" s="36" t="n">
        <v>1</v>
      </c>
      <c r="I12" s="36" t="inlineStr">
        <is>
          <t>https://instasure.ca/super-visa-insurance/</t>
        </is>
      </c>
      <c r="J12" s="36">
        <f>IF(I12="","No","Yes")</f>
        <v/>
      </c>
      <c r="K12" s="39">
        <f>IF(I12="","",IFERROR(IF(ISNUMBER(SEARCH(A12,INDEX(Pages!$J$2:$J$829,MATCH(I12,Pages!$B$2:$B$829,0)))),"Yes","No"),"Page not found"))</f>
        <v/>
      </c>
      <c r="L12" s="25" t="inlineStr">
        <is>
          <t>policyadvisor (38 visitor pages incl. insurer reviews), ratehub, hellosafe, bestquote, coverme</t>
        </is>
      </c>
      <c r="M12" s="25" t="inlineStr">
        <is>
          <t>Mandatory purchase with high intent and a strong newcomer-community fit.</t>
        </is>
      </c>
      <c r="N12" s="40" t="n"/>
      <c r="O12" s="38" t="n"/>
      <c r="P12" s="38" t="n"/>
    </row>
    <row r="13" ht="15" customHeight="1" s="22">
      <c r="A13" s="36" t="inlineStr">
        <is>
          <t>business insurance</t>
        </is>
      </c>
      <c r="B13" s="36" t="inlineStr">
        <is>
          <t>Business insurance</t>
        </is>
      </c>
      <c r="C13" s="36" t="inlineStr">
        <is>
          <t>Business Insurance</t>
        </is>
      </c>
      <c r="D13" s="37" t="n">
        <v>8100</v>
      </c>
      <c r="E13" s="36" t="n">
        <v>70</v>
      </c>
      <c r="F13" s="36" t="inlineStr">
        <is>
          <t>commercial</t>
        </is>
      </c>
      <c r="G13" s="36" t="inlineStr">
        <is>
          <t>business</t>
        </is>
      </c>
      <c r="H13" s="36" t="n">
        <v>1</v>
      </c>
      <c r="I13" s="36" t="inlineStr">
        <is>
          <t>https://instasure.ca/business-insurance/</t>
        </is>
      </c>
      <c r="J13" s="36">
        <f>IF(I13="","No","Yes")</f>
        <v/>
      </c>
      <c r="K13" s="39">
        <f>IF(I13="","",IFERROR(IF(ISNUMBER(SEARCH(A13,INDEX(Pages!$J$2:$J$829,MATCH(I13,Pages!$B$2:$B$829,0)))),"Yes","No"),"Page not found"))</f>
        <v/>
      </c>
      <c r="L13" s="25" t="inlineStr">
        <is>
          <t>ratehub, rates.ca, zensurance, apollo</t>
        </is>
      </c>
      <c r="M13" s="25" t="n"/>
      <c r="N13" s="40" t="n"/>
      <c r="O13" s="38" t="n"/>
      <c r="P13" s="38" t="n"/>
    </row>
    <row r="14" ht="15" customHeight="1" s="22">
      <c r="A14" s="36" t="inlineStr">
        <is>
          <t>dental insurance</t>
        </is>
      </c>
      <c r="B14" s="36" t="inlineStr">
        <is>
          <t>Health &amp; dental insurance</t>
        </is>
      </c>
      <c r="C14" s="36" t="inlineStr">
        <is>
          <t>Health &amp; Dental Insurance</t>
        </is>
      </c>
      <c r="D14" s="37" t="n">
        <v>8100</v>
      </c>
      <c r="E14" s="36" t="n">
        <v>65</v>
      </c>
      <c r="F14" s="36" t="inlineStr">
        <is>
          <t>commercial</t>
        </is>
      </c>
      <c r="G14" s="36" t="inlineStr">
        <is>
          <t>health-dental</t>
        </is>
      </c>
      <c r="H14" s="36" t="n">
        <v>2</v>
      </c>
      <c r="I14" s="36" t="inlineStr">
        <is>
          <t>https://instasure.ca/health-dental-insurance/</t>
        </is>
      </c>
      <c r="J14" s="36">
        <f>IF(I14="","No","Yes")</f>
        <v/>
      </c>
      <c r="K14" s="39">
        <f>IF(I14="","",IFERROR(IF(ISNUMBER(SEARCH(A14,INDEX(Pages!$J$2:$J$829,MATCH(I14,Pages!$B$2:$B$829,0)))),"Yes","No"),"Page not found"))</f>
        <v/>
      </c>
      <c r="L14" s="25" t="inlineStr">
        <is>
          <t>sun life, manulife, blue cross, policyadvisor</t>
        </is>
      </c>
      <c r="M14" s="25" t="inlineStr">
        <is>
          <t>Much of the volume is CDCP navigation; target the self-employed and CDCP-ineligible.</t>
        </is>
      </c>
      <c r="N14" s="40" t="n"/>
      <c r="O14" s="38" t="n"/>
      <c r="P14" s="38" t="n"/>
    </row>
    <row r="15" ht="15" customHeight="1" s="22">
      <c r="A15" s="36" t="inlineStr">
        <is>
          <t>house insurance</t>
        </is>
      </c>
      <c r="B15" s="36" t="inlineStr">
        <is>
          <t>Home insurance</t>
        </is>
      </c>
      <c r="C15" s="36" t="inlineStr">
        <is>
          <t>Home Insurance</t>
        </is>
      </c>
      <c r="D15" s="37" t="n">
        <v>8100</v>
      </c>
      <c r="E15" s="36" t="n">
        <v>75</v>
      </c>
      <c r="F15" s="36" t="inlineStr">
        <is>
          <t>commercial</t>
        </is>
      </c>
      <c r="G15" s="36" t="inlineStr">
        <is>
          <t>property-core</t>
        </is>
      </c>
      <c r="H15" s="36" t="n">
        <v>2</v>
      </c>
      <c r="I15" s="36" t="inlineStr">
        <is>
          <t>https://instasure.ca/home-insurance/</t>
        </is>
      </c>
      <c r="J15" s="36">
        <f>IF(I15="","No","Yes")</f>
        <v/>
      </c>
      <c r="K15" s="39">
        <f>IF(I15="","",IFERROR(IF(ISNUMBER(SEARCH(A15,INDEX(Pages!$J$2:$J$829,MATCH(I15,Pages!$B$2:$B$829,0)))),"Yes","No"),"Page not found"))</f>
        <v/>
      </c>
      <c r="L15" s="25" t="inlineStr">
        <is>
          <t>ratehub, rates.ca</t>
        </is>
      </c>
      <c r="M15" s="25" t="n"/>
      <c r="N15" s="40" t="n"/>
      <c r="O15" s="38" t="n"/>
      <c r="P15" s="38" t="n"/>
    </row>
    <row r="16" ht="15" customHeight="1" s="22">
      <c r="A16" s="36" t="inlineStr">
        <is>
          <t>condo insurance</t>
        </is>
      </c>
      <c r="B16" s="36" t="inlineStr">
        <is>
          <t>Condo insurance</t>
        </is>
      </c>
      <c r="C16" s="36" t="inlineStr">
        <is>
          <t>Condo Insurance</t>
        </is>
      </c>
      <c r="D16" s="37" t="n">
        <v>6600</v>
      </c>
      <c r="E16" s="36" t="n">
        <v>65</v>
      </c>
      <c r="F16" s="36" t="inlineStr">
        <is>
          <t>commercial</t>
        </is>
      </c>
      <c r="G16" s="36" t="inlineStr">
        <is>
          <t>property-core</t>
        </is>
      </c>
      <c r="H16" s="36" t="n">
        <v>1</v>
      </c>
      <c r="I16" s="36" t="inlineStr">
        <is>
          <t>https://instasure.ca/condo-insurance/</t>
        </is>
      </c>
      <c r="J16" s="36">
        <f>IF(I16="","No","Yes")</f>
        <v/>
      </c>
      <c r="K16" s="39">
        <f>IF(I16="","",IFERROR(IF(ISNUMBER(SEARCH(A16,INDEX(Pages!$J$2:$J$829,MATCH(I16,Pages!$B$2:$B$829,0)))),"Yes","No"),"Page not found"))</f>
        <v/>
      </c>
      <c r="L16" s="25" t="inlineStr">
        <is>
          <t>sonnet, ratehub, rates.ca</t>
        </is>
      </c>
      <c r="M16" s="25" t="n"/>
      <c r="N16" s="40" t="n"/>
      <c r="O16" s="38" t="n"/>
      <c r="P16" s="38" t="n"/>
    </row>
    <row r="17" ht="15" customHeight="1" s="22">
      <c r="A17" s="36" t="inlineStr">
        <is>
          <t>critical illness insurance</t>
        </is>
      </c>
      <c r="B17" s="36" t="inlineStr">
        <is>
          <t>Critical illness insurance</t>
        </is>
      </c>
      <c r="C17" s="36" t="inlineStr">
        <is>
          <t>Critical Illness Insurance</t>
        </is>
      </c>
      <c r="D17" s="37" t="n">
        <v>6600</v>
      </c>
      <c r="E17" s="36" t="n">
        <v>65</v>
      </c>
      <c r="F17" s="36" t="inlineStr">
        <is>
          <t>commercial</t>
        </is>
      </c>
      <c r="G17" s="36" t="inlineStr">
        <is>
          <t>living-benefits</t>
        </is>
      </c>
      <c r="H17" s="36" t="n">
        <v>1</v>
      </c>
      <c r="I17" s="36" t="inlineStr">
        <is>
          <t>https://instasure.ca/critical-illness-insurance/</t>
        </is>
      </c>
      <c r="J17" s="36">
        <f>IF(I17="","No","Yes")</f>
        <v/>
      </c>
      <c r="K17" s="39">
        <f>IF(I17="","",IFERROR(IF(ISNUMBER(SEARCH(A17,INDEX(Pages!$J$2:$J$829,MATCH(I17,Pages!$B$2:$B$829,0)))),"Yes","No"),"Page not found"))</f>
        <v/>
      </c>
      <c r="L17" s="25" t="inlineStr">
        <is>
          <t>policyadvisor, sun life, policyme, ratehub</t>
        </is>
      </c>
      <c r="M17" s="25" t="n"/>
      <c r="N17" s="40" t="n"/>
      <c r="O17" s="38" t="n"/>
      <c r="P17" s="38" t="n"/>
    </row>
    <row r="18" ht="15" customHeight="1" s="22">
      <c r="A18" s="36" t="inlineStr">
        <is>
          <t>home insurance quotes</t>
        </is>
      </c>
      <c r="B18" s="36" t="inlineStr">
        <is>
          <t>Home insurance</t>
        </is>
      </c>
      <c r="C18" s="36" t="inlineStr">
        <is>
          <t>Home Insurance</t>
        </is>
      </c>
      <c r="D18" s="37" t="n">
        <v>6600</v>
      </c>
      <c r="E18" s="36" t="n">
        <v>75</v>
      </c>
      <c r="F18" s="36" t="inlineStr">
        <is>
          <t>transactional</t>
        </is>
      </c>
      <c r="G18" s="36" t="inlineStr">
        <is>
          <t>property-core</t>
        </is>
      </c>
      <c r="H18" s="36" t="n">
        <v>1</v>
      </c>
      <c r="I18" s="36" t="inlineStr">
        <is>
          <t>https://instasure.ca/quote/home-insurance/</t>
        </is>
      </c>
      <c r="J18" s="36">
        <f>IF(I18="","No","Yes")</f>
        <v/>
      </c>
      <c r="K18" s="39">
        <f>IF(I18="","",IFERROR(IF(ISNUMBER(SEARCH(A18,INDEX(Pages!$J$2:$J$829,MATCH(I18,Pages!$B$2:$B$829,0)))),"Yes","No"),"Page not found"))</f>
        <v/>
      </c>
      <c r="L18" s="25" t="inlineStr">
        <is>
          <t>ratehub, rates.ca, sonnet, squareone</t>
        </is>
      </c>
      <c r="M18" s="25" t="n"/>
      <c r="N18" s="40" t="n"/>
      <c r="O18" s="38" t="n"/>
      <c r="P18" s="38" t="n"/>
    </row>
    <row r="19" ht="23.85" customHeight="1" s="22">
      <c r="A19" s="36" t="inlineStr">
        <is>
          <t>insurance broker near me</t>
        </is>
      </c>
      <c r="B19" s="36" t="inlineStr">
        <is>
          <t>Cross-product &amp; brand</t>
        </is>
      </c>
      <c r="C19" s="36" t="n"/>
      <c r="D19" s="37" t="n">
        <v>6600</v>
      </c>
      <c r="E19" s="36" t="n">
        <v>60</v>
      </c>
      <c r="F19" s="36" t="inlineStr">
        <is>
          <t>local</t>
        </is>
      </c>
      <c r="G19" s="36" t="inlineStr">
        <is>
          <t>advisors</t>
        </is>
      </c>
      <c r="H19" s="36" t="n">
        <v>2</v>
      </c>
      <c r="I19" s="36" t="inlineStr">
        <is>
          <t>https://instasure.ca/advisors/</t>
        </is>
      </c>
      <c r="J19" s="36">
        <f>IF(I19="","No","Yes")</f>
        <v/>
      </c>
      <c r="K19" s="39">
        <f>IF(I19="","",IFERROR(IF(ISNUMBER(SEARCH(A19,INDEX(Pages!$J$2:$J$829,MATCH(I19,Pages!$B$2:$B$829,0)))),"Yes","No"),"Page not found"))</f>
        <v/>
      </c>
      <c r="L19" s="25" t="inlineStr">
        <is>
          <t>local brokers, thinkinsure</t>
        </is>
      </c>
      <c r="M19" s="25" t="inlineStr">
        <is>
          <t>Needs Google Business Profiles. Say "licensed advisor" unless the entity is a registered brokerage.</t>
        </is>
      </c>
      <c r="N19" s="40" t="n"/>
      <c r="O19" s="38" t="n"/>
      <c r="P19" s="38" t="n"/>
    </row>
    <row r="20" ht="15" customHeight="1" s="22">
      <c r="A20" s="36" t="inlineStr">
        <is>
          <t>insurance quotes</t>
        </is>
      </c>
      <c r="B20" s="36" t="inlineStr">
        <is>
          <t>Cross-product &amp; brand</t>
        </is>
      </c>
      <c r="C20" s="36" t="n"/>
      <c r="D20" s="37" t="n">
        <v>6600</v>
      </c>
      <c r="E20" s="36" t="n">
        <v>75</v>
      </c>
      <c r="F20" s="36" t="inlineStr">
        <is>
          <t>transactional</t>
        </is>
      </c>
      <c r="G20" s="36" t="inlineStr">
        <is>
          <t>brand-instant</t>
        </is>
      </c>
      <c r="H20" s="36" t="n">
        <v>1</v>
      </c>
      <c r="I20" s="36" t="inlineStr">
        <is>
          <t>https://instasure.ca/quote/</t>
        </is>
      </c>
      <c r="J20" s="36">
        <f>IF(I20="","No","Yes")</f>
        <v/>
      </c>
      <c r="K20" s="39">
        <f>IF(I20="","",IFERROR(IF(ISNUMBER(SEARCH(A20,INDEX(Pages!$J$2:$J$829,MATCH(I20,Pages!$B$2:$B$829,0)))),"Yes","No"),"Page not found"))</f>
        <v/>
      </c>
      <c r="L20" s="25" t="inlineStr">
        <is>
          <t>ratehub, rates.ca, kanetix</t>
        </is>
      </c>
      <c r="M20" s="25" t="n"/>
      <c r="N20" s="40" t="n"/>
      <c r="O20" s="38" t="n"/>
      <c r="P20" s="38" t="n"/>
    </row>
    <row r="21" ht="15" customHeight="1" s="22">
      <c r="A21" s="36" t="inlineStr">
        <is>
          <t>term life insurance</t>
        </is>
      </c>
      <c r="B21" s="36" t="inlineStr">
        <is>
          <t>Life insurance</t>
        </is>
      </c>
      <c r="C21" s="36" t="inlineStr">
        <is>
          <t>Term Life Insurance</t>
        </is>
      </c>
      <c r="D21" s="37" t="n">
        <v>6600</v>
      </c>
      <c r="E21" s="36" t="n">
        <v>70</v>
      </c>
      <c r="F21" s="36" t="inlineStr">
        <is>
          <t>commercial</t>
        </is>
      </c>
      <c r="G21" s="36" t="inlineStr">
        <is>
          <t>life-core</t>
        </is>
      </c>
      <c r="H21" s="36" t="n">
        <v>1</v>
      </c>
      <c r="I21" s="36" t="inlineStr">
        <is>
          <t>https://instasure.ca/term-life-insurance/</t>
        </is>
      </c>
      <c r="J21" s="36">
        <f>IF(I21="","No","Yes")</f>
        <v/>
      </c>
      <c r="K21" s="39">
        <f>IF(I21="","",IFERROR(IF(ISNUMBER(SEARCH(A21,INDEX(Pages!$J$2:$J$829,MATCH(I21,Pages!$B$2:$B$829,0)))),"Yes","No"),"Page not found"))</f>
        <v/>
      </c>
      <c r="L21" s="25" t="inlineStr">
        <is>
          <t>policyadvisor, sun life, ratehub, policyme</t>
        </is>
      </c>
      <c r="M21" s="25" t="n"/>
      <c r="N21" s="40" t="n"/>
      <c r="O21" s="38" t="n"/>
      <c r="P21" s="38" t="n"/>
    </row>
    <row r="22" ht="15" customHeight="1" s="22">
      <c r="A22" s="36" t="inlineStr">
        <is>
          <t>liability insurance</t>
        </is>
      </c>
      <c r="B22" s="36" t="inlineStr">
        <is>
          <t>Business insurance</t>
        </is>
      </c>
      <c r="C22" s="36" t="inlineStr">
        <is>
          <t>Business Insurance</t>
        </is>
      </c>
      <c r="D22" s="37" t="n">
        <v>5400</v>
      </c>
      <c r="E22" s="36" t="n">
        <v>65</v>
      </c>
      <c r="F22" s="36" t="inlineStr">
        <is>
          <t>commercial</t>
        </is>
      </c>
      <c r="G22" s="36" t="inlineStr">
        <is>
          <t>business</t>
        </is>
      </c>
      <c r="H22" s="36" t="n">
        <v>3</v>
      </c>
      <c r="I22" s="36" t="inlineStr">
        <is>
          <t>https://instasure.ca/business-insurance/</t>
        </is>
      </c>
      <c r="J22" s="36">
        <f>IF(I22="","No","Yes")</f>
        <v/>
      </c>
      <c r="K22" s="39">
        <f>IF(I22="","",IFERROR(IF(ISNUMBER(SEARCH(A22,INDEX(Pages!$J$2:$J$829,MATCH(I22,Pages!$B$2:$B$829,0)))),"Yes","No"),"Page not found"))</f>
        <v/>
      </c>
      <c r="L22" s="25" t="inlineStr">
        <is>
          <t>ratehub, rates.ca</t>
        </is>
      </c>
      <c r="M22" s="25" t="n"/>
      <c r="N22" s="40" t="n"/>
      <c r="O22" s="38" t="n"/>
      <c r="P22" s="38" t="n"/>
    </row>
    <row r="23" ht="23.85" customHeight="1" s="22">
      <c r="A23" s="36" t="inlineStr">
        <is>
          <t>motorcycle insurance</t>
        </is>
      </c>
      <c r="B23" s="36" t="inlineStr">
        <is>
          <t>Recreational vehicles</t>
        </is>
      </c>
      <c r="C23" s="36" t="inlineStr">
        <is>
          <t>Car Insurance</t>
        </is>
      </c>
      <c r="D23" s="37" t="n">
        <v>5400</v>
      </c>
      <c r="E23" s="36" t="n">
        <v>60</v>
      </c>
      <c r="F23" s="36" t="inlineStr">
        <is>
          <t>commercial</t>
        </is>
      </c>
      <c r="G23" s="36" t="inlineStr">
        <is>
          <t>auto-recreational</t>
        </is>
      </c>
      <c r="H23" s="36" t="n">
        <v>3</v>
      </c>
      <c r="I23" s="36" t="inlineStr">
        <is>
          <t>https://instasure.ca/motorcycle-insurance/</t>
        </is>
      </c>
      <c r="J23" s="36">
        <f>IF(I23="","No","Yes")</f>
        <v/>
      </c>
      <c r="K23" s="39">
        <f>IF(I23="","",IFERROR(IF(ISNUMBER(SEARCH(A23,INDEX(Pages!$J$2:$J$829,MATCH(I23,Pages!$B$2:$B$829,0)))),"Yes","No"),"Page not found"))</f>
        <v/>
      </c>
      <c r="L23" s="25" t="inlineStr">
        <is>
          <t>ratehub (ON, AB), rates.ca, insurer brands</t>
        </is>
      </c>
      <c r="M23" s="25" t="inlineStr">
        <is>
          <t>Seasonal: searches peak March to May. Province pages are the next step if quote volume justifies them.</t>
        </is>
      </c>
      <c r="N23" s="40" t="n"/>
      <c r="O23" s="38" t="n"/>
      <c r="P23" s="38" t="n"/>
    </row>
    <row r="24" ht="15" customHeight="1" s="22">
      <c r="A24" s="36" t="inlineStr">
        <is>
          <t>whole life insurance</t>
        </is>
      </c>
      <c r="B24" s="36" t="inlineStr">
        <is>
          <t>Life insurance</t>
        </is>
      </c>
      <c r="C24" s="36" t="inlineStr">
        <is>
          <t>Whole Life Insurance</t>
        </is>
      </c>
      <c r="D24" s="37" t="n">
        <v>5400</v>
      </c>
      <c r="E24" s="36" t="n">
        <v>70</v>
      </c>
      <c r="F24" s="36" t="inlineStr">
        <is>
          <t>commercial</t>
        </is>
      </c>
      <c r="G24" s="36" t="inlineStr">
        <is>
          <t>life-core</t>
        </is>
      </c>
      <c r="H24" s="36" t="n">
        <v>1</v>
      </c>
      <c r="I24" s="36" t="inlineStr">
        <is>
          <t>https://instasure.ca/whole-life-insurance/</t>
        </is>
      </c>
      <c r="J24" s="36">
        <f>IF(I24="","No","Yes")</f>
        <v/>
      </c>
      <c r="K24" s="39">
        <f>IF(I24="","",IFERROR(IF(ISNUMBER(SEARCH(A24,INDEX(Pages!$J$2:$J$829,MATCH(I24,Pages!$B$2:$B$829,0)))),"Yes","No"),"Page not found"))</f>
        <v/>
      </c>
      <c r="L24" s="25" t="inlineStr">
        <is>
          <t>policyadvisor, sun life, ratehub</t>
        </is>
      </c>
      <c r="M24" s="25" t="n"/>
      <c r="N24" s="40" t="n"/>
      <c r="O24" s="38" t="n"/>
      <c r="P24" s="38" t="n"/>
    </row>
    <row r="25" ht="23.85" customHeight="1" s="22">
      <c r="A25" s="36" t="inlineStr">
        <is>
          <t>cpp death benefit</t>
        </is>
      </c>
      <c r="B25" s="36" t="inlineStr">
        <is>
          <t>Life insurance</t>
        </is>
      </c>
      <c r="C25" s="36" t="inlineStr">
        <is>
          <t>Life Insurance</t>
        </is>
      </c>
      <c r="D25" s="37" t="n">
        <v>4400</v>
      </c>
      <c r="E25" s="36" t="n">
        <v>40</v>
      </c>
      <c r="F25" s="36" t="inlineStr">
        <is>
          <t>informational</t>
        </is>
      </c>
      <c r="G25" s="36" t="inlineStr">
        <is>
          <t>life-audience</t>
        </is>
      </c>
      <c r="H25" s="36" t="n">
        <v>2</v>
      </c>
      <c r="I25" s="36" t="n"/>
      <c r="J25" s="36">
        <f>IF(I25="","No","Yes")</f>
        <v/>
      </c>
      <c r="K25" s="39">
        <f>IF(I25="","",IFERROR(IF(ISNUMBER(SEARCH(A25,INDEX(Pages!$J$2:$J$829,MATCH(I25,Pages!$B$2:$B$829,0)))),"Yes","No"),"Page not found"))</f>
        <v/>
      </c>
      <c r="L25" s="25" t="inlineStr">
        <is>
          <t>canada.ca, media</t>
        </is>
      </c>
      <c r="M25" s="25" t="inlineStr">
        <is>
          <t>Planned guide: /guides/cpp-death-benefit-and-funeral-costs/. canada.ca: $2,500 basic plus a possible $2,500 top-up since January 1, 2025.</t>
        </is>
      </c>
      <c r="N25" s="40" t="n"/>
      <c r="O25" s="38" t="n"/>
      <c r="P25" s="38" t="n"/>
    </row>
    <row r="26" ht="15" customHeight="1" s="22">
      <c r="A26" s="36" t="inlineStr">
        <is>
          <t>disability insurance</t>
        </is>
      </c>
      <c r="B26" s="36" t="inlineStr">
        <is>
          <t>Disability insurance</t>
        </is>
      </c>
      <c r="C26" s="36" t="inlineStr">
        <is>
          <t>Disability Insurance</t>
        </is>
      </c>
      <c r="D26" s="37" t="n">
        <v>4400</v>
      </c>
      <c r="E26" s="36" t="n">
        <v>60</v>
      </c>
      <c r="F26" s="36" t="inlineStr">
        <is>
          <t>commercial</t>
        </is>
      </c>
      <c r="G26" s="36" t="inlineStr">
        <is>
          <t>living-benefits</t>
        </is>
      </c>
      <c r="H26" s="36" t="n">
        <v>1</v>
      </c>
      <c r="I26" s="36" t="inlineStr">
        <is>
          <t>https://instasure.ca/disability-insurance/</t>
        </is>
      </c>
      <c r="J26" s="36">
        <f>IF(I26="","No","Yes")</f>
        <v/>
      </c>
      <c r="K26" s="39">
        <f>IF(I26="","",IFERROR(IF(ISNUMBER(SEARCH(A26,INDEX(Pages!$J$2:$J$829,MATCH(I26,Pages!$B$2:$B$829,0)))),"Yes","No"),"Page not found"))</f>
        <v/>
      </c>
      <c r="L26" s="25" t="inlineStr">
        <is>
          <t>policyadvisor, sun life</t>
        </is>
      </c>
      <c r="M26" s="25" t="n"/>
      <c r="N26" s="40" t="n"/>
      <c r="O26" s="38" t="n"/>
      <c r="P26" s="38" t="n"/>
    </row>
    <row r="27" ht="15" customHeight="1" s="22">
      <c r="A27" s="36" t="inlineStr">
        <is>
          <t>life insurance quotes</t>
        </is>
      </c>
      <c r="B27" s="36" t="inlineStr">
        <is>
          <t>Life insurance</t>
        </is>
      </c>
      <c r="C27" s="36" t="inlineStr">
        <is>
          <t>Life Insurance</t>
        </is>
      </c>
      <c r="D27" s="37" t="n">
        <v>4400</v>
      </c>
      <c r="E27" s="36" t="n">
        <v>70</v>
      </c>
      <c r="F27" s="36" t="inlineStr">
        <is>
          <t>transactional</t>
        </is>
      </c>
      <c r="G27" s="36" t="inlineStr">
        <is>
          <t>life-core</t>
        </is>
      </c>
      <c r="H27" s="36" t="n">
        <v>1</v>
      </c>
      <c r="I27" s="36" t="inlineStr">
        <is>
          <t>https://instasure.ca/quote/life-insurance/</t>
        </is>
      </c>
      <c r="J27" s="36">
        <f>IF(I27="","No","Yes")</f>
        <v/>
      </c>
      <c r="K27" s="39">
        <f>IF(I27="","",IFERROR(IF(ISNUMBER(SEARCH(A27,INDEX(Pages!$J$2:$J$829,MATCH(I27,Pages!$B$2:$B$829,0)))),"Yes","No"),"Page not found"))</f>
        <v/>
      </c>
      <c r="L27" s="25" t="inlineStr">
        <is>
          <t>policyadvisor ("instantly"), policyme, ratehub, sun life</t>
        </is>
      </c>
      <c r="M27" s="25" t="inlineStr">
        <is>
          <t>Money term: instant estimate, then a licensed advisor.</t>
        </is>
      </c>
      <c r="N27" s="40" t="n"/>
      <c r="O27" s="38" t="n"/>
      <c r="P27" s="38" t="n"/>
    </row>
    <row r="28" ht="15" customHeight="1" s="22">
      <c r="A28" s="36" t="inlineStr">
        <is>
          <t>visitors insurance canada</t>
        </is>
      </c>
      <c r="B28" s="36" t="inlineStr">
        <is>
          <t>Super Visa &amp; visitors insurance</t>
        </is>
      </c>
      <c r="C28" s="36" t="inlineStr">
        <is>
          <t>Travel Insurance</t>
        </is>
      </c>
      <c r="D28" s="37" t="n">
        <v>4400</v>
      </c>
      <c r="E28" s="36" t="n">
        <v>55</v>
      </c>
      <c r="F28" s="36" t="inlineStr">
        <is>
          <t>transactional</t>
        </is>
      </c>
      <c r="G28" s="36" t="inlineStr">
        <is>
          <t>travel-visitors</t>
        </is>
      </c>
      <c r="H28" s="36" t="n">
        <v>2</v>
      </c>
      <c r="I28" s="36" t="inlineStr">
        <is>
          <t>https://instasure.ca/travel-insurance/visitors-to-canada/</t>
        </is>
      </c>
      <c r="J28" s="36">
        <f>IF(I28="","No","Yes")</f>
        <v/>
      </c>
      <c r="K28" s="39">
        <f>IF(I28="","",IFERROR(IF(ISNUMBER(SEARCH(A28,INDEX(Pages!$J$2:$J$829,MATCH(I28,Pages!$B$2:$B$829,0)))),"Yes","No"),"Page not found"))</f>
        <v/>
      </c>
      <c r="L28" s="25" t="inlineStr">
        <is>
          <t>ratehub, rates.ca, policyadvisor, sun life</t>
        </is>
      </c>
      <c r="M28" s="25" t="inlineStr">
        <is>
          <t>Built: dedicated visitors page. The super visa page covers the mandatory case.</t>
        </is>
      </c>
      <c r="N28" s="40" t="n"/>
      <c r="O28" s="38" t="n"/>
      <c r="P28" s="38" t="n"/>
    </row>
    <row r="29" ht="23.85" customHeight="1" s="22">
      <c r="A29" s="36" t="inlineStr">
        <is>
          <t>average car insurance cost canada</t>
        </is>
      </c>
      <c r="B29" s="36" t="inlineStr">
        <is>
          <t>Car insurance</t>
        </is>
      </c>
      <c r="C29" s="36" t="inlineStr">
        <is>
          <t>Car Insurance</t>
        </is>
      </c>
      <c r="D29" s="37" t="n">
        <v>2900</v>
      </c>
      <c r="E29" s="36" t="n">
        <v>55</v>
      </c>
      <c r="F29" s="36" t="inlineStr">
        <is>
          <t>informational</t>
        </is>
      </c>
      <c r="G29" s="36" t="inlineStr">
        <is>
          <t>auto-cost</t>
        </is>
      </c>
      <c r="H29" s="36" t="n">
        <v>1</v>
      </c>
      <c r="I29" s="36" t="inlineStr">
        <is>
          <t>https://instasure.ca/insights/rate-index/</t>
        </is>
      </c>
      <c r="J29" s="36">
        <f>IF(I29="","No","Yes")</f>
        <v/>
      </c>
      <c r="K29" s="39">
        <f>IF(I29="","",IFERROR(IF(ISNUMBER(SEARCH(A29,INDEX(Pages!$J$2:$J$829,MATCH(I29,Pages!$B$2:$B$829,0)))),"Yes","No"),"Page not found"))</f>
        <v/>
      </c>
      <c r="L29" s="25" t="inlineStr">
        <is>
          <t>ratehub, rates.ca, sonnet, hellosafe barometer</t>
        </is>
      </c>
      <c r="M29" s="25" t="inlineStr">
        <is>
          <t>Rate Index page. It stays noindex until a product × province cell has 25 quote requests; the province pages carry the published averages meanwhile.</t>
        </is>
      </c>
      <c r="N29" s="40" t="n"/>
      <c r="O29" s="38" t="n"/>
      <c r="P29" s="38" t="n"/>
    </row>
    <row r="30" ht="23.85" customHeight="1" s="22">
      <c r="A30" s="36" t="inlineStr">
        <is>
          <t>boat insurance</t>
        </is>
      </c>
      <c r="B30" s="36" t="inlineStr">
        <is>
          <t>Recreational vehicles</t>
        </is>
      </c>
      <c r="C30" s="36" t="inlineStr">
        <is>
          <t>Home Insurance</t>
        </is>
      </c>
      <c r="D30" s="37" t="n">
        <v>2900</v>
      </c>
      <c r="E30" s="36" t="n">
        <v>50</v>
      </c>
      <c r="F30" s="36" t="inlineStr">
        <is>
          <t>commercial</t>
        </is>
      </c>
      <c r="G30" s="36" t="inlineStr">
        <is>
          <t>auto-recreational</t>
        </is>
      </c>
      <c r="H30" s="36" t="n">
        <v>4</v>
      </c>
      <c r="I30" s="36" t="inlineStr">
        <is>
          <t>https://instasure.ca/boat-insurance/</t>
        </is>
      </c>
      <c r="J30" s="36">
        <f>IF(I30="","No","Yes")</f>
        <v/>
      </c>
      <c r="K30" s="39">
        <f>IF(I30="","",IFERROR(IF(ISNUMBER(SEARCH(A30,INDEX(Pages!$J$2:$J$829,MATCH(I30,Pages!$B$2:$B$829,0)))),"Yes","No"),"Page not found"))</f>
        <v/>
      </c>
      <c r="L30" s="25" t="inlineStr">
        <is>
          <t>ratehub (boat, marine)</t>
        </is>
      </c>
      <c r="M30" s="25" t="inlineStr">
        <is>
          <t>Often an endorsement on the home policy; the page explains when a separate policy is needed.</t>
        </is>
      </c>
      <c r="N30" s="40" t="n"/>
      <c r="O30" s="38" t="n"/>
      <c r="P30" s="38" t="n"/>
    </row>
    <row r="31" ht="15" customHeight="1" s="22">
      <c r="A31" s="36" t="inlineStr">
        <is>
          <t>long term disability insurance</t>
        </is>
      </c>
      <c r="B31" s="36" t="inlineStr">
        <is>
          <t>Disability insurance</t>
        </is>
      </c>
      <c r="C31" s="36" t="inlineStr">
        <is>
          <t>Disability Insurance</t>
        </is>
      </c>
      <c r="D31" s="37" t="n">
        <v>2900</v>
      </c>
      <c r="E31" s="36" t="n">
        <v>55</v>
      </c>
      <c r="F31" s="36" t="inlineStr">
        <is>
          <t>informational</t>
        </is>
      </c>
      <c r="G31" s="36" t="inlineStr">
        <is>
          <t>living-benefits</t>
        </is>
      </c>
      <c r="H31" s="36" t="n">
        <v>3</v>
      </c>
      <c r="I31" s="36" t="inlineStr">
        <is>
          <t>https://instasure.ca/disability-insurance/</t>
        </is>
      </c>
      <c r="J31" s="36">
        <f>IF(I31="","No","Yes")</f>
        <v/>
      </c>
      <c r="K31" s="39">
        <f>IF(I31="","",IFERROR(IF(ISNUMBER(SEARCH(A31,INDEX(Pages!$J$2:$J$829,MATCH(I31,Pages!$B$2:$B$829,0)))),"Yes","No"),"Page not found"))</f>
        <v/>
      </c>
      <c r="L31" s="25" t="inlineStr">
        <is>
          <t>policyadvisor</t>
        </is>
      </c>
      <c r="M31" s="25" t="inlineStr">
        <is>
          <t>Much of the volume is about group or claims; qualify carefully.</t>
        </is>
      </c>
      <c r="N31" s="40" t="n"/>
      <c r="O31" s="38" t="n"/>
      <c r="P31" s="38" t="n"/>
    </row>
    <row r="32" ht="15" customHeight="1" s="22">
      <c r="A32" s="36" t="inlineStr">
        <is>
          <t>private health insurance canada</t>
        </is>
      </c>
      <c r="B32" s="36" t="inlineStr">
        <is>
          <t>Health &amp; dental insurance</t>
        </is>
      </c>
      <c r="C32" s="36" t="inlineStr">
        <is>
          <t>Health &amp; Dental Insurance</t>
        </is>
      </c>
      <c r="D32" s="37" t="n">
        <v>2900</v>
      </c>
      <c r="E32" s="36" t="n">
        <v>60</v>
      </c>
      <c r="F32" s="36" t="inlineStr">
        <is>
          <t>commercial</t>
        </is>
      </c>
      <c r="G32" s="36" t="inlineStr">
        <is>
          <t>health-dental</t>
        </is>
      </c>
      <c r="H32" s="36" t="n">
        <v>2</v>
      </c>
      <c r="I32" s="36" t="inlineStr">
        <is>
          <t>https://instasure.ca/health-dental-insurance/</t>
        </is>
      </c>
      <c r="J32" s="36">
        <f>IF(I32="","No","Yes")</f>
        <v/>
      </c>
      <c r="K32" s="39">
        <f>IF(I32="","",IFERROR(IF(ISNUMBER(SEARCH(A32,INDEX(Pages!$J$2:$J$829,MATCH(I32,Pages!$B$2:$B$829,0)))),"Yes","No"),"Page not found"))</f>
        <v/>
      </c>
      <c r="L32" s="25" t="inlineStr">
        <is>
          <t>policyadvisor, sun life, manulife, blue cross</t>
        </is>
      </c>
      <c r="M32" s="25" t="n"/>
      <c r="N32" s="40" t="n"/>
      <c r="O32" s="38" t="n"/>
      <c r="P32" s="38" t="n"/>
    </row>
    <row r="33" ht="15" customHeight="1" s="22">
      <c r="A33" s="36" t="inlineStr">
        <is>
          <t>small business insurance</t>
        </is>
      </c>
      <c r="B33" s="36" t="inlineStr">
        <is>
          <t>Business insurance</t>
        </is>
      </c>
      <c r="C33" s="36" t="inlineStr">
        <is>
          <t>Business Insurance</t>
        </is>
      </c>
      <c r="D33" s="37" t="n">
        <v>2900</v>
      </c>
      <c r="E33" s="36" t="n">
        <v>60</v>
      </c>
      <c r="F33" s="36" t="inlineStr">
        <is>
          <t>commercial</t>
        </is>
      </c>
      <c r="G33" s="36" t="inlineStr">
        <is>
          <t>business</t>
        </is>
      </c>
      <c r="H33" s="36" t="n">
        <v>1</v>
      </c>
      <c r="I33" s="36" t="inlineStr">
        <is>
          <t>https://instasure.ca/business-insurance/</t>
        </is>
      </c>
      <c r="J33" s="36">
        <f>IF(I33="","No","Yes")</f>
        <v/>
      </c>
      <c r="K33" s="39">
        <f>IF(I33="","",IFERROR(IF(ISNUMBER(SEARCH(A33,INDEX(Pages!$J$2:$J$829,MATCH(I33,Pages!$B$2:$B$829,0)))),"Yes","No"),"Page not found"))</f>
        <v/>
      </c>
      <c r="L33" s="25" t="inlineStr">
        <is>
          <t>rates.ca, ratehub</t>
        </is>
      </c>
      <c r="M33" s="25" t="n"/>
      <c r="N33" s="40" t="n"/>
      <c r="O33" s="38" t="n"/>
      <c r="P33" s="38" t="n"/>
    </row>
    <row r="34" ht="15" customHeight="1" s="22">
      <c r="A34" s="36" t="inlineStr">
        <is>
          <t>best life insurance companies canada</t>
        </is>
      </c>
      <c r="B34" s="36" t="inlineStr">
        <is>
          <t>Life insurance</t>
        </is>
      </c>
      <c r="C34" s="36" t="inlineStr">
        <is>
          <t>Life Insurance</t>
        </is>
      </c>
      <c r="D34" s="37" t="n">
        <v>2400</v>
      </c>
      <c r="E34" s="36" t="n">
        <v>65</v>
      </c>
      <c r="F34" s="36" t="inlineStr">
        <is>
          <t>commercial</t>
        </is>
      </c>
      <c r="G34" s="36" t="inlineStr">
        <is>
          <t>life-reviews</t>
        </is>
      </c>
      <c r="H34" s="36" t="n">
        <v>2</v>
      </c>
      <c r="I34" s="36" t="n"/>
      <c r="J34" s="36">
        <f>IF(I34="","No","Yes")</f>
        <v/>
      </c>
      <c r="K34" s="39">
        <f>IF(I34="","",IFERROR(IF(ISNUMBER(SEARCH(A34,INDEX(Pages!$J$2:$J$829,MATCH(I34,Pages!$B$2:$B$829,0)))),"Yes","No"),"Page not found"))</f>
        <v/>
      </c>
      <c r="L34" s="25" t="inlineStr">
        <is>
          <t>policyadvisor, wealthnorth, hellosafe</t>
        </is>
      </c>
      <c r="M34" s="25" t="inlineStr">
        <is>
          <t>Planned: /life-insurance/best-companies/. Publish the methodology first.</t>
        </is>
      </c>
      <c r="N34" s="40" t="n"/>
      <c r="O34" s="38" t="n"/>
      <c r="P34" s="38" t="n"/>
    </row>
    <row r="35" ht="23.85" customHeight="1" s="22">
      <c r="A35" s="36" t="inlineStr">
        <is>
          <t>car insurance calculator</t>
        </is>
      </c>
      <c r="B35" s="36" t="inlineStr">
        <is>
          <t>Car insurance</t>
        </is>
      </c>
      <c r="C35" s="36" t="inlineStr">
        <is>
          <t>Car Insurance</t>
        </is>
      </c>
      <c r="D35" s="37" t="n">
        <v>2400</v>
      </c>
      <c r="E35" s="36" t="n">
        <v>55</v>
      </c>
      <c r="F35" s="36" t="inlineStr">
        <is>
          <t>transactional</t>
        </is>
      </c>
      <c r="G35" s="36" t="inlineStr">
        <is>
          <t>auto-tools</t>
        </is>
      </c>
      <c r="H35" s="36" t="n">
        <v>2</v>
      </c>
      <c r="I35" s="36" t="inlineStr">
        <is>
          <t>https://instasure.ca/quote/car-insurance/</t>
        </is>
      </c>
      <c r="J35" s="36">
        <f>IF(I35="","No","Yes")</f>
        <v/>
      </c>
      <c r="K35" s="39">
        <f>IF(I35="","",IFERROR(IF(ISNUMBER(SEARCH(A35,INDEX(Pages!$J$2:$J$829,MATCH(I35,Pages!$B$2:$B$829,0)))),"Yes","No"),"Page not found"))</f>
        <v/>
      </c>
      <c r="L35" s="25" t="inlineStr">
        <is>
          <t>rates.ca (ON, AB), lowestrates (ON)</t>
        </is>
      </c>
      <c r="M35" s="25" t="inlineStr">
        <is>
          <t>Instant estimate covers the intent. Planned: /calculators/car-insurance-cost/ with province selector.</t>
        </is>
      </c>
      <c r="N35" s="40" t="n"/>
      <c r="O35" s="38" t="n"/>
      <c r="P35" s="38" t="n"/>
    </row>
    <row r="36" ht="15" customHeight="1" s="22">
      <c r="A36" s="36" t="inlineStr">
        <is>
          <t>general liability insurance</t>
        </is>
      </c>
      <c r="B36" s="36" t="inlineStr">
        <is>
          <t>Business insurance</t>
        </is>
      </c>
      <c r="C36" s="36" t="inlineStr">
        <is>
          <t>Business Insurance</t>
        </is>
      </c>
      <c r="D36" s="37" t="n">
        <v>2400</v>
      </c>
      <c r="E36" s="36" t="n">
        <v>55</v>
      </c>
      <c r="F36" s="36" t="inlineStr">
        <is>
          <t>commercial</t>
        </is>
      </c>
      <c r="G36" s="36" t="inlineStr">
        <is>
          <t>business</t>
        </is>
      </c>
      <c r="H36" s="36" t="n">
        <v>2</v>
      </c>
      <c r="I36" s="36" t="inlineStr">
        <is>
          <t>https://instasure.ca/business-insurance/</t>
        </is>
      </c>
      <c r="J36" s="36">
        <f>IF(I36="","No","Yes")</f>
        <v/>
      </c>
      <c r="K36" s="39">
        <f>IF(I36="","",IFERROR(IF(ISNUMBER(SEARCH(A36,INDEX(Pages!$J$2:$J$829,MATCH(I36,Pages!$B$2:$B$829,0)))),"Yes","No"),"Page not found"))</f>
        <v/>
      </c>
      <c r="L36" s="25" t="inlineStr">
        <is>
          <t>ratehub (CGL), rates.ca</t>
        </is>
      </c>
      <c r="M36" s="25" t="n"/>
      <c r="N36" s="40" t="n"/>
      <c r="O36" s="38" t="n"/>
      <c r="P36" s="38" t="n"/>
    </row>
    <row r="37" ht="15" customHeight="1" s="22">
      <c r="A37" s="36" t="inlineStr">
        <is>
          <t>health and dental insurance</t>
        </is>
      </c>
      <c r="B37" s="36" t="inlineStr">
        <is>
          <t>Health &amp; dental insurance</t>
        </is>
      </c>
      <c r="C37" s="36" t="inlineStr">
        <is>
          <t>Health &amp; Dental Insurance</t>
        </is>
      </c>
      <c r="D37" s="37" t="n">
        <v>2400</v>
      </c>
      <c r="E37" s="36" t="n">
        <v>55</v>
      </c>
      <c r="F37" s="36" t="inlineStr">
        <is>
          <t>commercial</t>
        </is>
      </c>
      <c r="G37" s="36" t="inlineStr">
        <is>
          <t>health-dental</t>
        </is>
      </c>
      <c r="H37" s="36" t="n">
        <v>1</v>
      </c>
      <c r="I37" s="36" t="inlineStr">
        <is>
          <t>https://instasure.ca/health-dental-insurance/</t>
        </is>
      </c>
      <c r="J37" s="36">
        <f>IF(I37="","No","Yes")</f>
        <v/>
      </c>
      <c r="K37" s="39">
        <f>IF(I37="","",IFERROR(IF(ISNUMBER(SEARCH(A37,INDEX(Pages!$J$2:$J$829,MATCH(I37,Pages!$B$2:$B$829,0)))),"Yes","No"),"Page not found"))</f>
        <v/>
      </c>
      <c r="L37" s="25" t="inlineStr">
        <is>
          <t>policyadvisor, sun life, blue cross</t>
        </is>
      </c>
      <c r="M37" s="25" t="n"/>
      <c r="N37" s="40" t="n"/>
      <c r="O37" s="38" t="n"/>
      <c r="P37" s="38" t="n"/>
    </row>
    <row r="38" ht="15" customHeight="1" s="22">
      <c r="A38" s="36" t="inlineStr">
        <is>
          <t>landlord insurance</t>
        </is>
      </c>
      <c r="B38" s="36" t="inlineStr">
        <is>
          <t>Landlord &amp; rental property</t>
        </is>
      </c>
      <c r="C38" s="36" t="inlineStr">
        <is>
          <t>Home Insurance</t>
        </is>
      </c>
      <c r="D38" s="37" t="n">
        <v>2400</v>
      </c>
      <c r="E38" s="36" t="n">
        <v>50</v>
      </c>
      <c r="F38" s="36" t="inlineStr">
        <is>
          <t>commercial</t>
        </is>
      </c>
      <c r="G38" s="36" t="inlineStr">
        <is>
          <t>property-niche</t>
        </is>
      </c>
      <c r="H38" s="36" t="n">
        <v>2</v>
      </c>
      <c r="I38" s="36" t="inlineStr">
        <is>
          <t>https://instasure.ca/landlord-insurance/</t>
        </is>
      </c>
      <c r="J38" s="36">
        <f>IF(I38="","No","Yes")</f>
        <v/>
      </c>
      <c r="K38" s="39">
        <f>IF(I38="","",IFERROR(IF(ISNUMBER(SEARCH(A38,INDEX(Pages!$J$2:$J$829,MATCH(I38,Pages!$B$2:$B$829,0)))),"Yes","No"),"Page not found"))</f>
        <v/>
      </c>
      <c r="L38" s="25" t="inlineStr">
        <is>
          <t>ratehub, rates.ca</t>
        </is>
      </c>
      <c r="M38" s="25" t="inlineStr">
        <is>
          <t>Built (service page).</t>
        </is>
      </c>
      <c r="N38" s="40" t="n"/>
      <c r="O38" s="38" t="n"/>
      <c r="P38" s="38" t="n"/>
    </row>
    <row r="39" ht="15" customHeight="1" s="22">
      <c r="A39" s="36" t="inlineStr">
        <is>
          <t>life insurance calculator</t>
        </is>
      </c>
      <c r="B39" s="36" t="inlineStr">
        <is>
          <t>Life insurance</t>
        </is>
      </c>
      <c r="C39" s="36" t="inlineStr">
        <is>
          <t>Life Insurance</t>
        </is>
      </c>
      <c r="D39" s="37" t="n">
        <v>2400</v>
      </c>
      <c r="E39" s="36" t="n">
        <v>60</v>
      </c>
      <c r="F39" s="36" t="inlineStr">
        <is>
          <t>transactional</t>
        </is>
      </c>
      <c r="G39" s="36" t="inlineStr">
        <is>
          <t>life-tools</t>
        </is>
      </c>
      <c r="H39" s="36" t="n">
        <v>1</v>
      </c>
      <c r="I39" s="36" t="inlineStr">
        <is>
          <t>https://instasure.ca/calculators/life-insurance-needs/</t>
        </is>
      </c>
      <c r="J39" s="36">
        <f>IF(I39="","No","Yes")</f>
        <v/>
      </c>
      <c r="K39" s="39">
        <f>IF(I39="","",IFERROR(IF(ISNUMBER(SEARCH(A39,INDEX(Pages!$J$2:$J$829,MATCH(I39,Pages!$B$2:$B$829,0)))),"Yes","No"),"Page not found"))</f>
        <v/>
      </c>
      <c r="L39" s="25" t="inlineStr">
        <is>
          <t>sun life, policyadvisor (standalone), policyme, hardbacon</t>
        </is>
      </c>
      <c r="M39" s="25" t="n"/>
      <c r="N39" s="40" t="n"/>
      <c r="O39" s="38" t="n"/>
      <c r="P39" s="38" t="n"/>
    </row>
    <row r="40" ht="15" customHeight="1" s="22">
      <c r="A40" s="36" t="inlineStr">
        <is>
          <t>mortgage life insurance</t>
        </is>
      </c>
      <c r="B40" s="36" t="inlineStr">
        <is>
          <t>Mortgage protection</t>
        </is>
      </c>
      <c r="C40" s="36" t="inlineStr">
        <is>
          <t>Mortgage Life Insurance</t>
        </is>
      </c>
      <c r="D40" s="37" t="n">
        <v>2400</v>
      </c>
      <c r="E40" s="36" t="n">
        <v>55</v>
      </c>
      <c r="F40" s="36" t="inlineStr">
        <is>
          <t>commercial</t>
        </is>
      </c>
      <c r="G40" s="36" t="inlineStr">
        <is>
          <t>life-mortgage</t>
        </is>
      </c>
      <c r="H40" s="36" t="n">
        <v>1</v>
      </c>
      <c r="I40" s="36" t="inlineStr">
        <is>
          <t>https://instasure.ca/mortgage-life-insurance/</t>
        </is>
      </c>
      <c r="J40" s="36">
        <f>IF(I40="","No","Yes")</f>
        <v/>
      </c>
      <c r="K40" s="39">
        <f>IF(I40="","",IFERROR(IF(ISNUMBER(SEARCH(A40,INDEX(Pages!$J$2:$J$829,MATCH(I40,Pages!$B$2:$B$829,0)))),"Yes","No"),"Page not found"))</f>
        <v/>
      </c>
      <c r="L40" s="25" t="inlineStr">
        <is>
          <t>policyadvisor (9 pages), ratehub, policyme, banks</t>
        </is>
      </c>
      <c r="M40" s="25" t="inlineStr">
        <is>
          <t>About 1.15M mortgage renewals in 2026 (CMHC via MPA, verify).</t>
        </is>
      </c>
      <c r="N40" s="40" t="n"/>
      <c r="O40" s="38" t="n"/>
      <c r="P40" s="38" t="n"/>
    </row>
    <row r="41" ht="15" customHeight="1" s="22">
      <c r="A41" s="36" t="inlineStr">
        <is>
          <t>most stolen cars canada</t>
        </is>
      </c>
      <c r="B41" s="36" t="inlineStr">
        <is>
          <t>Car insurance</t>
        </is>
      </c>
      <c r="C41" s="36" t="inlineStr">
        <is>
          <t>Car Insurance</t>
        </is>
      </c>
      <c r="D41" s="37" t="n">
        <v>2400</v>
      </c>
      <c r="E41" s="36" t="n">
        <v>40</v>
      </c>
      <c r="F41" s="36" t="inlineStr">
        <is>
          <t>informational</t>
        </is>
      </c>
      <c r="G41" s="36" t="inlineStr">
        <is>
          <t>auto-data</t>
        </is>
      </c>
      <c r="H41" s="36" t="n">
        <v>2</v>
      </c>
      <c r="I41" s="36" t="n"/>
      <c r="J41" s="36">
        <f>IF(I41="","No","Yes")</f>
        <v/>
      </c>
      <c r="K41" s="39">
        <f>IF(I41="","",IFERROR(IF(ISNUMBER(SEARCH(A41,INDEX(Pages!$J$2:$J$829,MATCH(I41,Pages!$B$2:$B$829,0)))),"Yes","No"),"Page not found"))</f>
        <v/>
      </c>
      <c r="L41" s="25" t="inlineStr">
        <is>
          <t>sonnet, equite association, insurancehotline</t>
        </is>
      </c>
      <c r="M41" s="25" t="inlineStr">
        <is>
          <t>Planned: /guides/most-stolen-cars-canada/ refreshed with each Équité report.</t>
        </is>
      </c>
      <c r="N41" s="40" t="n"/>
      <c r="O41" s="38" t="n"/>
      <c r="P41" s="38" t="n"/>
    </row>
    <row r="42" ht="23.85" customHeight="1" s="22">
      <c r="A42" s="36" t="inlineStr">
        <is>
          <t>best car insurance companies canada</t>
        </is>
      </c>
      <c r="B42" s="36" t="inlineStr">
        <is>
          <t>Car insurance</t>
        </is>
      </c>
      <c r="C42" s="36" t="inlineStr">
        <is>
          <t>Car Insurance</t>
        </is>
      </c>
      <c r="D42" s="37" t="n">
        <v>1900</v>
      </c>
      <c r="E42" s="36" t="n">
        <v>60</v>
      </c>
      <c r="F42" s="36" t="inlineStr">
        <is>
          <t>commercial</t>
        </is>
      </c>
      <c r="G42" s="36" t="inlineStr">
        <is>
          <t>auto-reviews</t>
        </is>
      </c>
      <c r="H42" s="36" t="n">
        <v>3</v>
      </c>
      <c r="I42" s="36" t="n"/>
      <c r="J42" s="36">
        <f>IF(I42="","No","Yes")</f>
        <v/>
      </c>
      <c r="K42" s="39">
        <f>IF(I42="","",IFERROR(IF(ISNUMBER(SEARCH(A42,INDEX(Pages!$J$2:$J$829,MATCH(I42,Pages!$B$2:$B$829,0)))),"Yes","No"),"Page not found"))</f>
        <v/>
      </c>
      <c r="L42" s="25" t="inlineStr">
        <is>
          <t>ratehub blog, mychoice, moneygeek</t>
        </is>
      </c>
      <c r="M42" s="25" t="inlineStr">
        <is>
          <t>Planned: /car-insurance/best-companies/. Needs a published ranking methodology first (Competition Act, RIBO).</t>
        </is>
      </c>
      <c r="N42" s="40" t="n"/>
      <c r="O42" s="38" t="n"/>
      <c r="P42" s="38" t="n"/>
    </row>
    <row r="43" ht="23.85" customHeight="1" s="22">
      <c r="A43" s="36" t="inlineStr">
        <is>
          <t>car insurance for new drivers</t>
        </is>
      </c>
      <c r="B43" s="36" t="inlineStr">
        <is>
          <t>Car insurance</t>
        </is>
      </c>
      <c r="C43" s="36" t="inlineStr">
        <is>
          <t>Car Insurance</t>
        </is>
      </c>
      <c r="D43" s="37" t="n">
        <v>1900</v>
      </c>
      <c r="E43" s="36" t="n">
        <v>50</v>
      </c>
      <c r="F43" s="36" t="inlineStr">
        <is>
          <t>commercial</t>
        </is>
      </c>
      <c r="G43" s="36" t="inlineStr">
        <is>
          <t>auto-persona</t>
        </is>
      </c>
      <c r="H43" s="36" t="n">
        <v>2</v>
      </c>
      <c r="I43" s="36" t="inlineStr">
        <is>
          <t>https://instasure.ca/car-insurance/new-drivers/</t>
        </is>
      </c>
      <c r="J43" s="36">
        <f>IF(I43="","No","Yes")</f>
        <v/>
      </c>
      <c r="K43" s="39">
        <f>IF(I43="","",IFERROR(IF(ISNUMBER(SEARCH(A43,INDEX(Pages!$J$2:$J$829,MATCH(I43,Pages!$B$2:$B$829,0)))),"Yes","No"),"Page not found"))</f>
        <v/>
      </c>
      <c r="L43" s="25" t="inlineStr">
        <is>
          <t>rates.ca guide, ratehub blog</t>
        </is>
      </c>
      <c r="M43" s="25" t="inlineStr">
        <is>
          <t>Built: service page with a new-driver example estimate. Next: per-province sections (G1/G2/G, Class 7, L/N).</t>
        </is>
      </c>
      <c r="N43" s="40" t="n"/>
      <c r="O43" s="38" t="n"/>
      <c r="P43" s="38" t="n"/>
    </row>
    <row r="44" ht="23.85" customHeight="1" s="22">
      <c r="A44" s="36" t="inlineStr">
        <is>
          <t>funeral insurance</t>
        </is>
      </c>
      <c r="B44" s="36" t="inlineStr">
        <is>
          <t>Life insurance</t>
        </is>
      </c>
      <c r="C44" s="36" t="inlineStr">
        <is>
          <t>Life Insurance</t>
        </is>
      </c>
      <c r="D44" s="37" t="n">
        <v>1900</v>
      </c>
      <c r="E44" s="36" t="n">
        <v>35</v>
      </c>
      <c r="F44" s="36" t="inlineStr">
        <is>
          <t>commercial</t>
        </is>
      </c>
      <c r="G44" s="36" t="inlineStr">
        <is>
          <t>life-audience</t>
        </is>
      </c>
      <c r="H44" s="36" t="n">
        <v>1</v>
      </c>
      <c r="I44" s="36" t="inlineStr">
        <is>
          <t>https://instasure.ca/life-insurance/funeral-expense/</t>
        </is>
      </c>
      <c r="J44" s="36">
        <f>IF(I44="","No","Yes")</f>
        <v/>
      </c>
      <c r="K44" s="39">
        <f>IF(I44="","",IFERROR(IF(ISNUMBER(SEARCH(A44,INDEX(Pages!$J$2:$J$829,MATCH(I44,Pages!$B$2:$B$829,0)))),"Yes","No"),"Page not found"))</f>
        <v/>
      </c>
      <c r="L44" s="25" t="inlineStr">
        <is>
          <t>policyadvisor (final expense), sun life (funeral page), carrier direct plans</t>
        </is>
      </c>
      <c r="M44" s="25" t="inlineStr">
        <is>
          <t>Funeral expense desk. H1 "from $1 a day" is backed by a labelled example estimate (50-year-old female non-smoker, $10,000) and hides itself if the model rises above $1 a day.</t>
        </is>
      </c>
      <c r="N44" s="40" t="n"/>
      <c r="O44" s="38" t="n"/>
      <c r="P44" s="38" t="n"/>
    </row>
    <row r="45" ht="15" customHeight="1" s="22">
      <c r="A45" s="36" t="inlineStr">
        <is>
          <t>how much life insurance do i need</t>
        </is>
      </c>
      <c r="B45" s="36" t="inlineStr">
        <is>
          <t>Life insurance</t>
        </is>
      </c>
      <c r="C45" s="36" t="inlineStr">
        <is>
          <t>Life Insurance</t>
        </is>
      </c>
      <c r="D45" s="37" t="n">
        <v>1900</v>
      </c>
      <c r="E45" s="36" t="n">
        <v>55</v>
      </c>
      <c r="F45" s="36" t="inlineStr">
        <is>
          <t>informational</t>
        </is>
      </c>
      <c r="G45" s="36" t="inlineStr">
        <is>
          <t>life-tools</t>
        </is>
      </c>
      <c r="H45" s="36" t="n">
        <v>1</v>
      </c>
      <c r="I45" s="36" t="inlineStr">
        <is>
          <t>https://instasure.ca/calculators/life-insurance-needs/</t>
        </is>
      </c>
      <c r="J45" s="36">
        <f>IF(I45="","No","Yes")</f>
        <v/>
      </c>
      <c r="K45" s="39">
        <f>IF(I45="","",IFERROR(IF(ISNUMBER(SEARCH(A45,INDEX(Pages!$J$2:$J$829,MATCH(I45,Pages!$B$2:$B$829,0)))),"Yes","No"),"Page not found"))</f>
        <v/>
      </c>
      <c r="L45" s="25" t="inlineStr">
        <is>
          <t>policyme, ratehub, policyadvisor</t>
        </is>
      </c>
      <c r="M45" s="25" t="inlineStr">
        <is>
          <t>Guide twin: /guides/how-much-life-insurance-do-i-need-canada/.</t>
        </is>
      </c>
      <c r="N45" s="40" t="n"/>
      <c r="O45" s="38" t="n"/>
      <c r="P45" s="38" t="n"/>
    </row>
    <row r="46" ht="15" customHeight="1" s="22">
      <c r="A46" s="36" t="inlineStr">
        <is>
          <t>rv insurance</t>
        </is>
      </c>
      <c r="B46" s="36" t="inlineStr">
        <is>
          <t>Recreational vehicles</t>
        </is>
      </c>
      <c r="C46" s="36" t="inlineStr">
        <is>
          <t>Car Insurance</t>
        </is>
      </c>
      <c r="D46" s="37" t="n">
        <v>1900</v>
      </c>
      <c r="E46" s="36" t="n">
        <v>45</v>
      </c>
      <c r="F46" s="36" t="inlineStr">
        <is>
          <t>commercial</t>
        </is>
      </c>
      <c r="G46" s="36" t="inlineStr">
        <is>
          <t>auto-recreational</t>
        </is>
      </c>
      <c r="H46" s="36" t="n">
        <v>4</v>
      </c>
      <c r="I46" s="36" t="inlineStr">
        <is>
          <t>https://instasure.ca/rv-insurance/</t>
        </is>
      </c>
      <c r="J46" s="36">
        <f>IF(I46="","No","Yes")</f>
        <v/>
      </c>
      <c r="K46" s="39">
        <f>IF(I46="","",IFERROR(IF(ISNUMBER(SEARCH(A46,INDEX(Pages!$J$2:$J$829,MATCH(I46,Pages!$B$2:$B$829,0)))),"Yes","No"),"Page not found"))</f>
        <v/>
      </c>
      <c r="L46" s="25" t="inlineStr">
        <is>
          <t>ratehub (rv, trailer)</t>
        </is>
      </c>
      <c r="M46" s="25" t="n"/>
      <c r="N46" s="40" t="n"/>
      <c r="O46" s="38" t="n"/>
      <c r="P46" s="38" t="n"/>
    </row>
    <row r="47" ht="15" customHeight="1" s="22">
      <c r="A47" s="36" t="inlineStr">
        <is>
          <t>term vs whole life insurance</t>
        </is>
      </c>
      <c r="B47" s="36" t="inlineStr">
        <is>
          <t>Life insurance</t>
        </is>
      </c>
      <c r="C47" s="36" t="inlineStr">
        <is>
          <t>Term Life Insurance</t>
        </is>
      </c>
      <c r="D47" s="37" t="n">
        <v>1900</v>
      </c>
      <c r="E47" s="36" t="n">
        <v>50</v>
      </c>
      <c r="F47" s="36" t="inlineStr">
        <is>
          <t>informational</t>
        </is>
      </c>
      <c r="G47" s="36" t="inlineStr">
        <is>
          <t>life-compare</t>
        </is>
      </c>
      <c r="H47" s="36" t="n">
        <v>1</v>
      </c>
      <c r="I47" s="36" t="inlineStr">
        <is>
          <t>https://instasure.ca/guides/term-vs-whole-life-insurance-canada/</t>
        </is>
      </c>
      <c r="J47" s="36">
        <f>IF(I47="","No","Yes")</f>
        <v/>
      </c>
      <c r="K47" s="39">
        <f>IF(I47="","",IFERROR(IF(ISNUMBER(SEARCH(A47,INDEX(Pages!$J$2:$J$829,MATCH(I47,Pages!$B$2:$B$829,0)))),"Yes","No"),"Page not found"))</f>
        <v/>
      </c>
      <c r="L47" s="25" t="inlineStr">
        <is>
          <t>policyadvisor, sun life, ratehub</t>
        </is>
      </c>
      <c r="M47" s="25" t="n"/>
      <c r="N47" s="40" t="n"/>
      <c r="O47" s="38" t="n"/>
      <c r="P47" s="38" t="n"/>
    </row>
    <row r="48" ht="15" customHeight="1" s="22">
      <c r="A48" s="36" t="inlineStr">
        <is>
          <t>comprehensive vs collision insurance</t>
        </is>
      </c>
      <c r="B48" s="36" t="inlineStr">
        <is>
          <t>Car insurance</t>
        </is>
      </c>
      <c r="C48" s="36" t="inlineStr">
        <is>
          <t>Car Insurance</t>
        </is>
      </c>
      <c r="D48" s="37" t="n">
        <v>1600</v>
      </c>
      <c r="E48" s="36" t="n">
        <v>40</v>
      </c>
      <c r="F48" s="36" t="inlineStr">
        <is>
          <t>informational</t>
        </is>
      </c>
      <c r="G48" s="36" t="inlineStr">
        <is>
          <t>auto-coverage</t>
        </is>
      </c>
      <c r="H48" s="36" t="n">
        <v>3</v>
      </c>
      <c r="I48" s="36" t="n"/>
      <c r="J48" s="36">
        <f>IF(I48="","No","Yes")</f>
        <v/>
      </c>
      <c r="K48" s="39">
        <f>IF(I48="","",IFERROR(IF(ISNUMBER(SEARCH(A48,INDEX(Pages!$J$2:$J$829,MATCH(I48,Pages!$B$2:$B$829,0)))),"Yes","No"),"Page not found"))</f>
        <v/>
      </c>
      <c r="L48" s="25" t="inlineStr">
        <is>
          <t>rates.ca coverage pages</t>
        </is>
      </c>
      <c r="M48" s="25" t="inlineStr">
        <is>
          <t>Planned guide. The glossary covers the terms meanwhile.</t>
        </is>
      </c>
      <c r="N48" s="40" t="n"/>
      <c r="O48" s="38" t="n"/>
      <c r="P48" s="38" t="n"/>
    </row>
    <row r="49" ht="23.85" customHeight="1" s="22">
      <c r="A49" s="36" t="inlineStr">
        <is>
          <t>cost of a funeral in canada</t>
        </is>
      </c>
      <c r="B49" s="36" t="inlineStr">
        <is>
          <t>Life insurance</t>
        </is>
      </c>
      <c r="C49" s="36" t="inlineStr">
        <is>
          <t>Life Insurance</t>
        </is>
      </c>
      <c r="D49" s="37" t="n">
        <v>1600</v>
      </c>
      <c r="E49" s="36" t="n">
        <v>30</v>
      </c>
      <c r="F49" s="36" t="inlineStr">
        <is>
          <t>informational</t>
        </is>
      </c>
      <c r="G49" s="36" t="inlineStr">
        <is>
          <t>life-audience</t>
        </is>
      </c>
      <c r="H49" s="36" t="n">
        <v>2</v>
      </c>
      <c r="I49" s="36" t="n"/>
      <c r="J49" s="36">
        <f>IF(I49="","No","Yes")</f>
        <v/>
      </c>
      <c r="K49" s="39">
        <f>IF(I49="","",IFERROR(IF(ISNUMBER(SEARCH(A49,INDEX(Pages!$J$2:$J$829,MATCH(I49,Pages!$B$2:$B$829,0)))),"Yes","No"),"Page not found"))</f>
        <v/>
      </c>
      <c r="L49" s="25" t="inlineStr">
        <is>
          <t>funeral homes, media</t>
        </is>
      </c>
      <c r="M49" s="25" t="inlineStr">
        <is>
          <t>Planned guide: /guides/funeral-costs-canada-by-province/. Never invent an average; use provincial and funeral-home price lists.</t>
        </is>
      </c>
      <c r="N49" s="40" t="n"/>
      <c r="O49" s="38" t="n"/>
      <c r="P49" s="38" t="n"/>
    </row>
    <row r="50" ht="15" customHeight="1" s="22">
      <c r="A50" s="36" t="inlineStr">
        <is>
          <t>does home insurance cover water damage</t>
        </is>
      </c>
      <c r="B50" s="36" t="inlineStr">
        <is>
          <t>Home insurance</t>
        </is>
      </c>
      <c r="C50" s="36" t="inlineStr">
        <is>
          <t>Home Insurance</t>
        </is>
      </c>
      <c r="D50" s="37" t="n">
        <v>1600</v>
      </c>
      <c r="E50" s="36" t="n">
        <v>40</v>
      </c>
      <c r="F50" s="36" t="inlineStr">
        <is>
          <t>informational</t>
        </is>
      </c>
      <c r="G50" s="36" t="inlineStr">
        <is>
          <t>property-coverage</t>
        </is>
      </c>
      <c r="H50" s="36" t="n">
        <v>1</v>
      </c>
      <c r="I50" s="36" t="inlineStr">
        <is>
          <t>https://instasure.ca/guides/does-home-insurance-cover-water-damage-canada/</t>
        </is>
      </c>
      <c r="J50" s="36">
        <f>IF(I50="","No","Yes")</f>
        <v/>
      </c>
      <c r="K50" s="39">
        <f>IF(I50="","",IFERROR(IF(ISNUMBER(SEARCH(A50,INDEX(Pages!$J$2:$J$829,MATCH(I50,Pages!$B$2:$B$829,0)))),"Yes","No"),"Page not found"))</f>
        <v/>
      </c>
      <c r="L50" s="25" t="inlineStr">
        <is>
          <t>ratehub, CAA, RBC, westland</t>
        </is>
      </c>
      <c r="M50" s="25" t="inlineStr">
        <is>
          <t>Peaks after storms. A strong AI-citation format.</t>
        </is>
      </c>
      <c r="N50" s="40" t="n"/>
      <c r="O50" s="38" t="n"/>
      <c r="P50" s="38" t="n"/>
    </row>
    <row r="51" ht="23.85" customHeight="1" s="22">
      <c r="A51" s="36" t="inlineStr">
        <is>
          <t>high risk car insurance</t>
        </is>
      </c>
      <c r="B51" s="36" t="inlineStr">
        <is>
          <t>Car insurance</t>
        </is>
      </c>
      <c r="C51" s="36" t="inlineStr">
        <is>
          <t>Car Insurance</t>
        </is>
      </c>
      <c r="D51" s="37" t="n">
        <v>1600</v>
      </c>
      <c r="E51" s="36" t="n">
        <v>45</v>
      </c>
      <c r="F51" s="36" t="inlineStr">
        <is>
          <t>commercial</t>
        </is>
      </c>
      <c r="G51" s="36" t="inlineStr">
        <is>
          <t>auto-persona</t>
        </is>
      </c>
      <c r="H51" s="36" t="n">
        <v>1</v>
      </c>
      <c r="I51" s="36" t="inlineStr">
        <is>
          <t>https://instasure.ca/car-insurance/high-risk-drivers/</t>
        </is>
      </c>
      <c r="J51" s="36">
        <f>IF(I51="","No","Yes")</f>
        <v/>
      </c>
      <c r="K51" s="39">
        <f>IF(I51="","",IFERROR(IF(ISNUMBER(SEARCH(A51,INDEX(Pages!$J$2:$J$829,MATCH(I51,Pages!$B$2:$B$829,0)))),"Yes","No"),"Page not found"))</f>
        <v/>
      </c>
      <c r="L51" s="25" t="inlineStr">
        <is>
          <t>ratehub, rates.ca guide, facility association</t>
        </is>
      </c>
      <c r="M51" s="25" t="inlineStr">
        <is>
          <t>Built with the High-risk auto desk (niche gap: competitors run one generic page). Next: sub-guides after an accident, tickets, lapsed or cancelled.</t>
        </is>
      </c>
      <c r="N51" s="40" t="n"/>
      <c r="O51" s="38" t="n"/>
      <c r="P51" s="38" t="n"/>
    </row>
    <row r="52" ht="15" customHeight="1" s="22">
      <c r="A52" s="36" t="inlineStr">
        <is>
          <t>how much does life insurance cost</t>
        </is>
      </c>
      <c r="B52" s="36" t="inlineStr">
        <is>
          <t>Life insurance</t>
        </is>
      </c>
      <c r="C52" s="36" t="inlineStr">
        <is>
          <t>Life Insurance</t>
        </is>
      </c>
      <c r="D52" s="37" t="n">
        <v>1600</v>
      </c>
      <c r="E52" s="36" t="n">
        <v>55</v>
      </c>
      <c r="F52" s="36" t="inlineStr">
        <is>
          <t>informational</t>
        </is>
      </c>
      <c r="G52" s="36" t="inlineStr">
        <is>
          <t>life-cost</t>
        </is>
      </c>
      <c r="H52" s="36" t="n">
        <v>1</v>
      </c>
      <c r="I52" s="36" t="inlineStr">
        <is>
          <t>https://instasure.ca/guides/how-much-does-life-insurance-cost-canada/</t>
        </is>
      </c>
      <c r="J52" s="36">
        <f>IF(I52="","No","Yes")</f>
        <v/>
      </c>
      <c r="K52" s="39">
        <f>IF(I52="","",IFERROR(IF(ISNUMBER(SEARCH(A52,INDEX(Pages!$J$2:$J$829,MATCH(I52,Pages!$B$2:$B$829,0)))),"Yes","No"),"Page not found"))</f>
        <v/>
      </c>
      <c r="L52" s="25" t="inlineStr">
        <is>
          <t>policyadvisor, policyme, sun life (rates pages)</t>
        </is>
      </c>
      <c r="M52" s="25" t="n"/>
      <c r="N52" s="40" t="n"/>
      <c r="O52" s="38" t="n"/>
      <c r="P52" s="38" t="n"/>
    </row>
    <row r="53" ht="23.85" customHeight="1" s="22">
      <c r="A53" s="36" t="inlineStr">
        <is>
          <t>life insurance for seniors</t>
        </is>
      </c>
      <c r="B53" s="36" t="inlineStr">
        <is>
          <t>Life insurance</t>
        </is>
      </c>
      <c r="C53" s="36" t="inlineStr">
        <is>
          <t>Life Insurance</t>
        </is>
      </c>
      <c r="D53" s="37" t="n">
        <v>1600</v>
      </c>
      <c r="E53" s="36" t="n">
        <v>50</v>
      </c>
      <c r="F53" s="36" t="inlineStr">
        <is>
          <t>commercial</t>
        </is>
      </c>
      <c r="G53" s="36" t="inlineStr">
        <is>
          <t>life-audience</t>
        </is>
      </c>
      <c r="H53" s="36" t="n">
        <v>2</v>
      </c>
      <c r="I53" s="36" t="inlineStr">
        <is>
          <t>https://instasure.ca/life-insurance/seniors/</t>
        </is>
      </c>
      <c r="J53" s="36">
        <f>IF(I53="","No","Yes")</f>
        <v/>
      </c>
      <c r="K53" s="39">
        <f>IF(I53="","",IFERROR(IF(ISNUMBER(SEARCH(A53,INDEX(Pages!$J$2:$J$829,MATCH(I53,Pages!$B$2:$B$829,0)))),"Yes","No"),"Page not found"))</f>
        <v/>
      </c>
      <c r="L53" s="25" t="inlineStr">
        <is>
          <t>policyadvisor, sun life</t>
        </is>
      </c>
      <c r="M53" s="25" t="inlineStr">
        <is>
          <t>Built with a seniors example estimate (no-medical, guaranteed issue and final expense covered on the page).</t>
        </is>
      </c>
      <c r="N53" s="40" t="n"/>
      <c r="O53" s="38" t="n"/>
      <c r="P53" s="38" t="n"/>
    </row>
    <row r="54" ht="15" customHeight="1" s="22">
      <c r="A54" s="36" t="inlineStr">
        <is>
          <t>professional liability insurance</t>
        </is>
      </c>
      <c r="B54" s="36" t="inlineStr">
        <is>
          <t>Professional liability (E&amp;O)</t>
        </is>
      </c>
      <c r="C54" s="36" t="inlineStr">
        <is>
          <t>Professional Liability (E&amp;O) Insurance</t>
        </is>
      </c>
      <c r="D54" s="37" t="n">
        <v>1600</v>
      </c>
      <c r="E54" s="36" t="n">
        <v>50</v>
      </c>
      <c r="F54" s="36" t="inlineStr">
        <is>
          <t>commercial</t>
        </is>
      </c>
      <c r="G54" s="36" t="inlineStr">
        <is>
          <t>business</t>
        </is>
      </c>
      <c r="H54" s="36" t="n">
        <v>1</v>
      </c>
      <c r="I54" s="36" t="inlineStr">
        <is>
          <t>https://instasure.ca/professional-liability-insurance/</t>
        </is>
      </c>
      <c r="J54" s="36">
        <f>IF(I54="","No","Yes")</f>
        <v/>
      </c>
      <c r="K54" s="39">
        <f>IF(I54="","",IFERROR(IF(ISNUMBER(SEARCH(A54,INDEX(Pages!$J$2:$J$829,MATCH(I54,Pages!$B$2:$B$829,0)))),"Yes","No"),"Page not found"))</f>
        <v/>
      </c>
      <c r="L54" s="25" t="inlineStr">
        <is>
          <t>ratehub, rates.ca</t>
        </is>
      </c>
      <c r="M54" s="25" t="n"/>
      <c r="N54" s="40" t="n"/>
      <c r="O54" s="38" t="n"/>
      <c r="P54" s="38" t="n"/>
    </row>
    <row r="55" ht="15" customHeight="1" s="22">
      <c r="A55" s="36" t="inlineStr">
        <is>
          <t>super visa insurance cost</t>
        </is>
      </c>
      <c r="B55" s="36" t="inlineStr">
        <is>
          <t>Super Visa &amp; visitors insurance</t>
        </is>
      </c>
      <c r="C55" s="36" t="inlineStr">
        <is>
          <t>Super Visa Insurance</t>
        </is>
      </c>
      <c r="D55" s="37" t="n">
        <v>1600</v>
      </c>
      <c r="E55" s="36" t="n">
        <v>40</v>
      </c>
      <c r="F55" s="36" t="inlineStr">
        <is>
          <t>commercial</t>
        </is>
      </c>
      <c r="G55" s="36" t="inlineStr">
        <is>
          <t>travel-visitors</t>
        </is>
      </c>
      <c r="H55" s="36" t="n">
        <v>1</v>
      </c>
      <c r="I55" s="36" t="inlineStr">
        <is>
          <t>https://instasure.ca/guides/super-visa-insurance-requirements-cost/</t>
        </is>
      </c>
      <c r="J55" s="36">
        <f>IF(I55="","No","Yes")</f>
        <v/>
      </c>
      <c r="K55" s="39">
        <f>IF(I55="","",IFERROR(IF(ISNUMBER(SEARCH(A55,INDEX(Pages!$J$2:$J$829,MATCH(I55,Pages!$B$2:$B$829,0)))),"Yes","No"),"Page not found"))</f>
        <v/>
      </c>
      <c r="L55" s="25" t="inlineStr">
        <is>
          <t>policyadvisor, hellosafe, bestquote</t>
        </is>
      </c>
      <c r="M55" s="25" t="n"/>
      <c r="N55" s="40" t="n"/>
      <c r="O55" s="38" t="n"/>
      <c r="P55" s="38" t="n"/>
    </row>
    <row r="56" ht="15" customHeight="1" s="22">
      <c r="A56" s="36" t="inlineStr">
        <is>
          <t>why is my car insurance going up</t>
        </is>
      </c>
      <c r="B56" s="36" t="inlineStr">
        <is>
          <t>Car insurance</t>
        </is>
      </c>
      <c r="C56" s="36" t="inlineStr">
        <is>
          <t>Car Insurance</t>
        </is>
      </c>
      <c r="D56" s="37" t="n">
        <v>1600</v>
      </c>
      <c r="E56" s="36" t="n">
        <v>35</v>
      </c>
      <c r="F56" s="36" t="inlineStr">
        <is>
          <t>informational</t>
        </is>
      </c>
      <c r="G56" s="36" t="inlineStr">
        <is>
          <t>auto-regulation</t>
        </is>
      </c>
      <c r="H56" s="36" t="n">
        <v>1</v>
      </c>
      <c r="I56" s="36" t="inlineStr">
        <is>
          <t>https://instasure.ca/guides/why-is-my-car-insurance-going-up-2026/</t>
        </is>
      </c>
      <c r="J56" s="36">
        <f>IF(I56="","No","Yes")</f>
        <v/>
      </c>
      <c r="K56" s="39">
        <f>IF(I56="","",IFERROR(IF(ISNUMBER(SEARCH(A56,INDEX(Pages!$J$2:$J$829,MATCH(I56,Pages!$B$2:$B$829,0)))),"Yes","No"),"Page not found"))</f>
        <v/>
      </c>
      <c r="L56" s="25" t="inlineStr">
        <is>
          <t>onlia, rates.ca</t>
        </is>
      </c>
      <c r="M56" s="25" t="inlineStr">
        <is>
          <t>Renewal-notice searches. Refresh each quarter with the Applied Rating Index.</t>
        </is>
      </c>
      <c r="N56" s="40" t="n"/>
      <c r="O56" s="38" t="n"/>
      <c r="P56" s="38" t="n"/>
    </row>
    <row r="57" ht="15" customHeight="1" s="22">
      <c r="A57" s="36" t="inlineStr">
        <is>
          <t>average home insurance cost canada</t>
        </is>
      </c>
      <c r="B57" s="36" t="inlineStr">
        <is>
          <t>Home insurance</t>
        </is>
      </c>
      <c r="C57" s="36" t="inlineStr">
        <is>
          <t>Home Insurance</t>
        </is>
      </c>
      <c r="D57" s="37" t="n">
        <v>1300</v>
      </c>
      <c r="E57" s="36" t="n">
        <v>50</v>
      </c>
      <c r="F57" s="36" t="inlineStr">
        <is>
          <t>informational</t>
        </is>
      </c>
      <c r="G57" s="36" t="inlineStr">
        <is>
          <t>property-cost</t>
        </is>
      </c>
      <c r="H57" s="36" t="n">
        <v>1</v>
      </c>
      <c r="I57" s="36" t="inlineStr">
        <is>
          <t>https://instasure.ca/insights/rate-index/</t>
        </is>
      </c>
      <c r="J57" s="36">
        <f>IF(I57="","No","Yes")</f>
        <v/>
      </c>
      <c r="K57" s="39">
        <f>IF(I57="","",IFERROR(IF(ISNUMBER(SEARCH(A57,INDEX(Pages!$J$2:$J$829,MATCH(I57,Pages!$B$2:$B$829,0)))),"Yes","No"),"Page not found"))</f>
        <v/>
      </c>
      <c r="L57" s="25" t="inlineStr">
        <is>
          <t>ratehub, rates.ca</t>
        </is>
      </c>
      <c r="M57" s="25" t="n"/>
      <c r="N57" s="40" t="n"/>
      <c r="O57" s="38" t="n"/>
      <c r="P57" s="38" t="n"/>
    </row>
    <row r="58" ht="15" customHeight="1" s="22">
      <c r="A58" s="36" t="inlineStr">
        <is>
          <t>car insurance after accident</t>
        </is>
      </c>
      <c r="B58" s="36" t="inlineStr">
        <is>
          <t>Car insurance</t>
        </is>
      </c>
      <c r="C58" s="36" t="inlineStr">
        <is>
          <t>Car Insurance</t>
        </is>
      </c>
      <c r="D58" s="37" t="n">
        <v>1300</v>
      </c>
      <c r="E58" s="36" t="n">
        <v>35</v>
      </c>
      <c r="F58" s="36" t="inlineStr">
        <is>
          <t>informational</t>
        </is>
      </c>
      <c r="G58" s="36" t="inlineStr">
        <is>
          <t>auto-persona</t>
        </is>
      </c>
      <c r="H58" s="36" t="n">
        <v>3</v>
      </c>
      <c r="I58" s="36" t="inlineStr">
        <is>
          <t>https://instasure.ca/car-insurance/high-risk-drivers/</t>
        </is>
      </c>
      <c r="J58" s="36">
        <f>IF(I58="","No","Yes")</f>
        <v/>
      </c>
      <c r="K58" s="39">
        <f>IF(I58="","",IFERROR(IF(ISNUMBER(SEARCH(A58,INDEX(Pages!$J$2:$J$829,MATCH(I58,Pages!$B$2:$B$829,0)))),"Yes","No"),"Page not found"))</f>
        <v/>
      </c>
      <c r="L58" s="25" t="inlineStr">
        <is>
          <t>rates.ca</t>
        </is>
      </c>
      <c r="M58" s="25" t="inlineStr">
        <is>
          <t>Answered on the high-risk page; a dedicated guide is still planned.</t>
        </is>
      </c>
      <c r="N58" s="40" t="n"/>
      <c r="O58" s="38" t="n"/>
      <c r="P58" s="38" t="n"/>
    </row>
    <row r="59" ht="15" customHeight="1" s="22">
      <c r="A59" s="36" t="inlineStr">
        <is>
          <t>classic car insurance</t>
        </is>
      </c>
      <c r="B59" s="36" t="inlineStr">
        <is>
          <t>Car insurance</t>
        </is>
      </c>
      <c r="C59" s="36" t="inlineStr">
        <is>
          <t>Car Insurance</t>
        </is>
      </c>
      <c r="D59" s="37" t="n">
        <v>1300</v>
      </c>
      <c r="E59" s="36" t="n">
        <v>50</v>
      </c>
      <c r="F59" s="36" t="inlineStr">
        <is>
          <t>commercial</t>
        </is>
      </c>
      <c r="G59" s="36" t="inlineStr">
        <is>
          <t>auto-persona</t>
        </is>
      </c>
      <c r="H59" s="36" t="n">
        <v>4</v>
      </c>
      <c r="I59" s="36" t="inlineStr">
        <is>
          <t>https://instasure.ca/car-insurance/classic-cars/</t>
        </is>
      </c>
      <c r="J59" s="36">
        <f>IF(I59="","No","Yes")</f>
        <v/>
      </c>
      <c r="K59" s="39">
        <f>IF(I59="","",IFERROR(IF(ISNUMBER(SEARCH(A59,INDEX(Pages!$J$2:$J$829,MATCH(I59,Pages!$B$2:$B$829,0)))),"Yes","No"),"Page not found"))</f>
        <v/>
      </c>
      <c r="L59" s="25" t="inlineStr">
        <is>
          <t>ratehub</t>
        </is>
      </c>
      <c r="M59" s="25" t="inlineStr">
        <is>
          <t>Built (advisor-quoted). Specialty market with low advisor fit.</t>
        </is>
      </c>
      <c r="N59" s="40" t="n"/>
      <c r="O59" s="38" t="n"/>
      <c r="P59" s="38" t="n"/>
    </row>
    <row r="60" ht="15" customHeight="1" s="22">
      <c r="A60" s="36" t="inlineStr">
        <is>
          <t>commercial auto insurance</t>
        </is>
      </c>
      <c r="B60" s="36" t="inlineStr">
        <is>
          <t>Business insurance</t>
        </is>
      </c>
      <c r="C60" s="36" t="inlineStr">
        <is>
          <t>Business Insurance</t>
        </is>
      </c>
      <c r="D60" s="37" t="n">
        <v>1300</v>
      </c>
      <c r="E60" s="36" t="n">
        <v>50</v>
      </c>
      <c r="F60" s="36" t="inlineStr">
        <is>
          <t>commercial</t>
        </is>
      </c>
      <c r="G60" s="36" t="inlineStr">
        <is>
          <t>business</t>
        </is>
      </c>
      <c r="H60" s="36" t="n">
        <v>2</v>
      </c>
      <c r="I60" s="36" t="inlineStr">
        <is>
          <t>https://instasure.ca/business-insurance/commercial-auto/</t>
        </is>
      </c>
      <c r="J60" s="36">
        <f>IF(I60="","No","Yes")</f>
        <v/>
      </c>
      <c r="K60" s="39">
        <f>IF(I60="","",IFERROR(IF(ISNUMBER(SEARCH(A60,INDEX(Pages!$J$2:$J$829,MATCH(I60,Pages!$B$2:$B$829,0)))),"Yes","No"),"Page not found"))</f>
        <v/>
      </c>
      <c r="L60" s="25" t="inlineStr">
        <is>
          <t>rates.ca</t>
        </is>
      </c>
      <c r="M60" s="25" t="inlineStr">
        <is>
          <t>Built with the Commercial auto &amp; trucking desk.</t>
        </is>
      </c>
      <c r="N60" s="40" t="n"/>
      <c r="O60" s="38" t="n"/>
      <c r="P60" s="38" t="n"/>
    </row>
    <row r="61" ht="15" customHeight="1" s="22">
      <c r="A61" s="36" t="inlineStr">
        <is>
          <t>contractor insurance</t>
        </is>
      </c>
      <c r="B61" s="36" t="inlineStr">
        <is>
          <t>Contractor &amp; trades insurance</t>
        </is>
      </c>
      <c r="C61" s="36" t="inlineStr">
        <is>
          <t>Contractor Insurance</t>
        </is>
      </c>
      <c r="D61" s="37" t="n">
        <v>1300</v>
      </c>
      <c r="E61" s="36" t="n">
        <v>45</v>
      </c>
      <c r="F61" s="36" t="inlineStr">
        <is>
          <t>commercial</t>
        </is>
      </c>
      <c r="G61" s="36" t="inlineStr">
        <is>
          <t>business</t>
        </is>
      </c>
      <c r="H61" s="36" t="n">
        <v>1</v>
      </c>
      <c r="I61" s="36" t="inlineStr">
        <is>
          <t>https://instasure.ca/contractor-insurance/</t>
        </is>
      </c>
      <c r="J61" s="36">
        <f>IF(I61="","No","Yes")</f>
        <v/>
      </c>
      <c r="K61" s="39">
        <f>IF(I61="","",IFERROR(IF(ISNUMBER(SEARCH(A61,INDEX(Pages!$J$2:$J$829,MATCH(I61,Pages!$B$2:$B$829,0)))),"Yes","No"),"Page not found"))</f>
        <v/>
      </c>
      <c r="L61" s="25" t="inlineStr">
        <is>
          <t>ratehub, rates.ca (15+ trades)</t>
        </is>
      </c>
      <c r="M61" s="25" t="n"/>
      <c r="N61" s="40" t="n"/>
      <c r="O61" s="38" t="n"/>
      <c r="P61" s="38" t="n"/>
    </row>
    <row r="62" ht="15" customHeight="1" s="22">
      <c r="A62" s="36" t="inlineStr">
        <is>
          <t>flood insurance canada</t>
        </is>
      </c>
      <c r="B62" s="36" t="inlineStr">
        <is>
          <t>Home insurance</t>
        </is>
      </c>
      <c r="C62" s="36" t="inlineStr">
        <is>
          <t>Home Insurance</t>
        </is>
      </c>
      <c r="D62" s="37" t="n">
        <v>1300</v>
      </c>
      <c r="E62" s="36" t="n">
        <v>45</v>
      </c>
      <c r="F62" s="36" t="inlineStr">
        <is>
          <t>informational</t>
        </is>
      </c>
      <c r="G62" s="36" t="inlineStr">
        <is>
          <t>property-coverage</t>
        </is>
      </c>
      <c r="H62" s="36" t="n">
        <v>2</v>
      </c>
      <c r="I62" s="36" t="inlineStr">
        <is>
          <t>https://instasure.ca/guides/does-home-insurance-cover-water-damage-canada/</t>
        </is>
      </c>
      <c r="J62" s="36">
        <f>IF(I62="","No","Yes")</f>
        <v/>
      </c>
      <c r="K62" s="39">
        <f>IF(I62="","",IFERROR(IF(ISNUMBER(SEARCH(A62,INDEX(Pages!$J$2:$J$829,MATCH(I62,Pages!$B$2:$B$829,0)))),"Yes","No"),"Page not found"))</f>
        <v/>
      </c>
      <c r="L62" s="25" t="inlineStr">
        <is>
          <t>money.ca, mychoice, IBC</t>
        </is>
      </c>
      <c r="M62" s="25" t="inlineStr">
        <is>
          <t>The national flood program is delayed. Planned: a tracker page.</t>
        </is>
      </c>
      <c r="N62" s="40" t="n"/>
      <c r="O62" s="38" t="n"/>
      <c r="P62" s="38" t="n"/>
    </row>
    <row r="63" ht="15" customHeight="1" s="22">
      <c r="A63" s="36" t="inlineStr">
        <is>
          <t>group benefits for small business</t>
        </is>
      </c>
      <c r="B63" s="36" t="inlineStr">
        <is>
          <t>Group benefits</t>
        </is>
      </c>
      <c r="C63" s="36" t="inlineStr">
        <is>
          <t>Group Benefits</t>
        </is>
      </c>
      <c r="D63" s="37" t="n">
        <v>1300</v>
      </c>
      <c r="E63" s="36" t="n">
        <v>50</v>
      </c>
      <c r="F63" s="36" t="inlineStr">
        <is>
          <t>commercial</t>
        </is>
      </c>
      <c r="G63" s="36" t="inlineStr">
        <is>
          <t>business-benefits</t>
        </is>
      </c>
      <c r="H63" s="36" t="n">
        <v>1</v>
      </c>
      <c r="I63" s="36" t="inlineStr">
        <is>
          <t>https://instasure.ca/group-benefits/</t>
        </is>
      </c>
      <c r="J63" s="36">
        <f>IF(I63="","No","Yes")</f>
        <v/>
      </c>
      <c r="K63" s="39">
        <f>IF(I63="","",IFERROR(IF(ISNUMBER(SEARCH(A63,INDEX(Pages!$J$2:$J$829,MATCH(I63,Pages!$B$2:$B$829,0)))),"Yes","No"),"Page not found"))</f>
        <v/>
      </c>
      <c r="L63" s="25" t="inlineStr">
        <is>
          <t>policyadvisor, manulife, canada life</t>
        </is>
      </c>
      <c r="M63" s="25" t="inlineStr">
        <is>
          <t>Highest lead value on the site.</t>
        </is>
      </c>
      <c r="N63" s="40" t="n"/>
      <c r="O63" s="38" t="n"/>
      <c r="P63" s="38" t="n"/>
    </row>
    <row r="64" ht="15" customHeight="1" s="22">
      <c r="A64" s="36" t="inlineStr">
        <is>
          <t>insurance advisor near me</t>
        </is>
      </c>
      <c r="B64" s="36" t="inlineStr">
        <is>
          <t>Cross-product &amp; brand</t>
        </is>
      </c>
      <c r="C64" s="36" t="n"/>
      <c r="D64" s="37" t="n">
        <v>1300</v>
      </c>
      <c r="E64" s="36" t="n">
        <v>40</v>
      </c>
      <c r="F64" s="36" t="inlineStr">
        <is>
          <t>local</t>
        </is>
      </c>
      <c r="G64" s="36" t="inlineStr">
        <is>
          <t>advisors</t>
        </is>
      </c>
      <c r="H64" s="36" t="n">
        <v>1</v>
      </c>
      <c r="I64" s="36" t="inlineStr">
        <is>
          <t>https://instasure.ca/advisors/</t>
        </is>
      </c>
      <c r="J64" s="36">
        <f>IF(I64="","No","Yes")</f>
        <v/>
      </c>
      <c r="K64" s="39">
        <f>IF(I64="","",IFERROR(IF(ISNUMBER(SEARCH(A64,INDEX(Pages!$J$2:$J$829,MATCH(I64,Pages!$B$2:$B$829,0)))),"Yes","No"),"Page not found"))</f>
        <v/>
      </c>
      <c r="L64" s="25" t="inlineStr">
        <is>
          <t>policyadvisor (advisor pages), sun life advisor microsites</t>
        </is>
      </c>
      <c r="M64" s="25" t="n"/>
      <c r="N64" s="40" t="n"/>
      <c r="O64" s="38" t="n"/>
      <c r="P64" s="38" t="n"/>
    </row>
    <row r="65" ht="15" customHeight="1" s="22">
      <c r="A65" s="36" t="inlineStr">
        <is>
          <t>long term care insurance canada</t>
        </is>
      </c>
      <c r="B65" s="36" t="inlineStr">
        <is>
          <t>Health &amp; dental insurance</t>
        </is>
      </c>
      <c r="C65" s="36" t="inlineStr">
        <is>
          <t>Health &amp; Dental Insurance</t>
        </is>
      </c>
      <c r="D65" s="37" t="n">
        <v>1300</v>
      </c>
      <c r="E65" s="36" t="n">
        <v>45</v>
      </c>
      <c r="F65" s="36" t="inlineStr">
        <is>
          <t>commercial</t>
        </is>
      </c>
      <c r="G65" s="36" t="inlineStr">
        <is>
          <t>health-dental</t>
        </is>
      </c>
      <c r="H65" s="36" t="n">
        <v>3</v>
      </c>
      <c r="I65" s="36" t="inlineStr">
        <is>
          <t>https://instasure.ca/long-term-care-insurance/</t>
        </is>
      </c>
      <c r="J65" s="36">
        <f>IF(I65="","No","Yes")</f>
        <v/>
      </c>
      <c r="K65" s="39">
        <f>IF(I65="","",IFERROR(IF(ISNUMBER(SEARCH(A65,INDEX(Pages!$J$2:$J$829,MATCH(I65,Pages!$B$2:$B$829,0)))),"Yes","No"),"Page not found"))</f>
        <v/>
      </c>
      <c r="L65" s="25" t="inlineStr">
        <is>
          <t>ratehub, policyadvisor</t>
        </is>
      </c>
      <c r="M65" s="25" t="inlineStr">
        <is>
          <t>Few Canadian insurers still sell individual LTC; the page says so and covers the alternatives.</t>
        </is>
      </c>
      <c r="N65" s="40" t="n"/>
      <c r="O65" s="38" t="n"/>
      <c r="P65" s="38" t="n"/>
    </row>
    <row r="66" ht="15" customHeight="1" s="22">
      <c r="A66" s="36" t="inlineStr">
        <is>
          <t>mortgage insurance vs life insurance</t>
        </is>
      </c>
      <c r="B66" s="36" t="inlineStr">
        <is>
          <t>Mortgage protection</t>
        </is>
      </c>
      <c r="C66" s="36" t="inlineStr">
        <is>
          <t>Mortgage Life Insurance</t>
        </is>
      </c>
      <c r="D66" s="37" t="n">
        <v>1300</v>
      </c>
      <c r="E66" s="36" t="n">
        <v>50</v>
      </c>
      <c r="F66" s="36" t="inlineStr">
        <is>
          <t>informational</t>
        </is>
      </c>
      <c r="G66" s="36" t="inlineStr">
        <is>
          <t>life-mortgage</t>
        </is>
      </c>
      <c r="H66" s="36" t="n">
        <v>1</v>
      </c>
      <c r="I66" s="36" t="inlineStr">
        <is>
          <t>https://instasure.ca/guides/mortgage-life-insurance-vs-term-life-insurance/</t>
        </is>
      </c>
      <c r="J66" s="36">
        <f>IF(I66="","No","Yes")</f>
        <v/>
      </c>
      <c r="K66" s="39">
        <f>IF(I66="","",IFERROR(IF(ISNUMBER(SEARCH(A66,INDEX(Pages!$J$2:$J$829,MATCH(I66,Pages!$B$2:$B$829,0)))),"Yes","No"),"Page not found"))</f>
        <v/>
      </c>
      <c r="L66" s="25" t="inlineStr">
        <is>
          <t>policyadvisor, ratehub, policyme, money.ca</t>
        </is>
      </c>
      <c r="M66" s="25" t="n"/>
      <c r="N66" s="40" t="n"/>
      <c r="O66" s="38" t="n"/>
      <c r="P66" s="38" t="n"/>
    </row>
    <row r="67" ht="15" customHeight="1" s="22">
      <c r="A67" s="36" t="inlineStr">
        <is>
          <t>no medical life insurance</t>
        </is>
      </c>
      <c r="B67" s="36" t="inlineStr">
        <is>
          <t>Life insurance</t>
        </is>
      </c>
      <c r="C67" s="36" t="inlineStr">
        <is>
          <t>No-Medical Life Insurance</t>
        </is>
      </c>
      <c r="D67" s="37" t="n">
        <v>1300</v>
      </c>
      <c r="E67" s="36" t="n">
        <v>45</v>
      </c>
      <c r="F67" s="36" t="inlineStr">
        <is>
          <t>commercial</t>
        </is>
      </c>
      <c r="G67" s="36" t="inlineStr">
        <is>
          <t>life-instant</t>
        </is>
      </c>
      <c r="H67" s="36" t="n">
        <v>1</v>
      </c>
      <c r="I67" s="36" t="inlineStr">
        <is>
          <t>https://instasure.ca/no-medical-life-insurance/</t>
        </is>
      </c>
      <c r="J67" s="36">
        <f>IF(I67="","No","Yes")</f>
        <v/>
      </c>
      <c r="K67" s="39">
        <f>IF(I67="","",IFERROR(IF(ISNUMBER(SEARCH(A67,INDEX(Pages!$J$2:$J$829,MATCH(I67,Pages!$B$2:$B$829,0)))),"Yes","No"),"Page not found"))</f>
        <v/>
      </c>
      <c r="L67" s="25" t="inlineStr">
        <is>
          <t>policyadvisor, sun life go, coverme</t>
        </is>
      </c>
      <c r="M67" s="25" t="inlineStr">
        <is>
          <t>Core "instant" brand cluster.</t>
        </is>
      </c>
      <c r="N67" s="40" t="n"/>
      <c r="O67" s="38" t="n"/>
      <c r="P67" s="38" t="n"/>
    </row>
    <row r="68" ht="15" customHeight="1" s="22">
      <c r="A68" s="36" t="inlineStr">
        <is>
          <t>snowbird travel insurance</t>
        </is>
      </c>
      <c r="B68" s="36" t="inlineStr">
        <is>
          <t>Travel insurance</t>
        </is>
      </c>
      <c r="C68" s="36" t="inlineStr">
        <is>
          <t>Travel Insurance</t>
        </is>
      </c>
      <c r="D68" s="37" t="n">
        <v>1300</v>
      </c>
      <c r="E68" s="36" t="n">
        <v>45</v>
      </c>
      <c r="F68" s="36" t="inlineStr">
        <is>
          <t>commercial</t>
        </is>
      </c>
      <c r="G68" s="36" t="inlineStr">
        <is>
          <t>travel</t>
        </is>
      </c>
      <c r="H68" s="36" t="n">
        <v>2</v>
      </c>
      <c r="I68" s="36" t="inlineStr">
        <is>
          <t>https://instasure.ca/travel-insurance/snowbirds/</t>
        </is>
      </c>
      <c r="J68" s="36">
        <f>IF(I68="","No","Yes")</f>
        <v/>
      </c>
      <c r="K68" s="39">
        <f>IF(I68="","",IFERROR(IF(ISNUMBER(SEARCH(A68,INDEX(Pages!$J$2:$J$829,MATCH(I68,Pages!$B$2:$B$829,0)))),"Yes","No"),"Page not found"))</f>
        <v/>
      </c>
      <c r="L68" s="25" t="inlineStr">
        <is>
          <t>(not seen)</t>
        </is>
      </c>
      <c r="M68" s="25" t="inlineStr">
        <is>
          <t>Built with the Snowbird travel desk and an example estimate.</t>
        </is>
      </c>
      <c r="N68" s="40" t="n"/>
      <c r="O68" s="38" t="n"/>
      <c r="P68" s="38" t="n"/>
    </row>
    <row r="69" ht="15" customHeight="1" s="22">
      <c r="A69" s="36" t="inlineStr">
        <is>
          <t>tenant insurance cost</t>
        </is>
      </c>
      <c r="B69" s="36" t="inlineStr">
        <is>
          <t>Tenant insurance</t>
        </is>
      </c>
      <c r="C69" s="36" t="inlineStr">
        <is>
          <t>Tenant Insurance</t>
        </is>
      </c>
      <c r="D69" s="37" t="n">
        <v>1300</v>
      </c>
      <c r="E69" s="36" t="n">
        <v>40</v>
      </c>
      <c r="F69" s="36" t="inlineStr">
        <is>
          <t>informational</t>
        </is>
      </c>
      <c r="G69" s="36" t="inlineStr">
        <is>
          <t>property-cost</t>
        </is>
      </c>
      <c r="H69" s="36" t="n">
        <v>1</v>
      </c>
      <c r="I69" s="36" t="inlineStr">
        <is>
          <t>https://instasure.ca/tenant-insurance/</t>
        </is>
      </c>
      <c r="J69" s="36">
        <f>IF(I69="","No","Yes")</f>
        <v/>
      </c>
      <c r="K69" s="39">
        <f>IF(I69="","",IFERROR(IF(ISNUMBER(SEARCH(A69,INDEX(Pages!$J$2:$J$829,MATCH(I69,Pages!$B$2:$B$829,0)))),"Yes","No"),"Page not found"))</f>
        <v/>
      </c>
      <c r="L69" s="25" t="inlineStr">
        <is>
          <t>ratehub, sonnet</t>
        </is>
      </c>
      <c r="M69" s="25" t="n"/>
      <c r="N69" s="40" t="n"/>
      <c r="O69" s="38" t="n"/>
      <c r="P69" s="38" t="n"/>
    </row>
    <row r="70" ht="15" customHeight="1" s="22">
      <c r="A70" s="36" t="inlineStr">
        <is>
          <t>travel insurance for seniors</t>
        </is>
      </c>
      <c r="B70" s="36" t="inlineStr">
        <is>
          <t>Travel insurance</t>
        </is>
      </c>
      <c r="C70" s="36" t="inlineStr">
        <is>
          <t>Travel Insurance</t>
        </is>
      </c>
      <c r="D70" s="37" t="n">
        <v>1300</v>
      </c>
      <c r="E70" s="36" t="n">
        <v>50</v>
      </c>
      <c r="F70" s="36" t="inlineStr">
        <is>
          <t>commercial</t>
        </is>
      </c>
      <c r="G70" s="36" t="inlineStr">
        <is>
          <t>travel</t>
        </is>
      </c>
      <c r="H70" s="36" t="n">
        <v>3</v>
      </c>
      <c r="I70" s="36" t="inlineStr">
        <is>
          <t>https://instasure.ca/travel-insurance/snowbirds/</t>
        </is>
      </c>
      <c r="J70" s="36">
        <f>IF(I70="","No","Yes")</f>
        <v/>
      </c>
      <c r="K70" s="39">
        <f>IF(I70="","",IFERROR(IF(ISNUMBER(SEARCH(A70,INDEX(Pages!$J$2:$J$829,MATCH(I70,Pages!$B$2:$B$829,0)))),"Yes","No"),"Page not found"))</f>
        <v/>
      </c>
      <c r="L70" s="25" t="inlineStr">
        <is>
          <t>sun life</t>
        </is>
      </c>
      <c r="M70" s="25" t="inlineStr">
        <is>
          <t>Answered on the snowbird page; a separate seniors page is not planned.</t>
        </is>
      </c>
      <c r="N70" s="40" t="n"/>
      <c r="O70" s="38" t="n"/>
      <c r="P70" s="38" t="n"/>
    </row>
    <row r="71" ht="23.85" customHeight="1" s="22">
      <c r="A71" s="36" t="inlineStr">
        <is>
          <t>trucking insurance</t>
        </is>
      </c>
      <c r="B71" s="36" t="inlineStr">
        <is>
          <t>Business insurance</t>
        </is>
      </c>
      <c r="C71" s="36" t="inlineStr">
        <is>
          <t>Business Insurance</t>
        </is>
      </c>
      <c r="D71" s="37" t="n">
        <v>1300</v>
      </c>
      <c r="E71" s="36" t="n">
        <v>50</v>
      </c>
      <c r="F71" s="36" t="inlineStr">
        <is>
          <t>commercial</t>
        </is>
      </c>
      <c r="G71" s="36" t="inlineStr">
        <is>
          <t>business-trades</t>
        </is>
      </c>
      <c r="H71" s="36" t="n">
        <v>3</v>
      </c>
      <c r="I71" s="36" t="inlineStr">
        <is>
          <t>https://instasure.ca/business-insurance/commercial-auto/</t>
        </is>
      </c>
      <c r="J71" s="36">
        <f>IF(I71="","No","Yes")</f>
        <v/>
      </c>
      <c r="K71" s="39">
        <f>IF(I71="","",IFERROR(IF(ISNUMBER(SEARCH(A71,INDEX(Pages!$J$2:$J$829,MATCH(I71,Pages!$B$2:$B$829,0)))),"Yes","No"),"Page not found"))</f>
        <v/>
      </c>
      <c r="L71" s="25" t="inlineStr">
        <is>
          <t>brokers, specialty MGAs</t>
        </is>
      </c>
      <c r="M71" s="25" t="inlineStr">
        <is>
          <t>Answered on the commercial auto page (Commercial auto &amp; trucking desk). A trucking-only page waits for real for-hire volume.</t>
        </is>
      </c>
      <c r="N71" s="40" t="n"/>
      <c r="O71" s="38" t="n"/>
      <c r="P71" s="38" t="n"/>
    </row>
    <row r="72" ht="15" customHeight="1" s="22">
      <c r="A72" s="36" t="inlineStr">
        <is>
          <t>umbrella insurance</t>
        </is>
      </c>
      <c r="B72" s="36" t="inlineStr">
        <is>
          <t>Home insurance</t>
        </is>
      </c>
      <c r="C72" s="36" t="inlineStr">
        <is>
          <t>Home Insurance</t>
        </is>
      </c>
      <c r="D72" s="37" t="n">
        <v>1300</v>
      </c>
      <c r="E72" s="36" t="n">
        <v>40</v>
      </c>
      <c r="F72" s="36" t="inlineStr">
        <is>
          <t>commercial</t>
        </is>
      </c>
      <c r="G72" s="36" t="inlineStr">
        <is>
          <t>property-niche</t>
        </is>
      </c>
      <c r="H72" s="36" t="n">
        <v>3</v>
      </c>
      <c r="I72" s="36" t="inlineStr">
        <is>
          <t>https://instasure.ca/umbrella-insurance/</t>
        </is>
      </c>
      <c r="J72" s="36">
        <f>IF(I72="","No","Yes")</f>
        <v/>
      </c>
      <c r="K72" s="39">
        <f>IF(I72="","",IFERROR(IF(ISNUMBER(SEARCH(A72,INDEX(Pages!$J$2:$J$829,MATCH(I72,Pages!$B$2:$B$829,0)))),"Yes","No"),"Page not found"))</f>
        <v/>
      </c>
      <c r="L72" s="25" t="inlineStr">
        <is>
          <t>ratehub</t>
        </is>
      </c>
      <c r="M72" s="25" t="inlineStr">
        <is>
          <t>Good cross-sell for landlords, cottage owners and boat owners.</t>
        </is>
      </c>
      <c r="N72" s="40" t="n"/>
      <c r="O72" s="38" t="n"/>
      <c r="P72" s="38" t="n"/>
    </row>
    <row r="73" ht="15" customHeight="1" s="22">
      <c r="A73" s="36" t="inlineStr">
        <is>
          <t>universal life insurance</t>
        </is>
      </c>
      <c r="B73" s="36" t="inlineStr">
        <is>
          <t>Life insurance</t>
        </is>
      </c>
      <c r="C73" s="36" t="inlineStr">
        <is>
          <t>Whole Life Insurance</t>
        </is>
      </c>
      <c r="D73" s="37" t="n">
        <v>1300</v>
      </c>
      <c r="E73" s="36" t="n">
        <v>55</v>
      </c>
      <c r="F73" s="36" t="inlineStr">
        <is>
          <t>commercial</t>
        </is>
      </c>
      <c r="G73" s="36" t="inlineStr">
        <is>
          <t>life-core</t>
        </is>
      </c>
      <c r="H73" s="36" t="n">
        <v>3</v>
      </c>
      <c r="I73" s="36" t="inlineStr">
        <is>
          <t>https://instasure.ca/life-insurance/universal-life/</t>
        </is>
      </c>
      <c r="J73" s="36">
        <f>IF(I73="","No","Yes")</f>
        <v/>
      </c>
      <c r="K73" s="39">
        <f>IF(I73="","",IFERROR(IF(ISNUMBER(SEARCH(A73,INDEX(Pages!$J$2:$J$829,MATCH(I73,Pages!$B$2:$B$829,0)))),"Yes","No"),"Page not found"))</f>
        <v/>
      </c>
      <c r="L73" s="25" t="inlineStr">
        <is>
          <t>policyadvisor, sun life, ratehub</t>
        </is>
      </c>
      <c r="M73" s="25" t="inlineStr">
        <is>
          <t>Built (service page under whole life).</t>
        </is>
      </c>
      <c r="N73" s="40" t="n"/>
      <c r="O73" s="38" t="n"/>
      <c r="P73" s="38" t="n"/>
    </row>
    <row r="74" ht="23.85" customHeight="1" s="22">
      <c r="A74" s="36" t="inlineStr">
        <is>
          <t>car insurance for newcomers to canada</t>
        </is>
      </c>
      <c r="B74" s="36" t="inlineStr">
        <is>
          <t>Car insurance</t>
        </is>
      </c>
      <c r="C74" s="36" t="inlineStr">
        <is>
          <t>Car Insurance</t>
        </is>
      </c>
      <c r="D74" s="37" t="n">
        <v>1000</v>
      </c>
      <c r="E74" s="36" t="n">
        <v>35</v>
      </c>
      <c r="F74" s="36" t="inlineStr">
        <is>
          <t>commercial</t>
        </is>
      </c>
      <c r="G74" s="36" t="inlineStr">
        <is>
          <t>auto-persona</t>
        </is>
      </c>
      <c r="H74" s="36" t="n">
        <v>1</v>
      </c>
      <c r="I74" s="36" t="inlineStr">
        <is>
          <t>https://instasure.ca/car-insurance/newcomers/</t>
        </is>
      </c>
      <c r="J74" s="36">
        <f>IF(I74="","No","Yes")</f>
        <v/>
      </c>
      <c r="K74" s="39">
        <f>IF(I74="","",IFERROR(IF(ISNUMBER(SEARCH(A74,INDEX(Pages!$J$2:$J$829,MATCH(I74,Pages!$B$2:$B$829,0)))),"Yes","No"),"Page not found"))</f>
        <v/>
      </c>
      <c r="L74" s="25" t="inlineStr">
        <is>
          <t>ratehub, rates.ca guide</t>
        </is>
      </c>
      <c r="M74" s="25" t="inlineStr">
        <is>
          <t>Built with the Newcomer driver desk. Staff it with multilingual advisors (Punjabi, Hindi, Tagalog, Mandarin).</t>
        </is>
      </c>
      <c r="N74" s="40" t="n"/>
      <c r="O74" s="38" t="n"/>
      <c r="P74" s="38" t="n"/>
    </row>
    <row r="75" ht="15" customHeight="1" s="22">
      <c r="A75" s="36" t="inlineStr">
        <is>
          <t>car insurance rates by province</t>
        </is>
      </c>
      <c r="B75" s="36" t="inlineStr">
        <is>
          <t>Car insurance</t>
        </is>
      </c>
      <c r="C75" s="36" t="inlineStr">
        <is>
          <t>Car Insurance</t>
        </is>
      </c>
      <c r="D75" s="37" t="n">
        <v>1000</v>
      </c>
      <c r="E75" s="36" t="n">
        <v>45</v>
      </c>
      <c r="F75" s="36" t="inlineStr">
        <is>
          <t>informational</t>
        </is>
      </c>
      <c r="G75" s="36" t="inlineStr">
        <is>
          <t>auto-cost</t>
        </is>
      </c>
      <c r="H75" s="36" t="n">
        <v>2</v>
      </c>
      <c r="I75" s="36" t="inlineStr">
        <is>
          <t>https://instasure.ca/insights/rate-index/</t>
        </is>
      </c>
      <c r="J75" s="36">
        <f>IF(I75="","No","Yes")</f>
        <v/>
      </c>
      <c r="K75" s="39">
        <f>IF(I75="","",IFERROR(IF(ISNUMBER(SEARCH(A75,INDEX(Pages!$J$2:$J$829,MATCH(I75,Pages!$B$2:$B$829,0)))),"Yes","No"),"Page not found"))</f>
        <v/>
      </c>
      <c r="L75" s="25" t="inlineStr">
        <is>
          <t>sonnet, rates.ca</t>
        </is>
      </c>
      <c r="M75" s="25" t="n"/>
      <c r="N75" s="40" t="n"/>
      <c r="O75" s="38" t="n"/>
      <c r="P75" s="38" t="n"/>
    </row>
    <row r="76" ht="15" customHeight="1" s="22">
      <c r="A76" s="36" t="inlineStr">
        <is>
          <t>compare insurance quotes canada</t>
        </is>
      </c>
      <c r="B76" s="36" t="inlineStr">
        <is>
          <t>Cross-product &amp; brand</t>
        </is>
      </c>
      <c r="C76" s="36" t="n"/>
      <c r="D76" s="37" t="n">
        <v>1000</v>
      </c>
      <c r="E76" s="36" t="n">
        <v>55</v>
      </c>
      <c r="F76" s="36" t="inlineStr">
        <is>
          <t>commercial</t>
        </is>
      </c>
      <c r="G76" s="36" t="inlineStr">
        <is>
          <t>brand-instant</t>
        </is>
      </c>
      <c r="H76" s="36" t="n">
        <v>2</v>
      </c>
      <c r="I76" s="36" t="inlineStr">
        <is>
          <t>https://instasure.ca/compare/</t>
        </is>
      </c>
      <c r="J76" s="36">
        <f>IF(I76="","No","Yes")</f>
        <v/>
      </c>
      <c r="K76" s="39">
        <f>IF(I76="","",IFERROR(IF(ISNUMBER(SEARCH(A76,INDEX(Pages!$J$2:$J$829,MATCH(I76,Pages!$B$2:$B$829,0)))),"Yes","No"),"Page not found"))</f>
        <v/>
      </c>
      <c r="L76" s="25" t="inlineStr">
        <is>
          <t>ratehub, rates.ca</t>
        </is>
      </c>
      <c r="M76" s="25" t="n"/>
      <c r="N76" s="40" t="n"/>
      <c r="O76" s="38" t="n"/>
      <c r="P76" s="38" t="n"/>
    </row>
    <row r="77" ht="15" customHeight="1" s="22">
      <c r="A77" s="36" t="inlineStr">
        <is>
          <t>errors and omissions insurance</t>
        </is>
      </c>
      <c r="B77" s="36" t="inlineStr">
        <is>
          <t>Professional liability (E&amp;O)</t>
        </is>
      </c>
      <c r="C77" s="36" t="inlineStr">
        <is>
          <t>Professional Liability (E&amp;O) Insurance</t>
        </is>
      </c>
      <c r="D77" s="37" t="n">
        <v>1000</v>
      </c>
      <c r="E77" s="36" t="n">
        <v>50</v>
      </c>
      <c r="F77" s="36" t="inlineStr">
        <is>
          <t>commercial</t>
        </is>
      </c>
      <c r="G77" s="36" t="inlineStr">
        <is>
          <t>business</t>
        </is>
      </c>
      <c r="H77" s="36" t="n">
        <v>2</v>
      </c>
      <c r="I77" s="36" t="inlineStr">
        <is>
          <t>https://instasure.ca/professional-liability-insurance/</t>
        </is>
      </c>
      <c r="J77" s="36">
        <f>IF(I77="","No","Yes")</f>
        <v/>
      </c>
      <c r="K77" s="39">
        <f>IF(I77="","",IFERROR(IF(ISNUMBER(SEARCH(A77,INDEX(Pages!$J$2:$J$829,MATCH(I77,Pages!$B$2:$B$829,0)))),"Yes","No"),"Page not found"))</f>
        <v/>
      </c>
      <c r="L77" s="25" t="inlineStr">
        <is>
          <t>rates.ca</t>
        </is>
      </c>
      <c r="M77" s="25" t="n"/>
      <c r="N77" s="40" t="n"/>
      <c r="O77" s="38" t="n"/>
      <c r="P77" s="38" t="n"/>
    </row>
    <row r="78" ht="15" customHeight="1" s="22">
      <c r="A78" s="36" t="inlineStr">
        <is>
          <t>final expense insurance canada</t>
        </is>
      </c>
      <c r="B78" s="36" t="inlineStr">
        <is>
          <t>Life insurance</t>
        </is>
      </c>
      <c r="C78" s="36" t="inlineStr">
        <is>
          <t>Life Insurance</t>
        </is>
      </c>
      <c r="D78" s="37" t="n">
        <v>1000</v>
      </c>
      <c r="E78" s="36" t="n">
        <v>40</v>
      </c>
      <c r="F78" s="36" t="inlineStr">
        <is>
          <t>commercial</t>
        </is>
      </c>
      <c r="G78" s="36" t="inlineStr">
        <is>
          <t>life-audience</t>
        </is>
      </c>
      <c r="H78" s="36" t="n">
        <v>2</v>
      </c>
      <c r="I78" s="36" t="inlineStr">
        <is>
          <t>https://instasure.ca/life-insurance/final-expense/</t>
        </is>
      </c>
      <c r="J78" s="36">
        <f>IF(I78="","No","Yes")</f>
        <v/>
      </c>
      <c r="K78" s="39">
        <f>IF(I78="","",IFERROR(IF(ISNUMBER(SEARCH(A78,INDEX(Pages!$J$2:$J$829,MATCH(I78,Pages!$B$2:$B$829,0)))),"Yes","No"),"Page not found"))</f>
        <v/>
      </c>
      <c r="L78" s="25" t="inlineStr">
        <is>
          <t>policyadvisor</t>
        </is>
      </c>
      <c r="M78" s="25" t="inlineStr">
        <is>
          <t>Built (service page).</t>
        </is>
      </c>
      <c r="N78" s="40" t="n"/>
      <c r="O78" s="38" t="n"/>
      <c r="P78" s="38" t="n"/>
    </row>
    <row r="79" ht="15" customHeight="1" s="22">
      <c r="A79" s="36" t="inlineStr">
        <is>
          <t>gap insurance canada</t>
        </is>
      </c>
      <c r="B79" s="36" t="inlineStr">
        <is>
          <t>Car insurance</t>
        </is>
      </c>
      <c r="C79" s="36" t="inlineStr">
        <is>
          <t>Car Insurance</t>
        </is>
      </c>
      <c r="D79" s="37" t="n">
        <v>1000</v>
      </c>
      <c r="E79" s="36" t="n">
        <v>40</v>
      </c>
      <c r="F79" s="36" t="inlineStr">
        <is>
          <t>informational</t>
        </is>
      </c>
      <c r="G79" s="36" t="inlineStr">
        <is>
          <t>auto-coverage</t>
        </is>
      </c>
      <c r="H79" s="36" t="n">
        <v>4</v>
      </c>
      <c r="I79" s="36" t="n"/>
      <c r="J79" s="36">
        <f>IF(I79="","No","Yes")</f>
        <v/>
      </c>
      <c r="K79" s="39">
        <f>IF(I79="","",IFERROR(IF(ISNUMBER(SEARCH(A79,INDEX(Pages!$J$2:$J$829,MATCH(I79,Pages!$B$2:$B$829,0)))),"Yes","No"),"Page not found"))</f>
        <v/>
      </c>
      <c r="L79" s="25" t="inlineStr">
        <is>
          <t>rates.ca, ratehub</t>
        </is>
      </c>
      <c r="M79" s="25" t="inlineStr">
        <is>
          <t>FSRA warned in 2026 about unlicensed GAP sales. Explainer only.</t>
        </is>
      </c>
      <c r="N79" s="40" t="n"/>
      <c r="O79" s="38" t="n"/>
      <c r="P79" s="38" t="n"/>
    </row>
    <row r="80" ht="15" customHeight="1" s="22">
      <c r="A80" s="36" t="inlineStr">
        <is>
          <t>home insurance calculator</t>
        </is>
      </c>
      <c r="B80" s="36" t="inlineStr">
        <is>
          <t>Home insurance</t>
        </is>
      </c>
      <c r="C80" s="36" t="inlineStr">
        <is>
          <t>Home Insurance</t>
        </is>
      </c>
      <c r="D80" s="37" t="n">
        <v>1000</v>
      </c>
      <c r="E80" s="36" t="n">
        <v>45</v>
      </c>
      <c r="F80" s="36" t="inlineStr">
        <is>
          <t>transactional</t>
        </is>
      </c>
      <c r="G80" s="36" t="inlineStr">
        <is>
          <t>property-tools</t>
        </is>
      </c>
      <c r="H80" s="36" t="n">
        <v>2</v>
      </c>
      <c r="I80" s="36" t="inlineStr">
        <is>
          <t>https://instasure.ca/quote/home-insurance/</t>
        </is>
      </c>
      <c r="J80" s="36">
        <f>IF(I80="","No","Yes")</f>
        <v/>
      </c>
      <c r="K80" s="39">
        <f>IF(I80="","",IFERROR(IF(ISNUMBER(SEARCH(A80,INDEX(Pages!$J$2:$J$829,MATCH(I80,Pages!$B$2:$B$829,0)))),"Yes","No"),"Page not found"))</f>
        <v/>
      </c>
      <c r="L80" s="25" t="inlineStr">
        <is>
          <t>rates.ca (AB)</t>
        </is>
      </c>
      <c r="M80" s="25" t="n"/>
      <c r="N80" s="40" t="n"/>
      <c r="O80" s="38" t="n"/>
      <c r="P80" s="38" t="n"/>
    </row>
    <row r="81" ht="15" customHeight="1" s="22">
      <c r="A81" s="36" t="inlineStr">
        <is>
          <t>is tenant insurance mandatory</t>
        </is>
      </c>
      <c r="B81" s="36" t="inlineStr">
        <is>
          <t>Tenant insurance</t>
        </is>
      </c>
      <c r="C81" s="36" t="inlineStr">
        <is>
          <t>Tenant Insurance</t>
        </is>
      </c>
      <c r="D81" s="37" t="n">
        <v>1000</v>
      </c>
      <c r="E81" s="36" t="n">
        <v>35</v>
      </c>
      <c r="F81" s="36" t="inlineStr">
        <is>
          <t>informational</t>
        </is>
      </c>
      <c r="G81" s="36" t="inlineStr">
        <is>
          <t>property-coverage</t>
        </is>
      </c>
      <c r="H81" s="36" t="n">
        <v>1</v>
      </c>
      <c r="I81" s="36" t="inlineStr">
        <is>
          <t>https://instasure.ca/guides/tenant-insurance-ontario-landlord-require/</t>
        </is>
      </c>
      <c r="J81" s="36">
        <f>IF(I81="","No","Yes")</f>
        <v/>
      </c>
      <c r="K81" s="39">
        <f>IF(I81="","",IFERROR(IF(ISNUMBER(SEARCH(A81,INDEX(Pages!$J$2:$J$829,MATCH(I81,Pages!$B$2:$B$829,0)))),"Yes","No"),"Page not found"))</f>
        <v/>
      </c>
      <c r="L81" s="25" t="inlineStr">
        <is>
          <t>sonnet faq, tenantrights.ca</t>
        </is>
      </c>
      <c r="M81" s="25" t="n"/>
      <c r="N81" s="40" t="n"/>
      <c r="O81" s="38" t="n"/>
      <c r="P81" s="38" t="n"/>
    </row>
    <row r="82" ht="15" customHeight="1" s="22">
      <c r="A82" s="36" t="inlineStr">
        <is>
          <t>mortgage protection insurance</t>
        </is>
      </c>
      <c r="B82" s="36" t="inlineStr">
        <is>
          <t>Mortgage protection</t>
        </is>
      </c>
      <c r="C82" s="36" t="inlineStr">
        <is>
          <t>Mortgage Life Insurance</t>
        </is>
      </c>
      <c r="D82" s="37" t="n">
        <v>1000</v>
      </c>
      <c r="E82" s="36" t="n">
        <v>45</v>
      </c>
      <c r="F82" s="36" t="inlineStr">
        <is>
          <t>commercial</t>
        </is>
      </c>
      <c r="G82" s="36" t="inlineStr">
        <is>
          <t>life-mortgage</t>
        </is>
      </c>
      <c r="H82" s="36" t="n">
        <v>1</v>
      </c>
      <c r="I82" s="36" t="inlineStr">
        <is>
          <t>https://instasure.ca/mortgage-life-insurance/</t>
        </is>
      </c>
      <c r="J82" s="36">
        <f>IF(I82="","No","Yes")</f>
        <v/>
      </c>
      <c r="K82" s="39">
        <f>IF(I82="","",IFERROR(IF(ISNUMBER(SEARCH(A82,INDEX(Pages!$J$2:$J$829,MATCH(I82,Pages!$B$2:$B$829,0)))),"Yes","No"),"Page not found"))</f>
        <v/>
      </c>
      <c r="L82" s="25" t="inlineStr">
        <is>
          <t>policyadvisor, manulife mortgage protection plan</t>
        </is>
      </c>
      <c r="M82" s="25" t="n"/>
      <c r="N82" s="40" t="n"/>
      <c r="O82" s="38" t="n"/>
      <c r="P82" s="38" t="n"/>
    </row>
    <row r="83" ht="15" customHeight="1" s="22">
      <c r="A83" s="36" t="inlineStr">
        <is>
          <t>snowmobile insurance</t>
        </is>
      </c>
      <c r="B83" s="36" t="inlineStr">
        <is>
          <t>Recreational vehicles</t>
        </is>
      </c>
      <c r="C83" s="36" t="inlineStr">
        <is>
          <t>Car Insurance</t>
        </is>
      </c>
      <c r="D83" s="37" t="n">
        <v>1000</v>
      </c>
      <c r="E83" s="36" t="n">
        <v>35</v>
      </c>
      <c r="F83" s="36" t="inlineStr">
        <is>
          <t>commercial</t>
        </is>
      </c>
      <c r="G83" s="36" t="inlineStr">
        <is>
          <t>auto-recreational</t>
        </is>
      </c>
      <c r="H83" s="36" t="n">
        <v>4</v>
      </c>
      <c r="I83" s="36" t="inlineStr">
        <is>
          <t>https://instasure.ca/atv-snowmobile-insurance/</t>
        </is>
      </c>
      <c r="J83" s="36">
        <f>IF(I83="","No","Yes")</f>
        <v/>
      </c>
      <c r="K83" s="39">
        <f>IF(I83="","",IFERROR(IF(ISNUMBER(SEARCH(A83,INDEX(Pages!$J$2:$J$829,MATCH(I83,Pages!$B$2:$B$829,0)))),"Yes","No"),"Page not found"))</f>
        <v/>
      </c>
      <c r="L83" s="25" t="inlineStr">
        <is>
          <t>ratehub</t>
        </is>
      </c>
      <c r="M83" s="25" t="n"/>
      <c r="N83" s="40" t="n"/>
      <c r="O83" s="38" t="n"/>
      <c r="P83" s="38" t="n"/>
    </row>
    <row r="84" ht="15" customHeight="1" s="22">
      <c r="A84" s="36" t="inlineStr">
        <is>
          <t>types of insurance in canada</t>
        </is>
      </c>
      <c r="B84" s="36" t="inlineStr">
        <is>
          <t>Cross-product &amp; brand</t>
        </is>
      </c>
      <c r="C84" s="36" t="n"/>
      <c r="D84" s="37" t="n">
        <v>1000</v>
      </c>
      <c r="E84" s="36" t="n">
        <v>40</v>
      </c>
      <c r="F84" s="36" t="inlineStr">
        <is>
          <t>informational</t>
        </is>
      </c>
      <c r="G84" s="36" t="inlineStr">
        <is>
          <t>brand-instant</t>
        </is>
      </c>
      <c r="H84" s="36" t="n">
        <v>3</v>
      </c>
      <c r="I84" s="36" t="inlineStr">
        <is>
          <t>https://instasure.ca/insurance-services/</t>
        </is>
      </c>
      <c r="J84" s="36">
        <f>IF(I84="","No","Yes")</f>
        <v/>
      </c>
      <c r="K84" s="39">
        <f>IF(I84="","",IFERROR(IF(ISNUMBER(SEARCH(A84,INDEX(Pages!$J$2:$J$829,MATCH(I84,Pages!$B$2:$B$829,0)))),"Yes","No"),"Page not found"))</f>
        <v/>
      </c>
      <c r="L84" s="25" t="inlineStr">
        <is>
          <t>ratehub, rates.ca, insurer brands</t>
        </is>
      </c>
      <c r="M84" s="25" t="inlineStr">
        <is>
          <t>All-services hub with every product, service and specialist desk.</t>
        </is>
      </c>
      <c r="N84" s="40" t="n"/>
      <c r="O84" s="38" t="n"/>
      <c r="P84" s="38" t="n"/>
    </row>
    <row r="85" ht="15" customHeight="1" s="22">
      <c r="A85" s="36" t="inlineStr">
        <is>
          <t>uber insurance canada</t>
        </is>
      </c>
      <c r="B85" s="36" t="inlineStr">
        <is>
          <t>Car insurance</t>
        </is>
      </c>
      <c r="C85" s="36" t="inlineStr">
        <is>
          <t>Car Insurance</t>
        </is>
      </c>
      <c r="D85" s="37" t="n">
        <v>1000</v>
      </c>
      <c r="E85" s="36" t="n">
        <v>40</v>
      </c>
      <c r="F85" s="36" t="inlineStr">
        <is>
          <t>commercial</t>
        </is>
      </c>
      <c r="G85" s="36" t="inlineStr">
        <is>
          <t>auto-persona</t>
        </is>
      </c>
      <c r="H85" s="36" t="n">
        <v>2</v>
      </c>
      <c r="I85" s="36" t="inlineStr">
        <is>
          <t>https://instasure.ca/car-insurance/rideshare-and-delivery/</t>
        </is>
      </c>
      <c r="J85" s="36">
        <f>IF(I85="","No","Yes")</f>
        <v/>
      </c>
      <c r="K85" s="39">
        <f>IF(I85="","",IFERROR(IF(ISNUMBER(SEARCH(A85,INDEX(Pages!$J$2:$J$829,MATCH(I85,Pages!$B$2:$B$829,0)))),"Yes","No"),"Page not found"))</f>
        <v/>
      </c>
      <c r="L85" s="25" t="inlineStr">
        <is>
          <t>ratehub, mychoice, thinkinsure</t>
        </is>
      </c>
      <c r="M85" s="25" t="inlineStr">
        <is>
          <t>Built with the Gig driver desk. The Ontario gig-driver guide supports it.</t>
        </is>
      </c>
      <c r="N85" s="40" t="n"/>
      <c r="O85" s="38" t="n"/>
      <c r="P85" s="38" t="n"/>
    </row>
    <row r="86" ht="15" customHeight="1" s="22">
      <c r="A86" s="36" t="inlineStr">
        <is>
          <t>atv insurance</t>
        </is>
      </c>
      <c r="B86" s="36" t="inlineStr">
        <is>
          <t>Recreational vehicles</t>
        </is>
      </c>
      <c r="C86" s="36" t="inlineStr">
        <is>
          <t>Car Insurance</t>
        </is>
      </c>
      <c r="D86" s="37" t="n">
        <v>880</v>
      </c>
      <c r="E86" s="36" t="n">
        <v>35</v>
      </c>
      <c r="F86" s="36" t="inlineStr">
        <is>
          <t>commercial</t>
        </is>
      </c>
      <c r="G86" s="36" t="inlineStr">
        <is>
          <t>auto-recreational</t>
        </is>
      </c>
      <c r="H86" s="36" t="n">
        <v>4</v>
      </c>
      <c r="I86" s="36" t="inlineStr">
        <is>
          <t>https://instasure.ca/atv-snowmobile-insurance/</t>
        </is>
      </c>
      <c r="J86" s="36">
        <f>IF(I86="","No","Yes")</f>
        <v/>
      </c>
      <c r="K86" s="39">
        <f>IF(I86="","",IFERROR(IF(ISNUMBER(SEARCH(A86,INDEX(Pages!$J$2:$J$829,MATCH(I86,Pages!$B$2:$B$829,0)))),"Yes","No"),"Page not found"))</f>
        <v/>
      </c>
      <c r="L86" s="25" t="inlineStr">
        <is>
          <t>ratehub</t>
        </is>
      </c>
      <c r="M86" s="25" t="n"/>
      <c r="N86" s="40" t="n"/>
      <c r="O86" s="38" t="n"/>
      <c r="P86" s="38" t="n"/>
    </row>
    <row r="87" ht="15" customHeight="1" s="22">
      <c r="A87" s="36" t="inlineStr">
        <is>
          <t>car insurance deductible</t>
        </is>
      </c>
      <c r="B87" s="36" t="inlineStr">
        <is>
          <t>Car insurance</t>
        </is>
      </c>
      <c r="C87" s="36" t="inlineStr">
        <is>
          <t>Car Insurance</t>
        </is>
      </c>
      <c r="D87" s="37" t="n">
        <v>880</v>
      </c>
      <c r="E87" s="36" t="n">
        <v>35</v>
      </c>
      <c r="F87" s="36" t="inlineStr">
        <is>
          <t>informational</t>
        </is>
      </c>
      <c r="G87" s="36" t="inlineStr">
        <is>
          <t>auto-coverage</t>
        </is>
      </c>
      <c r="H87" s="36" t="n">
        <v>4</v>
      </c>
      <c r="I87" s="36" t="inlineStr">
        <is>
          <t>https://instasure.ca/glossary/</t>
        </is>
      </c>
      <c r="J87" s="36">
        <f>IF(I87="","No","Yes")</f>
        <v/>
      </c>
      <c r="K87" s="39">
        <f>IF(I87="","",IFERROR(IF(ISNUMBER(SEARCH(A87,INDEX(Pages!$J$2:$J$829,MATCH(I87,Pages!$B$2:$B$829,0)))),"Yes","No"),"Page not found"))</f>
        <v/>
      </c>
      <c r="L87" s="25" t="inlineStr">
        <is>
          <t>sonnet</t>
        </is>
      </c>
      <c r="M87" s="25" t="n"/>
      <c r="N87" s="40" t="n"/>
      <c r="O87" s="38" t="n"/>
      <c r="P87" s="38" t="n"/>
    </row>
    <row r="88" ht="15" customHeight="1" s="22">
      <c r="A88" s="36" t="inlineStr">
        <is>
          <t>cottage insurance</t>
        </is>
      </c>
      <c r="B88" s="36" t="inlineStr">
        <is>
          <t>Home insurance</t>
        </is>
      </c>
      <c r="C88" s="36" t="inlineStr">
        <is>
          <t>Home Insurance</t>
        </is>
      </c>
      <c r="D88" s="37" t="n">
        <v>880</v>
      </c>
      <c r="E88" s="36" t="n">
        <v>40</v>
      </c>
      <c r="F88" s="36" t="inlineStr">
        <is>
          <t>commercial</t>
        </is>
      </c>
      <c r="G88" s="36" t="inlineStr">
        <is>
          <t>property-niche</t>
        </is>
      </c>
      <c r="H88" s="36" t="n">
        <v>2</v>
      </c>
      <c r="I88" s="36" t="inlineStr">
        <is>
          <t>https://instasure.ca/home-insurance/cottage-and-seasonal/</t>
        </is>
      </c>
      <c r="J88" s="36">
        <f>IF(I88="","No","Yes")</f>
        <v/>
      </c>
      <c r="K88" s="39">
        <f>IF(I88="","",IFERROR(IF(ISNUMBER(SEARCH(A88,INDEX(Pages!$J$2:$J$829,MATCH(I88,Pages!$B$2:$B$829,0)))),"Yes","No"),"Page not found"))</f>
        <v/>
      </c>
      <c r="L88" s="25" t="inlineStr">
        <is>
          <t>rates.ca (cottage rental)</t>
        </is>
      </c>
      <c r="M88" s="25" t="inlineStr">
        <is>
          <t>Built with the Cottage &amp; rural property desk.</t>
        </is>
      </c>
      <c r="N88" s="40" t="n"/>
      <c r="O88" s="38" t="n"/>
      <c r="P88" s="38" t="n"/>
    </row>
    <row r="89" ht="23.85" customHeight="1" s="22">
      <c r="A89" s="36" t="inlineStr">
        <is>
          <t>critical illness insurance cost</t>
        </is>
      </c>
      <c r="B89" s="36" t="inlineStr">
        <is>
          <t>Critical illness insurance</t>
        </is>
      </c>
      <c r="C89" s="36" t="inlineStr">
        <is>
          <t>Critical Illness Insurance</t>
        </is>
      </c>
      <c r="D89" s="37" t="n">
        <v>880</v>
      </c>
      <c r="E89" s="36" t="n">
        <v>45</v>
      </c>
      <c r="F89" s="36" t="inlineStr">
        <is>
          <t>informational</t>
        </is>
      </c>
      <c r="G89" s="36" t="inlineStr">
        <is>
          <t>living-benefits</t>
        </is>
      </c>
      <c r="H89" s="36" t="n">
        <v>1</v>
      </c>
      <c r="I89" s="36" t="inlineStr">
        <is>
          <t>https://instasure.ca/critical-illness-insurance/</t>
        </is>
      </c>
      <c r="J89" s="36">
        <f>IF(I89="","No","Yes")</f>
        <v/>
      </c>
      <c r="K89" s="39">
        <f>IF(I89="","",IFERROR(IF(ISNUMBER(SEARCH(A89,INDEX(Pages!$J$2:$J$829,MATCH(I89,Pages!$B$2:$B$829,0)))),"Yes","No"),"Page not found"))</f>
        <v/>
      </c>
      <c r="L89" s="25" t="inlineStr">
        <is>
          <t>policyadvisor (cost page + calculator), ratehub (age table), policyme</t>
        </is>
      </c>
      <c r="M89" s="25" t="n"/>
      <c r="N89" s="40" t="n"/>
      <c r="O89" s="38" t="n"/>
      <c r="P89" s="38" t="n"/>
    </row>
    <row r="90" ht="15" customHeight="1" s="22">
      <c r="A90" s="36" t="inlineStr">
        <is>
          <t>directors and officers insurance</t>
        </is>
      </c>
      <c r="B90" s="36" t="inlineStr">
        <is>
          <t>Business insurance</t>
        </is>
      </c>
      <c r="C90" s="36" t="inlineStr">
        <is>
          <t>Business Insurance</t>
        </is>
      </c>
      <c r="D90" s="37" t="n">
        <v>880</v>
      </c>
      <c r="E90" s="36" t="n">
        <v>45</v>
      </c>
      <c r="F90" s="36" t="inlineStr">
        <is>
          <t>commercial</t>
        </is>
      </c>
      <c r="G90" s="36" t="inlineStr">
        <is>
          <t>business</t>
        </is>
      </c>
      <c r="H90" s="36" t="n">
        <v>3</v>
      </c>
      <c r="I90" s="36" t="inlineStr">
        <is>
          <t>https://instasure.ca/business-insurance/directors-and-officers/</t>
        </is>
      </c>
      <c r="J90" s="36">
        <f>IF(I90="","No","Yes")</f>
        <v/>
      </c>
      <c r="K90" s="39">
        <f>IF(I90="","",IFERROR(IF(ISNUMBER(SEARCH(A90,INDEX(Pages!$J$2:$J$829,MATCH(I90,Pages!$B$2:$B$829,0)))),"Yes","No"),"Page not found"))</f>
        <v/>
      </c>
      <c r="L90" s="25" t="inlineStr">
        <is>
          <t>ratehub, policyadvisor</t>
        </is>
      </c>
      <c r="M90" s="25" t="inlineStr">
        <is>
          <t>Non-profit boards are an easy, under-served segment.</t>
        </is>
      </c>
      <c r="N90" s="40" t="n"/>
      <c r="O90" s="38" t="n"/>
      <c r="P90" s="38" t="n"/>
    </row>
    <row r="91" ht="15" customHeight="1" s="22">
      <c r="A91" s="36" t="inlineStr">
        <is>
          <t>electric car insurance</t>
        </is>
      </c>
      <c r="B91" s="36" t="inlineStr">
        <is>
          <t>Car insurance</t>
        </is>
      </c>
      <c r="C91" s="36" t="inlineStr">
        <is>
          <t>Car Insurance</t>
        </is>
      </c>
      <c r="D91" s="37" t="n">
        <v>880</v>
      </c>
      <c r="E91" s="36" t="n">
        <v>35</v>
      </c>
      <c r="F91" s="36" t="inlineStr">
        <is>
          <t>commercial</t>
        </is>
      </c>
      <c r="G91" s="36" t="inlineStr">
        <is>
          <t>auto-persona</t>
        </is>
      </c>
      <c r="H91" s="36" t="n">
        <v>3</v>
      </c>
      <c r="I91" s="36" t="inlineStr">
        <is>
          <t>https://instasure.ca/car-insurance/electric-and-hybrid/</t>
        </is>
      </c>
      <c r="J91" s="36">
        <f>IF(I91="","No","Yes")</f>
        <v/>
      </c>
      <c r="K91" s="39">
        <f>IF(I91="","",IFERROR(IF(ISNUMBER(SEARCH(A91,INDEX(Pages!$J$2:$J$829,MATCH(I91,Pages!$B$2:$B$829,0)))),"Yes","No"),"Page not found"))</f>
        <v/>
      </c>
      <c r="L91" s="25" t="inlineStr">
        <is>
          <t>ratehub, rates.ca</t>
        </is>
      </c>
      <c r="M91" s="25" t="n"/>
      <c r="N91" s="40" t="n"/>
      <c r="O91" s="38" t="n"/>
      <c r="P91" s="38" t="n"/>
    </row>
    <row r="92" ht="15" customHeight="1" s="22">
      <c r="A92" s="36" t="inlineStr">
        <is>
          <t>funeral insurance canada</t>
        </is>
      </c>
      <c r="B92" s="36" t="inlineStr">
        <is>
          <t>Life insurance</t>
        </is>
      </c>
      <c r="C92" s="36" t="inlineStr">
        <is>
          <t>Life Insurance</t>
        </is>
      </c>
      <c r="D92" s="37" t="n">
        <v>880</v>
      </c>
      <c r="E92" s="36" t="n">
        <v>35</v>
      </c>
      <c r="F92" s="36" t="inlineStr">
        <is>
          <t>commercial</t>
        </is>
      </c>
      <c r="G92" s="36" t="inlineStr">
        <is>
          <t>life-audience</t>
        </is>
      </c>
      <c r="H92" s="36" t="n">
        <v>1</v>
      </c>
      <c r="I92" s="36" t="inlineStr">
        <is>
          <t>https://instasure.ca/life-insurance/funeral-expense/</t>
        </is>
      </c>
      <c r="J92" s="36">
        <f>IF(I92="","No","Yes")</f>
        <v/>
      </c>
      <c r="K92" s="39">
        <f>IF(I92="","",IFERROR(IF(ISNUMBER(SEARCH(A92,INDEX(Pages!$J$2:$J$829,MATCH(I92,Pages!$B$2:$B$829,0)))),"Yes","No"),"Page not found"))</f>
        <v/>
      </c>
      <c r="L92" s="25" t="inlineStr">
        <is>
          <t>policyadvisor, sun life</t>
        </is>
      </c>
      <c r="M92" s="25" t="n"/>
      <c r="N92" s="40" t="n"/>
      <c r="O92" s="38" t="n"/>
      <c r="P92" s="38" t="n"/>
    </row>
    <row r="93" ht="15" customHeight="1" s="22">
      <c r="A93" s="36" t="inlineStr">
        <is>
          <t>home and auto insurance bundle</t>
        </is>
      </c>
      <c r="B93" s="36" t="inlineStr">
        <is>
          <t>Car insurance</t>
        </is>
      </c>
      <c r="C93" s="36" t="inlineStr">
        <is>
          <t>Car Insurance</t>
        </is>
      </c>
      <c r="D93" s="37" t="n">
        <v>880</v>
      </c>
      <c r="E93" s="36" t="n">
        <v>45</v>
      </c>
      <c r="F93" s="36" t="inlineStr">
        <is>
          <t>commercial</t>
        </is>
      </c>
      <c r="G93" s="36" t="inlineStr">
        <is>
          <t>auto-core</t>
        </is>
      </c>
      <c r="H93" s="36" t="n">
        <v>3</v>
      </c>
      <c r="I93" s="36" t="inlineStr">
        <is>
          <t>https://instasure.ca/car-insurance/home-and-auto-bundle/</t>
        </is>
      </c>
      <c r="J93" s="36">
        <f>IF(I93="","No","Yes")</f>
        <v/>
      </c>
      <c r="K93" s="39">
        <f>IF(I93="","",IFERROR(IF(ISNUMBER(SEARCH(A93,INDEX(Pages!$J$2:$J$829,MATCH(I93,Pages!$B$2:$B$829,0)))),"Yes","No"),"Page not found"))</f>
        <v/>
      </c>
      <c r="L93" s="25" t="inlineStr">
        <is>
          <t>ratehub, rates.ca</t>
        </is>
      </c>
      <c r="M93" s="25" t="inlineStr">
        <is>
          <t>Built (service page).</t>
        </is>
      </c>
      <c r="N93" s="40" t="n"/>
      <c r="O93" s="38" t="n"/>
      <c r="P93" s="38" t="n"/>
    </row>
    <row r="94" ht="23.85" customHeight="1" s="22">
      <c r="A94" s="36" t="inlineStr">
        <is>
          <t>life insurance cost by age</t>
        </is>
      </c>
      <c r="B94" s="36" t="inlineStr">
        <is>
          <t>Life insurance</t>
        </is>
      </c>
      <c r="C94" s="36" t="inlineStr">
        <is>
          <t>Life Insurance</t>
        </is>
      </c>
      <c r="D94" s="37" t="n">
        <v>880</v>
      </c>
      <c r="E94" s="36" t="n">
        <v>45</v>
      </c>
      <c r="F94" s="36" t="inlineStr">
        <is>
          <t>informational</t>
        </is>
      </c>
      <c r="G94" s="36" t="inlineStr">
        <is>
          <t>life-cost</t>
        </is>
      </c>
      <c r="H94" s="36" t="n">
        <v>1</v>
      </c>
      <c r="I94" s="36" t="inlineStr">
        <is>
          <t>https://instasure.ca/guides/how-much-does-life-insurance-cost-canada/</t>
        </is>
      </c>
      <c r="J94" s="36">
        <f>IF(I94="","No","Yes")</f>
        <v/>
      </c>
      <c r="K94" s="39">
        <f>IF(I94="","",IFERROR(IF(ISNUMBER(SEARCH(A94,INDEX(Pages!$J$2:$J$829,MATCH(I94,Pages!$B$2:$B$829,0)))),"Yes","No"),"Page not found"))</f>
        <v/>
      </c>
      <c r="L94" s="25" t="inlineStr">
        <is>
          <t>policyadvisor (20/40/50 pages)</t>
        </is>
      </c>
      <c r="M94" s="25" t="inlineStr">
        <is>
          <t>Planned: one page per age band (/life-insurance/cost/age-35/) once the Rate Index has quote data.</t>
        </is>
      </c>
      <c r="N94" s="40" t="n"/>
      <c r="O94" s="38" t="n"/>
      <c r="P94" s="38" t="n"/>
    </row>
    <row r="95" ht="15" customHeight="1" s="22">
      <c r="A95" s="36" t="inlineStr">
        <is>
          <t>overland flood insurance</t>
        </is>
      </c>
      <c r="B95" s="36" t="inlineStr">
        <is>
          <t>Home insurance</t>
        </is>
      </c>
      <c r="C95" s="36" t="inlineStr">
        <is>
          <t>Home Insurance</t>
        </is>
      </c>
      <c r="D95" s="37" t="n">
        <v>880</v>
      </c>
      <c r="E95" s="36" t="n">
        <v>40</v>
      </c>
      <c r="F95" s="36" t="inlineStr">
        <is>
          <t>informational</t>
        </is>
      </c>
      <c r="G95" s="36" t="inlineStr">
        <is>
          <t>property-coverage</t>
        </is>
      </c>
      <c r="H95" s="36" t="n">
        <v>1</v>
      </c>
      <c r="I95" s="36" t="inlineStr">
        <is>
          <t>https://instasure.ca/guides/does-home-insurance-cover-water-damage-canada/</t>
        </is>
      </c>
      <c r="J95" s="36">
        <f>IF(I95="","No","Yes")</f>
        <v/>
      </c>
      <c r="K95" s="39">
        <f>IF(I95="","",IFERROR(IF(ISNUMBER(SEARCH(A95,INDEX(Pages!$J$2:$J$829,MATCH(I95,Pages!$B$2:$B$829,0)))),"Yes","No"),"Page not found"))</f>
        <v/>
      </c>
      <c r="L95" s="25" t="inlineStr">
        <is>
          <t>ratehub, CAA</t>
        </is>
      </c>
      <c r="M95" s="25" t="n"/>
      <c r="N95" s="40" t="n"/>
      <c r="O95" s="38" t="n"/>
      <c r="P95" s="38" t="n"/>
    </row>
    <row r="96" ht="15" customHeight="1" s="22">
      <c r="A96" s="36" t="inlineStr">
        <is>
          <t>sonnet insurance review</t>
        </is>
      </c>
      <c r="B96" s="36" t="inlineStr">
        <is>
          <t>Car insurance</t>
        </is>
      </c>
      <c r="C96" s="36" t="inlineStr">
        <is>
          <t>Car Insurance</t>
        </is>
      </c>
      <c r="D96" s="37" t="n">
        <v>880</v>
      </c>
      <c r="E96" s="36" t="n">
        <v>30</v>
      </c>
      <c r="F96" s="36" t="inlineStr">
        <is>
          <t>commercial</t>
        </is>
      </c>
      <c r="G96" s="36" t="inlineStr">
        <is>
          <t>brand-reviews</t>
        </is>
      </c>
      <c r="H96" s="36" t="n">
        <v>3</v>
      </c>
      <c r="I96" s="36" t="n"/>
      <c r="J96" s="36">
        <f>IF(I96="","No","Yes")</f>
        <v/>
      </c>
      <c r="K96" s="39">
        <f>IF(I96="","",IFERROR(IF(ISNUMBER(SEARCH(A96,INDEX(Pages!$J$2:$J$829,MATCH(I96,Pages!$B$2:$B$829,0)))),"Yes","No"),"Page not found"))</f>
        <v/>
      </c>
      <c r="L96" s="25" t="inlineStr">
        <is>
          <t>youset, policyme, lowestrates, comparewise</t>
        </is>
      </c>
      <c r="M96" s="25" t="inlineStr">
        <is>
          <t>Planned: /reviews/{insurer}/. Brand-review SERPs looked soft.</t>
        </is>
      </c>
      <c r="N96" s="40" t="n"/>
      <c r="O96" s="38" t="n"/>
      <c r="P96" s="38" t="n"/>
    </row>
    <row r="97" ht="15" customHeight="1" s="22">
      <c r="A97" s="36" t="inlineStr">
        <is>
          <t>super visa insurance requirements</t>
        </is>
      </c>
      <c r="B97" s="36" t="inlineStr">
        <is>
          <t>Super Visa &amp; visitors insurance</t>
        </is>
      </c>
      <c r="C97" s="36" t="inlineStr">
        <is>
          <t>Super Visa Insurance</t>
        </is>
      </c>
      <c r="D97" s="37" t="n">
        <v>880</v>
      </c>
      <c r="E97" s="36" t="n">
        <v>35</v>
      </c>
      <c r="F97" s="36" t="inlineStr">
        <is>
          <t>informational</t>
        </is>
      </c>
      <c r="G97" s="36" t="inlineStr">
        <is>
          <t>travel-visitors</t>
        </is>
      </c>
      <c r="H97" s="36" t="n">
        <v>1</v>
      </c>
      <c r="I97" s="36" t="inlineStr">
        <is>
          <t>https://instasure.ca/guides/super-visa-insurance-requirements-cost/</t>
        </is>
      </c>
      <c r="J97" s="36">
        <f>IF(I97="","No","Yes")</f>
        <v/>
      </c>
      <c r="K97" s="39">
        <f>IF(I97="","",IFERROR(IF(ISNUMBER(SEARCH(A97,INDEX(Pages!$J$2:$J$829,MATCH(I97,Pages!$B$2:$B$829,0)))),"Yes","No"),"Page not found"))</f>
        <v/>
      </c>
      <c r="L97" s="25" t="inlineStr">
        <is>
          <t>policyadvisor, rbc</t>
        </is>
      </c>
      <c r="M97" s="25" t="n"/>
      <c r="N97" s="40" t="n"/>
      <c r="O97" s="38" t="n"/>
      <c r="P97" s="38" t="n"/>
    </row>
    <row r="98" ht="15" customHeight="1" s="22">
      <c r="A98" s="36" t="inlineStr">
        <is>
          <t>term life insurance rates</t>
        </is>
      </c>
      <c r="B98" s="36" t="inlineStr">
        <is>
          <t>Life insurance</t>
        </is>
      </c>
      <c r="C98" s="36" t="inlineStr">
        <is>
          <t>Term Life Insurance</t>
        </is>
      </c>
      <c r="D98" s="37" t="n">
        <v>880</v>
      </c>
      <c r="E98" s="36" t="n">
        <v>55</v>
      </c>
      <c r="F98" s="36" t="inlineStr">
        <is>
          <t>commercial</t>
        </is>
      </c>
      <c r="G98" s="36" t="inlineStr">
        <is>
          <t>life-cost</t>
        </is>
      </c>
      <c r="H98" s="36" t="n">
        <v>2</v>
      </c>
      <c r="I98" s="36" t="inlineStr">
        <is>
          <t>https://instasure.ca/term-life-insurance/</t>
        </is>
      </c>
      <c r="J98" s="36">
        <f>IF(I98="","No","Yes")</f>
        <v/>
      </c>
      <c r="K98" s="39">
        <f>IF(I98="","",IFERROR(IF(ISNUMBER(SEARCH(A98,INDEX(Pages!$J$2:$J$829,MATCH(I98,Pages!$B$2:$B$829,0)))),"Yes","No"),"Page not found"))</f>
        <v/>
      </c>
      <c r="L98" s="25" t="inlineStr">
        <is>
          <t>sun life (rates page), policyadvisor</t>
        </is>
      </c>
      <c r="M98" s="25" t="n"/>
      <c r="N98" s="40" t="n"/>
      <c r="O98" s="38" t="n"/>
      <c r="P98" s="38" t="n"/>
    </row>
    <row r="99" ht="15" customHeight="1" s="22">
      <c r="A99" s="36" t="inlineStr">
        <is>
          <t>airbnb insurance canada</t>
        </is>
      </c>
      <c r="B99" s="36" t="inlineStr">
        <is>
          <t>Landlord &amp; rental property</t>
        </is>
      </c>
      <c r="C99" s="36" t="inlineStr">
        <is>
          <t>Home Insurance</t>
        </is>
      </c>
      <c r="D99" s="37" t="n">
        <v>720</v>
      </c>
      <c r="E99" s="36" t="n">
        <v>35</v>
      </c>
      <c r="F99" s="36" t="inlineStr">
        <is>
          <t>commercial</t>
        </is>
      </c>
      <c r="G99" s="36" t="inlineStr">
        <is>
          <t>property-niche</t>
        </is>
      </c>
      <c r="H99" s="36" t="n">
        <v>2</v>
      </c>
      <c r="I99" s="36" t="inlineStr">
        <is>
          <t>https://instasure.ca/home-insurance/short-term-rental/</t>
        </is>
      </c>
      <c r="J99" s="36">
        <f>IF(I99="","No","Yes")</f>
        <v/>
      </c>
      <c r="K99" s="39">
        <f>IF(I99="","",IFERROR(IF(ISNUMBER(SEARCH(A99,INDEX(Pages!$J$2:$J$829,MATCH(I99,Pages!$B$2:$B$829,0)))),"Yes","No"),"Page not found"))</f>
        <v/>
      </c>
      <c r="L99" s="25" t="inlineStr">
        <is>
          <t>(not seen)</t>
        </is>
      </c>
      <c r="M99" s="25" t="inlineStr">
        <is>
          <t>Built with the Short-term rental desk (niche gap: Ratehub has one page, no one staffs it).</t>
        </is>
      </c>
      <c r="N99" s="40" t="n"/>
      <c r="O99" s="38" t="n"/>
      <c r="P99" s="38" t="n"/>
    </row>
    <row r="100" ht="15" customHeight="1" s="22">
      <c r="A100" s="36" t="inlineStr">
        <is>
          <t>canadian dental care plan vs private insurance</t>
        </is>
      </c>
      <c r="B100" s="36" t="inlineStr">
        <is>
          <t>Health &amp; dental insurance</t>
        </is>
      </c>
      <c r="C100" s="36" t="inlineStr">
        <is>
          <t>Health &amp; Dental Insurance</t>
        </is>
      </c>
      <c r="D100" s="37" t="n">
        <v>720</v>
      </c>
      <c r="E100" s="36" t="n">
        <v>25</v>
      </c>
      <c r="F100" s="36" t="inlineStr">
        <is>
          <t>informational</t>
        </is>
      </c>
      <c r="G100" s="36" t="inlineStr">
        <is>
          <t>health-dental</t>
        </is>
      </c>
      <c r="H100" s="36" t="n">
        <v>1</v>
      </c>
      <c r="I100" s="36" t="inlineStr">
        <is>
          <t>https://instasure.ca/guides/private-dental-insurance-vs-cdcp/</t>
        </is>
      </c>
      <c r="J100" s="36">
        <f>IF(I100="","No","Yes")</f>
        <v/>
      </c>
      <c r="K100" s="39">
        <f>IF(I100="","",IFERROR(IF(ISNUMBER(SEARCH(A100,INDEX(Pages!$J$2:$J$829,MATCH(I100,Pages!$B$2:$B$829,0)))),"Yes","No"),"Page not found"))</f>
        <v/>
      </c>
      <c r="L100" s="25" t="inlineStr">
        <is>
          <t>dental clinics (weak)</t>
        </is>
      </c>
      <c r="M100" s="25" t="inlineStr">
        <is>
          <t>Weak SERP. CDCP opened to adults 18 to 64 in 2026.</t>
        </is>
      </c>
      <c r="N100" s="40" t="n"/>
      <c r="O100" s="38" t="n"/>
      <c r="P100" s="38" t="n"/>
    </row>
    <row r="101" ht="15" customHeight="1" s="22">
      <c r="A101" s="36" t="inlineStr">
        <is>
          <t>children's life insurance</t>
        </is>
      </c>
      <c r="B101" s="36" t="inlineStr">
        <is>
          <t>Life insurance</t>
        </is>
      </c>
      <c r="C101" s="36" t="inlineStr">
        <is>
          <t>Life Insurance</t>
        </is>
      </c>
      <c r="D101" s="37" t="n">
        <v>720</v>
      </c>
      <c r="E101" s="36" t="n">
        <v>40</v>
      </c>
      <c r="F101" s="36" t="inlineStr">
        <is>
          <t>commercial</t>
        </is>
      </c>
      <c r="G101" s="36" t="inlineStr">
        <is>
          <t>life-audience</t>
        </is>
      </c>
      <c r="H101" s="36" t="n">
        <v>4</v>
      </c>
      <c r="I101" s="36" t="n"/>
      <c r="J101" s="36">
        <f>IF(I101="","No","Yes")</f>
        <v/>
      </c>
      <c r="K101" s="39">
        <f>IF(I101="","",IFERROR(IF(ISNUMBER(SEARCH(A101,INDEX(Pages!$J$2:$J$829,MATCH(I101,Pages!$B$2:$B$829,0)))),"Yes","No"),"Page not found"))</f>
        <v/>
      </c>
      <c r="L101" s="25" t="inlineStr">
        <is>
          <t>policyadvisor</t>
        </is>
      </c>
      <c r="M101" s="25" t="inlineStr">
        <is>
          <t>Planned: /life-insurance/children/.</t>
        </is>
      </c>
      <c r="N101" s="40" t="n"/>
      <c r="O101" s="38" t="n"/>
      <c r="P101" s="38" t="n"/>
    </row>
    <row r="102" ht="15" customHeight="1" s="22">
      <c r="A102" s="36" t="inlineStr">
        <is>
          <t>condo insurance cost</t>
        </is>
      </c>
      <c r="B102" s="36" t="inlineStr">
        <is>
          <t>Condo insurance</t>
        </is>
      </c>
      <c r="C102" s="36" t="inlineStr">
        <is>
          <t>Condo Insurance</t>
        </is>
      </c>
      <c r="D102" s="37" t="n">
        <v>720</v>
      </c>
      <c r="E102" s="36" t="n">
        <v>40</v>
      </c>
      <c r="F102" s="36" t="inlineStr">
        <is>
          <t>informational</t>
        </is>
      </c>
      <c r="G102" s="36" t="inlineStr">
        <is>
          <t>property-cost</t>
        </is>
      </c>
      <c r="H102" s="36" t="n">
        <v>2</v>
      </c>
      <c r="I102" s="36" t="inlineStr">
        <is>
          <t>https://instasure.ca/condo-insurance/</t>
        </is>
      </c>
      <c r="J102" s="36">
        <f>IF(I102="","No","Yes")</f>
        <v/>
      </c>
      <c r="K102" s="39">
        <f>IF(I102="","",IFERROR(IF(ISNUMBER(SEARCH(A102,INDEX(Pages!$J$2:$J$829,MATCH(I102,Pages!$B$2:$B$829,0)))),"Yes","No"),"Page not found"))</f>
        <v/>
      </c>
      <c r="L102" s="25" t="inlineStr">
        <is>
          <t>ratehub, rates.ca</t>
        </is>
      </c>
      <c r="M102" s="25" t="n"/>
      <c r="N102" s="40" t="n"/>
      <c r="O102" s="38" t="n"/>
      <c r="P102" s="38" t="n"/>
    </row>
    <row r="103" ht="15" customHeight="1" s="22">
      <c r="A103" s="36" t="inlineStr">
        <is>
          <t>employee benefits for small business</t>
        </is>
      </c>
      <c r="B103" s="36" t="inlineStr">
        <is>
          <t>Group benefits</t>
        </is>
      </c>
      <c r="C103" s="36" t="inlineStr">
        <is>
          <t>Group Benefits</t>
        </is>
      </c>
      <c r="D103" s="37" t="n">
        <v>720</v>
      </c>
      <c r="E103" s="36" t="n">
        <v>45</v>
      </c>
      <c r="F103" s="36" t="inlineStr">
        <is>
          <t>commercial</t>
        </is>
      </c>
      <c r="G103" s="36" t="inlineStr">
        <is>
          <t>business-benefits</t>
        </is>
      </c>
      <c r="H103" s="36" t="n">
        <v>1</v>
      </c>
      <c r="I103" s="36" t="inlineStr">
        <is>
          <t>https://instasure.ca/group-benefits/</t>
        </is>
      </c>
      <c r="J103" s="36">
        <f>IF(I103="","No","Yes")</f>
        <v/>
      </c>
      <c r="K103" s="39">
        <f>IF(I103="","",IFERROR(IF(ISNUMBER(SEARCH(A103,INDEX(Pages!$J$2:$J$829,MATCH(I103,Pages!$B$2:$B$829,0)))),"Yes","No"),"Page not found"))</f>
        <v/>
      </c>
      <c r="L103" s="25" t="inlineStr">
        <is>
          <t>policyadvisor</t>
        </is>
      </c>
      <c r="M103" s="25" t="n"/>
      <c r="N103" s="40" t="n"/>
      <c r="O103" s="38" t="n"/>
      <c r="P103" s="38" t="n"/>
    </row>
    <row r="104" ht="15" customHeight="1" s="22">
      <c r="A104" s="36" t="inlineStr">
        <is>
          <t>international student health insurance canada</t>
        </is>
      </c>
      <c r="B104" s="36" t="inlineStr">
        <is>
          <t>Travel insurance</t>
        </is>
      </c>
      <c r="C104" s="36" t="inlineStr">
        <is>
          <t>Travel Insurance</t>
        </is>
      </c>
      <c r="D104" s="37" t="n">
        <v>720</v>
      </c>
      <c r="E104" s="36" t="n">
        <v>40</v>
      </c>
      <c r="F104" s="36" t="inlineStr">
        <is>
          <t>commercial</t>
        </is>
      </c>
      <c r="G104" s="36" t="inlineStr">
        <is>
          <t>travel-visitors</t>
        </is>
      </c>
      <c r="H104" s="36" t="n">
        <v>3</v>
      </c>
      <c r="I104" s="36" t="inlineStr">
        <is>
          <t>https://instasure.ca/travel-insurance/international-students/</t>
        </is>
      </c>
      <c r="J104" s="36">
        <f>IF(I104="","No","Yes")</f>
        <v/>
      </c>
      <c r="K104" s="39">
        <f>IF(I104="","",IFERROR(IF(ISNUMBER(SEARCH(A104,INDEX(Pages!$J$2:$J$829,MATCH(I104,Pages!$B$2:$B$829,0)))),"Yes","No"),"Page not found"))</f>
        <v/>
      </c>
      <c r="L104" s="25" t="inlineStr">
        <is>
          <t>policyadvisor</t>
        </is>
      </c>
      <c r="M104" s="25" t="inlineStr">
        <is>
          <t>Built (service page).</t>
        </is>
      </c>
      <c r="N104" s="40" t="n"/>
      <c r="O104" s="38" t="n"/>
      <c r="P104" s="38" t="n"/>
    </row>
    <row r="105" ht="15" customHeight="1" s="22">
      <c r="A105" s="36" t="inlineStr">
        <is>
          <t>is life insurance taxable in canada</t>
        </is>
      </c>
      <c r="B105" s="36" t="inlineStr">
        <is>
          <t>Life insurance</t>
        </is>
      </c>
      <c r="C105" s="36" t="inlineStr">
        <is>
          <t>Life Insurance</t>
        </is>
      </c>
      <c r="D105" s="37" t="n">
        <v>720</v>
      </c>
      <c r="E105" s="36" t="n">
        <v>40</v>
      </c>
      <c r="F105" s="36" t="inlineStr">
        <is>
          <t>informational</t>
        </is>
      </c>
      <c r="G105" s="36" t="inlineStr">
        <is>
          <t>life-tax</t>
        </is>
      </c>
      <c r="H105" s="36" t="n">
        <v>3</v>
      </c>
      <c r="I105" s="36" t="n"/>
      <c r="J105" s="36">
        <f>IF(I105="","No","Yes")</f>
        <v/>
      </c>
      <c r="K105" s="39">
        <f>IF(I105="","",IFERROR(IF(ISNUMBER(SEARCH(A105,INDEX(Pages!$J$2:$J$829,MATCH(I105,Pages!$B$2:$B$829,0)))),"Yes","No"),"Page not found"))</f>
        <v/>
      </c>
      <c r="L105" s="25" t="inlineStr">
        <is>
          <t>policyadvisor</t>
        </is>
      </c>
      <c r="M105" s="25" t="inlineStr">
        <is>
          <t>Planned guide.</t>
        </is>
      </c>
      <c r="N105" s="40" t="n"/>
      <c r="O105" s="38" t="n"/>
      <c r="P105" s="38" t="n"/>
    </row>
    <row r="106" ht="15" customHeight="1" s="22">
      <c r="A106" s="36" t="inlineStr">
        <is>
          <t>mobile home insurance</t>
        </is>
      </c>
      <c r="B106" s="36" t="inlineStr">
        <is>
          <t>Home insurance</t>
        </is>
      </c>
      <c r="C106" s="36" t="inlineStr">
        <is>
          <t>Home Insurance</t>
        </is>
      </c>
      <c r="D106" s="37" t="n">
        <v>720</v>
      </c>
      <c r="E106" s="36" t="n">
        <v>30</v>
      </c>
      <c r="F106" s="36" t="inlineStr">
        <is>
          <t>commercial</t>
        </is>
      </c>
      <c r="G106" s="36" t="inlineStr">
        <is>
          <t>property-niche</t>
        </is>
      </c>
      <c r="H106" s="36" t="n">
        <v>3</v>
      </c>
      <c r="I106" s="36" t="inlineStr">
        <is>
          <t>https://instasure.ca/home-insurance/mobile-and-manufactured/</t>
        </is>
      </c>
      <c r="J106" s="36">
        <f>IF(I106="","No","Yes")</f>
        <v/>
      </c>
      <c r="K106" s="39">
        <f>IF(I106="","",IFERROR(IF(ISNUMBER(SEARCH(A106,INDEX(Pages!$J$2:$J$829,MATCH(I106,Pages!$B$2:$B$829,0)))),"Yes","No"),"Page not found"))</f>
        <v/>
      </c>
      <c r="L106" s="25" t="inlineStr">
        <is>
          <t>ratehub</t>
        </is>
      </c>
      <c r="M106" s="25" t="n"/>
      <c r="N106" s="40" t="n"/>
      <c r="O106" s="38" t="n"/>
      <c r="P106" s="38" t="n"/>
    </row>
    <row r="107" ht="15" customHeight="1" s="22">
      <c r="A107" s="36" t="inlineStr">
        <is>
          <t>small business insurance cost</t>
        </is>
      </c>
      <c r="B107" s="36" t="inlineStr">
        <is>
          <t>Business insurance</t>
        </is>
      </c>
      <c r="C107" s="36" t="inlineStr">
        <is>
          <t>Business Insurance</t>
        </is>
      </c>
      <c r="D107" s="37" t="n">
        <v>720</v>
      </c>
      <c r="E107" s="36" t="n">
        <v>40</v>
      </c>
      <c r="F107" s="36" t="inlineStr">
        <is>
          <t>informational</t>
        </is>
      </c>
      <c r="G107" s="36" t="inlineStr">
        <is>
          <t>business</t>
        </is>
      </c>
      <c r="H107" s="36" t="n">
        <v>1</v>
      </c>
      <c r="I107" s="36" t="inlineStr">
        <is>
          <t>https://instasure.ca/guides/small-business-insurance-cost-canada/</t>
        </is>
      </c>
      <c r="J107" s="36">
        <f>IF(I107="","No","Yes")</f>
        <v/>
      </c>
      <c r="K107" s="39">
        <f>IF(I107="","",IFERROR(IF(ISNUMBER(SEARCH(A107,INDEX(Pages!$J$2:$J$829,MATCH(I107,Pages!$B$2:$B$829,0)))),"Yes","No"),"Page not found"))</f>
        <v/>
      </c>
      <c r="L107" s="25" t="inlineStr">
        <is>
          <t>ratehub blog, rates.ca (price anchors)</t>
        </is>
      </c>
      <c r="M107" s="25" t="n"/>
      <c r="N107" s="40" t="n"/>
      <c r="O107" s="38" t="n"/>
      <c r="P107" s="38" t="n"/>
    </row>
    <row r="108" ht="15" customHeight="1" s="22">
      <c r="A108" s="36" t="inlineStr">
        <is>
          <t>why is home insurance going up</t>
        </is>
      </c>
      <c r="B108" s="36" t="inlineStr">
        <is>
          <t>Home insurance</t>
        </is>
      </c>
      <c r="C108" s="36" t="inlineStr">
        <is>
          <t>Home Insurance</t>
        </is>
      </c>
      <c r="D108" s="37" t="n">
        <v>720</v>
      </c>
      <c r="E108" s="36" t="n">
        <v>30</v>
      </c>
      <c r="F108" s="36" t="inlineStr">
        <is>
          <t>informational</t>
        </is>
      </c>
      <c r="G108" s="36" t="inlineStr">
        <is>
          <t>property-cost</t>
        </is>
      </c>
      <c r="H108" s="36" t="n">
        <v>2</v>
      </c>
      <c r="I108" s="36" t="n"/>
      <c r="J108" s="36">
        <f>IF(I108="","No","Yes")</f>
        <v/>
      </c>
      <c r="K108" s="39">
        <f>IF(I108="","",IFERROR(IF(ISNUMBER(SEARCH(A108,INDEX(Pages!$J$2:$J$829,MATCH(I108,Pages!$B$2:$B$829,0)))),"Yes","No"),"Page not found"))</f>
        <v/>
      </c>
      <c r="L108" s="25" t="inlineStr">
        <is>
          <t>(news)</t>
        </is>
      </c>
      <c r="M108" s="25" t="inlineStr">
        <is>
          <t>Property premiums rose 5.8% year over year in Q2 2026 (Applied, verify). Planned guide.</t>
        </is>
      </c>
      <c r="N108" s="40" t="n"/>
      <c r="O108" s="38" t="n"/>
      <c r="P108" s="38" t="n"/>
    </row>
    <row r="109" ht="15" customHeight="1" s="22">
      <c r="A109" s="36" t="inlineStr">
        <is>
          <t>buy life insurance online</t>
        </is>
      </c>
      <c r="B109" s="36" t="inlineStr">
        <is>
          <t>Life insurance</t>
        </is>
      </c>
      <c r="C109" s="36" t="inlineStr">
        <is>
          <t>No-Medical Life Insurance</t>
        </is>
      </c>
      <c r="D109" s="37" t="n">
        <v>590</v>
      </c>
      <c r="E109" s="36" t="n">
        <v>40</v>
      </c>
      <c r="F109" s="36" t="inlineStr">
        <is>
          <t>transactional</t>
        </is>
      </c>
      <c r="G109" s="36" t="inlineStr">
        <is>
          <t>life-instant</t>
        </is>
      </c>
      <c r="H109" s="36" t="n">
        <v>1</v>
      </c>
      <c r="I109" s="36" t="inlineStr">
        <is>
          <t>https://instasure.ca/no-medical-life-insurance/</t>
        </is>
      </c>
      <c r="J109" s="36">
        <f>IF(I109="","No","Yes")</f>
        <v/>
      </c>
      <c r="K109" s="39">
        <f>IF(I109="","",IFERROR(IF(ISNUMBER(SEARCH(A109,INDEX(Pages!$J$2:$J$829,MATCH(I109,Pages!$B$2:$B$829,0)))),"Yes","No"),"Page not found"))</f>
        <v/>
      </c>
      <c r="L109" s="25" t="inlineStr">
        <is>
          <t>sun life go, coverme, policyme, policyadvisor</t>
        </is>
      </c>
      <c r="M109" s="25" t="inlineStr">
        <is>
          <t>Brand fit. Say "instant" only where a product truly binds online in that province.</t>
        </is>
      </c>
      <c r="N109" s="40" t="n"/>
      <c r="O109" s="38" t="n"/>
      <c r="P109" s="38" t="n"/>
    </row>
    <row r="110" ht="15" customHeight="1" s="22">
      <c r="A110" s="36" t="inlineStr">
        <is>
          <t>cyber insurance canada</t>
        </is>
      </c>
      <c r="B110" s="36" t="inlineStr">
        <is>
          <t>Business insurance</t>
        </is>
      </c>
      <c r="C110" s="36" t="inlineStr">
        <is>
          <t>Business Insurance</t>
        </is>
      </c>
      <c r="D110" s="37" t="n">
        <v>590</v>
      </c>
      <c r="E110" s="36" t="n">
        <v>45</v>
      </c>
      <c r="F110" s="36" t="inlineStr">
        <is>
          <t>commercial</t>
        </is>
      </c>
      <c r="G110" s="36" t="inlineStr">
        <is>
          <t>business</t>
        </is>
      </c>
      <c r="H110" s="36" t="n">
        <v>3</v>
      </c>
      <c r="I110" s="36" t="inlineStr">
        <is>
          <t>https://instasure.ca/business-insurance/cyber/</t>
        </is>
      </c>
      <c r="J110" s="36">
        <f>IF(I110="","No","Yes")</f>
        <v/>
      </c>
      <c r="K110" s="39">
        <f>IF(I110="","",IFERROR(IF(ISNUMBER(SEARCH(A110,INDEX(Pages!$J$2:$J$829,MATCH(I110,Pages!$B$2:$B$829,0)))),"Yes","No"),"Page not found"))</f>
        <v/>
      </c>
      <c r="L110" s="25" t="inlineStr">
        <is>
          <t>ratehub</t>
        </is>
      </c>
      <c r="M110" s="25" t="inlineStr">
        <is>
          <t>Built (service page).</t>
        </is>
      </c>
      <c r="N110" s="40" t="n"/>
      <c r="O110" s="38" t="n"/>
      <c r="P110" s="38" t="n"/>
    </row>
    <row r="111" ht="23.85" customHeight="1" s="22">
      <c r="A111" s="36" t="inlineStr">
        <is>
          <t>disability insurance for self employed</t>
        </is>
      </c>
      <c r="B111" s="36" t="inlineStr">
        <is>
          <t>Disability insurance</t>
        </is>
      </c>
      <c r="C111" s="36" t="inlineStr">
        <is>
          <t>Disability Insurance</t>
        </is>
      </c>
      <c r="D111" s="37" t="n">
        <v>590</v>
      </c>
      <c r="E111" s="36" t="n">
        <v>35</v>
      </c>
      <c r="F111" s="36" t="inlineStr">
        <is>
          <t>commercial</t>
        </is>
      </c>
      <c r="G111" s="36" t="inlineStr">
        <is>
          <t>living-benefits</t>
        </is>
      </c>
      <c r="H111" s="36" t="n">
        <v>1</v>
      </c>
      <c r="I111" s="36" t="inlineStr">
        <is>
          <t>https://instasure.ca/disability-insurance/self-employed/</t>
        </is>
      </c>
      <c r="J111" s="36">
        <f>IF(I111="","No","Yes")</f>
        <v/>
      </c>
      <c r="K111" s="39">
        <f>IF(I111="","",IFERROR(IF(ISNUMBER(SEARCH(A111,INDEX(Pages!$J$2:$J$829,MATCH(I111,Pages!$B$2:$B$829,0)))),"Yes","No"),"Page not found"))</f>
        <v/>
      </c>
      <c r="L111" s="25" t="inlineStr">
        <is>
          <t>policyadvisor</t>
        </is>
      </c>
      <c r="M111" s="25" t="inlineStr">
        <is>
          <t>Built with the Self-employed income protection desk. Tie-in with the Ontario income-replacement opt-out.</t>
        </is>
      </c>
      <c r="N111" s="40" t="n"/>
      <c r="O111" s="38" t="n"/>
      <c r="P111" s="38" t="n"/>
    </row>
    <row r="112" ht="15" customHeight="1" s="22">
      <c r="A112" s="36" t="inlineStr">
        <is>
          <t>guaranteed issue life insurance</t>
        </is>
      </c>
      <c r="B112" s="36" t="inlineStr">
        <is>
          <t>Life insurance</t>
        </is>
      </c>
      <c r="C112" s="36" t="inlineStr">
        <is>
          <t>No-Medical Life Insurance</t>
        </is>
      </c>
      <c r="D112" s="37" t="n">
        <v>590</v>
      </c>
      <c r="E112" s="36" t="n">
        <v>40</v>
      </c>
      <c r="F112" s="36" t="inlineStr">
        <is>
          <t>commercial</t>
        </is>
      </c>
      <c r="G112" s="36" t="inlineStr">
        <is>
          <t>life-instant</t>
        </is>
      </c>
      <c r="H112" s="36" t="n">
        <v>2</v>
      </c>
      <c r="I112" s="36" t="inlineStr">
        <is>
          <t>https://instasure.ca/no-medical-life-insurance/</t>
        </is>
      </c>
      <c r="J112" s="36">
        <f>IF(I112="","No","Yes")</f>
        <v/>
      </c>
      <c r="K112" s="39">
        <f>IF(I112="","",IFERROR(IF(ISNUMBER(SEARCH(A112,INDEX(Pages!$J$2:$J$829,MATCH(I112,Pages!$B$2:$B$829,0)))),"Yes","No"),"Page not found"))</f>
        <v/>
      </c>
      <c r="L112" s="25" t="inlineStr">
        <is>
          <t>policyadvisor, sun life go guaranteed</t>
        </is>
      </c>
      <c r="M112" s="25" t="n"/>
      <c r="N112" s="40" t="n"/>
      <c r="O112" s="38" t="n"/>
      <c r="P112" s="38" t="n"/>
    </row>
    <row r="113" ht="15" customHeight="1" s="22">
      <c r="A113" s="36" t="inlineStr">
        <is>
          <t>hail damage insurance</t>
        </is>
      </c>
      <c r="B113" s="36" t="inlineStr">
        <is>
          <t>Home insurance</t>
        </is>
      </c>
      <c r="C113" s="36" t="inlineStr">
        <is>
          <t>Home Insurance</t>
        </is>
      </c>
      <c r="D113" s="37" t="n">
        <v>590</v>
      </c>
      <c r="E113" s="36" t="n">
        <v>30</v>
      </c>
      <c r="F113" s="36" t="inlineStr">
        <is>
          <t>informational</t>
        </is>
      </c>
      <c r="G113" s="36" t="inlineStr">
        <is>
          <t>property-coverage</t>
        </is>
      </c>
      <c r="H113" s="36" t="n">
        <v>2</v>
      </c>
      <c r="I113" s="36" t="inlineStr">
        <is>
          <t>https://instasure.ca/guides/calgary-hail-insurance-guide/</t>
        </is>
      </c>
      <c r="J113" s="36">
        <f>IF(I113="","No","Yes")</f>
        <v/>
      </c>
      <c r="K113" s="39">
        <f>IF(I113="","",IFERROR(IF(ISNUMBER(SEARCH(A113,INDEX(Pages!$J$2:$J$829,MATCH(I113,Pages!$B$2:$B$829,0)))),"Yes","No"),"Page not found"))</f>
        <v/>
      </c>
      <c r="L113" s="25" t="inlineStr">
        <is>
          <t>IBC data, local brokers</t>
        </is>
      </c>
      <c r="M113" s="25" t="n"/>
      <c r="N113" s="40" t="n"/>
      <c r="O113" s="38" t="n"/>
      <c r="P113" s="38" t="n"/>
    </row>
    <row r="114" ht="15" customHeight="1" s="22">
      <c r="A114" s="36" t="inlineStr">
        <is>
          <t>health insurance for self employed</t>
        </is>
      </c>
      <c r="B114" s="36" t="inlineStr">
        <is>
          <t>Health &amp; dental insurance</t>
        </is>
      </c>
      <c r="C114" s="36" t="inlineStr">
        <is>
          <t>Health &amp; Dental Insurance</t>
        </is>
      </c>
      <c r="D114" s="37" t="n">
        <v>590</v>
      </c>
      <c r="E114" s="36" t="n">
        <v>35</v>
      </c>
      <c r="F114" s="36" t="inlineStr">
        <is>
          <t>commercial</t>
        </is>
      </c>
      <c r="G114" s="36" t="inlineStr">
        <is>
          <t>health-dental</t>
        </is>
      </c>
      <c r="H114" s="36" t="n">
        <v>2</v>
      </c>
      <c r="I114" s="36" t="inlineStr">
        <is>
          <t>https://instasure.ca/health-dental-insurance/</t>
        </is>
      </c>
      <c r="J114" s="36">
        <f>IF(I114="","No","Yes")</f>
        <v/>
      </c>
      <c r="K114" s="39">
        <f>IF(I114="","",IFERROR(IF(ISNUMBER(SEARCH(A114,INDEX(Pages!$J$2:$J$829,MATCH(I114,Pages!$B$2:$B$829,0)))),"Yes","No"),"Page not found"))</f>
        <v/>
      </c>
      <c r="L114" s="25" t="inlineStr">
        <is>
          <t>policyadvisor</t>
        </is>
      </c>
      <c r="M114" s="25" t="n"/>
      <c r="N114" s="40" t="n"/>
      <c r="O114" s="38" t="n"/>
      <c r="P114" s="38" t="n"/>
    </row>
    <row r="115" ht="15" customHeight="1" s="22">
      <c r="A115" s="36" t="inlineStr">
        <is>
          <t>intact insurance review</t>
        </is>
      </c>
      <c r="B115" s="36" t="inlineStr">
        <is>
          <t>Car insurance</t>
        </is>
      </c>
      <c r="C115" s="36" t="inlineStr">
        <is>
          <t>Car Insurance</t>
        </is>
      </c>
      <c r="D115" s="37" t="n">
        <v>590</v>
      </c>
      <c r="E115" s="36" t="n">
        <v>35</v>
      </c>
      <c r="F115" s="36" t="inlineStr">
        <is>
          <t>commercial</t>
        </is>
      </c>
      <c r="G115" s="36" t="inlineStr">
        <is>
          <t>brand-reviews</t>
        </is>
      </c>
      <c r="H115" s="36" t="n">
        <v>4</v>
      </c>
      <c r="I115" s="36" t="n"/>
      <c r="J115" s="36">
        <f>IF(I115="","No","Yes")</f>
        <v/>
      </c>
      <c r="K115" s="39">
        <f>IF(I115="","",IFERROR(IF(ISNUMBER(SEARCH(A115,INDEX(Pages!$J$2:$J$829,MATCH(I115,Pages!$B$2:$B$829,0)))),"Yes","No"),"Page not found"))</f>
        <v/>
      </c>
      <c r="L115" s="25" t="inlineStr">
        <is>
          <t>ratehub, rates.ca</t>
        </is>
      </c>
      <c r="M115" s="25" t="inlineStr">
        <is>
          <t>Planned: /reviews/intact/ with a published review method.</t>
        </is>
      </c>
      <c r="N115" s="40" t="n"/>
      <c r="O115" s="38" t="n"/>
      <c r="P115" s="38" t="n"/>
    </row>
    <row r="116" ht="15" customHeight="1" s="22">
      <c r="A116" s="36" t="inlineStr">
        <is>
          <t>joint life insurance</t>
        </is>
      </c>
      <c r="B116" s="36" t="inlineStr">
        <is>
          <t>Life insurance</t>
        </is>
      </c>
      <c r="C116" s="36" t="inlineStr">
        <is>
          <t>Life Insurance</t>
        </is>
      </c>
      <c r="D116" s="37" t="n">
        <v>590</v>
      </c>
      <c r="E116" s="36" t="n">
        <v>40</v>
      </c>
      <c r="F116" s="36" t="inlineStr">
        <is>
          <t>commercial</t>
        </is>
      </c>
      <c r="G116" s="36" t="inlineStr">
        <is>
          <t>life-audience</t>
        </is>
      </c>
      <c r="H116" s="36" t="n">
        <v>3</v>
      </c>
      <c r="I116" s="36" t="inlineStr">
        <is>
          <t>https://instasure.ca/life-insurance/joint/</t>
        </is>
      </c>
      <c r="J116" s="36">
        <f>IF(I116="","No","Yes")</f>
        <v/>
      </c>
      <c r="K116" s="39">
        <f>IF(I116="","",IFERROR(IF(ISNUMBER(SEARCH(A116,INDEX(Pages!$J$2:$J$829,MATCH(I116,Pages!$B$2:$B$829,0)))),"Yes","No"),"Page not found"))</f>
        <v/>
      </c>
      <c r="L116" s="25" t="inlineStr">
        <is>
          <t>sun life, policyadvisor</t>
        </is>
      </c>
      <c r="M116" s="25" t="inlineStr">
        <is>
          <t>Built (service page).</t>
        </is>
      </c>
      <c r="N116" s="40" t="n"/>
      <c r="O116" s="38" t="n"/>
      <c r="P116" s="38" t="n"/>
    </row>
    <row r="117" ht="15" customHeight="1" s="22">
      <c r="A117" s="36" t="inlineStr">
        <is>
          <t>restaurant insurance</t>
        </is>
      </c>
      <c r="B117" s="36" t="inlineStr">
        <is>
          <t>Business insurance</t>
        </is>
      </c>
      <c r="C117" s="36" t="inlineStr">
        <is>
          <t>Business Insurance</t>
        </is>
      </c>
      <c r="D117" s="37" t="n">
        <v>590</v>
      </c>
      <c r="E117" s="36" t="n">
        <v>40</v>
      </c>
      <c r="F117" s="36" t="inlineStr">
        <is>
          <t>commercial</t>
        </is>
      </c>
      <c r="G117" s="36" t="inlineStr">
        <is>
          <t>business-trades</t>
        </is>
      </c>
      <c r="H117" s="36" t="n">
        <v>3</v>
      </c>
      <c r="I117" s="36" t="inlineStr">
        <is>
          <t>https://instasure.ca/business-insurance/restaurants/</t>
        </is>
      </c>
      <c r="J117" s="36">
        <f>IF(I117="","No","Yes")</f>
        <v/>
      </c>
      <c r="K117" s="39">
        <f>IF(I117="","",IFERROR(IF(ISNUMBER(SEARCH(A117,INDEX(Pages!$J$2:$J$829,MATCH(I117,Pages!$B$2:$B$829,0)))),"Yes","No"),"Page not found"))</f>
        <v/>
      </c>
      <c r="L117" s="25" t="inlineStr">
        <is>
          <t>rates.ca (food &amp; beverage)</t>
        </is>
      </c>
      <c r="M117" s="25" t="inlineStr">
        <is>
          <t>Built (service page).</t>
        </is>
      </c>
      <c r="N117" s="40" t="n"/>
      <c r="O117" s="38" t="n"/>
      <c r="P117" s="38" t="n"/>
    </row>
    <row r="118" ht="15" customHeight="1" s="22">
      <c r="A118" s="36" t="inlineStr">
        <is>
          <t>senior car insurance</t>
        </is>
      </c>
      <c r="B118" s="36" t="inlineStr">
        <is>
          <t>Car insurance</t>
        </is>
      </c>
      <c r="C118" s="36" t="inlineStr">
        <is>
          <t>Car Insurance</t>
        </is>
      </c>
      <c r="D118" s="37" t="n">
        <v>590</v>
      </c>
      <c r="E118" s="36" t="n">
        <v>35</v>
      </c>
      <c r="F118" s="36" t="inlineStr">
        <is>
          <t>commercial</t>
        </is>
      </c>
      <c r="G118" s="36" t="inlineStr">
        <is>
          <t>auto-persona</t>
        </is>
      </c>
      <c r="H118" s="36" t="n">
        <v>3</v>
      </c>
      <c r="I118" s="36" t="inlineStr">
        <is>
          <t>https://instasure.ca/car-insurance/senior-drivers/</t>
        </is>
      </c>
      <c r="J118" s="36">
        <f>IF(I118="","No","Yes")</f>
        <v/>
      </c>
      <c r="K118" s="39">
        <f>IF(I118="","",IFERROR(IF(ISNUMBER(SEARCH(A118,INDEX(Pages!$J$2:$J$829,MATCH(I118,Pages!$B$2:$B$829,0)))),"Yes","No"),"Page not found"))</f>
        <v/>
      </c>
      <c r="L118" s="25" t="inlineStr">
        <is>
          <t>ratehub, rates.ca guide</t>
        </is>
      </c>
      <c r="M118" s="25" t="inlineStr">
        <is>
          <t>Built with a senior-driver example estimate.</t>
        </is>
      </c>
      <c r="N118" s="40" t="n"/>
      <c r="O118" s="38" t="n"/>
      <c r="P118" s="38" t="n"/>
    </row>
    <row r="119" ht="15" customHeight="1" s="22">
      <c r="A119" s="36" t="inlineStr">
        <is>
          <t>sewer backup insurance</t>
        </is>
      </c>
      <c r="B119" s="36" t="inlineStr">
        <is>
          <t>Home insurance</t>
        </is>
      </c>
      <c r="C119" s="36" t="inlineStr">
        <is>
          <t>Home Insurance</t>
        </is>
      </c>
      <c r="D119" s="37" t="n">
        <v>590</v>
      </c>
      <c r="E119" s="36" t="n">
        <v>35</v>
      </c>
      <c r="F119" s="36" t="inlineStr">
        <is>
          <t>informational</t>
        </is>
      </c>
      <c r="G119" s="36" t="inlineStr">
        <is>
          <t>property-coverage</t>
        </is>
      </c>
      <c r="H119" s="36" t="n">
        <v>2</v>
      </c>
      <c r="I119" s="36" t="inlineStr">
        <is>
          <t>https://instasure.ca/guides/does-home-insurance-cover-water-damage-canada/</t>
        </is>
      </c>
      <c r="J119" s="36">
        <f>IF(I119="","No","Yes")</f>
        <v/>
      </c>
      <c r="K119" s="39">
        <f>IF(I119="","",IFERROR(IF(ISNUMBER(SEARCH(A119,INDEX(Pages!$J$2:$J$829,MATCH(I119,Pages!$B$2:$B$829,0)))),"Yes","No"),"Page not found"))</f>
        <v/>
      </c>
      <c r="L119" s="25" t="inlineStr">
        <is>
          <t>(brokers)</t>
        </is>
      </c>
      <c r="M119" s="25" t="n"/>
      <c r="N119" s="40" t="n"/>
      <c r="O119" s="38" t="n"/>
      <c r="P119" s="38" t="n"/>
    </row>
    <row r="120" ht="15" customHeight="1" s="22">
      <c r="A120" s="36" t="inlineStr">
        <is>
          <t>usage based insurance canada</t>
        </is>
      </c>
      <c r="B120" s="36" t="inlineStr">
        <is>
          <t>Car insurance</t>
        </is>
      </c>
      <c r="C120" s="36" t="inlineStr">
        <is>
          <t>Car Insurance</t>
        </is>
      </c>
      <c r="D120" s="37" t="n">
        <v>590</v>
      </c>
      <c r="E120" s="36" t="n">
        <v>35</v>
      </c>
      <c r="F120" s="36" t="inlineStr">
        <is>
          <t>informational</t>
        </is>
      </c>
      <c r="G120" s="36" t="inlineStr">
        <is>
          <t>auto-coverage</t>
        </is>
      </c>
      <c r="H120" s="36" t="n">
        <v>4</v>
      </c>
      <c r="I120" s="36" t="n"/>
      <c r="J120" s="36">
        <f>IF(I120="","No","Yes")</f>
        <v/>
      </c>
      <c r="K120" s="39">
        <f>IF(I120="","",IFERROR(IF(ISNUMBER(SEARCH(A120,INDEX(Pages!$J$2:$J$829,MATCH(I120,Pages!$B$2:$B$829,0)))),"Yes","No"),"Page not found"))</f>
        <v/>
      </c>
      <c r="L120" s="25" t="inlineStr">
        <is>
          <t>sonnet shift, ratehub survey</t>
        </is>
      </c>
      <c r="M120" s="25" t="inlineStr">
        <is>
          <t>Planned guide: /guides/usage-based-car-insurance-canada/.</t>
        </is>
      </c>
      <c r="N120" s="40" t="n"/>
      <c r="O120" s="38" t="n"/>
      <c r="P120" s="38" t="n"/>
    </row>
    <row r="121" ht="15" customHeight="1" s="22">
      <c r="A121" s="36" t="inlineStr">
        <is>
          <t>20 year term life insurance</t>
        </is>
      </c>
      <c r="B121" s="36" t="inlineStr">
        <is>
          <t>Life insurance</t>
        </is>
      </c>
      <c r="C121" s="36" t="inlineStr">
        <is>
          <t>Term Life Insurance</t>
        </is>
      </c>
      <c r="D121" s="37" t="n">
        <v>480</v>
      </c>
      <c r="E121" s="36" t="n">
        <v>40</v>
      </c>
      <c r="F121" s="36" t="inlineStr">
        <is>
          <t>commercial</t>
        </is>
      </c>
      <c r="G121" s="36" t="inlineStr">
        <is>
          <t>life-core</t>
        </is>
      </c>
      <c r="H121" s="36" t="n">
        <v>3</v>
      </c>
      <c r="I121" s="36" t="inlineStr">
        <is>
          <t>https://instasure.ca/term-life-insurance/</t>
        </is>
      </c>
      <c r="J121" s="36">
        <f>IF(I121="","No","Yes")</f>
        <v/>
      </c>
      <c r="K121" s="39">
        <f>IF(I121="","",IFERROR(IF(ISNUMBER(SEARCH(A121,INDEX(Pages!$J$2:$J$829,MATCH(I121,Pages!$B$2:$B$829,0)))),"Yes","No"),"Page not found"))</f>
        <v/>
      </c>
      <c r="L121" s="25" t="inlineStr">
        <is>
          <t>sun life</t>
        </is>
      </c>
      <c r="M121" s="25" t="n"/>
      <c r="N121" s="40" t="n"/>
      <c r="O121" s="38" t="n"/>
      <c r="P121" s="38" t="n"/>
    </row>
    <row r="122" ht="15" customHeight="1" s="22">
      <c r="A122" s="36" t="inlineStr">
        <is>
          <t>best critical illness insurance canada</t>
        </is>
      </c>
      <c r="B122" s="36" t="inlineStr">
        <is>
          <t>Critical illness insurance</t>
        </is>
      </c>
      <c r="C122" s="36" t="inlineStr">
        <is>
          <t>Critical Illness Insurance</t>
        </is>
      </c>
      <c r="D122" s="37" t="n">
        <v>480</v>
      </c>
      <c r="E122" s="36" t="n">
        <v>45</v>
      </c>
      <c r="F122" s="36" t="inlineStr">
        <is>
          <t>commercial</t>
        </is>
      </c>
      <c r="G122" s="36" t="inlineStr">
        <is>
          <t>living-benefits</t>
        </is>
      </c>
      <c r="H122" s="36" t="n">
        <v>2</v>
      </c>
      <c r="I122" s="36" t="n"/>
      <c r="J122" s="36">
        <f>IF(I122="","No","Yes")</f>
        <v/>
      </c>
      <c r="K122" s="39">
        <f>IF(I122="","",IFERROR(IF(ISNUMBER(SEARCH(A122,INDEX(Pages!$J$2:$J$829,MATCH(I122,Pages!$B$2:$B$829,0)))),"Yes","No"),"Page not found"))</f>
        <v/>
      </c>
      <c r="L122" s="25" t="inlineStr">
        <is>
          <t>policyadvisor</t>
        </is>
      </c>
      <c r="M122" s="25" t="inlineStr">
        <is>
          <t>Planned: /critical-illness-insurance/best-companies/ with methodology.</t>
        </is>
      </c>
      <c r="N122" s="40" t="n"/>
      <c r="O122" s="38" t="n"/>
      <c r="P122" s="38" t="n"/>
    </row>
    <row r="123" ht="15" customHeight="1" s="22">
      <c r="A123" s="36" t="inlineStr">
        <is>
          <t>burial insurance canada</t>
        </is>
      </c>
      <c r="B123" s="36" t="inlineStr">
        <is>
          <t>Life insurance</t>
        </is>
      </c>
      <c r="C123" s="36" t="inlineStr">
        <is>
          <t>Life Insurance</t>
        </is>
      </c>
      <c r="D123" s="37" t="n">
        <v>480</v>
      </c>
      <c r="E123" s="36" t="n">
        <v>30</v>
      </c>
      <c r="F123" s="36" t="inlineStr">
        <is>
          <t>commercial</t>
        </is>
      </c>
      <c r="G123" s="36" t="inlineStr">
        <is>
          <t>life-audience</t>
        </is>
      </c>
      <c r="H123" s="36" t="n">
        <v>2</v>
      </c>
      <c r="I123" s="36" t="inlineStr">
        <is>
          <t>https://instasure.ca/life-insurance/funeral-expense/</t>
        </is>
      </c>
      <c r="J123" s="36">
        <f>IF(I123="","No","Yes")</f>
        <v/>
      </c>
      <c r="K123" s="39">
        <f>IF(I123="","",IFERROR(IF(ISNUMBER(SEARCH(A123,INDEX(Pages!$J$2:$J$829,MATCH(I123,Pages!$B$2:$B$829,0)))),"Yes","No"),"Page not found"))</f>
        <v/>
      </c>
      <c r="L123" s="25" t="inlineStr">
        <is>
          <t>US-style phrasing, carrier direct plans</t>
        </is>
      </c>
      <c r="M123" s="25" t="inlineStr">
        <is>
          <t>Same page; use "burial" in an H2 and FAQ.</t>
        </is>
      </c>
      <c r="N123" s="40" t="n"/>
      <c r="O123" s="38" t="n"/>
      <c r="P123" s="38" t="n"/>
    </row>
    <row r="124" ht="23.85" customHeight="1" s="22">
      <c r="A124" s="36" t="inlineStr">
        <is>
          <t>cant get home insurance</t>
        </is>
      </c>
      <c r="B124" s="36" t="inlineStr">
        <is>
          <t>Home insurance</t>
        </is>
      </c>
      <c r="C124" s="36" t="inlineStr">
        <is>
          <t>Home Insurance</t>
        </is>
      </c>
      <c r="D124" s="37" t="n">
        <v>480</v>
      </c>
      <c r="E124" s="36" t="n">
        <v>25</v>
      </c>
      <c r="F124" s="36" t="inlineStr">
        <is>
          <t>commercial</t>
        </is>
      </c>
      <c r="G124" s="36" t="inlineStr">
        <is>
          <t>property-niche</t>
        </is>
      </c>
      <c r="H124" s="36" t="n">
        <v>2</v>
      </c>
      <c r="I124" s="36" t="inlineStr">
        <is>
          <t>https://instasure.ca/home-insurance/hard-to-insure/</t>
        </is>
      </c>
      <c r="J124" s="36">
        <f>IF(I124="","No","Yes")</f>
        <v/>
      </c>
      <c r="K124" s="39">
        <f>IF(I124="","",IFERROR(IF(ISNUMBER(SEARCH(A124,INDEX(Pages!$J$2:$J$829,MATCH(I124,Pages!$B$2:$B$829,0)))),"Yes","No"),"Page not found"))</f>
        <v/>
      </c>
      <c r="L124" s="25" t="inlineStr">
        <is>
          <t>local brokers</t>
        </is>
      </c>
      <c r="M124" s="25" t="inlineStr">
        <is>
          <t>Niche gap: no comparison site has a page for declined or non-renewed homes. Hard-to-insure property desk.</t>
        </is>
      </c>
      <c r="N124" s="40" t="n"/>
      <c r="O124" s="38" t="n"/>
      <c r="P124" s="38" t="n"/>
    </row>
    <row r="125" ht="15" customHeight="1" s="22">
      <c r="A125" s="36" t="inlineStr">
        <is>
          <t>contractor liability insurance</t>
        </is>
      </c>
      <c r="B125" s="36" t="inlineStr">
        <is>
          <t>Contractor &amp; trades insurance</t>
        </is>
      </c>
      <c r="C125" s="36" t="inlineStr">
        <is>
          <t>Contractor Insurance</t>
        </is>
      </c>
      <c r="D125" s="37" t="n">
        <v>480</v>
      </c>
      <c r="E125" s="36" t="n">
        <v>35</v>
      </c>
      <c r="F125" s="36" t="inlineStr">
        <is>
          <t>commercial</t>
        </is>
      </c>
      <c r="G125" s="36" t="inlineStr">
        <is>
          <t>business-trades</t>
        </is>
      </c>
      <c r="H125" s="36" t="n">
        <v>2</v>
      </c>
      <c r="I125" s="36" t="inlineStr">
        <is>
          <t>https://instasure.ca/contractor-insurance/</t>
        </is>
      </c>
      <c r="J125" s="36">
        <f>IF(I125="","No","Yes")</f>
        <v/>
      </c>
      <c r="K125" s="39">
        <f>IF(I125="","",IFERROR(IF(ISNUMBER(SEARCH(A125,INDEX(Pages!$J$2:$J$829,MATCH(I125,Pages!$B$2:$B$829,0)))),"Yes","No"),"Page not found"))</f>
        <v/>
      </c>
      <c r="L125" s="25" t="inlineStr">
        <is>
          <t>ratehub, rates.ca</t>
        </is>
      </c>
      <c r="M125" s="25" t="n"/>
      <c r="N125" s="40" t="n"/>
      <c r="O125" s="38" t="n"/>
      <c r="P125" s="38" t="n"/>
    </row>
    <row r="126" ht="23.85" customHeight="1" s="22">
      <c r="A126" s="36" t="inlineStr">
        <is>
          <t>doordash insurance canada</t>
        </is>
      </c>
      <c r="B126" s="36" t="inlineStr">
        <is>
          <t>Car insurance</t>
        </is>
      </c>
      <c r="C126" s="36" t="inlineStr">
        <is>
          <t>Car Insurance</t>
        </is>
      </c>
      <c r="D126" s="37" t="n">
        <v>480</v>
      </c>
      <c r="E126" s="36" t="n">
        <v>25</v>
      </c>
      <c r="F126" s="36" t="inlineStr">
        <is>
          <t>commercial</t>
        </is>
      </c>
      <c r="G126" s="36" t="inlineStr">
        <is>
          <t>auto-persona</t>
        </is>
      </c>
      <c r="H126" s="36" t="n">
        <v>2</v>
      </c>
      <c r="I126" s="36" t="inlineStr">
        <is>
          <t>https://instasure.ca/car-insurance/rideshare-and-delivery/</t>
        </is>
      </c>
      <c r="J126" s="36">
        <f>IF(I126="","No","Yes")</f>
        <v/>
      </c>
      <c r="K126" s="39">
        <f>IF(I126="","",IFERROR(IF(ISNUMBER(SEARCH(A126,INDEX(Pages!$J$2:$J$829,MATCH(I126,Pages!$B$2:$B$829,0)))),"Yes","No"),"Page not found"))</f>
        <v/>
      </c>
      <c r="L126" s="25" t="inlineStr">
        <is>
          <t>everlance, thinkinsure</t>
        </is>
      </c>
      <c r="M126" s="25" t="inlineStr">
        <is>
          <t>Gig drivers are the group most exposed by the Ontario accident-benefits opt-out. Service page plus the Ontario guide.</t>
        </is>
      </c>
      <c r="N126" s="40" t="n"/>
      <c r="O126" s="38" t="n"/>
      <c r="P126" s="38" t="n"/>
    </row>
    <row r="127" ht="15" customHeight="1" s="22">
      <c r="A127" s="36" t="inlineStr">
        <is>
          <t>home based business insurance</t>
        </is>
      </c>
      <c r="B127" s="36" t="inlineStr">
        <is>
          <t>Business insurance</t>
        </is>
      </c>
      <c r="C127" s="36" t="inlineStr">
        <is>
          <t>Business Insurance</t>
        </is>
      </c>
      <c r="D127" s="37" t="n">
        <v>480</v>
      </c>
      <c r="E127" s="36" t="n">
        <v>30</v>
      </c>
      <c r="F127" s="36" t="inlineStr">
        <is>
          <t>commercial</t>
        </is>
      </c>
      <c r="G127" s="36" t="inlineStr">
        <is>
          <t>business</t>
        </is>
      </c>
      <c r="H127" s="36" t="n">
        <v>3</v>
      </c>
      <c r="I127" s="36" t="inlineStr">
        <is>
          <t>https://instasure.ca/business-insurance/home-based/</t>
        </is>
      </c>
      <c r="J127" s="36">
        <f>IF(I127="","No","Yes")</f>
        <v/>
      </c>
      <c r="K127" s="39">
        <f>IF(I127="","",IFERROR(IF(ISNUMBER(SEARCH(A127,INDEX(Pages!$J$2:$J$829,MATCH(I127,Pages!$B$2:$B$829,0)))),"Yes","No"),"Page not found"))</f>
        <v/>
      </c>
      <c r="L127" s="25" t="inlineStr">
        <is>
          <t>ratehub blog, sonnet blog</t>
        </is>
      </c>
      <c r="M127" s="25" t="inlineStr">
        <is>
          <t>Built (service page).</t>
        </is>
      </c>
      <c r="N127" s="40" t="n"/>
      <c r="O127" s="38" t="n"/>
      <c r="P127" s="38" t="n"/>
    </row>
    <row r="128" ht="15" customHeight="1" s="22">
      <c r="A128" s="36" t="inlineStr">
        <is>
          <t>key person insurance</t>
        </is>
      </c>
      <c r="B128" s="36" t="inlineStr">
        <is>
          <t>Business insurance</t>
        </is>
      </c>
      <c r="C128" s="36" t="inlineStr">
        <is>
          <t>Life Insurance</t>
        </is>
      </c>
      <c r="D128" s="37" t="n">
        <v>480</v>
      </c>
      <c r="E128" s="36" t="n">
        <v>35</v>
      </c>
      <c r="F128" s="36" t="inlineStr">
        <is>
          <t>commercial</t>
        </is>
      </c>
      <c r="G128" s="36" t="inlineStr">
        <is>
          <t>business-benefits</t>
        </is>
      </c>
      <c r="H128" s="36" t="n">
        <v>2</v>
      </c>
      <c r="I128" s="36" t="inlineStr">
        <is>
          <t>https://instasure.ca/business-insurance/key-person/</t>
        </is>
      </c>
      <c r="J128" s="36">
        <f>IF(I128="","No","Yes")</f>
        <v/>
      </c>
      <c r="K128" s="39">
        <f>IF(I128="","",IFERROR(IF(ISNUMBER(SEARCH(A128,INDEX(Pages!$J$2:$J$829,MATCH(I128,Pages!$B$2:$B$829,0)))),"Yes","No"),"Page not found"))</f>
        <v/>
      </c>
      <c r="L128" s="25" t="inlineStr">
        <is>
          <t>policyadvisor</t>
        </is>
      </c>
      <c r="M128" s="25" t="inlineStr">
        <is>
          <t>Built (life product, business buyer).</t>
        </is>
      </c>
      <c r="N128" s="40" t="n"/>
      <c r="O128" s="38" t="n"/>
      <c r="P128" s="38" t="n"/>
    </row>
    <row r="129" ht="15" customHeight="1" s="22">
      <c r="A129" s="36" t="inlineStr">
        <is>
          <t>life insurance for newcomers to canada</t>
        </is>
      </c>
      <c r="B129" s="36" t="inlineStr">
        <is>
          <t>Life insurance</t>
        </is>
      </c>
      <c r="C129" s="36" t="inlineStr">
        <is>
          <t>Life Insurance</t>
        </is>
      </c>
      <c r="D129" s="37" t="n">
        <v>480</v>
      </c>
      <c r="E129" s="36" t="n">
        <v>30</v>
      </c>
      <c r="F129" s="36" t="inlineStr">
        <is>
          <t>commercial</t>
        </is>
      </c>
      <c r="G129" s="36" t="inlineStr">
        <is>
          <t>life-audience</t>
        </is>
      </c>
      <c r="H129" s="36" t="n">
        <v>1</v>
      </c>
      <c r="I129" s="36" t="inlineStr">
        <is>
          <t>https://instasure.ca/guides/life-insurance-for-newcomers-to-canada/</t>
        </is>
      </c>
      <c r="J129" s="36">
        <f>IF(I129="","No","Yes")</f>
        <v/>
      </c>
      <c r="K129" s="39">
        <f>IF(I129="","",IFERROR(IF(ISNUMBER(SEARCH(A129,INDEX(Pages!$J$2:$J$829,MATCH(I129,Pages!$B$2:$B$829,0)))),"Yes","No"),"Page not found"))</f>
        <v/>
      </c>
      <c r="L129" s="25" t="inlineStr">
        <is>
          <t>policyadvisor, mychoice, iA</t>
        </is>
      </c>
      <c r="M129" s="25" t="inlineStr">
        <is>
          <t>Underserved and high converting. Planned translations: Punjabi, Hindi, Mandarin, Tagalog.</t>
        </is>
      </c>
      <c r="N129" s="40" t="n"/>
      <c r="O129" s="38" t="n"/>
      <c r="P129" s="38" t="n"/>
    </row>
    <row r="130" ht="15" customHeight="1" s="22">
      <c r="A130" s="36" t="inlineStr">
        <is>
          <t>manulife life insurance review</t>
        </is>
      </c>
      <c r="B130" s="36" t="inlineStr">
        <is>
          <t>Life insurance</t>
        </is>
      </c>
      <c r="C130" s="36" t="inlineStr">
        <is>
          <t>Life Insurance</t>
        </is>
      </c>
      <c r="D130" s="37" t="n">
        <v>480</v>
      </c>
      <c r="E130" s="36" t="n">
        <v>35</v>
      </c>
      <c r="F130" s="36" t="inlineStr">
        <is>
          <t>commercial</t>
        </is>
      </c>
      <c r="G130" s="36" t="inlineStr">
        <is>
          <t>brand-reviews</t>
        </is>
      </c>
      <c r="H130" s="36" t="n">
        <v>3</v>
      </c>
      <c r="I130" s="36" t="n"/>
      <c r="J130" s="36">
        <f>IF(I130="","No","Yes")</f>
        <v/>
      </c>
      <c r="K130" s="39">
        <f>IF(I130="","",IFERROR(IF(ISNUMBER(SEARCH(A130,INDEX(Pages!$J$2:$J$829,MATCH(I130,Pages!$B$2:$B$829,0)))),"Yes","No"),"Page not found"))</f>
        <v/>
      </c>
      <c r="L130" s="25" t="inlineStr">
        <is>
          <t>policyadvisor</t>
        </is>
      </c>
      <c r="M130" s="25" t="inlineStr">
        <is>
          <t>Planned: /reviews/manulife/.</t>
        </is>
      </c>
      <c r="N130" s="40" t="n"/>
      <c r="O130" s="38" t="n"/>
      <c r="P130" s="38" t="n"/>
    </row>
    <row r="131" ht="15" customHeight="1" s="22">
      <c r="A131" s="36" t="inlineStr">
        <is>
          <t>out of province travel insurance</t>
        </is>
      </c>
      <c r="B131" s="36" t="inlineStr">
        <is>
          <t>Travel insurance</t>
        </is>
      </c>
      <c r="C131" s="36" t="inlineStr">
        <is>
          <t>Travel Insurance</t>
        </is>
      </c>
      <c r="D131" s="37" t="n">
        <v>480</v>
      </c>
      <c r="E131" s="36" t="n">
        <v>35</v>
      </c>
      <c r="F131" s="36" t="inlineStr">
        <is>
          <t>informational</t>
        </is>
      </c>
      <c r="G131" s="36" t="inlineStr">
        <is>
          <t>travel</t>
        </is>
      </c>
      <c r="H131" s="36" t="n">
        <v>3</v>
      </c>
      <c r="I131" s="36" t="inlineStr">
        <is>
          <t>https://instasure.ca/travel-insurance/</t>
        </is>
      </c>
      <c r="J131" s="36">
        <f>IF(I131="","No","Yes")</f>
        <v/>
      </c>
      <c r="K131" s="39">
        <f>IF(I131="","",IFERROR(IF(ISNUMBER(SEARCH(A131,INDEX(Pages!$J$2:$J$829,MATCH(I131,Pages!$B$2:$B$829,0)))),"Yes","No"),"Page not found"))</f>
        <v/>
      </c>
      <c r="L131" s="25" t="inlineStr">
        <is>
          <t>sun life</t>
        </is>
      </c>
      <c r="M131" s="25" t="n"/>
      <c r="N131" s="40" t="n"/>
      <c r="O131" s="38" t="n"/>
      <c r="P131" s="38" t="n"/>
    </row>
    <row r="132" ht="15" customHeight="1" s="22">
      <c r="A132" s="36" t="inlineStr">
        <is>
          <t>500000 life insurance cost</t>
        </is>
      </c>
      <c r="B132" s="36" t="inlineStr">
        <is>
          <t>Life insurance</t>
        </is>
      </c>
      <c r="C132" s="36" t="inlineStr">
        <is>
          <t>Term Life Insurance</t>
        </is>
      </c>
      <c r="D132" s="37" t="n">
        <v>390</v>
      </c>
      <c r="E132" s="36" t="n">
        <v>35</v>
      </c>
      <c r="F132" s="36" t="inlineStr">
        <is>
          <t>informational</t>
        </is>
      </c>
      <c r="G132" s="36" t="inlineStr">
        <is>
          <t>life-cost</t>
        </is>
      </c>
      <c r="H132" s="36" t="n">
        <v>2</v>
      </c>
      <c r="I132" s="36" t="inlineStr">
        <is>
          <t>https://instasure.ca/guides/how-much-does-life-insurance-cost-canada/</t>
        </is>
      </c>
      <c r="J132" s="36">
        <f>IF(I132="","No","Yes")</f>
        <v/>
      </c>
      <c r="K132" s="39">
        <f>IF(I132="","",IFERROR(IF(ISNUMBER(SEARCH(A132,INDEX(Pages!$J$2:$J$829,MATCH(I132,Pages!$B$2:$B$829,0)))),"Yes","No"),"Page not found"))</f>
        <v/>
      </c>
      <c r="L132" s="25" t="inlineStr">
        <is>
          <t>policyadvisor</t>
        </is>
      </c>
      <c r="M132" s="25" t="n"/>
      <c r="N132" s="40" t="n"/>
      <c r="O132" s="38" t="n"/>
      <c r="P132" s="38" t="n"/>
    </row>
    <row r="133" ht="15" customHeight="1" s="22">
      <c r="A133" s="36" t="inlineStr">
        <is>
          <t>car insurance rate increase by company ontario</t>
        </is>
      </c>
      <c r="B133" s="36" t="inlineStr">
        <is>
          <t>Car insurance</t>
        </is>
      </c>
      <c r="C133" s="36" t="inlineStr">
        <is>
          <t>Car Insurance</t>
        </is>
      </c>
      <c r="D133" s="37" t="n">
        <v>390</v>
      </c>
      <c r="E133" s="36" t="n">
        <v>45</v>
      </c>
      <c r="F133" s="36" t="inlineStr">
        <is>
          <t>informational</t>
        </is>
      </c>
      <c r="G133" s="36" t="inlineStr">
        <is>
          <t>auto-data</t>
        </is>
      </c>
      <c r="H133" s="36" t="n">
        <v>4</v>
      </c>
      <c r="I133" s="36" t="n"/>
      <c r="J133" s="36">
        <f>IF(I133="","No","Yes")</f>
        <v/>
      </c>
      <c r="K133" s="39">
        <f>IF(I133="","",IFERROR(IF(ISNUMBER(SEARCH(A133,INDEX(Pages!$J$2:$J$829,MATCH(I133,Pages!$B$2:$B$829,0)))),"Yes","No"),"Page not found"))</f>
        <v/>
      </c>
      <c r="L133" s="25" t="inlineStr">
        <is>
          <t>rates.ca (Ontario rate tracker)</t>
        </is>
      </c>
      <c r="M133" s="25" t="inlineStr">
        <is>
          <t>Rates.ca owns this with a quarterly FSRA-based tracker. Link to FSRA rather than duplicate.</t>
        </is>
      </c>
      <c r="N133" s="40" t="n"/>
      <c r="O133" s="38" t="n"/>
      <c r="P133" s="38" t="n"/>
    </row>
    <row r="134" ht="15" customHeight="1" s="22">
      <c r="A134" s="36" t="inlineStr">
        <is>
          <t>cleaning business insurance</t>
        </is>
      </c>
      <c r="B134" s="36" t="inlineStr">
        <is>
          <t>Contractor &amp; trades insurance</t>
        </is>
      </c>
      <c r="C134" s="36" t="inlineStr">
        <is>
          <t>Contractor Insurance</t>
        </is>
      </c>
      <c r="D134" s="37" t="n">
        <v>390</v>
      </c>
      <c r="E134" s="36" t="n">
        <v>25</v>
      </c>
      <c r="F134" s="36" t="inlineStr">
        <is>
          <t>commercial</t>
        </is>
      </c>
      <c r="G134" s="36" t="inlineStr">
        <is>
          <t>business-trades</t>
        </is>
      </c>
      <c r="H134" s="36" t="n">
        <v>3</v>
      </c>
      <c r="I134" s="36" t="inlineStr">
        <is>
          <t>https://instasure.ca/contractor-insurance/cleaning/</t>
        </is>
      </c>
      <c r="J134" s="36">
        <f>IF(I134="","No","Yes")</f>
        <v/>
      </c>
      <c r="K134" s="39">
        <f>IF(I134="","",IFERROR(IF(ISNUMBER(SEARCH(A134,INDEX(Pages!$J$2:$J$829,MATCH(I134,Pages!$B$2:$B$829,0)))),"Yes","No"),"Page not found"))</f>
        <v/>
      </c>
      <c r="L134" s="25" t="inlineStr">
        <is>
          <t>rates.ca</t>
        </is>
      </c>
      <c r="M134" s="25" t="inlineStr">
        <is>
          <t>Built (trade page).</t>
        </is>
      </c>
      <c r="N134" s="40" t="n"/>
      <c r="O134" s="38" t="n"/>
      <c r="P134" s="38" t="n"/>
    </row>
    <row r="135" ht="15" customHeight="1" s="22">
      <c r="A135" s="36" t="inlineStr">
        <is>
          <t>condo insurance deductible coverage</t>
        </is>
      </c>
      <c r="B135" s="36" t="inlineStr">
        <is>
          <t>Condo insurance</t>
        </is>
      </c>
      <c r="C135" s="36" t="inlineStr">
        <is>
          <t>Condo Insurance</t>
        </is>
      </c>
      <c r="D135" s="37" t="n">
        <v>390</v>
      </c>
      <c r="E135" s="36" t="n">
        <v>25</v>
      </c>
      <c r="F135" s="36" t="inlineStr">
        <is>
          <t>informational</t>
        </is>
      </c>
      <c r="G135" s="36" t="inlineStr">
        <is>
          <t>property-coverage</t>
        </is>
      </c>
      <c r="H135" s="36" t="n">
        <v>1</v>
      </c>
      <c r="I135" s="36" t="inlineStr">
        <is>
          <t>https://instasure.ca/guides/condo-insurance-deductible-assessment-explained/</t>
        </is>
      </c>
      <c r="J135" s="36">
        <f>IF(I135="","No","Yes")</f>
        <v/>
      </c>
      <c r="K135" s="39">
        <f>IF(I135="","",IFERROR(IF(ISNUMBER(SEARCH(A135,INDEX(Pages!$J$2:$J$829,MATCH(I135,Pages!$B$2:$B$829,0)))),"Yes","No"),"Page not found"))</f>
        <v/>
      </c>
      <c r="L135" s="25" t="inlineStr">
        <is>
          <t>sonnet</t>
        </is>
      </c>
      <c r="M135" s="25" t="n"/>
      <c r="N135" s="40" t="n"/>
      <c r="O135" s="38" t="n"/>
      <c r="P135" s="38" t="n"/>
    </row>
    <row r="136" ht="15" customHeight="1" s="22">
      <c r="A136" s="36" t="inlineStr">
        <is>
          <t>critical illness vs disability insurance</t>
        </is>
      </c>
      <c r="B136" s="36" t="inlineStr">
        <is>
          <t>Critical illness insurance</t>
        </is>
      </c>
      <c r="C136" s="36" t="inlineStr">
        <is>
          <t>Critical Illness Insurance</t>
        </is>
      </c>
      <c r="D136" s="37" t="n">
        <v>390</v>
      </c>
      <c r="E136" s="36" t="n">
        <v>35</v>
      </c>
      <c r="F136" s="36" t="inlineStr">
        <is>
          <t>informational</t>
        </is>
      </c>
      <c r="G136" s="36" t="inlineStr">
        <is>
          <t>living-benefits</t>
        </is>
      </c>
      <c r="H136" s="36" t="n">
        <v>1</v>
      </c>
      <c r="I136" s="36" t="inlineStr">
        <is>
          <t>https://instasure.ca/guides/critical-illness-vs-disability-insurance/</t>
        </is>
      </c>
      <c r="J136" s="36">
        <f>IF(I136="","No","Yes")</f>
        <v/>
      </c>
      <c r="K136" s="39">
        <f>IF(I136="","",IFERROR(IF(ISNUMBER(SEARCH(A136,INDEX(Pages!$J$2:$J$829,MATCH(I136,Pages!$B$2:$B$829,0)))),"Yes","No"),"Page not found"))</f>
        <v/>
      </c>
      <c r="L136" s="25" t="inlineStr">
        <is>
          <t>policyadvisor, sun life</t>
        </is>
      </c>
      <c r="M136" s="25" t="n"/>
      <c r="N136" s="40" t="n"/>
      <c r="O136" s="38" t="n"/>
      <c r="P136" s="38" t="n"/>
    </row>
    <row r="137" ht="23.85" customHeight="1" s="22">
      <c r="A137" s="36" t="inlineStr">
        <is>
          <t>funeral expense insurance</t>
        </is>
      </c>
      <c r="B137" s="36" t="inlineStr">
        <is>
          <t>Life insurance</t>
        </is>
      </c>
      <c r="C137" s="36" t="inlineStr">
        <is>
          <t>Life Insurance</t>
        </is>
      </c>
      <c r="D137" s="37" t="n">
        <v>390</v>
      </c>
      <c r="E137" s="36" t="n">
        <v>30</v>
      </c>
      <c r="F137" s="36" t="inlineStr">
        <is>
          <t>commercial</t>
        </is>
      </c>
      <c r="G137" s="36" t="inlineStr">
        <is>
          <t>life-audience</t>
        </is>
      </c>
      <c r="H137" s="36" t="n">
        <v>1</v>
      </c>
      <c r="I137" s="36" t="inlineStr">
        <is>
          <t>https://instasure.ca/life-insurance/funeral-expense/</t>
        </is>
      </c>
      <c r="J137" s="36">
        <f>IF(I137="","No","Yes")</f>
        <v/>
      </c>
      <c r="K137" s="39">
        <f>IF(I137="","",IFERROR(IF(ISNUMBER(SEARCH(A137,INDEX(Pages!$J$2:$J$829,MATCH(I137,Pages!$B$2:$B$829,0)))),"Yes","No"),"Page not found"))</f>
        <v/>
      </c>
      <c r="L137" s="25" t="inlineStr">
        <is>
          <t>policyadvisor (final expense), ratehub (final expense)</t>
        </is>
      </c>
      <c r="M137" s="25" t="inlineStr">
        <is>
          <t>Page primary keyword (title, H1, slug). Final expense insurance keeps its own page; the two cross-link.</t>
        </is>
      </c>
      <c r="N137" s="40" t="n"/>
      <c r="O137" s="38" t="n"/>
      <c r="P137" s="38" t="n"/>
    </row>
    <row r="138" ht="15" customHeight="1" s="22">
      <c r="A138" s="36" t="inlineStr">
        <is>
          <t>funeral insurance for seniors</t>
        </is>
      </c>
      <c r="B138" s="36" t="inlineStr">
        <is>
          <t>Life insurance</t>
        </is>
      </c>
      <c r="C138" s="36" t="inlineStr">
        <is>
          <t>Life Insurance</t>
        </is>
      </c>
      <c r="D138" s="37" t="n">
        <v>390</v>
      </c>
      <c r="E138" s="36" t="n">
        <v>30</v>
      </c>
      <c r="F138" s="36" t="inlineStr">
        <is>
          <t>commercial</t>
        </is>
      </c>
      <c r="G138" s="36" t="inlineStr">
        <is>
          <t>life-audience</t>
        </is>
      </c>
      <c r="H138" s="36" t="n">
        <v>2</v>
      </c>
      <c r="I138" s="36" t="inlineStr">
        <is>
          <t>https://instasure.ca/life-insurance/funeral-expense/</t>
        </is>
      </c>
      <c r="J138" s="36">
        <f>IF(I138="","No","Yes")</f>
        <v/>
      </c>
      <c r="K138" s="39">
        <f>IF(I138="","",IFERROR(IF(ISNUMBER(SEARCH(A138,INDEX(Pages!$J$2:$J$829,MATCH(I138,Pages!$B$2:$B$829,0)))),"Yes","No"),"Page not found"))</f>
        <v/>
      </c>
      <c r="L138" s="25" t="inlineStr">
        <is>
          <t>policyadvisor, sun life</t>
        </is>
      </c>
      <c r="M138" s="25" t="n"/>
      <c r="N138" s="40" t="n"/>
      <c r="O138" s="38" t="n"/>
      <c r="P138" s="38" t="n"/>
    </row>
    <row r="139" ht="15" customHeight="1" s="22">
      <c r="A139" s="36" t="inlineStr">
        <is>
          <t>high risk home insurance</t>
        </is>
      </c>
      <c r="B139" s="36" t="inlineStr">
        <is>
          <t>Home insurance</t>
        </is>
      </c>
      <c r="C139" s="36" t="inlineStr">
        <is>
          <t>Home Insurance</t>
        </is>
      </c>
      <c r="D139" s="37" t="n">
        <v>390</v>
      </c>
      <c r="E139" s="36" t="n">
        <v>30</v>
      </c>
      <c r="F139" s="36" t="inlineStr">
        <is>
          <t>commercial</t>
        </is>
      </c>
      <c r="G139" s="36" t="inlineStr">
        <is>
          <t>property-niche</t>
        </is>
      </c>
      <c r="H139" s="36" t="n">
        <v>2</v>
      </c>
      <c r="I139" s="36" t="inlineStr">
        <is>
          <t>https://instasure.ca/home-insurance/hard-to-insure/</t>
        </is>
      </c>
      <c r="J139" s="36">
        <f>IF(I139="","No","Yes")</f>
        <v/>
      </c>
      <c r="K139" s="39">
        <f>IF(I139="","",IFERROR(IF(ISNUMBER(SEARCH(A139,INDEX(Pages!$J$2:$J$829,MATCH(I139,Pages!$B$2:$B$829,0)))),"Yes","No"),"Page not found"))</f>
        <v/>
      </c>
      <c r="L139" s="25" t="inlineStr">
        <is>
          <t>local brokers, specialty MGAs</t>
        </is>
      </c>
      <c r="M139" s="25" t="inlineStr">
        <is>
          <t>Same page and desk as above.</t>
        </is>
      </c>
      <c r="N139" s="40" t="n"/>
      <c r="O139" s="38" t="n"/>
      <c r="P139" s="38" t="n"/>
    </row>
    <row r="140" ht="23.85" customHeight="1" s="22">
      <c r="A140" s="36" t="inlineStr">
        <is>
          <t>life insurance for smokers</t>
        </is>
      </c>
      <c r="B140" s="36" t="inlineStr">
        <is>
          <t>Life insurance</t>
        </is>
      </c>
      <c r="C140" s="36" t="inlineStr">
        <is>
          <t>Life Insurance</t>
        </is>
      </c>
      <c r="D140" s="37" t="n">
        <v>390</v>
      </c>
      <c r="E140" s="36" t="n">
        <v>35</v>
      </c>
      <c r="F140" s="36" t="inlineStr">
        <is>
          <t>commercial</t>
        </is>
      </c>
      <c r="G140" s="36" t="inlineStr">
        <is>
          <t>life-conditions</t>
        </is>
      </c>
      <c r="H140" s="36" t="n">
        <v>3</v>
      </c>
      <c r="I140" s="36" t="inlineStr">
        <is>
          <t>https://instasure.ca/life-insurance/medical-conditions/</t>
        </is>
      </c>
      <c r="J140" s="36">
        <f>IF(I140="","No","Yes")</f>
        <v/>
      </c>
      <c r="K140" s="39">
        <f>IF(I140="","",IFERROR(IF(ISNUMBER(SEARCH(A140,INDEX(Pages!$J$2:$J$829,MATCH(I140,Pages!$B$2:$B$829,0)))),"Yes","No"),"Page not found"))</f>
        <v/>
      </c>
      <c r="L140" s="25" t="inlineStr">
        <is>
          <t>policyadvisor</t>
        </is>
      </c>
      <c r="M140" s="25" t="inlineStr">
        <is>
          <t>Answered on the medical-conditions page (Medical underwriting desk). Per-condition pages still planned.</t>
        </is>
      </c>
      <c r="N140" s="40" t="n"/>
      <c r="O140" s="38" t="n"/>
      <c r="P140" s="38" t="n"/>
    </row>
    <row r="141" ht="15" customHeight="1" s="22">
      <c r="A141" s="36" t="inlineStr">
        <is>
          <t>sun life life insurance review</t>
        </is>
      </c>
      <c r="B141" s="36" t="inlineStr">
        <is>
          <t>Life insurance</t>
        </is>
      </c>
      <c r="C141" s="36" t="inlineStr">
        <is>
          <t>Life Insurance</t>
        </is>
      </c>
      <c r="D141" s="37" t="n">
        <v>390</v>
      </c>
      <c r="E141" s="36" t="n">
        <v>35</v>
      </c>
      <c r="F141" s="36" t="inlineStr">
        <is>
          <t>commercial</t>
        </is>
      </c>
      <c r="G141" s="36" t="inlineStr">
        <is>
          <t>brand-reviews</t>
        </is>
      </c>
      <c r="H141" s="36" t="n">
        <v>3</v>
      </c>
      <c r="I141" s="36" t="n"/>
      <c r="J141" s="36">
        <f>IF(I141="","No","Yes")</f>
        <v/>
      </c>
      <c r="K141" s="39">
        <f>IF(I141="","",IFERROR(IF(ISNUMBER(SEARCH(A141,INDEX(Pages!$J$2:$J$829,MATCH(I141,Pages!$B$2:$B$829,0)))),"Yes","No"),"Page not found"))</f>
        <v/>
      </c>
      <c r="L141" s="25" t="inlineStr">
        <is>
          <t>policyadvisor</t>
        </is>
      </c>
      <c r="M141" s="25" t="inlineStr">
        <is>
          <t>Planned: /reviews/sun-life/.</t>
        </is>
      </c>
      <c r="N141" s="40" t="n"/>
      <c r="O141" s="38" t="n"/>
      <c r="P141" s="38" t="n"/>
    </row>
    <row r="142" ht="23.85" customHeight="1" s="22">
      <c r="A142" s="36" t="inlineStr">
        <is>
          <t>sun life vs manulife</t>
        </is>
      </c>
      <c r="B142" s="36" t="inlineStr">
        <is>
          <t>Life insurance</t>
        </is>
      </c>
      <c r="C142" s="36" t="inlineStr">
        <is>
          <t>Life Insurance</t>
        </is>
      </c>
      <c r="D142" s="37" t="n">
        <v>390</v>
      </c>
      <c r="E142" s="36" t="n">
        <v>45</v>
      </c>
      <c r="F142" s="36" t="inlineStr">
        <is>
          <t>commercial</t>
        </is>
      </c>
      <c r="G142" s="36" t="inlineStr">
        <is>
          <t>life-reviews</t>
        </is>
      </c>
      <c r="H142" s="36" t="n">
        <v>4</v>
      </c>
      <c r="I142" s="36" t="n"/>
      <c r="J142" s="36">
        <f>IF(I142="","No","Yes")</f>
        <v/>
      </c>
      <c r="K142" s="39">
        <f>IF(I142="","",IFERROR(IF(ISNUMBER(SEARCH(A142,INDEX(Pages!$J$2:$J$829,MATCH(I142,Pages!$B$2:$B$829,0)))),"Yes","No"),"Page not found"))</f>
        <v/>
      </c>
      <c r="L142" s="25" t="inlineStr">
        <is>
          <t>policyadvisor (15 programmatic term-life head-to-heads)</t>
        </is>
      </c>
      <c r="M142" s="25" t="inlineStr">
        <is>
          <t>PolicyAdvisor already runs 15 carrier-pair pages. Compete on P&amp;C head-to-heads first (no competitor has them).</t>
        </is>
      </c>
      <c r="N142" s="40" t="n"/>
      <c r="O142" s="38" t="n"/>
      <c r="P142" s="38" t="n"/>
    </row>
    <row r="143" ht="15" customHeight="1" s="22">
      <c r="A143" s="36" t="inlineStr">
        <is>
          <t>tenant insurance for students</t>
        </is>
      </c>
      <c r="B143" s="36" t="inlineStr">
        <is>
          <t>Tenant insurance</t>
        </is>
      </c>
      <c r="C143" s="36" t="inlineStr">
        <is>
          <t>Tenant Insurance</t>
        </is>
      </c>
      <c r="D143" s="37" t="n">
        <v>390</v>
      </c>
      <c r="E143" s="36" t="n">
        <v>20</v>
      </c>
      <c r="F143" s="36" t="inlineStr">
        <is>
          <t>commercial</t>
        </is>
      </c>
      <c r="G143" s="36" t="inlineStr">
        <is>
          <t>property-coverage</t>
        </is>
      </c>
      <c r="H143" s="36" t="n">
        <v>3</v>
      </c>
      <c r="I143" s="36" t="inlineStr">
        <is>
          <t>https://instasure.ca/tenant-insurance/students/</t>
        </is>
      </c>
      <c r="J143" s="36">
        <f>IF(I143="","No","Yes")</f>
        <v/>
      </c>
      <c r="K143" s="39">
        <f>IF(I143="","",IFERROR(IF(ISNUMBER(SEARCH(A143,INDEX(Pages!$J$2:$J$829,MATCH(I143,Pages!$B$2:$B$829,0)))),"Yes","No"),"Page not found"))</f>
        <v/>
      </c>
      <c r="L143" s="25" t="inlineStr">
        <is>
          <t>ratehub blog</t>
        </is>
      </c>
      <c r="M143" s="25" t="inlineStr">
        <is>
          <t>Back-to-school spike in August and September.</t>
        </is>
      </c>
      <c r="N143" s="40" t="n"/>
      <c r="O143" s="38" t="n"/>
      <c r="P143" s="38" t="n"/>
    </row>
    <row r="144" ht="15" customHeight="1" s="22">
      <c r="A144" s="36" t="inlineStr">
        <is>
          <t>1 million life insurance cost</t>
        </is>
      </c>
      <c r="B144" s="36" t="inlineStr">
        <is>
          <t>Life insurance</t>
        </is>
      </c>
      <c r="C144" s="36" t="inlineStr">
        <is>
          <t>Term Life Insurance</t>
        </is>
      </c>
      <c r="D144" s="37" t="n">
        <v>320</v>
      </c>
      <c r="E144" s="36" t="n">
        <v>35</v>
      </c>
      <c r="F144" s="36" t="inlineStr">
        <is>
          <t>informational</t>
        </is>
      </c>
      <c r="G144" s="36" t="inlineStr">
        <is>
          <t>life-cost</t>
        </is>
      </c>
      <c r="H144" s="36" t="n">
        <v>2</v>
      </c>
      <c r="I144" s="36" t="inlineStr">
        <is>
          <t>https://instasure.ca/guides/how-much-does-life-insurance-cost-canada/</t>
        </is>
      </c>
      <c r="J144" s="36">
        <f>IF(I144="","No","Yes")</f>
        <v/>
      </c>
      <c r="K144" s="39">
        <f>IF(I144="","",IFERROR(IF(ISNUMBER(SEARCH(A144,INDEX(Pages!$J$2:$J$829,MATCH(I144,Pages!$B$2:$B$829,0)))),"Yes","No"),"Page not found"))</f>
        <v/>
      </c>
      <c r="L144" s="25" t="inlineStr">
        <is>
          <t>policyadvisor</t>
        </is>
      </c>
      <c r="M144" s="25" t="n"/>
      <c r="N144" s="40" t="n"/>
      <c r="O144" s="38" t="n"/>
      <c r="P144" s="38" t="n"/>
    </row>
    <row r="145" ht="15" customHeight="1" s="22">
      <c r="A145" s="36" t="inlineStr">
        <is>
          <t>coverme insurance review</t>
        </is>
      </c>
      <c r="B145" s="36" t="inlineStr">
        <is>
          <t>Life insurance</t>
        </is>
      </c>
      <c r="C145" s="36" t="inlineStr">
        <is>
          <t>Life Insurance</t>
        </is>
      </c>
      <c r="D145" s="37" t="n">
        <v>320</v>
      </c>
      <c r="E145" s="36" t="n">
        <v>30</v>
      </c>
      <c r="F145" s="36" t="inlineStr">
        <is>
          <t>commercial</t>
        </is>
      </c>
      <c r="G145" s="36" t="inlineStr">
        <is>
          <t>brand-reviews</t>
        </is>
      </c>
      <c r="H145" s="36" t="n">
        <v>3</v>
      </c>
      <c r="I145" s="36" t="n"/>
      <c r="J145" s="36">
        <f>IF(I145="","No","Yes")</f>
        <v/>
      </c>
      <c r="K145" s="39">
        <f>IF(I145="","",IFERROR(IF(ISNUMBER(SEARCH(A145,INDEX(Pages!$J$2:$J$829,MATCH(I145,Pages!$B$2:$B$829,0)))),"Yes","No"),"Page not found"))</f>
        <v/>
      </c>
      <c r="L145" s="25" t="inlineStr">
        <is>
          <t>policyadvisor</t>
        </is>
      </c>
      <c r="M145" s="25" t="inlineStr">
        <is>
          <t>Direct-to-consumer "instant" competitor; compare honestly.</t>
        </is>
      </c>
      <c r="N145" s="40" t="n"/>
      <c r="O145" s="38" t="n"/>
      <c r="P145" s="38" t="n"/>
    </row>
    <row r="146" ht="15" customHeight="1" s="22">
      <c r="A146" s="36" t="inlineStr">
        <is>
          <t>instant insurance quote</t>
        </is>
      </c>
      <c r="B146" s="36" t="inlineStr">
        <is>
          <t>Cross-product &amp; brand</t>
        </is>
      </c>
      <c r="C146" s="36" t="n"/>
      <c r="D146" s="37" t="n">
        <v>320</v>
      </c>
      <c r="E146" s="36" t="n">
        <v>30</v>
      </c>
      <c r="F146" s="36" t="inlineStr">
        <is>
          <t>transactional</t>
        </is>
      </c>
      <c r="G146" s="36" t="inlineStr">
        <is>
          <t>brand-instant</t>
        </is>
      </c>
      <c r="H146" s="36" t="n">
        <v>1</v>
      </c>
      <c r="I146" s="36" t="inlineStr">
        <is>
          <t>https://instasure.ca/quote/</t>
        </is>
      </c>
      <c r="J146" s="36">
        <f>IF(I146="","No","Yes")</f>
        <v/>
      </c>
      <c r="K146" s="39">
        <f>IF(I146="","",IFERROR(IF(ISNUMBER(SEARCH(A146,INDEX(Pages!$J$2:$J$829,MATCH(I146,Pages!$B$2:$B$829,0)))),"Yes","No"),"Page not found"))</f>
        <v/>
      </c>
      <c r="L146" s="25" t="inlineStr">
        <is>
          <t>(fragmented)</t>
        </is>
      </c>
      <c r="M146" s="25" t="inlineStr">
        <is>
          <t>Brand-defining term for instasure.ca.</t>
        </is>
      </c>
      <c r="N146" s="40" t="n"/>
      <c r="O146" s="38" t="n"/>
      <c r="P146" s="38" t="n"/>
    </row>
    <row r="147" ht="15" customHeight="1" s="22">
      <c r="A147" s="36" t="inlineStr">
        <is>
          <t>landscaping insurance</t>
        </is>
      </c>
      <c r="B147" s="36" t="inlineStr">
        <is>
          <t>Contractor &amp; trades insurance</t>
        </is>
      </c>
      <c r="C147" s="36" t="inlineStr">
        <is>
          <t>Contractor Insurance</t>
        </is>
      </c>
      <c r="D147" s="37" t="n">
        <v>320</v>
      </c>
      <c r="E147" s="36" t="n">
        <v>25</v>
      </c>
      <c r="F147" s="36" t="inlineStr">
        <is>
          <t>commercial</t>
        </is>
      </c>
      <c r="G147" s="36" t="inlineStr">
        <is>
          <t>business-trades</t>
        </is>
      </c>
      <c r="H147" s="36" t="n">
        <v>3</v>
      </c>
      <c r="I147" s="36" t="inlineStr">
        <is>
          <t>https://instasure.ca/contractor-insurance/landscaping/</t>
        </is>
      </c>
      <c r="J147" s="36">
        <f>IF(I147="","No","Yes")</f>
        <v/>
      </c>
      <c r="K147" s="39">
        <f>IF(I147="","",IFERROR(IF(ISNUMBER(SEARCH(A147,INDEX(Pages!$J$2:$J$829,MATCH(I147,Pages!$B$2:$B$829,0)))),"Yes","No"),"Page not found"))</f>
        <v/>
      </c>
      <c r="L147" s="25" t="inlineStr">
        <is>
          <t>ratehub blog</t>
        </is>
      </c>
      <c r="M147" s="25" t="inlineStr">
        <is>
          <t>Built (trade page).</t>
        </is>
      </c>
      <c r="N147" s="40" t="n"/>
      <c r="O147" s="38" t="n"/>
      <c r="P147" s="38" t="n"/>
    </row>
    <row r="148" ht="23.85" customHeight="1" s="22">
      <c r="A148" s="36" t="inlineStr">
        <is>
          <t>life insurance for diabetics</t>
        </is>
      </c>
      <c r="B148" s="36" t="inlineStr">
        <is>
          <t>Life insurance</t>
        </is>
      </c>
      <c r="C148" s="36" t="inlineStr">
        <is>
          <t>Life Insurance</t>
        </is>
      </c>
      <c r="D148" s="37" t="n">
        <v>320</v>
      </c>
      <c r="E148" s="36" t="n">
        <v>30</v>
      </c>
      <c r="F148" s="36" t="inlineStr">
        <is>
          <t>commercial</t>
        </is>
      </c>
      <c r="G148" s="36" t="inlineStr">
        <is>
          <t>life-conditions</t>
        </is>
      </c>
      <c r="H148" s="36" t="n">
        <v>3</v>
      </c>
      <c r="I148" s="36" t="inlineStr">
        <is>
          <t>https://instasure.ca/life-insurance/medical-conditions/</t>
        </is>
      </c>
      <c r="J148" s="36">
        <f>IF(I148="","No","Yes")</f>
        <v/>
      </c>
      <c r="K148" s="39">
        <f>IF(I148="","",IFERROR(IF(ISNUMBER(SEARCH(A148,INDEX(Pages!$J$2:$J$829,MATCH(I148,Pages!$B$2:$B$829,0)))),"Yes","No"),"Page not found"))</f>
        <v/>
      </c>
      <c r="L148" s="25" t="inlineStr">
        <is>
          <t>policyadvisor</t>
        </is>
      </c>
      <c r="M148" s="25" t="inlineStr">
        <is>
          <t>Answered on the medical-conditions page (Medical underwriting desk). Planned per-condition hub: /life-insurance/conditions/{condition}/.</t>
        </is>
      </c>
      <c r="N148" s="40" t="n"/>
      <c r="O148" s="38" t="n"/>
      <c r="P148" s="38" t="n"/>
    </row>
    <row r="149" ht="15" customHeight="1" s="22">
      <c r="A149" s="36" t="inlineStr">
        <is>
          <t>electrician insurance</t>
        </is>
      </c>
      <c r="B149" s="36" t="inlineStr">
        <is>
          <t>Contractor &amp; trades insurance</t>
        </is>
      </c>
      <c r="C149" s="36" t="inlineStr">
        <is>
          <t>Contractor Insurance</t>
        </is>
      </c>
      <c r="D149" s="37" t="n">
        <v>260</v>
      </c>
      <c r="E149" s="36" t="n">
        <v>25</v>
      </c>
      <c r="F149" s="36" t="inlineStr">
        <is>
          <t>commercial</t>
        </is>
      </c>
      <c r="G149" s="36" t="inlineStr">
        <is>
          <t>business-trades</t>
        </is>
      </c>
      <c r="H149" s="36" t="n">
        <v>3</v>
      </c>
      <c r="I149" s="36" t="inlineStr">
        <is>
          <t>https://instasure.ca/contractor-insurance/electrician/</t>
        </is>
      </c>
      <c r="J149" s="36">
        <f>IF(I149="","No","Yes")</f>
        <v/>
      </c>
      <c r="K149" s="39">
        <f>IF(I149="","",IFERROR(IF(ISNUMBER(SEARCH(A149,INDEX(Pages!$J$2:$J$829,MATCH(I149,Pages!$B$2:$B$829,0)))),"Yes","No"),"Page not found"))</f>
        <v/>
      </c>
      <c r="L149" s="25" t="inlineStr">
        <is>
          <t>(not seen)</t>
        </is>
      </c>
      <c r="M149" s="25" t="inlineStr">
        <is>
          <t>Built (trade page).</t>
        </is>
      </c>
      <c r="N149" s="40" t="n"/>
      <c r="O149" s="38" t="n"/>
      <c r="P149" s="38" t="n"/>
    </row>
    <row r="150" ht="23.85" customHeight="1" s="22">
      <c r="A150" s="36" t="inlineStr">
        <is>
          <t>funeral insurance cost</t>
        </is>
      </c>
      <c r="B150" s="36" t="inlineStr">
        <is>
          <t>Life insurance</t>
        </is>
      </c>
      <c r="C150" s="36" t="inlineStr">
        <is>
          <t>Life Insurance</t>
        </is>
      </c>
      <c r="D150" s="37" t="n">
        <v>260</v>
      </c>
      <c r="E150" s="36" t="n">
        <v>25</v>
      </c>
      <c r="F150" s="36" t="inlineStr">
        <is>
          <t>commercial</t>
        </is>
      </c>
      <c r="G150" s="36" t="inlineStr">
        <is>
          <t>life-audience</t>
        </is>
      </c>
      <c r="H150" s="36" t="n">
        <v>2</v>
      </c>
      <c r="I150" s="36" t="inlineStr">
        <is>
          <t>https://instasure.ca/life-insurance/funeral-expense/</t>
        </is>
      </c>
      <c r="J150" s="36">
        <f>IF(I150="","No","Yes")</f>
        <v/>
      </c>
      <c r="K150" s="39">
        <f>IF(I150="","",IFERROR(IF(ISNUMBER(SEARCH(A150,INDEX(Pages!$J$2:$J$829,MATCH(I150,Pages!$B$2:$B$829,0)))),"Yes","No"),"Page not found"))</f>
        <v/>
      </c>
      <c r="L150" s="25" t="inlineStr">
        <is>
          <t>policyadvisor</t>
        </is>
      </c>
      <c r="M150" s="25" t="inlineStr">
        <is>
          <t>Answered by the example estimate and the quote flow (small-policy mode, $5,000 to $50,000).</t>
        </is>
      </c>
      <c r="N150" s="40" t="n"/>
      <c r="O150" s="38" t="n"/>
      <c r="P150" s="38" t="n"/>
    </row>
    <row r="151" ht="15" customHeight="1" s="22">
      <c r="A151" s="36" t="inlineStr">
        <is>
          <t>handyman insurance</t>
        </is>
      </c>
      <c r="B151" s="36" t="inlineStr">
        <is>
          <t>Contractor &amp; trades insurance</t>
        </is>
      </c>
      <c r="C151" s="36" t="inlineStr">
        <is>
          <t>Contractor Insurance</t>
        </is>
      </c>
      <c r="D151" s="37" t="n">
        <v>260</v>
      </c>
      <c r="E151" s="36" t="n">
        <v>20</v>
      </c>
      <c r="F151" s="36" t="inlineStr">
        <is>
          <t>commercial</t>
        </is>
      </c>
      <c r="G151" s="36" t="inlineStr">
        <is>
          <t>business-trades</t>
        </is>
      </c>
      <c r="H151" s="36" t="n">
        <v>3</v>
      </c>
      <c r="I151" s="36" t="inlineStr">
        <is>
          <t>https://instasure.ca/contractor-insurance/</t>
        </is>
      </c>
      <c r="J151" s="36">
        <f>IF(I151="","No","Yes")</f>
        <v/>
      </c>
      <c r="K151" s="39">
        <f>IF(I151="","",IFERROR(IF(ISNUMBER(SEARCH(A151,INDEX(Pages!$J$2:$J$829,MATCH(I151,Pages!$B$2:$B$829,0)))),"Yes","No"),"Page not found"))</f>
        <v/>
      </c>
      <c r="L151" s="25" t="inlineStr">
        <is>
          <t>(not seen)</t>
        </is>
      </c>
      <c r="M151" s="25" t="n"/>
      <c r="N151" s="40" t="n"/>
      <c r="O151" s="38" t="n"/>
      <c r="P151" s="38" t="n"/>
    </row>
    <row r="152" ht="15" customHeight="1" s="22">
      <c r="A152" s="36" t="inlineStr">
        <is>
          <t>how much contents insurance do i need</t>
        </is>
      </c>
      <c r="B152" s="36" t="inlineStr">
        <is>
          <t>Tenant insurance</t>
        </is>
      </c>
      <c r="C152" s="36" t="inlineStr">
        <is>
          <t>Tenant Insurance</t>
        </is>
      </c>
      <c r="D152" s="37" t="n">
        <v>260</v>
      </c>
      <c r="E152" s="36" t="n">
        <v>20</v>
      </c>
      <c r="F152" s="36" t="inlineStr">
        <is>
          <t>transactional</t>
        </is>
      </c>
      <c r="G152" s="36" t="inlineStr">
        <is>
          <t>property-tools</t>
        </is>
      </c>
      <c r="H152" s="36" t="n">
        <v>2</v>
      </c>
      <c r="I152" s="36" t="inlineStr">
        <is>
          <t>https://instasure.ca/calculators/tenant-condo-coverage/</t>
        </is>
      </c>
      <c r="J152" s="36">
        <f>IF(I152="","No","Yes")</f>
        <v/>
      </c>
      <c r="K152" s="39">
        <f>IF(I152="","",IFERROR(IF(ISNUMBER(SEARCH(A152,INDEX(Pages!$J$2:$J$829,MATCH(I152,Pages!$B$2:$B$829,0)))),"Yes","No"),"Page not found"))</f>
        <v/>
      </c>
      <c r="L152" s="25" t="inlineStr">
        <is>
          <t>(none seen)</t>
        </is>
      </c>
      <c r="M152" s="25" t="n"/>
      <c r="N152" s="40" t="n"/>
      <c r="O152" s="38" t="n"/>
      <c r="P152" s="38" t="n"/>
    </row>
    <row r="153" ht="15" customHeight="1" s="22">
      <c r="A153" s="36" t="inlineStr">
        <is>
          <t>insurance glossary</t>
        </is>
      </c>
      <c r="B153" s="36" t="inlineStr">
        <is>
          <t>Cross-product &amp; brand</t>
        </is>
      </c>
      <c r="C153" s="36" t="n"/>
      <c r="D153" s="37" t="n">
        <v>260</v>
      </c>
      <c r="E153" s="36" t="n">
        <v>25</v>
      </c>
      <c r="F153" s="36" t="inlineStr">
        <is>
          <t>informational</t>
        </is>
      </c>
      <c r="G153" s="36" t="inlineStr">
        <is>
          <t>brand-instant</t>
        </is>
      </c>
      <c r="H153" s="36" t="n">
        <v>4</v>
      </c>
      <c r="I153" s="36" t="inlineStr">
        <is>
          <t>https://instasure.ca/glossary/</t>
        </is>
      </c>
      <c r="J153" s="36">
        <f>IF(I153="","No","Yes")</f>
        <v/>
      </c>
      <c r="K153" s="39">
        <f>IF(I153="","",IFERROR(IF(ISNUMBER(SEARCH(A153,INDEX(Pages!$J$2:$J$829,MATCH(I153,Pages!$B$2:$B$829,0)))),"Yes","No"),"Page not found"))</f>
        <v/>
      </c>
      <c r="L153" s="25" t="inlineStr">
        <is>
          <t>rates.ca (car glossary)</t>
        </is>
      </c>
      <c r="M153" s="25" t="n"/>
      <c r="N153" s="40" t="n"/>
      <c r="O153" s="38" t="n"/>
      <c r="P153" s="38" t="n"/>
    </row>
    <row r="154" ht="15" customHeight="1" s="22">
      <c r="A154" s="36" t="inlineStr">
        <is>
          <t>life insurance work permit canada</t>
        </is>
      </c>
      <c r="B154" s="36" t="inlineStr">
        <is>
          <t>Life insurance</t>
        </is>
      </c>
      <c r="C154" s="36" t="inlineStr">
        <is>
          <t>Life Insurance</t>
        </is>
      </c>
      <c r="D154" s="37" t="n">
        <v>260</v>
      </c>
      <c r="E154" s="36" t="n">
        <v>20</v>
      </c>
      <c r="F154" s="36" t="inlineStr">
        <is>
          <t>commercial</t>
        </is>
      </c>
      <c r="G154" s="36" t="inlineStr">
        <is>
          <t>life-audience</t>
        </is>
      </c>
      <c r="H154" s="36" t="n">
        <v>1</v>
      </c>
      <c r="I154" s="36" t="inlineStr">
        <is>
          <t>https://instasure.ca/guides/life-insurance-for-newcomers-to-canada/</t>
        </is>
      </c>
      <c r="J154" s="36">
        <f>IF(I154="","No","Yes")</f>
        <v/>
      </c>
      <c r="K154" s="39">
        <f>IF(I154="","",IFERROR(IF(ISNUMBER(SEARCH(A154,INDEX(Pages!$J$2:$J$829,MATCH(I154,Pages!$B$2:$B$829,0)))),"Yes","No"),"Page not found"))</f>
        <v/>
      </c>
      <c r="L154" s="25" t="inlineStr">
        <is>
          <t>policyadvisor, yahoo finance</t>
        </is>
      </c>
      <c r="M154" s="25" t="n"/>
      <c r="N154" s="40" t="n"/>
      <c r="O154" s="38" t="n"/>
      <c r="P154" s="38" t="n"/>
    </row>
    <row r="155" ht="15" customHeight="1" s="22">
      <c r="A155" s="36" t="inlineStr">
        <is>
          <t>mortgage life insurance calculator</t>
        </is>
      </c>
      <c r="B155" s="36" t="inlineStr">
        <is>
          <t>Mortgage protection</t>
        </is>
      </c>
      <c r="C155" s="36" t="inlineStr">
        <is>
          <t>Mortgage Life Insurance</t>
        </is>
      </c>
      <c r="D155" s="37" t="n">
        <v>260</v>
      </c>
      <c r="E155" s="36" t="n">
        <v>25</v>
      </c>
      <c r="F155" s="36" t="inlineStr">
        <is>
          <t>transactional</t>
        </is>
      </c>
      <c r="G155" s="36" t="inlineStr">
        <is>
          <t>life-tools</t>
        </is>
      </c>
      <c r="H155" s="36" t="n">
        <v>2</v>
      </c>
      <c r="I155" s="36" t="inlineStr">
        <is>
          <t>https://instasure.ca/calculators/mortgage-protection/</t>
        </is>
      </c>
      <c r="J155" s="36">
        <f>IF(I155="","No","Yes")</f>
        <v/>
      </c>
      <c r="K155" s="39">
        <f>IF(I155="","",IFERROR(IF(ISNUMBER(SEARCH(A155,INDEX(Pages!$J$2:$J$829,MATCH(I155,Pages!$B$2:$B$829,0)))),"Yes","No"),"Page not found"))</f>
        <v/>
      </c>
      <c r="L155" s="25" t="inlineStr">
        <is>
          <t>(none seen)</t>
        </is>
      </c>
      <c r="M155" s="25" t="inlineStr">
        <is>
          <t>No competitor tool seen.</t>
        </is>
      </c>
      <c r="N155" s="40" t="n"/>
      <c r="O155" s="38" t="n"/>
      <c r="P155" s="38" t="n"/>
    </row>
    <row r="156" ht="15" customHeight="1" s="22">
      <c r="A156" s="36" t="inlineStr">
        <is>
          <t>plumber insurance</t>
        </is>
      </c>
      <c r="B156" s="36" t="inlineStr">
        <is>
          <t>Contractor &amp; trades insurance</t>
        </is>
      </c>
      <c r="C156" s="36" t="inlineStr">
        <is>
          <t>Contractor Insurance</t>
        </is>
      </c>
      <c r="D156" s="37" t="n">
        <v>260</v>
      </c>
      <c r="E156" s="36" t="n">
        <v>25</v>
      </c>
      <c r="F156" s="36" t="inlineStr">
        <is>
          <t>commercial</t>
        </is>
      </c>
      <c r="G156" s="36" t="inlineStr">
        <is>
          <t>business-trades</t>
        </is>
      </c>
      <c r="H156" s="36" t="n">
        <v>3</v>
      </c>
      <c r="I156" s="36" t="inlineStr">
        <is>
          <t>https://instasure.ca/contractor-insurance/plumber/</t>
        </is>
      </c>
      <c r="J156" s="36">
        <f>IF(I156="","No","Yes")</f>
        <v/>
      </c>
      <c r="K156" s="39">
        <f>IF(I156="","",IFERROR(IF(ISNUMBER(SEARCH(A156,INDEX(Pages!$J$2:$J$829,MATCH(I156,Pages!$B$2:$B$829,0)))),"Yes","No"),"Page not found"))</f>
        <v/>
      </c>
      <c r="L156" s="25" t="inlineStr">
        <is>
          <t>rates.ca</t>
        </is>
      </c>
      <c r="M156" s="25" t="inlineStr">
        <is>
          <t>Built (trade page). More trades follow the same template.</t>
        </is>
      </c>
      <c r="N156" s="40" t="n"/>
      <c r="O156" s="38" t="n"/>
      <c r="P156" s="38" t="n"/>
    </row>
    <row r="157" ht="15" customHeight="1" s="22">
      <c r="A157" s="36" t="inlineStr">
        <is>
          <t>roofing insurance</t>
        </is>
      </c>
      <c r="B157" s="36" t="inlineStr">
        <is>
          <t>Contractor &amp; trades insurance</t>
        </is>
      </c>
      <c r="C157" s="36" t="inlineStr">
        <is>
          <t>Contractor Insurance</t>
        </is>
      </c>
      <c r="D157" s="37" t="n">
        <v>260</v>
      </c>
      <c r="E157" s="36" t="n">
        <v>25</v>
      </c>
      <c r="F157" s="36" t="inlineStr">
        <is>
          <t>commercial</t>
        </is>
      </c>
      <c r="G157" s="36" t="inlineStr">
        <is>
          <t>business-trades</t>
        </is>
      </c>
      <c r="H157" s="36" t="n">
        <v>3</v>
      </c>
      <c r="I157" s="36" t="inlineStr">
        <is>
          <t>https://instasure.ca/contractor-insurance/roofing/</t>
        </is>
      </c>
      <c r="J157" s="36">
        <f>IF(I157="","No","Yes")</f>
        <v/>
      </c>
      <c r="K157" s="39">
        <f>IF(I157="","",IFERROR(IF(ISNUMBER(SEARCH(A157,INDEX(Pages!$J$2:$J$829,MATCH(I157,Pages!$B$2:$B$829,0)))),"Yes","No"),"Page not found"))</f>
        <v/>
      </c>
      <c r="L157" s="25" t="inlineStr">
        <is>
          <t>(not seen)</t>
        </is>
      </c>
      <c r="M157" s="25" t="inlineStr">
        <is>
          <t>Built (trade page).</t>
        </is>
      </c>
      <c r="N157" s="40" t="n"/>
      <c r="O157" s="38" t="n"/>
      <c r="P157" s="38" t="n"/>
    </row>
    <row r="158" ht="15" customHeight="1" s="22">
      <c r="A158" s="36" t="inlineStr">
        <is>
          <t>funeral insurance no medical</t>
        </is>
      </c>
      <c r="B158" s="36" t="inlineStr">
        <is>
          <t>Life insurance</t>
        </is>
      </c>
      <c r="C158" s="36" t="inlineStr">
        <is>
          <t>No-Medical Life Insurance</t>
        </is>
      </c>
      <c r="D158" s="37" t="n">
        <v>210</v>
      </c>
      <c r="E158" s="36" t="n">
        <v>25</v>
      </c>
      <c r="F158" s="36" t="inlineStr">
        <is>
          <t>commercial</t>
        </is>
      </c>
      <c r="G158" s="36" t="inlineStr">
        <is>
          <t>life-instant</t>
        </is>
      </c>
      <c r="H158" s="36" t="n">
        <v>2</v>
      </c>
      <c r="I158" s="36" t="inlineStr">
        <is>
          <t>https://instasure.ca/life-insurance/funeral-expense/</t>
        </is>
      </c>
      <c r="J158" s="36">
        <f>IF(I158="","No","Yes")</f>
        <v/>
      </c>
      <c r="K158" s="39">
        <f>IF(I158="","",IFERROR(IF(ISNUMBER(SEARCH(A158,INDEX(Pages!$J$2:$J$829,MATCH(I158,Pages!$B$2:$B$829,0)))),"Yes","No"),"Page not found"))</f>
        <v/>
      </c>
      <c r="L158" s="25" t="inlineStr">
        <is>
          <t>policyadvisor, sun life go guaranteed</t>
        </is>
      </c>
      <c r="M158" s="25" t="n"/>
      <c r="N158" s="40" t="n"/>
      <c r="O158" s="38" t="n"/>
      <c r="P158" s="38" t="n"/>
    </row>
    <row r="159" ht="15" customHeight="1" s="22">
      <c r="A159" s="36" t="inlineStr">
        <is>
          <t>hvac insurance</t>
        </is>
      </c>
      <c r="B159" s="36" t="inlineStr">
        <is>
          <t>Contractor &amp; trades insurance</t>
        </is>
      </c>
      <c r="C159" s="36" t="inlineStr">
        <is>
          <t>Contractor Insurance</t>
        </is>
      </c>
      <c r="D159" s="37" t="n">
        <v>210</v>
      </c>
      <c r="E159" s="36" t="n">
        <v>25</v>
      </c>
      <c r="F159" s="36" t="inlineStr">
        <is>
          <t>commercial</t>
        </is>
      </c>
      <c r="G159" s="36" t="inlineStr">
        <is>
          <t>business-trades</t>
        </is>
      </c>
      <c r="H159" s="36" t="n">
        <v>3</v>
      </c>
      <c r="I159" s="36" t="inlineStr">
        <is>
          <t>https://instasure.ca/contractor-insurance/hvac/</t>
        </is>
      </c>
      <c r="J159" s="36">
        <f>IF(I159="","No","Yes")</f>
        <v/>
      </c>
      <c r="K159" s="39">
        <f>IF(I159="","",IFERROR(IF(ISNUMBER(SEARCH(A159,INDEX(Pages!$J$2:$J$829,MATCH(I159,Pages!$B$2:$B$829,0)))),"Yes","No"),"Page not found"))</f>
        <v/>
      </c>
      <c r="L159" s="25" t="inlineStr">
        <is>
          <t>rates.ca</t>
        </is>
      </c>
      <c r="M159" s="25" t="inlineStr">
        <is>
          <t>Built (trade page).</t>
        </is>
      </c>
      <c r="N159" s="40" t="n"/>
      <c r="O159" s="38" t="n"/>
      <c r="P159" s="38" t="n"/>
    </row>
    <row r="160" ht="15" customHeight="1" s="22">
      <c r="A160" s="36" t="inlineStr">
        <is>
          <t>intact vs aviva</t>
        </is>
      </c>
      <c r="B160" s="36" t="inlineStr">
        <is>
          <t>Car insurance</t>
        </is>
      </c>
      <c r="C160" s="36" t="inlineStr">
        <is>
          <t>Car Insurance</t>
        </is>
      </c>
      <c r="D160" s="37" t="n">
        <v>210</v>
      </c>
      <c r="E160" s="36" t="n">
        <v>20</v>
      </c>
      <c r="F160" s="36" t="inlineStr">
        <is>
          <t>commercial</t>
        </is>
      </c>
      <c r="G160" s="36" t="inlineStr">
        <is>
          <t>brand-reviews</t>
        </is>
      </c>
      <c r="H160" s="36" t="n">
        <v>3</v>
      </c>
      <c r="I160" s="36" t="n"/>
      <c r="J160" s="36">
        <f>IF(I160="","No","Yes")</f>
        <v/>
      </c>
      <c r="K160" s="39">
        <f>IF(I160="","",IFERROR(IF(ISNUMBER(SEARCH(A160,INDEX(Pages!$J$2:$J$829,MATCH(I160,Pages!$B$2:$B$829,0)))),"Yes","No"),"Page not found"))</f>
        <v/>
      </c>
      <c r="L160" s="25" t="inlineStr">
        <is>
          <t>(none seen)</t>
        </is>
      </c>
      <c r="M160" s="25" t="inlineStr">
        <is>
          <t>Planned: /compare/intact-vs-aviva/ (car and home), with a published comparison method.</t>
        </is>
      </c>
      <c r="N160" s="40" t="n"/>
      <c r="O160" s="38" t="n"/>
      <c r="P160" s="38" t="n"/>
    </row>
    <row r="161" ht="23.85" customHeight="1" s="22">
      <c r="A161" s="36" t="inlineStr">
        <is>
          <t>nova scotia car insurance rate increase</t>
        </is>
      </c>
      <c r="B161" s="36" t="inlineStr">
        <is>
          <t>Car insurance</t>
        </is>
      </c>
      <c r="C161" s="36" t="inlineStr">
        <is>
          <t>Car Insurance</t>
        </is>
      </c>
      <c r="D161" s="37" t="n">
        <v>210</v>
      </c>
      <c r="E161" s="36" t="n">
        <v>15</v>
      </c>
      <c r="F161" s="36" t="inlineStr">
        <is>
          <t>informational</t>
        </is>
      </c>
      <c r="G161" s="36" t="inlineStr">
        <is>
          <t>auto-data</t>
        </is>
      </c>
      <c r="H161" s="36" t="n">
        <v>2</v>
      </c>
      <c r="I161" s="36" t="n"/>
      <c r="J161" s="36">
        <f>IF(I161="","No","Yes")</f>
        <v/>
      </c>
      <c r="K161" s="39">
        <f>IF(I161="","",IFERROR(IF(ISNUMBER(SEARCH(A161,INDEX(Pages!$J$2:$J$829,MATCH(I161,Pages!$B$2:$B$829,0)))),"Yes","No"),"Page not found"))</f>
        <v/>
      </c>
      <c r="L161" s="25" t="inlineStr">
        <is>
          <t>(none seen)</t>
        </is>
      </c>
      <c r="M161" s="25" t="inlineStr">
        <is>
          <t>Planned: Atlantic rate-decision tracker (NS UARB, NB Insurance Board, NL PUB, PEI IRAC). No competitor covers Atlantic rate filings; verify each board publishes decisions.</t>
        </is>
      </c>
      <c r="N161" s="40" t="n"/>
      <c r="O161" s="38" t="n"/>
      <c r="P161" s="38" t="n"/>
    </row>
    <row r="162" ht="23.85" customHeight="1" s="22">
      <c r="A162" s="36" t="inlineStr">
        <is>
          <t>should i buy optional accident benefits</t>
        </is>
      </c>
      <c r="B162" s="36" t="inlineStr">
        <is>
          <t>Car insurance</t>
        </is>
      </c>
      <c r="C162" s="36" t="inlineStr">
        <is>
          <t>Car Insurance</t>
        </is>
      </c>
      <c r="D162" s="37" t="n">
        <v>210</v>
      </c>
      <c r="E162" s="36" t="n">
        <v>15</v>
      </c>
      <c r="F162" s="36" t="inlineStr">
        <is>
          <t>informational</t>
        </is>
      </c>
      <c r="G162" s="36" t="inlineStr">
        <is>
          <t>auto-regulation</t>
        </is>
      </c>
      <c r="H162" s="36" t="n">
        <v>1</v>
      </c>
      <c r="I162" s="36" t="inlineStr">
        <is>
          <t>https://instasure.ca/car-insurance/accident-benefits-review/</t>
        </is>
      </c>
      <c r="J162" s="36">
        <f>IF(I162="","No","Yes")</f>
        <v/>
      </c>
      <c r="K162" s="39">
        <f>IF(I162="","",IFERROR(IF(ISNUMBER(SEARCH(A162,INDEX(Pages!$J$2:$J$829,MATCH(I162,Pages!$B$2:$B$829,0)))),"Yes","No"),"Page not found"))</f>
        <v/>
      </c>
      <c r="L162" s="25" t="inlineStr">
        <is>
          <t>(explainers only)</t>
        </is>
      </c>
      <c r="M162" s="25" t="inlineStr">
        <is>
          <t>Ontario only. The Accident benefits review desk turns the July 2026 opt-out into an advisor conversation; the guide covers the rules.</t>
        </is>
      </c>
      <c r="N162" s="40" t="n"/>
      <c r="O162" s="38" t="n"/>
      <c r="P162" s="38" t="n"/>
    </row>
    <row r="163" ht="15" customHeight="1" s="22">
      <c r="A163" s="36" t="inlineStr">
        <is>
          <t>td insurance vs intact</t>
        </is>
      </c>
      <c r="B163" s="36" t="inlineStr">
        <is>
          <t>Car insurance</t>
        </is>
      </c>
      <c r="C163" s="36" t="inlineStr">
        <is>
          <t>Car Insurance</t>
        </is>
      </c>
      <c r="D163" s="37" t="n">
        <v>170</v>
      </c>
      <c r="E163" s="36" t="n">
        <v>20</v>
      </c>
      <c r="F163" s="36" t="inlineStr">
        <is>
          <t>commercial</t>
        </is>
      </c>
      <c r="G163" s="36" t="inlineStr">
        <is>
          <t>brand-reviews</t>
        </is>
      </c>
      <c r="H163" s="36" t="n">
        <v>3</v>
      </c>
      <c r="I163" s="36" t="n"/>
      <c r="J163" s="36">
        <f>IF(I163="","No","Yes")</f>
        <v/>
      </c>
      <c r="K163" s="39">
        <f>IF(I163="","",IFERROR(IF(ISNUMBER(SEARCH(A163,INDEX(Pages!$J$2:$J$829,MATCH(I163,Pages!$B$2:$B$829,0)))),"Yes","No"),"Page not found"))</f>
        <v/>
      </c>
      <c r="L163" s="25" t="inlineStr">
        <is>
          <t>(none seen)</t>
        </is>
      </c>
      <c r="M163" s="25" t="inlineStr">
        <is>
          <t>Planned: /compare/td-insurance-vs-intact/.</t>
        </is>
      </c>
      <c r="N163" s="40" t="n"/>
      <c r="O163" s="38" t="n"/>
      <c r="P163" s="38" t="n"/>
    </row>
    <row r="164" ht="15" customHeight="1" s="22">
      <c r="A164" s="36" t="inlineStr">
        <is>
          <t>belairdirect vs td insurance</t>
        </is>
      </c>
      <c r="B164" s="36" t="inlineStr">
        <is>
          <t>Car insurance</t>
        </is>
      </c>
      <c r="C164" s="36" t="inlineStr">
        <is>
          <t>Car Insurance</t>
        </is>
      </c>
      <c r="D164" s="37" t="n">
        <v>140</v>
      </c>
      <c r="E164" s="36" t="n">
        <v>15</v>
      </c>
      <c r="F164" s="36" t="inlineStr">
        <is>
          <t>commercial</t>
        </is>
      </c>
      <c r="G164" s="36" t="inlineStr">
        <is>
          <t>brand-reviews</t>
        </is>
      </c>
      <c r="H164" s="36" t="n">
        <v>3</v>
      </c>
      <c r="I164" s="36" t="n"/>
      <c r="J164" s="36">
        <f>IF(I164="","No","Yes")</f>
        <v/>
      </c>
      <c r="K164" s="39">
        <f>IF(I164="","",IFERROR(IF(ISNUMBER(SEARCH(A164,INDEX(Pages!$J$2:$J$829,MATCH(I164,Pages!$B$2:$B$829,0)))),"Yes","No"),"Page not found"))</f>
        <v/>
      </c>
      <c r="L164" s="25" t="inlineStr">
        <is>
          <t>(none seen)</t>
        </is>
      </c>
      <c r="M164" s="25" t="inlineStr">
        <is>
          <t>Planned: /compare/belairdirect-vs-td-insurance/.</t>
        </is>
      </c>
      <c r="N164" s="40" t="n"/>
      <c r="O164" s="38" t="n"/>
      <c r="P164" s="38" t="n"/>
    </row>
    <row r="165" ht="15" customHeight="1" s="22">
      <c r="A165" s="36" t="inlineStr">
        <is>
          <t>business insurance calculator</t>
        </is>
      </c>
      <c r="B165" s="36" t="inlineStr">
        <is>
          <t>Business insurance</t>
        </is>
      </c>
      <c r="C165" s="36" t="inlineStr">
        <is>
          <t>Business Insurance</t>
        </is>
      </c>
      <c r="D165" s="37" t="n">
        <v>140</v>
      </c>
      <c r="E165" s="36" t="n">
        <v>15</v>
      </c>
      <c r="F165" s="36" t="inlineStr">
        <is>
          <t>transactional</t>
        </is>
      </c>
      <c r="G165" s="36" t="inlineStr">
        <is>
          <t>business</t>
        </is>
      </c>
      <c r="H165" s="36" t="n">
        <v>3</v>
      </c>
      <c r="I165" s="36" t="inlineStr">
        <is>
          <t>https://instasure.ca/calculators/business-coverage/</t>
        </is>
      </c>
      <c r="J165" s="36">
        <f>IF(I165="","No","Yes")</f>
        <v/>
      </c>
      <c r="K165" s="39">
        <f>IF(I165="","",IFERROR(IF(ISNUMBER(SEARCH(A165,INDEX(Pages!$J$2:$J$829,MATCH(I165,Pages!$B$2:$B$829,0)))),"Yes","No"),"Page not found"))</f>
        <v/>
      </c>
      <c r="L165" s="25" t="inlineStr">
        <is>
          <t>(none seen)</t>
        </is>
      </c>
      <c r="M165" s="25" t="n"/>
      <c r="N165" s="40" t="n"/>
      <c r="O165" s="38" t="n"/>
      <c r="P165" s="38" t="n"/>
    </row>
    <row r="166" ht="15" customHeight="1" s="22">
      <c r="A166" s="36" t="inlineStr">
        <is>
          <t>new brunswick car insurance rate increase</t>
        </is>
      </c>
      <c r="B166" s="36" t="inlineStr">
        <is>
          <t>Car insurance</t>
        </is>
      </c>
      <c r="C166" s="36" t="inlineStr">
        <is>
          <t>Car Insurance</t>
        </is>
      </c>
      <c r="D166" s="37" t="n">
        <v>140</v>
      </c>
      <c r="E166" s="36" t="n">
        <v>15</v>
      </c>
      <c r="F166" s="36" t="inlineStr">
        <is>
          <t>informational</t>
        </is>
      </c>
      <c r="G166" s="36" t="inlineStr">
        <is>
          <t>auto-data</t>
        </is>
      </c>
      <c r="H166" s="36" t="n">
        <v>3</v>
      </c>
      <c r="I166" s="36" t="n"/>
      <c r="J166" s="36">
        <f>IF(I166="","No","Yes")</f>
        <v/>
      </c>
      <c r="K166" s="39">
        <f>IF(I166="","",IFERROR(IF(ISNUMBER(SEARCH(A166,INDEX(Pages!$J$2:$J$829,MATCH(I166,Pages!$B$2:$B$829,0)))),"Yes","No"),"Page not found"))</f>
        <v/>
      </c>
      <c r="L166" s="25" t="inlineStr">
        <is>
          <t>(none seen)</t>
        </is>
      </c>
      <c r="M166" s="25" t="inlineStr">
        <is>
          <t>Same Atlantic tracker.</t>
        </is>
      </c>
      <c r="N166" s="40" t="n"/>
      <c r="O166" s="38" t="n"/>
      <c r="P166" s="38" t="n"/>
    </row>
    <row r="167" ht="15" customHeight="1" s="22">
      <c r="A167" s="36" t="inlineStr">
        <is>
          <t>prepaid funeral vs funeral insurance</t>
        </is>
      </c>
      <c r="B167" s="36" t="inlineStr">
        <is>
          <t>Life insurance</t>
        </is>
      </c>
      <c r="C167" s="36" t="inlineStr">
        <is>
          <t>Life Insurance</t>
        </is>
      </c>
      <c r="D167" s="37" t="n">
        <v>140</v>
      </c>
      <c r="E167" s="36" t="n">
        <v>15</v>
      </c>
      <c r="F167" s="36" t="inlineStr">
        <is>
          <t>informational</t>
        </is>
      </c>
      <c r="G167" s="36" t="inlineStr">
        <is>
          <t>life-audience</t>
        </is>
      </c>
      <c r="H167" s="36" t="n">
        <v>2</v>
      </c>
      <c r="I167" s="36" t="n"/>
      <c r="J167" s="36">
        <f>IF(I167="","No","Yes")</f>
        <v/>
      </c>
      <c r="K167" s="39">
        <f>IF(I167="","",IFERROR(IF(ISNUMBER(SEARCH(A167,INDEX(Pages!$J$2:$J$829,MATCH(I167,Pages!$B$2:$B$829,0)))),"Yes","No"),"Page not found"))</f>
        <v/>
      </c>
      <c r="L167" s="25" t="inlineStr">
        <is>
          <t>(funeral homes only)</t>
        </is>
      </c>
      <c r="M167" s="25" t="inlineStr">
        <is>
          <t>Planned guide: /guides/pre-arranged-funeral-vs-funeral-insurance/.</t>
        </is>
      </c>
      <c r="N167" s="40" t="n"/>
      <c r="O167" s="38" t="n"/>
      <c r="P167" s="38" t="n"/>
    </row>
    <row r="168" ht="15" customHeight="1" s="22">
      <c r="A168" s="36" t="inlineStr">
        <is>
          <t>sonnet vs belairdirect</t>
        </is>
      </c>
      <c r="B168" s="36" t="inlineStr">
        <is>
          <t>Car insurance</t>
        </is>
      </c>
      <c r="C168" s="36" t="inlineStr">
        <is>
          <t>Car Insurance</t>
        </is>
      </c>
      <c r="D168" s="37" t="n">
        <v>90</v>
      </c>
      <c r="E168" s="36" t="n">
        <v>15</v>
      </c>
      <c r="F168" s="36" t="inlineStr">
        <is>
          <t>commercial</t>
        </is>
      </c>
      <c r="G168" s="36" t="inlineStr">
        <is>
          <t>brand-reviews</t>
        </is>
      </c>
      <c r="H168" s="36" t="n">
        <v>4</v>
      </c>
      <c r="I168" s="36" t="n"/>
      <c r="J168" s="36">
        <f>IF(I168="","No","Yes")</f>
        <v/>
      </c>
      <c r="K168" s="39">
        <f>IF(I168="","",IFERROR(IF(ISNUMBER(SEARCH(A168,INDEX(Pages!$J$2:$J$829,MATCH(I168,Pages!$B$2:$B$829,0)))),"Yes","No"),"Page not found"))</f>
        <v/>
      </c>
      <c r="L168" s="25" t="inlineStr">
        <is>
          <t>youset (blog)</t>
        </is>
      </c>
      <c r="M168" s="25" t="inlineStr">
        <is>
          <t>Planned: /compare/sonnet-vs-belairdirect/.</t>
        </is>
      </c>
      <c r="N168" s="40" t="n"/>
      <c r="O168" s="38" t="n"/>
      <c r="P168" s="38" t="n"/>
    </row>
  </sheetData>
  <autoFilter ref="A1:P16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tabColor rgb="FF7A8CA0"/>
    <outlinePr summaryBelow="1" summaryRight="1"/>
    <pageSetUpPr fitToPage="0"/>
  </sheetPr>
  <dimension ref="A1:Q13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40" customWidth="1" style="21" min="1" max="1"/>
    <col width="24" customWidth="1" style="21" min="2" max="2"/>
    <col width="22" customWidth="1" style="21" min="3" max="3"/>
    <col width="16" customWidth="1" style="21" min="4" max="4"/>
    <col width="12" customWidth="1" style="21" min="5" max="5"/>
    <col width="10" customWidth="1" style="21" min="6" max="6"/>
    <col width="13" customWidth="1" style="21" min="7" max="7"/>
    <col width="18" customWidth="1" style="21" min="8" max="8"/>
    <col width="9" customWidth="1" style="21" min="9" max="9"/>
    <col width="50" customWidth="1" style="21" min="10" max="10"/>
    <col width="9" customWidth="1" style="21" min="11" max="11"/>
    <col width="11" customWidth="1" style="21" min="12" max="12"/>
    <col width="40" customWidth="1" style="21" min="13" max="13"/>
    <col width="60" customWidth="1" style="21" min="14" max="14"/>
    <col width="14" customWidth="1" style="21" min="15" max="15"/>
    <col width="11" customWidth="1" style="21" min="16" max="16"/>
    <col width="12" customWidth="1" style="21" min="17" max="17"/>
  </cols>
  <sheetData>
    <row r="1" ht="31.5" customHeight="1" s="22">
      <c r="A1" s="30" t="inlineStr">
        <is>
          <t>Keyword</t>
        </is>
      </c>
      <c r="B1" s="30" t="inlineStr">
        <is>
          <t>Insurance segment</t>
        </is>
      </c>
      <c r="C1" s="30" t="inlineStr">
        <is>
          <t>Product line</t>
        </is>
      </c>
      <c r="D1" s="30" t="inlineStr">
        <is>
          <t>Province</t>
        </is>
      </c>
      <c r="E1" s="30" t="inlineStr">
        <is>
          <t>Volume / mo (modelled)</t>
        </is>
      </c>
      <c r="F1" s="30" t="inlineStr">
        <is>
          <t>Difficulty (0–100)</t>
        </is>
      </c>
      <c r="G1" s="30" t="inlineStr">
        <is>
          <t>Intent</t>
        </is>
      </c>
      <c r="H1" s="30" t="inlineStr">
        <is>
          <t>Cluster</t>
        </is>
      </c>
      <c r="I1" s="30" t="inlineStr">
        <is>
          <t>Priority (1 = first)</t>
        </is>
      </c>
      <c r="J1" s="30" t="inlineStr">
        <is>
          <t>Target page</t>
        </is>
      </c>
      <c r="K1" s="30" t="inlineStr">
        <is>
          <t>Mapped?</t>
        </is>
      </c>
      <c r="L1" s="30" t="inlineStr">
        <is>
          <t>Keyword in target title?</t>
        </is>
      </c>
      <c r="M1" s="30" t="inlineStr">
        <is>
          <t>Competitors seen</t>
        </is>
      </c>
      <c r="N1" s="30" t="inlineStr">
        <is>
          <t>Notes / planned URL</t>
        </is>
      </c>
      <c r="O1" s="30" t="inlineStr">
        <is>
          <t>Measured volume (Keyword Planner)</t>
        </is>
      </c>
      <c r="P1" s="30" t="inlineStr">
        <is>
          <t>Current Google rank</t>
        </is>
      </c>
      <c r="Q1" s="30" t="inlineStr">
        <is>
          <t>Last checked</t>
        </is>
      </c>
    </row>
    <row r="2" ht="23.85" customHeight="1" s="22">
      <c r="A2" s="36" t="inlineStr">
        <is>
          <t>assurance auto</t>
        </is>
      </c>
      <c r="B2" s="36" t="inlineStr">
        <is>
          <t>Car insurance</t>
        </is>
      </c>
      <c r="C2" s="36" t="inlineStr">
        <is>
          <t>Car Insurance</t>
        </is>
      </c>
      <c r="D2" s="36" t="inlineStr">
        <is>
          <t>Quebec</t>
        </is>
      </c>
      <c r="E2" s="37" t="n">
        <v>33000</v>
      </c>
      <c r="F2" s="36" t="n">
        <v>75</v>
      </c>
      <c r="G2" s="36" t="inlineStr">
        <is>
          <t>transactional</t>
        </is>
      </c>
      <c r="H2" s="36" t="inlineStr">
        <is>
          <t>fr-quebec</t>
        </is>
      </c>
      <c r="I2" s="36" t="n">
        <v>3</v>
      </c>
      <c r="J2" s="36" t="n"/>
      <c r="K2" s="36">
        <f>IF(J2="","No","Yes")</f>
        <v/>
      </c>
      <c r="L2" s="39">
        <f>IF(J2="","",IFERROR(IF(ISNUMBER(SEARCH(A2,INDEX(Pages!$J$2:$J$829,MATCH(J2,Pages!$B$2:$B$829,0)))),"Yes","No"),"Page not found"))</f>
        <v/>
      </c>
      <c r="M2" s="25" t="inlineStr">
        <is>
          <t>sonnet, desjardins, belairdirect, beneva</t>
        </is>
      </c>
      <c r="N2" s="25" t="inlineStr">
        <is>
          <t>Planned: /fr/assurance-auto/. Needs AMF registration (Alternative Distribution Methods regulation), French pages and hreflang.</t>
        </is>
      </c>
      <c r="O2" s="40" t="n"/>
      <c r="P2" s="38" t="n"/>
      <c r="Q2" s="38" t="n"/>
    </row>
    <row r="3" ht="15" customHeight="1" s="22">
      <c r="A3" s="36" t="inlineStr">
        <is>
          <t>assurance habitation</t>
        </is>
      </c>
      <c r="B3" s="36" t="inlineStr">
        <is>
          <t>Home insurance</t>
        </is>
      </c>
      <c r="C3" s="36" t="inlineStr">
        <is>
          <t>Home Insurance</t>
        </is>
      </c>
      <c r="D3" s="36" t="inlineStr">
        <is>
          <t>Quebec</t>
        </is>
      </c>
      <c r="E3" s="37" t="n">
        <v>22000</v>
      </c>
      <c r="F3" s="36" t="n">
        <v>70</v>
      </c>
      <c r="G3" s="36" t="inlineStr">
        <is>
          <t>transactional</t>
        </is>
      </c>
      <c r="H3" s="36" t="inlineStr">
        <is>
          <t>fr-quebec</t>
        </is>
      </c>
      <c r="I3" s="36" t="n">
        <v>3</v>
      </c>
      <c r="J3" s="36" t="n"/>
      <c r="K3" s="36">
        <f>IF(J3="","No","Yes")</f>
        <v/>
      </c>
      <c r="L3" s="39">
        <f>IF(J3="","",IFERROR(IF(ISNUMBER(SEARCH(A3,INDEX(Pages!$J$2:$J$829,MATCH(J3,Pages!$B$2:$B$829,0)))),"Yes","No"),"Page not found"))</f>
        <v/>
      </c>
      <c r="M3" s="25" t="inlineStr">
        <is>
          <t>sonnet, desjardins, intact</t>
        </is>
      </c>
      <c r="N3" s="25" t="inlineStr">
        <is>
          <t>Planned: /fr/assurance-habitation/.</t>
        </is>
      </c>
      <c r="O3" s="40" t="n"/>
      <c r="P3" s="38" t="n"/>
      <c r="Q3" s="38" t="n"/>
    </row>
    <row r="4" ht="15" customHeight="1" s="22">
      <c r="A4" s="36" t="inlineStr">
        <is>
          <t>car insurance ontario</t>
        </is>
      </c>
      <c r="B4" s="36" t="inlineStr">
        <is>
          <t>Car insurance</t>
        </is>
      </c>
      <c r="C4" s="36" t="inlineStr">
        <is>
          <t>Car Insurance</t>
        </is>
      </c>
      <c r="D4" s="36" t="inlineStr">
        <is>
          <t>Ontario</t>
        </is>
      </c>
      <c r="E4" s="37" t="n">
        <v>12000</v>
      </c>
      <c r="F4" s="36" t="n">
        <v>79</v>
      </c>
      <c r="G4" s="36" t="inlineStr">
        <is>
          <t>commercial</t>
        </is>
      </c>
      <c r="H4" s="36" t="inlineStr">
        <is>
          <t>auto-province</t>
        </is>
      </c>
      <c r="I4" s="36" t="n">
        <v>1</v>
      </c>
      <c r="J4" s="36" t="inlineStr">
        <is>
          <t>https://instasure.ca/car-insurance/ontario/</t>
        </is>
      </c>
      <c r="K4" s="36">
        <f>IF(J4="","No","Yes")</f>
        <v/>
      </c>
      <c r="L4" s="39">
        <f>IF(J4="","",IFERROR(IF(ISNUMBER(SEARCH(A4,INDEX(Pages!$J$2:$J$829,MATCH(J4,Pages!$B$2:$B$829,0)))),"Yes","No"),"Page not found"))</f>
        <v/>
      </c>
      <c r="M4" s="25" t="inlineStr">
        <is>
          <t>ratehub, rates.ca, sonnet</t>
        </is>
      </c>
      <c r="N4" s="25" t="n"/>
      <c r="O4" s="40" t="n"/>
      <c r="P4" s="38" t="n"/>
      <c r="Q4" s="38" t="n"/>
    </row>
    <row r="5" ht="23.85" customHeight="1" s="22">
      <c r="A5" s="36" t="inlineStr">
        <is>
          <t>assurance vie</t>
        </is>
      </c>
      <c r="B5" s="36" t="inlineStr">
        <is>
          <t>Life insurance</t>
        </is>
      </c>
      <c r="C5" s="36" t="inlineStr">
        <is>
          <t>Life Insurance</t>
        </is>
      </c>
      <c r="D5" s="36" t="inlineStr">
        <is>
          <t>Quebec</t>
        </is>
      </c>
      <c r="E5" s="37" t="n">
        <v>9900</v>
      </c>
      <c r="F5" s="36" t="n">
        <v>65</v>
      </c>
      <c r="G5" s="36" t="inlineStr">
        <is>
          <t>commercial</t>
        </is>
      </c>
      <c r="H5" s="36" t="inlineStr">
        <is>
          <t>fr-quebec</t>
        </is>
      </c>
      <c r="I5" s="36" t="n">
        <v>3</v>
      </c>
      <c r="J5" s="36" t="n"/>
      <c r="K5" s="36">
        <f>IF(J5="","No","Yes")</f>
        <v/>
      </c>
      <c r="L5" s="39">
        <f>IF(J5="","",IFERROR(IF(ISNUMBER(SEARCH(A5,INDEX(Pages!$J$2:$J$829,MATCH(J5,Pages!$B$2:$B$829,0)))),"Yes","No"),"Page not found"))</f>
        <v/>
      </c>
      <c r="M5" s="25" t="inlineStr">
        <is>
          <t>desjardins, iA, beneva, sun life</t>
        </is>
      </c>
      <c r="N5" s="25" t="inlineStr">
        <is>
          <t>Planned: /fr/assurance-vie/. No competitor geo page seen for Quebec life insurance; PolicyAdvisor is not licensed there.</t>
        </is>
      </c>
      <c r="O5" s="40" t="n"/>
      <c r="P5" s="38" t="n"/>
      <c r="Q5" s="38" t="n"/>
    </row>
    <row r="6" ht="15" customHeight="1" s="22">
      <c r="A6" s="36" t="inlineStr">
        <is>
          <t>soumission assurance auto</t>
        </is>
      </c>
      <c r="B6" s="36" t="inlineStr">
        <is>
          <t>Car insurance</t>
        </is>
      </c>
      <c r="C6" s="36" t="inlineStr">
        <is>
          <t>Car Insurance</t>
        </is>
      </c>
      <c r="D6" s="36" t="inlineStr">
        <is>
          <t>Quebec</t>
        </is>
      </c>
      <c r="E6" s="37" t="n">
        <v>6600</v>
      </c>
      <c r="F6" s="36" t="n">
        <v>65</v>
      </c>
      <c r="G6" s="36" t="inlineStr">
        <is>
          <t>transactional</t>
        </is>
      </c>
      <c r="H6" s="36" t="inlineStr">
        <is>
          <t>fr-quebec</t>
        </is>
      </c>
      <c r="I6" s="36" t="n">
        <v>3</v>
      </c>
      <c r="J6" s="36" t="n"/>
      <c r="K6" s="36">
        <f>IF(J6="","No","Yes")</f>
        <v/>
      </c>
      <c r="L6" s="39">
        <f>IF(J6="","",IFERROR(IF(ISNUMBER(SEARCH(A6,INDEX(Pages!$J$2:$J$829,MATCH(J6,Pages!$B$2:$B$829,0)))),"Yes","No"),"Page not found"))</f>
        <v/>
      </c>
      <c r="M6" s="25" t="inlineStr">
        <is>
          <t>sonnet ("soumission 100% en ligne")</t>
        </is>
      </c>
      <c r="N6" s="25" t="inlineStr">
        <is>
          <t>Planned: /fr/soumission/ (quote flow in French). Use "soumission" in French titles.</t>
        </is>
      </c>
      <c r="O6" s="40" t="n"/>
      <c r="P6" s="38" t="n"/>
      <c r="Q6" s="38" t="n"/>
    </row>
    <row r="7" ht="15" customHeight="1" s="22">
      <c r="A7" s="36" t="inlineStr">
        <is>
          <t>car insurance alberta</t>
        </is>
      </c>
      <c r="B7" s="36" t="inlineStr">
        <is>
          <t>Car insurance</t>
        </is>
      </c>
      <c r="C7" s="36" t="inlineStr">
        <is>
          <t>Car Insurance</t>
        </is>
      </c>
      <c r="D7" s="36" t="inlineStr">
        <is>
          <t>Alberta</t>
        </is>
      </c>
      <c r="E7" s="37" t="n">
        <v>4500</v>
      </c>
      <c r="F7" s="36" t="n">
        <v>67</v>
      </c>
      <c r="G7" s="36" t="inlineStr">
        <is>
          <t>commercial</t>
        </is>
      </c>
      <c r="H7" s="36" t="inlineStr">
        <is>
          <t>auto-province</t>
        </is>
      </c>
      <c r="I7" s="36" t="n">
        <v>1</v>
      </c>
      <c r="J7" s="36" t="inlineStr">
        <is>
          <t>https://instasure.ca/car-insurance/alberta/</t>
        </is>
      </c>
      <c r="K7" s="36">
        <f>IF(J7="","No","Yes")</f>
        <v/>
      </c>
      <c r="L7" s="39">
        <f>IF(J7="","",IFERROR(IF(ISNUMBER(SEARCH(A7,INDEX(Pages!$J$2:$J$829,MATCH(J7,Pages!$B$2:$B$829,0)))),"Yes","No"),"Page not found"))</f>
        <v/>
      </c>
      <c r="M7" s="25" t="inlineStr">
        <is>
          <t>ratehub, rates.ca</t>
        </is>
      </c>
      <c r="N7" s="25" t="n"/>
      <c r="O7" s="40" t="n"/>
      <c r="P7" s="38" t="n"/>
      <c r="Q7" s="38" t="n"/>
    </row>
    <row r="8" ht="15" customHeight="1" s="22">
      <c r="A8" s="36" t="inlineStr">
        <is>
          <t>assurance locataire</t>
        </is>
      </c>
      <c r="B8" s="36" t="inlineStr">
        <is>
          <t>Tenant insurance</t>
        </is>
      </c>
      <c r="C8" s="36" t="inlineStr">
        <is>
          <t>Tenant Insurance</t>
        </is>
      </c>
      <c r="D8" s="36" t="inlineStr">
        <is>
          <t>Quebec</t>
        </is>
      </c>
      <c r="E8" s="37" t="n">
        <v>4400</v>
      </c>
      <c r="F8" s="36" t="n">
        <v>55</v>
      </c>
      <c r="G8" s="36" t="inlineStr">
        <is>
          <t>commercial</t>
        </is>
      </c>
      <c r="H8" s="36" t="inlineStr">
        <is>
          <t>fr-quebec</t>
        </is>
      </c>
      <c r="I8" s="36" t="n">
        <v>3</v>
      </c>
      <c r="J8" s="36" t="n"/>
      <c r="K8" s="36">
        <f>IF(J8="","No","Yes")</f>
        <v/>
      </c>
      <c r="L8" s="39">
        <f>IF(J8="","",IFERROR(IF(ISNUMBER(SEARCH(A8,INDEX(Pages!$J$2:$J$829,MATCH(J8,Pages!$B$2:$B$829,0)))),"Yes","No"),"Page not found"))</f>
        <v/>
      </c>
      <c r="M8" s="25" t="inlineStr">
        <is>
          <t>sonnet</t>
        </is>
      </c>
      <c r="N8" s="25" t="inlineStr">
        <is>
          <t>Planned: /fr/assurance-locataire/.</t>
        </is>
      </c>
      <c r="O8" s="40" t="n"/>
      <c r="P8" s="38" t="n"/>
      <c r="Q8" s="38" t="n"/>
    </row>
    <row r="9" ht="15" customHeight="1" s="22">
      <c r="A9" s="36" t="inlineStr">
        <is>
          <t>ontario auto insurance changes 2026</t>
        </is>
      </c>
      <c r="B9" s="36" t="inlineStr">
        <is>
          <t>Car insurance</t>
        </is>
      </c>
      <c r="C9" s="36" t="inlineStr">
        <is>
          <t>Car Insurance</t>
        </is>
      </c>
      <c r="D9" s="36" t="inlineStr">
        <is>
          <t>Ontario</t>
        </is>
      </c>
      <c r="E9" s="37" t="n">
        <v>4400</v>
      </c>
      <c r="F9" s="36" t="n">
        <v>45</v>
      </c>
      <c r="G9" s="36" t="inlineStr">
        <is>
          <t>informational</t>
        </is>
      </c>
      <c r="H9" s="36" t="inlineStr">
        <is>
          <t>auto-regulation</t>
        </is>
      </c>
      <c r="I9" s="36" t="n">
        <v>1</v>
      </c>
      <c r="J9" s="36" t="inlineStr">
        <is>
          <t>https://instasure.ca/guides/ontario-auto-insurance-changes-july-2026/</t>
        </is>
      </c>
      <c r="K9" s="36">
        <f>IF(J9="","No","Yes")</f>
        <v/>
      </c>
      <c r="L9" s="39">
        <f>IF(J9="","",IFERROR(IF(ISNUMBER(SEARCH(A9,INDEX(Pages!$J$2:$J$829,MATCH(J9,Pages!$B$2:$B$829,0)))),"Yes","No"),"Page not found"))</f>
        <v/>
      </c>
      <c r="M9" s="25" t="inlineStr">
        <is>
          <t>rates.ca, ratelab, thinkinsure, intact, IBC, RIBO, CP24</t>
        </is>
      </c>
      <c r="N9" s="25" t="inlineStr">
        <is>
          <t>Every Ontario renewal from July 2026 to June 2027 forces the opt-out decision.</t>
        </is>
      </c>
      <c r="O9" s="40" t="n"/>
      <c r="P9" s="38" t="n"/>
      <c r="Q9" s="38" t="n"/>
    </row>
    <row r="10" ht="15" customHeight="1" s="22">
      <c r="A10" s="36" t="inlineStr">
        <is>
          <t>home insurance ontario</t>
        </is>
      </c>
      <c r="B10" s="36" t="inlineStr">
        <is>
          <t>Home insurance</t>
        </is>
      </c>
      <c r="C10" s="36" t="inlineStr">
        <is>
          <t>Home Insurance</t>
        </is>
      </c>
      <c r="D10" s="36" t="inlineStr">
        <is>
          <t>Ontario</t>
        </is>
      </c>
      <c r="E10" s="37" t="n">
        <v>3000</v>
      </c>
      <c r="F10" s="36" t="n">
        <v>69</v>
      </c>
      <c r="G10" s="36" t="inlineStr">
        <is>
          <t>commercial</t>
        </is>
      </c>
      <c r="H10" s="36" t="inlineStr">
        <is>
          <t>property-province</t>
        </is>
      </c>
      <c r="I10" s="36" t="n">
        <v>1</v>
      </c>
      <c r="J10" s="36" t="inlineStr">
        <is>
          <t>https://instasure.ca/home-insurance/ontario/</t>
        </is>
      </c>
      <c r="K10" s="36">
        <f>IF(J10="","No","Yes")</f>
        <v/>
      </c>
      <c r="L10" s="39">
        <f>IF(J10="","",IFERROR(IF(ISNUMBER(SEARCH(A10,INDEX(Pages!$J$2:$J$829,MATCH(J10,Pages!$B$2:$B$829,0)))),"Yes","No"),"Page not found"))</f>
        <v/>
      </c>
      <c r="M10" s="25" t="inlineStr">
        <is>
          <t>ratehub, rates.ca, sonnet</t>
        </is>
      </c>
      <c r="N10" s="25" t="n"/>
      <c r="O10" s="40" t="n"/>
      <c r="P10" s="38" t="n"/>
      <c r="Q10" s="38" t="n"/>
    </row>
    <row r="11" ht="15" customHeight="1" s="22">
      <c r="A11" s="36" t="inlineStr">
        <is>
          <t>car insurance bc</t>
        </is>
      </c>
      <c r="B11" s="36" t="inlineStr">
        <is>
          <t>Car insurance</t>
        </is>
      </c>
      <c r="C11" s="36" t="inlineStr">
        <is>
          <t>Car Insurance</t>
        </is>
      </c>
      <c r="D11" s="36" t="inlineStr">
        <is>
          <t>British Columbia</t>
        </is>
      </c>
      <c r="E11" s="37" t="n">
        <v>2200</v>
      </c>
      <c r="F11" s="36" t="n">
        <v>63</v>
      </c>
      <c r="G11" s="36" t="inlineStr">
        <is>
          <t>commercial</t>
        </is>
      </c>
      <c r="H11" s="36" t="inlineStr">
        <is>
          <t>auto-province</t>
        </is>
      </c>
      <c r="I11" s="36" t="n">
        <v>2</v>
      </c>
      <c r="J11" s="36" t="inlineStr">
        <is>
          <t>https://instasure.ca/car-insurance/british-columbia/</t>
        </is>
      </c>
      <c r="K11" s="36">
        <f>IF(J11="","No","Yes")</f>
        <v/>
      </c>
      <c r="L11" s="39">
        <f>IF(J11="","",IFERROR(IF(ISNUMBER(SEARCH(A11,INDEX(Pages!$J$2:$J$829,MATCH(J11,Pages!$B$2:$B$829,0)))),"Yes","No"),"Page not found"))</f>
        <v/>
      </c>
      <c r="M11" s="25" t="inlineStr">
        <is>
          <t>ratehub</t>
        </is>
      </c>
      <c r="N11" s="25" t="inlineStr">
        <is>
          <t>ICBC sells basic auto; target optional coverage. Low lead value.</t>
        </is>
      </c>
      <c r="O11" s="40" t="n"/>
      <c r="P11" s="38" t="n"/>
      <c r="Q11" s="38" t="n"/>
    </row>
    <row r="12" ht="15" customHeight="1" s="22">
      <c r="A12" s="36" t="inlineStr">
        <is>
          <t>car insurance quebec</t>
        </is>
      </c>
      <c r="B12" s="36" t="inlineStr">
        <is>
          <t>Car insurance</t>
        </is>
      </c>
      <c r="C12" s="36" t="inlineStr">
        <is>
          <t>Car Insurance</t>
        </is>
      </c>
      <c r="D12" s="36" t="inlineStr">
        <is>
          <t>Quebec</t>
        </is>
      </c>
      <c r="E12" s="37" t="n">
        <v>2200</v>
      </c>
      <c r="F12" s="36" t="n">
        <v>71</v>
      </c>
      <c r="G12" s="36" t="inlineStr">
        <is>
          <t>commercial</t>
        </is>
      </c>
      <c r="H12" s="36" t="inlineStr">
        <is>
          <t>auto-province</t>
        </is>
      </c>
      <c r="I12" s="36" t="n">
        <v>3</v>
      </c>
      <c r="J12" s="36" t="inlineStr">
        <is>
          <t>https://instasure.ca/car-insurance/quebec/</t>
        </is>
      </c>
      <c r="K12" s="36">
        <f>IF(J12="","No","Yes")</f>
        <v/>
      </c>
      <c r="L12" s="39">
        <f>IF(J12="","",IFERROR(IF(ISNUMBER(SEARCH(A12,INDEX(Pages!$J$2:$J$829,MATCH(J12,Pages!$B$2:$B$829,0)))),"Yes","No"),"Page not found"))</f>
        <v/>
      </c>
      <c r="M12" s="25" t="inlineStr">
        <is>
          <t>ratehub, rates.ca, sonnet</t>
        </is>
      </c>
      <c r="N12" s="25" t="inlineStr">
        <is>
          <t>Quebec waitlist until AMF registration; English phrase only (French terms listed separately).</t>
        </is>
      </c>
      <c r="O12" s="40" t="n"/>
      <c r="P12" s="38" t="n"/>
      <c r="Q12" s="38" t="n"/>
    </row>
    <row r="13" ht="23.85" customHeight="1" s="22">
      <c r="A13" s="36" t="inlineStr">
        <is>
          <t>alberta car insurance increase 2026</t>
        </is>
      </c>
      <c r="B13" s="36" t="inlineStr">
        <is>
          <t>Car insurance</t>
        </is>
      </c>
      <c r="C13" s="36" t="inlineStr">
        <is>
          <t>Car Insurance</t>
        </is>
      </c>
      <c r="D13" s="36" t="inlineStr">
        <is>
          <t>Alberta</t>
        </is>
      </c>
      <c r="E13" s="37" t="n">
        <v>1900</v>
      </c>
      <c r="F13" s="36" t="n">
        <v>35</v>
      </c>
      <c r="G13" s="36" t="inlineStr">
        <is>
          <t>informational</t>
        </is>
      </c>
      <c r="H13" s="36" t="inlineStr">
        <is>
          <t>auto-regulation</t>
        </is>
      </c>
      <c r="I13" s="36" t="n">
        <v>1</v>
      </c>
      <c r="J13" s="36" t="inlineStr">
        <is>
          <t>https://instasure.ca/guides/alberta-car-insurance-2026-care-first/</t>
        </is>
      </c>
      <c r="K13" s="36">
        <f>IF(J13="","No","Yes")</f>
        <v/>
      </c>
      <c r="L13" s="39">
        <f>IF(J13="","",IFERROR(IF(ISNUMBER(SEARCH(A13,INDEX(Pages!$J$2:$J$829,MATCH(J13,Pages!$B$2:$B$829,0)))),"Yes","No"),"Page not found"))</f>
        <v/>
      </c>
      <c r="M13" s="25" t="inlineStr">
        <is>
          <t>globalnews, daily hive, brokers</t>
        </is>
      </c>
      <c r="N13" s="25" t="inlineStr">
        <is>
          <t>Alberta auto premiums rose 22.6% year over year in Q2 2026 (Applied, verify). Few aggregator pages.</t>
        </is>
      </c>
      <c r="O13" s="40" t="n"/>
      <c r="P13" s="38" t="n"/>
      <c r="Q13" s="38" t="n"/>
    </row>
    <row r="14" ht="15" customHeight="1" s="22">
      <c r="A14" s="36" t="inlineStr">
        <is>
          <t>care first auto insurance alberta</t>
        </is>
      </c>
      <c r="B14" s="36" t="inlineStr">
        <is>
          <t>Car insurance</t>
        </is>
      </c>
      <c r="C14" s="36" t="inlineStr">
        <is>
          <t>Car Insurance</t>
        </is>
      </c>
      <c r="D14" s="36" t="inlineStr">
        <is>
          <t>Alberta</t>
        </is>
      </c>
      <c r="E14" s="37" t="n">
        <v>1600</v>
      </c>
      <c r="F14" s="36" t="n">
        <v>30</v>
      </c>
      <c r="G14" s="36" t="inlineStr">
        <is>
          <t>informational</t>
        </is>
      </c>
      <c r="H14" s="36" t="inlineStr">
        <is>
          <t>auto-regulation</t>
        </is>
      </c>
      <c r="I14" s="36" t="n">
        <v>1</v>
      </c>
      <c r="J14" s="36" t="inlineStr">
        <is>
          <t>https://instasure.ca/guides/alberta-car-insurance-2026-care-first/</t>
        </is>
      </c>
      <c r="K14" s="36">
        <f>IF(J14="","No","Yes")</f>
        <v/>
      </c>
      <c r="L14" s="39">
        <f>IF(J14="","",IFERROR(IF(ISNUMBER(SEARCH(A14,INDEX(Pages!$J$2:$J$829,MATCH(J14,Pages!$B$2:$B$829,0)))),"Yes","No"),"Page not found"))</f>
        <v/>
      </c>
      <c r="M14" s="25" t="inlineStr">
        <is>
          <t>alberta.ca, western financial</t>
        </is>
      </c>
      <c r="N14" s="25" t="inlineStr">
        <is>
          <t>Starts January 1, 2027.</t>
        </is>
      </c>
      <c r="O14" s="40" t="n"/>
      <c r="P14" s="38" t="n"/>
      <c r="Q14" s="38" t="n"/>
    </row>
    <row r="15" ht="15" customHeight="1" s="22">
      <c r="A15" s="36" t="inlineStr">
        <is>
          <t>tenant insurance ontario</t>
        </is>
      </c>
      <c r="B15" s="36" t="inlineStr">
        <is>
          <t>Tenant insurance</t>
        </is>
      </c>
      <c r="C15" s="36" t="inlineStr">
        <is>
          <t>Tenant Insurance</t>
        </is>
      </c>
      <c r="D15" s="36" t="inlineStr">
        <is>
          <t>Ontario</t>
        </is>
      </c>
      <c r="E15" s="37" t="n">
        <v>1600</v>
      </c>
      <c r="F15" s="36" t="n">
        <v>62</v>
      </c>
      <c r="G15" s="36" t="inlineStr">
        <is>
          <t>commercial</t>
        </is>
      </c>
      <c r="H15" s="36" t="inlineStr">
        <is>
          <t>property-province</t>
        </is>
      </c>
      <c r="I15" s="36" t="n">
        <v>3</v>
      </c>
      <c r="J15" s="36" t="inlineStr">
        <is>
          <t>https://instasure.ca/tenant-insurance/ontario/</t>
        </is>
      </c>
      <c r="K15" s="36">
        <f>IF(J15="","No","Yes")</f>
        <v/>
      </c>
      <c r="L15" s="39">
        <f>IF(J15="","",IFERROR(IF(ISNUMBER(SEARCH(A15,INDEX(Pages!$J$2:$J$829,MATCH(J15,Pages!$B$2:$B$829,0)))),"Yes","No"),"Page not found"))</f>
        <v/>
      </c>
      <c r="M15" s="25" t="inlineStr">
        <is>
          <t>ratehub, rates.ca, sonnet</t>
        </is>
      </c>
      <c r="N15" s="25" t="n"/>
      <c r="O15" s="40" t="n"/>
      <c r="P15" s="38" t="n"/>
      <c r="Q15" s="38" t="n"/>
    </row>
    <row r="16" ht="15" customHeight="1" s="22">
      <c r="A16" s="36" t="inlineStr">
        <is>
          <t>assurance maladies graves</t>
        </is>
      </c>
      <c r="B16" s="36" t="inlineStr">
        <is>
          <t>Critical illness insurance</t>
        </is>
      </c>
      <c r="C16" s="36" t="inlineStr">
        <is>
          <t>Critical Illness Insurance</t>
        </is>
      </c>
      <c r="D16" s="36" t="inlineStr">
        <is>
          <t>Quebec</t>
        </is>
      </c>
      <c r="E16" s="37" t="n">
        <v>1300</v>
      </c>
      <c r="F16" s="36" t="n">
        <v>40</v>
      </c>
      <c r="G16" s="36" t="inlineStr">
        <is>
          <t>commercial</t>
        </is>
      </c>
      <c r="H16" s="36" t="inlineStr">
        <is>
          <t>fr-quebec</t>
        </is>
      </c>
      <c r="I16" s="36" t="n">
        <v>3</v>
      </c>
      <c r="J16" s="36" t="n"/>
      <c r="K16" s="36">
        <f>IF(J16="","No","Yes")</f>
        <v/>
      </c>
      <c r="L16" s="39">
        <f>IF(J16="","",IFERROR(IF(ISNUMBER(SEARCH(A16,INDEX(Pages!$J$2:$J$829,MATCH(J16,Pages!$B$2:$B$829,0)))),"Yes","No"),"Page not found"))</f>
        <v/>
      </c>
      <c r="M16" s="25" t="inlineStr">
        <is>
          <t>desjardins, sun life</t>
        </is>
      </c>
      <c r="N16" s="25" t="inlineStr">
        <is>
          <t>Planned: /fr/assurance-maladies-graves/.</t>
        </is>
      </c>
      <c r="O16" s="40" t="n"/>
      <c r="P16" s="38" t="n"/>
      <c r="Q16" s="38" t="n"/>
    </row>
    <row r="17" ht="15" customHeight="1" s="22">
      <c r="A17" s="36" t="inlineStr">
        <is>
          <t>health insurance ontario</t>
        </is>
      </c>
      <c r="B17" s="36" t="inlineStr">
        <is>
          <t>Health &amp; dental insurance</t>
        </is>
      </c>
      <c r="C17" s="36" t="inlineStr">
        <is>
          <t>Health &amp; Dental Insurance</t>
        </is>
      </c>
      <c r="D17" s="36" t="inlineStr">
        <is>
          <t>Ontario</t>
        </is>
      </c>
      <c r="E17" s="37" t="n">
        <v>1300</v>
      </c>
      <c r="F17" s="36" t="n">
        <v>61</v>
      </c>
      <c r="G17" s="36" t="inlineStr">
        <is>
          <t>commercial</t>
        </is>
      </c>
      <c r="H17" s="36" t="inlineStr">
        <is>
          <t>health-province</t>
        </is>
      </c>
      <c r="I17" s="36" t="n">
        <v>1</v>
      </c>
      <c r="J17" s="36" t="inlineStr">
        <is>
          <t>https://instasure.ca/health-dental-insurance/ontario/</t>
        </is>
      </c>
      <c r="K17" s="36">
        <f>IF(J17="","No","Yes")</f>
        <v/>
      </c>
      <c r="L17" s="39">
        <f>IF(J17="","",IFERROR(IF(ISNUMBER(SEARCH(A17,INDEX(Pages!$J$2:$J$829,MATCH(J17,Pages!$B$2:$B$829,0)))),"Yes","No"),"Page not found"))</f>
        <v/>
      </c>
      <c r="M17" s="25" t="inlineStr">
        <is>
          <t>policyadvisor</t>
        </is>
      </c>
      <c r="N17" s="25" t="n"/>
      <c r="O17" s="40" t="n"/>
      <c r="P17" s="38" t="n"/>
      <c r="Q17" s="38" t="n"/>
    </row>
    <row r="18" ht="15" customHeight="1" s="22">
      <c r="A18" s="36" t="inlineStr">
        <is>
          <t>icbc optional insurance</t>
        </is>
      </c>
      <c r="B18" s="36" t="inlineStr">
        <is>
          <t>Car insurance</t>
        </is>
      </c>
      <c r="C18" s="36" t="inlineStr">
        <is>
          <t>Car Insurance</t>
        </is>
      </c>
      <c r="D18" s="36" t="inlineStr">
        <is>
          <t>British Columbia</t>
        </is>
      </c>
      <c r="E18" s="37" t="n">
        <v>1300</v>
      </c>
      <c r="F18" s="36" t="n">
        <v>40</v>
      </c>
      <c r="G18" s="36" t="inlineStr">
        <is>
          <t>informational</t>
        </is>
      </c>
      <c r="H18" s="36" t="inlineStr">
        <is>
          <t>auto-regulation</t>
        </is>
      </c>
      <c r="I18" s="36" t="n">
        <v>2</v>
      </c>
      <c r="J18" s="36" t="inlineStr">
        <is>
          <t>https://instasure.ca/guides/icbc-optional-insurance-explained/</t>
        </is>
      </c>
      <c r="K18" s="36">
        <f>IF(J18="","No","Yes")</f>
        <v/>
      </c>
      <c r="L18" s="39">
        <f>IF(J18="","",IFERROR(IF(ISNUMBER(SEARCH(A18,INDEX(Pages!$J$2:$J$829,MATCH(J18,Pages!$B$2:$B$829,0)))),"Yes","No"),"Page not found"))</f>
        <v/>
      </c>
      <c r="M18" s="25" t="inlineStr">
        <is>
          <t>ICBC, BC brokers</t>
        </is>
      </c>
      <c r="N18" s="25" t="inlineStr">
        <is>
          <t>ICBC basic rates are frozen through 2027; optional coverage still varies.</t>
        </is>
      </c>
      <c r="O18" s="40" t="n"/>
      <c r="P18" s="38" t="n"/>
      <c r="Q18" s="38" t="n"/>
    </row>
    <row r="19" ht="15" customHeight="1" s="22">
      <c r="A19" s="36" t="inlineStr">
        <is>
          <t>optional accident benefits ontario</t>
        </is>
      </c>
      <c r="B19" s="36" t="inlineStr">
        <is>
          <t>Car insurance</t>
        </is>
      </c>
      <c r="C19" s="36" t="inlineStr">
        <is>
          <t>Car Insurance</t>
        </is>
      </c>
      <c r="D19" s="36" t="inlineStr">
        <is>
          <t>Ontario</t>
        </is>
      </c>
      <c r="E19" s="37" t="n">
        <v>1300</v>
      </c>
      <c r="F19" s="36" t="n">
        <v>35</v>
      </c>
      <c r="G19" s="36" t="inlineStr">
        <is>
          <t>informational</t>
        </is>
      </c>
      <c r="H19" s="36" t="inlineStr">
        <is>
          <t>auto-regulation</t>
        </is>
      </c>
      <c r="I19" s="36" t="n">
        <v>1</v>
      </c>
      <c r="J19" s="36" t="inlineStr">
        <is>
          <t>https://instasure.ca/guides/ontario-auto-insurance-changes-july-2026/</t>
        </is>
      </c>
      <c r="K19" s="36">
        <f>IF(J19="","No","Yes")</f>
        <v/>
      </c>
      <c r="L19" s="39">
        <f>IF(J19="","",IFERROR(IF(ISNUMBER(SEARCH(A19,INDEX(Pages!$J$2:$J$829,MATCH(J19,Pages!$B$2:$B$829,0)))),"Yes","No"),"Page not found"))</f>
        <v/>
      </c>
      <c r="M19" s="25" t="inlineStr">
        <is>
          <t>intact, northbridge, thebig.ca</t>
        </is>
      </c>
      <c r="N19" s="25" t="n"/>
      <c r="O19" s="40" t="n"/>
      <c r="P19" s="38" t="n"/>
      <c r="Q19" s="38" t="n"/>
    </row>
    <row r="20" ht="15" customHeight="1" s="22">
      <c r="A20" s="36" t="inlineStr">
        <is>
          <t>business insurance ontario</t>
        </is>
      </c>
      <c r="B20" s="36" t="inlineStr">
        <is>
          <t>Business insurance</t>
        </is>
      </c>
      <c r="C20" s="36" t="inlineStr">
        <is>
          <t>Business Insurance</t>
        </is>
      </c>
      <c r="D20" s="36" t="inlineStr">
        <is>
          <t>Ontario</t>
        </is>
      </c>
      <c r="E20" s="37" t="n">
        <v>1200</v>
      </c>
      <c r="F20" s="36" t="n">
        <v>52</v>
      </c>
      <c r="G20" s="36" t="inlineStr">
        <is>
          <t>commercial</t>
        </is>
      </c>
      <c r="H20" s="36" t="inlineStr">
        <is>
          <t>business-province</t>
        </is>
      </c>
      <c r="I20" s="36" t="n">
        <v>1</v>
      </c>
      <c r="J20" s="36" t="inlineStr">
        <is>
          <t>https://instasure.ca/business-insurance/ontario/</t>
        </is>
      </c>
      <c r="K20" s="36">
        <f>IF(J20="","No","Yes")</f>
        <v/>
      </c>
      <c r="L20" s="39">
        <f>IF(J20="","",IFERROR(IF(ISNUMBER(SEARCH(A20,INDEX(Pages!$J$2:$J$829,MATCH(J20,Pages!$B$2:$B$829,0)))),"Yes","No"),"Page not found"))</f>
        <v/>
      </c>
      <c r="M20" s="25" t="inlineStr">
        <is>
          <t>(none seen)</t>
        </is>
      </c>
      <c r="N20" s="25" t="n"/>
      <c r="O20" s="40" t="n"/>
      <c r="P20" s="38" t="n"/>
      <c r="Q20" s="38" t="n"/>
    </row>
    <row r="21" ht="15" customHeight="1" s="22">
      <c r="A21" s="36" t="inlineStr">
        <is>
          <t>assurance invalidité</t>
        </is>
      </c>
      <c r="B21" s="36" t="inlineStr">
        <is>
          <t>Disability insurance</t>
        </is>
      </c>
      <c r="C21" s="36" t="inlineStr">
        <is>
          <t>Disability Insurance</t>
        </is>
      </c>
      <c r="D21" s="36" t="inlineStr">
        <is>
          <t>Quebec</t>
        </is>
      </c>
      <c r="E21" s="37" t="n">
        <v>1000</v>
      </c>
      <c r="F21" s="36" t="n">
        <v>40</v>
      </c>
      <c r="G21" s="36" t="inlineStr">
        <is>
          <t>commercial</t>
        </is>
      </c>
      <c r="H21" s="36" t="inlineStr">
        <is>
          <t>fr-quebec</t>
        </is>
      </c>
      <c r="I21" s="36" t="n">
        <v>3</v>
      </c>
      <c r="J21" s="36" t="n"/>
      <c r="K21" s="36">
        <f>IF(J21="","No","Yes")</f>
        <v/>
      </c>
      <c r="L21" s="39">
        <f>IF(J21="","",IFERROR(IF(ISNUMBER(SEARCH(A21,INDEX(Pages!$J$2:$J$829,MATCH(J21,Pages!$B$2:$B$829,0)))),"Yes","No"),"Page not found"))</f>
        <v/>
      </c>
      <c r="M21" s="25" t="inlineStr">
        <is>
          <t>desjardins, iA</t>
        </is>
      </c>
      <c r="N21" s="25" t="inlineStr">
        <is>
          <t>Planned: /fr/assurance-invalidite/.</t>
        </is>
      </c>
      <c r="O21" s="40" t="n"/>
      <c r="P21" s="38" t="n"/>
      <c r="Q21" s="38" t="n"/>
    </row>
    <row r="22" ht="15" customHeight="1" s="22">
      <c r="A22" s="36" t="inlineStr">
        <is>
          <t>home insurance bc</t>
        </is>
      </c>
      <c r="B22" s="36" t="inlineStr">
        <is>
          <t>Home insurance</t>
        </is>
      </c>
      <c r="C22" s="36" t="inlineStr">
        <is>
          <t>Home Insurance</t>
        </is>
      </c>
      <c r="D22" s="36" t="inlineStr">
        <is>
          <t>British Columbia</t>
        </is>
      </c>
      <c r="E22" s="37" t="n">
        <v>1000</v>
      </c>
      <c r="F22" s="36" t="n">
        <v>53</v>
      </c>
      <c r="G22" s="36" t="inlineStr">
        <is>
          <t>commercial</t>
        </is>
      </c>
      <c r="H22" s="36" t="inlineStr">
        <is>
          <t>property-province</t>
        </is>
      </c>
      <c r="I22" s="36" t="n">
        <v>1</v>
      </c>
      <c r="J22" s="36" t="inlineStr">
        <is>
          <t>https://instasure.ca/home-insurance/british-columbia/</t>
        </is>
      </c>
      <c r="K22" s="36">
        <f>IF(J22="","No","Yes")</f>
        <v/>
      </c>
      <c r="L22" s="39">
        <f>IF(J22="","",IFERROR(IF(ISNUMBER(SEARCH(A22,INDEX(Pages!$J$2:$J$829,MATCH(J22,Pages!$B$2:$B$829,0)))),"Yes","No"),"Page not found"))</f>
        <v/>
      </c>
      <c r="M22" s="25" t="inlineStr">
        <is>
          <t>sonnet</t>
        </is>
      </c>
      <c r="N22" s="25" t="n"/>
      <c r="O22" s="40" t="n"/>
      <c r="P22" s="38" t="n"/>
      <c r="Q22" s="38" t="n"/>
    </row>
    <row r="23" ht="15" customHeight="1" s="22">
      <c r="A23" s="36" t="inlineStr">
        <is>
          <t>is tenant insurance mandatory in ontario</t>
        </is>
      </c>
      <c r="B23" s="36" t="inlineStr">
        <is>
          <t>Tenant insurance</t>
        </is>
      </c>
      <c r="C23" s="36" t="inlineStr">
        <is>
          <t>Tenant Insurance</t>
        </is>
      </c>
      <c r="D23" s="36" t="inlineStr">
        <is>
          <t>Ontario</t>
        </is>
      </c>
      <c r="E23" s="37" t="n">
        <v>1000</v>
      </c>
      <c r="F23" s="36" t="n">
        <v>35</v>
      </c>
      <c r="G23" s="36" t="inlineStr">
        <is>
          <t>informational</t>
        </is>
      </c>
      <c r="H23" s="36" t="inlineStr">
        <is>
          <t>property-coverage</t>
        </is>
      </c>
      <c r="I23" s="36" t="n">
        <v>1</v>
      </c>
      <c r="J23" s="36" t="inlineStr">
        <is>
          <t>https://instasure.ca/guides/tenant-insurance-ontario-landlord-require/</t>
        </is>
      </c>
      <c r="K23" s="36">
        <f>IF(J23="","No","Yes")</f>
        <v/>
      </c>
      <c r="L23" s="39">
        <f>IF(J23="","",IFERROR(IF(ISNUMBER(SEARCH(A23,INDEX(Pages!$J$2:$J$829,MATCH(J23,Pages!$B$2:$B$829,0)))),"Yes","No"),"Page not found"))</f>
        <v/>
      </c>
      <c r="M23" s="25" t="inlineStr">
        <is>
          <t>tenantrights.ca, marathon, insurely, sonnet</t>
        </is>
      </c>
      <c r="N23" s="25" t="n"/>
      <c r="O23" s="40" t="n"/>
      <c r="P23" s="38" t="n"/>
      <c r="Q23" s="38" t="n"/>
    </row>
    <row r="24" ht="15" customHeight="1" s="22">
      <c r="A24" s="36" t="inlineStr">
        <is>
          <t>saaq car insurance</t>
        </is>
      </c>
      <c r="B24" s="36" t="inlineStr">
        <is>
          <t>Car insurance</t>
        </is>
      </c>
      <c r="C24" s="36" t="inlineStr">
        <is>
          <t>Car Insurance</t>
        </is>
      </c>
      <c r="D24" s="36" t="inlineStr">
        <is>
          <t>Quebec</t>
        </is>
      </c>
      <c r="E24" s="37" t="n">
        <v>1000</v>
      </c>
      <c r="F24" s="36" t="n">
        <v>40</v>
      </c>
      <c r="G24" s="36" t="inlineStr">
        <is>
          <t>informational</t>
        </is>
      </c>
      <c r="H24" s="36" t="inlineStr">
        <is>
          <t>auto-regulation</t>
        </is>
      </c>
      <c r="I24" s="36" t="n">
        <v>4</v>
      </c>
      <c r="J24" s="36" t="n"/>
      <c r="K24" s="36">
        <f>IF(J24="","No","Yes")</f>
        <v/>
      </c>
      <c r="L24" s="39">
        <f>IF(J24="","",IFERROR(IF(ISNUMBER(SEARCH(A24,INDEX(Pages!$J$2:$J$829,MATCH(J24,Pages!$B$2:$B$829,0)))),"Yes","No"),"Page not found"))</f>
        <v/>
      </c>
      <c r="M24" s="25" t="inlineStr">
        <is>
          <t>sonnet (3+ posts)</t>
        </is>
      </c>
      <c r="N24" s="25" t="inlineStr">
        <is>
          <t>Quebec is waitlisted until AMF registration and French pages exist.</t>
        </is>
      </c>
      <c r="O24" s="40" t="n"/>
      <c r="P24" s="38" t="n"/>
      <c r="Q24" s="38" t="n"/>
    </row>
    <row r="25" ht="15" customHeight="1" s="22">
      <c r="A25" s="36" t="inlineStr">
        <is>
          <t>car insurance nova scotia</t>
        </is>
      </c>
      <c r="B25" s="36" t="inlineStr">
        <is>
          <t>Car insurance</t>
        </is>
      </c>
      <c r="C25" s="36" t="inlineStr">
        <is>
          <t>Car Insurance</t>
        </is>
      </c>
      <c r="D25" s="36" t="inlineStr">
        <is>
          <t>Nova Scotia</t>
        </is>
      </c>
      <c r="E25" s="37" t="n">
        <v>990</v>
      </c>
      <c r="F25" s="36" t="n">
        <v>57</v>
      </c>
      <c r="G25" s="36" t="inlineStr">
        <is>
          <t>commercial</t>
        </is>
      </c>
      <c r="H25" s="36" t="inlineStr">
        <is>
          <t>auto-province</t>
        </is>
      </c>
      <c r="I25" s="36" t="n">
        <v>2</v>
      </c>
      <c r="J25" s="36" t="inlineStr">
        <is>
          <t>https://instasure.ca/car-insurance/nova-scotia/</t>
        </is>
      </c>
      <c r="K25" s="36">
        <f>IF(J25="","No","Yes")</f>
        <v/>
      </c>
      <c r="L25" s="39">
        <f>IF(J25="","",IFERROR(IF(ISNUMBER(SEARCH(A25,INDEX(Pages!$J$2:$J$829,MATCH(J25,Pages!$B$2:$B$829,0)))),"Yes","No"),"Page not found"))</f>
        <v/>
      </c>
      <c r="M25" s="25" t="inlineStr">
        <is>
          <t>ratehub, sonnet</t>
        </is>
      </c>
      <c r="N25" s="25" t="n"/>
      <c r="O25" s="40" t="n"/>
      <c r="P25" s="38" t="n"/>
      <c r="Q25" s="38" t="n"/>
    </row>
    <row r="26" ht="15" customHeight="1" s="22">
      <c r="A26" s="36" t="inlineStr">
        <is>
          <t>life insurance ontario</t>
        </is>
      </c>
      <c r="B26" s="36" t="inlineStr">
        <is>
          <t>Life insurance</t>
        </is>
      </c>
      <c r="C26" s="36" t="inlineStr">
        <is>
          <t>Life Insurance</t>
        </is>
      </c>
      <c r="D26" s="36" t="inlineStr">
        <is>
          <t>Ontario</t>
        </is>
      </c>
      <c r="E26" s="37" t="n">
        <v>910</v>
      </c>
      <c r="F26" s="36" t="n">
        <v>56</v>
      </c>
      <c r="G26" s="36" t="inlineStr">
        <is>
          <t>commercial</t>
        </is>
      </c>
      <c r="H26" s="36" t="inlineStr">
        <is>
          <t>life-province</t>
        </is>
      </c>
      <c r="I26" s="36" t="n">
        <v>1</v>
      </c>
      <c r="J26" s="36" t="inlineStr">
        <is>
          <t>https://instasure.ca/life-insurance/ontario/</t>
        </is>
      </c>
      <c r="K26" s="36">
        <f>IF(J26="","No","Yes")</f>
        <v/>
      </c>
      <c r="L26" s="39">
        <f>IF(J26="","",IFERROR(IF(ISNUMBER(SEARCH(A26,INDEX(Pages!$J$2:$J$829,MATCH(J26,Pages!$B$2:$B$829,0)))),"Yes","No"),"Page not found"))</f>
        <v/>
      </c>
      <c r="M26" s="25" t="inlineStr">
        <is>
          <t>policyadvisor</t>
        </is>
      </c>
      <c r="N26" s="25" t="n"/>
      <c r="O26" s="40" t="n"/>
      <c r="P26" s="38" t="n"/>
      <c r="Q26" s="38" t="n"/>
    </row>
    <row r="27" ht="15" customHeight="1" s="22">
      <c r="A27" s="36" t="inlineStr">
        <is>
          <t>home insurance alberta</t>
        </is>
      </c>
      <c r="B27" s="36" t="inlineStr">
        <is>
          <t>Home insurance</t>
        </is>
      </c>
      <c r="C27" s="36" t="inlineStr">
        <is>
          <t>Home Insurance</t>
        </is>
      </c>
      <c r="D27" s="36" t="inlineStr">
        <is>
          <t>Alberta</t>
        </is>
      </c>
      <c r="E27" s="37" t="n">
        <v>900</v>
      </c>
      <c r="F27" s="36" t="n">
        <v>57</v>
      </c>
      <c r="G27" s="36" t="inlineStr">
        <is>
          <t>commercial</t>
        </is>
      </c>
      <c r="H27" s="36" t="inlineStr">
        <is>
          <t>property-province</t>
        </is>
      </c>
      <c r="I27" s="36" t="n">
        <v>2</v>
      </c>
      <c r="J27" s="36" t="inlineStr">
        <is>
          <t>https://instasure.ca/home-insurance/alberta/</t>
        </is>
      </c>
      <c r="K27" s="36">
        <f>IF(J27="","No","Yes")</f>
        <v/>
      </c>
      <c r="L27" s="39">
        <f>IF(J27="","",IFERROR(IF(ISNUMBER(SEARCH(A27,INDEX(Pages!$J$2:$J$829,MATCH(J27,Pages!$B$2:$B$829,0)))),"Yes","No"),"Page not found"))</f>
        <v/>
      </c>
      <c r="M27" s="25" t="inlineStr">
        <is>
          <t>ratehub, sonnet</t>
        </is>
      </c>
      <c r="N27" s="25" t="n"/>
      <c r="O27" s="40" t="n"/>
      <c r="P27" s="38" t="n"/>
      <c r="Q27" s="38" t="n"/>
    </row>
    <row r="28" ht="23.85" customHeight="1" s="22">
      <c r="A28" s="36" t="inlineStr">
        <is>
          <t>g2 car insurance ontario</t>
        </is>
      </c>
      <c r="B28" s="36" t="inlineStr">
        <is>
          <t>Car insurance</t>
        </is>
      </c>
      <c r="C28" s="36" t="inlineStr">
        <is>
          <t>Car Insurance</t>
        </is>
      </c>
      <c r="D28" s="36" t="inlineStr">
        <is>
          <t>Ontario</t>
        </is>
      </c>
      <c r="E28" s="37" t="n">
        <v>880</v>
      </c>
      <c r="F28" s="36" t="n">
        <v>40</v>
      </c>
      <c r="G28" s="36" t="inlineStr">
        <is>
          <t>commercial</t>
        </is>
      </c>
      <c r="H28" s="36" t="inlineStr">
        <is>
          <t>auto-persona</t>
        </is>
      </c>
      <c r="I28" s="36" t="n">
        <v>2</v>
      </c>
      <c r="J28" s="36" t="inlineStr">
        <is>
          <t>https://instasure.ca/car-insurance/new-drivers/</t>
        </is>
      </c>
      <c r="K28" s="36">
        <f>IF(J28="","No","Yes")</f>
        <v/>
      </c>
      <c r="L28" s="39">
        <f>IF(J28="","",IFERROR(IF(ISNUMBER(SEARCH(A28,INDEX(Pages!$J$2:$J$829,MATCH(J28,Pages!$B$2:$B$829,0)))),"Yes","No"),"Page not found"))</f>
        <v/>
      </c>
      <c r="M28" s="25" t="inlineStr">
        <is>
          <t>rates.ca (money page), ratehub blog</t>
        </is>
      </c>
      <c r="N28" s="25" t="inlineStr">
        <is>
          <t>Answered on the new-drivers page. Planned: an Ontario G1/G2/G section or /car-insurance/ontario/g2-drivers/.</t>
        </is>
      </c>
      <c r="O28" s="40" t="n"/>
      <c r="P28" s="38" t="n"/>
      <c r="Q28" s="38" t="n"/>
    </row>
    <row r="29" ht="15" customHeight="1" s="22">
      <c r="A29" s="36" t="inlineStr">
        <is>
          <t>ontario car insurance calculator</t>
        </is>
      </c>
      <c r="B29" s="36" t="inlineStr">
        <is>
          <t>Car insurance</t>
        </is>
      </c>
      <c r="C29" s="36" t="inlineStr">
        <is>
          <t>Car Insurance</t>
        </is>
      </c>
      <c r="D29" s="36" t="inlineStr">
        <is>
          <t>Ontario</t>
        </is>
      </c>
      <c r="E29" s="37" t="n">
        <v>880</v>
      </c>
      <c r="F29" s="36" t="n">
        <v>45</v>
      </c>
      <c r="G29" s="36" t="inlineStr">
        <is>
          <t>transactional</t>
        </is>
      </c>
      <c r="H29" s="36" t="inlineStr">
        <is>
          <t>auto-tools</t>
        </is>
      </c>
      <c r="I29" s="36" t="n">
        <v>2</v>
      </c>
      <c r="J29" s="36" t="inlineStr">
        <is>
          <t>https://instasure.ca/quote/car-insurance/</t>
        </is>
      </c>
      <c r="K29" s="36">
        <f>IF(J29="","No","Yes")</f>
        <v/>
      </c>
      <c r="L29" s="39">
        <f>IF(J29="","",IFERROR(IF(ISNUMBER(SEARCH(A29,INDEX(Pages!$J$2:$J$829,MATCH(J29,Pages!$B$2:$B$829,0)))),"Yes","No"),"Page not found"))</f>
        <v/>
      </c>
      <c r="M29" s="25" t="inlineStr">
        <is>
          <t>rates.ca, lowestrates</t>
        </is>
      </c>
      <c r="N29" s="25" t="n"/>
      <c r="O29" s="40" t="n"/>
      <c r="P29" s="38" t="n"/>
      <c r="Q29" s="38" t="n"/>
    </row>
    <row r="30" ht="15" customHeight="1" s="22">
      <c r="A30" s="36" t="inlineStr">
        <is>
          <t>car insurance new brunswick</t>
        </is>
      </c>
      <c r="B30" s="36" t="inlineStr">
        <is>
          <t>Car insurance</t>
        </is>
      </c>
      <c r="C30" s="36" t="inlineStr">
        <is>
          <t>Car Insurance</t>
        </is>
      </c>
      <c r="D30" s="36" t="inlineStr">
        <is>
          <t>New Brunswick</t>
        </is>
      </c>
      <c r="E30" s="37" t="n">
        <v>810</v>
      </c>
      <c r="F30" s="36" t="n">
        <v>57</v>
      </c>
      <c r="G30" s="36" t="inlineStr">
        <is>
          <t>commercial</t>
        </is>
      </c>
      <c r="H30" s="36" t="inlineStr">
        <is>
          <t>auto-province</t>
        </is>
      </c>
      <c r="I30" s="36" t="n">
        <v>2</v>
      </c>
      <c r="J30" s="36" t="inlineStr">
        <is>
          <t>https://instasure.ca/car-insurance/new-brunswick/</t>
        </is>
      </c>
      <c r="K30" s="36">
        <f>IF(J30="","No","Yes")</f>
        <v/>
      </c>
      <c r="L30" s="39">
        <f>IF(J30="","",IFERROR(IF(ISNUMBER(SEARCH(A30,INDEX(Pages!$J$2:$J$829,MATCH(J30,Pages!$B$2:$B$829,0)))),"Yes","No"),"Page not found"))</f>
        <v/>
      </c>
      <c r="M30" s="25" t="inlineStr">
        <is>
          <t>ratehub, sonnet</t>
        </is>
      </c>
      <c r="N30" s="25" t="n"/>
      <c r="O30" s="40" t="n"/>
      <c r="P30" s="38" t="n"/>
      <c r="Q30" s="38" t="n"/>
    </row>
    <row r="31" ht="15" customHeight="1" s="22">
      <c r="A31" s="36" t="inlineStr">
        <is>
          <t>condo insurance ontario</t>
        </is>
      </c>
      <c r="B31" s="36" t="inlineStr">
        <is>
          <t>Condo insurance</t>
        </is>
      </c>
      <c r="C31" s="36" t="inlineStr">
        <is>
          <t>Condo Insurance</t>
        </is>
      </c>
      <c r="D31" s="36" t="inlineStr">
        <is>
          <t>Ontario</t>
        </is>
      </c>
      <c r="E31" s="37" t="n">
        <v>730</v>
      </c>
      <c r="F31" s="36" t="n">
        <v>59</v>
      </c>
      <c r="G31" s="36" t="inlineStr">
        <is>
          <t>commercial</t>
        </is>
      </c>
      <c r="H31" s="36" t="inlineStr">
        <is>
          <t>property-province</t>
        </is>
      </c>
      <c r="I31" s="36" t="n">
        <v>3</v>
      </c>
      <c r="J31" s="36" t="inlineStr">
        <is>
          <t>https://instasure.ca/condo-insurance/ontario/</t>
        </is>
      </c>
      <c r="K31" s="36">
        <f>IF(J31="","No","Yes")</f>
        <v/>
      </c>
      <c r="L31" s="39">
        <f>IF(J31="","",IFERROR(IF(ISNUMBER(SEARCH(A31,INDEX(Pages!$J$2:$J$829,MATCH(J31,Pages!$B$2:$B$829,0)))),"Yes","No"),"Page not found"))</f>
        <v/>
      </c>
      <c r="M31" s="25" t="inlineStr">
        <is>
          <t>ratehub, rates.ca, sonnet</t>
        </is>
      </c>
      <c r="N31" s="25" t="n"/>
      <c r="O31" s="40" t="n"/>
      <c r="P31" s="38" t="n"/>
      <c r="Q31" s="38" t="n"/>
    </row>
    <row r="32" ht="15" customHeight="1" s="22">
      <c r="A32" s="36" t="inlineStr">
        <is>
          <t>alberta good driver rate cap</t>
        </is>
      </c>
      <c r="B32" s="36" t="inlineStr">
        <is>
          <t>Car insurance</t>
        </is>
      </c>
      <c r="C32" s="36" t="inlineStr">
        <is>
          <t>Car Insurance</t>
        </is>
      </c>
      <c r="D32" s="36" t="inlineStr">
        <is>
          <t>Alberta</t>
        </is>
      </c>
      <c r="E32" s="37" t="n">
        <v>720</v>
      </c>
      <c r="F32" s="36" t="n">
        <v>30</v>
      </c>
      <c r="G32" s="36" t="inlineStr">
        <is>
          <t>informational</t>
        </is>
      </c>
      <c r="H32" s="36" t="inlineStr">
        <is>
          <t>auto-regulation</t>
        </is>
      </c>
      <c r="I32" s="36" t="n">
        <v>1</v>
      </c>
      <c r="J32" s="36" t="inlineStr">
        <is>
          <t>https://instasure.ca/guides/alberta-car-insurance-2026-care-first/</t>
        </is>
      </c>
      <c r="K32" s="36">
        <f>IF(J32="","No","Yes")</f>
        <v/>
      </c>
      <c r="L32" s="39">
        <f>IF(J32="","",IFERROR(IF(ISNUMBER(SEARCH(A32,INDEX(Pages!$J$2:$J$829,MATCH(J32,Pages!$B$2:$B$829,0)))),"Yes","No"),"Page not found"))</f>
        <v/>
      </c>
      <c r="M32" s="25" t="inlineStr">
        <is>
          <t>globalnews, alberta.ca</t>
        </is>
      </c>
      <c r="N32" s="25" t="n"/>
      <c r="O32" s="40" t="n"/>
      <c r="P32" s="38" t="n"/>
      <c r="Q32" s="38" t="n"/>
    </row>
    <row r="33" ht="15" customHeight="1" s="22">
      <c r="A33" s="36" t="inlineStr">
        <is>
          <t>car insurance manitoba</t>
        </is>
      </c>
      <c r="B33" s="36" t="inlineStr">
        <is>
          <t>Car insurance</t>
        </is>
      </c>
      <c r="C33" s="36" t="inlineStr">
        <is>
          <t>Car Insurance</t>
        </is>
      </c>
      <c r="D33" s="36" t="inlineStr">
        <is>
          <t>Manitoba</t>
        </is>
      </c>
      <c r="E33" s="37" t="n">
        <v>660</v>
      </c>
      <c r="F33" s="36" t="n">
        <v>53</v>
      </c>
      <c r="G33" s="36" t="inlineStr">
        <is>
          <t>commercial</t>
        </is>
      </c>
      <c r="H33" s="36" t="inlineStr">
        <is>
          <t>auto-province</t>
        </is>
      </c>
      <c r="I33" s="36" t="n">
        <v>4</v>
      </c>
      <c r="J33" s="36" t="inlineStr">
        <is>
          <t>https://instasure.ca/car-insurance/manitoba/</t>
        </is>
      </c>
      <c r="K33" s="36">
        <f>IF(J33="","No","Yes")</f>
        <v/>
      </c>
      <c r="L33" s="39">
        <f>IF(J33="","",IFERROR(IF(ISNUMBER(SEARCH(A33,INDEX(Pages!$J$2:$J$829,MATCH(J33,Pages!$B$2:$B$829,0)))),"Yes","No"),"Page not found"))</f>
        <v/>
      </c>
      <c r="M33" s="25" t="inlineStr">
        <is>
          <t>ratehub</t>
        </is>
      </c>
      <c r="N33" s="25" t="inlineStr">
        <is>
          <t>MPI sells basic auto; target optional coverage. Low lead value.</t>
        </is>
      </c>
      <c r="O33" s="40" t="n"/>
      <c r="P33" s="38" t="n"/>
      <c r="Q33" s="38" t="n"/>
    </row>
    <row r="34" ht="15" customHeight="1" s="22">
      <c r="A34" s="36" t="inlineStr">
        <is>
          <t>earthquake insurance bc</t>
        </is>
      </c>
      <c r="B34" s="36" t="inlineStr">
        <is>
          <t>Home insurance</t>
        </is>
      </c>
      <c r="C34" s="36" t="inlineStr">
        <is>
          <t>Home Insurance</t>
        </is>
      </c>
      <c r="D34" s="36" t="inlineStr">
        <is>
          <t>British Columbia</t>
        </is>
      </c>
      <c r="E34" s="37" t="n">
        <v>590</v>
      </c>
      <c r="F34" s="36" t="n">
        <v>35</v>
      </c>
      <c r="G34" s="36" t="inlineStr">
        <is>
          <t>informational</t>
        </is>
      </c>
      <c r="H34" s="36" t="inlineStr">
        <is>
          <t>property-coverage</t>
        </is>
      </c>
      <c r="I34" s="36" t="n">
        <v>2</v>
      </c>
      <c r="J34" s="36" t="inlineStr">
        <is>
          <t>https://instasure.ca/home-insurance/british-columbia/</t>
        </is>
      </c>
      <c r="K34" s="36">
        <f>IF(J34="","No","Yes")</f>
        <v/>
      </c>
      <c r="L34" s="39">
        <f>IF(J34="","",IFERROR(IF(ISNUMBER(SEARCH(A34,INDEX(Pages!$J$2:$J$829,MATCH(J34,Pages!$B$2:$B$829,0)))),"Yes","No"),"Page not found"))</f>
        <v/>
      </c>
      <c r="M34" s="25" t="inlineStr">
        <is>
          <t>sonnet (optional in BC)</t>
        </is>
      </c>
      <c r="N34" s="25" t="n"/>
      <c r="O34" s="40" t="n"/>
      <c r="P34" s="38" t="n"/>
      <c r="Q34" s="38" t="n"/>
    </row>
    <row r="35" ht="15" customHeight="1" s="22">
      <c r="A35" s="36" t="inlineStr">
        <is>
          <t>is home insurance mandatory in ontario</t>
        </is>
      </c>
      <c r="B35" s="36" t="inlineStr">
        <is>
          <t>Home insurance</t>
        </is>
      </c>
      <c r="C35" s="36" t="inlineStr">
        <is>
          <t>Home Insurance</t>
        </is>
      </c>
      <c r="D35" s="36" t="inlineStr">
        <is>
          <t>Ontario</t>
        </is>
      </c>
      <c r="E35" s="37" t="n">
        <v>590</v>
      </c>
      <c r="F35" s="36" t="n">
        <v>30</v>
      </c>
      <c r="G35" s="36" t="inlineStr">
        <is>
          <t>informational</t>
        </is>
      </c>
      <c r="H35" s="36" t="inlineStr">
        <is>
          <t>property-coverage</t>
        </is>
      </c>
      <c r="I35" s="36" t="n">
        <v>2</v>
      </c>
      <c r="J35" s="36" t="inlineStr">
        <is>
          <t>https://instasure.ca/home-insurance/ontario/</t>
        </is>
      </c>
      <c r="K35" s="36">
        <f>IF(J35="","No","Yes")</f>
        <v/>
      </c>
      <c r="L35" s="39">
        <f>IF(J35="","",IFERROR(IF(ISNUMBER(SEARCH(A35,INDEX(Pages!$J$2:$J$829,MATCH(J35,Pages!$B$2:$B$829,0)))),"Yes","No"),"Page not found"))</f>
        <v/>
      </c>
      <c r="M35" s="25" t="inlineStr">
        <is>
          <t>sonnet faq</t>
        </is>
      </c>
      <c r="N35" s="25" t="n"/>
      <c r="O35" s="40" t="n"/>
      <c r="P35" s="38" t="n"/>
      <c r="Q35" s="38" t="n"/>
    </row>
    <row r="36" ht="15" customHeight="1" s="22">
      <c r="A36" s="36" t="inlineStr">
        <is>
          <t>car insurance saskatchewan</t>
        </is>
      </c>
      <c r="B36" s="36" t="inlineStr">
        <is>
          <t>Car insurance</t>
        </is>
      </c>
      <c r="C36" s="36" t="inlineStr">
        <is>
          <t>Car Insurance</t>
        </is>
      </c>
      <c r="D36" s="36" t="inlineStr">
        <is>
          <t>Saskatchewan</t>
        </is>
      </c>
      <c r="E36" s="37" t="n">
        <v>570</v>
      </c>
      <c r="F36" s="36" t="n">
        <v>53</v>
      </c>
      <c r="G36" s="36" t="inlineStr">
        <is>
          <t>commercial</t>
        </is>
      </c>
      <c r="H36" s="36" t="inlineStr">
        <is>
          <t>auto-province</t>
        </is>
      </c>
      <c r="I36" s="36" t="n">
        <v>4</v>
      </c>
      <c r="J36" s="36" t="inlineStr">
        <is>
          <t>https://instasure.ca/car-insurance/saskatchewan/</t>
        </is>
      </c>
      <c r="K36" s="36">
        <f>IF(J36="","No","Yes")</f>
        <v/>
      </c>
      <c r="L36" s="39">
        <f>IF(J36="","",IFERROR(IF(ISNUMBER(SEARCH(A36,INDEX(Pages!$J$2:$J$829,MATCH(J36,Pages!$B$2:$B$829,0)))),"Yes","No"),"Page not found"))</f>
        <v/>
      </c>
      <c r="M36" s="25" t="inlineStr">
        <is>
          <t>ratehub</t>
        </is>
      </c>
      <c r="N36" s="25" t="inlineStr">
        <is>
          <t>SGI sells basic auto; target optional coverage. Low lead value.</t>
        </is>
      </c>
      <c r="O36" s="40" t="n"/>
      <c r="P36" s="38" t="n"/>
      <c r="Q36" s="38" t="n"/>
    </row>
    <row r="37" ht="15" customHeight="1" s="22">
      <c r="A37" s="36" t="inlineStr">
        <is>
          <t>tenant insurance bc</t>
        </is>
      </c>
      <c r="B37" s="36" t="inlineStr">
        <is>
          <t>Tenant insurance</t>
        </is>
      </c>
      <c r="C37" s="36" t="inlineStr">
        <is>
          <t>Tenant Insurance</t>
        </is>
      </c>
      <c r="D37" s="36" t="inlineStr">
        <is>
          <t>British Columbia</t>
        </is>
      </c>
      <c r="E37" s="37" t="n">
        <v>570</v>
      </c>
      <c r="F37" s="36" t="n">
        <v>46</v>
      </c>
      <c r="G37" s="36" t="inlineStr">
        <is>
          <t>commercial</t>
        </is>
      </c>
      <c r="H37" s="36" t="inlineStr">
        <is>
          <t>property-province</t>
        </is>
      </c>
      <c r="I37" s="36" t="n">
        <v>3</v>
      </c>
      <c r="J37" s="36" t="inlineStr">
        <is>
          <t>https://instasure.ca/tenant-insurance/british-columbia/</t>
        </is>
      </c>
      <c r="K37" s="36">
        <f>IF(J37="","No","Yes")</f>
        <v/>
      </c>
      <c r="L37" s="39">
        <f>IF(J37="","",IFERROR(IF(ISNUMBER(SEARCH(A37,INDEX(Pages!$J$2:$J$829,MATCH(J37,Pages!$B$2:$B$829,0)))),"Yes","No"),"Page not found"))</f>
        <v/>
      </c>
      <c r="M37" s="25" t="inlineStr">
        <is>
          <t>sonnet</t>
        </is>
      </c>
      <c r="N37" s="25" t="n"/>
      <c r="O37" s="40" t="n"/>
      <c r="P37" s="38" t="n"/>
      <c r="Q37" s="38" t="n"/>
    </row>
    <row r="38" ht="15" customHeight="1" s="22">
      <c r="A38" s="36" t="inlineStr">
        <is>
          <t>car insurance newfoundland</t>
        </is>
      </c>
      <c r="B38" s="36" t="inlineStr">
        <is>
          <t>Car insurance</t>
        </is>
      </c>
      <c r="C38" s="36" t="inlineStr">
        <is>
          <t>Car Insurance</t>
        </is>
      </c>
      <c r="D38" s="36" t="inlineStr">
        <is>
          <t>Newfoundland and Labrador</t>
        </is>
      </c>
      <c r="E38" s="37" t="n">
        <v>560</v>
      </c>
      <c r="F38" s="36" t="n">
        <v>53</v>
      </c>
      <c r="G38" s="36" t="inlineStr">
        <is>
          <t>commercial</t>
        </is>
      </c>
      <c r="H38" s="36" t="inlineStr">
        <is>
          <t>auto-province</t>
        </is>
      </c>
      <c r="I38" s="36" t="n">
        <v>2</v>
      </c>
      <c r="J38" s="36" t="inlineStr">
        <is>
          <t>https://instasure.ca/car-insurance/newfoundland-and-labrador/</t>
        </is>
      </c>
      <c r="K38" s="36">
        <f>IF(J38="","No","Yes")</f>
        <v/>
      </c>
      <c r="L38" s="39">
        <f>IF(J38="","",IFERROR(IF(ISNUMBER(SEARCH(A38,INDEX(Pages!$J$2:$J$829,MATCH(J38,Pages!$B$2:$B$829,0)))),"Yes","No"),"Page not found"))</f>
        <v/>
      </c>
      <c r="M38" s="25" t="inlineStr">
        <is>
          <t>ratehub</t>
        </is>
      </c>
      <c r="N38" s="25" t="n"/>
      <c r="O38" s="40" t="n"/>
      <c r="P38" s="38" t="n"/>
      <c r="Q38" s="38" t="n"/>
    </row>
    <row r="39" ht="15" customHeight="1" s="22">
      <c r="A39" s="36" t="inlineStr">
        <is>
          <t>super visa insurance ontario</t>
        </is>
      </c>
      <c r="B39" s="36" t="inlineStr">
        <is>
          <t>Super Visa &amp; visitors insurance</t>
        </is>
      </c>
      <c r="C39" s="36" t="inlineStr">
        <is>
          <t>Super Visa Insurance</t>
        </is>
      </c>
      <c r="D39" s="36" t="inlineStr">
        <is>
          <t>Ontario</t>
        </is>
      </c>
      <c r="E39" s="37" t="n">
        <v>550</v>
      </c>
      <c r="F39" s="36" t="n">
        <v>42</v>
      </c>
      <c r="G39" s="36" t="inlineStr">
        <is>
          <t>commercial</t>
        </is>
      </c>
      <c r="H39" s="36" t="inlineStr">
        <is>
          <t>travel-visitors</t>
        </is>
      </c>
      <c r="I39" s="36" t="n">
        <v>2</v>
      </c>
      <c r="J39" s="36" t="inlineStr">
        <is>
          <t>https://instasure.ca/super-visa-insurance/ontario/</t>
        </is>
      </c>
      <c r="K39" s="36">
        <f>IF(J39="","No","Yes")</f>
        <v/>
      </c>
      <c r="L39" s="39">
        <f>IF(J39="","",IFERROR(IF(ISNUMBER(SEARCH(A39,INDEX(Pages!$J$2:$J$829,MATCH(J39,Pages!$B$2:$B$829,0)))),"Yes","No"),"Page not found"))</f>
        <v/>
      </c>
      <c r="M39" s="25" t="inlineStr">
        <is>
          <t>(none seen)</t>
        </is>
      </c>
      <c r="N39" s="25" t="inlineStr">
        <is>
          <t>Province page targets super visa buyers sponsoring parents locally.</t>
        </is>
      </c>
      <c r="O39" s="40" t="n"/>
      <c r="P39" s="38" t="n"/>
      <c r="Q39" s="38" t="n"/>
    </row>
    <row r="40" ht="15" customHeight="1" s="22">
      <c r="A40" s="36" t="inlineStr">
        <is>
          <t>home insurance quebec</t>
        </is>
      </c>
      <c r="B40" s="36" t="inlineStr">
        <is>
          <t>Home insurance</t>
        </is>
      </c>
      <c r="C40" s="36" t="inlineStr">
        <is>
          <t>Home Insurance</t>
        </is>
      </c>
      <c r="D40" s="36" t="inlineStr">
        <is>
          <t>Quebec</t>
        </is>
      </c>
      <c r="E40" s="37" t="n">
        <v>520</v>
      </c>
      <c r="F40" s="36" t="n">
        <v>53</v>
      </c>
      <c r="G40" s="36" t="inlineStr">
        <is>
          <t>commercial</t>
        </is>
      </c>
      <c r="H40" s="36" t="inlineStr">
        <is>
          <t>property-province</t>
        </is>
      </c>
      <c r="I40" s="36" t="n">
        <v>3</v>
      </c>
      <c r="J40" s="36" t="inlineStr">
        <is>
          <t>https://instasure.ca/home-insurance/quebec/</t>
        </is>
      </c>
      <c r="K40" s="36">
        <f>IF(J40="","No","Yes")</f>
        <v/>
      </c>
      <c r="L40" s="39">
        <f>IF(J40="","",IFERROR(IF(ISNUMBER(SEARCH(A40,INDEX(Pages!$J$2:$J$829,MATCH(J40,Pages!$B$2:$B$829,0)))),"Yes","No"),"Page not found"))</f>
        <v/>
      </c>
      <c r="M40" s="25" t="inlineStr">
        <is>
          <t>sonnet</t>
        </is>
      </c>
      <c r="N40" s="25" t="inlineStr">
        <is>
          <t>Quebec waitlist until AMF registration; English phrase only (French terms listed separately).</t>
        </is>
      </c>
      <c r="O40" s="40" t="n"/>
      <c r="P40" s="38" t="n"/>
      <c r="Q40" s="38" t="n"/>
    </row>
    <row r="41" ht="15" customHeight="1" s="22">
      <c r="A41" s="36" t="inlineStr">
        <is>
          <t>tenant insurance alberta</t>
        </is>
      </c>
      <c r="B41" s="36" t="inlineStr">
        <is>
          <t>Tenant insurance</t>
        </is>
      </c>
      <c r="C41" s="36" t="inlineStr">
        <is>
          <t>Tenant Insurance</t>
        </is>
      </c>
      <c r="D41" s="36" t="inlineStr">
        <is>
          <t>Alberta</t>
        </is>
      </c>
      <c r="E41" s="37" t="n">
        <v>500</v>
      </c>
      <c r="F41" s="36" t="n">
        <v>50</v>
      </c>
      <c r="G41" s="36" t="inlineStr">
        <is>
          <t>commercial</t>
        </is>
      </c>
      <c r="H41" s="36" t="inlineStr">
        <is>
          <t>property-province</t>
        </is>
      </c>
      <c r="I41" s="36" t="n">
        <v>4</v>
      </c>
      <c r="J41" s="36" t="inlineStr">
        <is>
          <t>https://instasure.ca/tenant-insurance/alberta/</t>
        </is>
      </c>
      <c r="K41" s="36">
        <f>IF(J41="","No","Yes")</f>
        <v/>
      </c>
      <c r="L41" s="39">
        <f>IF(J41="","",IFERROR(IF(ISNUMBER(SEARCH(A41,INDEX(Pages!$J$2:$J$829,MATCH(J41,Pages!$B$2:$B$829,0)))),"Yes","No"),"Page not found"))</f>
        <v/>
      </c>
      <c r="M41" s="25" t="inlineStr">
        <is>
          <t>ratehub, sonnet</t>
        </is>
      </c>
      <c r="N41" s="25" t="n"/>
      <c r="O41" s="40" t="n"/>
      <c r="P41" s="38" t="n"/>
      <c r="Q41" s="38" t="n"/>
    </row>
    <row r="42" ht="15" customHeight="1" s="22">
      <c r="A42" s="36" t="inlineStr">
        <is>
          <t>icbc low kilometre discount</t>
        </is>
      </c>
      <c r="B42" s="36" t="inlineStr">
        <is>
          <t>Car insurance</t>
        </is>
      </c>
      <c r="C42" s="36" t="inlineStr">
        <is>
          <t>Car Insurance</t>
        </is>
      </c>
      <c r="D42" s="36" t="inlineStr">
        <is>
          <t>British Columbia</t>
        </is>
      </c>
      <c r="E42" s="37" t="n">
        <v>480</v>
      </c>
      <c r="F42" s="36" t="n">
        <v>30</v>
      </c>
      <c r="G42" s="36" t="inlineStr">
        <is>
          <t>informational</t>
        </is>
      </c>
      <c r="H42" s="36" t="inlineStr">
        <is>
          <t>auto-regulation</t>
        </is>
      </c>
      <c r="I42" s="36" t="n">
        <v>3</v>
      </c>
      <c r="J42" s="36" t="inlineStr">
        <is>
          <t>https://instasure.ca/guides/icbc-optional-insurance-explained/</t>
        </is>
      </c>
      <c r="K42" s="36">
        <f>IF(J42="","No","Yes")</f>
        <v/>
      </c>
      <c r="L42" s="39">
        <f>IF(J42="","",IFERROR(IF(ISNUMBER(SEARCH(A42,INDEX(Pages!$J$2:$J$829,MATCH(J42,Pages!$B$2:$B$829,0)))),"Yes","No"),"Page not found"))</f>
        <v/>
      </c>
      <c r="M42" s="25" t="inlineStr">
        <is>
          <t>ICBC</t>
        </is>
      </c>
      <c r="N42" s="25" t="n"/>
      <c r="O42" s="40" t="n"/>
      <c r="P42" s="38" t="n"/>
      <c r="Q42" s="38" t="n"/>
    </row>
    <row r="43" ht="15" customHeight="1" s="22">
      <c r="A43" s="36" t="inlineStr">
        <is>
          <t>income replacement benefit ontario opt out</t>
        </is>
      </c>
      <c r="B43" s="36" t="inlineStr">
        <is>
          <t>Car insurance</t>
        </is>
      </c>
      <c r="C43" s="36" t="inlineStr">
        <is>
          <t>Car Insurance</t>
        </is>
      </c>
      <c r="D43" s="36" t="inlineStr">
        <is>
          <t>Ontario</t>
        </is>
      </c>
      <c r="E43" s="37" t="n">
        <v>480</v>
      </c>
      <c r="F43" s="36" t="n">
        <v>25</v>
      </c>
      <c r="G43" s="36" t="inlineStr">
        <is>
          <t>informational</t>
        </is>
      </c>
      <c r="H43" s="36" t="inlineStr">
        <is>
          <t>auto-regulation</t>
        </is>
      </c>
      <c r="I43" s="36" t="n">
        <v>1</v>
      </c>
      <c r="J43" s="36" t="inlineStr">
        <is>
          <t>https://instasure.ca/guides/ontario-auto-insurance-changes-july-2026/</t>
        </is>
      </c>
      <c r="K43" s="36">
        <f>IF(J43="","No","Yes")</f>
        <v/>
      </c>
      <c r="L43" s="39">
        <f>IF(J43="","",IFERROR(IF(ISNUMBER(SEARCH(A43,INDEX(Pages!$J$2:$J$829,MATCH(J43,Pages!$B$2:$B$829,0)))),"Yes","No"),"Page not found"))</f>
        <v/>
      </c>
      <c r="M43" s="25" t="inlineStr">
        <is>
          <t>thebig.ca, thinkinsure</t>
        </is>
      </c>
      <c r="N43" s="25" t="inlineStr">
        <is>
          <t>Pair with the disability insurance page for self-employed drivers.</t>
        </is>
      </c>
      <c r="O43" s="40" t="n"/>
      <c r="P43" s="38" t="n"/>
      <c r="Q43" s="38" t="n"/>
    </row>
    <row r="44" ht="15" customHeight="1" s="22">
      <c r="A44" s="36" t="inlineStr">
        <is>
          <t>strata insurance deductible bc</t>
        </is>
      </c>
      <c r="B44" s="36" t="inlineStr">
        <is>
          <t>Condo insurance</t>
        </is>
      </c>
      <c r="C44" s="36" t="inlineStr">
        <is>
          <t>Condo Insurance</t>
        </is>
      </c>
      <c r="D44" s="36" t="inlineStr">
        <is>
          <t>British Columbia</t>
        </is>
      </c>
      <c r="E44" s="37" t="n">
        <v>480</v>
      </c>
      <c r="F44" s="36" t="n">
        <v>30</v>
      </c>
      <c r="G44" s="36" t="inlineStr">
        <is>
          <t>informational</t>
        </is>
      </c>
      <c r="H44" s="36" t="inlineStr">
        <is>
          <t>property-coverage</t>
        </is>
      </c>
      <c r="I44" s="36" t="n">
        <v>2</v>
      </c>
      <c r="J44" s="36" t="inlineStr">
        <is>
          <t>https://instasure.ca/guides/condo-insurance-deductible-assessment-explained/</t>
        </is>
      </c>
      <c r="K44" s="36">
        <f>IF(J44="","No","Yes")</f>
        <v/>
      </c>
      <c r="L44" s="39">
        <f>IF(J44="","",IFERROR(IF(ISNUMBER(SEARCH(A44,INDEX(Pages!$J$2:$J$829,MATCH(J44,Pages!$B$2:$B$829,0)))),"Yes","No"),"Page not found"))</f>
        <v/>
      </c>
      <c r="M44" s="25" t="inlineStr">
        <is>
          <t>BC brokers</t>
        </is>
      </c>
      <c r="N44" s="25" t="inlineStr">
        <is>
          <t>BC strata deductibles are the national extreme. BC banned strata referral fees in 2020.</t>
        </is>
      </c>
      <c r="O44" s="40" t="n"/>
      <c r="P44" s="38" t="n"/>
      <c r="Q44" s="38" t="n"/>
    </row>
    <row r="45" ht="15" customHeight="1" s="22">
      <c r="A45" s="36" t="inlineStr">
        <is>
          <t>health insurance bc</t>
        </is>
      </c>
      <c r="B45" s="36" t="inlineStr">
        <is>
          <t>Health &amp; dental insurance</t>
        </is>
      </c>
      <c r="C45" s="36" t="inlineStr">
        <is>
          <t>Health &amp; Dental Insurance</t>
        </is>
      </c>
      <c r="D45" s="36" t="inlineStr">
        <is>
          <t>British Columbia</t>
        </is>
      </c>
      <c r="E45" s="37" t="n">
        <v>470</v>
      </c>
      <c r="F45" s="36" t="n">
        <v>53</v>
      </c>
      <c r="G45" s="36" t="inlineStr">
        <is>
          <t>commercial</t>
        </is>
      </c>
      <c r="H45" s="36" t="inlineStr">
        <is>
          <t>health-province</t>
        </is>
      </c>
      <c r="I45" s="36" t="n">
        <v>2</v>
      </c>
      <c r="J45" s="36" t="inlineStr">
        <is>
          <t>https://instasure.ca/health-dental-insurance/british-columbia/</t>
        </is>
      </c>
      <c r="K45" s="36">
        <f>IF(J45="","No","Yes")</f>
        <v/>
      </c>
      <c r="L45" s="39">
        <f>IF(J45="","",IFERROR(IF(ISNUMBER(SEARCH(A45,INDEX(Pages!$J$2:$J$829,MATCH(J45,Pages!$B$2:$B$829,0)))),"Yes","No"),"Page not found"))</f>
        <v/>
      </c>
      <c r="M45" s="25" t="inlineStr">
        <is>
          <t>policyadvisor</t>
        </is>
      </c>
      <c r="N45" s="25" t="n"/>
      <c r="O45" s="40" t="n"/>
      <c r="P45" s="38" t="n"/>
      <c r="Q45" s="38" t="n"/>
    </row>
    <row r="46" ht="15" customHeight="1" s="22">
      <c r="A46" s="36" t="inlineStr">
        <is>
          <t>business insurance bc</t>
        </is>
      </c>
      <c r="B46" s="36" t="inlineStr">
        <is>
          <t>Business insurance</t>
        </is>
      </c>
      <c r="C46" s="36" t="inlineStr">
        <is>
          <t>Business Insurance</t>
        </is>
      </c>
      <c r="D46" s="36" t="inlineStr">
        <is>
          <t>British Columbia</t>
        </is>
      </c>
      <c r="E46" s="37" t="n">
        <v>430</v>
      </c>
      <c r="F46" s="36" t="n">
        <v>44</v>
      </c>
      <c r="G46" s="36" t="inlineStr">
        <is>
          <t>commercial</t>
        </is>
      </c>
      <c r="H46" s="36" t="inlineStr">
        <is>
          <t>business-province</t>
        </is>
      </c>
      <c r="I46" s="36" t="n">
        <v>1</v>
      </c>
      <c r="J46" s="36" t="inlineStr">
        <is>
          <t>https://instasure.ca/business-insurance/british-columbia/</t>
        </is>
      </c>
      <c r="K46" s="36">
        <f>IF(J46="","No","Yes")</f>
        <v/>
      </c>
      <c r="L46" s="39">
        <f>IF(J46="","",IFERROR(IF(ISNUMBER(SEARCH(A46,INDEX(Pages!$J$2:$J$829,MATCH(J46,Pages!$B$2:$B$829,0)))),"Yes","No"),"Page not found"))</f>
        <v/>
      </c>
      <c r="M46" s="25" t="inlineStr">
        <is>
          <t>(none seen)</t>
        </is>
      </c>
      <c r="N46" s="25" t="n"/>
      <c r="O46" s="40" t="n"/>
      <c r="P46" s="38" t="n"/>
      <c r="Q46" s="38" t="n"/>
    </row>
    <row r="47" ht="15" customHeight="1" s="22">
      <c r="A47" s="36" t="inlineStr">
        <is>
          <t>health insurance alberta</t>
        </is>
      </c>
      <c r="B47" s="36" t="inlineStr">
        <is>
          <t>Health &amp; dental insurance</t>
        </is>
      </c>
      <c r="C47" s="36" t="inlineStr">
        <is>
          <t>Health &amp; Dental Insurance</t>
        </is>
      </c>
      <c r="D47" s="36" t="inlineStr">
        <is>
          <t>Alberta</t>
        </is>
      </c>
      <c r="E47" s="37" t="n">
        <v>410</v>
      </c>
      <c r="F47" s="36" t="n">
        <v>53</v>
      </c>
      <c r="G47" s="36" t="inlineStr">
        <is>
          <t>commercial</t>
        </is>
      </c>
      <c r="H47" s="36" t="inlineStr">
        <is>
          <t>health-province</t>
        </is>
      </c>
      <c r="I47" s="36" t="n">
        <v>2</v>
      </c>
      <c r="J47" s="36" t="inlineStr">
        <is>
          <t>https://instasure.ca/health-dental-insurance/alberta/</t>
        </is>
      </c>
      <c r="K47" s="36">
        <f>IF(J47="","No","Yes")</f>
        <v/>
      </c>
      <c r="L47" s="39">
        <f>IF(J47="","",IFERROR(IF(ISNUMBER(SEARCH(A47,INDEX(Pages!$J$2:$J$829,MATCH(J47,Pages!$B$2:$B$829,0)))),"Yes","No"),"Page not found"))</f>
        <v/>
      </c>
      <c r="M47" s="25" t="inlineStr">
        <is>
          <t>policyadvisor</t>
        </is>
      </c>
      <c r="N47" s="25" t="n"/>
      <c r="O47" s="40" t="n"/>
      <c r="P47" s="38" t="n"/>
      <c r="Q47" s="38" t="n"/>
    </row>
    <row r="48" ht="15" customHeight="1" s="22">
      <c r="A48" s="36" t="inlineStr">
        <is>
          <t>alberta car insurance calculator</t>
        </is>
      </c>
      <c r="B48" s="36" t="inlineStr">
        <is>
          <t>Car insurance</t>
        </is>
      </c>
      <c r="C48" s="36" t="inlineStr">
        <is>
          <t>Car Insurance</t>
        </is>
      </c>
      <c r="D48" s="36" t="inlineStr">
        <is>
          <t>Alberta</t>
        </is>
      </c>
      <c r="E48" s="37" t="n">
        <v>390</v>
      </c>
      <c r="F48" s="36" t="n">
        <v>35</v>
      </c>
      <c r="G48" s="36" t="inlineStr">
        <is>
          <t>transactional</t>
        </is>
      </c>
      <c r="H48" s="36" t="inlineStr">
        <is>
          <t>auto-tools</t>
        </is>
      </c>
      <c r="I48" s="36" t="n">
        <v>2</v>
      </c>
      <c r="J48" s="36" t="inlineStr">
        <is>
          <t>https://instasure.ca/quote/car-insurance/</t>
        </is>
      </c>
      <c r="K48" s="36">
        <f>IF(J48="","No","Yes")</f>
        <v/>
      </c>
      <c r="L48" s="39">
        <f>IF(J48="","",IFERROR(IF(ISNUMBER(SEARCH(A48,INDEX(Pages!$J$2:$J$829,MATCH(J48,Pages!$B$2:$B$829,0)))),"Yes","No"),"Page not found"))</f>
        <v/>
      </c>
      <c r="M48" s="25" t="inlineStr">
        <is>
          <t>rates.ca</t>
        </is>
      </c>
      <c r="N48" s="25" t="n"/>
      <c r="O48" s="40" t="n"/>
      <c r="P48" s="38" t="n"/>
      <c r="Q48" s="38" t="n"/>
    </row>
    <row r="49" ht="15" customHeight="1" s="22">
      <c r="A49" s="36" t="inlineStr">
        <is>
          <t>business insurance alberta</t>
        </is>
      </c>
      <c r="B49" s="36" t="inlineStr">
        <is>
          <t>Business insurance</t>
        </is>
      </c>
      <c r="C49" s="36" t="inlineStr">
        <is>
          <t>Business Insurance</t>
        </is>
      </c>
      <c r="D49" s="36" t="inlineStr">
        <is>
          <t>Alberta</t>
        </is>
      </c>
      <c r="E49" s="37" t="n">
        <v>370</v>
      </c>
      <c r="F49" s="36" t="n">
        <v>44</v>
      </c>
      <c r="G49" s="36" t="inlineStr">
        <is>
          <t>commercial</t>
        </is>
      </c>
      <c r="H49" s="36" t="inlineStr">
        <is>
          <t>business-province</t>
        </is>
      </c>
      <c r="I49" s="36" t="n">
        <v>1</v>
      </c>
      <c r="J49" s="36" t="inlineStr">
        <is>
          <t>https://instasure.ca/business-insurance/alberta/</t>
        </is>
      </c>
      <c r="K49" s="36">
        <f>IF(J49="","No","Yes")</f>
        <v/>
      </c>
      <c r="L49" s="39">
        <f>IF(J49="","",IFERROR(IF(ISNUMBER(SEARCH(A49,INDEX(Pages!$J$2:$J$829,MATCH(J49,Pages!$B$2:$B$829,0)))),"Yes","No"),"Page not found"))</f>
        <v/>
      </c>
      <c r="M49" s="25" t="inlineStr">
        <is>
          <t>(none seen)</t>
        </is>
      </c>
      <c r="N49" s="25" t="n"/>
      <c r="O49" s="40" t="n"/>
      <c r="P49" s="38" t="n"/>
      <c r="Q49" s="38" t="n"/>
    </row>
    <row r="50" ht="15" customHeight="1" s="22">
      <c r="A50" s="36" t="inlineStr">
        <is>
          <t>home insurance manitoba</t>
        </is>
      </c>
      <c r="B50" s="36" t="inlineStr">
        <is>
          <t>Home insurance</t>
        </is>
      </c>
      <c r="C50" s="36" t="inlineStr">
        <is>
          <t>Home Insurance</t>
        </is>
      </c>
      <c r="D50" s="36" t="inlineStr">
        <is>
          <t>Manitoba</t>
        </is>
      </c>
      <c r="E50" s="37" t="n">
        <v>320</v>
      </c>
      <c r="F50" s="36" t="n">
        <v>39</v>
      </c>
      <c r="G50" s="36" t="inlineStr">
        <is>
          <t>commercial</t>
        </is>
      </c>
      <c r="H50" s="36" t="inlineStr">
        <is>
          <t>property-province</t>
        </is>
      </c>
      <c r="I50" s="36" t="n">
        <v>2</v>
      </c>
      <c r="J50" s="36" t="inlineStr">
        <is>
          <t>https://instasure.ca/home-insurance/manitoba/</t>
        </is>
      </c>
      <c r="K50" s="36">
        <f>IF(J50="","No","Yes")</f>
        <v/>
      </c>
      <c r="L50" s="39">
        <f>IF(J50="","",IFERROR(IF(ISNUMBER(SEARCH(A50,INDEX(Pages!$J$2:$J$829,MATCH(J50,Pages!$B$2:$B$829,0)))),"Yes","No"),"Page not found"))</f>
        <v/>
      </c>
      <c r="M50" s="25" t="inlineStr">
        <is>
          <t>(none seen)</t>
        </is>
      </c>
      <c r="N50" s="25" t="n"/>
      <c r="O50" s="40" t="n"/>
      <c r="P50" s="38" t="n"/>
      <c r="Q50" s="38" t="n"/>
    </row>
    <row r="51" ht="15" customHeight="1" s="22">
      <c r="A51" s="36" t="inlineStr">
        <is>
          <t>life insurance bc</t>
        </is>
      </c>
      <c r="B51" s="36" t="inlineStr">
        <is>
          <t>Life insurance</t>
        </is>
      </c>
      <c r="C51" s="36" t="inlineStr">
        <is>
          <t>Life Insurance</t>
        </is>
      </c>
      <c r="D51" s="36" t="inlineStr">
        <is>
          <t>British Columbia</t>
        </is>
      </c>
      <c r="E51" s="37" t="n">
        <v>320</v>
      </c>
      <c r="F51" s="36" t="n">
        <v>48</v>
      </c>
      <c r="G51" s="36" t="inlineStr">
        <is>
          <t>commercial</t>
        </is>
      </c>
      <c r="H51" s="36" t="inlineStr">
        <is>
          <t>life-province</t>
        </is>
      </c>
      <c r="I51" s="36" t="n">
        <v>1</v>
      </c>
      <c r="J51" s="36" t="inlineStr">
        <is>
          <t>https://instasure.ca/life-insurance/british-columbia/</t>
        </is>
      </c>
      <c r="K51" s="36">
        <f>IF(J51="","No","Yes")</f>
        <v/>
      </c>
      <c r="L51" s="39">
        <f>IF(J51="","",IFERROR(IF(ISNUMBER(SEARCH(A51,INDEX(Pages!$J$2:$J$829,MATCH(J51,Pages!$B$2:$B$829,0)))),"Yes","No"),"Page not found"))</f>
        <v/>
      </c>
      <c r="M51" s="25" t="inlineStr">
        <is>
          <t>policyadvisor</t>
        </is>
      </c>
      <c r="N51" s="25" t="n"/>
      <c r="O51" s="40" t="n"/>
      <c r="P51" s="38" t="n"/>
      <c r="Q51" s="38" t="n"/>
    </row>
    <row r="52" ht="15" customHeight="1" s="22">
      <c r="A52" s="36" t="inlineStr">
        <is>
          <t>tenant insurance quebec</t>
        </is>
      </c>
      <c r="B52" s="36" t="inlineStr">
        <is>
          <t>Tenant insurance</t>
        </is>
      </c>
      <c r="C52" s="36" t="inlineStr">
        <is>
          <t>Tenant Insurance</t>
        </is>
      </c>
      <c r="D52" s="36" t="inlineStr">
        <is>
          <t>Quebec</t>
        </is>
      </c>
      <c r="E52" s="37" t="n">
        <v>290</v>
      </c>
      <c r="F52" s="36" t="n">
        <v>46</v>
      </c>
      <c r="G52" s="36" t="inlineStr">
        <is>
          <t>commercial</t>
        </is>
      </c>
      <c r="H52" s="36" t="inlineStr">
        <is>
          <t>property-province</t>
        </is>
      </c>
      <c r="I52" s="36" t="n">
        <v>5</v>
      </c>
      <c r="J52" s="36" t="inlineStr">
        <is>
          <t>https://instasure.ca/tenant-insurance/quebec/</t>
        </is>
      </c>
      <c r="K52" s="36">
        <f>IF(J52="","No","Yes")</f>
        <v/>
      </c>
      <c r="L52" s="39">
        <f>IF(J52="","",IFERROR(IF(ISNUMBER(SEARCH(A52,INDEX(Pages!$J$2:$J$829,MATCH(J52,Pages!$B$2:$B$829,0)))),"Yes","No"),"Page not found"))</f>
        <v/>
      </c>
      <c r="M52" s="25" t="inlineStr">
        <is>
          <t>sonnet</t>
        </is>
      </c>
      <c r="N52" s="25" t="inlineStr">
        <is>
          <t>Quebec waitlist until AMF registration; English phrase only (French terms listed separately).</t>
        </is>
      </c>
      <c r="O52" s="40" t="n"/>
      <c r="P52" s="38" t="n"/>
      <c r="Q52" s="38" t="n"/>
    </row>
    <row r="53" ht="15" customHeight="1" s="22">
      <c r="A53" s="36" t="inlineStr">
        <is>
          <t>life insurance alberta</t>
        </is>
      </c>
      <c r="B53" s="36" t="inlineStr">
        <is>
          <t>Life insurance</t>
        </is>
      </c>
      <c r="C53" s="36" t="inlineStr">
        <is>
          <t>Life Insurance</t>
        </is>
      </c>
      <c r="D53" s="36" t="inlineStr">
        <is>
          <t>Alberta</t>
        </is>
      </c>
      <c r="E53" s="37" t="n">
        <v>280</v>
      </c>
      <c r="F53" s="36" t="n">
        <v>48</v>
      </c>
      <c r="G53" s="36" t="inlineStr">
        <is>
          <t>commercial</t>
        </is>
      </c>
      <c r="H53" s="36" t="inlineStr">
        <is>
          <t>life-province</t>
        </is>
      </c>
      <c r="I53" s="36" t="n">
        <v>1</v>
      </c>
      <c r="J53" s="36" t="inlineStr">
        <is>
          <t>https://instasure.ca/life-insurance/alberta/</t>
        </is>
      </c>
      <c r="K53" s="36">
        <f>IF(J53="","No","Yes")</f>
        <v/>
      </c>
      <c r="L53" s="39">
        <f>IF(J53="","",IFERROR(IF(ISNUMBER(SEARCH(A53,INDEX(Pages!$J$2:$J$829,MATCH(J53,Pages!$B$2:$B$829,0)))),"Yes","No"),"Page not found"))</f>
        <v/>
      </c>
      <c r="M53" s="25" t="inlineStr">
        <is>
          <t>policyadvisor</t>
        </is>
      </c>
      <c r="N53" s="25" t="n"/>
      <c r="O53" s="40" t="n"/>
      <c r="P53" s="38" t="n"/>
      <c r="Q53" s="38" t="n"/>
    </row>
    <row r="54" ht="15" customHeight="1" s="22">
      <c r="A54" s="36" t="inlineStr">
        <is>
          <t>disability insurance ontario</t>
        </is>
      </c>
      <c r="B54" s="36" t="inlineStr">
        <is>
          <t>Disability insurance</t>
        </is>
      </c>
      <c r="C54" s="36" t="inlineStr">
        <is>
          <t>Disability Insurance</t>
        </is>
      </c>
      <c r="D54" s="36" t="inlineStr">
        <is>
          <t>Ontario</t>
        </is>
      </c>
      <c r="E54" s="37" t="n">
        <v>270</v>
      </c>
      <c r="F54" s="36" t="n">
        <v>40</v>
      </c>
      <c r="G54" s="36" t="inlineStr">
        <is>
          <t>commercial</t>
        </is>
      </c>
      <c r="H54" s="36" t="inlineStr">
        <is>
          <t>living-benefits</t>
        </is>
      </c>
      <c r="I54" s="36" t="n">
        <v>1</v>
      </c>
      <c r="J54" s="36" t="inlineStr">
        <is>
          <t>https://instasure.ca/disability-insurance/ontario/</t>
        </is>
      </c>
      <c r="K54" s="36">
        <f>IF(J54="","No","Yes")</f>
        <v/>
      </c>
      <c r="L54" s="39">
        <f>IF(J54="","",IFERROR(IF(ISNUMBER(SEARCH(A54,INDEX(Pages!$J$2:$J$829,MATCH(J54,Pages!$B$2:$B$829,0)))),"Yes","No"),"Page not found"))</f>
        <v/>
      </c>
      <c r="M54" s="25" t="inlineStr">
        <is>
          <t>(none seen)</t>
        </is>
      </c>
      <c r="N54" s="25" t="n"/>
      <c r="O54" s="40" t="n"/>
      <c r="P54" s="38" t="n"/>
      <c r="Q54" s="38" t="n"/>
    </row>
    <row r="55" ht="15" customHeight="1" s="22">
      <c r="A55" s="36" t="inlineStr">
        <is>
          <t>home insurance saskatchewan</t>
        </is>
      </c>
      <c r="B55" s="36" t="inlineStr">
        <is>
          <t>Home insurance</t>
        </is>
      </c>
      <c r="C55" s="36" t="inlineStr">
        <is>
          <t>Home Insurance</t>
        </is>
      </c>
      <c r="D55" s="36" t="inlineStr">
        <is>
          <t>Saskatchewan</t>
        </is>
      </c>
      <c r="E55" s="37" t="n">
        <v>270</v>
      </c>
      <c r="F55" s="36" t="n">
        <v>39</v>
      </c>
      <c r="G55" s="36" t="inlineStr">
        <is>
          <t>commercial</t>
        </is>
      </c>
      <c r="H55" s="36" t="inlineStr">
        <is>
          <t>property-province</t>
        </is>
      </c>
      <c r="I55" s="36" t="n">
        <v>2</v>
      </c>
      <c r="J55" s="36" t="inlineStr">
        <is>
          <t>https://instasure.ca/home-insurance/saskatchewan/</t>
        </is>
      </c>
      <c r="K55" s="36">
        <f>IF(J55="","No","Yes")</f>
        <v/>
      </c>
      <c r="L55" s="39">
        <f>IF(J55="","",IFERROR(IF(ISNUMBER(SEARCH(A55,INDEX(Pages!$J$2:$J$829,MATCH(J55,Pages!$B$2:$B$829,0)))),"Yes","No"),"Page not found"))</f>
        <v/>
      </c>
      <c r="M55" s="25" t="inlineStr">
        <is>
          <t>(none seen)</t>
        </is>
      </c>
      <c r="N55" s="25" t="n"/>
      <c r="O55" s="40" t="n"/>
      <c r="P55" s="38" t="n"/>
      <c r="Q55" s="38" t="n"/>
    </row>
    <row r="56" ht="15" customHeight="1" s="22">
      <c r="A56" s="36" t="inlineStr">
        <is>
          <t>condo insurance bc</t>
        </is>
      </c>
      <c r="B56" s="36" t="inlineStr">
        <is>
          <t>Condo insurance</t>
        </is>
      </c>
      <c r="C56" s="36" t="inlineStr">
        <is>
          <t>Condo Insurance</t>
        </is>
      </c>
      <c r="D56" s="36" t="inlineStr">
        <is>
          <t>British Columbia</t>
        </is>
      </c>
      <c r="E56" s="37" t="n">
        <v>260</v>
      </c>
      <c r="F56" s="36" t="n">
        <v>43</v>
      </c>
      <c r="G56" s="36" t="inlineStr">
        <is>
          <t>commercial</t>
        </is>
      </c>
      <c r="H56" s="36" t="inlineStr">
        <is>
          <t>property-province</t>
        </is>
      </c>
      <c r="I56" s="36" t="n">
        <v>3</v>
      </c>
      <c r="J56" s="36" t="inlineStr">
        <is>
          <t>https://instasure.ca/condo-insurance/british-columbia/</t>
        </is>
      </c>
      <c r="K56" s="36">
        <f>IF(J56="","No","Yes")</f>
        <v/>
      </c>
      <c r="L56" s="39">
        <f>IF(J56="","",IFERROR(IF(ISNUMBER(SEARCH(A56,INDEX(Pages!$J$2:$J$829,MATCH(J56,Pages!$B$2:$B$829,0)))),"Yes","No"),"Page not found"))</f>
        <v/>
      </c>
      <c r="M56" s="25" t="inlineStr">
        <is>
          <t>sonnet</t>
        </is>
      </c>
      <c r="N56" s="25" t="n"/>
      <c r="O56" s="40" t="n"/>
      <c r="P56" s="38" t="n"/>
      <c r="Q56" s="38" t="n"/>
    </row>
    <row r="57" ht="15" customHeight="1" s="22">
      <c r="A57" s="36" t="inlineStr">
        <is>
          <t>is tenant insurance mandatory in alberta</t>
        </is>
      </c>
      <c r="B57" s="36" t="inlineStr">
        <is>
          <t>Tenant insurance</t>
        </is>
      </c>
      <c r="C57" s="36" t="inlineStr">
        <is>
          <t>Tenant Insurance</t>
        </is>
      </c>
      <c r="D57" s="36" t="inlineStr">
        <is>
          <t>Alberta</t>
        </is>
      </c>
      <c r="E57" s="37" t="n">
        <v>260</v>
      </c>
      <c r="F57" s="36" t="n">
        <v>25</v>
      </c>
      <c r="G57" s="36" t="inlineStr">
        <is>
          <t>informational</t>
        </is>
      </c>
      <c r="H57" s="36" t="inlineStr">
        <is>
          <t>property-coverage</t>
        </is>
      </c>
      <c r="I57" s="36" t="n">
        <v>3</v>
      </c>
      <c r="J57" s="36" t="inlineStr">
        <is>
          <t>https://instasure.ca/tenant-insurance/alberta/</t>
        </is>
      </c>
      <c r="K57" s="36">
        <f>IF(J57="","No","Yes")</f>
        <v/>
      </c>
      <c r="L57" s="39">
        <f>IF(J57="","",IFERROR(IF(ISNUMBER(SEARCH(A57,INDEX(Pages!$J$2:$J$829,MATCH(J57,Pages!$B$2:$B$829,0)))),"Yes","No"),"Page not found"))</f>
        <v/>
      </c>
      <c r="M57" s="25" t="inlineStr">
        <is>
          <t>sonnet faq</t>
        </is>
      </c>
      <c r="N57" s="25" t="n"/>
      <c r="O57" s="40" t="n"/>
      <c r="P57" s="38" t="n"/>
      <c r="Q57" s="38" t="n"/>
    </row>
    <row r="58" ht="15" customHeight="1" s="22">
      <c r="A58" s="36" t="inlineStr">
        <is>
          <t>mpi optional insurance</t>
        </is>
      </c>
      <c r="B58" s="36" t="inlineStr">
        <is>
          <t>Car insurance</t>
        </is>
      </c>
      <c r="C58" s="36" t="inlineStr">
        <is>
          <t>Car Insurance</t>
        </is>
      </c>
      <c r="D58" s="36" t="inlineStr">
        <is>
          <t>Manitoba</t>
        </is>
      </c>
      <c r="E58" s="37" t="n">
        <v>260</v>
      </c>
      <c r="F58" s="36" t="n">
        <v>25</v>
      </c>
      <c r="G58" s="36" t="inlineStr">
        <is>
          <t>informational</t>
        </is>
      </c>
      <c r="H58" s="36" t="inlineStr">
        <is>
          <t>auto-regulation</t>
        </is>
      </c>
      <c r="I58" s="36" t="n">
        <v>4</v>
      </c>
      <c r="J58" s="36" t="n"/>
      <c r="K58" s="36">
        <f>IF(J58="","No","Yes")</f>
        <v/>
      </c>
      <c r="L58" s="39">
        <f>IF(J58="","",IFERROR(IF(ISNUMBER(SEARCH(A58,INDEX(Pages!$J$2:$J$829,MATCH(J58,Pages!$B$2:$B$829,0)))),"Yes","No"),"Page not found"))</f>
        <v/>
      </c>
      <c r="M58" s="25" t="inlineStr">
        <is>
          <t>MPI</t>
        </is>
      </c>
      <c r="N58" s="25" t="inlineStr">
        <is>
          <t>Planned explainer in the style of the ICBC guide.</t>
        </is>
      </c>
      <c r="O58" s="40" t="n"/>
      <c r="P58" s="38" t="n"/>
      <c r="Q58" s="38" t="n"/>
    </row>
    <row r="59" ht="15" customHeight="1" s="22">
      <c r="A59" s="36" t="inlineStr">
        <is>
          <t>contractor insurance ontario</t>
        </is>
      </c>
      <c r="B59" s="36" t="inlineStr">
        <is>
          <t>Contractor &amp; trades insurance</t>
        </is>
      </c>
      <c r="C59" s="36" t="inlineStr">
        <is>
          <t>Contractor Insurance</t>
        </is>
      </c>
      <c r="D59" s="36" t="inlineStr">
        <is>
          <t>Ontario</t>
        </is>
      </c>
      <c r="E59" s="37" t="n">
        <v>240</v>
      </c>
      <c r="F59" s="36" t="n">
        <v>37</v>
      </c>
      <c r="G59" s="36" t="inlineStr">
        <is>
          <t>commercial</t>
        </is>
      </c>
      <c r="H59" s="36" t="inlineStr">
        <is>
          <t>business-province</t>
        </is>
      </c>
      <c r="I59" s="36" t="n">
        <v>2</v>
      </c>
      <c r="J59" s="36" t="inlineStr">
        <is>
          <t>https://instasure.ca/contractor-insurance/ontario/</t>
        </is>
      </c>
      <c r="K59" s="36">
        <f>IF(J59="","No","Yes")</f>
        <v/>
      </c>
      <c r="L59" s="39">
        <f>IF(J59="","",IFERROR(IF(ISNUMBER(SEARCH(A59,INDEX(Pages!$J$2:$J$829,MATCH(J59,Pages!$B$2:$B$829,0)))),"Yes","No"),"Page not found"))</f>
        <v/>
      </c>
      <c r="M59" s="25" t="inlineStr">
        <is>
          <t>(none seen)</t>
        </is>
      </c>
      <c r="N59" s="25" t="n"/>
      <c r="O59" s="40" t="n"/>
      <c r="P59" s="38" t="n"/>
      <c r="Q59" s="38" t="n"/>
    </row>
    <row r="60" ht="15" customHeight="1" s="22">
      <c r="A60" s="36" t="inlineStr">
        <is>
          <t>health insurance quebec</t>
        </is>
      </c>
      <c r="B60" s="36" t="inlineStr">
        <is>
          <t>Health &amp; dental insurance</t>
        </is>
      </c>
      <c r="C60" s="36" t="inlineStr">
        <is>
          <t>Health &amp; Dental Insurance</t>
        </is>
      </c>
      <c r="D60" s="36" t="inlineStr">
        <is>
          <t>Quebec</t>
        </is>
      </c>
      <c r="E60" s="37" t="n">
        <v>240</v>
      </c>
      <c r="F60" s="36" t="n">
        <v>49</v>
      </c>
      <c r="G60" s="36" t="inlineStr">
        <is>
          <t>commercial</t>
        </is>
      </c>
      <c r="H60" s="36" t="inlineStr">
        <is>
          <t>health-province</t>
        </is>
      </c>
      <c r="I60" s="36" t="n">
        <v>4</v>
      </c>
      <c r="J60" s="36" t="inlineStr">
        <is>
          <t>https://instasure.ca/health-dental-insurance/quebec/</t>
        </is>
      </c>
      <c r="K60" s="36">
        <f>IF(J60="","No","Yes")</f>
        <v/>
      </c>
      <c r="L60" s="39">
        <f>IF(J60="","",IFERROR(IF(ISNUMBER(SEARCH(A60,INDEX(Pages!$J$2:$J$829,MATCH(J60,Pages!$B$2:$B$829,0)))),"Yes","No"),"Page not found"))</f>
        <v/>
      </c>
      <c r="M60" s="25" t="inlineStr">
        <is>
          <t>(none seen)</t>
        </is>
      </c>
      <c r="N60" s="25" t="inlineStr">
        <is>
          <t>Quebec waitlist until AMF registration; English phrase only (French terms listed separately).</t>
        </is>
      </c>
      <c r="O60" s="40" t="n"/>
      <c r="P60" s="38" t="n"/>
      <c r="Q60" s="38" t="n"/>
    </row>
    <row r="61" ht="15" customHeight="1" s="22">
      <c r="A61" s="36" t="inlineStr">
        <is>
          <t>home insurance nova scotia</t>
        </is>
      </c>
      <c r="B61" s="36" t="inlineStr">
        <is>
          <t>Home insurance</t>
        </is>
      </c>
      <c r="C61" s="36" t="inlineStr">
        <is>
          <t>Home Insurance</t>
        </is>
      </c>
      <c r="D61" s="36" t="inlineStr">
        <is>
          <t>Nova Scotia</t>
        </is>
      </c>
      <c r="E61" s="37" t="n">
        <v>240</v>
      </c>
      <c r="F61" s="36" t="n">
        <v>43</v>
      </c>
      <c r="G61" s="36" t="inlineStr">
        <is>
          <t>commercial</t>
        </is>
      </c>
      <c r="H61" s="36" t="inlineStr">
        <is>
          <t>property-province</t>
        </is>
      </c>
      <c r="I61" s="36" t="n">
        <v>3</v>
      </c>
      <c r="J61" s="36" t="inlineStr">
        <is>
          <t>https://instasure.ca/home-insurance/nova-scotia/</t>
        </is>
      </c>
      <c r="K61" s="36">
        <f>IF(J61="","No","Yes")</f>
        <v/>
      </c>
      <c r="L61" s="39">
        <f>IF(J61="","",IFERROR(IF(ISNUMBER(SEARCH(A61,INDEX(Pages!$J$2:$J$829,MATCH(J61,Pages!$B$2:$B$829,0)))),"Yes","No"),"Page not found"))</f>
        <v/>
      </c>
      <c r="M61" s="25" t="inlineStr">
        <is>
          <t>ratehub</t>
        </is>
      </c>
      <c r="N61" s="25" t="n"/>
      <c r="O61" s="40" t="n"/>
      <c r="P61" s="38" t="n"/>
      <c r="Q61" s="38" t="n"/>
    </row>
    <row r="62" ht="15" customHeight="1" s="22">
      <c r="A62" s="36" t="inlineStr">
        <is>
          <t>term life insurance ontario</t>
        </is>
      </c>
      <c r="B62" s="36" t="inlineStr">
        <is>
          <t>Life insurance</t>
        </is>
      </c>
      <c r="C62" s="36" t="inlineStr">
        <is>
          <t>Term Life Insurance</t>
        </is>
      </c>
      <c r="D62" s="36" t="inlineStr">
        <is>
          <t>Ontario</t>
        </is>
      </c>
      <c r="E62" s="37" t="n">
        <v>240</v>
      </c>
      <c r="F62" s="36" t="n">
        <v>46</v>
      </c>
      <c r="G62" s="36" t="inlineStr">
        <is>
          <t>commercial</t>
        </is>
      </c>
      <c r="H62" s="36" t="inlineStr">
        <is>
          <t>life-province</t>
        </is>
      </c>
      <c r="I62" s="36" t="n">
        <v>2</v>
      </c>
      <c r="J62" s="36" t="inlineStr">
        <is>
          <t>https://instasure.ca/term-life-insurance/ontario/</t>
        </is>
      </c>
      <c r="K62" s="36">
        <f>IF(J62="","No","Yes")</f>
        <v/>
      </c>
      <c r="L62" s="39">
        <f>IF(J62="","",IFERROR(IF(ISNUMBER(SEARCH(A62,INDEX(Pages!$J$2:$J$829,MATCH(J62,Pages!$B$2:$B$829,0)))),"Yes","No"),"Page not found"))</f>
        <v/>
      </c>
      <c r="M62" s="25" t="inlineStr">
        <is>
          <t>policyadvisor</t>
        </is>
      </c>
      <c r="N62" s="25" t="n"/>
      <c r="O62" s="40" t="n"/>
      <c r="P62" s="38" t="n"/>
      <c r="Q62" s="38" t="n"/>
    </row>
    <row r="63" ht="15" customHeight="1" s="22">
      <c r="A63" s="36" t="inlineStr">
        <is>
          <t>condo insurance alberta</t>
        </is>
      </c>
      <c r="B63" s="36" t="inlineStr">
        <is>
          <t>Condo insurance</t>
        </is>
      </c>
      <c r="C63" s="36" t="inlineStr">
        <is>
          <t>Condo Insurance</t>
        </is>
      </c>
      <c r="D63" s="36" t="inlineStr">
        <is>
          <t>Alberta</t>
        </is>
      </c>
      <c r="E63" s="37" t="n">
        <v>220</v>
      </c>
      <c r="F63" s="36" t="n">
        <v>47</v>
      </c>
      <c r="G63" s="36" t="inlineStr">
        <is>
          <t>commercial</t>
        </is>
      </c>
      <c r="H63" s="36" t="inlineStr">
        <is>
          <t>property-province</t>
        </is>
      </c>
      <c r="I63" s="36" t="n">
        <v>4</v>
      </c>
      <c r="J63" s="36" t="inlineStr">
        <is>
          <t>https://instasure.ca/condo-insurance/alberta/</t>
        </is>
      </c>
      <c r="K63" s="36">
        <f>IF(J63="","No","Yes")</f>
        <v/>
      </c>
      <c r="L63" s="39">
        <f>IF(J63="","",IFERROR(IF(ISNUMBER(SEARCH(A63,INDEX(Pages!$J$2:$J$829,MATCH(J63,Pages!$B$2:$B$829,0)))),"Yes","No"),"Page not found"))</f>
        <v/>
      </c>
      <c r="M63" s="25" t="inlineStr">
        <is>
          <t>ratehub, sonnet</t>
        </is>
      </c>
      <c r="N63" s="25" t="n"/>
      <c r="O63" s="40" t="n"/>
      <c r="P63" s="38" t="n"/>
      <c r="Q63" s="38" t="n"/>
    </row>
    <row r="64" ht="15" customHeight="1" s="22">
      <c r="A64" s="36" t="inlineStr">
        <is>
          <t>critical illness insurance ontario</t>
        </is>
      </c>
      <c r="B64" s="36" t="inlineStr">
        <is>
          <t>Critical illness insurance</t>
        </is>
      </c>
      <c r="C64" s="36" t="inlineStr">
        <is>
          <t>Critical Illness Insurance</t>
        </is>
      </c>
      <c r="D64" s="36" t="inlineStr">
        <is>
          <t>Ontario</t>
        </is>
      </c>
      <c r="E64" s="37" t="n">
        <v>220</v>
      </c>
      <c r="F64" s="36" t="n">
        <v>37</v>
      </c>
      <c r="G64" s="36" t="inlineStr">
        <is>
          <t>commercial</t>
        </is>
      </c>
      <c r="H64" s="36" t="inlineStr">
        <is>
          <t>living-benefits</t>
        </is>
      </c>
      <c r="I64" s="36" t="n">
        <v>1</v>
      </c>
      <c r="J64" s="36" t="inlineStr">
        <is>
          <t>https://instasure.ca/critical-illness-insurance/ontario/</t>
        </is>
      </c>
      <c r="K64" s="36">
        <f>IF(J64="","No","Yes")</f>
        <v/>
      </c>
      <c r="L64" s="39">
        <f>IF(J64="","",IFERROR(IF(ISNUMBER(SEARCH(A64,INDEX(Pages!$J$2:$J$829,MATCH(J64,Pages!$B$2:$B$829,0)))),"Yes","No"),"Page not found"))</f>
        <v/>
      </c>
      <c r="M64" s="25" t="inlineStr">
        <is>
          <t>(none seen)</t>
        </is>
      </c>
      <c r="N64" s="25" t="n"/>
      <c r="O64" s="40" t="n"/>
      <c r="P64" s="38" t="n"/>
      <c r="Q64" s="38" t="n"/>
    </row>
    <row r="65" ht="15" customHeight="1" s="22">
      <c r="A65" s="36" t="inlineStr">
        <is>
          <t>business insurance quebec</t>
        </is>
      </c>
      <c r="B65" s="36" t="inlineStr">
        <is>
          <t>Business insurance</t>
        </is>
      </c>
      <c r="C65" s="36" t="inlineStr">
        <is>
          <t>Business Insurance</t>
        </is>
      </c>
      <c r="D65" s="36" t="inlineStr">
        <is>
          <t>Quebec</t>
        </is>
      </c>
      <c r="E65" s="37" t="n">
        <v>210</v>
      </c>
      <c r="F65" s="36" t="n">
        <v>44</v>
      </c>
      <c r="G65" s="36" t="inlineStr">
        <is>
          <t>commercial</t>
        </is>
      </c>
      <c r="H65" s="36" t="inlineStr">
        <is>
          <t>business-province</t>
        </is>
      </c>
      <c r="I65" s="36" t="n">
        <v>3</v>
      </c>
      <c r="J65" s="36" t="inlineStr">
        <is>
          <t>https://instasure.ca/business-insurance/quebec/</t>
        </is>
      </c>
      <c r="K65" s="36">
        <f>IF(J65="","No","Yes")</f>
        <v/>
      </c>
      <c r="L65" s="39">
        <f>IF(J65="","",IFERROR(IF(ISNUMBER(SEARCH(A65,INDEX(Pages!$J$2:$J$829,MATCH(J65,Pages!$B$2:$B$829,0)))),"Yes","No"),"Page not found"))</f>
        <v/>
      </c>
      <c r="M65" s="25" t="inlineStr">
        <is>
          <t>(none seen)</t>
        </is>
      </c>
      <c r="N65" s="25" t="inlineStr">
        <is>
          <t>Quebec waitlist until AMF registration; English phrase only (French terms listed separately).</t>
        </is>
      </c>
      <c r="O65" s="40" t="n"/>
      <c r="P65" s="38" t="n"/>
      <c r="Q65" s="38" t="n"/>
    </row>
    <row r="66" ht="15" customHeight="1" s="22">
      <c r="A66" s="36" t="inlineStr">
        <is>
          <t>sgi auto fund optional coverage</t>
        </is>
      </c>
      <c r="B66" s="36" t="inlineStr">
        <is>
          <t>Car insurance</t>
        </is>
      </c>
      <c r="C66" s="36" t="inlineStr">
        <is>
          <t>Car Insurance</t>
        </is>
      </c>
      <c r="D66" s="36" t="inlineStr">
        <is>
          <t>Saskatchewan</t>
        </is>
      </c>
      <c r="E66" s="37" t="n">
        <v>210</v>
      </c>
      <c r="F66" s="36" t="n">
        <v>25</v>
      </c>
      <c r="G66" s="36" t="inlineStr">
        <is>
          <t>informational</t>
        </is>
      </c>
      <c r="H66" s="36" t="inlineStr">
        <is>
          <t>auto-regulation</t>
        </is>
      </c>
      <c r="I66" s="36" t="n">
        <v>4</v>
      </c>
      <c r="J66" s="36" t="n"/>
      <c r="K66" s="36">
        <f>IF(J66="","No","Yes")</f>
        <v/>
      </c>
      <c r="L66" s="39">
        <f>IF(J66="","",IFERROR(IF(ISNUMBER(SEARCH(A66,INDEX(Pages!$J$2:$J$829,MATCH(J66,Pages!$B$2:$B$829,0)))),"Yes","No"),"Page not found"))</f>
        <v/>
      </c>
      <c r="M66" s="25" t="inlineStr">
        <is>
          <t>SGI</t>
        </is>
      </c>
      <c r="N66" s="25" t="inlineStr">
        <is>
          <t>Planned explainer in the style of the ICBC guide.</t>
        </is>
      </c>
      <c r="O66" s="40" t="n"/>
      <c r="P66" s="38" t="n"/>
      <c r="Q66" s="38" t="n"/>
    </row>
    <row r="67" ht="15" customHeight="1" s="22">
      <c r="A67" s="36" t="inlineStr">
        <is>
          <t>car insurance pei</t>
        </is>
      </c>
      <c r="B67" s="36" t="inlineStr">
        <is>
          <t>Car insurance</t>
        </is>
      </c>
      <c r="C67" s="36" t="inlineStr">
        <is>
          <t>Car Insurance</t>
        </is>
      </c>
      <c r="D67" s="36" t="inlineStr">
        <is>
          <t>Prince Edward Island</t>
        </is>
      </c>
      <c r="E67" s="37" t="n">
        <v>190</v>
      </c>
      <c r="F67" s="36" t="n">
        <v>57</v>
      </c>
      <c r="G67" s="36" t="inlineStr">
        <is>
          <t>commercial</t>
        </is>
      </c>
      <c r="H67" s="36" t="inlineStr">
        <is>
          <t>auto-province</t>
        </is>
      </c>
      <c r="I67" s="36" t="n">
        <v>4</v>
      </c>
      <c r="J67" s="36" t="inlineStr">
        <is>
          <t>https://instasure.ca/car-insurance/prince-edward-island/</t>
        </is>
      </c>
      <c r="K67" s="36">
        <f>IF(J67="","No","Yes")</f>
        <v/>
      </c>
      <c r="L67" s="39">
        <f>IF(J67="","",IFERROR(IF(ISNUMBER(SEARCH(A67,INDEX(Pages!$J$2:$J$829,MATCH(J67,Pages!$B$2:$B$829,0)))),"Yes","No"),"Page not found"))</f>
        <v/>
      </c>
      <c r="M67" s="25" t="inlineStr">
        <is>
          <t>ratehub, sonnet</t>
        </is>
      </c>
      <c r="N67" s="25" t="n"/>
      <c r="O67" s="40" t="n"/>
      <c r="P67" s="38" t="n"/>
      <c r="Q67" s="38" t="n"/>
    </row>
    <row r="68" ht="15" customHeight="1" s="22">
      <c r="A68" s="36" t="inlineStr">
        <is>
          <t>home insurance new brunswick</t>
        </is>
      </c>
      <c r="B68" s="36" t="inlineStr">
        <is>
          <t>Home insurance</t>
        </is>
      </c>
      <c r="C68" s="36" t="inlineStr">
        <is>
          <t>Home Insurance</t>
        </is>
      </c>
      <c r="D68" s="36" t="inlineStr">
        <is>
          <t>New Brunswick</t>
        </is>
      </c>
      <c r="E68" s="37" t="n">
        <v>190</v>
      </c>
      <c r="F68" s="36" t="n">
        <v>43</v>
      </c>
      <c r="G68" s="36" t="inlineStr">
        <is>
          <t>commercial</t>
        </is>
      </c>
      <c r="H68" s="36" t="inlineStr">
        <is>
          <t>property-province</t>
        </is>
      </c>
      <c r="I68" s="36" t="n">
        <v>3</v>
      </c>
      <c r="J68" s="36" t="inlineStr">
        <is>
          <t>https://instasure.ca/home-insurance/new-brunswick/</t>
        </is>
      </c>
      <c r="K68" s="36">
        <f>IF(J68="","No","Yes")</f>
        <v/>
      </c>
      <c r="L68" s="39">
        <f>IF(J68="","",IFERROR(IF(ISNUMBER(SEARCH(A68,INDEX(Pages!$J$2:$J$829,MATCH(J68,Pages!$B$2:$B$829,0)))),"Yes","No"),"Page not found"))</f>
        <v/>
      </c>
      <c r="M68" s="25" t="inlineStr">
        <is>
          <t>sonnet</t>
        </is>
      </c>
      <c r="N68" s="25" t="n"/>
      <c r="O68" s="40" t="n"/>
      <c r="P68" s="38" t="n"/>
      <c r="Q68" s="38" t="n"/>
    </row>
    <row r="69" ht="15" customHeight="1" s="22">
      <c r="A69" s="36" t="inlineStr">
        <is>
          <t>super visa insurance bc</t>
        </is>
      </c>
      <c r="B69" s="36" t="inlineStr">
        <is>
          <t>Super Visa &amp; visitors insurance</t>
        </is>
      </c>
      <c r="C69" s="36" t="inlineStr">
        <is>
          <t>Super Visa Insurance</t>
        </is>
      </c>
      <c r="D69" s="36" t="inlineStr">
        <is>
          <t>British Columbia</t>
        </is>
      </c>
      <c r="E69" s="37" t="n">
        <v>190</v>
      </c>
      <c r="F69" s="36" t="n">
        <v>34</v>
      </c>
      <c r="G69" s="36" t="inlineStr">
        <is>
          <t>commercial</t>
        </is>
      </c>
      <c r="H69" s="36" t="inlineStr">
        <is>
          <t>travel-visitors</t>
        </is>
      </c>
      <c r="I69" s="36" t="n">
        <v>3</v>
      </c>
      <c r="J69" s="36" t="inlineStr">
        <is>
          <t>https://instasure.ca/super-visa-insurance/british-columbia/</t>
        </is>
      </c>
      <c r="K69" s="36">
        <f>IF(J69="","No","Yes")</f>
        <v/>
      </c>
      <c r="L69" s="39">
        <f>IF(J69="","",IFERROR(IF(ISNUMBER(SEARCH(A69,INDEX(Pages!$J$2:$J$829,MATCH(J69,Pages!$B$2:$B$829,0)))),"Yes","No"),"Page not found"))</f>
        <v/>
      </c>
      <c r="M69" s="25" t="inlineStr">
        <is>
          <t>(none seen)</t>
        </is>
      </c>
      <c r="N69" s="25" t="inlineStr">
        <is>
          <t>Province page targets super visa buyers sponsoring parents locally.</t>
        </is>
      </c>
      <c r="O69" s="40" t="n"/>
      <c r="P69" s="38" t="n"/>
      <c r="Q69" s="38" t="n"/>
    </row>
    <row r="70" ht="15" customHeight="1" s="22">
      <c r="A70" s="36" t="inlineStr">
        <is>
          <t>tenant insurance manitoba</t>
        </is>
      </c>
      <c r="B70" s="36" t="inlineStr">
        <is>
          <t>Tenant insurance</t>
        </is>
      </c>
      <c r="C70" s="36" t="inlineStr">
        <is>
          <t>Tenant Insurance</t>
        </is>
      </c>
      <c r="D70" s="36" t="inlineStr">
        <is>
          <t>Manitoba</t>
        </is>
      </c>
      <c r="E70" s="37" t="n">
        <v>180</v>
      </c>
      <c r="F70" s="36" t="n">
        <v>32</v>
      </c>
      <c r="G70" s="36" t="inlineStr">
        <is>
          <t>commercial</t>
        </is>
      </c>
      <c r="H70" s="36" t="inlineStr">
        <is>
          <t>property-province</t>
        </is>
      </c>
      <c r="I70" s="36" t="n">
        <v>4</v>
      </c>
      <c r="J70" s="36" t="inlineStr">
        <is>
          <t>https://instasure.ca/tenant-insurance/manitoba/</t>
        </is>
      </c>
      <c r="K70" s="36">
        <f>IF(J70="","No","Yes")</f>
        <v/>
      </c>
      <c r="L70" s="39">
        <f>IF(J70="","",IFERROR(IF(ISNUMBER(SEARCH(A70,INDEX(Pages!$J$2:$J$829,MATCH(J70,Pages!$B$2:$B$829,0)))),"Yes","No"),"Page not found"))</f>
        <v/>
      </c>
      <c r="M70" s="25" t="inlineStr">
        <is>
          <t>(none seen)</t>
        </is>
      </c>
      <c r="N70" s="25" t="n"/>
      <c r="O70" s="40" t="n"/>
      <c r="P70" s="38" t="n"/>
      <c r="Q70" s="38" t="n"/>
    </row>
    <row r="71" ht="15" customHeight="1" s="22">
      <c r="A71" s="36" t="inlineStr">
        <is>
          <t>mortgage life insurance ontario</t>
        </is>
      </c>
      <c r="B71" s="36" t="inlineStr">
        <is>
          <t>Mortgage protection</t>
        </is>
      </c>
      <c r="C71" s="36" t="inlineStr">
        <is>
          <t>Mortgage Life Insurance</t>
        </is>
      </c>
      <c r="D71" s="36" t="inlineStr">
        <is>
          <t>Ontario</t>
        </is>
      </c>
      <c r="E71" s="37" t="n">
        <v>170</v>
      </c>
      <c r="F71" s="36" t="n">
        <v>37</v>
      </c>
      <c r="G71" s="36" t="inlineStr">
        <is>
          <t>commercial</t>
        </is>
      </c>
      <c r="H71" s="36" t="inlineStr">
        <is>
          <t>life-mortgage</t>
        </is>
      </c>
      <c r="I71" s="36" t="n">
        <v>2</v>
      </c>
      <c r="J71" s="36" t="inlineStr">
        <is>
          <t>https://instasure.ca/mortgage-life-insurance/ontario/</t>
        </is>
      </c>
      <c r="K71" s="36">
        <f>IF(J71="","No","Yes")</f>
        <v/>
      </c>
      <c r="L71" s="39">
        <f>IF(J71="","",IFERROR(IF(ISNUMBER(SEARCH(A71,INDEX(Pages!$J$2:$J$829,MATCH(J71,Pages!$B$2:$B$829,0)))),"Yes","No"),"Page not found"))</f>
        <v/>
      </c>
      <c r="M71" s="25" t="inlineStr">
        <is>
          <t>(none seen)</t>
        </is>
      </c>
      <c r="N71" s="25" t="n"/>
      <c r="O71" s="40" t="n"/>
      <c r="P71" s="38" t="n"/>
      <c r="Q71" s="38" t="n"/>
    </row>
    <row r="72" ht="15" customHeight="1" s="22">
      <c r="A72" s="36" t="inlineStr">
        <is>
          <t>super visa insurance alberta</t>
        </is>
      </c>
      <c r="B72" s="36" t="inlineStr">
        <is>
          <t>Super Visa &amp; visitors insurance</t>
        </is>
      </c>
      <c r="C72" s="36" t="inlineStr">
        <is>
          <t>Super Visa Insurance</t>
        </is>
      </c>
      <c r="D72" s="36" t="inlineStr">
        <is>
          <t>Alberta</t>
        </is>
      </c>
      <c r="E72" s="37" t="n">
        <v>170</v>
      </c>
      <c r="F72" s="36" t="n">
        <v>34</v>
      </c>
      <c r="G72" s="36" t="inlineStr">
        <is>
          <t>commercial</t>
        </is>
      </c>
      <c r="H72" s="36" t="inlineStr">
        <is>
          <t>travel-visitors</t>
        </is>
      </c>
      <c r="I72" s="36" t="n">
        <v>3</v>
      </c>
      <c r="J72" s="36" t="inlineStr">
        <is>
          <t>https://instasure.ca/super-visa-insurance/alberta/</t>
        </is>
      </c>
      <c r="K72" s="36">
        <f>IF(J72="","No","Yes")</f>
        <v/>
      </c>
      <c r="L72" s="39">
        <f>IF(J72="","",IFERROR(IF(ISNUMBER(SEARCH(A72,INDEX(Pages!$J$2:$J$829,MATCH(J72,Pages!$B$2:$B$829,0)))),"Yes","No"),"Page not found"))</f>
        <v/>
      </c>
      <c r="M72" s="25" t="inlineStr">
        <is>
          <t>(none seen)</t>
        </is>
      </c>
      <c r="N72" s="25" t="inlineStr">
        <is>
          <t>Province page targets super visa buyers sponsoring parents locally.</t>
        </is>
      </c>
      <c r="O72" s="40" t="n"/>
      <c r="P72" s="38" t="n"/>
      <c r="Q72" s="38" t="n"/>
    </row>
    <row r="73" ht="15" customHeight="1" s="22">
      <c r="A73" s="36" t="inlineStr">
        <is>
          <t>life insurance quebec</t>
        </is>
      </c>
      <c r="B73" s="36" t="inlineStr">
        <is>
          <t>Life insurance</t>
        </is>
      </c>
      <c r="C73" s="36" t="inlineStr">
        <is>
          <t>Life Insurance</t>
        </is>
      </c>
      <c r="D73" s="36" t="inlineStr">
        <is>
          <t>Quebec</t>
        </is>
      </c>
      <c r="E73" s="37" t="n">
        <v>160</v>
      </c>
      <c r="F73" s="36" t="n">
        <v>44</v>
      </c>
      <c r="G73" s="36" t="inlineStr">
        <is>
          <t>commercial</t>
        </is>
      </c>
      <c r="H73" s="36" t="inlineStr">
        <is>
          <t>life-province</t>
        </is>
      </c>
      <c r="I73" s="36" t="n">
        <v>3</v>
      </c>
      <c r="J73" s="36" t="inlineStr">
        <is>
          <t>https://instasure.ca/life-insurance/quebec/</t>
        </is>
      </c>
      <c r="K73" s="36">
        <f>IF(J73="","No","Yes")</f>
        <v/>
      </c>
      <c r="L73" s="39">
        <f>IF(J73="","",IFERROR(IF(ISNUMBER(SEARCH(A73,INDEX(Pages!$J$2:$J$829,MATCH(J73,Pages!$B$2:$B$829,0)))),"Yes","No"),"Page not found"))</f>
        <v/>
      </c>
      <c r="M73" s="25" t="inlineStr">
        <is>
          <t>(none seen)</t>
        </is>
      </c>
      <c r="N73" s="25" t="inlineStr">
        <is>
          <t>Quebec waitlist until AMF registration; English phrase only (French terms listed separately).</t>
        </is>
      </c>
      <c r="O73" s="40" t="n"/>
      <c r="P73" s="38" t="n"/>
      <c r="Q73" s="38" t="n"/>
    </row>
    <row r="74" ht="15" customHeight="1" s="22">
      <c r="A74" s="36" t="inlineStr">
        <is>
          <t>group benefits ontario</t>
        </is>
      </c>
      <c r="B74" s="36" t="inlineStr">
        <is>
          <t>Group benefits</t>
        </is>
      </c>
      <c r="C74" s="36" t="inlineStr">
        <is>
          <t>Group Benefits</t>
        </is>
      </c>
      <c r="D74" s="36" t="inlineStr">
        <is>
          <t>Ontario</t>
        </is>
      </c>
      <c r="E74" s="37" t="n">
        <v>150</v>
      </c>
      <c r="F74" s="36" t="n">
        <v>37</v>
      </c>
      <c r="G74" s="36" t="inlineStr">
        <is>
          <t>commercial</t>
        </is>
      </c>
      <c r="H74" s="36" t="inlineStr">
        <is>
          <t>business-benefits</t>
        </is>
      </c>
      <c r="I74" s="36" t="n">
        <v>1</v>
      </c>
      <c r="J74" s="36" t="inlineStr">
        <is>
          <t>https://instasure.ca/group-benefits/ontario/</t>
        </is>
      </c>
      <c r="K74" s="36">
        <f>IF(J74="","No","Yes")</f>
        <v/>
      </c>
      <c r="L74" s="39">
        <f>IF(J74="","",IFERROR(IF(ISNUMBER(SEARCH(A74,INDEX(Pages!$J$2:$J$829,MATCH(J74,Pages!$B$2:$B$829,0)))),"Yes","No"),"Page not found"))</f>
        <v/>
      </c>
      <c r="M74" s="25" t="inlineStr">
        <is>
          <t>(none seen)</t>
        </is>
      </c>
      <c r="N74" s="25" t="n"/>
      <c r="O74" s="40" t="n"/>
      <c r="P74" s="38" t="n"/>
      <c r="Q74" s="38" t="n"/>
    </row>
    <row r="75" ht="15" customHeight="1" s="22">
      <c r="A75" s="36" t="inlineStr">
        <is>
          <t>tenant insurance saskatchewan</t>
        </is>
      </c>
      <c r="B75" s="36" t="inlineStr">
        <is>
          <t>Tenant insurance</t>
        </is>
      </c>
      <c r="C75" s="36" t="inlineStr">
        <is>
          <t>Tenant Insurance</t>
        </is>
      </c>
      <c r="D75" s="36" t="inlineStr">
        <is>
          <t>Saskatchewan</t>
        </is>
      </c>
      <c r="E75" s="37" t="n">
        <v>150</v>
      </c>
      <c r="F75" s="36" t="n">
        <v>32</v>
      </c>
      <c r="G75" s="36" t="inlineStr">
        <is>
          <t>commercial</t>
        </is>
      </c>
      <c r="H75" s="36" t="inlineStr">
        <is>
          <t>property-province</t>
        </is>
      </c>
      <c r="I75" s="36" t="n">
        <v>4</v>
      </c>
      <c r="J75" s="36" t="inlineStr">
        <is>
          <t>https://instasure.ca/tenant-insurance/saskatchewan/</t>
        </is>
      </c>
      <c r="K75" s="36">
        <f>IF(J75="","No","Yes")</f>
        <v/>
      </c>
      <c r="L75" s="39">
        <f>IF(J75="","",IFERROR(IF(ISNUMBER(SEARCH(A75,INDEX(Pages!$J$2:$J$829,MATCH(J75,Pages!$B$2:$B$829,0)))),"Yes","No"),"Page not found"))</f>
        <v/>
      </c>
      <c r="M75" s="25" t="inlineStr">
        <is>
          <t>(none seen)</t>
        </is>
      </c>
      <c r="N75" s="25" t="n"/>
      <c r="O75" s="40" t="n"/>
      <c r="P75" s="38" t="n"/>
      <c r="Q75" s="38" t="n"/>
    </row>
    <row r="76" ht="15" customHeight="1" s="22">
      <c r="A76" s="36" t="inlineStr">
        <is>
          <t>assurance habitation nouveau-brunswick</t>
        </is>
      </c>
      <c r="B76" s="36" t="inlineStr">
        <is>
          <t>Home insurance</t>
        </is>
      </c>
      <c r="C76" s="36" t="inlineStr">
        <is>
          <t>Home Insurance</t>
        </is>
      </c>
      <c r="D76" s="36" t="inlineStr">
        <is>
          <t>New Brunswick</t>
        </is>
      </c>
      <c r="E76" s="37" t="n">
        <v>140</v>
      </c>
      <c r="F76" s="36" t="n">
        <v>20</v>
      </c>
      <c r="G76" s="36" t="inlineStr">
        <is>
          <t>commercial</t>
        </is>
      </c>
      <c r="H76" s="36" t="inlineStr">
        <is>
          <t>fr-quebec</t>
        </is>
      </c>
      <c r="I76" s="36" t="n">
        <v>4</v>
      </c>
      <c r="J76" s="36" t="n"/>
      <c r="K76" s="36">
        <f>IF(J76="","No","Yes")</f>
        <v/>
      </c>
      <c r="L76" s="39">
        <f>IF(J76="","",IFERROR(IF(ISNUMBER(SEARCH(A76,INDEX(Pages!$J$2:$J$829,MATCH(J76,Pages!$B$2:$B$829,0)))),"Yes","No"),"Page not found"))</f>
        <v/>
      </c>
      <c r="M76" s="25" t="inlineStr">
        <is>
          <t>sonnet</t>
        </is>
      </c>
      <c r="N76" s="25" t="inlineStr">
        <is>
          <t>French pages for New Brunswick francophones.</t>
        </is>
      </c>
      <c r="O76" s="40" t="n"/>
      <c r="P76" s="38" t="n"/>
      <c r="Q76" s="38" t="n"/>
    </row>
    <row r="77" ht="15" customHeight="1" s="22">
      <c r="A77" s="36" t="inlineStr">
        <is>
          <t>health insurance manitoba</t>
        </is>
      </c>
      <c r="B77" s="36" t="inlineStr">
        <is>
          <t>Health &amp; dental insurance</t>
        </is>
      </c>
      <c r="C77" s="36" t="inlineStr">
        <is>
          <t>Health &amp; Dental Insurance</t>
        </is>
      </c>
      <c r="D77" s="36" t="inlineStr">
        <is>
          <t>Manitoba</t>
        </is>
      </c>
      <c r="E77" s="37" t="n">
        <v>140</v>
      </c>
      <c r="F77" s="36" t="n">
        <v>39</v>
      </c>
      <c r="G77" s="36" t="inlineStr">
        <is>
          <t>commercial</t>
        </is>
      </c>
      <c r="H77" s="36" t="inlineStr">
        <is>
          <t>health-province</t>
        </is>
      </c>
      <c r="I77" s="36" t="n">
        <v>3</v>
      </c>
      <c r="J77" s="36" t="inlineStr">
        <is>
          <t>https://instasure.ca/health-dental-insurance/manitoba/</t>
        </is>
      </c>
      <c r="K77" s="36">
        <f>IF(J77="","No","Yes")</f>
        <v/>
      </c>
      <c r="L77" s="39">
        <f>IF(J77="","",IFERROR(IF(ISNUMBER(SEARCH(A77,INDEX(Pages!$J$2:$J$829,MATCH(J77,Pages!$B$2:$B$829,0)))),"Yes","No"),"Page not found"))</f>
        <v/>
      </c>
      <c r="M77" s="25" t="inlineStr">
        <is>
          <t>(none seen)</t>
        </is>
      </c>
      <c r="N77" s="25" t="n"/>
      <c r="O77" s="40" t="n"/>
      <c r="P77" s="38" t="n"/>
      <c r="Q77" s="38" t="n"/>
    </row>
    <row r="78" ht="15" customHeight="1" s="22">
      <c r="A78" s="36" t="inlineStr">
        <is>
          <t>business insurance manitoba</t>
        </is>
      </c>
      <c r="B78" s="36" t="inlineStr">
        <is>
          <t>Business insurance</t>
        </is>
      </c>
      <c r="C78" s="36" t="inlineStr">
        <is>
          <t>Business Insurance</t>
        </is>
      </c>
      <c r="D78" s="36" t="inlineStr">
        <is>
          <t>Manitoba</t>
        </is>
      </c>
      <c r="E78" s="37" t="n">
        <v>130</v>
      </c>
      <c r="F78" s="36" t="n">
        <v>34</v>
      </c>
      <c r="G78" s="36" t="inlineStr">
        <is>
          <t>commercial</t>
        </is>
      </c>
      <c r="H78" s="36" t="inlineStr">
        <is>
          <t>business-province</t>
        </is>
      </c>
      <c r="I78" s="36" t="n">
        <v>2</v>
      </c>
      <c r="J78" s="36" t="inlineStr">
        <is>
          <t>https://instasure.ca/business-insurance/manitoba/</t>
        </is>
      </c>
      <c r="K78" s="36">
        <f>IF(J78="","No","Yes")</f>
        <v/>
      </c>
      <c r="L78" s="39">
        <f>IF(J78="","",IFERROR(IF(ISNUMBER(SEARCH(A78,INDEX(Pages!$J$2:$J$829,MATCH(J78,Pages!$B$2:$B$829,0)))),"Yes","No"),"Page not found"))</f>
        <v/>
      </c>
      <c r="M78" s="25" t="inlineStr">
        <is>
          <t>(none seen)</t>
        </is>
      </c>
      <c r="N78" s="25" t="n"/>
      <c r="O78" s="40" t="n"/>
      <c r="P78" s="38" t="n"/>
      <c r="Q78" s="38" t="n"/>
    </row>
    <row r="79" ht="15" customHeight="1" s="22">
      <c r="A79" s="36" t="inlineStr">
        <is>
          <t>condo insurance quebec</t>
        </is>
      </c>
      <c r="B79" s="36" t="inlineStr">
        <is>
          <t>Condo insurance</t>
        </is>
      </c>
      <c r="C79" s="36" t="inlineStr">
        <is>
          <t>Condo Insurance</t>
        </is>
      </c>
      <c r="D79" s="36" t="inlineStr">
        <is>
          <t>Quebec</t>
        </is>
      </c>
      <c r="E79" s="37" t="n">
        <v>130</v>
      </c>
      <c r="F79" s="36" t="n">
        <v>43</v>
      </c>
      <c r="G79" s="36" t="inlineStr">
        <is>
          <t>commercial</t>
        </is>
      </c>
      <c r="H79" s="36" t="inlineStr">
        <is>
          <t>property-province</t>
        </is>
      </c>
      <c r="I79" s="36" t="n">
        <v>5</v>
      </c>
      <c r="J79" s="36" t="inlineStr">
        <is>
          <t>https://instasure.ca/condo-insurance/quebec/</t>
        </is>
      </c>
      <c r="K79" s="36">
        <f>IF(J79="","No","Yes")</f>
        <v/>
      </c>
      <c r="L79" s="39">
        <f>IF(J79="","",IFERROR(IF(ISNUMBER(SEARCH(A79,INDEX(Pages!$J$2:$J$829,MATCH(J79,Pages!$B$2:$B$829,0)))),"Yes","No"),"Page not found"))</f>
        <v/>
      </c>
      <c r="M79" s="25" t="inlineStr">
        <is>
          <t>sonnet</t>
        </is>
      </c>
      <c r="N79" s="25" t="inlineStr">
        <is>
          <t>Quebec waitlist until AMF registration; English phrase only (French terms listed separately).</t>
        </is>
      </c>
      <c r="O79" s="40" t="n"/>
      <c r="P79" s="38" t="n"/>
      <c r="Q79" s="38" t="n"/>
    </row>
    <row r="80" ht="15" customHeight="1" s="22">
      <c r="A80" s="36" t="inlineStr">
        <is>
          <t>home insurance newfoundland</t>
        </is>
      </c>
      <c r="B80" s="36" t="inlineStr">
        <is>
          <t>Home insurance</t>
        </is>
      </c>
      <c r="C80" s="36" t="inlineStr">
        <is>
          <t>Home Insurance</t>
        </is>
      </c>
      <c r="D80" s="36" t="inlineStr">
        <is>
          <t>Newfoundland and Labrador</t>
        </is>
      </c>
      <c r="E80" s="37" t="n">
        <v>130</v>
      </c>
      <c r="F80" s="36" t="n">
        <v>39</v>
      </c>
      <c r="G80" s="36" t="inlineStr">
        <is>
          <t>commercial</t>
        </is>
      </c>
      <c r="H80" s="36" t="inlineStr">
        <is>
          <t>property-province</t>
        </is>
      </c>
      <c r="I80" s="36" t="n">
        <v>3</v>
      </c>
      <c r="J80" s="36" t="inlineStr">
        <is>
          <t>https://instasure.ca/home-insurance/newfoundland-and-labrador/</t>
        </is>
      </c>
      <c r="K80" s="36">
        <f>IF(J80="","No","Yes")</f>
        <v/>
      </c>
      <c r="L80" s="39">
        <f>IF(J80="","",IFERROR(IF(ISNUMBER(SEARCH(A80,INDEX(Pages!$J$2:$J$829,MATCH(J80,Pages!$B$2:$B$829,0)))),"Yes","No"),"Page not found"))</f>
        <v/>
      </c>
      <c r="M80" s="25" t="inlineStr">
        <is>
          <t>(none seen)</t>
        </is>
      </c>
      <c r="N80" s="25" t="n"/>
      <c r="O80" s="40" t="n"/>
      <c r="P80" s="38" t="n"/>
      <c r="Q80" s="38" t="n"/>
    </row>
    <row r="81" ht="15" customHeight="1" s="22">
      <c r="A81" s="36" t="inlineStr">
        <is>
          <t>tenant insurance nova scotia</t>
        </is>
      </c>
      <c r="B81" s="36" t="inlineStr">
        <is>
          <t>Tenant insurance</t>
        </is>
      </c>
      <c r="C81" s="36" t="inlineStr">
        <is>
          <t>Tenant Insurance</t>
        </is>
      </c>
      <c r="D81" s="36" t="inlineStr">
        <is>
          <t>Nova Scotia</t>
        </is>
      </c>
      <c r="E81" s="37" t="n">
        <v>130</v>
      </c>
      <c r="F81" s="36" t="n">
        <v>36</v>
      </c>
      <c r="G81" s="36" t="inlineStr">
        <is>
          <t>commercial</t>
        </is>
      </c>
      <c r="H81" s="36" t="inlineStr">
        <is>
          <t>property-province</t>
        </is>
      </c>
      <c r="I81" s="36" t="n">
        <v>5</v>
      </c>
      <c r="J81" s="36" t="inlineStr">
        <is>
          <t>https://instasure.ca/tenant-insurance/nova-scotia/</t>
        </is>
      </c>
      <c r="K81" s="36">
        <f>IF(J81="","No","Yes")</f>
        <v/>
      </c>
      <c r="L81" s="39">
        <f>IF(J81="","",IFERROR(IF(ISNUMBER(SEARCH(A81,INDEX(Pages!$J$2:$J$829,MATCH(J81,Pages!$B$2:$B$829,0)))),"Yes","No"),"Page not found"))</f>
        <v/>
      </c>
      <c r="M81" s="25" t="inlineStr">
        <is>
          <t>ratehub</t>
        </is>
      </c>
      <c r="N81" s="25" t="n"/>
      <c r="O81" s="40" t="n"/>
      <c r="P81" s="38" t="n"/>
      <c r="Q81" s="38" t="n"/>
    </row>
    <row r="82" ht="15" customHeight="1" s="22">
      <c r="A82" s="36" t="inlineStr">
        <is>
          <t>health insurance saskatchewan</t>
        </is>
      </c>
      <c r="B82" s="36" t="inlineStr">
        <is>
          <t>Health &amp; dental insurance</t>
        </is>
      </c>
      <c r="C82" s="36" t="inlineStr">
        <is>
          <t>Health &amp; Dental Insurance</t>
        </is>
      </c>
      <c r="D82" s="36" t="inlineStr">
        <is>
          <t>Saskatchewan</t>
        </is>
      </c>
      <c r="E82" s="37" t="n">
        <v>120</v>
      </c>
      <c r="F82" s="36" t="n">
        <v>39</v>
      </c>
      <c r="G82" s="36" t="inlineStr">
        <is>
          <t>commercial</t>
        </is>
      </c>
      <c r="H82" s="36" t="inlineStr">
        <is>
          <t>health-province</t>
        </is>
      </c>
      <c r="I82" s="36" t="n">
        <v>3</v>
      </c>
      <c r="J82" s="36" t="inlineStr">
        <is>
          <t>https://instasure.ca/health-dental-insurance/saskatchewan/</t>
        </is>
      </c>
      <c r="K82" s="36">
        <f>IF(J82="","No","Yes")</f>
        <v/>
      </c>
      <c r="L82" s="39">
        <f>IF(J82="","",IFERROR(IF(ISNUMBER(SEARCH(A82,INDEX(Pages!$J$2:$J$829,MATCH(J82,Pages!$B$2:$B$829,0)))),"Yes","No"),"Page not found"))</f>
        <v/>
      </c>
      <c r="M82" s="25" t="inlineStr">
        <is>
          <t>(none seen)</t>
        </is>
      </c>
      <c r="N82" s="25" t="n"/>
      <c r="O82" s="40" t="n"/>
      <c r="P82" s="38" t="n"/>
      <c r="Q82" s="38" t="n"/>
    </row>
    <row r="83" ht="15" customHeight="1" s="22">
      <c r="A83" s="36" t="inlineStr">
        <is>
          <t>business insurance saskatchewan</t>
        </is>
      </c>
      <c r="B83" s="36" t="inlineStr">
        <is>
          <t>Business insurance</t>
        </is>
      </c>
      <c r="C83" s="36" t="inlineStr">
        <is>
          <t>Business Insurance</t>
        </is>
      </c>
      <c r="D83" s="36" t="inlineStr">
        <is>
          <t>Saskatchewan</t>
        </is>
      </c>
      <c r="E83" s="37" t="n">
        <v>110</v>
      </c>
      <c r="F83" s="36" t="n">
        <v>34</v>
      </c>
      <c r="G83" s="36" t="inlineStr">
        <is>
          <t>commercial</t>
        </is>
      </c>
      <c r="H83" s="36" t="inlineStr">
        <is>
          <t>business-province</t>
        </is>
      </c>
      <c r="I83" s="36" t="n">
        <v>2</v>
      </c>
      <c r="J83" s="36" t="inlineStr">
        <is>
          <t>https://instasure.ca/business-insurance/saskatchewan/</t>
        </is>
      </c>
      <c r="K83" s="36">
        <f>IF(J83="","No","Yes")</f>
        <v/>
      </c>
      <c r="L83" s="39">
        <f>IF(J83="","",IFERROR(IF(ISNUMBER(SEARCH(A83,INDEX(Pages!$J$2:$J$829,MATCH(J83,Pages!$B$2:$B$829,0)))),"Yes","No"),"Page not found"))</f>
        <v/>
      </c>
      <c r="M83" s="25" t="inlineStr">
        <is>
          <t>(none seen)</t>
        </is>
      </c>
      <c r="N83" s="25" t="n"/>
      <c r="O83" s="40" t="n"/>
      <c r="P83" s="38" t="n"/>
      <c r="Q83" s="38" t="n"/>
    </row>
    <row r="84" ht="15" customHeight="1" s="22">
      <c r="A84" s="36" t="inlineStr">
        <is>
          <t>health insurance nova scotia</t>
        </is>
      </c>
      <c r="B84" s="36" t="inlineStr">
        <is>
          <t>Health &amp; dental insurance</t>
        </is>
      </c>
      <c r="C84" s="36" t="inlineStr">
        <is>
          <t>Health &amp; Dental Insurance</t>
        </is>
      </c>
      <c r="D84" s="36" t="inlineStr">
        <is>
          <t>Nova Scotia</t>
        </is>
      </c>
      <c r="E84" s="37" t="n">
        <v>110</v>
      </c>
      <c r="F84" s="36" t="n">
        <v>39</v>
      </c>
      <c r="G84" s="36" t="inlineStr">
        <is>
          <t>commercial</t>
        </is>
      </c>
      <c r="H84" s="36" t="inlineStr">
        <is>
          <t>health-province</t>
        </is>
      </c>
      <c r="I84" s="36" t="n">
        <v>3</v>
      </c>
      <c r="J84" s="36" t="inlineStr">
        <is>
          <t>https://instasure.ca/health-dental-insurance/nova-scotia/</t>
        </is>
      </c>
      <c r="K84" s="36">
        <f>IF(J84="","No","Yes")</f>
        <v/>
      </c>
      <c r="L84" s="39">
        <f>IF(J84="","",IFERROR(IF(ISNUMBER(SEARCH(A84,INDEX(Pages!$J$2:$J$829,MATCH(J84,Pages!$B$2:$B$829,0)))),"Yes","No"),"Page not found"))</f>
        <v/>
      </c>
      <c r="M84" s="25" t="inlineStr">
        <is>
          <t>(none seen)</t>
        </is>
      </c>
      <c r="N84" s="25" t="n"/>
      <c r="O84" s="40" t="n"/>
      <c r="P84" s="38" t="n"/>
      <c r="Q84" s="38" t="n"/>
    </row>
    <row r="85" ht="15" customHeight="1" s="22">
      <c r="A85" s="36" t="inlineStr">
        <is>
          <t>tenant insurance new brunswick</t>
        </is>
      </c>
      <c r="B85" s="36" t="inlineStr">
        <is>
          <t>Tenant insurance</t>
        </is>
      </c>
      <c r="C85" s="36" t="inlineStr">
        <is>
          <t>Tenant Insurance</t>
        </is>
      </c>
      <c r="D85" s="36" t="inlineStr">
        <is>
          <t>New Brunswick</t>
        </is>
      </c>
      <c r="E85" s="37" t="n">
        <v>110</v>
      </c>
      <c r="F85" s="36" t="n">
        <v>36</v>
      </c>
      <c r="G85" s="36" t="inlineStr">
        <is>
          <t>commercial</t>
        </is>
      </c>
      <c r="H85" s="36" t="inlineStr">
        <is>
          <t>property-province</t>
        </is>
      </c>
      <c r="I85" s="36" t="n">
        <v>5</v>
      </c>
      <c r="J85" s="36" t="inlineStr">
        <is>
          <t>https://instasure.ca/tenant-insurance/new-brunswick/</t>
        </is>
      </c>
      <c r="K85" s="36">
        <f>IF(J85="","No","Yes")</f>
        <v/>
      </c>
      <c r="L85" s="39">
        <f>IF(J85="","",IFERROR(IF(ISNUMBER(SEARCH(A85,INDEX(Pages!$J$2:$J$829,MATCH(J85,Pages!$B$2:$B$829,0)))),"Yes","No"),"Page not found"))</f>
        <v/>
      </c>
      <c r="M85" s="25" t="inlineStr">
        <is>
          <t>sonnet</t>
        </is>
      </c>
      <c r="N85" s="25" t="n"/>
      <c r="O85" s="40" t="n"/>
      <c r="P85" s="38" t="n"/>
      <c r="Q85" s="38" t="n"/>
    </row>
    <row r="86" ht="15" customHeight="1" s="22">
      <c r="A86" s="36" t="inlineStr">
        <is>
          <t>life insurance manitoba</t>
        </is>
      </c>
      <c r="B86" s="36" t="inlineStr">
        <is>
          <t>Life insurance</t>
        </is>
      </c>
      <c r="C86" s="36" t="inlineStr">
        <is>
          <t>Life Insurance</t>
        </is>
      </c>
      <c r="D86" s="36" t="inlineStr">
        <is>
          <t>Manitoba</t>
        </is>
      </c>
      <c r="E86" s="37" t="n">
        <v>98</v>
      </c>
      <c r="F86" s="36" t="n">
        <v>38</v>
      </c>
      <c r="G86" s="36" t="inlineStr">
        <is>
          <t>commercial</t>
        </is>
      </c>
      <c r="H86" s="36" t="inlineStr">
        <is>
          <t>life-province</t>
        </is>
      </c>
      <c r="I86" s="36" t="n">
        <v>2</v>
      </c>
      <c r="J86" s="36" t="inlineStr">
        <is>
          <t>https://instasure.ca/life-insurance/manitoba/</t>
        </is>
      </c>
      <c r="K86" s="36">
        <f>IF(J86="","No","Yes")</f>
        <v/>
      </c>
      <c r="L86" s="39">
        <f>IF(J86="","",IFERROR(IF(ISNUMBER(SEARCH(A86,INDEX(Pages!$J$2:$J$829,MATCH(J86,Pages!$B$2:$B$829,0)))),"Yes","No"),"Page not found"))</f>
        <v/>
      </c>
      <c r="M86" s="25" t="inlineStr">
        <is>
          <t>policyadvisor</t>
        </is>
      </c>
      <c r="N86" s="25" t="n"/>
      <c r="O86" s="40" t="n"/>
      <c r="P86" s="38" t="n"/>
      <c r="Q86" s="38" t="n"/>
    </row>
    <row r="87" ht="15" customHeight="1" s="22">
      <c r="A87" s="36" t="inlineStr">
        <is>
          <t>business insurance nova scotia</t>
        </is>
      </c>
      <c r="B87" s="36" t="inlineStr">
        <is>
          <t>Business insurance</t>
        </is>
      </c>
      <c r="C87" s="36" t="inlineStr">
        <is>
          <t>Business Insurance</t>
        </is>
      </c>
      <c r="D87" s="36" t="inlineStr">
        <is>
          <t>Nova Scotia</t>
        </is>
      </c>
      <c r="E87" s="37" t="n">
        <v>97</v>
      </c>
      <c r="F87" s="36" t="n">
        <v>34</v>
      </c>
      <c r="G87" s="36" t="inlineStr">
        <is>
          <t>commercial</t>
        </is>
      </c>
      <c r="H87" s="36" t="inlineStr">
        <is>
          <t>business-province</t>
        </is>
      </c>
      <c r="I87" s="36" t="n">
        <v>2</v>
      </c>
      <c r="J87" s="36" t="inlineStr">
        <is>
          <t>https://instasure.ca/business-insurance/nova-scotia/</t>
        </is>
      </c>
      <c r="K87" s="36">
        <f>IF(J87="","No","Yes")</f>
        <v/>
      </c>
      <c r="L87" s="39">
        <f>IF(J87="","",IFERROR(IF(ISNUMBER(SEARCH(A87,INDEX(Pages!$J$2:$J$829,MATCH(J87,Pages!$B$2:$B$829,0)))),"Yes","No"),"Page not found"))</f>
        <v/>
      </c>
      <c r="M87" s="25" t="inlineStr">
        <is>
          <t>(none seen)</t>
        </is>
      </c>
      <c r="N87" s="25" t="n"/>
      <c r="O87" s="40" t="n"/>
      <c r="P87" s="38" t="n"/>
      <c r="Q87" s="38" t="n"/>
    </row>
    <row r="88" ht="23.85" customHeight="1" s="22">
      <c r="A88" s="36" t="inlineStr">
        <is>
          <t>super visa insurance quebec</t>
        </is>
      </c>
      <c r="B88" s="36" t="inlineStr">
        <is>
          <t>Super Visa &amp; visitors insurance</t>
        </is>
      </c>
      <c r="C88" s="36" t="inlineStr">
        <is>
          <t>Super Visa Insurance</t>
        </is>
      </c>
      <c r="D88" s="36" t="inlineStr">
        <is>
          <t>Quebec</t>
        </is>
      </c>
      <c r="E88" s="37" t="n">
        <v>96</v>
      </c>
      <c r="F88" s="36" t="n">
        <v>34</v>
      </c>
      <c r="G88" s="36" t="inlineStr">
        <is>
          <t>commercial</t>
        </is>
      </c>
      <c r="H88" s="36" t="inlineStr">
        <is>
          <t>travel-visitors</t>
        </is>
      </c>
      <c r="I88" s="36" t="n">
        <v>5</v>
      </c>
      <c r="J88" s="36" t="inlineStr">
        <is>
          <t>https://instasure.ca/super-visa-insurance/quebec/</t>
        </is>
      </c>
      <c r="K88" s="36">
        <f>IF(J88="","No","Yes")</f>
        <v/>
      </c>
      <c r="L88" s="39">
        <f>IF(J88="","",IFERROR(IF(ISNUMBER(SEARCH(A88,INDEX(Pages!$J$2:$J$829,MATCH(J88,Pages!$B$2:$B$829,0)))),"Yes","No"),"Page not found"))</f>
        <v/>
      </c>
      <c r="M88" s="25" t="inlineStr">
        <is>
          <t>(none seen)</t>
        </is>
      </c>
      <c r="N88" s="25" t="inlineStr">
        <is>
          <t>Quebec waitlist until AMF registration; English phrase only (French terms listed separately). Province page targets super visa buyers sponsoring parents locally.</t>
        </is>
      </c>
      <c r="O88" s="40" t="n"/>
      <c r="P88" s="38" t="n"/>
      <c r="Q88" s="38" t="n"/>
    </row>
    <row r="89" ht="15" customHeight="1" s="22">
      <c r="A89" s="36" t="inlineStr">
        <is>
          <t>disability insurance bc</t>
        </is>
      </c>
      <c r="B89" s="36" t="inlineStr">
        <is>
          <t>Disability insurance</t>
        </is>
      </c>
      <c r="C89" s="36" t="inlineStr">
        <is>
          <t>Disability Insurance</t>
        </is>
      </c>
      <c r="D89" s="36" t="inlineStr">
        <is>
          <t>British Columbia</t>
        </is>
      </c>
      <c r="E89" s="37" t="n">
        <v>94</v>
      </c>
      <c r="F89" s="36" t="n">
        <v>32</v>
      </c>
      <c r="G89" s="36" t="inlineStr">
        <is>
          <t>commercial</t>
        </is>
      </c>
      <c r="H89" s="36" t="inlineStr">
        <is>
          <t>living-benefits</t>
        </is>
      </c>
      <c r="I89" s="36" t="n">
        <v>2</v>
      </c>
      <c r="J89" s="36" t="inlineStr">
        <is>
          <t>https://instasure.ca/disability-insurance/british-columbia/</t>
        </is>
      </c>
      <c r="K89" s="36">
        <f>IF(J89="","No","Yes")</f>
        <v/>
      </c>
      <c r="L89" s="39">
        <f>IF(J89="","",IFERROR(IF(ISNUMBER(SEARCH(A89,INDEX(Pages!$J$2:$J$829,MATCH(J89,Pages!$B$2:$B$829,0)))),"Yes","No"),"Page not found"))</f>
        <v/>
      </c>
      <c r="M89" s="25" t="inlineStr">
        <is>
          <t>(none seen)</t>
        </is>
      </c>
      <c r="N89" s="25" t="n"/>
      <c r="O89" s="40" t="n"/>
      <c r="P89" s="38" t="n"/>
      <c r="Q89" s="38" t="n"/>
    </row>
    <row r="90" ht="15" customHeight="1" s="22">
      <c r="A90" s="36" t="inlineStr">
        <is>
          <t>health insurance new brunswick</t>
        </is>
      </c>
      <c r="B90" s="36" t="inlineStr">
        <is>
          <t>Health &amp; dental insurance</t>
        </is>
      </c>
      <c r="C90" s="36" t="inlineStr">
        <is>
          <t>Health &amp; Dental Insurance</t>
        </is>
      </c>
      <c r="D90" s="36" t="inlineStr">
        <is>
          <t>New Brunswick</t>
        </is>
      </c>
      <c r="E90" s="37" t="n">
        <v>88</v>
      </c>
      <c r="F90" s="36" t="n">
        <v>39</v>
      </c>
      <c r="G90" s="36" t="inlineStr">
        <is>
          <t>commercial</t>
        </is>
      </c>
      <c r="H90" s="36" t="inlineStr">
        <is>
          <t>health-province</t>
        </is>
      </c>
      <c r="I90" s="36" t="n">
        <v>3</v>
      </c>
      <c r="J90" s="36" t="inlineStr">
        <is>
          <t>https://instasure.ca/health-dental-insurance/new-brunswick/</t>
        </is>
      </c>
      <c r="K90" s="36">
        <f>IF(J90="","No","Yes")</f>
        <v/>
      </c>
      <c r="L90" s="39">
        <f>IF(J90="","",IFERROR(IF(ISNUMBER(SEARCH(A90,INDEX(Pages!$J$2:$J$829,MATCH(J90,Pages!$B$2:$B$829,0)))),"Yes","No"),"Page not found"))</f>
        <v/>
      </c>
      <c r="M90" s="25" t="inlineStr">
        <is>
          <t>(none seen)</t>
        </is>
      </c>
      <c r="N90" s="25" t="n"/>
      <c r="O90" s="40" t="n"/>
      <c r="P90" s="38" t="n"/>
      <c r="Q90" s="38" t="n"/>
    </row>
    <row r="91" ht="15" customHeight="1" s="22">
      <c r="A91" s="36" t="inlineStr">
        <is>
          <t>contractor insurance bc</t>
        </is>
      </c>
      <c r="B91" s="36" t="inlineStr">
        <is>
          <t>Contractor &amp; trades insurance</t>
        </is>
      </c>
      <c r="C91" s="36" t="inlineStr">
        <is>
          <t>Contractor Insurance</t>
        </is>
      </c>
      <c r="D91" s="36" t="inlineStr">
        <is>
          <t>British Columbia</t>
        </is>
      </c>
      <c r="E91" s="37" t="n">
        <v>85</v>
      </c>
      <c r="F91" s="36" t="n">
        <v>29</v>
      </c>
      <c r="G91" s="36" t="inlineStr">
        <is>
          <t>commercial</t>
        </is>
      </c>
      <c r="H91" s="36" t="inlineStr">
        <is>
          <t>business-province</t>
        </is>
      </c>
      <c r="I91" s="36" t="n">
        <v>3</v>
      </c>
      <c r="J91" s="36" t="inlineStr">
        <is>
          <t>https://instasure.ca/contractor-insurance/british-columbia/</t>
        </is>
      </c>
      <c r="K91" s="36">
        <f>IF(J91="","No","Yes")</f>
        <v/>
      </c>
      <c r="L91" s="39">
        <f>IF(J91="","",IFERROR(IF(ISNUMBER(SEARCH(A91,INDEX(Pages!$J$2:$J$829,MATCH(J91,Pages!$B$2:$B$829,0)))),"Yes","No"),"Page not found"))</f>
        <v/>
      </c>
      <c r="M91" s="25" t="inlineStr">
        <is>
          <t>(none seen)</t>
        </is>
      </c>
      <c r="N91" s="25" t="n"/>
      <c r="O91" s="40" t="n"/>
      <c r="P91" s="38" t="n"/>
      <c r="Q91" s="38" t="n"/>
    </row>
    <row r="92" ht="15" customHeight="1" s="22">
      <c r="A92" s="36" t="inlineStr">
        <is>
          <t>term life insurance bc</t>
        </is>
      </c>
      <c r="B92" s="36" t="inlineStr">
        <is>
          <t>Life insurance</t>
        </is>
      </c>
      <c r="C92" s="36" t="inlineStr">
        <is>
          <t>Term Life Insurance</t>
        </is>
      </c>
      <c r="D92" s="36" t="inlineStr">
        <is>
          <t>British Columbia</t>
        </is>
      </c>
      <c r="E92" s="37" t="n">
        <v>85</v>
      </c>
      <c r="F92" s="36" t="n">
        <v>38</v>
      </c>
      <c r="G92" s="36" t="inlineStr">
        <is>
          <t>commercial</t>
        </is>
      </c>
      <c r="H92" s="36" t="inlineStr">
        <is>
          <t>life-province</t>
        </is>
      </c>
      <c r="I92" s="36" t="n">
        <v>3</v>
      </c>
      <c r="J92" s="36" t="inlineStr">
        <is>
          <t>https://instasure.ca/term-life-insurance/british-columbia/</t>
        </is>
      </c>
      <c r="K92" s="36">
        <f>IF(J92="","No","Yes")</f>
        <v/>
      </c>
      <c r="L92" s="39">
        <f>IF(J92="","",IFERROR(IF(ISNUMBER(SEARCH(A92,INDEX(Pages!$J$2:$J$829,MATCH(J92,Pages!$B$2:$B$829,0)))),"Yes","No"),"Page not found"))</f>
        <v/>
      </c>
      <c r="M92" s="25" t="inlineStr">
        <is>
          <t>policyadvisor</t>
        </is>
      </c>
      <c r="N92" s="25" t="n"/>
      <c r="O92" s="40" t="n"/>
      <c r="P92" s="38" t="n"/>
      <c r="Q92" s="38" t="n"/>
    </row>
    <row r="93" ht="15" customHeight="1" s="22">
      <c r="A93" s="36" t="inlineStr">
        <is>
          <t>life insurance saskatchewan</t>
        </is>
      </c>
      <c r="B93" s="36" t="inlineStr">
        <is>
          <t>Life insurance</t>
        </is>
      </c>
      <c r="C93" s="36" t="inlineStr">
        <is>
          <t>Life Insurance</t>
        </is>
      </c>
      <c r="D93" s="36" t="inlineStr">
        <is>
          <t>Saskatchewan</t>
        </is>
      </c>
      <c r="E93" s="37" t="n">
        <v>84</v>
      </c>
      <c r="F93" s="36" t="n">
        <v>34</v>
      </c>
      <c r="G93" s="36" t="inlineStr">
        <is>
          <t>commercial</t>
        </is>
      </c>
      <c r="H93" s="36" t="inlineStr">
        <is>
          <t>life-province</t>
        </is>
      </c>
      <c r="I93" s="36" t="n">
        <v>2</v>
      </c>
      <c r="J93" s="36" t="inlineStr">
        <is>
          <t>https://instasure.ca/life-insurance/saskatchewan/</t>
        </is>
      </c>
      <c r="K93" s="36">
        <f>IF(J93="","No","Yes")</f>
        <v/>
      </c>
      <c r="L93" s="39">
        <f>IF(J93="","",IFERROR(IF(ISNUMBER(SEARCH(A93,INDEX(Pages!$J$2:$J$829,MATCH(J93,Pages!$B$2:$B$829,0)))),"Yes","No"),"Page not found"))</f>
        <v/>
      </c>
      <c r="M93" s="25" t="inlineStr">
        <is>
          <t>(none seen)</t>
        </is>
      </c>
      <c r="N93" s="25" t="n"/>
      <c r="O93" s="40" t="n"/>
      <c r="P93" s="38" t="n"/>
      <c r="Q93" s="38" t="n"/>
    </row>
    <row r="94" ht="15" customHeight="1" s="22">
      <c r="A94" s="36" t="inlineStr">
        <is>
          <t>disability insurance alberta</t>
        </is>
      </c>
      <c r="B94" s="36" t="inlineStr">
        <is>
          <t>Disability insurance</t>
        </is>
      </c>
      <c r="C94" s="36" t="inlineStr">
        <is>
          <t>Disability Insurance</t>
        </is>
      </c>
      <c r="D94" s="36" t="inlineStr">
        <is>
          <t>Alberta</t>
        </is>
      </c>
      <c r="E94" s="37" t="n">
        <v>81</v>
      </c>
      <c r="F94" s="36" t="n">
        <v>32</v>
      </c>
      <c r="G94" s="36" t="inlineStr">
        <is>
          <t>commercial</t>
        </is>
      </c>
      <c r="H94" s="36" t="inlineStr">
        <is>
          <t>living-benefits</t>
        </is>
      </c>
      <c r="I94" s="36" t="n">
        <v>2</v>
      </c>
      <c r="J94" s="36" t="inlineStr">
        <is>
          <t>https://instasure.ca/disability-insurance/alberta/</t>
        </is>
      </c>
      <c r="K94" s="36">
        <f>IF(J94="","No","Yes")</f>
        <v/>
      </c>
      <c r="L94" s="39">
        <f>IF(J94="","",IFERROR(IF(ISNUMBER(SEARCH(A94,INDEX(Pages!$J$2:$J$829,MATCH(J94,Pages!$B$2:$B$829,0)))),"Yes","No"),"Page not found"))</f>
        <v/>
      </c>
      <c r="M94" s="25" t="inlineStr">
        <is>
          <t>(none seen)</t>
        </is>
      </c>
      <c r="N94" s="25" t="n"/>
      <c r="O94" s="40" t="n"/>
      <c r="P94" s="38" t="n"/>
      <c r="Q94" s="38" t="n"/>
    </row>
    <row r="95" ht="15" customHeight="1" s="22">
      <c r="A95" s="36" t="inlineStr">
        <is>
          <t>business insurance new brunswick</t>
        </is>
      </c>
      <c r="B95" s="36" t="inlineStr">
        <is>
          <t>Business insurance</t>
        </is>
      </c>
      <c r="C95" s="36" t="inlineStr">
        <is>
          <t>Business Insurance</t>
        </is>
      </c>
      <c r="D95" s="36" t="inlineStr">
        <is>
          <t>New Brunswick</t>
        </is>
      </c>
      <c r="E95" s="37" t="n">
        <v>80</v>
      </c>
      <c r="F95" s="36" t="n">
        <v>34</v>
      </c>
      <c r="G95" s="36" t="inlineStr">
        <is>
          <t>commercial</t>
        </is>
      </c>
      <c r="H95" s="36" t="inlineStr">
        <is>
          <t>business-province</t>
        </is>
      </c>
      <c r="I95" s="36" t="n">
        <v>3</v>
      </c>
      <c r="J95" s="36" t="inlineStr">
        <is>
          <t>https://instasure.ca/business-insurance/new-brunswick/</t>
        </is>
      </c>
      <c r="K95" s="36">
        <f>IF(J95="","No","Yes")</f>
        <v/>
      </c>
      <c r="L95" s="39">
        <f>IF(J95="","",IFERROR(IF(ISNUMBER(SEARCH(A95,INDEX(Pages!$J$2:$J$829,MATCH(J95,Pages!$B$2:$B$829,0)))),"Yes","No"),"Page not found"))</f>
        <v/>
      </c>
      <c r="M95" s="25" t="inlineStr">
        <is>
          <t>(none seen)</t>
        </is>
      </c>
      <c r="N95" s="25" t="n"/>
      <c r="O95" s="40" t="n"/>
      <c r="P95" s="38" t="n"/>
      <c r="Q95" s="38" t="n"/>
    </row>
    <row r="96" ht="15" customHeight="1" s="22">
      <c r="A96" s="36" t="inlineStr">
        <is>
          <t>condo insurance manitoba</t>
        </is>
      </c>
      <c r="B96" s="36" t="inlineStr">
        <is>
          <t>Condo insurance</t>
        </is>
      </c>
      <c r="C96" s="36" t="inlineStr">
        <is>
          <t>Condo Insurance</t>
        </is>
      </c>
      <c r="D96" s="36" t="inlineStr">
        <is>
          <t>Manitoba</t>
        </is>
      </c>
      <c r="E96" s="37" t="n">
        <v>78</v>
      </c>
      <c r="F96" s="36" t="n">
        <v>29</v>
      </c>
      <c r="G96" s="36" t="inlineStr">
        <is>
          <t>commercial</t>
        </is>
      </c>
      <c r="H96" s="36" t="inlineStr">
        <is>
          <t>property-province</t>
        </is>
      </c>
      <c r="I96" s="36" t="n">
        <v>4</v>
      </c>
      <c r="J96" s="36" t="inlineStr">
        <is>
          <t>https://instasure.ca/condo-insurance/manitoba/</t>
        </is>
      </c>
      <c r="K96" s="36">
        <f>IF(J96="","No","Yes")</f>
        <v/>
      </c>
      <c r="L96" s="39">
        <f>IF(J96="","",IFERROR(IF(ISNUMBER(SEARCH(A96,INDEX(Pages!$J$2:$J$829,MATCH(J96,Pages!$B$2:$B$829,0)))),"Yes","No"),"Page not found"))</f>
        <v/>
      </c>
      <c r="M96" s="25" t="inlineStr">
        <is>
          <t>(none seen)</t>
        </is>
      </c>
      <c r="N96" s="25" t="n"/>
      <c r="O96" s="40" t="n"/>
      <c r="P96" s="38" t="n"/>
      <c r="Q96" s="38" t="n"/>
    </row>
    <row r="97" ht="15" customHeight="1" s="22">
      <c r="A97" s="36" t="inlineStr">
        <is>
          <t>critical illness insurance bc</t>
        </is>
      </c>
      <c r="B97" s="36" t="inlineStr">
        <is>
          <t>Critical illness insurance</t>
        </is>
      </c>
      <c r="C97" s="36" t="inlineStr">
        <is>
          <t>Critical Illness Insurance</t>
        </is>
      </c>
      <c r="D97" s="36" t="inlineStr">
        <is>
          <t>British Columbia</t>
        </is>
      </c>
      <c r="E97" s="37" t="n">
        <v>77</v>
      </c>
      <c r="F97" s="36" t="n">
        <v>29</v>
      </c>
      <c r="G97" s="36" t="inlineStr">
        <is>
          <t>commercial</t>
        </is>
      </c>
      <c r="H97" s="36" t="inlineStr">
        <is>
          <t>living-benefits</t>
        </is>
      </c>
      <c r="I97" s="36" t="n">
        <v>2</v>
      </c>
      <c r="J97" s="36" t="inlineStr">
        <is>
          <t>https://instasure.ca/critical-illness-insurance/british-columbia/</t>
        </is>
      </c>
      <c r="K97" s="36">
        <f>IF(J97="","No","Yes")</f>
        <v/>
      </c>
      <c r="L97" s="39">
        <f>IF(J97="","",IFERROR(IF(ISNUMBER(SEARCH(A97,INDEX(Pages!$J$2:$J$829,MATCH(J97,Pages!$B$2:$B$829,0)))),"Yes","No"),"Page not found"))</f>
        <v/>
      </c>
      <c r="M97" s="25" t="inlineStr">
        <is>
          <t>(none seen)</t>
        </is>
      </c>
      <c r="N97" s="25" t="n"/>
      <c r="O97" s="40" t="n"/>
      <c r="P97" s="38" t="n"/>
      <c r="Q97" s="38" t="n"/>
    </row>
    <row r="98" ht="15" customHeight="1" s="22">
      <c r="A98" s="36" t="inlineStr">
        <is>
          <t>contractor insurance alberta</t>
        </is>
      </c>
      <c r="B98" s="36" t="inlineStr">
        <is>
          <t>Contractor &amp; trades insurance</t>
        </is>
      </c>
      <c r="C98" s="36" t="inlineStr">
        <is>
          <t>Contractor Insurance</t>
        </is>
      </c>
      <c r="D98" s="36" t="inlineStr">
        <is>
          <t>Alberta</t>
        </is>
      </c>
      <c r="E98" s="37" t="n">
        <v>74</v>
      </c>
      <c r="F98" s="36" t="n">
        <v>29</v>
      </c>
      <c r="G98" s="36" t="inlineStr">
        <is>
          <t>commercial</t>
        </is>
      </c>
      <c r="H98" s="36" t="inlineStr">
        <is>
          <t>business-province</t>
        </is>
      </c>
      <c r="I98" s="36" t="n">
        <v>3</v>
      </c>
      <c r="J98" s="36" t="inlineStr">
        <is>
          <t>https://instasure.ca/contractor-insurance/alberta/</t>
        </is>
      </c>
      <c r="K98" s="36">
        <f>IF(J98="","No","Yes")</f>
        <v/>
      </c>
      <c r="L98" s="39">
        <f>IF(J98="","",IFERROR(IF(ISNUMBER(SEARCH(A98,INDEX(Pages!$J$2:$J$829,MATCH(J98,Pages!$B$2:$B$829,0)))),"Yes","No"),"Page not found"))</f>
        <v/>
      </c>
      <c r="M98" s="25" t="inlineStr">
        <is>
          <t>(none seen)</t>
        </is>
      </c>
      <c r="N98" s="25" t="n"/>
      <c r="O98" s="40" t="n"/>
      <c r="P98" s="38" t="n"/>
      <c r="Q98" s="38" t="n"/>
    </row>
    <row r="99" ht="15" customHeight="1" s="22">
      <c r="A99" s="36" t="inlineStr">
        <is>
          <t>tenant insurance newfoundland</t>
        </is>
      </c>
      <c r="B99" s="36" t="inlineStr">
        <is>
          <t>Tenant insurance</t>
        </is>
      </c>
      <c r="C99" s="36" t="inlineStr">
        <is>
          <t>Tenant Insurance</t>
        </is>
      </c>
      <c r="D99" s="36" t="inlineStr">
        <is>
          <t>Newfoundland and Labrador</t>
        </is>
      </c>
      <c r="E99" s="37" t="n">
        <v>74</v>
      </c>
      <c r="F99" s="36" t="n">
        <v>32</v>
      </c>
      <c r="G99" s="36" t="inlineStr">
        <is>
          <t>commercial</t>
        </is>
      </c>
      <c r="H99" s="36" t="inlineStr">
        <is>
          <t>property-province</t>
        </is>
      </c>
      <c r="I99" s="36" t="n">
        <v>5</v>
      </c>
      <c r="J99" s="36" t="inlineStr">
        <is>
          <t>https://instasure.ca/tenant-insurance/newfoundland-and-labrador/</t>
        </is>
      </c>
      <c r="K99" s="36">
        <f>IF(J99="","No","Yes")</f>
        <v/>
      </c>
      <c r="L99" s="39">
        <f>IF(J99="","",IFERROR(IF(ISNUMBER(SEARCH(A99,INDEX(Pages!$J$2:$J$829,MATCH(J99,Pages!$B$2:$B$829,0)))),"Yes","No"),"Page not found"))</f>
        <v/>
      </c>
      <c r="M99" s="25" t="inlineStr">
        <is>
          <t>(none seen)</t>
        </is>
      </c>
      <c r="N99" s="25" t="n"/>
      <c r="O99" s="40" t="n"/>
      <c r="P99" s="38" t="n"/>
      <c r="Q99" s="38" t="n"/>
    </row>
    <row r="100" ht="15" customHeight="1" s="22">
      <c r="A100" s="36" t="inlineStr">
        <is>
          <t>term life insurance alberta</t>
        </is>
      </c>
      <c r="B100" s="36" t="inlineStr">
        <is>
          <t>Life insurance</t>
        </is>
      </c>
      <c r="C100" s="36" t="inlineStr">
        <is>
          <t>Term Life Insurance</t>
        </is>
      </c>
      <c r="D100" s="36" t="inlineStr">
        <is>
          <t>Alberta</t>
        </is>
      </c>
      <c r="E100" s="37" t="n">
        <v>74</v>
      </c>
      <c r="F100" s="36" t="n">
        <v>38</v>
      </c>
      <c r="G100" s="36" t="inlineStr">
        <is>
          <t>commercial</t>
        </is>
      </c>
      <c r="H100" s="36" t="inlineStr">
        <is>
          <t>life-province</t>
        </is>
      </c>
      <c r="I100" s="36" t="n">
        <v>3</v>
      </c>
      <c r="J100" s="36" t="inlineStr">
        <is>
          <t>https://instasure.ca/term-life-insurance/alberta/</t>
        </is>
      </c>
      <c r="K100" s="36">
        <f>IF(J100="","No","Yes")</f>
        <v/>
      </c>
      <c r="L100" s="39">
        <f>IF(J100="","",IFERROR(IF(ISNUMBER(SEARCH(A100,INDEX(Pages!$J$2:$J$829,MATCH(J100,Pages!$B$2:$B$829,0)))),"Yes","No"),"Page not found"))</f>
        <v/>
      </c>
      <c r="M100" s="25" t="inlineStr">
        <is>
          <t>policyadvisor</t>
        </is>
      </c>
      <c r="N100" s="25" t="n"/>
      <c r="O100" s="40" t="n"/>
      <c r="P100" s="38" t="n"/>
      <c r="Q100" s="38" t="n"/>
    </row>
    <row r="101" ht="15" customHeight="1" s="22">
      <c r="A101" s="36" t="inlineStr">
        <is>
          <t>life insurance nova scotia</t>
        </is>
      </c>
      <c r="B101" s="36" t="inlineStr">
        <is>
          <t>Life insurance</t>
        </is>
      </c>
      <c r="C101" s="36" t="inlineStr">
        <is>
          <t>Life Insurance</t>
        </is>
      </c>
      <c r="D101" s="36" t="inlineStr">
        <is>
          <t>Nova Scotia</t>
        </is>
      </c>
      <c r="E101" s="37" t="n">
        <v>73</v>
      </c>
      <c r="F101" s="36" t="n">
        <v>34</v>
      </c>
      <c r="G101" s="36" t="inlineStr">
        <is>
          <t>commercial</t>
        </is>
      </c>
      <c r="H101" s="36" t="inlineStr">
        <is>
          <t>life-province</t>
        </is>
      </c>
      <c r="I101" s="36" t="n">
        <v>2</v>
      </c>
      <c r="J101" s="36" t="inlineStr">
        <is>
          <t>https://instasure.ca/life-insurance/nova-scotia/</t>
        </is>
      </c>
      <c r="K101" s="36">
        <f>IF(J101="","No","Yes")</f>
        <v/>
      </c>
      <c r="L101" s="39">
        <f>IF(J101="","",IFERROR(IF(ISNUMBER(SEARCH(A101,INDEX(Pages!$J$2:$J$829,MATCH(J101,Pages!$B$2:$B$829,0)))),"Yes","No"),"Page not found"))</f>
        <v/>
      </c>
      <c r="M101" s="25" t="inlineStr">
        <is>
          <t>(none seen)</t>
        </is>
      </c>
      <c r="N101" s="25" t="n"/>
      <c r="O101" s="40" t="n"/>
      <c r="P101" s="38" t="n"/>
      <c r="Q101" s="38" t="n"/>
    </row>
    <row r="102" ht="15" customHeight="1" s="22">
      <c r="A102" s="36" t="inlineStr">
        <is>
          <t>condo insurance saskatchewan</t>
        </is>
      </c>
      <c r="B102" s="36" t="inlineStr">
        <is>
          <t>Condo insurance</t>
        </is>
      </c>
      <c r="C102" s="36" t="inlineStr">
        <is>
          <t>Condo Insurance</t>
        </is>
      </c>
      <c r="D102" s="36" t="inlineStr">
        <is>
          <t>Saskatchewan</t>
        </is>
      </c>
      <c r="E102" s="37" t="n">
        <v>67</v>
      </c>
      <c r="F102" s="36" t="n">
        <v>29</v>
      </c>
      <c r="G102" s="36" t="inlineStr">
        <is>
          <t>commercial</t>
        </is>
      </c>
      <c r="H102" s="36" t="inlineStr">
        <is>
          <t>property-province</t>
        </is>
      </c>
      <c r="I102" s="36" t="n">
        <v>4</v>
      </c>
      <c r="J102" s="36" t="inlineStr">
        <is>
          <t>https://instasure.ca/condo-insurance/saskatchewan/</t>
        </is>
      </c>
      <c r="K102" s="36">
        <f>IF(J102="","No","Yes")</f>
        <v/>
      </c>
      <c r="L102" s="39">
        <f>IF(J102="","",IFERROR(IF(ISNUMBER(SEARCH(A102,INDEX(Pages!$J$2:$J$829,MATCH(J102,Pages!$B$2:$B$829,0)))),"Yes","No"),"Page not found"))</f>
        <v/>
      </c>
      <c r="M102" s="25" t="inlineStr">
        <is>
          <t>(none seen)</t>
        </is>
      </c>
      <c r="N102" s="25" t="n"/>
      <c r="O102" s="40" t="n"/>
      <c r="P102" s="38" t="n"/>
      <c r="Q102" s="38" t="n"/>
    </row>
    <row r="103" ht="15" customHeight="1" s="22">
      <c r="A103" s="36" t="inlineStr">
        <is>
          <t>critical illness insurance alberta</t>
        </is>
      </c>
      <c r="B103" s="36" t="inlineStr">
        <is>
          <t>Critical illness insurance</t>
        </is>
      </c>
      <c r="C103" s="36" t="inlineStr">
        <is>
          <t>Critical Illness Insurance</t>
        </is>
      </c>
      <c r="D103" s="36" t="inlineStr">
        <is>
          <t>Alberta</t>
        </is>
      </c>
      <c r="E103" s="37" t="n">
        <v>66</v>
      </c>
      <c r="F103" s="36" t="n">
        <v>29</v>
      </c>
      <c r="G103" s="36" t="inlineStr">
        <is>
          <t>commercial</t>
        </is>
      </c>
      <c r="H103" s="36" t="inlineStr">
        <is>
          <t>living-benefits</t>
        </is>
      </c>
      <c r="I103" s="36" t="n">
        <v>2</v>
      </c>
      <c r="J103" s="36" t="inlineStr">
        <is>
          <t>https://instasure.ca/critical-illness-insurance/alberta/</t>
        </is>
      </c>
      <c r="K103" s="36">
        <f>IF(J103="","No","Yes")</f>
        <v/>
      </c>
      <c r="L103" s="39">
        <f>IF(J103="","",IFERROR(IF(ISNUMBER(SEARCH(A103,INDEX(Pages!$J$2:$J$829,MATCH(J103,Pages!$B$2:$B$829,0)))),"Yes","No"),"Page not found"))</f>
        <v/>
      </c>
      <c r="M103" s="25" t="inlineStr">
        <is>
          <t>(none seen)</t>
        </is>
      </c>
      <c r="N103" s="25" t="n"/>
      <c r="O103" s="40" t="n"/>
      <c r="P103" s="38" t="n"/>
      <c r="Q103" s="38" t="n"/>
    </row>
    <row r="104" ht="15" customHeight="1" s="22">
      <c r="A104" s="36" t="inlineStr">
        <is>
          <t>health insurance newfoundland</t>
        </is>
      </c>
      <c r="B104" s="36" t="inlineStr">
        <is>
          <t>Health &amp; dental insurance</t>
        </is>
      </c>
      <c r="C104" s="36" t="inlineStr">
        <is>
          <t>Health &amp; Dental Insurance</t>
        </is>
      </c>
      <c r="D104" s="36" t="inlineStr">
        <is>
          <t>Newfoundland and Labrador</t>
        </is>
      </c>
      <c r="E104" s="37" t="n">
        <v>60</v>
      </c>
      <c r="F104" s="36" t="n">
        <v>39</v>
      </c>
      <c r="G104" s="36" t="inlineStr">
        <is>
          <t>commercial</t>
        </is>
      </c>
      <c r="H104" s="36" t="inlineStr">
        <is>
          <t>health-province</t>
        </is>
      </c>
      <c r="I104" s="36" t="n">
        <v>4</v>
      </c>
      <c r="J104" s="36" t="inlineStr">
        <is>
          <t>https://instasure.ca/health-dental-insurance/newfoundland-and-labrador/</t>
        </is>
      </c>
      <c r="K104" s="36">
        <f>IF(J104="","No","Yes")</f>
        <v/>
      </c>
      <c r="L104" s="39">
        <f>IF(J104="","",IFERROR(IF(ISNUMBER(SEARCH(A104,INDEX(Pages!$J$2:$J$829,MATCH(J104,Pages!$B$2:$B$829,0)))),"Yes","No"),"Page not found"))</f>
        <v/>
      </c>
      <c r="M104" s="25" t="inlineStr">
        <is>
          <t>(none seen)</t>
        </is>
      </c>
      <c r="N104" s="25" t="n"/>
      <c r="O104" s="40" t="n"/>
      <c r="P104" s="38" t="n"/>
      <c r="Q104" s="38" t="n"/>
    </row>
    <row r="105" ht="15" customHeight="1" s="22">
      <c r="A105" s="36" t="inlineStr">
        <is>
          <t>life insurance new brunswick</t>
        </is>
      </c>
      <c r="B105" s="36" t="inlineStr">
        <is>
          <t>Life insurance</t>
        </is>
      </c>
      <c r="C105" s="36" t="inlineStr">
        <is>
          <t>Life Insurance</t>
        </is>
      </c>
      <c r="D105" s="36" t="inlineStr">
        <is>
          <t>New Brunswick</t>
        </is>
      </c>
      <c r="E105" s="37" t="n">
        <v>60</v>
      </c>
      <c r="F105" s="36" t="n">
        <v>34</v>
      </c>
      <c r="G105" s="36" t="inlineStr">
        <is>
          <t>commercial</t>
        </is>
      </c>
      <c r="H105" s="36" t="inlineStr">
        <is>
          <t>life-province</t>
        </is>
      </c>
      <c r="I105" s="36" t="n">
        <v>2</v>
      </c>
      <c r="J105" s="36" t="inlineStr">
        <is>
          <t>https://instasure.ca/life-insurance/new-brunswick/</t>
        </is>
      </c>
      <c r="K105" s="36">
        <f>IF(J105="","No","Yes")</f>
        <v/>
      </c>
      <c r="L105" s="39">
        <f>IF(J105="","",IFERROR(IF(ISNUMBER(SEARCH(A105,INDEX(Pages!$J$2:$J$829,MATCH(J105,Pages!$B$2:$B$829,0)))),"Yes","No"),"Page not found"))</f>
        <v/>
      </c>
      <c r="M105" s="25" t="inlineStr">
        <is>
          <t>(none seen)</t>
        </is>
      </c>
      <c r="N105" s="25" t="n"/>
      <c r="O105" s="40" t="n"/>
      <c r="P105" s="38" t="n"/>
      <c r="Q105" s="38" t="n"/>
    </row>
    <row r="106" ht="15" customHeight="1" s="22">
      <c r="A106" s="36" t="inlineStr">
        <is>
          <t>mortgage life insurance bc</t>
        </is>
      </c>
      <c r="B106" s="36" t="inlineStr">
        <is>
          <t>Mortgage protection</t>
        </is>
      </c>
      <c r="C106" s="36" t="inlineStr">
        <is>
          <t>Mortgage Life Insurance</t>
        </is>
      </c>
      <c r="D106" s="36" t="inlineStr">
        <is>
          <t>British Columbia</t>
        </is>
      </c>
      <c r="E106" s="37" t="n">
        <v>60</v>
      </c>
      <c r="F106" s="36" t="n">
        <v>29</v>
      </c>
      <c r="G106" s="36" t="inlineStr">
        <is>
          <t>commercial</t>
        </is>
      </c>
      <c r="H106" s="36" t="inlineStr">
        <is>
          <t>life-mortgage</t>
        </is>
      </c>
      <c r="I106" s="36" t="n">
        <v>3</v>
      </c>
      <c r="J106" s="36" t="inlineStr">
        <is>
          <t>https://instasure.ca/mortgage-life-insurance/british-columbia/</t>
        </is>
      </c>
      <c r="K106" s="36">
        <f>IF(J106="","No","Yes")</f>
        <v/>
      </c>
      <c r="L106" s="39">
        <f>IF(J106="","",IFERROR(IF(ISNUMBER(SEARCH(A106,INDEX(Pages!$J$2:$J$829,MATCH(J106,Pages!$B$2:$B$829,0)))),"Yes","No"),"Page not found"))</f>
        <v/>
      </c>
      <c r="M106" s="25" t="inlineStr">
        <is>
          <t>(none seen)</t>
        </is>
      </c>
      <c r="N106" s="25" t="n"/>
      <c r="O106" s="40" t="n"/>
      <c r="P106" s="38" t="n"/>
      <c r="Q106" s="38" t="n"/>
    </row>
    <row r="107" ht="15" customHeight="1" s="22">
      <c r="A107" s="36" t="inlineStr">
        <is>
          <t>super visa insurance manitoba</t>
        </is>
      </c>
      <c r="B107" s="36" t="inlineStr">
        <is>
          <t>Super Visa &amp; visitors insurance</t>
        </is>
      </c>
      <c r="C107" s="36" t="inlineStr">
        <is>
          <t>Super Visa Insurance</t>
        </is>
      </c>
      <c r="D107" s="36" t="inlineStr">
        <is>
          <t>Manitoba</t>
        </is>
      </c>
      <c r="E107" s="37" t="n">
        <v>59</v>
      </c>
      <c r="F107" s="36" t="n">
        <v>24</v>
      </c>
      <c r="G107" s="36" t="inlineStr">
        <is>
          <t>commercial</t>
        </is>
      </c>
      <c r="H107" s="36" t="inlineStr">
        <is>
          <t>travel-visitors</t>
        </is>
      </c>
      <c r="I107" s="36" t="n">
        <v>4</v>
      </c>
      <c r="J107" s="36" t="inlineStr">
        <is>
          <t>https://instasure.ca/super-visa-insurance/manitoba/</t>
        </is>
      </c>
      <c r="K107" s="36">
        <f>IF(J107="","No","Yes")</f>
        <v/>
      </c>
      <c r="L107" s="39">
        <f>IF(J107="","",IFERROR(IF(ISNUMBER(SEARCH(A107,INDEX(Pages!$J$2:$J$829,MATCH(J107,Pages!$B$2:$B$829,0)))),"Yes","No"),"Page not found"))</f>
        <v/>
      </c>
      <c r="M107" s="25" t="inlineStr">
        <is>
          <t>(none seen)</t>
        </is>
      </c>
      <c r="N107" s="25" t="inlineStr">
        <is>
          <t>Province page targets super visa buyers sponsoring parents locally.</t>
        </is>
      </c>
      <c r="O107" s="40" t="n"/>
      <c r="P107" s="38" t="n"/>
      <c r="Q107" s="38" t="n"/>
    </row>
    <row r="108" ht="15" customHeight="1" s="22">
      <c r="A108" s="36" t="inlineStr">
        <is>
          <t>condo insurance nova scotia</t>
        </is>
      </c>
      <c r="B108" s="36" t="inlineStr">
        <is>
          <t>Condo insurance</t>
        </is>
      </c>
      <c r="C108" s="36" t="inlineStr">
        <is>
          <t>Condo Insurance</t>
        </is>
      </c>
      <c r="D108" s="36" t="inlineStr">
        <is>
          <t>Nova Scotia</t>
        </is>
      </c>
      <c r="E108" s="37" t="n">
        <v>58</v>
      </c>
      <c r="F108" s="36" t="n">
        <v>33</v>
      </c>
      <c r="G108" s="36" t="inlineStr">
        <is>
          <t>commercial</t>
        </is>
      </c>
      <c r="H108" s="36" t="inlineStr">
        <is>
          <t>property-province</t>
        </is>
      </c>
      <c r="I108" s="36" t="n">
        <v>5</v>
      </c>
      <c r="J108" s="36" t="inlineStr">
        <is>
          <t>https://instasure.ca/condo-insurance/nova-scotia/</t>
        </is>
      </c>
      <c r="K108" s="36">
        <f>IF(J108="","No","Yes")</f>
        <v/>
      </c>
      <c r="L108" s="39">
        <f>IF(J108="","",IFERROR(IF(ISNUMBER(SEARCH(A108,INDEX(Pages!$J$2:$J$829,MATCH(J108,Pages!$B$2:$B$829,0)))),"Yes","No"),"Page not found"))</f>
        <v/>
      </c>
      <c r="M108" s="25" t="inlineStr">
        <is>
          <t>ratehub</t>
        </is>
      </c>
      <c r="N108" s="25" t="n"/>
      <c r="O108" s="40" t="n"/>
      <c r="P108" s="38" t="n"/>
      <c r="Q108" s="38" t="n"/>
    </row>
    <row r="109" ht="15" customHeight="1" s="22">
      <c r="A109" s="36" t="inlineStr">
        <is>
          <t>business insurance newfoundland</t>
        </is>
      </c>
      <c r="B109" s="36" t="inlineStr">
        <is>
          <t>Business insurance</t>
        </is>
      </c>
      <c r="C109" s="36" t="inlineStr">
        <is>
          <t>Business Insurance</t>
        </is>
      </c>
      <c r="D109" s="36" t="inlineStr">
        <is>
          <t>Newfoundland and Labrador</t>
        </is>
      </c>
      <c r="E109" s="37" t="n">
        <v>55</v>
      </c>
      <c r="F109" s="36" t="n">
        <v>34</v>
      </c>
      <c r="G109" s="36" t="inlineStr">
        <is>
          <t>commercial</t>
        </is>
      </c>
      <c r="H109" s="36" t="inlineStr">
        <is>
          <t>business-province</t>
        </is>
      </c>
      <c r="I109" s="36" t="n">
        <v>3</v>
      </c>
      <c r="J109" s="36" t="inlineStr">
        <is>
          <t>https://instasure.ca/business-insurance/newfoundland-and-labrador/</t>
        </is>
      </c>
      <c r="K109" s="36">
        <f>IF(J109="","No","Yes")</f>
        <v/>
      </c>
      <c r="L109" s="39">
        <f>IF(J109="","",IFERROR(IF(ISNUMBER(SEARCH(A109,INDEX(Pages!$J$2:$J$829,MATCH(J109,Pages!$B$2:$B$829,0)))),"Yes","No"),"Page not found"))</f>
        <v/>
      </c>
      <c r="M109" s="25" t="inlineStr">
        <is>
          <t>(none seen)</t>
        </is>
      </c>
      <c r="N109" s="25" t="n"/>
      <c r="O109" s="40" t="n"/>
      <c r="P109" s="38" t="n"/>
      <c r="Q109" s="38" t="n"/>
    </row>
    <row r="110" ht="15" customHeight="1" s="22">
      <c r="A110" s="36" t="inlineStr">
        <is>
          <t>mortgage life insurance alberta</t>
        </is>
      </c>
      <c r="B110" s="36" t="inlineStr">
        <is>
          <t>Mortgage protection</t>
        </is>
      </c>
      <c r="C110" s="36" t="inlineStr">
        <is>
          <t>Mortgage Life Insurance</t>
        </is>
      </c>
      <c r="D110" s="36" t="inlineStr">
        <is>
          <t>Alberta</t>
        </is>
      </c>
      <c r="E110" s="37" t="n">
        <v>52</v>
      </c>
      <c r="F110" s="36" t="n">
        <v>29</v>
      </c>
      <c r="G110" s="36" t="inlineStr">
        <is>
          <t>commercial</t>
        </is>
      </c>
      <c r="H110" s="36" t="inlineStr">
        <is>
          <t>life-mortgage</t>
        </is>
      </c>
      <c r="I110" s="36" t="n">
        <v>3</v>
      </c>
      <c r="J110" s="36" t="inlineStr">
        <is>
          <t>https://instasure.ca/mortgage-life-insurance/alberta/</t>
        </is>
      </c>
      <c r="K110" s="36">
        <f>IF(J110="","No","Yes")</f>
        <v/>
      </c>
      <c r="L110" s="39">
        <f>IF(J110="","",IFERROR(IF(ISNUMBER(SEARCH(A110,INDEX(Pages!$J$2:$J$829,MATCH(J110,Pages!$B$2:$B$829,0)))),"Yes","No"),"Page not found"))</f>
        <v/>
      </c>
      <c r="M110" s="25" t="inlineStr">
        <is>
          <t>(none seen)</t>
        </is>
      </c>
      <c r="N110" s="25" t="n"/>
      <c r="O110" s="40" t="n"/>
      <c r="P110" s="38" t="n"/>
      <c r="Q110" s="38" t="n"/>
    </row>
    <row r="111" ht="15" customHeight="1" s="22">
      <c r="A111" s="36" t="inlineStr">
        <is>
          <t>group benefits bc</t>
        </is>
      </c>
      <c r="B111" s="36" t="inlineStr">
        <is>
          <t>Group benefits</t>
        </is>
      </c>
      <c r="C111" s="36" t="inlineStr">
        <is>
          <t>Group Benefits</t>
        </is>
      </c>
      <c r="D111" s="36" t="inlineStr">
        <is>
          <t>British Columbia</t>
        </is>
      </c>
      <c r="E111" s="37" t="n">
        <v>51</v>
      </c>
      <c r="F111" s="36" t="n">
        <v>33</v>
      </c>
      <c r="G111" s="36" t="inlineStr">
        <is>
          <t>commercial</t>
        </is>
      </c>
      <c r="H111" s="36" t="inlineStr">
        <is>
          <t>business-benefits</t>
        </is>
      </c>
      <c r="I111" s="36" t="n">
        <v>2</v>
      </c>
      <c r="J111" s="36" t="inlineStr">
        <is>
          <t>https://instasure.ca/group-benefits/british-columbia/</t>
        </is>
      </c>
      <c r="K111" s="36">
        <f>IF(J111="","No","Yes")</f>
        <v/>
      </c>
      <c r="L111" s="39">
        <f>IF(J111="","",IFERROR(IF(ISNUMBER(SEARCH(A111,INDEX(Pages!$J$2:$J$829,MATCH(J111,Pages!$B$2:$B$829,0)))),"Yes","No"),"Page not found"))</f>
        <v/>
      </c>
      <c r="M111" s="25" t="inlineStr">
        <is>
          <t>policyadvisor</t>
        </is>
      </c>
      <c r="N111" s="25" t="n"/>
      <c r="O111" s="40" t="n"/>
      <c r="P111" s="38" t="n"/>
      <c r="Q111" s="38" t="n"/>
    </row>
    <row r="112" ht="15" customHeight="1" s="22">
      <c r="A112" s="36" t="inlineStr">
        <is>
          <t>super visa insurance saskatchewan</t>
        </is>
      </c>
      <c r="B112" s="36" t="inlineStr">
        <is>
          <t>Super Visa &amp; visitors insurance</t>
        </is>
      </c>
      <c r="C112" s="36" t="inlineStr">
        <is>
          <t>Super Visa Insurance</t>
        </is>
      </c>
      <c r="D112" s="36" t="inlineStr">
        <is>
          <t>Saskatchewan</t>
        </is>
      </c>
      <c r="E112" s="37" t="n">
        <v>50</v>
      </c>
      <c r="F112" s="36" t="n">
        <v>24</v>
      </c>
      <c r="G112" s="36" t="inlineStr">
        <is>
          <t>commercial</t>
        </is>
      </c>
      <c r="H112" s="36" t="inlineStr">
        <is>
          <t>travel-visitors</t>
        </is>
      </c>
      <c r="I112" s="36" t="n">
        <v>4</v>
      </c>
      <c r="J112" s="36" t="inlineStr">
        <is>
          <t>https://instasure.ca/super-visa-insurance/saskatchewan/</t>
        </is>
      </c>
      <c r="K112" s="36">
        <f>IF(J112="","No","Yes")</f>
        <v/>
      </c>
      <c r="L112" s="39">
        <f>IF(J112="","",IFERROR(IF(ISNUMBER(SEARCH(A112,INDEX(Pages!$J$2:$J$829,MATCH(J112,Pages!$B$2:$B$829,0)))),"Yes","No"),"Page not found"))</f>
        <v/>
      </c>
      <c r="M112" s="25" t="inlineStr">
        <is>
          <t>(none seen)</t>
        </is>
      </c>
      <c r="N112" s="25" t="inlineStr">
        <is>
          <t>Province page targets super visa buyers sponsoring parents locally.</t>
        </is>
      </c>
      <c r="O112" s="40" t="n"/>
      <c r="P112" s="38" t="n"/>
      <c r="Q112" s="38" t="n"/>
    </row>
    <row r="113" ht="15" customHeight="1" s="22">
      <c r="A113" s="36" t="inlineStr">
        <is>
          <t>condo insurance new brunswick</t>
        </is>
      </c>
      <c r="B113" s="36" t="inlineStr">
        <is>
          <t>Condo insurance</t>
        </is>
      </c>
      <c r="C113" s="36" t="inlineStr">
        <is>
          <t>Condo Insurance</t>
        </is>
      </c>
      <c r="D113" s="36" t="inlineStr">
        <is>
          <t>New Brunswick</t>
        </is>
      </c>
      <c r="E113" s="37" t="n">
        <v>48</v>
      </c>
      <c r="F113" s="36" t="n">
        <v>33</v>
      </c>
      <c r="G113" s="36" t="inlineStr">
        <is>
          <t>commercial</t>
        </is>
      </c>
      <c r="H113" s="36" t="inlineStr">
        <is>
          <t>property-province</t>
        </is>
      </c>
      <c r="I113" s="36" t="n">
        <v>5</v>
      </c>
      <c r="J113" s="36" t="inlineStr">
        <is>
          <t>https://instasure.ca/condo-insurance/new-brunswick/</t>
        </is>
      </c>
      <c r="K113" s="36">
        <f>IF(J113="","No","Yes")</f>
        <v/>
      </c>
      <c r="L113" s="39">
        <f>IF(J113="","",IFERROR(IF(ISNUMBER(SEARCH(A113,INDEX(Pages!$J$2:$J$829,MATCH(J113,Pages!$B$2:$B$829,0)))),"Yes","No"),"Page not found"))</f>
        <v/>
      </c>
      <c r="M113" s="25" t="inlineStr">
        <is>
          <t>sonnet</t>
        </is>
      </c>
      <c r="N113" s="25" t="n"/>
      <c r="O113" s="40" t="n"/>
      <c r="P113" s="38" t="n"/>
      <c r="Q113" s="38" t="n"/>
    </row>
    <row r="114" ht="15" customHeight="1" s="22">
      <c r="A114" s="36" t="inlineStr">
        <is>
          <t>disability insurance quebec</t>
        </is>
      </c>
      <c r="B114" s="36" t="inlineStr">
        <is>
          <t>Disability insurance</t>
        </is>
      </c>
      <c r="C114" s="36" t="inlineStr">
        <is>
          <t>Disability Insurance</t>
        </is>
      </c>
      <c r="D114" s="36" t="inlineStr">
        <is>
          <t>Quebec</t>
        </is>
      </c>
      <c r="E114" s="37" t="n">
        <v>47</v>
      </c>
      <c r="F114" s="36" t="n">
        <v>32</v>
      </c>
      <c r="G114" s="36" t="inlineStr">
        <is>
          <t>commercial</t>
        </is>
      </c>
      <c r="H114" s="36" t="inlineStr">
        <is>
          <t>living-benefits</t>
        </is>
      </c>
      <c r="I114" s="36" t="n">
        <v>4</v>
      </c>
      <c r="J114" s="36" t="inlineStr">
        <is>
          <t>https://instasure.ca/disability-insurance/quebec/</t>
        </is>
      </c>
      <c r="K114" s="36">
        <f>IF(J114="","No","Yes")</f>
        <v/>
      </c>
      <c r="L114" s="39">
        <f>IF(J114="","",IFERROR(IF(ISNUMBER(SEARCH(A114,INDEX(Pages!$J$2:$J$829,MATCH(J114,Pages!$B$2:$B$829,0)))),"Yes","No"),"Page not found"))</f>
        <v/>
      </c>
      <c r="M114" s="25" t="inlineStr">
        <is>
          <t>(none seen)</t>
        </is>
      </c>
      <c r="N114" s="25" t="inlineStr">
        <is>
          <t>Quebec waitlist until AMF registration; English phrase only (French terms listed separately).</t>
        </is>
      </c>
      <c r="O114" s="40" t="n"/>
      <c r="P114" s="38" t="n"/>
      <c r="Q114" s="38" t="n"/>
    </row>
    <row r="115" ht="15" customHeight="1" s="22">
      <c r="A115" s="36" t="inlineStr">
        <is>
          <t>home insurance pei</t>
        </is>
      </c>
      <c r="B115" s="36" t="inlineStr">
        <is>
          <t>Home insurance</t>
        </is>
      </c>
      <c r="C115" s="36" t="inlineStr">
        <is>
          <t>Home Insurance</t>
        </is>
      </c>
      <c r="D115" s="36" t="inlineStr">
        <is>
          <t>Prince Edward Island</t>
        </is>
      </c>
      <c r="E115" s="37" t="n">
        <v>46</v>
      </c>
      <c r="F115" s="36" t="n">
        <v>39</v>
      </c>
      <c r="G115" s="36" t="inlineStr">
        <is>
          <t>commercial</t>
        </is>
      </c>
      <c r="H115" s="36" t="inlineStr">
        <is>
          <t>property-province</t>
        </is>
      </c>
      <c r="I115" s="36" t="n">
        <v>4</v>
      </c>
      <c r="J115" s="36" t="inlineStr">
        <is>
          <t>https://instasure.ca/home-insurance/prince-edward-island/</t>
        </is>
      </c>
      <c r="K115" s="36">
        <f>IF(J115="","No","Yes")</f>
        <v/>
      </c>
      <c r="L115" s="39">
        <f>IF(J115="","",IFERROR(IF(ISNUMBER(SEARCH(A115,INDEX(Pages!$J$2:$J$829,MATCH(J115,Pages!$B$2:$B$829,0)))),"Yes","No"),"Page not found"))</f>
        <v/>
      </c>
      <c r="M115" s="25" t="inlineStr">
        <is>
          <t>(none seen)</t>
        </is>
      </c>
      <c r="N115" s="25" t="n"/>
      <c r="O115" s="40" t="n"/>
      <c r="P115" s="38" t="n"/>
      <c r="Q115" s="38" t="n"/>
    </row>
    <row r="116" ht="15" customHeight="1" s="22">
      <c r="A116" s="36" t="inlineStr">
        <is>
          <t>group benefits alberta</t>
        </is>
      </c>
      <c r="B116" s="36" t="inlineStr">
        <is>
          <t>Group benefits</t>
        </is>
      </c>
      <c r="C116" s="36" t="inlineStr">
        <is>
          <t>Group Benefits</t>
        </is>
      </c>
      <c r="D116" s="36" t="inlineStr">
        <is>
          <t>Alberta</t>
        </is>
      </c>
      <c r="E116" s="37" t="n">
        <v>44</v>
      </c>
      <c r="F116" s="36" t="n">
        <v>33</v>
      </c>
      <c r="G116" s="36" t="inlineStr">
        <is>
          <t>commercial</t>
        </is>
      </c>
      <c r="H116" s="36" t="inlineStr">
        <is>
          <t>business-benefits</t>
        </is>
      </c>
      <c r="I116" s="36" t="n">
        <v>2</v>
      </c>
      <c r="J116" s="36" t="inlineStr">
        <is>
          <t>https://instasure.ca/group-benefits/alberta/</t>
        </is>
      </c>
      <c r="K116" s="36">
        <f>IF(J116="","No","Yes")</f>
        <v/>
      </c>
      <c r="L116" s="39">
        <f>IF(J116="","",IFERROR(IF(ISNUMBER(SEARCH(A116,INDEX(Pages!$J$2:$J$829,MATCH(J116,Pages!$B$2:$B$829,0)))),"Yes","No"),"Page not found"))</f>
        <v/>
      </c>
      <c r="M116" s="25" t="inlineStr">
        <is>
          <t>policyadvisor</t>
        </is>
      </c>
      <c r="N116" s="25" t="n"/>
      <c r="O116" s="40" t="n"/>
      <c r="P116" s="38" t="n"/>
      <c r="Q116" s="38" t="n"/>
    </row>
    <row r="117" ht="15" customHeight="1" s="22">
      <c r="A117" s="36" t="inlineStr">
        <is>
          <t>super visa insurance nova scotia</t>
        </is>
      </c>
      <c r="B117" s="36" t="inlineStr">
        <is>
          <t>Super Visa &amp; visitors insurance</t>
        </is>
      </c>
      <c r="C117" s="36" t="inlineStr">
        <is>
          <t>Super Visa Insurance</t>
        </is>
      </c>
      <c r="D117" s="36" t="inlineStr">
        <is>
          <t>Nova Scotia</t>
        </is>
      </c>
      <c r="E117" s="37" t="n">
        <v>44</v>
      </c>
      <c r="F117" s="36" t="n">
        <v>24</v>
      </c>
      <c r="G117" s="36" t="inlineStr">
        <is>
          <t>commercial</t>
        </is>
      </c>
      <c r="H117" s="36" t="inlineStr">
        <is>
          <t>travel-visitors</t>
        </is>
      </c>
      <c r="I117" s="36" t="n">
        <v>4</v>
      </c>
      <c r="J117" s="36" t="inlineStr">
        <is>
          <t>https://instasure.ca/super-visa-insurance/nova-scotia/</t>
        </is>
      </c>
      <c r="K117" s="36">
        <f>IF(J117="","No","Yes")</f>
        <v/>
      </c>
      <c r="L117" s="39">
        <f>IF(J117="","",IFERROR(IF(ISNUMBER(SEARCH(A117,INDEX(Pages!$J$2:$J$829,MATCH(J117,Pages!$B$2:$B$829,0)))),"Yes","No"),"Page not found"))</f>
        <v/>
      </c>
      <c r="M117" s="25" t="inlineStr">
        <is>
          <t>(none seen)</t>
        </is>
      </c>
      <c r="N117" s="25" t="inlineStr">
        <is>
          <t>Province page targets super visa buyers sponsoring parents locally.</t>
        </is>
      </c>
      <c r="O117" s="40" t="n"/>
      <c r="P117" s="38" t="n"/>
      <c r="Q117" s="38" t="n"/>
    </row>
    <row r="118" ht="15" customHeight="1" s="22">
      <c r="A118" s="36" t="inlineStr">
        <is>
          <t>contractor insurance quebec</t>
        </is>
      </c>
      <c r="B118" s="36" t="inlineStr">
        <is>
          <t>Contractor &amp; trades insurance</t>
        </is>
      </c>
      <c r="C118" s="36" t="inlineStr">
        <is>
          <t>Contractor Insurance</t>
        </is>
      </c>
      <c r="D118" s="36" t="inlineStr">
        <is>
          <t>Quebec</t>
        </is>
      </c>
      <c r="E118" s="37" t="n">
        <v>43</v>
      </c>
      <c r="F118" s="36" t="n">
        <v>29</v>
      </c>
      <c r="G118" s="36" t="inlineStr">
        <is>
          <t>commercial</t>
        </is>
      </c>
      <c r="H118" s="36" t="inlineStr">
        <is>
          <t>business-province</t>
        </is>
      </c>
      <c r="I118" s="36" t="n">
        <v>5</v>
      </c>
      <c r="J118" s="36" t="inlineStr">
        <is>
          <t>https://instasure.ca/contractor-insurance/quebec/</t>
        </is>
      </c>
      <c r="K118" s="36">
        <f>IF(J118="","No","Yes")</f>
        <v/>
      </c>
      <c r="L118" s="39">
        <f>IF(J118="","",IFERROR(IF(ISNUMBER(SEARCH(A118,INDEX(Pages!$J$2:$J$829,MATCH(J118,Pages!$B$2:$B$829,0)))),"Yes","No"),"Page not found"))</f>
        <v/>
      </c>
      <c r="M118" s="25" t="inlineStr">
        <is>
          <t>(none seen)</t>
        </is>
      </c>
      <c r="N118" s="25" t="inlineStr">
        <is>
          <t>Quebec waitlist until AMF registration; English phrase only (French terms listed separately).</t>
        </is>
      </c>
      <c r="O118" s="40" t="n"/>
      <c r="P118" s="38" t="n"/>
      <c r="Q118" s="38" t="n"/>
    </row>
    <row r="119" ht="15" customHeight="1" s="22">
      <c r="A119" s="36" t="inlineStr">
        <is>
          <t>term life insurance quebec</t>
        </is>
      </c>
      <c r="B119" s="36" t="inlineStr">
        <is>
          <t>Life insurance</t>
        </is>
      </c>
      <c r="C119" s="36" t="inlineStr">
        <is>
          <t>Term Life Insurance</t>
        </is>
      </c>
      <c r="D119" s="36" t="inlineStr">
        <is>
          <t>Quebec</t>
        </is>
      </c>
      <c r="E119" s="37" t="n">
        <v>43</v>
      </c>
      <c r="F119" s="36" t="n">
        <v>34</v>
      </c>
      <c r="G119" s="36" t="inlineStr">
        <is>
          <t>commercial</t>
        </is>
      </c>
      <c r="H119" s="36" t="inlineStr">
        <is>
          <t>life-province</t>
        </is>
      </c>
      <c r="I119" s="36" t="n">
        <v>4</v>
      </c>
      <c r="J119" s="36" t="inlineStr">
        <is>
          <t>https://instasure.ca/term-life-insurance/quebec/</t>
        </is>
      </c>
      <c r="K119" s="36">
        <f>IF(J119="","No","Yes")</f>
        <v/>
      </c>
      <c r="L119" s="39">
        <f>IF(J119="","",IFERROR(IF(ISNUMBER(SEARCH(A119,INDEX(Pages!$J$2:$J$829,MATCH(J119,Pages!$B$2:$B$829,0)))),"Yes","No"),"Page not found"))</f>
        <v/>
      </c>
      <c r="M119" s="25" t="inlineStr">
        <is>
          <t>(none seen)</t>
        </is>
      </c>
      <c r="N119" s="25" t="inlineStr">
        <is>
          <t>Quebec waitlist until AMF registration; English phrase only (French terms listed separately).</t>
        </is>
      </c>
      <c r="O119" s="40" t="n"/>
      <c r="P119" s="38" t="n"/>
      <c r="Q119" s="38" t="n"/>
    </row>
    <row r="120" ht="15" customHeight="1" s="22">
      <c r="A120" s="36" t="inlineStr">
        <is>
          <t>life insurance newfoundland</t>
        </is>
      </c>
      <c r="B120" s="36" t="inlineStr">
        <is>
          <t>Life insurance</t>
        </is>
      </c>
      <c r="C120" s="36" t="inlineStr">
        <is>
          <t>Life Insurance</t>
        </is>
      </c>
      <c r="D120" s="36" t="inlineStr">
        <is>
          <t>Newfoundland and Labrador</t>
        </is>
      </c>
      <c r="E120" s="37" t="n">
        <v>41</v>
      </c>
      <c r="F120" s="36" t="n">
        <v>34</v>
      </c>
      <c r="G120" s="36" t="inlineStr">
        <is>
          <t>commercial</t>
        </is>
      </c>
      <c r="H120" s="36" t="inlineStr">
        <is>
          <t>life-province</t>
        </is>
      </c>
      <c r="I120" s="36" t="n">
        <v>3</v>
      </c>
      <c r="J120" s="36" t="inlineStr">
        <is>
          <t>https://instasure.ca/life-insurance/newfoundland-and-labrador/</t>
        </is>
      </c>
      <c r="K120" s="36">
        <f>IF(J120="","No","Yes")</f>
        <v/>
      </c>
      <c r="L120" s="39">
        <f>IF(J120="","",IFERROR(IF(ISNUMBER(SEARCH(A120,INDEX(Pages!$J$2:$J$829,MATCH(J120,Pages!$B$2:$B$829,0)))),"Yes","No"),"Page not found"))</f>
        <v/>
      </c>
      <c r="M120" s="25" t="inlineStr">
        <is>
          <t>(none seen)</t>
        </is>
      </c>
      <c r="N120" s="25" t="n"/>
      <c r="O120" s="40" t="n"/>
      <c r="P120" s="38" t="n"/>
      <c r="Q120" s="38" t="n"/>
    </row>
    <row r="121" ht="15" customHeight="1" s="22">
      <c r="A121" s="36" t="inlineStr">
        <is>
          <t>critical illness insurance quebec</t>
        </is>
      </c>
      <c r="B121" s="36" t="inlineStr">
        <is>
          <t>Critical illness insurance</t>
        </is>
      </c>
      <c r="C121" s="36" t="inlineStr">
        <is>
          <t>Critical Illness Insurance</t>
        </is>
      </c>
      <c r="D121" s="36" t="inlineStr">
        <is>
          <t>Quebec</t>
        </is>
      </c>
      <c r="E121" s="37" t="n">
        <v>39</v>
      </c>
      <c r="F121" s="36" t="n">
        <v>29</v>
      </c>
      <c r="G121" s="36" t="inlineStr">
        <is>
          <t>commercial</t>
        </is>
      </c>
      <c r="H121" s="36" t="inlineStr">
        <is>
          <t>living-benefits</t>
        </is>
      </c>
      <c r="I121" s="36" t="n">
        <v>4</v>
      </c>
      <c r="J121" s="36" t="inlineStr">
        <is>
          <t>https://instasure.ca/critical-illness-insurance/quebec/</t>
        </is>
      </c>
      <c r="K121" s="36">
        <f>IF(J121="","No","Yes")</f>
        <v/>
      </c>
      <c r="L121" s="39">
        <f>IF(J121="","",IFERROR(IF(ISNUMBER(SEARCH(A121,INDEX(Pages!$J$2:$J$829,MATCH(J121,Pages!$B$2:$B$829,0)))),"Yes","No"),"Page not found"))</f>
        <v/>
      </c>
      <c r="M121" s="25" t="inlineStr">
        <is>
          <t>(none seen)</t>
        </is>
      </c>
      <c r="N121" s="25" t="inlineStr">
        <is>
          <t>Quebec waitlist until AMF registration; English phrase only (French terms listed separately).</t>
        </is>
      </c>
      <c r="O121" s="40" t="n"/>
      <c r="P121" s="38" t="n"/>
      <c r="Q121" s="38" t="n"/>
    </row>
    <row r="122" ht="15" customHeight="1" s="22">
      <c r="A122" s="36" t="inlineStr">
        <is>
          <t>super visa insurance new brunswick</t>
        </is>
      </c>
      <c r="B122" s="36" t="inlineStr">
        <is>
          <t>Super Visa &amp; visitors insurance</t>
        </is>
      </c>
      <c r="C122" s="36" t="inlineStr">
        <is>
          <t>Super Visa Insurance</t>
        </is>
      </c>
      <c r="D122" s="36" t="inlineStr">
        <is>
          <t>New Brunswick</t>
        </is>
      </c>
      <c r="E122" s="37" t="n">
        <v>36</v>
      </c>
      <c r="F122" s="36" t="n">
        <v>24</v>
      </c>
      <c r="G122" s="36" t="inlineStr">
        <is>
          <t>commercial</t>
        </is>
      </c>
      <c r="H122" s="36" t="inlineStr">
        <is>
          <t>travel-visitors</t>
        </is>
      </c>
      <c r="I122" s="36" t="n">
        <v>4</v>
      </c>
      <c r="J122" s="36" t="inlineStr">
        <is>
          <t>https://instasure.ca/super-visa-insurance/new-brunswick/</t>
        </is>
      </c>
      <c r="K122" s="36">
        <f>IF(J122="","No","Yes")</f>
        <v/>
      </c>
      <c r="L122" s="39">
        <f>IF(J122="","",IFERROR(IF(ISNUMBER(SEARCH(A122,INDEX(Pages!$J$2:$J$829,MATCH(J122,Pages!$B$2:$B$829,0)))),"Yes","No"),"Page not found"))</f>
        <v/>
      </c>
      <c r="M122" s="25" t="inlineStr">
        <is>
          <t>(none seen)</t>
        </is>
      </c>
      <c r="N122" s="25" t="inlineStr">
        <is>
          <t>Province page targets super visa buyers sponsoring parents locally.</t>
        </is>
      </c>
      <c r="O122" s="40" t="n"/>
      <c r="P122" s="38" t="n"/>
      <c r="Q122" s="38" t="n"/>
    </row>
    <row r="123" ht="15" customHeight="1" s="22">
      <c r="A123" s="36" t="inlineStr">
        <is>
          <t>condo insurance newfoundland</t>
        </is>
      </c>
      <c r="B123" s="36" t="inlineStr">
        <is>
          <t>Condo insurance</t>
        </is>
      </c>
      <c r="C123" s="36" t="inlineStr">
        <is>
          <t>Condo Insurance</t>
        </is>
      </c>
      <c r="D123" s="36" t="inlineStr">
        <is>
          <t>Newfoundland and Labrador</t>
        </is>
      </c>
      <c r="E123" s="37" t="n">
        <v>33</v>
      </c>
      <c r="F123" s="36" t="n">
        <v>29</v>
      </c>
      <c r="G123" s="36" t="inlineStr">
        <is>
          <t>commercial</t>
        </is>
      </c>
      <c r="H123" s="36" t="inlineStr">
        <is>
          <t>property-province</t>
        </is>
      </c>
      <c r="I123" s="36" t="n">
        <v>5</v>
      </c>
      <c r="J123" s="36" t="inlineStr">
        <is>
          <t>https://instasure.ca/condo-insurance/newfoundland-and-labrador/</t>
        </is>
      </c>
      <c r="K123" s="36">
        <f>IF(J123="","No","Yes")</f>
        <v/>
      </c>
      <c r="L123" s="39">
        <f>IF(J123="","",IFERROR(IF(ISNUMBER(SEARCH(A123,INDEX(Pages!$J$2:$J$829,MATCH(J123,Pages!$B$2:$B$829,0)))),"Yes","No"),"Page not found"))</f>
        <v/>
      </c>
      <c r="M123" s="25" t="inlineStr">
        <is>
          <t>(none seen)</t>
        </is>
      </c>
      <c r="N123" s="25" t="n"/>
      <c r="O123" s="40" t="n"/>
      <c r="P123" s="38" t="n"/>
      <c r="Q123" s="38" t="n"/>
    </row>
    <row r="124" ht="15" customHeight="1" s="22">
      <c r="A124" s="36" t="inlineStr">
        <is>
          <t>mortgage life insurance quebec</t>
        </is>
      </c>
      <c r="B124" s="36" t="inlineStr">
        <is>
          <t>Mortgage protection</t>
        </is>
      </c>
      <c r="C124" s="36" t="inlineStr">
        <is>
          <t>Mortgage Life Insurance</t>
        </is>
      </c>
      <c r="D124" s="36" t="inlineStr">
        <is>
          <t>Quebec</t>
        </is>
      </c>
      <c r="E124" s="37" t="n">
        <v>30</v>
      </c>
      <c r="F124" s="36" t="n">
        <v>29</v>
      </c>
      <c r="G124" s="36" t="inlineStr">
        <is>
          <t>commercial</t>
        </is>
      </c>
      <c r="H124" s="36" t="inlineStr">
        <is>
          <t>life-mortgage</t>
        </is>
      </c>
      <c r="I124" s="36" t="n">
        <v>5</v>
      </c>
      <c r="J124" s="36" t="inlineStr">
        <is>
          <t>https://instasure.ca/mortgage-life-insurance/quebec/</t>
        </is>
      </c>
      <c r="K124" s="36">
        <f>IF(J124="","No","Yes")</f>
        <v/>
      </c>
      <c r="L124" s="39">
        <f>IF(J124="","",IFERROR(IF(ISNUMBER(SEARCH(A124,INDEX(Pages!$J$2:$J$829,MATCH(J124,Pages!$B$2:$B$829,0)))),"Yes","No"),"Page not found"))</f>
        <v/>
      </c>
      <c r="M124" s="25" t="inlineStr">
        <is>
          <t>(none seen)</t>
        </is>
      </c>
      <c r="N124" s="25" t="inlineStr">
        <is>
          <t>Quebec waitlist until AMF registration; English phrase only (French terms listed separately).</t>
        </is>
      </c>
      <c r="O124" s="40" t="n"/>
      <c r="P124" s="38" t="n"/>
      <c r="Q124" s="38" t="n"/>
    </row>
    <row r="125" ht="15" customHeight="1" s="22">
      <c r="A125" s="36" t="inlineStr">
        <is>
          <t>disability insurance manitoba</t>
        </is>
      </c>
      <c r="B125" s="36" t="inlineStr">
        <is>
          <t>Disability insurance</t>
        </is>
      </c>
      <c r="C125" s="36" t="inlineStr">
        <is>
          <t>Disability Insurance</t>
        </is>
      </c>
      <c r="D125" s="36" t="inlineStr">
        <is>
          <t>Manitoba</t>
        </is>
      </c>
      <c r="E125" s="37" t="n">
        <v>29</v>
      </c>
      <c r="F125" s="36" t="n">
        <v>22</v>
      </c>
      <c r="G125" s="36" t="inlineStr">
        <is>
          <t>commercial</t>
        </is>
      </c>
      <c r="H125" s="36" t="inlineStr">
        <is>
          <t>living-benefits</t>
        </is>
      </c>
      <c r="I125" s="36" t="n">
        <v>3</v>
      </c>
      <c r="J125" s="36" t="inlineStr">
        <is>
          <t>https://instasure.ca/disability-insurance/manitoba/</t>
        </is>
      </c>
      <c r="K125" s="36">
        <f>IF(J125="","No","Yes")</f>
        <v/>
      </c>
      <c r="L125" s="39">
        <f>IF(J125="","",IFERROR(IF(ISNUMBER(SEARCH(A125,INDEX(Pages!$J$2:$J$829,MATCH(J125,Pages!$B$2:$B$829,0)))),"Yes","No"),"Page not found"))</f>
        <v/>
      </c>
      <c r="M125" s="25" t="inlineStr">
        <is>
          <t>(none seen)</t>
        </is>
      </c>
      <c r="N125" s="25" t="n"/>
      <c r="O125" s="40" t="n"/>
      <c r="P125" s="38" t="n"/>
      <c r="Q125" s="38" t="n"/>
    </row>
    <row r="126" ht="15" customHeight="1" s="22">
      <c r="A126" s="36" t="inlineStr">
        <is>
          <t>contractor insurance manitoba</t>
        </is>
      </c>
      <c r="B126" s="36" t="inlineStr">
        <is>
          <t>Contractor &amp; trades insurance</t>
        </is>
      </c>
      <c r="C126" s="36" t="inlineStr">
        <is>
          <t>Contractor Insurance</t>
        </is>
      </c>
      <c r="D126" s="36" t="inlineStr">
        <is>
          <t>Manitoba</t>
        </is>
      </c>
      <c r="E126" s="37" t="n">
        <v>26</v>
      </c>
      <c r="F126" s="36" t="n">
        <v>19</v>
      </c>
      <c r="G126" s="36" t="inlineStr">
        <is>
          <t>commercial</t>
        </is>
      </c>
      <c r="H126" s="36" t="inlineStr">
        <is>
          <t>business-province</t>
        </is>
      </c>
      <c r="I126" s="36" t="n">
        <v>3</v>
      </c>
      <c r="J126" s="36" t="inlineStr">
        <is>
          <t>https://instasure.ca/contractor-insurance/manitoba/</t>
        </is>
      </c>
      <c r="K126" s="36">
        <f>IF(J126="","No","Yes")</f>
        <v/>
      </c>
      <c r="L126" s="39">
        <f>IF(J126="","",IFERROR(IF(ISNUMBER(SEARCH(A126,INDEX(Pages!$J$2:$J$829,MATCH(J126,Pages!$B$2:$B$829,0)))),"Yes","No"),"Page not found"))</f>
        <v/>
      </c>
      <c r="M126" s="25" t="inlineStr">
        <is>
          <t>(none seen)</t>
        </is>
      </c>
      <c r="N126" s="25" t="n"/>
      <c r="O126" s="40" t="n"/>
      <c r="P126" s="38" t="n"/>
      <c r="Q126" s="38" t="n"/>
    </row>
    <row r="127" ht="15" customHeight="1" s="22">
      <c r="A127" s="36" t="inlineStr">
        <is>
          <t>group benefits quebec</t>
        </is>
      </c>
      <c r="B127" s="36" t="inlineStr">
        <is>
          <t>Group benefits</t>
        </is>
      </c>
      <c r="C127" s="36" t="inlineStr">
        <is>
          <t>Group Benefits</t>
        </is>
      </c>
      <c r="D127" s="36" t="inlineStr">
        <is>
          <t>Quebec</t>
        </is>
      </c>
      <c r="E127" s="37" t="n">
        <v>26</v>
      </c>
      <c r="F127" s="36" t="n">
        <v>29</v>
      </c>
      <c r="G127" s="36" t="inlineStr">
        <is>
          <t>commercial</t>
        </is>
      </c>
      <c r="H127" s="36" t="inlineStr">
        <is>
          <t>business-benefits</t>
        </is>
      </c>
      <c r="I127" s="36" t="n">
        <v>4</v>
      </c>
      <c r="J127" s="36" t="inlineStr">
        <is>
          <t>https://instasure.ca/group-benefits/quebec/</t>
        </is>
      </c>
      <c r="K127" s="36">
        <f>IF(J127="","No","Yes")</f>
        <v/>
      </c>
      <c r="L127" s="39">
        <f>IF(J127="","",IFERROR(IF(ISNUMBER(SEARCH(A127,INDEX(Pages!$J$2:$J$829,MATCH(J127,Pages!$B$2:$B$829,0)))),"Yes","No"),"Page not found"))</f>
        <v/>
      </c>
      <c r="M127" s="25" t="inlineStr">
        <is>
          <t>(none seen)</t>
        </is>
      </c>
      <c r="N127" s="25" t="inlineStr">
        <is>
          <t>Quebec waitlist until AMF registration; English phrase only (French terms listed separately).</t>
        </is>
      </c>
      <c r="O127" s="40" t="n"/>
      <c r="P127" s="38" t="n"/>
      <c r="Q127" s="38" t="n"/>
    </row>
    <row r="128" ht="15" customHeight="1" s="22">
      <c r="A128" s="36" t="inlineStr">
        <is>
          <t>term life insurance manitoba</t>
        </is>
      </c>
      <c r="B128" s="36" t="inlineStr">
        <is>
          <t>Life insurance</t>
        </is>
      </c>
      <c r="C128" s="36" t="inlineStr">
        <is>
          <t>Term Life Insurance</t>
        </is>
      </c>
      <c r="D128" s="36" t="inlineStr">
        <is>
          <t>Manitoba</t>
        </is>
      </c>
      <c r="E128" s="37" t="n">
        <v>26</v>
      </c>
      <c r="F128" s="36" t="n">
        <v>28</v>
      </c>
      <c r="G128" s="36" t="inlineStr">
        <is>
          <t>commercial</t>
        </is>
      </c>
      <c r="H128" s="36" t="inlineStr">
        <is>
          <t>life-province</t>
        </is>
      </c>
      <c r="I128" s="36" t="n">
        <v>4</v>
      </c>
      <c r="J128" s="36" t="inlineStr">
        <is>
          <t>https://instasure.ca/term-life-insurance/manitoba/</t>
        </is>
      </c>
      <c r="K128" s="36">
        <f>IF(J128="","No","Yes")</f>
        <v/>
      </c>
      <c r="L128" s="39">
        <f>IF(J128="","",IFERROR(IF(ISNUMBER(SEARCH(A128,INDEX(Pages!$J$2:$J$829,MATCH(J128,Pages!$B$2:$B$829,0)))),"Yes","No"),"Page not found"))</f>
        <v/>
      </c>
      <c r="M128" s="25" t="inlineStr">
        <is>
          <t>policyadvisor</t>
        </is>
      </c>
      <c r="N128" s="25" t="n"/>
      <c r="O128" s="40" t="n"/>
      <c r="P128" s="38" t="n"/>
      <c r="Q128" s="38" t="n"/>
    </row>
    <row r="129" ht="15" customHeight="1" s="22">
      <c r="A129" s="36" t="inlineStr">
        <is>
          <t>disability insurance saskatchewan</t>
        </is>
      </c>
      <c r="B129" s="36" t="inlineStr">
        <is>
          <t>Disability insurance</t>
        </is>
      </c>
      <c r="C129" s="36" t="inlineStr">
        <is>
          <t>Disability Insurance</t>
        </is>
      </c>
      <c r="D129" s="36" t="inlineStr">
        <is>
          <t>Saskatchewan</t>
        </is>
      </c>
      <c r="E129" s="37" t="n">
        <v>25</v>
      </c>
      <c r="F129" s="36" t="n">
        <v>22</v>
      </c>
      <c r="G129" s="36" t="inlineStr">
        <is>
          <t>commercial</t>
        </is>
      </c>
      <c r="H129" s="36" t="inlineStr">
        <is>
          <t>living-benefits</t>
        </is>
      </c>
      <c r="I129" s="36" t="n">
        <v>3</v>
      </c>
      <c r="J129" s="36" t="inlineStr">
        <is>
          <t>https://instasure.ca/disability-insurance/saskatchewan/</t>
        </is>
      </c>
      <c r="K129" s="36">
        <f>IF(J129="","No","Yes")</f>
        <v/>
      </c>
      <c r="L129" s="39">
        <f>IF(J129="","",IFERROR(IF(ISNUMBER(SEARCH(A129,INDEX(Pages!$J$2:$J$829,MATCH(J129,Pages!$B$2:$B$829,0)))),"Yes","No"),"Page not found"))</f>
        <v/>
      </c>
      <c r="M129" s="25" t="inlineStr">
        <is>
          <t>(none seen)</t>
        </is>
      </c>
      <c r="N129" s="25" t="n"/>
      <c r="O129" s="40" t="n"/>
      <c r="P129" s="38" t="n"/>
      <c r="Q129" s="38" t="n"/>
    </row>
    <row r="130" ht="15" customHeight="1" s="22">
      <c r="A130" s="36" t="inlineStr">
        <is>
          <t>super visa insurance newfoundland</t>
        </is>
      </c>
      <c r="B130" s="36" t="inlineStr">
        <is>
          <t>Super Visa &amp; visitors insurance</t>
        </is>
      </c>
      <c r="C130" s="36" t="inlineStr">
        <is>
          <t>Super Visa Insurance</t>
        </is>
      </c>
      <c r="D130" s="36" t="inlineStr">
        <is>
          <t>Newfoundland and Labrador</t>
        </is>
      </c>
      <c r="E130" s="37" t="n">
        <v>25</v>
      </c>
      <c r="F130" s="36" t="n">
        <v>24</v>
      </c>
      <c r="G130" s="36" t="inlineStr">
        <is>
          <t>commercial</t>
        </is>
      </c>
      <c r="H130" s="36" t="inlineStr">
        <is>
          <t>travel-visitors</t>
        </is>
      </c>
      <c r="I130" s="36" t="n">
        <v>5</v>
      </c>
      <c r="J130" s="36" t="inlineStr">
        <is>
          <t>https://instasure.ca/super-visa-insurance/newfoundland-and-labrador/</t>
        </is>
      </c>
      <c r="K130" s="36">
        <f>IF(J130="","No","Yes")</f>
        <v/>
      </c>
      <c r="L130" s="39">
        <f>IF(J130="","",IFERROR(IF(ISNUMBER(SEARCH(A130,INDEX(Pages!$J$2:$J$829,MATCH(J130,Pages!$B$2:$B$829,0)))),"Yes","No"),"Page not found"))</f>
        <v/>
      </c>
      <c r="M130" s="25" t="inlineStr">
        <is>
          <t>(none seen)</t>
        </is>
      </c>
      <c r="N130" s="25" t="inlineStr">
        <is>
          <t>Province page targets super visa buyers sponsoring parents locally.</t>
        </is>
      </c>
      <c r="O130" s="40" t="n"/>
      <c r="P130" s="38" t="n"/>
      <c r="Q130" s="38" t="n"/>
    </row>
    <row r="131" ht="15" customHeight="1" s="22">
      <c r="A131" s="36" t="inlineStr">
        <is>
          <t>tenant insurance pei</t>
        </is>
      </c>
      <c r="B131" s="36" t="inlineStr">
        <is>
          <t>Tenant insurance</t>
        </is>
      </c>
      <c r="C131" s="36" t="inlineStr">
        <is>
          <t>Tenant Insurance</t>
        </is>
      </c>
      <c r="D131" s="36" t="inlineStr">
        <is>
          <t>Prince Edward Island</t>
        </is>
      </c>
      <c r="E131" s="37" t="n">
        <v>25</v>
      </c>
      <c r="F131" s="36" t="n">
        <v>32</v>
      </c>
      <c r="G131" s="36" t="inlineStr">
        <is>
          <t>commercial</t>
        </is>
      </c>
      <c r="H131" s="36" t="inlineStr">
        <is>
          <t>property-province</t>
        </is>
      </c>
      <c r="I131" s="36" t="n">
        <v>5</v>
      </c>
      <c r="J131" s="36" t="inlineStr">
        <is>
          <t>https://instasure.ca/tenant-insurance/prince-edward-island/</t>
        </is>
      </c>
      <c r="K131" s="36">
        <f>IF(J131="","No","Yes")</f>
        <v/>
      </c>
      <c r="L131" s="39">
        <f>IF(J131="","",IFERROR(IF(ISNUMBER(SEARCH(A131,INDEX(Pages!$J$2:$J$829,MATCH(J131,Pages!$B$2:$B$829,0)))),"Yes","No"),"Page not found"))</f>
        <v/>
      </c>
      <c r="M131" s="25" t="inlineStr">
        <is>
          <t>(none seen)</t>
        </is>
      </c>
      <c r="N131" s="25" t="n"/>
      <c r="O131" s="40" t="n"/>
      <c r="P131" s="38" t="n"/>
      <c r="Q131" s="38" t="n"/>
    </row>
    <row r="132" ht="15" customHeight="1" s="22">
      <c r="A132" s="36" t="inlineStr">
        <is>
          <t>critical illness insurance manitoba</t>
        </is>
      </c>
      <c r="B132" s="36" t="inlineStr">
        <is>
          <t>Critical illness insurance</t>
        </is>
      </c>
      <c r="C132" s="36" t="inlineStr">
        <is>
          <t>Critical Illness Insurance</t>
        </is>
      </c>
      <c r="D132" s="36" t="inlineStr">
        <is>
          <t>Manitoba</t>
        </is>
      </c>
      <c r="E132" s="37" t="n">
        <v>23</v>
      </c>
      <c r="F132" s="36" t="n">
        <v>19</v>
      </c>
      <c r="G132" s="36" t="inlineStr">
        <is>
          <t>commercial</t>
        </is>
      </c>
      <c r="H132" s="36" t="inlineStr">
        <is>
          <t>living-benefits</t>
        </is>
      </c>
      <c r="I132" s="36" t="n">
        <v>3</v>
      </c>
      <c r="J132" s="36" t="inlineStr">
        <is>
          <t>https://instasure.ca/critical-illness-insurance/manitoba/</t>
        </is>
      </c>
      <c r="K132" s="36">
        <f>IF(J132="","No","Yes")</f>
        <v/>
      </c>
      <c r="L132" s="39">
        <f>IF(J132="","",IFERROR(IF(ISNUMBER(SEARCH(A132,INDEX(Pages!$J$2:$J$829,MATCH(J132,Pages!$B$2:$B$829,0)))),"Yes","No"),"Page not found"))</f>
        <v/>
      </c>
      <c r="M132" s="25" t="inlineStr">
        <is>
          <t>(none seen)</t>
        </is>
      </c>
      <c r="N132" s="25" t="n"/>
      <c r="O132" s="40" t="n"/>
      <c r="P132" s="38" t="n"/>
      <c r="Q132" s="38" t="n"/>
    </row>
    <row r="133" ht="15" customHeight="1" s="22">
      <c r="A133" s="36" t="inlineStr">
        <is>
          <t>contractor insurance saskatchewan</t>
        </is>
      </c>
      <c r="B133" s="36" t="inlineStr">
        <is>
          <t>Contractor &amp; trades insurance</t>
        </is>
      </c>
      <c r="C133" s="36" t="inlineStr">
        <is>
          <t>Contractor Insurance</t>
        </is>
      </c>
      <c r="D133" s="36" t="inlineStr">
        <is>
          <t>Saskatchewan</t>
        </is>
      </c>
      <c r="E133" s="37" t="n">
        <v>22</v>
      </c>
      <c r="F133" s="36" t="n">
        <v>19</v>
      </c>
      <c r="G133" s="36" t="inlineStr">
        <is>
          <t>commercial</t>
        </is>
      </c>
      <c r="H133" s="36" t="inlineStr">
        <is>
          <t>business-province</t>
        </is>
      </c>
      <c r="I133" s="36" t="n">
        <v>3</v>
      </c>
      <c r="J133" s="36" t="inlineStr">
        <is>
          <t>https://instasure.ca/contractor-insurance/saskatchewan/</t>
        </is>
      </c>
      <c r="K133" s="36">
        <f>IF(J133="","No","Yes")</f>
        <v/>
      </c>
      <c r="L133" s="39">
        <f>IF(J133="","",IFERROR(IF(ISNUMBER(SEARCH(A133,INDEX(Pages!$J$2:$J$829,MATCH(J133,Pages!$B$2:$B$829,0)))),"Yes","No"),"Page not found"))</f>
        <v/>
      </c>
      <c r="M133" s="25" t="inlineStr">
        <is>
          <t>(none seen)</t>
        </is>
      </c>
      <c r="N133" s="25" t="n"/>
      <c r="O133" s="40" t="n"/>
      <c r="P133" s="38" t="n"/>
      <c r="Q133" s="38" t="n"/>
    </row>
    <row r="134" ht="15" customHeight="1" s="22">
      <c r="A134" s="36" t="inlineStr">
        <is>
          <t>term life insurance saskatchewan</t>
        </is>
      </c>
      <c r="B134" s="36" t="inlineStr">
        <is>
          <t>Life insurance</t>
        </is>
      </c>
      <c r="C134" s="36" t="inlineStr">
        <is>
          <t>Term Life Insurance</t>
        </is>
      </c>
      <c r="D134" s="36" t="inlineStr">
        <is>
          <t>Saskatchewan</t>
        </is>
      </c>
      <c r="E134" s="37" t="n">
        <v>22</v>
      </c>
      <c r="F134" s="36" t="n">
        <v>24</v>
      </c>
      <c r="G134" s="36" t="inlineStr">
        <is>
          <t>commercial</t>
        </is>
      </c>
      <c r="H134" s="36" t="inlineStr">
        <is>
          <t>life-province</t>
        </is>
      </c>
      <c r="I134" s="36" t="n">
        <v>3</v>
      </c>
      <c r="J134" s="36" t="inlineStr">
        <is>
          <t>https://instasure.ca/term-life-insurance/saskatchewan/</t>
        </is>
      </c>
      <c r="K134" s="36">
        <f>IF(J134="","No","Yes")</f>
        <v/>
      </c>
      <c r="L134" s="39">
        <f>IF(J134="","",IFERROR(IF(ISNUMBER(SEARCH(A134,INDEX(Pages!$J$2:$J$829,MATCH(J134,Pages!$B$2:$B$829,0)))),"Yes","No"),"Page not found"))</f>
        <v/>
      </c>
      <c r="M134" s="25" t="inlineStr">
        <is>
          <t>(none seen)</t>
        </is>
      </c>
      <c r="N134" s="25" t="n"/>
      <c r="O134" s="40" t="n"/>
      <c r="P134" s="38" t="n"/>
      <c r="Q134" s="38" t="n"/>
    </row>
    <row r="135" ht="15" customHeight="1" s="22">
      <c r="A135" s="36" t="inlineStr">
        <is>
          <t>disability insurance nova scotia</t>
        </is>
      </c>
      <c r="B135" s="36" t="inlineStr">
        <is>
          <t>Disability insurance</t>
        </is>
      </c>
      <c r="C135" s="36" t="inlineStr">
        <is>
          <t>Disability Insurance</t>
        </is>
      </c>
      <c r="D135" s="36" t="inlineStr">
        <is>
          <t>Nova Scotia</t>
        </is>
      </c>
      <c r="E135" s="37" t="n">
        <v>21</v>
      </c>
      <c r="F135" s="36" t="n">
        <v>22</v>
      </c>
      <c r="G135" s="36" t="inlineStr">
        <is>
          <t>commercial</t>
        </is>
      </c>
      <c r="H135" s="36" t="inlineStr">
        <is>
          <t>living-benefits</t>
        </is>
      </c>
      <c r="I135" s="36" t="n">
        <v>3</v>
      </c>
      <c r="J135" s="36" t="inlineStr">
        <is>
          <t>https://instasure.ca/disability-insurance/nova-scotia/</t>
        </is>
      </c>
      <c r="K135" s="36">
        <f>IF(J135="","No","Yes")</f>
        <v/>
      </c>
      <c r="L135" s="39">
        <f>IF(J135="","",IFERROR(IF(ISNUMBER(SEARCH(A135,INDEX(Pages!$J$2:$J$829,MATCH(J135,Pages!$B$2:$B$829,0)))),"Yes","No"),"Page not found"))</f>
        <v/>
      </c>
      <c r="M135" s="25" t="inlineStr">
        <is>
          <t>(none seen)</t>
        </is>
      </c>
      <c r="N135" s="25" t="n"/>
      <c r="O135" s="40" t="n"/>
      <c r="P135" s="38" t="n"/>
      <c r="Q135" s="38" t="n"/>
    </row>
    <row r="136" ht="15" customHeight="1" s="22">
      <c r="A136" s="36" t="inlineStr">
        <is>
          <t>critical illness insurance saskatchewan</t>
        </is>
      </c>
      <c r="B136" s="36" t="inlineStr">
        <is>
          <t>Critical illness insurance</t>
        </is>
      </c>
      <c r="C136" s="36" t="inlineStr">
        <is>
          <t>Critical Illness Insurance</t>
        </is>
      </c>
      <c r="D136" s="36" t="inlineStr">
        <is>
          <t>Saskatchewan</t>
        </is>
      </c>
      <c r="E136" s="37" t="n">
        <v>20</v>
      </c>
      <c r="F136" s="36" t="n">
        <v>19</v>
      </c>
      <c r="G136" s="36" t="inlineStr">
        <is>
          <t>commercial</t>
        </is>
      </c>
      <c r="H136" s="36" t="inlineStr">
        <is>
          <t>living-benefits</t>
        </is>
      </c>
      <c r="I136" s="36" t="n">
        <v>3</v>
      </c>
      <c r="J136" s="36" t="inlineStr">
        <is>
          <t>https://instasure.ca/critical-illness-insurance/saskatchewan/</t>
        </is>
      </c>
      <c r="K136" s="36">
        <f>IF(J136="","No","Yes")</f>
        <v/>
      </c>
      <c r="L136" s="39">
        <f>IF(J136="","",IFERROR(IF(ISNUMBER(SEARCH(A136,INDEX(Pages!$J$2:$J$829,MATCH(J136,Pages!$B$2:$B$829,0)))),"Yes","No"),"Page not found"))</f>
        <v/>
      </c>
      <c r="M136" s="25" t="inlineStr">
        <is>
          <t>(none seen)</t>
        </is>
      </c>
      <c r="N136" s="25" t="n"/>
      <c r="O136" s="40" t="n"/>
      <c r="P136" s="38" t="n"/>
      <c r="Q136" s="38" t="n"/>
    </row>
    <row r="137" ht="15" customHeight="1" s="22">
      <c r="A137" s="36" t="inlineStr">
        <is>
          <t>health insurance pei</t>
        </is>
      </c>
      <c r="B137" s="36" t="inlineStr">
        <is>
          <t>Health &amp; dental insurance</t>
        </is>
      </c>
      <c r="C137" s="36" t="inlineStr">
        <is>
          <t>Health &amp; Dental Insurance</t>
        </is>
      </c>
      <c r="D137" s="36" t="inlineStr">
        <is>
          <t>Prince Edward Island</t>
        </is>
      </c>
      <c r="E137" s="37" t="n">
        <v>20</v>
      </c>
      <c r="F137" s="36" t="n">
        <v>39</v>
      </c>
      <c r="G137" s="36" t="inlineStr">
        <is>
          <t>commercial</t>
        </is>
      </c>
      <c r="H137" s="36" t="inlineStr">
        <is>
          <t>health-province</t>
        </is>
      </c>
      <c r="I137" s="36" t="n">
        <v>5</v>
      </c>
      <c r="J137" s="36" t="inlineStr">
        <is>
          <t>https://instasure.ca/health-dental-insurance/prince-edward-island/</t>
        </is>
      </c>
      <c r="K137" s="36">
        <f>IF(J137="","No","Yes")</f>
        <v/>
      </c>
      <c r="L137" s="39">
        <f>IF(J137="","",IFERROR(IF(ISNUMBER(SEARCH(A137,INDEX(Pages!$J$2:$J$829,MATCH(J137,Pages!$B$2:$B$829,0)))),"Yes","No"),"Page not found"))</f>
        <v/>
      </c>
      <c r="M137" s="25" t="inlineStr">
        <is>
          <t>(none seen)</t>
        </is>
      </c>
      <c r="N137" s="25" t="n"/>
      <c r="O137" s="40" t="n"/>
      <c r="P137" s="38" t="n"/>
      <c r="Q137" s="38" t="n"/>
    </row>
  </sheetData>
  <autoFilter ref="A1:Q1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tabColor rgb="FF7A8CA0"/>
    <outlinePr summaryBelow="1" summaryRight="1"/>
    <pageSetUpPr fitToPage="0"/>
  </sheetPr>
  <dimension ref="A1:R4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40" customWidth="1" style="21" min="1" max="1"/>
    <col width="24" customWidth="1" style="21" min="2" max="2"/>
    <col width="22" customWidth="1" style="21" min="3" max="3"/>
    <col width="16" customWidth="1" style="21" min="4" max="4"/>
    <col width="15" customWidth="1" style="21" min="5" max="5"/>
    <col width="12" customWidth="1" style="21" min="6" max="6"/>
    <col width="10" customWidth="1" style="21" min="7" max="7"/>
    <col width="13" customWidth="1" style="21" min="8" max="8"/>
    <col width="18" customWidth="1" style="21" min="9" max="9"/>
    <col width="9" customWidth="1" style="21" min="10" max="10"/>
    <col width="50" customWidth="1" style="21" min="11" max="11"/>
    <col width="9" customWidth="1" style="21" min="12" max="12"/>
    <col width="11" customWidth="1" style="21" min="13" max="13"/>
    <col width="40" customWidth="1" style="21" min="14" max="14"/>
    <col width="60" customWidth="1" style="21" min="15" max="15"/>
    <col width="14" customWidth="1" style="21" min="16" max="16"/>
    <col width="11" customWidth="1" style="21" min="17" max="17"/>
    <col width="12" customWidth="1" style="21" min="18" max="18"/>
  </cols>
  <sheetData>
    <row r="1" ht="31.5" customHeight="1" s="22">
      <c r="A1" s="30" t="inlineStr">
        <is>
          <t>Keyword</t>
        </is>
      </c>
      <c r="B1" s="30" t="inlineStr">
        <is>
          <t>Insurance segment</t>
        </is>
      </c>
      <c r="C1" s="30" t="inlineStr">
        <is>
          <t>Product line</t>
        </is>
      </c>
      <c r="D1" s="30" t="inlineStr">
        <is>
          <t>Province</t>
        </is>
      </c>
      <c r="E1" s="30" t="inlineStr">
        <is>
          <t>City</t>
        </is>
      </c>
      <c r="F1" s="30" t="inlineStr">
        <is>
          <t>Volume / mo (modelled)</t>
        </is>
      </c>
      <c r="G1" s="30" t="inlineStr">
        <is>
          <t>Difficulty (0–100)</t>
        </is>
      </c>
      <c r="H1" s="30" t="inlineStr">
        <is>
          <t>Intent</t>
        </is>
      </c>
      <c r="I1" s="30" t="inlineStr">
        <is>
          <t>Cluster</t>
        </is>
      </c>
      <c r="J1" s="30" t="inlineStr">
        <is>
          <t>Priority (1 = first)</t>
        </is>
      </c>
      <c r="K1" s="30" t="inlineStr">
        <is>
          <t>Target page</t>
        </is>
      </c>
      <c r="L1" s="30" t="inlineStr">
        <is>
          <t>Mapped?</t>
        </is>
      </c>
      <c r="M1" s="30" t="inlineStr">
        <is>
          <t>Keyword in target title?</t>
        </is>
      </c>
      <c r="N1" s="30" t="inlineStr">
        <is>
          <t>Competitors seen</t>
        </is>
      </c>
      <c r="O1" s="30" t="inlineStr">
        <is>
          <t>Notes / planned URL</t>
        </is>
      </c>
      <c r="P1" s="30" t="inlineStr">
        <is>
          <t>Measured volume (Keyword Planner)</t>
        </is>
      </c>
      <c r="Q1" s="30" t="inlineStr">
        <is>
          <t>Current Google rank</t>
        </is>
      </c>
      <c r="R1" s="30" t="inlineStr">
        <is>
          <t>Last checked</t>
        </is>
      </c>
    </row>
    <row r="2" ht="23.85" customHeight="1" s="22">
      <c r="A2" s="36" t="inlineStr">
        <is>
          <t>car insurance toronto</t>
        </is>
      </c>
      <c r="B2" s="36" t="inlineStr">
        <is>
          <t>Car insurance</t>
        </is>
      </c>
      <c r="C2" s="36" t="inlineStr">
        <is>
          <t>Car Insurance</t>
        </is>
      </c>
      <c r="D2" s="36" t="inlineStr">
        <is>
          <t>Ontario</t>
        </is>
      </c>
      <c r="E2" s="36" t="inlineStr">
        <is>
          <t>Toronto</t>
        </is>
      </c>
      <c r="F2" s="37" t="n">
        <v>6600</v>
      </c>
      <c r="G2" s="36" t="n">
        <v>84</v>
      </c>
      <c r="H2" s="36" t="inlineStr">
        <is>
          <t>local</t>
        </is>
      </c>
      <c r="I2" s="36" t="inlineStr">
        <is>
          <t>auto-local</t>
        </is>
      </c>
      <c r="J2" s="36" t="n">
        <v>1</v>
      </c>
      <c r="K2" s="36" t="inlineStr">
        <is>
          <t>https://instasure.ca/car-insurance/ontario/toronto/</t>
        </is>
      </c>
      <c r="L2" s="36">
        <f>IF(K2="","No","Yes")</f>
        <v/>
      </c>
      <c r="M2" s="39">
        <f>IF(K2="","",IFERROR(IF(ISNUMBER(SEARCH(A2,INDEX(Pages!$J$2:$J$829,MATCH(K2,Pages!$B$2:$B$829,0)))),"Yes","No"),"Page not found"))</f>
        <v/>
      </c>
      <c r="N2" s="25" t="inlineStr">
        <is>
          <t>ratehub, rates.ca, sonnet, mychoice/squareone/thinkinsure</t>
        </is>
      </c>
      <c r="O2" s="25" t="inlineStr">
        <is>
          <t>Competitor city pages here are thin or carry stale dates (October 2026 review): freshness opening.</t>
        </is>
      </c>
      <c r="P2" s="40" t="n"/>
      <c r="Q2" s="38" t="n"/>
      <c r="R2" s="38" t="n"/>
    </row>
    <row r="3" ht="23.85" customHeight="1" s="22">
      <c r="A3" s="36" t="inlineStr">
        <is>
          <t>car insurance brampton</t>
        </is>
      </c>
      <c r="B3" s="36" t="inlineStr">
        <is>
          <t>Car insurance</t>
        </is>
      </c>
      <c r="C3" s="36" t="inlineStr">
        <is>
          <t>Car Insurance</t>
        </is>
      </c>
      <c r="D3" s="36" t="inlineStr">
        <is>
          <t>Ontario</t>
        </is>
      </c>
      <c r="E3" s="36" t="inlineStr">
        <is>
          <t>Brampton</t>
        </is>
      </c>
      <c r="F3" s="37" t="n">
        <v>2900</v>
      </c>
      <c r="G3" s="36" t="n">
        <v>76</v>
      </c>
      <c r="H3" s="36" t="inlineStr">
        <is>
          <t>local</t>
        </is>
      </c>
      <c r="I3" s="36" t="inlineStr">
        <is>
          <t>auto-local</t>
        </is>
      </c>
      <c r="J3" s="36" t="n">
        <v>1</v>
      </c>
      <c r="K3" s="36" t="inlineStr">
        <is>
          <t>https://instasure.ca/car-insurance/ontario/brampton/</t>
        </is>
      </c>
      <c r="L3" s="36">
        <f>IF(K3="","No","Yes")</f>
        <v/>
      </c>
      <c r="M3" s="39">
        <f>IF(K3="","",IFERROR(IF(ISNUMBER(SEARCH(A3,INDEX(Pages!$J$2:$J$829,MATCH(K3,Pages!$B$2:$B$829,0)))),"Yes","No"),"Page not found"))</f>
        <v/>
      </c>
      <c r="N3" s="25" t="inlineStr">
        <is>
          <t>ratehub, rates.ca, mychoice/squareone/thinkinsure</t>
        </is>
      </c>
      <c r="O3" s="25" t="inlineStr">
        <is>
          <t>Competitor city pages here are thin or carry stale dates (October 2026 review): freshness opening.</t>
        </is>
      </c>
      <c r="P3" s="40" t="n"/>
      <c r="Q3" s="38" t="n"/>
      <c r="R3" s="38" t="n"/>
    </row>
    <row r="4" ht="15" customHeight="1" s="22">
      <c r="A4" s="36" t="inlineStr">
        <is>
          <t>car insurance calgary</t>
        </is>
      </c>
      <c r="B4" s="36" t="inlineStr">
        <is>
          <t>Car insurance</t>
        </is>
      </c>
      <c r="C4" s="36" t="inlineStr">
        <is>
          <t>Car Insurance</t>
        </is>
      </c>
      <c r="D4" s="36" t="inlineStr">
        <is>
          <t>Alberta</t>
        </is>
      </c>
      <c r="E4" s="36" t="inlineStr">
        <is>
          <t>Calgary</t>
        </is>
      </c>
      <c r="F4" s="37" t="n">
        <v>2800</v>
      </c>
      <c r="G4" s="36" t="n">
        <v>76</v>
      </c>
      <c r="H4" s="36" t="inlineStr">
        <is>
          <t>local</t>
        </is>
      </c>
      <c r="I4" s="36" t="inlineStr">
        <is>
          <t>auto-local</t>
        </is>
      </c>
      <c r="J4" s="36" t="n">
        <v>1</v>
      </c>
      <c r="K4" s="36" t="inlineStr">
        <is>
          <t>https://instasure.ca/car-insurance/alberta/calgary/</t>
        </is>
      </c>
      <c r="L4" s="36">
        <f>IF(K4="","No","Yes")</f>
        <v/>
      </c>
      <c r="M4" s="39">
        <f>IF(K4="","",IFERROR(IF(ISNUMBER(SEARCH(A4,INDEX(Pages!$J$2:$J$829,MATCH(K4,Pages!$B$2:$B$829,0)))),"Yes","No"),"Page not found"))</f>
        <v/>
      </c>
      <c r="N4" s="25" t="inlineStr">
        <is>
          <t>ratehub, rates.ca</t>
        </is>
      </c>
      <c r="O4" s="25" t="n"/>
      <c r="P4" s="40" t="n"/>
      <c r="Q4" s="38" t="n"/>
      <c r="R4" s="38" t="n"/>
    </row>
    <row r="5" ht="23.85" customHeight="1" s="22">
      <c r="A5" s="36" t="inlineStr">
        <is>
          <t>car insurance mississauga</t>
        </is>
      </c>
      <c r="B5" s="36" t="inlineStr">
        <is>
          <t>Car insurance</t>
        </is>
      </c>
      <c r="C5" s="36" t="inlineStr">
        <is>
          <t>Car Insurance</t>
        </is>
      </c>
      <c r="D5" s="36" t="inlineStr">
        <is>
          <t>Ontario</t>
        </is>
      </c>
      <c r="E5" s="36" t="inlineStr">
        <is>
          <t>Mississauga</t>
        </is>
      </c>
      <c r="F5" s="37" t="n">
        <v>2400</v>
      </c>
      <c r="G5" s="36" t="n">
        <v>84</v>
      </c>
      <c r="H5" s="36" t="inlineStr">
        <is>
          <t>local</t>
        </is>
      </c>
      <c r="I5" s="36" t="inlineStr">
        <is>
          <t>auto-local</t>
        </is>
      </c>
      <c r="J5" s="36" t="n">
        <v>1</v>
      </c>
      <c r="K5" s="36" t="inlineStr">
        <is>
          <t>https://instasure.ca/car-insurance/ontario/mississauga/</t>
        </is>
      </c>
      <c r="L5" s="36">
        <f>IF(K5="","No","Yes")</f>
        <v/>
      </c>
      <c r="M5" s="39">
        <f>IF(K5="","",IFERROR(IF(ISNUMBER(SEARCH(A5,INDEX(Pages!$J$2:$J$829,MATCH(K5,Pages!$B$2:$B$829,0)))),"Yes","No"),"Page not found"))</f>
        <v/>
      </c>
      <c r="N5" s="25" t="inlineStr">
        <is>
          <t>ratehub, rates.ca, sonnet, mychoice/squareone/thinkinsure</t>
        </is>
      </c>
      <c r="O5" s="25" t="inlineStr">
        <is>
          <t>Competitor city pages here are thin or carry stale dates (October 2026 review): freshness opening.</t>
        </is>
      </c>
      <c r="P5" s="40" t="n"/>
      <c r="Q5" s="38" t="n"/>
      <c r="R5" s="38" t="n"/>
    </row>
    <row r="6" ht="15" customHeight="1" s="22">
      <c r="A6" s="36" t="inlineStr">
        <is>
          <t>cheap car insurance toronto</t>
        </is>
      </c>
      <c r="B6" s="36" t="inlineStr">
        <is>
          <t>Car insurance</t>
        </is>
      </c>
      <c r="C6" s="36" t="inlineStr">
        <is>
          <t>Car Insurance</t>
        </is>
      </c>
      <c r="D6" s="36" t="inlineStr">
        <is>
          <t>Ontario</t>
        </is>
      </c>
      <c r="E6" s="36" t="inlineStr">
        <is>
          <t>Toronto</t>
        </is>
      </c>
      <c r="F6" s="37" t="n">
        <v>2300</v>
      </c>
      <c r="G6" s="36" t="n">
        <v>79</v>
      </c>
      <c r="H6" s="36" t="inlineStr">
        <is>
          <t>transactional</t>
        </is>
      </c>
      <c r="I6" s="36" t="inlineStr">
        <is>
          <t>auto-local</t>
        </is>
      </c>
      <c r="J6" s="36" t="n">
        <v>1</v>
      </c>
      <c r="K6" s="36" t="inlineStr">
        <is>
          <t>https://instasure.ca/car-insurance/ontario/toronto/</t>
        </is>
      </c>
      <c r="L6" s="36">
        <f>IF(K6="","No","Yes")</f>
        <v/>
      </c>
      <c r="M6" s="39">
        <f>IF(K6="","",IFERROR(IF(ISNUMBER(SEARCH(A6,INDEX(Pages!$J$2:$J$829,MATCH(K6,Pages!$B$2:$B$829,0)))),"Yes","No"),"Page not found"))</f>
        <v/>
      </c>
      <c r="N6" s="25" t="inlineStr">
        <is>
          <t>ratehub, rates.ca, sonnet, mychoice/squareone/thinkinsure</t>
        </is>
      </c>
      <c r="O6" s="25" t="inlineStr">
        <is>
          <t>Rates.ca titles lead with "Cheap"; answer with factors and FSA data, not a price promise.</t>
        </is>
      </c>
      <c r="P6" s="40" t="n"/>
      <c r="Q6" s="38" t="n"/>
      <c r="R6" s="38" t="n"/>
    </row>
    <row r="7" ht="15" customHeight="1" s="22">
      <c r="A7" s="36" t="inlineStr">
        <is>
          <t>car insurance edmonton</t>
        </is>
      </c>
      <c r="B7" s="36" t="inlineStr">
        <is>
          <t>Car insurance</t>
        </is>
      </c>
      <c r="C7" s="36" t="inlineStr">
        <is>
          <t>Car Insurance</t>
        </is>
      </c>
      <c r="D7" s="36" t="inlineStr">
        <is>
          <t>Alberta</t>
        </is>
      </c>
      <c r="E7" s="36" t="inlineStr">
        <is>
          <t>Edmonton</t>
        </is>
      </c>
      <c r="F7" s="37" t="n">
        <v>2100</v>
      </c>
      <c r="G7" s="36" t="n">
        <v>76</v>
      </c>
      <c r="H7" s="36" t="inlineStr">
        <is>
          <t>local</t>
        </is>
      </c>
      <c r="I7" s="36" t="inlineStr">
        <is>
          <t>auto-local</t>
        </is>
      </c>
      <c r="J7" s="36" t="n">
        <v>1</v>
      </c>
      <c r="K7" s="36" t="inlineStr">
        <is>
          <t>https://instasure.ca/car-insurance/alberta/edmonton/</t>
        </is>
      </c>
      <c r="L7" s="36">
        <f>IF(K7="","No","Yes")</f>
        <v/>
      </c>
      <c r="M7" s="39">
        <f>IF(K7="","",IFERROR(IF(ISNUMBER(SEARCH(A7,INDEX(Pages!$J$2:$J$829,MATCH(K7,Pages!$B$2:$B$829,0)))),"Yes","No"),"Page not found"))</f>
        <v/>
      </c>
      <c r="N7" s="25" t="inlineStr">
        <is>
          <t>ratehub, rates.ca</t>
        </is>
      </c>
      <c r="O7" s="25" t="n"/>
      <c r="P7" s="40" t="n"/>
      <c r="Q7" s="38" t="n"/>
      <c r="R7" s="38" t="n"/>
    </row>
    <row r="8" ht="15" customHeight="1" s="22">
      <c r="A8" s="36" t="inlineStr">
        <is>
          <t>home insurance toronto</t>
        </is>
      </c>
      <c r="B8" s="36" t="inlineStr">
        <is>
          <t>Home insurance</t>
        </is>
      </c>
      <c r="C8" s="36" t="inlineStr">
        <is>
          <t>Home Insurance</t>
        </is>
      </c>
      <c r="D8" s="36" t="inlineStr">
        <is>
          <t>Ontario</t>
        </is>
      </c>
      <c r="E8" s="36" t="inlineStr">
        <is>
          <t>Toronto</t>
        </is>
      </c>
      <c r="F8" s="37" t="n">
        <v>1900</v>
      </c>
      <c r="G8" s="36" t="n">
        <v>68</v>
      </c>
      <c r="H8" s="36" t="inlineStr">
        <is>
          <t>local</t>
        </is>
      </c>
      <c r="I8" s="36" t="inlineStr">
        <is>
          <t>property-local</t>
        </is>
      </c>
      <c r="J8" s="36" t="n">
        <v>1</v>
      </c>
      <c r="K8" s="36" t="inlineStr">
        <is>
          <t>https://instasure.ca/home-insurance/ontario/toronto/</t>
        </is>
      </c>
      <c r="L8" s="36">
        <f>IF(K8="","No","Yes")</f>
        <v/>
      </c>
      <c r="M8" s="39">
        <f>IF(K8="","",IFERROR(IF(ISNUMBER(SEARCH(A8,INDEX(Pages!$J$2:$J$829,MATCH(K8,Pages!$B$2:$B$829,0)))),"Yes","No"),"Page not found"))</f>
        <v/>
      </c>
      <c r="N8" s="25" t="inlineStr">
        <is>
          <t>ratehub, rates.ca, local brokers (#1)</t>
        </is>
      </c>
      <c r="O8" s="25" t="n"/>
      <c r="P8" s="40" t="n"/>
      <c r="Q8" s="38" t="n"/>
      <c r="R8" s="38" t="n"/>
    </row>
    <row r="9" ht="15" customHeight="1" s="22">
      <c r="A9" s="36" t="inlineStr">
        <is>
          <t>assurance auto montréal</t>
        </is>
      </c>
      <c r="B9" s="36" t="inlineStr">
        <is>
          <t>Car insurance</t>
        </is>
      </c>
      <c r="C9" s="36" t="inlineStr">
        <is>
          <t>Car Insurance</t>
        </is>
      </c>
      <c r="D9" s="36" t="inlineStr">
        <is>
          <t>Quebec</t>
        </is>
      </c>
      <c r="E9" s="36" t="inlineStr">
        <is>
          <t>Montreal</t>
        </is>
      </c>
      <c r="F9" s="37" t="n">
        <v>1600</v>
      </c>
      <c r="G9" s="36" t="n">
        <v>55</v>
      </c>
      <c r="H9" s="36" t="inlineStr">
        <is>
          <t>local</t>
        </is>
      </c>
      <c r="I9" s="36" t="inlineStr">
        <is>
          <t>fr-quebec</t>
        </is>
      </c>
      <c r="J9" s="36" t="n">
        <v>3</v>
      </c>
      <c r="K9" s="36" t="n"/>
      <c r="L9" s="36">
        <f>IF(K9="","No","Yes")</f>
        <v/>
      </c>
      <c r="M9" s="39">
        <f>IF(K9="","",IFERROR(IF(ISNUMBER(SEARCH(A9,INDEX(Pages!$J$2:$J$829,MATCH(K9,Pages!$B$2:$B$829,0)))),"Yes","No"),"Page not found"))</f>
        <v/>
      </c>
      <c r="N9" s="25" t="inlineStr">
        <is>
          <t>ratehub (EN only)</t>
        </is>
      </c>
      <c r="O9" s="25" t="inlineStr">
        <is>
          <t>Planned: /fr/assurance-auto/quebec/montreal/.</t>
        </is>
      </c>
      <c r="P9" s="40" t="n"/>
      <c r="Q9" s="38" t="n"/>
      <c r="R9" s="38" t="n"/>
    </row>
    <row r="10" ht="23.85" customHeight="1" s="22">
      <c r="A10" s="36" t="inlineStr">
        <is>
          <t>car insurance ottawa</t>
        </is>
      </c>
      <c r="B10" s="36" t="inlineStr">
        <is>
          <t>Car insurance</t>
        </is>
      </c>
      <c r="C10" s="36" t="inlineStr">
        <is>
          <t>Car Insurance</t>
        </is>
      </c>
      <c r="D10" s="36" t="inlineStr">
        <is>
          <t>Ontario</t>
        </is>
      </c>
      <c r="E10" s="36" t="inlineStr">
        <is>
          <t>Ottawa</t>
        </is>
      </c>
      <c r="F10" s="37" t="n">
        <v>1600</v>
      </c>
      <c r="G10" s="36" t="n">
        <v>84</v>
      </c>
      <c r="H10" s="36" t="inlineStr">
        <is>
          <t>local</t>
        </is>
      </c>
      <c r="I10" s="36" t="inlineStr">
        <is>
          <t>auto-local</t>
        </is>
      </c>
      <c r="J10" s="36" t="n">
        <v>1</v>
      </c>
      <c r="K10" s="36" t="inlineStr">
        <is>
          <t>https://instasure.ca/car-insurance/ontario/ottawa/</t>
        </is>
      </c>
      <c r="L10" s="36">
        <f>IF(K10="","No","Yes")</f>
        <v/>
      </c>
      <c r="M10" s="39">
        <f>IF(K10="","",IFERROR(IF(ISNUMBER(SEARCH(A10,INDEX(Pages!$J$2:$J$829,MATCH(K10,Pages!$B$2:$B$829,0)))),"Yes","No"),"Page not found"))</f>
        <v/>
      </c>
      <c r="N10" s="25" t="inlineStr">
        <is>
          <t>ratehub, rates.ca, sonnet, mychoice/squareone/thinkinsure</t>
        </is>
      </c>
      <c r="O10" s="25" t="inlineStr">
        <is>
          <t>Competitor city pages here are thin or carry stale dates (October 2026 review): freshness opening.</t>
        </is>
      </c>
      <c r="P10" s="40" t="n"/>
      <c r="Q10" s="38" t="n"/>
      <c r="R10" s="38" t="n"/>
    </row>
    <row r="11" ht="23.85" customHeight="1" s="22">
      <c r="A11" s="36" t="inlineStr">
        <is>
          <t>car insurance scarborough</t>
        </is>
      </c>
      <c r="B11" s="36" t="inlineStr">
        <is>
          <t>Car insurance</t>
        </is>
      </c>
      <c r="C11" s="36" t="inlineStr">
        <is>
          <t>Car Insurance</t>
        </is>
      </c>
      <c r="D11" s="36" t="inlineStr">
        <is>
          <t>Ontario</t>
        </is>
      </c>
      <c r="E11" s="36" t="inlineStr">
        <is>
          <t>Toronto</t>
        </is>
      </c>
      <c r="F11" s="37" t="n">
        <v>1600</v>
      </c>
      <c r="G11" s="36" t="n">
        <v>50</v>
      </c>
      <c r="H11" s="36" t="inlineStr">
        <is>
          <t>local</t>
        </is>
      </c>
      <c r="I11" s="36" t="inlineStr">
        <is>
          <t>auto-local</t>
        </is>
      </c>
      <c r="J11" s="36" t="n">
        <v>1</v>
      </c>
      <c r="K11" s="36" t="n"/>
      <c r="L11" s="36">
        <f>IF(K11="","No","Yes")</f>
        <v/>
      </c>
      <c r="M11" s="39">
        <f>IF(K11="","",IFERROR(IF(ISNUMBER(SEARCH(A11,INDEX(Pages!$J$2:$J$829,MATCH(K11,Pages!$B$2:$B$829,0)))),"Yes","No"),"Page not found"))</f>
        <v/>
      </c>
      <c r="N11" s="25" t="inlineStr">
        <is>
          <t>rates.ca, sonnet ($330/mo)</t>
        </is>
      </c>
      <c r="O11" s="25" t="inlineStr">
        <is>
          <t>Planned Toronto sub-area page (/car-insurance/ontario/toronto/scarborough/). Ratehub has none. Needs a verified population figure or no population fact.</t>
        </is>
      </c>
      <c r="P11" s="40" t="n"/>
      <c r="Q11" s="38" t="n"/>
      <c r="R11" s="38" t="n"/>
    </row>
    <row r="12" ht="23.85" customHeight="1" s="22">
      <c r="A12" s="36" t="inlineStr">
        <is>
          <t>car insurance hamilton</t>
        </is>
      </c>
      <c r="B12" s="36" t="inlineStr">
        <is>
          <t>Car insurance</t>
        </is>
      </c>
      <c r="C12" s="36" t="inlineStr">
        <is>
          <t>Car Insurance</t>
        </is>
      </c>
      <c r="D12" s="36" t="inlineStr">
        <is>
          <t>Ontario</t>
        </is>
      </c>
      <c r="E12" s="36" t="inlineStr">
        <is>
          <t>Hamilton</t>
        </is>
      </c>
      <c r="F12" s="37" t="n">
        <v>1500</v>
      </c>
      <c r="G12" s="36" t="n">
        <v>70</v>
      </c>
      <c r="H12" s="36" t="inlineStr">
        <is>
          <t>local</t>
        </is>
      </c>
      <c r="I12" s="36" t="inlineStr">
        <is>
          <t>auto-local</t>
        </is>
      </c>
      <c r="J12" s="36" t="n">
        <v>1</v>
      </c>
      <c r="K12" s="36" t="inlineStr">
        <is>
          <t>https://instasure.ca/car-insurance/ontario/hamilton/</t>
        </is>
      </c>
      <c r="L12" s="36">
        <f>IF(K12="","No","Yes")</f>
        <v/>
      </c>
      <c r="M12" s="39">
        <f>IF(K12="","",IFERROR(IF(ISNUMBER(SEARCH(A12,INDEX(Pages!$J$2:$J$829,MATCH(K12,Pages!$B$2:$B$829,0)))),"Yes","No"),"Page not found"))</f>
        <v/>
      </c>
      <c r="N12" s="25" t="inlineStr">
        <is>
          <t>ratehub, rates.ca, sonnet, mychoice/squareone/thinkinsure</t>
        </is>
      </c>
      <c r="O12" s="25" t="inlineStr">
        <is>
          <t>Competitor city pages here are thin or carry stale dates (October 2026 review): freshness opening.</t>
        </is>
      </c>
      <c r="P12" s="40" t="n"/>
      <c r="Q12" s="38" t="n"/>
      <c r="R12" s="38" t="n"/>
    </row>
    <row r="13" ht="15" customHeight="1" s="22">
      <c r="A13" s="36" t="inlineStr">
        <is>
          <t>car insurance vaughan</t>
        </is>
      </c>
      <c r="B13" s="36" t="inlineStr">
        <is>
          <t>Car insurance</t>
        </is>
      </c>
      <c r="C13" s="36" t="inlineStr">
        <is>
          <t>Car Insurance</t>
        </is>
      </c>
      <c r="D13" s="36" t="inlineStr">
        <is>
          <t>Ontario</t>
        </is>
      </c>
      <c r="E13" s="36" t="inlineStr">
        <is>
          <t>Vaughan</t>
        </is>
      </c>
      <c r="F13" s="37" t="n">
        <v>1300</v>
      </c>
      <c r="G13" s="36" t="n">
        <v>72</v>
      </c>
      <c r="H13" s="36" t="inlineStr">
        <is>
          <t>local</t>
        </is>
      </c>
      <c r="I13" s="36" t="inlineStr">
        <is>
          <t>auto-local</t>
        </is>
      </c>
      <c r="J13" s="36" t="n">
        <v>2</v>
      </c>
      <c r="K13" s="36" t="inlineStr">
        <is>
          <t>https://instasure.ca/car-insurance/ontario/vaughan/</t>
        </is>
      </c>
      <c r="L13" s="36">
        <f>IF(K13="","No","Yes")</f>
        <v/>
      </c>
      <c r="M13" s="39">
        <f>IF(K13="","",IFERROR(IF(ISNUMBER(SEARCH(A13,INDEX(Pages!$J$2:$J$829,MATCH(K13,Pages!$B$2:$B$829,0)))),"Yes","No"),"Page not found"))</f>
        <v/>
      </c>
      <c r="N13" s="25" t="inlineStr">
        <is>
          <t>rates.ca</t>
        </is>
      </c>
      <c r="O13" s="25" t="n"/>
      <c r="P13" s="40" t="n"/>
      <c r="Q13" s="38" t="n"/>
      <c r="R13" s="38" t="n"/>
    </row>
    <row r="14" ht="23.85" customHeight="1" s="22">
      <c r="A14" s="36" t="inlineStr">
        <is>
          <t>how much is car insurance in toronto</t>
        </is>
      </c>
      <c r="B14" s="36" t="inlineStr">
        <is>
          <t>Car insurance</t>
        </is>
      </c>
      <c r="C14" s="36" t="inlineStr">
        <is>
          <t>Car Insurance</t>
        </is>
      </c>
      <c r="D14" s="36" t="inlineStr">
        <is>
          <t>Ontario</t>
        </is>
      </c>
      <c r="E14" s="36" t="inlineStr">
        <is>
          <t>Toronto</t>
        </is>
      </c>
      <c r="F14" s="37" t="n">
        <v>1300</v>
      </c>
      <c r="G14" s="36" t="n">
        <v>79</v>
      </c>
      <c r="H14" s="36" t="inlineStr">
        <is>
          <t>informational</t>
        </is>
      </c>
      <c r="I14" s="36" t="inlineStr">
        <is>
          <t>auto-local</t>
        </is>
      </c>
      <c r="J14" s="36" t="n">
        <v>2</v>
      </c>
      <c r="K14" s="36" t="inlineStr">
        <is>
          <t>https://instasure.ca/car-insurance/ontario/toronto/</t>
        </is>
      </c>
      <c r="L14" s="36">
        <f>IF(K14="","No","Yes")</f>
        <v/>
      </c>
      <c r="M14" s="39">
        <f>IF(K14="","",IFERROR(IF(ISNUMBER(SEARCH(A14,INDEX(Pages!$J$2:$J$829,MATCH(K14,Pages!$B$2:$B$829,0)))),"Yes","No"),"Page not found"))</f>
        <v/>
      </c>
      <c r="N14" s="25" t="inlineStr">
        <is>
          <t>ratehub, rates.ca, sonnet, mychoice/squareone/thinkinsure</t>
        </is>
      </c>
      <c r="O14" s="25" t="inlineStr">
        <is>
          <t>Ratehub ranks a blog post for this. The city page answers it in the first two sentences with a dated average.</t>
        </is>
      </c>
      <c r="P14" s="40" t="n"/>
      <c r="Q14" s="38" t="n"/>
      <c r="R14" s="38" t="n"/>
    </row>
    <row r="15" ht="15" customHeight="1" s="22">
      <c r="A15" s="36" t="inlineStr">
        <is>
          <t>tenant insurance toronto</t>
        </is>
      </c>
      <c r="B15" s="36" t="inlineStr">
        <is>
          <t>Tenant insurance</t>
        </is>
      </c>
      <c r="C15" s="36" t="inlineStr">
        <is>
          <t>Tenant Insurance</t>
        </is>
      </c>
      <c r="D15" s="36" t="inlineStr">
        <is>
          <t>Ontario</t>
        </is>
      </c>
      <c r="E15" s="36" t="inlineStr">
        <is>
          <t>Toronto</t>
        </is>
      </c>
      <c r="F15" s="37" t="n">
        <v>1300</v>
      </c>
      <c r="G15" s="36" t="n">
        <v>60</v>
      </c>
      <c r="H15" s="36" t="inlineStr">
        <is>
          <t>local</t>
        </is>
      </c>
      <c r="I15" s="36" t="inlineStr">
        <is>
          <t>property-local</t>
        </is>
      </c>
      <c r="J15" s="36" t="n">
        <v>3</v>
      </c>
      <c r="K15" s="36" t="inlineStr">
        <is>
          <t>https://instasure.ca/tenant-insurance/ontario/toronto/</t>
        </is>
      </c>
      <c r="L15" s="36">
        <f>IF(K15="","No","Yes")</f>
        <v/>
      </c>
      <c r="M15" s="39">
        <f>IF(K15="","",IFERROR(IF(ISNUMBER(SEARCH(A15,INDEX(Pages!$J$2:$J$829,MATCH(K15,Pages!$B$2:$B$829,0)))),"Yes","No"),"Page not found"))</f>
        <v/>
      </c>
      <c r="N15" s="25" t="inlineStr">
        <is>
          <t>ratehub, rates.ca, sonnet</t>
        </is>
      </c>
      <c r="O15" s="25" t="n"/>
      <c r="P15" s="40" t="n"/>
      <c r="Q15" s="38" t="n"/>
      <c r="R15" s="38" t="n"/>
    </row>
    <row r="16" ht="15" customHeight="1" s="22">
      <c r="A16" s="36" t="inlineStr">
        <is>
          <t>car insurance halifax</t>
        </is>
      </c>
      <c r="B16" s="36" t="inlineStr">
        <is>
          <t>Car insurance</t>
        </is>
      </c>
      <c r="C16" s="36" t="inlineStr">
        <is>
          <t>Car Insurance</t>
        </is>
      </c>
      <c r="D16" s="36" t="inlineStr">
        <is>
          <t>Nova Scotia</t>
        </is>
      </c>
      <c r="E16" s="36" t="inlineStr">
        <is>
          <t>Halifax</t>
        </is>
      </c>
      <c r="F16" s="37" t="n">
        <v>1200</v>
      </c>
      <c r="G16" s="36" t="n">
        <v>64</v>
      </c>
      <c r="H16" s="36" t="inlineStr">
        <is>
          <t>local</t>
        </is>
      </c>
      <c r="I16" s="36" t="inlineStr">
        <is>
          <t>auto-local</t>
        </is>
      </c>
      <c r="J16" s="36" t="n">
        <v>2</v>
      </c>
      <c r="K16" s="36" t="inlineStr">
        <is>
          <t>https://instasure.ca/car-insurance/nova-scotia/halifax/</t>
        </is>
      </c>
      <c r="L16" s="36">
        <f>IF(K16="","No","Yes")</f>
        <v/>
      </c>
      <c r="M16" s="39">
        <f>IF(K16="","",IFERROR(IF(ISNUMBER(SEARCH(A16,INDEX(Pages!$J$2:$J$829,MATCH(K16,Pages!$B$2:$B$829,0)))),"Yes","No"),"Page not found"))</f>
        <v/>
      </c>
      <c r="N16" s="25" t="inlineStr">
        <is>
          <t>ratehub</t>
        </is>
      </c>
      <c r="O16" s="25" t="n"/>
      <c r="P16" s="40" t="n"/>
      <c r="Q16" s="38" t="n"/>
      <c r="R16" s="38" t="n"/>
    </row>
    <row r="17" ht="15" customHeight="1" s="22">
      <c r="A17" s="36" t="inlineStr">
        <is>
          <t>car insurance markham</t>
        </is>
      </c>
      <c r="B17" s="36" t="inlineStr">
        <is>
          <t>Car insurance</t>
        </is>
      </c>
      <c r="C17" s="36" t="inlineStr">
        <is>
          <t>Car Insurance</t>
        </is>
      </c>
      <c r="D17" s="36" t="inlineStr">
        <is>
          <t>Ontario</t>
        </is>
      </c>
      <c r="E17" s="36" t="inlineStr">
        <is>
          <t>Markham</t>
        </is>
      </c>
      <c r="F17" s="37" t="n">
        <v>1200</v>
      </c>
      <c r="G17" s="36" t="n">
        <v>76</v>
      </c>
      <c r="H17" s="36" t="inlineStr">
        <is>
          <t>local</t>
        </is>
      </c>
      <c r="I17" s="36" t="inlineStr">
        <is>
          <t>auto-local</t>
        </is>
      </c>
      <c r="J17" s="36" t="n">
        <v>2</v>
      </c>
      <c r="K17" s="36" t="inlineStr">
        <is>
          <t>https://instasure.ca/car-insurance/ontario/markham/</t>
        </is>
      </c>
      <c r="L17" s="36">
        <f>IF(K17="","No","Yes")</f>
        <v/>
      </c>
      <c r="M17" s="39">
        <f>IF(K17="","",IFERROR(IF(ISNUMBER(SEARCH(A17,INDEX(Pages!$J$2:$J$829,MATCH(K17,Pages!$B$2:$B$829,0)))),"Yes","No"),"Page not found"))</f>
        <v/>
      </c>
      <c r="N17" s="25" t="inlineStr">
        <is>
          <t>ratehub, rates.ca</t>
        </is>
      </c>
      <c r="O17" s="25" t="n"/>
      <c r="P17" s="40" t="n"/>
      <c r="Q17" s="38" t="n"/>
      <c r="R17" s="38" t="n"/>
    </row>
    <row r="18" ht="15" customHeight="1" s="22">
      <c r="A18" s="36" t="inlineStr">
        <is>
          <t>car insurance montreal</t>
        </is>
      </c>
      <c r="B18" s="36" t="inlineStr">
        <is>
          <t>Car insurance</t>
        </is>
      </c>
      <c r="C18" s="36" t="inlineStr">
        <is>
          <t>Car Insurance</t>
        </is>
      </c>
      <c r="D18" s="36" t="inlineStr">
        <is>
          <t>Quebec</t>
        </is>
      </c>
      <c r="E18" s="36" t="inlineStr">
        <is>
          <t>Montreal</t>
        </is>
      </c>
      <c r="F18" s="37" t="n">
        <v>1200</v>
      </c>
      <c r="G18" s="36" t="n">
        <v>68</v>
      </c>
      <c r="H18" s="36" t="inlineStr">
        <is>
          <t>local</t>
        </is>
      </c>
      <c r="I18" s="36" t="inlineStr">
        <is>
          <t>auto-local</t>
        </is>
      </c>
      <c r="J18" s="36" t="n">
        <v>3</v>
      </c>
      <c r="K18" s="36" t="inlineStr">
        <is>
          <t>https://instasure.ca/car-insurance/quebec/montreal/</t>
        </is>
      </c>
      <c r="L18" s="36">
        <f>IF(K18="","No","Yes")</f>
        <v/>
      </c>
      <c r="M18" s="39">
        <f>IF(K18="","",IFERROR(IF(ISNUMBER(SEARCH(A18,INDEX(Pages!$J$2:$J$829,MATCH(K18,Pages!$B$2:$B$829,0)))),"Yes","No"),"Page not found"))</f>
        <v/>
      </c>
      <c r="N18" s="25" t="inlineStr">
        <is>
          <t>ratehub, sonnet</t>
        </is>
      </c>
      <c r="O18" s="25" t="inlineStr">
        <is>
          <t>Quebec waitlist until AMF registration.</t>
        </is>
      </c>
      <c r="P18" s="40" t="n"/>
      <c r="Q18" s="38" t="n"/>
      <c r="R18" s="38" t="n"/>
    </row>
    <row r="19" ht="15" customHeight="1" s="22">
      <c r="A19" s="36" t="inlineStr">
        <is>
          <t>assurance habitation montréal</t>
        </is>
      </c>
      <c r="B19" s="36" t="inlineStr">
        <is>
          <t>Home insurance</t>
        </is>
      </c>
      <c r="C19" s="36" t="inlineStr">
        <is>
          <t>Home Insurance</t>
        </is>
      </c>
      <c r="D19" s="36" t="inlineStr">
        <is>
          <t>Quebec</t>
        </is>
      </c>
      <c r="E19" s="36" t="inlineStr">
        <is>
          <t>Montreal</t>
        </is>
      </c>
      <c r="F19" s="37" t="n">
        <v>1000</v>
      </c>
      <c r="G19" s="36" t="n">
        <v>50</v>
      </c>
      <c r="H19" s="36" t="inlineStr">
        <is>
          <t>local</t>
        </is>
      </c>
      <c r="I19" s="36" t="inlineStr">
        <is>
          <t>fr-quebec</t>
        </is>
      </c>
      <c r="J19" s="36" t="n">
        <v>3</v>
      </c>
      <c r="K19" s="36" t="n"/>
      <c r="L19" s="36">
        <f>IF(K19="","No","Yes")</f>
        <v/>
      </c>
      <c r="M19" s="39">
        <f>IF(K19="","",IFERROR(IF(ISNUMBER(SEARCH(A19,INDEX(Pages!$J$2:$J$829,MATCH(K19,Pages!$B$2:$B$829,0)))),"Yes","No"),"Page not found"))</f>
        <v/>
      </c>
      <c r="N19" s="25" t="inlineStr">
        <is>
          <t>sonnet</t>
        </is>
      </c>
      <c r="O19" s="25" t="inlineStr">
        <is>
          <t>Planned: /fr/assurance-habitation/quebec/montreal/.</t>
        </is>
      </c>
      <c r="P19" s="40" t="n"/>
      <c r="Q19" s="38" t="n"/>
      <c r="R19" s="38" t="n"/>
    </row>
    <row r="20" ht="15" customHeight="1" s="22">
      <c r="A20" s="36" t="inlineStr">
        <is>
          <t>car insurance north york</t>
        </is>
      </c>
      <c r="B20" s="36" t="inlineStr">
        <is>
          <t>Car insurance</t>
        </is>
      </c>
      <c r="C20" s="36" t="inlineStr">
        <is>
          <t>Car Insurance</t>
        </is>
      </c>
      <c r="D20" s="36" t="inlineStr">
        <is>
          <t>Ontario</t>
        </is>
      </c>
      <c r="E20" s="36" t="inlineStr">
        <is>
          <t>Toronto</t>
        </is>
      </c>
      <c r="F20" s="37" t="n">
        <v>1000</v>
      </c>
      <c r="G20" s="36" t="n">
        <v>45</v>
      </c>
      <c r="H20" s="36" t="inlineStr">
        <is>
          <t>local</t>
        </is>
      </c>
      <c r="I20" s="36" t="inlineStr">
        <is>
          <t>auto-local</t>
        </is>
      </c>
      <c r="J20" s="36" t="n">
        <v>1</v>
      </c>
      <c r="K20" s="36" t="n"/>
      <c r="L20" s="36">
        <f>IF(K20="","No","Yes")</f>
        <v/>
      </c>
      <c r="M20" s="39">
        <f>IF(K20="","",IFERROR(IF(ISNUMBER(SEARCH(A20,INDEX(Pages!$J$2:$J$829,MATCH(K20,Pages!$B$2:$B$829,0)))),"Yes","No"),"Page not found"))</f>
        <v/>
      </c>
      <c r="N20" s="25" t="inlineStr">
        <is>
          <t>rates.ca (generic title, no city name)</t>
        </is>
      </c>
      <c r="O20" s="25" t="inlineStr">
        <is>
          <t>Planned Toronto sub-area page. Rates.ca's title omits the city: easy to beat.</t>
        </is>
      </c>
      <c r="P20" s="40" t="n"/>
      <c r="Q20" s="38" t="n"/>
      <c r="R20" s="38" t="n"/>
    </row>
    <row r="21" ht="15" customHeight="1" s="22">
      <c r="A21" s="36" t="inlineStr">
        <is>
          <t>cheap car insurance brampton</t>
        </is>
      </c>
      <c r="B21" s="36" t="inlineStr">
        <is>
          <t>Car insurance</t>
        </is>
      </c>
      <c r="C21" s="36" t="inlineStr">
        <is>
          <t>Car Insurance</t>
        </is>
      </c>
      <c r="D21" s="36" t="inlineStr">
        <is>
          <t>Ontario</t>
        </is>
      </c>
      <c r="E21" s="36" t="inlineStr">
        <is>
          <t>Brampton</t>
        </is>
      </c>
      <c r="F21" s="37" t="n">
        <v>1000</v>
      </c>
      <c r="G21" s="36" t="n">
        <v>71</v>
      </c>
      <c r="H21" s="36" t="inlineStr">
        <is>
          <t>transactional</t>
        </is>
      </c>
      <c r="I21" s="36" t="inlineStr">
        <is>
          <t>auto-local</t>
        </is>
      </c>
      <c r="J21" s="36" t="n">
        <v>2</v>
      </c>
      <c r="K21" s="36" t="inlineStr">
        <is>
          <t>https://instasure.ca/car-insurance/ontario/brampton/</t>
        </is>
      </c>
      <c r="L21" s="36">
        <f>IF(K21="","No","Yes")</f>
        <v/>
      </c>
      <c r="M21" s="39">
        <f>IF(K21="","",IFERROR(IF(ISNUMBER(SEARCH(A21,INDEX(Pages!$J$2:$J$829,MATCH(K21,Pages!$B$2:$B$829,0)))),"Yes","No"),"Page not found"))</f>
        <v/>
      </c>
      <c r="N21" s="25" t="inlineStr">
        <is>
          <t>ratehub, rates.ca, mychoice/squareone/thinkinsure</t>
        </is>
      </c>
      <c r="O21" s="25" t="inlineStr">
        <is>
          <t>Rates.ca titles lead with "Cheap"; answer with factors and FSA data, not a price promise.</t>
        </is>
      </c>
      <c r="P21" s="40" t="n"/>
      <c r="Q21" s="38" t="n"/>
      <c r="R21" s="38" t="n"/>
    </row>
    <row r="22" ht="15" customHeight="1" s="22">
      <c r="A22" s="36" t="inlineStr">
        <is>
          <t>home insurance calgary</t>
        </is>
      </c>
      <c r="B22" s="36" t="inlineStr">
        <is>
          <t>Home insurance</t>
        </is>
      </c>
      <c r="C22" s="36" t="inlineStr">
        <is>
          <t>Home Insurance</t>
        </is>
      </c>
      <c r="D22" s="36" t="inlineStr">
        <is>
          <t>Alberta</t>
        </is>
      </c>
      <c r="E22" s="36" t="inlineStr">
        <is>
          <t>Calgary</t>
        </is>
      </c>
      <c r="F22" s="37" t="n">
        <v>1000</v>
      </c>
      <c r="G22" s="36" t="n">
        <v>68</v>
      </c>
      <c r="H22" s="36" t="inlineStr">
        <is>
          <t>local</t>
        </is>
      </c>
      <c r="I22" s="36" t="inlineStr">
        <is>
          <t>property-local</t>
        </is>
      </c>
      <c r="J22" s="36" t="n">
        <v>2</v>
      </c>
      <c r="K22" s="36" t="inlineStr">
        <is>
          <t>https://instasure.ca/home-insurance/alberta/calgary/</t>
        </is>
      </c>
      <c r="L22" s="36">
        <f>IF(K22="","No","Yes")</f>
        <v/>
      </c>
      <c r="M22" s="39">
        <f>IF(K22="","",IFERROR(IF(ISNUMBER(SEARCH(A22,INDEX(Pages!$J$2:$J$829,MATCH(K22,Pages!$B$2:$B$829,0)))),"Yes","No"),"Page not found"))</f>
        <v/>
      </c>
      <c r="N22" s="25" t="inlineStr">
        <is>
          <t>ratehub, rates.ca, sonnet</t>
        </is>
      </c>
      <c r="O22" s="25" t="n"/>
      <c r="P22" s="40" t="n"/>
      <c r="Q22" s="38" t="n"/>
      <c r="R22" s="38" t="n"/>
    </row>
    <row r="23" ht="15" customHeight="1" s="22">
      <c r="A23" s="36" t="inlineStr">
        <is>
          <t>cheap car insurance calgary</t>
        </is>
      </c>
      <c r="B23" s="36" t="inlineStr">
        <is>
          <t>Car insurance</t>
        </is>
      </c>
      <c r="C23" s="36" t="inlineStr">
        <is>
          <t>Car Insurance</t>
        </is>
      </c>
      <c r="D23" s="36" t="inlineStr">
        <is>
          <t>Alberta</t>
        </is>
      </c>
      <c r="E23" s="36" t="inlineStr">
        <is>
          <t>Calgary</t>
        </is>
      </c>
      <c r="F23" s="37" t="n">
        <v>970</v>
      </c>
      <c r="G23" s="36" t="n">
        <v>71</v>
      </c>
      <c r="H23" s="36" t="inlineStr">
        <is>
          <t>transactional</t>
        </is>
      </c>
      <c r="I23" s="36" t="inlineStr">
        <is>
          <t>auto-local</t>
        </is>
      </c>
      <c r="J23" s="36" t="n">
        <v>2</v>
      </c>
      <c r="K23" s="36" t="inlineStr">
        <is>
          <t>https://instasure.ca/car-insurance/alberta/calgary/</t>
        </is>
      </c>
      <c r="L23" s="36">
        <f>IF(K23="","No","Yes")</f>
        <v/>
      </c>
      <c r="M23" s="39">
        <f>IF(K23="","",IFERROR(IF(ISNUMBER(SEARCH(A23,INDEX(Pages!$J$2:$J$829,MATCH(K23,Pages!$B$2:$B$829,0)))),"Yes","No"),"Page not found"))</f>
        <v/>
      </c>
      <c r="N23" s="25" t="inlineStr">
        <is>
          <t>ratehub, rates.ca</t>
        </is>
      </c>
      <c r="O23" s="25" t="inlineStr">
        <is>
          <t>Rates.ca titles lead with "Cheap"; answer with factors and FSA data, not a price promise.</t>
        </is>
      </c>
      <c r="P23" s="40" t="n"/>
      <c r="Q23" s="38" t="n"/>
      <c r="R23" s="38" t="n"/>
    </row>
    <row r="24" ht="15" customHeight="1" s="22">
      <c r="A24" s="36" t="inlineStr">
        <is>
          <t>assurance auto québec</t>
        </is>
      </c>
      <c r="B24" s="36" t="inlineStr">
        <is>
          <t>Car insurance</t>
        </is>
      </c>
      <c r="C24" s="36" t="inlineStr">
        <is>
          <t>Car Insurance</t>
        </is>
      </c>
      <c r="D24" s="36" t="inlineStr">
        <is>
          <t>Quebec</t>
        </is>
      </c>
      <c r="E24" s="36" t="inlineStr">
        <is>
          <t>Quebec City</t>
        </is>
      </c>
      <c r="F24" s="37" t="n">
        <v>880</v>
      </c>
      <c r="G24" s="36" t="n">
        <v>50</v>
      </c>
      <c r="H24" s="36" t="inlineStr">
        <is>
          <t>local</t>
        </is>
      </c>
      <c r="I24" s="36" t="inlineStr">
        <is>
          <t>fr-quebec</t>
        </is>
      </c>
      <c r="J24" s="36" t="n">
        <v>3</v>
      </c>
      <c r="K24" s="36" t="n"/>
      <c r="L24" s="36">
        <f>IF(K24="","No","Yes")</f>
        <v/>
      </c>
      <c r="M24" s="39">
        <f>IF(K24="","",IFERROR(IF(ISNUMBER(SEARCH(A24,INDEX(Pages!$J$2:$J$829,MATCH(K24,Pages!$B$2:$B$829,0)))),"Yes","No"),"Page not found"))</f>
        <v/>
      </c>
      <c r="N24" s="25" t="inlineStr">
        <is>
          <t>sonnet</t>
        </is>
      </c>
      <c r="O24" s="25" t="inlineStr">
        <is>
          <t>Planned: /fr/assurance-auto/quebec/ville-de-quebec/.</t>
        </is>
      </c>
      <c r="P24" s="40" t="n"/>
      <c r="Q24" s="38" t="n"/>
      <c r="R24" s="38" t="n"/>
    </row>
    <row r="25" ht="15" customHeight="1" s="22">
      <c r="A25" s="36" t="inlineStr">
        <is>
          <t>car insurance etobicoke</t>
        </is>
      </c>
      <c r="B25" s="36" t="inlineStr">
        <is>
          <t>Car insurance</t>
        </is>
      </c>
      <c r="C25" s="36" t="inlineStr">
        <is>
          <t>Car Insurance</t>
        </is>
      </c>
      <c r="D25" s="36" t="inlineStr">
        <is>
          <t>Ontario</t>
        </is>
      </c>
      <c r="E25" s="36" t="inlineStr">
        <is>
          <t>Toronto</t>
        </is>
      </c>
      <c r="F25" s="37" t="n">
        <v>880</v>
      </c>
      <c r="G25" s="36" t="n">
        <v>45</v>
      </c>
      <c r="H25" s="36" t="inlineStr">
        <is>
          <t>local</t>
        </is>
      </c>
      <c r="I25" s="36" t="inlineStr">
        <is>
          <t>auto-local</t>
        </is>
      </c>
      <c r="J25" s="36" t="n">
        <v>2</v>
      </c>
      <c r="K25" s="36" t="n"/>
      <c r="L25" s="36">
        <f>IF(K25="","No","Yes")</f>
        <v/>
      </c>
      <c r="M25" s="39">
        <f>IF(K25="","",IFERROR(IF(ISNUMBER(SEARCH(A25,INDEX(Pages!$J$2:$J$829,MATCH(K25,Pages!$B$2:$B$829,0)))),"Yes","No"),"Page not found"))</f>
        <v/>
      </c>
      <c r="N25" s="25" t="inlineStr">
        <is>
          <t>rates.ca</t>
        </is>
      </c>
      <c r="O25" s="25" t="inlineStr">
        <is>
          <t>Planned Toronto sub-area page.</t>
        </is>
      </c>
      <c r="P25" s="40" t="n"/>
      <c r="Q25" s="38" t="n"/>
      <c r="R25" s="38" t="n"/>
    </row>
    <row r="26" ht="23.85" customHeight="1" s="22">
      <c r="A26" s="36" t="inlineStr">
        <is>
          <t>life insurance toronto</t>
        </is>
      </c>
      <c r="B26" s="36" t="inlineStr">
        <is>
          <t>Life insurance</t>
        </is>
      </c>
      <c r="C26" s="36" t="inlineStr">
        <is>
          <t>Life Insurance</t>
        </is>
      </c>
      <c r="D26" s="36" t="inlineStr">
        <is>
          <t>Ontario</t>
        </is>
      </c>
      <c r="E26" s="36" t="inlineStr">
        <is>
          <t>Toronto</t>
        </is>
      </c>
      <c r="F26" s="37" t="n">
        <v>880</v>
      </c>
      <c r="G26" s="36" t="n">
        <v>51</v>
      </c>
      <c r="H26" s="36" t="inlineStr">
        <is>
          <t>local</t>
        </is>
      </c>
      <c r="I26" s="36" t="inlineStr">
        <is>
          <t>life-local</t>
        </is>
      </c>
      <c r="J26" s="36" t="n">
        <v>1</v>
      </c>
      <c r="K26" s="36" t="inlineStr">
        <is>
          <t>https://instasure.ca/life-insurance/ontario/toronto/</t>
        </is>
      </c>
      <c r="L26" s="36">
        <f>IF(K26="","No","Yes")</f>
        <v/>
      </c>
      <c r="M26" s="39">
        <f>IF(K26="","",IFERROR(IF(ISNUMBER(SEARCH(A26,INDEX(Pages!$J$2:$J$829,MATCH(K26,Pages!$B$2:$B$829,0)))),"Yes","No"),"Page not found"))</f>
        <v/>
      </c>
      <c r="N26" s="25" t="inlineStr">
        <is>
          <t>policyadvisor (stale 2025 titles), ratehub (thin)</t>
        </is>
      </c>
      <c r="O26" s="25" t="inlineStr">
        <is>
          <t>Competitor city pages here are thin or carry stale dates (October 2026 review): freshness opening.</t>
        </is>
      </c>
      <c r="P26" s="40" t="n"/>
      <c r="Q26" s="38" t="n"/>
      <c r="R26" s="38" t="n"/>
    </row>
    <row r="27" ht="15" customHeight="1" s="22">
      <c r="A27" s="36" t="inlineStr">
        <is>
          <t>car insurance vancouver</t>
        </is>
      </c>
      <c r="B27" s="36" t="inlineStr">
        <is>
          <t>Car insurance</t>
        </is>
      </c>
      <c r="C27" s="36" t="inlineStr">
        <is>
          <t>Car Insurance</t>
        </is>
      </c>
      <c r="D27" s="36" t="inlineStr">
        <is>
          <t>British Columbia</t>
        </is>
      </c>
      <c r="E27" s="36" t="inlineStr">
        <is>
          <t>Vancouver</t>
        </is>
      </c>
      <c r="F27" s="37" t="n">
        <v>860</v>
      </c>
      <c r="G27" s="36" t="n">
        <v>76</v>
      </c>
      <c r="H27" s="36" t="inlineStr">
        <is>
          <t>local</t>
        </is>
      </c>
      <c r="I27" s="36" t="inlineStr">
        <is>
          <t>auto-local</t>
        </is>
      </c>
      <c r="J27" s="36" t="n">
        <v>4</v>
      </c>
      <c r="K27" s="36" t="inlineStr">
        <is>
          <t>https://instasure.ca/car-insurance/british-columbia/vancouver/</t>
        </is>
      </c>
      <c r="L27" s="36">
        <f>IF(K27="","No","Yes")</f>
        <v/>
      </c>
      <c r="M27" s="39">
        <f>IF(K27="","",IFERROR(IF(ISNUMBER(SEARCH(A27,INDEX(Pages!$J$2:$J$829,MATCH(K27,Pages!$B$2:$B$829,0)))),"Yes","No"),"Page not found"))</f>
        <v/>
      </c>
      <c r="N27" s="25" t="inlineStr">
        <is>
          <t>ratehub, rates.ca</t>
        </is>
      </c>
      <c r="O27" s="25" t="inlineStr">
        <is>
          <t>ICBC sells basic auto; target optional coverage. Low lead value.</t>
        </is>
      </c>
      <c r="P27" s="40" t="n"/>
      <c r="Q27" s="38" t="n"/>
      <c r="R27" s="38" t="n"/>
    </row>
    <row r="28" ht="15" customHeight="1" s="22">
      <c r="A28" s="36" t="inlineStr">
        <is>
          <t>car insurance richmond hill</t>
        </is>
      </c>
      <c r="B28" s="36" t="inlineStr">
        <is>
          <t>Car insurance</t>
        </is>
      </c>
      <c r="C28" s="36" t="inlineStr">
        <is>
          <t>Car Insurance</t>
        </is>
      </c>
      <c r="D28" s="36" t="inlineStr">
        <is>
          <t>Ontario</t>
        </is>
      </c>
      <c r="E28" s="36" t="inlineStr">
        <is>
          <t>Richmond Hill</t>
        </is>
      </c>
      <c r="F28" s="37" t="n">
        <v>850</v>
      </c>
      <c r="G28" s="36" t="n">
        <v>64</v>
      </c>
      <c r="H28" s="36" t="inlineStr">
        <is>
          <t>local</t>
        </is>
      </c>
      <c r="I28" s="36" t="inlineStr">
        <is>
          <t>auto-local</t>
        </is>
      </c>
      <c r="J28" s="36" t="n">
        <v>2</v>
      </c>
      <c r="K28" s="36" t="inlineStr">
        <is>
          <t>https://instasure.ca/car-insurance/ontario/richmond-hill/</t>
        </is>
      </c>
      <c r="L28" s="36">
        <f>IF(K28="","No","Yes")</f>
        <v/>
      </c>
      <c r="M28" s="39">
        <f>IF(K28="","",IFERROR(IF(ISNUMBER(SEARCH(A28,INDEX(Pages!$J$2:$J$829,MATCH(K28,Pages!$B$2:$B$829,0)))),"Yes","No"),"Page not found"))</f>
        <v/>
      </c>
      <c r="N28" s="25" t="inlineStr">
        <is>
          <t>rates.ca</t>
        </is>
      </c>
      <c r="O28" s="25" t="n"/>
      <c r="P28" s="40" t="n"/>
      <c r="Q28" s="38" t="n"/>
      <c r="R28" s="38" t="n"/>
    </row>
    <row r="29" ht="15" customHeight="1" s="22">
      <c r="A29" s="36" t="inlineStr">
        <is>
          <t>home insurance ottawa</t>
        </is>
      </c>
      <c r="B29" s="36" t="inlineStr">
        <is>
          <t>Home insurance</t>
        </is>
      </c>
      <c r="C29" s="36" t="inlineStr">
        <is>
          <t>Home Insurance</t>
        </is>
      </c>
      <c r="D29" s="36" t="inlineStr">
        <is>
          <t>Ontario</t>
        </is>
      </c>
      <c r="E29" s="36" t="inlineStr">
        <is>
          <t>Ottawa</t>
        </is>
      </c>
      <c r="F29" s="37" t="n">
        <v>850</v>
      </c>
      <c r="G29" s="36" t="n">
        <v>56</v>
      </c>
      <c r="H29" s="36" t="inlineStr">
        <is>
          <t>local</t>
        </is>
      </c>
      <c r="I29" s="36" t="inlineStr">
        <is>
          <t>property-local</t>
        </is>
      </c>
      <c r="J29" s="36" t="n">
        <v>2</v>
      </c>
      <c r="K29" s="36" t="inlineStr">
        <is>
          <t>https://instasure.ca/home-insurance/ontario/ottawa/</t>
        </is>
      </c>
      <c r="L29" s="36">
        <f>IF(K29="","No","Yes")</f>
        <v/>
      </c>
      <c r="M29" s="39">
        <f>IF(K29="","",IFERROR(IF(ISNUMBER(SEARCH(A29,INDEX(Pages!$J$2:$J$829,MATCH(K29,Pages!$B$2:$B$829,0)))),"Yes","No"),"Page not found"))</f>
        <v/>
      </c>
      <c r="N29" s="25" t="inlineStr">
        <is>
          <t>rates.ca, sonnet, local brokers (#1)</t>
        </is>
      </c>
      <c r="O29" s="25" t="n"/>
      <c r="P29" s="40" t="n"/>
      <c r="Q29" s="38" t="n"/>
      <c r="R29" s="38" t="n"/>
    </row>
    <row r="30" ht="15" customHeight="1" s="22">
      <c r="A30" s="36" t="inlineStr">
        <is>
          <t>cheap car insurance mississauga</t>
        </is>
      </c>
      <c r="B30" s="36" t="inlineStr">
        <is>
          <t>Car insurance</t>
        </is>
      </c>
      <c r="C30" s="36" t="inlineStr">
        <is>
          <t>Car Insurance</t>
        </is>
      </c>
      <c r="D30" s="36" t="inlineStr">
        <is>
          <t>Ontario</t>
        </is>
      </c>
      <c r="E30" s="36" t="inlineStr">
        <is>
          <t>Mississauga</t>
        </is>
      </c>
      <c r="F30" s="37" t="n">
        <v>840</v>
      </c>
      <c r="G30" s="36" t="n">
        <v>79</v>
      </c>
      <c r="H30" s="36" t="inlineStr">
        <is>
          <t>transactional</t>
        </is>
      </c>
      <c r="I30" s="36" t="inlineStr">
        <is>
          <t>auto-local</t>
        </is>
      </c>
      <c r="J30" s="36" t="n">
        <v>2</v>
      </c>
      <c r="K30" s="36" t="inlineStr">
        <is>
          <t>https://instasure.ca/car-insurance/ontario/mississauga/</t>
        </is>
      </c>
      <c r="L30" s="36">
        <f>IF(K30="","No","Yes")</f>
        <v/>
      </c>
      <c r="M30" s="39">
        <f>IF(K30="","",IFERROR(IF(ISNUMBER(SEARCH(A30,INDEX(Pages!$J$2:$J$829,MATCH(K30,Pages!$B$2:$B$829,0)))),"Yes","No"),"Page not found"))</f>
        <v/>
      </c>
      <c r="N30" s="25" t="inlineStr">
        <is>
          <t>ratehub, rates.ca, sonnet, mychoice/squareone/thinkinsure</t>
        </is>
      </c>
      <c r="O30" s="25" t="inlineStr">
        <is>
          <t>Rates.ca titles lead with "Cheap"; answer with factors and FSA data, not a price promise.</t>
        </is>
      </c>
      <c r="P30" s="40" t="n"/>
      <c r="Q30" s="38" t="n"/>
      <c r="R30" s="38" t="n"/>
    </row>
    <row r="31" ht="15" customHeight="1" s="22">
      <c r="A31" s="36" t="inlineStr">
        <is>
          <t>home insurance edmonton</t>
        </is>
      </c>
      <c r="B31" s="36" t="inlineStr">
        <is>
          <t>Home insurance</t>
        </is>
      </c>
      <c r="C31" s="36" t="inlineStr">
        <is>
          <t>Home Insurance</t>
        </is>
      </c>
      <c r="D31" s="36" t="inlineStr">
        <is>
          <t>Alberta</t>
        </is>
      </c>
      <c r="E31" s="36" t="inlineStr">
        <is>
          <t>Edmonton</t>
        </is>
      </c>
      <c r="F31" s="37" t="n">
        <v>840</v>
      </c>
      <c r="G31" s="36" t="n">
        <v>68</v>
      </c>
      <c r="H31" s="36" t="inlineStr">
        <is>
          <t>local</t>
        </is>
      </c>
      <c r="I31" s="36" t="inlineStr">
        <is>
          <t>property-local</t>
        </is>
      </c>
      <c r="J31" s="36" t="n">
        <v>2</v>
      </c>
      <c r="K31" s="36" t="inlineStr">
        <is>
          <t>https://instasure.ca/home-insurance/alberta/edmonton/</t>
        </is>
      </c>
      <c r="L31" s="36">
        <f>IF(K31="","No","Yes")</f>
        <v/>
      </c>
      <c r="M31" s="39">
        <f>IF(K31="","",IFERROR(IF(ISNUMBER(SEARCH(A31,INDEX(Pages!$J$2:$J$829,MATCH(K31,Pages!$B$2:$B$829,0)))),"Yes","No"),"Page not found"))</f>
        <v/>
      </c>
      <c r="N31" s="25" t="inlineStr">
        <is>
          <t>ratehub, rates.ca, sonnet</t>
        </is>
      </c>
      <c r="O31" s="25" t="n"/>
      <c r="P31" s="40" t="n"/>
      <c r="Q31" s="38" t="n"/>
      <c r="R31" s="38" t="n"/>
    </row>
    <row r="32" ht="15" customHeight="1" s="22">
      <c r="A32" s="36" t="inlineStr">
        <is>
          <t>car insurance london ontario</t>
        </is>
      </c>
      <c r="B32" s="36" t="inlineStr">
        <is>
          <t>Car insurance</t>
        </is>
      </c>
      <c r="C32" s="36" t="inlineStr">
        <is>
          <t>Car Insurance</t>
        </is>
      </c>
      <c r="D32" s="36" t="inlineStr">
        <is>
          <t>Ontario</t>
        </is>
      </c>
      <c r="E32" s="36" t="inlineStr">
        <is>
          <t>London</t>
        </is>
      </c>
      <c r="F32" s="37" t="n">
        <v>830</v>
      </c>
      <c r="G32" s="36" t="n">
        <v>76</v>
      </c>
      <c r="H32" s="36" t="inlineStr">
        <is>
          <t>local</t>
        </is>
      </c>
      <c r="I32" s="36" t="inlineStr">
        <is>
          <t>auto-local</t>
        </is>
      </c>
      <c r="J32" s="36" t="n">
        <v>2</v>
      </c>
      <c r="K32" s="36" t="inlineStr">
        <is>
          <t>https://instasure.ca/car-insurance/ontario/london/</t>
        </is>
      </c>
      <c r="L32" s="36">
        <f>IF(K32="","No","Yes")</f>
        <v/>
      </c>
      <c r="M32" s="39">
        <f>IF(K32="","",IFERROR(IF(ISNUMBER(SEARCH(A32,INDEX(Pages!$J$2:$J$829,MATCH(K32,Pages!$B$2:$B$829,0)))),"Yes","No"),"Page not found"))</f>
        <v/>
      </c>
      <c r="N32" s="25" t="inlineStr">
        <is>
          <t>ratehub, rates.ca</t>
        </is>
      </c>
      <c r="O32" s="25" t="n"/>
      <c r="P32" s="40" t="n"/>
      <c r="Q32" s="38" t="n"/>
      <c r="R32" s="38" t="n"/>
    </row>
    <row r="33" ht="15" customHeight="1" s="22">
      <c r="A33" s="36" t="inlineStr">
        <is>
          <t>car insurance winnipeg</t>
        </is>
      </c>
      <c r="B33" s="36" t="inlineStr">
        <is>
          <t>Car insurance</t>
        </is>
      </c>
      <c r="C33" s="36" t="inlineStr">
        <is>
          <t>Car Insurance</t>
        </is>
      </c>
      <c r="D33" s="36" t="inlineStr">
        <is>
          <t>Manitoba</t>
        </is>
      </c>
      <c r="E33" s="36" t="inlineStr">
        <is>
          <t>Winnipeg</t>
        </is>
      </c>
      <c r="F33" s="37" t="n">
        <v>820</v>
      </c>
      <c r="G33" s="36" t="n">
        <v>64</v>
      </c>
      <c r="H33" s="36" t="inlineStr">
        <is>
          <t>local</t>
        </is>
      </c>
      <c r="I33" s="36" t="inlineStr">
        <is>
          <t>auto-local</t>
        </is>
      </c>
      <c r="J33" s="36" t="n">
        <v>3</v>
      </c>
      <c r="K33" s="36" t="inlineStr">
        <is>
          <t>https://instasure.ca/car-insurance/manitoba/winnipeg/</t>
        </is>
      </c>
      <c r="L33" s="36">
        <f>IF(K33="","No","Yes")</f>
        <v/>
      </c>
      <c r="M33" s="39">
        <f>IF(K33="","",IFERROR(IF(ISNUMBER(SEARCH(A33,INDEX(Pages!$J$2:$J$829,MATCH(K33,Pages!$B$2:$B$829,0)))),"Yes","No"),"Page not found"))</f>
        <v/>
      </c>
      <c r="N33" s="25" t="inlineStr">
        <is>
          <t>ratehub</t>
        </is>
      </c>
      <c r="O33" s="25" t="inlineStr">
        <is>
          <t>MPI sells basic auto; target optional coverage. Low lead value.</t>
        </is>
      </c>
      <c r="P33" s="40" t="n"/>
      <c r="Q33" s="38" t="n"/>
      <c r="R33" s="38" t="n"/>
    </row>
    <row r="34" ht="15" customHeight="1" s="22">
      <c r="A34" s="36" t="inlineStr">
        <is>
          <t>cheap car insurance edmonton</t>
        </is>
      </c>
      <c r="B34" s="36" t="inlineStr">
        <is>
          <t>Car insurance</t>
        </is>
      </c>
      <c r="C34" s="36" t="inlineStr">
        <is>
          <t>Car Insurance</t>
        </is>
      </c>
      <c r="D34" s="36" t="inlineStr">
        <is>
          <t>Alberta</t>
        </is>
      </c>
      <c r="E34" s="36" t="inlineStr">
        <is>
          <t>Edmonton</t>
        </is>
      </c>
      <c r="F34" s="37" t="n">
        <v>730</v>
      </c>
      <c r="G34" s="36" t="n">
        <v>71</v>
      </c>
      <c r="H34" s="36" t="inlineStr">
        <is>
          <t>transactional</t>
        </is>
      </c>
      <c r="I34" s="36" t="inlineStr">
        <is>
          <t>auto-local</t>
        </is>
      </c>
      <c r="J34" s="36" t="n">
        <v>2</v>
      </c>
      <c r="K34" s="36" t="inlineStr">
        <is>
          <t>https://instasure.ca/car-insurance/alberta/edmonton/</t>
        </is>
      </c>
      <c r="L34" s="36">
        <f>IF(K34="","No","Yes")</f>
        <v/>
      </c>
      <c r="M34" s="39">
        <f>IF(K34="","",IFERROR(IF(ISNUMBER(SEARCH(A34,INDEX(Pages!$J$2:$J$829,MATCH(K34,Pages!$B$2:$B$829,0)))),"Yes","No"),"Page not found"))</f>
        <v/>
      </c>
      <c r="N34" s="25" t="inlineStr">
        <is>
          <t>ratehub, rates.ca</t>
        </is>
      </c>
      <c r="O34" s="25" t="inlineStr">
        <is>
          <t>Rates.ca titles lead with "Cheap"; answer with factors and FSA data, not a price promise.</t>
        </is>
      </c>
      <c r="P34" s="40" t="n"/>
      <c r="Q34" s="38" t="n"/>
      <c r="R34" s="38" t="n"/>
    </row>
    <row r="35" ht="15" customHeight="1" s="22">
      <c r="A35" s="36" t="inlineStr">
        <is>
          <t>car insurance surrey</t>
        </is>
      </c>
      <c r="B35" s="36" t="inlineStr">
        <is>
          <t>Car insurance</t>
        </is>
      </c>
      <c r="C35" s="36" t="inlineStr">
        <is>
          <t>Car Insurance</t>
        </is>
      </c>
      <c r="D35" s="36" t="inlineStr">
        <is>
          <t>British Columbia</t>
        </is>
      </c>
      <c r="E35" s="36" t="inlineStr">
        <is>
          <t>Surrey</t>
        </is>
      </c>
      <c r="F35" s="37" t="n">
        <v>710</v>
      </c>
      <c r="G35" s="36" t="n">
        <v>60</v>
      </c>
      <c r="H35" s="36" t="inlineStr">
        <is>
          <t>local</t>
        </is>
      </c>
      <c r="I35" s="36" t="inlineStr">
        <is>
          <t>auto-local</t>
        </is>
      </c>
      <c r="J35" s="36" t="n">
        <v>3</v>
      </c>
      <c r="K35" s="36" t="inlineStr">
        <is>
          <t>https://instasure.ca/car-insurance/british-columbia/surrey/</t>
        </is>
      </c>
      <c r="L35" s="36">
        <f>IF(K35="","No","Yes")</f>
        <v/>
      </c>
      <c r="M35" s="39">
        <f>IF(K35="","",IFERROR(IF(ISNUMBER(SEARCH(A35,INDEX(Pages!$J$2:$J$829,MATCH(K35,Pages!$B$2:$B$829,0)))),"Yes","No"),"Page not found"))</f>
        <v/>
      </c>
      <c r="N35" s="25" t="inlineStr">
        <is>
          <t>(none seen)</t>
        </is>
      </c>
      <c r="O35" s="25" t="inlineStr">
        <is>
          <t>ICBC sells basic auto; target optional coverage. Low lead value.</t>
        </is>
      </c>
      <c r="P35" s="40" t="n"/>
      <c r="Q35" s="38" t="n"/>
      <c r="R35" s="38" t="n"/>
    </row>
    <row r="36" ht="15" customHeight="1" s="22">
      <c r="A36" s="36" t="inlineStr">
        <is>
          <t>tenant insurance calgary</t>
        </is>
      </c>
      <c r="B36" s="36" t="inlineStr">
        <is>
          <t>Tenant insurance</t>
        </is>
      </c>
      <c r="C36" s="36" t="inlineStr">
        <is>
          <t>Tenant Insurance</t>
        </is>
      </c>
      <c r="D36" s="36" t="inlineStr">
        <is>
          <t>Alberta</t>
        </is>
      </c>
      <c r="E36" s="36" t="inlineStr">
        <is>
          <t>Calgary</t>
        </is>
      </c>
      <c r="F36" s="37" t="n">
        <v>710</v>
      </c>
      <c r="G36" s="36" t="n">
        <v>60</v>
      </c>
      <c r="H36" s="36" t="inlineStr">
        <is>
          <t>local</t>
        </is>
      </c>
      <c r="I36" s="36" t="inlineStr">
        <is>
          <t>property-local</t>
        </is>
      </c>
      <c r="J36" s="36" t="n">
        <v>4</v>
      </c>
      <c r="K36" s="36" t="inlineStr">
        <is>
          <t>https://instasure.ca/tenant-insurance/alberta/calgary/</t>
        </is>
      </c>
      <c r="L36" s="36">
        <f>IF(K36="","No","Yes")</f>
        <v/>
      </c>
      <c r="M36" s="39">
        <f>IF(K36="","",IFERROR(IF(ISNUMBER(SEARCH(A36,INDEX(Pages!$J$2:$J$829,MATCH(K36,Pages!$B$2:$B$829,0)))),"Yes","No"),"Page not found"))</f>
        <v/>
      </c>
      <c r="N36" s="25" t="inlineStr">
        <is>
          <t>ratehub, rates.ca, sonnet</t>
        </is>
      </c>
      <c r="O36" s="25" t="n"/>
      <c r="P36" s="40" t="n"/>
      <c r="Q36" s="38" t="n"/>
      <c r="R36" s="38" t="n"/>
    </row>
    <row r="37" ht="15" customHeight="1" s="22">
      <c r="A37" s="36" t="inlineStr">
        <is>
          <t>insurance advisor toronto</t>
        </is>
      </c>
      <c r="B37" s="36" t="inlineStr">
        <is>
          <t>Multi-line (place hubs)</t>
        </is>
      </c>
      <c r="C37" s="36" t="n"/>
      <c r="D37" s="36" t="inlineStr">
        <is>
          <t>Ontario</t>
        </is>
      </c>
      <c r="E37" s="36" t="inlineStr">
        <is>
          <t>Toronto</t>
        </is>
      </c>
      <c r="F37" s="37" t="n">
        <v>680</v>
      </c>
      <c r="G37" s="36" t="n">
        <v>30</v>
      </c>
      <c r="H37" s="36" t="inlineStr">
        <is>
          <t>local</t>
        </is>
      </c>
      <c r="I37" s="36" t="inlineStr">
        <is>
          <t>advisors</t>
        </is>
      </c>
      <c r="J37" s="36" t="n">
        <v>1</v>
      </c>
      <c r="K37" s="36" t="inlineStr">
        <is>
          <t>https://instasure.ca/insurance/ontario/toronto/</t>
        </is>
      </c>
      <c r="L37" s="36">
        <f>IF(K37="","No","Yes")</f>
        <v/>
      </c>
      <c r="M37" s="39">
        <f>IF(K37="","",IFERROR(IF(ISNUMBER(SEARCH(A37,INDEX(Pages!$J$2:$J$829,MATCH(K37,Pages!$B$2:$B$829,0)))),"Yes","No"),"Page not found"))</f>
        <v/>
      </c>
      <c r="N37" s="25" t="inlineStr">
        <is>
          <t>local brokers, thinkinsure, rates.ca (broker pages)</t>
        </is>
      </c>
      <c r="O37" s="25" t="inlineStr">
        <is>
          <t>City hub. Add a Google Business Profile only where an advisor really works from that city.</t>
        </is>
      </c>
      <c r="P37" s="40" t="n"/>
      <c r="Q37" s="38" t="n"/>
      <c r="R37" s="38" t="n"/>
    </row>
    <row r="38" ht="15" customHeight="1" s="22">
      <c r="A38" s="36" t="inlineStr">
        <is>
          <t>home insurance winnipeg</t>
        </is>
      </c>
      <c r="B38" s="36" t="inlineStr">
        <is>
          <t>Home insurance</t>
        </is>
      </c>
      <c r="C38" s="36" t="inlineStr">
        <is>
          <t>Home Insurance</t>
        </is>
      </c>
      <c r="D38" s="36" t="inlineStr">
        <is>
          <t>Manitoba</t>
        </is>
      </c>
      <c r="E38" s="36" t="inlineStr">
        <is>
          <t>Winnipeg</t>
        </is>
      </c>
      <c r="F38" s="37" t="n">
        <v>660</v>
      </c>
      <c r="G38" s="36" t="n">
        <v>52</v>
      </c>
      <c r="H38" s="36" t="inlineStr">
        <is>
          <t>local</t>
        </is>
      </c>
      <c r="I38" s="36" t="inlineStr">
        <is>
          <t>property-local</t>
        </is>
      </c>
      <c r="J38" s="36" t="n">
        <v>2</v>
      </c>
      <c r="K38" s="36" t="inlineStr">
        <is>
          <t>https://instasure.ca/home-insurance/manitoba/winnipeg/</t>
        </is>
      </c>
      <c r="L38" s="36">
        <f>IF(K38="","No","Yes")</f>
        <v/>
      </c>
      <c r="M38" s="39">
        <f>IF(K38="","",IFERROR(IF(ISNUMBER(SEARCH(A38,INDEX(Pages!$J$2:$J$829,MATCH(K38,Pages!$B$2:$B$829,0)))),"Yes","No"),"Page not found"))</f>
        <v/>
      </c>
      <c r="N38" s="25" t="inlineStr">
        <is>
          <t>ratehub</t>
        </is>
      </c>
      <c r="O38" s="25" t="n"/>
      <c r="P38" s="40" t="n"/>
      <c r="Q38" s="38" t="n"/>
      <c r="R38" s="38" t="n"/>
    </row>
    <row r="39" ht="15" customHeight="1" s="22">
      <c r="A39" s="36" t="inlineStr">
        <is>
          <t>car insurance oakville</t>
        </is>
      </c>
      <c r="B39" s="36" t="inlineStr">
        <is>
          <t>Car insurance</t>
        </is>
      </c>
      <c r="C39" s="36" t="inlineStr">
        <is>
          <t>Car Insurance</t>
        </is>
      </c>
      <c r="D39" s="36" t="inlineStr">
        <is>
          <t>Ontario</t>
        </is>
      </c>
      <c r="E39" s="36" t="inlineStr">
        <is>
          <t>Oakville</t>
        </is>
      </c>
      <c r="F39" s="37" t="n">
        <v>650</v>
      </c>
      <c r="G39" s="36" t="n">
        <v>68</v>
      </c>
      <c r="H39" s="36" t="inlineStr">
        <is>
          <t>local</t>
        </is>
      </c>
      <c r="I39" s="36" t="inlineStr">
        <is>
          <t>auto-local</t>
        </is>
      </c>
      <c r="J39" s="36" t="n">
        <v>2</v>
      </c>
      <c r="K39" s="36" t="inlineStr">
        <is>
          <t>https://instasure.ca/car-insurance/ontario/oakville/</t>
        </is>
      </c>
      <c r="L39" s="36">
        <f>IF(K39="","No","Yes")</f>
        <v/>
      </c>
      <c r="M39" s="39">
        <f>IF(K39="","",IFERROR(IF(ISNUMBER(SEARCH(A39,INDEX(Pages!$J$2:$J$829,MATCH(K39,Pages!$B$2:$B$829,0)))),"Yes","No"),"Page not found"))</f>
        <v/>
      </c>
      <c r="N39" s="25" t="inlineStr">
        <is>
          <t>ratehub, rates.ca</t>
        </is>
      </c>
      <c r="O39" s="25" t="n"/>
      <c r="P39" s="40" t="n"/>
      <c r="Q39" s="38" t="n"/>
      <c r="R39" s="38" t="n"/>
    </row>
    <row r="40" ht="15" customHeight="1" s="22">
      <c r="A40" s="36" t="inlineStr">
        <is>
          <t>car insurance windsor</t>
        </is>
      </c>
      <c r="B40" s="36" t="inlineStr">
        <is>
          <t>Car insurance</t>
        </is>
      </c>
      <c r="C40" s="36" t="inlineStr">
        <is>
          <t>Car Insurance</t>
        </is>
      </c>
      <c r="D40" s="36" t="inlineStr">
        <is>
          <t>Ontario</t>
        </is>
      </c>
      <c r="E40" s="36" t="inlineStr">
        <is>
          <t>Windsor</t>
        </is>
      </c>
      <c r="F40" s="37" t="n">
        <v>640</v>
      </c>
      <c r="G40" s="36" t="n">
        <v>76</v>
      </c>
      <c r="H40" s="36" t="inlineStr">
        <is>
          <t>local</t>
        </is>
      </c>
      <c r="I40" s="36" t="inlineStr">
        <is>
          <t>auto-local</t>
        </is>
      </c>
      <c r="J40" s="36" t="n">
        <v>3</v>
      </c>
      <c r="K40" s="36" t="inlineStr">
        <is>
          <t>https://instasure.ca/car-insurance/ontario/windsor/</t>
        </is>
      </c>
      <c r="L40" s="36">
        <f>IF(K40="","No","Yes")</f>
        <v/>
      </c>
      <c r="M40" s="39">
        <f>IF(K40="","",IFERROR(IF(ISNUMBER(SEARCH(A40,INDEX(Pages!$J$2:$J$829,MATCH(K40,Pages!$B$2:$B$829,0)))),"Yes","No"),"Page not found"))</f>
        <v/>
      </c>
      <c r="N40" s="25" t="inlineStr">
        <is>
          <t>ratehub, rates.ca</t>
        </is>
      </c>
      <c r="O40" s="25" t="n"/>
      <c r="P40" s="40" t="n"/>
      <c r="Q40" s="38" t="n"/>
      <c r="R40" s="38" t="n"/>
    </row>
    <row r="41" ht="15" customHeight="1" s="22">
      <c r="A41" s="36" t="inlineStr">
        <is>
          <t>home insurance mississauga</t>
        </is>
      </c>
      <c r="B41" s="36" t="inlineStr">
        <is>
          <t>Home insurance</t>
        </is>
      </c>
      <c r="C41" s="36" t="inlineStr">
        <is>
          <t>Home Insurance</t>
        </is>
      </c>
      <c r="D41" s="36" t="inlineStr">
        <is>
          <t>Ontario</t>
        </is>
      </c>
      <c r="E41" s="36" t="inlineStr">
        <is>
          <t>Mississauga</t>
        </is>
      </c>
      <c r="F41" s="37" t="n">
        <v>640</v>
      </c>
      <c r="G41" s="36" t="n">
        <v>64</v>
      </c>
      <c r="H41" s="36" t="inlineStr">
        <is>
          <t>local</t>
        </is>
      </c>
      <c r="I41" s="36" t="inlineStr">
        <is>
          <t>property-local</t>
        </is>
      </c>
      <c r="J41" s="36" t="n">
        <v>2</v>
      </c>
      <c r="K41" s="36" t="inlineStr">
        <is>
          <t>https://instasure.ca/home-insurance/ontario/mississauga/</t>
        </is>
      </c>
      <c r="L41" s="36">
        <f>IF(K41="","No","Yes")</f>
        <v/>
      </c>
      <c r="M41" s="39">
        <f>IF(K41="","",IFERROR(IF(ISNUMBER(SEARCH(A41,INDEX(Pages!$J$2:$J$829,MATCH(K41,Pages!$B$2:$B$829,0)))),"Yes","No"),"Page not found"))</f>
        <v/>
      </c>
      <c r="N41" s="25" t="inlineStr">
        <is>
          <t>ratehub, rates.ca</t>
        </is>
      </c>
      <c r="O41" s="25" t="n"/>
      <c r="P41" s="40" t="n"/>
      <c r="Q41" s="38" t="n"/>
      <c r="R41" s="38" t="n"/>
    </row>
    <row r="42" ht="15" customHeight="1" s="22">
      <c r="A42" s="36" t="inlineStr">
        <is>
          <t>car insurance oshawa</t>
        </is>
      </c>
      <c r="B42" s="36" t="inlineStr">
        <is>
          <t>Car insurance</t>
        </is>
      </c>
      <c r="C42" s="36" t="inlineStr">
        <is>
          <t>Car Insurance</t>
        </is>
      </c>
      <c r="D42" s="36" t="inlineStr">
        <is>
          <t>Ontario</t>
        </is>
      </c>
      <c r="E42" s="36" t="inlineStr">
        <is>
          <t>Oshawa</t>
        </is>
      </c>
      <c r="F42" s="37" t="n">
        <v>610</v>
      </c>
      <c r="G42" s="36" t="n">
        <v>68</v>
      </c>
      <c r="H42" s="36" t="inlineStr">
        <is>
          <t>local</t>
        </is>
      </c>
      <c r="I42" s="36" t="inlineStr">
        <is>
          <t>auto-local</t>
        </is>
      </c>
      <c r="J42" s="36" t="n">
        <v>3</v>
      </c>
      <c r="K42" s="36" t="inlineStr">
        <is>
          <t>https://instasure.ca/car-insurance/ontario/oshawa/</t>
        </is>
      </c>
      <c r="L42" s="36">
        <f>IF(K42="","No","Yes")</f>
        <v/>
      </c>
      <c r="M42" s="39">
        <f>IF(K42="","",IFERROR(IF(ISNUMBER(SEARCH(A42,INDEX(Pages!$J$2:$J$829,MATCH(K42,Pages!$B$2:$B$829,0)))),"Yes","No"),"Page not found"))</f>
        <v/>
      </c>
      <c r="N42" s="25" t="inlineStr">
        <is>
          <t>ratehub, rates.ca</t>
        </is>
      </c>
      <c r="O42" s="25" t="n"/>
      <c r="P42" s="40" t="n"/>
      <c r="Q42" s="38" t="n"/>
      <c r="R42" s="38" t="n"/>
    </row>
    <row r="43" ht="15" customHeight="1" s="22">
      <c r="A43" s="36" t="inlineStr">
        <is>
          <t>home insurance brampton</t>
        </is>
      </c>
      <c r="B43" s="36" t="inlineStr">
        <is>
          <t>Home insurance</t>
        </is>
      </c>
      <c r="C43" s="36" t="inlineStr">
        <is>
          <t>Home Insurance</t>
        </is>
      </c>
      <c r="D43" s="36" t="inlineStr">
        <is>
          <t>Ontario</t>
        </is>
      </c>
      <c r="E43" s="36" t="inlineStr">
        <is>
          <t>Brampton</t>
        </is>
      </c>
      <c r="F43" s="37" t="n">
        <v>600</v>
      </c>
      <c r="G43" s="36" t="n">
        <v>56</v>
      </c>
      <c r="H43" s="36" t="inlineStr">
        <is>
          <t>local</t>
        </is>
      </c>
      <c r="I43" s="36" t="inlineStr">
        <is>
          <t>property-local</t>
        </is>
      </c>
      <c r="J43" s="36" t="n">
        <v>2</v>
      </c>
      <c r="K43" s="36" t="inlineStr">
        <is>
          <t>https://instasure.ca/home-insurance/ontario/brampton/</t>
        </is>
      </c>
      <c r="L43" s="36">
        <f>IF(K43="","No","Yes")</f>
        <v/>
      </c>
      <c r="M43" s="39">
        <f>IF(K43="","",IFERROR(IF(ISNUMBER(SEARCH(A43,INDEX(Pages!$J$2:$J$829,MATCH(K43,Pages!$B$2:$B$829,0)))),"Yes","No"),"Page not found"))</f>
        <v/>
      </c>
      <c r="N43" s="25" t="inlineStr">
        <is>
          <t>ratehub, rates.ca, local brokers (#1)</t>
        </is>
      </c>
      <c r="O43" s="25" t="n"/>
      <c r="P43" s="40" t="n"/>
      <c r="Q43" s="38" t="n"/>
      <c r="R43" s="38" t="n"/>
    </row>
    <row r="44" ht="15" customHeight="1" s="22">
      <c r="A44" s="36" t="inlineStr">
        <is>
          <t>home insurance vancouver</t>
        </is>
      </c>
      <c r="B44" s="36" t="inlineStr">
        <is>
          <t>Home insurance</t>
        </is>
      </c>
      <c r="C44" s="36" t="inlineStr">
        <is>
          <t>Home Insurance</t>
        </is>
      </c>
      <c r="D44" s="36" t="inlineStr">
        <is>
          <t>British Columbia</t>
        </is>
      </c>
      <c r="E44" s="36" t="inlineStr">
        <is>
          <t>Vancouver</t>
        </is>
      </c>
      <c r="F44" s="37" t="n">
        <v>600</v>
      </c>
      <c r="G44" s="36" t="n">
        <v>64</v>
      </c>
      <c r="H44" s="36" t="inlineStr">
        <is>
          <t>local</t>
        </is>
      </c>
      <c r="I44" s="36" t="inlineStr">
        <is>
          <t>property-local</t>
        </is>
      </c>
      <c r="J44" s="36" t="n">
        <v>2</v>
      </c>
      <c r="K44" s="36" t="inlineStr">
        <is>
          <t>https://instasure.ca/home-insurance/british-columbia/vancouver/</t>
        </is>
      </c>
      <c r="L44" s="36">
        <f>IF(K44="","No","Yes")</f>
        <v/>
      </c>
      <c r="M44" s="39">
        <f>IF(K44="","",IFERROR(IF(ISNUMBER(SEARCH(A44,INDEX(Pages!$J$2:$J$829,MATCH(K44,Pages!$B$2:$B$829,0)))),"Yes","No"),"Page not found"))</f>
        <v/>
      </c>
      <c r="N44" s="25" t="inlineStr">
        <is>
          <t>ratehub, sonnet</t>
        </is>
      </c>
      <c r="O44" s="25" t="n"/>
      <c r="P44" s="40" t="n"/>
      <c r="Q44" s="38" t="n"/>
      <c r="R44" s="38" t="n"/>
    </row>
    <row r="45" ht="15" customHeight="1" s="22">
      <c r="A45" s="36" t="inlineStr">
        <is>
          <t>business insurance toronto</t>
        </is>
      </c>
      <c r="B45" s="36" t="inlineStr">
        <is>
          <t>Business insurance</t>
        </is>
      </c>
      <c r="C45" s="36" t="inlineStr">
        <is>
          <t>Business Insurance</t>
        </is>
      </c>
      <c r="D45" s="36" t="inlineStr">
        <is>
          <t>Ontario</t>
        </is>
      </c>
      <c r="E45" s="36" t="inlineStr">
        <is>
          <t>Toronto</t>
        </is>
      </c>
      <c r="F45" s="37" t="n">
        <v>590</v>
      </c>
      <c r="G45" s="36" t="n">
        <v>41</v>
      </c>
      <c r="H45" s="36" t="inlineStr">
        <is>
          <t>local</t>
        </is>
      </c>
      <c r="I45" s="36" t="inlineStr">
        <is>
          <t>business-local</t>
        </is>
      </c>
      <c r="J45" s="36" t="n">
        <v>1</v>
      </c>
      <c r="K45" s="36" t="inlineStr">
        <is>
          <t>https://instasure.ca/business-insurance/ontario/toronto/</t>
        </is>
      </c>
      <c r="L45" s="36">
        <f>IF(K45="","No","Yes")</f>
        <v/>
      </c>
      <c r="M45" s="39">
        <f>IF(K45="","",IFERROR(IF(ISNUMBER(SEARCH(A45,INDEX(Pages!$J$2:$J$829,MATCH(K45,Pages!$B$2:$B$829,0)))),"Yes","No"),"Page not found"))</f>
        <v/>
      </c>
      <c r="N45" s="25" t="inlineStr">
        <is>
          <t>(none seen)</t>
        </is>
      </c>
      <c r="O45" s="25" t="n"/>
      <c r="P45" s="40" t="n"/>
      <c r="Q45" s="38" t="n"/>
      <c r="R45" s="38" t="n"/>
    </row>
    <row r="46" ht="15" customHeight="1" s="22">
      <c r="A46" s="36" t="inlineStr">
        <is>
          <t>condo insurance toronto</t>
        </is>
      </c>
      <c r="B46" s="36" t="inlineStr">
        <is>
          <t>Condo insurance</t>
        </is>
      </c>
      <c r="C46" s="36" t="inlineStr">
        <is>
          <t>Condo Insurance</t>
        </is>
      </c>
      <c r="D46" s="36" t="inlineStr">
        <is>
          <t>Ontario</t>
        </is>
      </c>
      <c r="E46" s="36" t="inlineStr">
        <is>
          <t>Toronto</t>
        </is>
      </c>
      <c r="F46" s="37" t="n">
        <v>590</v>
      </c>
      <c r="G46" s="36" t="n">
        <v>56</v>
      </c>
      <c r="H46" s="36" t="inlineStr">
        <is>
          <t>local</t>
        </is>
      </c>
      <c r="I46" s="36" t="inlineStr">
        <is>
          <t>property-local</t>
        </is>
      </c>
      <c r="J46" s="36" t="n">
        <v>3</v>
      </c>
      <c r="K46" s="36" t="inlineStr">
        <is>
          <t>https://instasure.ca/condo-insurance/ontario/toronto/</t>
        </is>
      </c>
      <c r="L46" s="36">
        <f>IF(K46="","No","Yes")</f>
        <v/>
      </c>
      <c r="M46" s="39">
        <f>IF(K46="","",IFERROR(IF(ISNUMBER(SEARCH(A46,INDEX(Pages!$J$2:$J$829,MATCH(K46,Pages!$B$2:$B$829,0)))),"Yes","No"),"Page not found"))</f>
        <v/>
      </c>
      <c r="N46" s="25" t="inlineStr">
        <is>
          <t>rates.ca, sonnet</t>
        </is>
      </c>
      <c r="O46" s="25" t="n"/>
      <c r="P46" s="40" t="n"/>
      <c r="Q46" s="38" t="n"/>
      <c r="R46" s="38" t="n"/>
    </row>
    <row r="47" ht="15" customHeight="1" s="22">
      <c r="A47" s="36" t="inlineStr">
        <is>
          <t>cheap car insurance ottawa</t>
        </is>
      </c>
      <c r="B47" s="36" t="inlineStr">
        <is>
          <t>Car insurance</t>
        </is>
      </c>
      <c r="C47" s="36" t="inlineStr">
        <is>
          <t>Car Insurance</t>
        </is>
      </c>
      <c r="D47" s="36" t="inlineStr">
        <is>
          <t>Ontario</t>
        </is>
      </c>
      <c r="E47" s="36" t="inlineStr">
        <is>
          <t>Ottawa</t>
        </is>
      </c>
      <c r="F47" s="37" t="n">
        <v>580</v>
      </c>
      <c r="G47" s="36" t="n">
        <v>79</v>
      </c>
      <c r="H47" s="36" t="inlineStr">
        <is>
          <t>transactional</t>
        </is>
      </c>
      <c r="I47" s="36" t="inlineStr">
        <is>
          <t>auto-local</t>
        </is>
      </c>
      <c r="J47" s="36" t="n">
        <v>3</v>
      </c>
      <c r="K47" s="36" t="inlineStr">
        <is>
          <t>https://instasure.ca/car-insurance/ontario/ottawa/</t>
        </is>
      </c>
      <c r="L47" s="36">
        <f>IF(K47="","No","Yes")</f>
        <v/>
      </c>
      <c r="M47" s="39">
        <f>IF(K47="","",IFERROR(IF(ISNUMBER(SEARCH(A47,INDEX(Pages!$J$2:$J$829,MATCH(K47,Pages!$B$2:$B$829,0)))),"Yes","No"),"Page not found"))</f>
        <v/>
      </c>
      <c r="N47" s="25" t="inlineStr">
        <is>
          <t>ratehub, rates.ca, sonnet, mychoice/squareone/thinkinsure</t>
        </is>
      </c>
      <c r="O47" s="25" t="inlineStr">
        <is>
          <t>Rates.ca titles lead with "Cheap"; answer with factors and FSA data, not a price promise.</t>
        </is>
      </c>
      <c r="P47" s="40" t="n"/>
      <c r="Q47" s="38" t="n"/>
      <c r="R47" s="38" t="n"/>
    </row>
    <row r="48" ht="15" customHeight="1" s="22">
      <c r="A48" s="36" t="inlineStr">
        <is>
          <t>tenant insurance ottawa</t>
        </is>
      </c>
      <c r="B48" s="36" t="inlineStr">
        <is>
          <t>Tenant insurance</t>
        </is>
      </c>
      <c r="C48" s="36" t="inlineStr">
        <is>
          <t>Tenant Insurance</t>
        </is>
      </c>
      <c r="D48" s="36" t="inlineStr">
        <is>
          <t>Ontario</t>
        </is>
      </c>
      <c r="E48" s="36" t="inlineStr">
        <is>
          <t>Ottawa</t>
        </is>
      </c>
      <c r="F48" s="37" t="n">
        <v>580</v>
      </c>
      <c r="G48" s="36" t="n">
        <v>52</v>
      </c>
      <c r="H48" s="36" t="inlineStr">
        <is>
          <t>local</t>
        </is>
      </c>
      <c r="I48" s="36" t="inlineStr">
        <is>
          <t>property-local</t>
        </is>
      </c>
      <c r="J48" s="36" t="n">
        <v>3</v>
      </c>
      <c r="K48" s="36" t="inlineStr">
        <is>
          <t>https://instasure.ca/tenant-insurance/ontario/ottawa/</t>
        </is>
      </c>
      <c r="L48" s="36">
        <f>IF(K48="","No","Yes")</f>
        <v/>
      </c>
      <c r="M48" s="39">
        <f>IF(K48="","",IFERROR(IF(ISNUMBER(SEARCH(A48,INDEX(Pages!$J$2:$J$829,MATCH(K48,Pages!$B$2:$B$829,0)))),"Yes","No"),"Page not found"))</f>
        <v/>
      </c>
      <c r="N48" s="25" t="inlineStr">
        <is>
          <t>sonnet</t>
        </is>
      </c>
      <c r="O48" s="25" t="n"/>
      <c r="P48" s="40" t="n"/>
      <c r="Q48" s="38" t="n"/>
      <c r="R48" s="38" t="n"/>
    </row>
    <row r="49" ht="23.85" customHeight="1" s="22">
      <c r="A49" s="36" t="inlineStr">
        <is>
          <t>how much is car insurance in brampton</t>
        </is>
      </c>
      <c r="B49" s="36" t="inlineStr">
        <is>
          <t>Car insurance</t>
        </is>
      </c>
      <c r="C49" s="36" t="inlineStr">
        <is>
          <t>Car Insurance</t>
        </is>
      </c>
      <c r="D49" s="36" t="inlineStr">
        <is>
          <t>Ontario</t>
        </is>
      </c>
      <c r="E49" s="36" t="inlineStr">
        <is>
          <t>Brampton</t>
        </is>
      </c>
      <c r="F49" s="37" t="n">
        <v>570</v>
      </c>
      <c r="G49" s="36" t="n">
        <v>71</v>
      </c>
      <c r="H49" s="36" t="inlineStr">
        <is>
          <t>informational</t>
        </is>
      </c>
      <c r="I49" s="36" t="inlineStr">
        <is>
          <t>auto-local</t>
        </is>
      </c>
      <c r="J49" s="36" t="n">
        <v>2</v>
      </c>
      <c r="K49" s="36" t="inlineStr">
        <is>
          <t>https://instasure.ca/car-insurance/ontario/brampton/</t>
        </is>
      </c>
      <c r="L49" s="36">
        <f>IF(K49="","No","Yes")</f>
        <v/>
      </c>
      <c r="M49" s="39">
        <f>IF(K49="","",IFERROR(IF(ISNUMBER(SEARCH(A49,INDEX(Pages!$J$2:$J$829,MATCH(K49,Pages!$B$2:$B$829,0)))),"Yes","No"),"Page not found"))</f>
        <v/>
      </c>
      <c r="N49" s="25" t="inlineStr">
        <is>
          <t>ratehub, rates.ca, mychoice/squareone/thinkinsure</t>
        </is>
      </c>
      <c r="O49" s="25" t="inlineStr">
        <is>
          <t>Ratehub ranks a blog post for this. The city page answers it in the first two sentences with a dated average.</t>
        </is>
      </c>
      <c r="P49" s="40" t="n"/>
      <c r="Q49" s="38" t="n"/>
      <c r="R49" s="38" t="n"/>
    </row>
    <row r="50" ht="15" customHeight="1" s="22">
      <c r="A50" s="36" t="inlineStr">
        <is>
          <t>tenant insurance edmonton</t>
        </is>
      </c>
      <c r="B50" s="36" t="inlineStr">
        <is>
          <t>Tenant insurance</t>
        </is>
      </c>
      <c r="C50" s="36" t="inlineStr">
        <is>
          <t>Tenant Insurance</t>
        </is>
      </c>
      <c r="D50" s="36" t="inlineStr">
        <is>
          <t>Alberta</t>
        </is>
      </c>
      <c r="E50" s="36" t="inlineStr">
        <is>
          <t>Edmonton</t>
        </is>
      </c>
      <c r="F50" s="37" t="n">
        <v>570</v>
      </c>
      <c r="G50" s="36" t="n">
        <v>60</v>
      </c>
      <c r="H50" s="36" t="inlineStr">
        <is>
          <t>local</t>
        </is>
      </c>
      <c r="I50" s="36" t="inlineStr">
        <is>
          <t>property-local</t>
        </is>
      </c>
      <c r="J50" s="36" t="n">
        <v>4</v>
      </c>
      <c r="K50" s="36" t="inlineStr">
        <is>
          <t>https://instasure.ca/tenant-insurance/alberta/edmonton/</t>
        </is>
      </c>
      <c r="L50" s="36">
        <f>IF(K50="","No","Yes")</f>
        <v/>
      </c>
      <c r="M50" s="39">
        <f>IF(K50="","",IFERROR(IF(ISNUMBER(SEARCH(A50,INDEX(Pages!$J$2:$J$829,MATCH(K50,Pages!$B$2:$B$829,0)))),"Yes","No"),"Page not found"))</f>
        <v/>
      </c>
      <c r="N50" s="25" t="inlineStr">
        <is>
          <t>ratehub, rates.ca, sonnet</t>
        </is>
      </c>
      <c r="O50" s="25" t="n"/>
      <c r="P50" s="40" t="n"/>
      <c r="Q50" s="38" t="n"/>
      <c r="R50" s="38" t="n"/>
    </row>
    <row r="51" ht="15" customHeight="1" s="22">
      <c r="A51" s="36" t="inlineStr">
        <is>
          <t>car insurance kitchener</t>
        </is>
      </c>
      <c r="B51" s="36" t="inlineStr">
        <is>
          <t>Car insurance</t>
        </is>
      </c>
      <c r="C51" s="36" t="inlineStr">
        <is>
          <t>Car Insurance</t>
        </is>
      </c>
      <c r="D51" s="36" t="inlineStr">
        <is>
          <t>Ontario</t>
        </is>
      </c>
      <c r="E51" s="36" t="inlineStr">
        <is>
          <t>Kitchener</t>
        </is>
      </c>
      <c r="F51" s="37" t="n">
        <v>560</v>
      </c>
      <c r="G51" s="36" t="n">
        <v>76</v>
      </c>
      <c r="H51" s="36" t="inlineStr">
        <is>
          <t>local</t>
        </is>
      </c>
      <c r="I51" s="36" t="inlineStr">
        <is>
          <t>auto-local</t>
        </is>
      </c>
      <c r="J51" s="36" t="n">
        <v>3</v>
      </c>
      <c r="K51" s="36" t="inlineStr">
        <is>
          <t>https://instasure.ca/car-insurance/ontario/kitchener/</t>
        </is>
      </c>
      <c r="L51" s="36">
        <f>IF(K51="","No","Yes")</f>
        <v/>
      </c>
      <c r="M51" s="39">
        <f>IF(K51="","",IFERROR(IF(ISNUMBER(SEARCH(A51,INDEX(Pages!$J$2:$J$829,MATCH(K51,Pages!$B$2:$B$829,0)))),"Yes","No"),"Page not found"))</f>
        <v/>
      </c>
      <c r="N51" s="25" t="inlineStr">
        <is>
          <t>ratehub, rates.ca</t>
        </is>
      </c>
      <c r="O51" s="25" t="n"/>
      <c r="P51" s="40" t="n"/>
      <c r="Q51" s="38" t="n"/>
      <c r="R51" s="38" t="n"/>
    </row>
    <row r="52" ht="23.85" customHeight="1" s="22">
      <c r="A52" s="36" t="inlineStr">
        <is>
          <t>how much is car insurance in calgary</t>
        </is>
      </c>
      <c r="B52" s="36" t="inlineStr">
        <is>
          <t>Car insurance</t>
        </is>
      </c>
      <c r="C52" s="36" t="inlineStr">
        <is>
          <t>Car Insurance</t>
        </is>
      </c>
      <c r="D52" s="36" t="inlineStr">
        <is>
          <t>Alberta</t>
        </is>
      </c>
      <c r="E52" s="36" t="inlineStr">
        <is>
          <t>Calgary</t>
        </is>
      </c>
      <c r="F52" s="37" t="n">
        <v>550</v>
      </c>
      <c r="G52" s="36" t="n">
        <v>71</v>
      </c>
      <c r="H52" s="36" t="inlineStr">
        <is>
          <t>informational</t>
        </is>
      </c>
      <c r="I52" s="36" t="inlineStr">
        <is>
          <t>auto-local</t>
        </is>
      </c>
      <c r="J52" s="36" t="n">
        <v>3</v>
      </c>
      <c r="K52" s="36" t="inlineStr">
        <is>
          <t>https://instasure.ca/car-insurance/alberta/calgary/</t>
        </is>
      </c>
      <c r="L52" s="36">
        <f>IF(K52="","No","Yes")</f>
        <v/>
      </c>
      <c r="M52" s="39">
        <f>IF(K52="","",IFERROR(IF(ISNUMBER(SEARCH(A52,INDEX(Pages!$J$2:$J$829,MATCH(K52,Pages!$B$2:$B$829,0)))),"Yes","No"),"Page not found"))</f>
        <v/>
      </c>
      <c r="N52" s="25" t="inlineStr">
        <is>
          <t>ratehub, rates.ca</t>
        </is>
      </c>
      <c r="O52" s="25" t="inlineStr">
        <is>
          <t>Ratehub ranks a blog post for this. The city page answers it in the first two sentences with a dated average.</t>
        </is>
      </c>
      <c r="P52" s="40" t="n"/>
      <c r="Q52" s="38" t="n"/>
      <c r="R52" s="38" t="n"/>
    </row>
    <row r="53" ht="15" customHeight="1" s="22">
      <c r="A53" s="36" t="inlineStr">
        <is>
          <t>home insurance hamilton</t>
        </is>
      </c>
      <c r="B53" s="36" t="inlineStr">
        <is>
          <t>Home insurance</t>
        </is>
      </c>
      <c r="C53" s="36" t="inlineStr">
        <is>
          <t>Home Insurance</t>
        </is>
      </c>
      <c r="D53" s="36" t="inlineStr">
        <is>
          <t>Ontario</t>
        </is>
      </c>
      <c r="E53" s="36" t="inlineStr">
        <is>
          <t>Hamilton</t>
        </is>
      </c>
      <c r="F53" s="37" t="n">
        <v>530</v>
      </c>
      <c r="G53" s="36" t="n">
        <v>56</v>
      </c>
      <c r="H53" s="36" t="inlineStr">
        <is>
          <t>local</t>
        </is>
      </c>
      <c r="I53" s="36" t="inlineStr">
        <is>
          <t>property-local</t>
        </is>
      </c>
      <c r="J53" s="36" t="n">
        <v>2</v>
      </c>
      <c r="K53" s="36" t="inlineStr">
        <is>
          <t>https://instasure.ca/home-insurance/ontario/hamilton/</t>
        </is>
      </c>
      <c r="L53" s="36">
        <f>IF(K53="","No","Yes")</f>
        <v/>
      </c>
      <c r="M53" s="39">
        <f>IF(K53="","",IFERROR(IF(ISNUMBER(SEARCH(A53,INDEX(Pages!$J$2:$J$829,MATCH(K53,Pages!$B$2:$B$829,0)))),"Yes","No"),"Page not found"))</f>
        <v/>
      </c>
      <c r="N53" s="25" t="inlineStr">
        <is>
          <t>ratehub, rates.ca</t>
        </is>
      </c>
      <c r="O53" s="25" t="n"/>
      <c r="P53" s="40" t="n"/>
      <c r="Q53" s="38" t="n"/>
      <c r="R53" s="38" t="n"/>
    </row>
    <row r="54" ht="15" customHeight="1" s="22">
      <c r="A54" s="36" t="inlineStr">
        <is>
          <t>home insurance surrey</t>
        </is>
      </c>
      <c r="B54" s="36" t="inlineStr">
        <is>
          <t>Home insurance</t>
        </is>
      </c>
      <c r="C54" s="36" t="inlineStr">
        <is>
          <t>Home Insurance</t>
        </is>
      </c>
      <c r="D54" s="36" t="inlineStr">
        <is>
          <t>British Columbia</t>
        </is>
      </c>
      <c r="E54" s="36" t="inlineStr">
        <is>
          <t>Surrey</t>
        </is>
      </c>
      <c r="F54" s="37" t="n">
        <v>530</v>
      </c>
      <c r="G54" s="36" t="n">
        <v>48</v>
      </c>
      <c r="H54" s="36" t="inlineStr">
        <is>
          <t>local</t>
        </is>
      </c>
      <c r="I54" s="36" t="inlineStr">
        <is>
          <t>property-local</t>
        </is>
      </c>
      <c r="J54" s="36" t="n">
        <v>2</v>
      </c>
      <c r="K54" s="36" t="inlineStr">
        <is>
          <t>https://instasure.ca/home-insurance/british-columbia/surrey/</t>
        </is>
      </c>
      <c r="L54" s="36">
        <f>IF(K54="","No","Yes")</f>
        <v/>
      </c>
      <c r="M54" s="39">
        <f>IF(K54="","",IFERROR(IF(ISNUMBER(SEARCH(A54,INDEX(Pages!$J$2:$J$829,MATCH(K54,Pages!$B$2:$B$829,0)))),"Yes","No"),"Page not found"))</f>
        <v/>
      </c>
      <c r="N54" s="25" t="inlineStr">
        <is>
          <t>(none seen)</t>
        </is>
      </c>
      <c r="O54" s="25" t="n"/>
      <c r="P54" s="40" t="n"/>
      <c r="Q54" s="38" t="n"/>
      <c r="R54" s="38" t="n"/>
    </row>
    <row r="55" ht="15" customHeight="1" s="22">
      <c r="A55" s="36" t="inlineStr">
        <is>
          <t>cheap car insurance hamilton</t>
        </is>
      </c>
      <c r="B55" s="36" t="inlineStr">
        <is>
          <t>Car insurance</t>
        </is>
      </c>
      <c r="C55" s="36" t="inlineStr">
        <is>
          <t>Car Insurance</t>
        </is>
      </c>
      <c r="D55" s="36" t="inlineStr">
        <is>
          <t>Ontario</t>
        </is>
      </c>
      <c r="E55" s="36" t="inlineStr">
        <is>
          <t>Hamilton</t>
        </is>
      </c>
      <c r="F55" s="37" t="n">
        <v>520</v>
      </c>
      <c r="G55" s="36" t="n">
        <v>65</v>
      </c>
      <c r="H55" s="36" t="inlineStr">
        <is>
          <t>transactional</t>
        </is>
      </c>
      <c r="I55" s="36" t="inlineStr">
        <is>
          <t>auto-local</t>
        </is>
      </c>
      <c r="J55" s="36" t="n">
        <v>2</v>
      </c>
      <c r="K55" s="36" t="inlineStr">
        <is>
          <t>https://instasure.ca/car-insurance/ontario/hamilton/</t>
        </is>
      </c>
      <c r="L55" s="36">
        <f>IF(K55="","No","Yes")</f>
        <v/>
      </c>
      <c r="M55" s="39">
        <f>IF(K55="","",IFERROR(IF(ISNUMBER(SEARCH(A55,INDEX(Pages!$J$2:$J$829,MATCH(K55,Pages!$B$2:$B$829,0)))),"Yes","No"),"Page not found"))</f>
        <v/>
      </c>
      <c r="N55" s="25" t="inlineStr">
        <is>
          <t>ratehub, rates.ca, sonnet, mychoice/squareone/thinkinsure</t>
        </is>
      </c>
      <c r="O55" s="25" t="inlineStr">
        <is>
          <t>Rates.ca titles lead with "Cheap"; answer with factors and FSA data, not a price promise.</t>
        </is>
      </c>
      <c r="P55" s="40" t="n"/>
      <c r="Q55" s="38" t="n"/>
      <c r="R55" s="38" t="n"/>
    </row>
    <row r="56" ht="15" customHeight="1" s="22">
      <c r="A56" s="36" t="inlineStr">
        <is>
          <t>car insurance burlington</t>
        </is>
      </c>
      <c r="B56" s="36" t="inlineStr">
        <is>
          <t>Car insurance</t>
        </is>
      </c>
      <c r="C56" s="36" t="inlineStr">
        <is>
          <t>Car Insurance</t>
        </is>
      </c>
      <c r="D56" s="36" t="inlineStr">
        <is>
          <t>Ontario</t>
        </is>
      </c>
      <c r="E56" s="36" t="inlineStr">
        <is>
          <t>Burlington</t>
        </is>
      </c>
      <c r="F56" s="37" t="n">
        <v>500</v>
      </c>
      <c r="G56" s="36" t="n">
        <v>68</v>
      </c>
      <c r="H56" s="36" t="inlineStr">
        <is>
          <t>local</t>
        </is>
      </c>
      <c r="I56" s="36" t="inlineStr">
        <is>
          <t>auto-local</t>
        </is>
      </c>
      <c r="J56" s="36" t="n">
        <v>3</v>
      </c>
      <c r="K56" s="36" t="inlineStr">
        <is>
          <t>https://instasure.ca/car-insurance/ontario/burlington/</t>
        </is>
      </c>
      <c r="L56" s="36">
        <f>IF(K56="","No","Yes")</f>
        <v/>
      </c>
      <c r="M56" s="39">
        <f>IF(K56="","",IFERROR(IF(ISNUMBER(SEARCH(A56,INDEX(Pages!$J$2:$J$829,MATCH(K56,Pages!$B$2:$B$829,0)))),"Yes","No"),"Page not found"))</f>
        <v/>
      </c>
      <c r="N56" s="25" t="inlineStr">
        <is>
          <t>ratehub, rates.ca</t>
        </is>
      </c>
      <c r="O56" s="25" t="n"/>
      <c r="P56" s="40" t="n"/>
      <c r="Q56" s="38" t="n"/>
      <c r="R56" s="38" t="n"/>
    </row>
    <row r="57" ht="23.85" customHeight="1" s="22">
      <c r="A57" s="36" t="inlineStr">
        <is>
          <t>car insurance ajax</t>
        </is>
      </c>
      <c r="B57" s="36" t="inlineStr">
        <is>
          <t>Car insurance</t>
        </is>
      </c>
      <c r="C57" s="36" t="inlineStr">
        <is>
          <t>Car Insurance</t>
        </is>
      </c>
      <c r="D57" s="36" t="inlineStr">
        <is>
          <t>Ontario</t>
        </is>
      </c>
      <c r="E57" s="36" t="inlineStr">
        <is>
          <t>Ajax</t>
        </is>
      </c>
      <c r="F57" s="37" t="n">
        <v>490</v>
      </c>
      <c r="G57" s="36" t="n">
        <v>56</v>
      </c>
      <c r="H57" s="36" t="inlineStr">
        <is>
          <t>local</t>
        </is>
      </c>
      <c r="I57" s="36" t="inlineStr">
        <is>
          <t>auto-local</t>
        </is>
      </c>
      <c r="J57" s="36" t="n">
        <v>3</v>
      </c>
      <c r="K57" s="36" t="inlineStr">
        <is>
          <t>https://instasure.ca/car-insurance/ontario/ajax/</t>
        </is>
      </c>
      <c r="L57" s="36">
        <f>IF(K57="","No","Yes")</f>
        <v/>
      </c>
      <c r="M57" s="39">
        <f>IF(K57="","",IFERROR(IF(ISNUMBER(SEARCH(A57,INDEX(Pages!$J$2:$J$829,MATCH(K57,Pages!$B$2:$B$829,0)))),"Yes","No"),"Page not found"))</f>
        <v/>
      </c>
      <c r="N57" s="25" t="inlineStr">
        <is>
          <t>rates.ca</t>
        </is>
      </c>
      <c r="O57" s="25" t="inlineStr">
        <is>
          <t>Page exists but is noindex until an editor adds a 300+ character local intro (Admin → SEO → Page overrides).</t>
        </is>
      </c>
      <c r="P57" s="40" t="n"/>
      <c r="Q57" s="38" t="n"/>
      <c r="R57" s="38" t="n"/>
    </row>
    <row r="58" ht="23.85" customHeight="1" s="22">
      <c r="A58" s="36" t="inlineStr">
        <is>
          <t>car insurance whitby</t>
        </is>
      </c>
      <c r="B58" s="36" t="inlineStr">
        <is>
          <t>Car insurance</t>
        </is>
      </c>
      <c r="C58" s="36" t="inlineStr">
        <is>
          <t>Car Insurance</t>
        </is>
      </c>
      <c r="D58" s="36" t="inlineStr">
        <is>
          <t>Ontario</t>
        </is>
      </c>
      <c r="E58" s="36" t="inlineStr">
        <is>
          <t>Whitby</t>
        </is>
      </c>
      <c r="F58" s="37" t="n">
        <v>490</v>
      </c>
      <c r="G58" s="36" t="n">
        <v>56</v>
      </c>
      <c r="H58" s="36" t="inlineStr">
        <is>
          <t>local</t>
        </is>
      </c>
      <c r="I58" s="36" t="inlineStr">
        <is>
          <t>auto-local</t>
        </is>
      </c>
      <c r="J58" s="36" t="n">
        <v>3</v>
      </c>
      <c r="K58" s="36" t="inlineStr">
        <is>
          <t>https://instasure.ca/car-insurance/ontario/whitby/</t>
        </is>
      </c>
      <c r="L58" s="36">
        <f>IF(K58="","No","Yes")</f>
        <v/>
      </c>
      <c r="M58" s="39">
        <f>IF(K58="","",IFERROR(IF(ISNUMBER(SEARCH(A58,INDEX(Pages!$J$2:$J$829,MATCH(K58,Pages!$B$2:$B$829,0)))),"Yes","No"),"Page not found"))</f>
        <v/>
      </c>
      <c r="N58" s="25" t="inlineStr">
        <is>
          <t>rates.ca</t>
        </is>
      </c>
      <c r="O58" s="25" t="inlineStr">
        <is>
          <t>Page exists but is noindex until an editor adds a 300+ character local intro (Admin → SEO → Page overrides).</t>
        </is>
      </c>
      <c r="P58" s="40" t="n"/>
      <c r="Q58" s="38" t="n"/>
      <c r="R58" s="38" t="n"/>
    </row>
    <row r="59" ht="15" customHeight="1" s="22">
      <c r="A59" s="36" t="inlineStr">
        <is>
          <t>assurance auto laval</t>
        </is>
      </c>
      <c r="B59" s="36" t="inlineStr">
        <is>
          <t>Car insurance</t>
        </is>
      </c>
      <c r="C59" s="36" t="inlineStr">
        <is>
          <t>Car Insurance</t>
        </is>
      </c>
      <c r="D59" s="36" t="inlineStr">
        <is>
          <t>Quebec</t>
        </is>
      </c>
      <c r="E59" s="36" t="inlineStr">
        <is>
          <t>Laval</t>
        </is>
      </c>
      <c r="F59" s="37" t="n">
        <v>480</v>
      </c>
      <c r="G59" s="36" t="n">
        <v>45</v>
      </c>
      <c r="H59" s="36" t="inlineStr">
        <is>
          <t>local</t>
        </is>
      </c>
      <c r="I59" s="36" t="inlineStr">
        <is>
          <t>fr-quebec</t>
        </is>
      </c>
      <c r="J59" s="36" t="n">
        <v>3</v>
      </c>
      <c r="K59" s="36" t="n"/>
      <c r="L59" s="36">
        <f>IF(K59="","No","Yes")</f>
        <v/>
      </c>
      <c r="M59" s="39">
        <f>IF(K59="","",IFERROR(IF(ISNUMBER(SEARCH(A59,INDEX(Pages!$J$2:$J$829,MATCH(K59,Pages!$B$2:$B$829,0)))),"Yes","No"),"Page not found"))</f>
        <v/>
      </c>
      <c r="N59" s="25" t="inlineStr">
        <is>
          <t>sonnet</t>
        </is>
      </c>
      <c r="O59" s="25" t="inlineStr">
        <is>
          <t>Planned: /fr/assurance-auto/quebec/laval/.</t>
        </is>
      </c>
      <c r="P59" s="40" t="n"/>
      <c r="Q59" s="38" t="n"/>
      <c r="R59" s="38" t="n"/>
    </row>
    <row r="60" ht="23.85" customHeight="1" s="22">
      <c r="A60" s="36" t="inlineStr">
        <is>
          <t>how much is car insurance in mississauga</t>
        </is>
      </c>
      <c r="B60" s="36" t="inlineStr">
        <is>
          <t>Car insurance</t>
        </is>
      </c>
      <c r="C60" s="36" t="inlineStr">
        <is>
          <t>Car Insurance</t>
        </is>
      </c>
      <c r="D60" s="36" t="inlineStr">
        <is>
          <t>Ontario</t>
        </is>
      </c>
      <c r="E60" s="36" t="inlineStr">
        <is>
          <t>Mississauga</t>
        </is>
      </c>
      <c r="F60" s="37" t="n">
        <v>480</v>
      </c>
      <c r="G60" s="36" t="n">
        <v>79</v>
      </c>
      <c r="H60" s="36" t="inlineStr">
        <is>
          <t>informational</t>
        </is>
      </c>
      <c r="I60" s="36" t="inlineStr">
        <is>
          <t>auto-local</t>
        </is>
      </c>
      <c r="J60" s="36" t="n">
        <v>3</v>
      </c>
      <c r="K60" s="36" t="inlineStr">
        <is>
          <t>https://instasure.ca/car-insurance/ontario/mississauga/</t>
        </is>
      </c>
      <c r="L60" s="36">
        <f>IF(K60="","No","Yes")</f>
        <v/>
      </c>
      <c r="M60" s="39">
        <f>IF(K60="","",IFERROR(IF(ISNUMBER(SEARCH(A60,INDEX(Pages!$J$2:$J$829,MATCH(K60,Pages!$B$2:$B$829,0)))),"Yes","No"),"Page not found"))</f>
        <v/>
      </c>
      <c r="N60" s="25" t="inlineStr">
        <is>
          <t>ratehub, rates.ca, sonnet, mychoice/squareone/thinkinsure</t>
        </is>
      </c>
      <c r="O60" s="25" t="inlineStr">
        <is>
          <t>Ratehub ranks a blog post for this. The city page answers it in the first two sentences with a dated average.</t>
        </is>
      </c>
      <c r="P60" s="40" t="n"/>
      <c r="Q60" s="38" t="n"/>
      <c r="R60" s="38" t="n"/>
    </row>
    <row r="61" ht="23.85" customHeight="1" s="22">
      <c r="A61" s="36" t="inlineStr">
        <is>
          <t>life insurance calgary</t>
        </is>
      </c>
      <c r="B61" s="36" t="inlineStr">
        <is>
          <t>Life insurance</t>
        </is>
      </c>
      <c r="C61" s="36" t="inlineStr">
        <is>
          <t>Life Insurance</t>
        </is>
      </c>
      <c r="D61" s="36" t="inlineStr">
        <is>
          <t>Alberta</t>
        </is>
      </c>
      <c r="E61" s="36" t="inlineStr">
        <is>
          <t>Calgary</t>
        </is>
      </c>
      <c r="F61" s="37" t="n">
        <v>480</v>
      </c>
      <c r="G61" s="36" t="n">
        <v>47</v>
      </c>
      <c r="H61" s="36" t="inlineStr">
        <is>
          <t>local</t>
        </is>
      </c>
      <c r="I61" s="36" t="inlineStr">
        <is>
          <t>life-local</t>
        </is>
      </c>
      <c r="J61" s="36" t="n">
        <v>1</v>
      </c>
      <c r="K61" s="36" t="inlineStr">
        <is>
          <t>https://instasure.ca/life-insurance/alberta/calgary/</t>
        </is>
      </c>
      <c r="L61" s="36">
        <f>IF(K61="","No","Yes")</f>
        <v/>
      </c>
      <c r="M61" s="39">
        <f>IF(K61="","",IFERROR(IF(ISNUMBER(SEARCH(A61,INDEX(Pages!$J$2:$J$829,MATCH(K61,Pages!$B$2:$B$829,0)))),"Yes","No"),"Page not found"))</f>
        <v/>
      </c>
      <c r="N61" s="25" t="inlineStr">
        <is>
          <t>ratehub (thin)</t>
        </is>
      </c>
      <c r="O61" s="25" t="inlineStr">
        <is>
          <t>Competitor city pages here are thin or carry stale dates (October 2026 review): freshness opening.</t>
        </is>
      </c>
      <c r="P61" s="40" t="n"/>
      <c r="Q61" s="38" t="n"/>
      <c r="R61" s="38" t="n"/>
    </row>
    <row r="62" ht="15" customHeight="1" s="22">
      <c r="A62" s="36" t="inlineStr">
        <is>
          <t>cheap car insurance vaughan</t>
        </is>
      </c>
      <c r="B62" s="36" t="inlineStr">
        <is>
          <t>Car insurance</t>
        </is>
      </c>
      <c r="C62" s="36" t="inlineStr">
        <is>
          <t>Car Insurance</t>
        </is>
      </c>
      <c r="D62" s="36" t="inlineStr">
        <is>
          <t>Ontario</t>
        </is>
      </c>
      <c r="E62" s="36" t="inlineStr">
        <is>
          <t>Vaughan</t>
        </is>
      </c>
      <c r="F62" s="37" t="n">
        <v>460</v>
      </c>
      <c r="G62" s="36" t="n">
        <v>67</v>
      </c>
      <c r="H62" s="36" t="inlineStr">
        <is>
          <t>transactional</t>
        </is>
      </c>
      <c r="I62" s="36" t="inlineStr">
        <is>
          <t>auto-local</t>
        </is>
      </c>
      <c r="J62" s="36" t="n">
        <v>3</v>
      </c>
      <c r="K62" s="36" t="inlineStr">
        <is>
          <t>https://instasure.ca/car-insurance/ontario/vaughan/</t>
        </is>
      </c>
      <c r="L62" s="36">
        <f>IF(K62="","No","Yes")</f>
        <v/>
      </c>
      <c r="M62" s="39">
        <f>IF(K62="","",IFERROR(IF(ISNUMBER(SEARCH(A62,INDEX(Pages!$J$2:$J$829,MATCH(K62,Pages!$B$2:$B$829,0)))),"Yes","No"),"Page not found"))</f>
        <v/>
      </c>
      <c r="N62" s="25" t="inlineStr">
        <is>
          <t>rates.ca</t>
        </is>
      </c>
      <c r="O62" s="25" t="inlineStr">
        <is>
          <t>Rates.ca titles lead with "Cheap"; answer with factors and FSA data, not a price promise.</t>
        </is>
      </c>
      <c r="P62" s="40" t="n"/>
      <c r="Q62" s="38" t="n"/>
      <c r="R62" s="38" t="n"/>
    </row>
    <row r="63" ht="15" customHeight="1" s="22">
      <c r="A63" s="36" t="inlineStr">
        <is>
          <t>tenant insurance winnipeg</t>
        </is>
      </c>
      <c r="B63" s="36" t="inlineStr">
        <is>
          <t>Tenant insurance</t>
        </is>
      </c>
      <c r="C63" s="36" t="inlineStr">
        <is>
          <t>Tenant Insurance</t>
        </is>
      </c>
      <c r="D63" s="36" t="inlineStr">
        <is>
          <t>Manitoba</t>
        </is>
      </c>
      <c r="E63" s="36" t="inlineStr">
        <is>
          <t>Winnipeg</t>
        </is>
      </c>
      <c r="F63" s="37" t="n">
        <v>450</v>
      </c>
      <c r="G63" s="36" t="n">
        <v>40</v>
      </c>
      <c r="H63" s="36" t="inlineStr">
        <is>
          <t>local</t>
        </is>
      </c>
      <c r="I63" s="36" t="inlineStr">
        <is>
          <t>property-local</t>
        </is>
      </c>
      <c r="J63" s="36" t="n">
        <v>3</v>
      </c>
      <c r="K63" s="36" t="inlineStr">
        <is>
          <t>https://instasure.ca/tenant-insurance/manitoba/winnipeg/</t>
        </is>
      </c>
      <c r="L63" s="36">
        <f>IF(K63="","No","Yes")</f>
        <v/>
      </c>
      <c r="M63" s="39">
        <f>IF(K63="","",IFERROR(IF(ISNUMBER(SEARCH(A63,INDEX(Pages!$J$2:$J$829,MATCH(K63,Pages!$B$2:$B$829,0)))),"Yes","No"),"Page not found"))</f>
        <v/>
      </c>
      <c r="N63" s="25" t="inlineStr">
        <is>
          <t>(none seen)</t>
        </is>
      </c>
      <c r="O63" s="25" t="n"/>
      <c r="P63" s="40" t="n"/>
      <c r="Q63" s="38" t="n"/>
      <c r="R63" s="38" t="n"/>
    </row>
    <row r="64" ht="23.85" customHeight="1" s="22">
      <c r="A64" s="36" t="inlineStr">
        <is>
          <t>car insurance milton</t>
        </is>
      </c>
      <c r="B64" s="36" t="inlineStr">
        <is>
          <t>Car insurance</t>
        </is>
      </c>
      <c r="C64" s="36" t="inlineStr">
        <is>
          <t>Car Insurance</t>
        </is>
      </c>
      <c r="D64" s="36" t="inlineStr">
        <is>
          <t>Ontario</t>
        </is>
      </c>
      <c r="E64" s="36" t="inlineStr">
        <is>
          <t>Milton</t>
        </is>
      </c>
      <c r="F64" s="37" t="n">
        <v>440</v>
      </c>
      <c r="G64" s="36" t="n">
        <v>56</v>
      </c>
      <c r="H64" s="36" t="inlineStr">
        <is>
          <t>local</t>
        </is>
      </c>
      <c r="I64" s="36" t="inlineStr">
        <is>
          <t>auto-local</t>
        </is>
      </c>
      <c r="J64" s="36" t="n">
        <v>3</v>
      </c>
      <c r="K64" s="36" t="inlineStr">
        <is>
          <t>https://instasure.ca/car-insurance/ontario/milton/</t>
        </is>
      </c>
      <c r="L64" s="36">
        <f>IF(K64="","No","Yes")</f>
        <v/>
      </c>
      <c r="M64" s="39">
        <f>IF(K64="","",IFERROR(IF(ISNUMBER(SEARCH(A64,INDEX(Pages!$J$2:$J$829,MATCH(K64,Pages!$B$2:$B$829,0)))),"Yes","No"),"Page not found"))</f>
        <v/>
      </c>
      <c r="N64" s="25" t="inlineStr">
        <is>
          <t>rates.ca</t>
        </is>
      </c>
      <c r="O64" s="25" t="inlineStr">
        <is>
          <t>Page exists but is noindex until an editor adds a 300+ character local intro (Admin → SEO → Page overrides).</t>
        </is>
      </c>
      <c r="P64" s="40" t="n"/>
      <c r="Q64" s="38" t="n"/>
      <c r="R64" s="38" t="n"/>
    </row>
    <row r="65" ht="15" customHeight="1" s="22">
      <c r="A65" s="36" t="inlineStr">
        <is>
          <t>tenant insurance mississauga</t>
        </is>
      </c>
      <c r="B65" s="36" t="inlineStr">
        <is>
          <t>Tenant insurance</t>
        </is>
      </c>
      <c r="C65" s="36" t="inlineStr">
        <is>
          <t>Tenant Insurance</t>
        </is>
      </c>
      <c r="D65" s="36" t="inlineStr">
        <is>
          <t>Ontario</t>
        </is>
      </c>
      <c r="E65" s="36" t="inlineStr">
        <is>
          <t>Mississauga</t>
        </is>
      </c>
      <c r="F65" s="37" t="n">
        <v>440</v>
      </c>
      <c r="G65" s="36" t="n">
        <v>56</v>
      </c>
      <c r="H65" s="36" t="inlineStr">
        <is>
          <t>local</t>
        </is>
      </c>
      <c r="I65" s="36" t="inlineStr">
        <is>
          <t>property-local</t>
        </is>
      </c>
      <c r="J65" s="36" t="n">
        <v>4</v>
      </c>
      <c r="K65" s="36" t="inlineStr">
        <is>
          <t>https://instasure.ca/tenant-insurance/ontario/mississauga/</t>
        </is>
      </c>
      <c r="L65" s="36">
        <f>IF(K65="","No","Yes")</f>
        <v/>
      </c>
      <c r="M65" s="39">
        <f>IF(K65="","",IFERROR(IF(ISNUMBER(SEARCH(A65,INDEX(Pages!$J$2:$J$829,MATCH(K65,Pages!$B$2:$B$829,0)))),"Yes","No"),"Page not found"))</f>
        <v/>
      </c>
      <c r="N65" s="25" t="inlineStr">
        <is>
          <t>rates.ca, sonnet</t>
        </is>
      </c>
      <c r="O65" s="25" t="n"/>
      <c r="P65" s="40" t="n"/>
      <c r="Q65" s="38" t="n"/>
      <c r="R65" s="38" t="n"/>
    </row>
    <row r="66" ht="15" customHeight="1" s="22">
      <c r="A66" s="36" t="inlineStr">
        <is>
          <t>cheap car insurance halifax</t>
        </is>
      </c>
      <c r="B66" s="36" t="inlineStr">
        <is>
          <t>Car insurance</t>
        </is>
      </c>
      <c r="C66" s="36" t="inlineStr">
        <is>
          <t>Car Insurance</t>
        </is>
      </c>
      <c r="D66" s="36" t="inlineStr">
        <is>
          <t>Nova Scotia</t>
        </is>
      </c>
      <c r="E66" s="36" t="inlineStr">
        <is>
          <t>Halifax</t>
        </is>
      </c>
      <c r="F66" s="37" t="n">
        <v>430</v>
      </c>
      <c r="G66" s="36" t="n">
        <v>59</v>
      </c>
      <c r="H66" s="36" t="inlineStr">
        <is>
          <t>transactional</t>
        </is>
      </c>
      <c r="I66" s="36" t="inlineStr">
        <is>
          <t>auto-local</t>
        </is>
      </c>
      <c r="J66" s="36" t="n">
        <v>3</v>
      </c>
      <c r="K66" s="36" t="inlineStr">
        <is>
          <t>https://instasure.ca/car-insurance/nova-scotia/halifax/</t>
        </is>
      </c>
      <c r="L66" s="36">
        <f>IF(K66="","No","Yes")</f>
        <v/>
      </c>
      <c r="M66" s="39">
        <f>IF(K66="","",IFERROR(IF(ISNUMBER(SEARCH(A66,INDEX(Pages!$J$2:$J$829,MATCH(K66,Pages!$B$2:$B$829,0)))),"Yes","No"),"Page not found"))</f>
        <v/>
      </c>
      <c r="N66" s="25" t="inlineStr">
        <is>
          <t>ratehub</t>
        </is>
      </c>
      <c r="O66" s="25" t="inlineStr">
        <is>
          <t>Rates.ca titles lead with "Cheap"; answer with factors and FSA data, not a price promise.</t>
        </is>
      </c>
      <c r="P66" s="40" t="n"/>
      <c r="Q66" s="38" t="n"/>
      <c r="R66" s="38" t="n"/>
    </row>
    <row r="67" ht="15" customHeight="1" s="22">
      <c r="A67" s="36" t="inlineStr">
        <is>
          <t>cheap car insurance markham</t>
        </is>
      </c>
      <c r="B67" s="36" t="inlineStr">
        <is>
          <t>Car insurance</t>
        </is>
      </c>
      <c r="C67" s="36" t="inlineStr">
        <is>
          <t>Car Insurance</t>
        </is>
      </c>
      <c r="D67" s="36" t="inlineStr">
        <is>
          <t>Ontario</t>
        </is>
      </c>
      <c r="E67" s="36" t="inlineStr">
        <is>
          <t>Markham</t>
        </is>
      </c>
      <c r="F67" s="37" t="n">
        <v>430</v>
      </c>
      <c r="G67" s="36" t="n">
        <v>71</v>
      </c>
      <c r="H67" s="36" t="inlineStr">
        <is>
          <t>transactional</t>
        </is>
      </c>
      <c r="I67" s="36" t="inlineStr">
        <is>
          <t>auto-local</t>
        </is>
      </c>
      <c r="J67" s="36" t="n">
        <v>3</v>
      </c>
      <c r="K67" s="36" t="inlineStr">
        <is>
          <t>https://instasure.ca/car-insurance/ontario/markham/</t>
        </is>
      </c>
      <c r="L67" s="36">
        <f>IF(K67="","No","Yes")</f>
        <v/>
      </c>
      <c r="M67" s="39">
        <f>IF(K67="","",IFERROR(IF(ISNUMBER(SEARCH(A67,INDEX(Pages!$J$2:$J$829,MATCH(K67,Pages!$B$2:$B$829,0)))),"Yes","No"),"Page not found"))</f>
        <v/>
      </c>
      <c r="N67" s="25" t="inlineStr">
        <is>
          <t>ratehub, rates.ca</t>
        </is>
      </c>
      <c r="O67" s="25" t="inlineStr">
        <is>
          <t>Rates.ca titles lead with "Cheap"; answer with factors and FSA data, not a price promise.</t>
        </is>
      </c>
      <c r="P67" s="40" t="n"/>
      <c r="Q67" s="38" t="n"/>
      <c r="R67" s="38" t="n"/>
    </row>
    <row r="68" ht="15" customHeight="1" s="22">
      <c r="A68" s="36" t="inlineStr">
        <is>
          <t>home insurance halifax</t>
        </is>
      </c>
      <c r="B68" s="36" t="inlineStr">
        <is>
          <t>Home insurance</t>
        </is>
      </c>
      <c r="C68" s="36" t="inlineStr">
        <is>
          <t>Home Insurance</t>
        </is>
      </c>
      <c r="D68" s="36" t="inlineStr">
        <is>
          <t>Nova Scotia</t>
        </is>
      </c>
      <c r="E68" s="36" t="inlineStr">
        <is>
          <t>Halifax</t>
        </is>
      </c>
      <c r="F68" s="37" t="n">
        <v>430</v>
      </c>
      <c r="G68" s="36" t="n">
        <v>52</v>
      </c>
      <c r="H68" s="36" t="inlineStr">
        <is>
          <t>local</t>
        </is>
      </c>
      <c r="I68" s="36" t="inlineStr">
        <is>
          <t>property-local</t>
        </is>
      </c>
      <c r="J68" s="36" t="n">
        <v>2</v>
      </c>
      <c r="K68" s="36" t="inlineStr">
        <is>
          <t>https://instasure.ca/home-insurance/nova-scotia/halifax/</t>
        </is>
      </c>
      <c r="L68" s="36">
        <f>IF(K68="","No","Yes")</f>
        <v/>
      </c>
      <c r="M68" s="39">
        <f>IF(K68="","",IFERROR(IF(ISNUMBER(SEARCH(A68,INDEX(Pages!$J$2:$J$829,MATCH(K68,Pages!$B$2:$B$829,0)))),"Yes","No"),"Page not found"))</f>
        <v/>
      </c>
      <c r="N68" s="25" t="inlineStr">
        <is>
          <t>ratehub</t>
        </is>
      </c>
      <c r="O68" s="25" t="n"/>
      <c r="P68" s="40" t="n"/>
      <c r="Q68" s="38" t="n"/>
      <c r="R68" s="38" t="n"/>
    </row>
    <row r="69" ht="15" customHeight="1" s="22">
      <c r="A69" s="36" t="inlineStr">
        <is>
          <t>home insurance london ontario</t>
        </is>
      </c>
      <c r="B69" s="36" t="inlineStr">
        <is>
          <t>Home insurance</t>
        </is>
      </c>
      <c r="C69" s="36" t="inlineStr">
        <is>
          <t>Home Insurance</t>
        </is>
      </c>
      <c r="D69" s="36" t="inlineStr">
        <is>
          <t>Ontario</t>
        </is>
      </c>
      <c r="E69" s="36" t="inlineStr">
        <is>
          <t>London</t>
        </is>
      </c>
      <c r="F69" s="37" t="n">
        <v>420</v>
      </c>
      <c r="G69" s="36" t="n">
        <v>56</v>
      </c>
      <c r="H69" s="36" t="inlineStr">
        <is>
          <t>local</t>
        </is>
      </c>
      <c r="I69" s="36" t="inlineStr">
        <is>
          <t>property-local</t>
        </is>
      </c>
      <c r="J69" s="36" t="n">
        <v>2</v>
      </c>
      <c r="K69" s="36" t="inlineStr">
        <is>
          <t>https://instasure.ca/home-insurance/ontario/london/</t>
        </is>
      </c>
      <c r="L69" s="36">
        <f>IF(K69="","No","Yes")</f>
        <v/>
      </c>
      <c r="M69" s="39">
        <f>IF(K69="","",IFERROR(IF(ISNUMBER(SEARCH(A69,INDEX(Pages!$J$2:$J$829,MATCH(K69,Pages!$B$2:$B$829,0)))),"Yes","No"),"Page not found"))</f>
        <v/>
      </c>
      <c r="N69" s="25" t="inlineStr">
        <is>
          <t>(none seen)</t>
        </is>
      </c>
      <c r="O69" s="25" t="n"/>
      <c r="P69" s="40" t="n"/>
      <c r="Q69" s="38" t="n"/>
      <c r="R69" s="38" t="n"/>
    </row>
    <row r="70" ht="23.85" customHeight="1" s="22">
      <c r="A70" s="36" t="inlineStr">
        <is>
          <t>how much is car insurance in edmonton</t>
        </is>
      </c>
      <c r="B70" s="36" t="inlineStr">
        <is>
          <t>Car insurance</t>
        </is>
      </c>
      <c r="C70" s="36" t="inlineStr">
        <is>
          <t>Car Insurance</t>
        </is>
      </c>
      <c r="D70" s="36" t="inlineStr">
        <is>
          <t>Alberta</t>
        </is>
      </c>
      <c r="E70" s="36" t="inlineStr">
        <is>
          <t>Edmonton</t>
        </is>
      </c>
      <c r="F70" s="37" t="n">
        <v>420</v>
      </c>
      <c r="G70" s="36" t="n">
        <v>71</v>
      </c>
      <c r="H70" s="36" t="inlineStr">
        <is>
          <t>informational</t>
        </is>
      </c>
      <c r="I70" s="36" t="inlineStr">
        <is>
          <t>auto-local</t>
        </is>
      </c>
      <c r="J70" s="36" t="n">
        <v>3</v>
      </c>
      <c r="K70" s="36" t="inlineStr">
        <is>
          <t>https://instasure.ca/car-insurance/alberta/edmonton/</t>
        </is>
      </c>
      <c r="L70" s="36">
        <f>IF(K70="","No","Yes")</f>
        <v/>
      </c>
      <c r="M70" s="39">
        <f>IF(K70="","",IFERROR(IF(ISNUMBER(SEARCH(A70,INDEX(Pages!$J$2:$J$829,MATCH(K70,Pages!$B$2:$B$829,0)))),"Yes","No"),"Page not found"))</f>
        <v/>
      </c>
      <c r="N70" s="25" t="inlineStr">
        <is>
          <t>ratehub, rates.ca</t>
        </is>
      </c>
      <c r="O70" s="25" t="inlineStr">
        <is>
          <t>Ratehub ranks a blog post for this. The city page answers it in the first two sentences with a dated average.</t>
        </is>
      </c>
      <c r="P70" s="40" t="n"/>
      <c r="Q70" s="38" t="n"/>
      <c r="R70" s="38" t="n"/>
    </row>
    <row r="71" ht="15" customHeight="1" s="22">
      <c r="A71" s="36" t="inlineStr">
        <is>
          <t>tenant insurance brampton</t>
        </is>
      </c>
      <c r="B71" s="36" t="inlineStr">
        <is>
          <t>Tenant insurance</t>
        </is>
      </c>
      <c r="C71" s="36" t="inlineStr">
        <is>
          <t>Tenant Insurance</t>
        </is>
      </c>
      <c r="D71" s="36" t="inlineStr">
        <is>
          <t>Ontario</t>
        </is>
      </c>
      <c r="E71" s="36" t="inlineStr">
        <is>
          <t>Brampton</t>
        </is>
      </c>
      <c r="F71" s="37" t="n">
        <v>410</v>
      </c>
      <c r="G71" s="36" t="n">
        <v>48</v>
      </c>
      <c r="H71" s="36" t="inlineStr">
        <is>
          <t>local</t>
        </is>
      </c>
      <c r="I71" s="36" t="inlineStr">
        <is>
          <t>property-local</t>
        </is>
      </c>
      <c r="J71" s="36" t="n">
        <v>3</v>
      </c>
      <c r="K71" s="36" t="inlineStr">
        <is>
          <t>https://instasure.ca/tenant-insurance/ontario/brampton/</t>
        </is>
      </c>
      <c r="L71" s="36">
        <f>IF(K71="","No","Yes")</f>
        <v/>
      </c>
      <c r="M71" s="39">
        <f>IF(K71="","",IFERROR(IF(ISNUMBER(SEARCH(A71,INDEX(Pages!$J$2:$J$829,MATCH(K71,Pages!$B$2:$B$829,0)))),"Yes","No"),"Page not found"))</f>
        <v/>
      </c>
      <c r="N71" s="25" t="inlineStr">
        <is>
          <t>(none seen)</t>
        </is>
      </c>
      <c r="O71" s="25" t="n"/>
      <c r="P71" s="40" t="n"/>
      <c r="Q71" s="38" t="n"/>
      <c r="R71" s="38" t="n"/>
    </row>
    <row r="72" ht="15" customHeight="1" s="22">
      <c r="A72" s="36" t="inlineStr">
        <is>
          <t>tenant insurance vancouver</t>
        </is>
      </c>
      <c r="B72" s="36" t="inlineStr">
        <is>
          <t>Tenant insurance</t>
        </is>
      </c>
      <c r="C72" s="36" t="inlineStr">
        <is>
          <t>Tenant Insurance</t>
        </is>
      </c>
      <c r="D72" s="36" t="inlineStr">
        <is>
          <t>British Columbia</t>
        </is>
      </c>
      <c r="E72" s="36" t="inlineStr">
        <is>
          <t>Vancouver</t>
        </is>
      </c>
      <c r="F72" s="37" t="n">
        <v>410</v>
      </c>
      <c r="G72" s="36" t="n">
        <v>56</v>
      </c>
      <c r="H72" s="36" t="inlineStr">
        <is>
          <t>local</t>
        </is>
      </c>
      <c r="I72" s="36" t="inlineStr">
        <is>
          <t>property-local</t>
        </is>
      </c>
      <c r="J72" s="36" t="n">
        <v>4</v>
      </c>
      <c r="K72" s="36" t="inlineStr">
        <is>
          <t>https://instasure.ca/tenant-insurance/british-columbia/vancouver/</t>
        </is>
      </c>
      <c r="L72" s="36">
        <f>IF(K72="","No","Yes")</f>
        <v/>
      </c>
      <c r="M72" s="39">
        <f>IF(K72="","",IFERROR(IF(ISNUMBER(SEARCH(A72,INDEX(Pages!$J$2:$J$829,MATCH(K72,Pages!$B$2:$B$829,0)))),"Yes","No"),"Page not found"))</f>
        <v/>
      </c>
      <c r="N72" s="25" t="inlineStr">
        <is>
          <t>rates.ca, sonnet</t>
        </is>
      </c>
      <c r="O72" s="25" t="n"/>
      <c r="P72" s="40" t="n"/>
      <c r="Q72" s="38" t="n"/>
      <c r="R72" s="38" t="n"/>
    </row>
    <row r="73" ht="15" customHeight="1" s="22">
      <c r="A73" s="36" t="inlineStr">
        <is>
          <t>car insurance barrie</t>
        </is>
      </c>
      <c r="B73" s="36" t="inlineStr">
        <is>
          <t>Car insurance</t>
        </is>
      </c>
      <c r="C73" s="36" t="inlineStr">
        <is>
          <t>Car Insurance</t>
        </is>
      </c>
      <c r="D73" s="36" t="inlineStr">
        <is>
          <t>Ontario</t>
        </is>
      </c>
      <c r="E73" s="36" t="inlineStr">
        <is>
          <t>Barrie</t>
        </is>
      </c>
      <c r="F73" s="37" t="n">
        <v>400</v>
      </c>
      <c r="G73" s="36" t="n">
        <v>72</v>
      </c>
      <c r="H73" s="36" t="inlineStr">
        <is>
          <t>local</t>
        </is>
      </c>
      <c r="I73" s="36" t="inlineStr">
        <is>
          <t>auto-local</t>
        </is>
      </c>
      <c r="J73" s="36" t="n">
        <v>3</v>
      </c>
      <c r="K73" s="36" t="inlineStr">
        <is>
          <t>https://instasure.ca/car-insurance/ontario/barrie/</t>
        </is>
      </c>
      <c r="L73" s="36">
        <f>IF(K73="","No","Yes")</f>
        <v/>
      </c>
      <c r="M73" s="39">
        <f>IF(K73="","",IFERROR(IF(ISNUMBER(SEARCH(A73,INDEX(Pages!$J$2:$J$829,MATCH(K73,Pages!$B$2:$B$829,0)))),"Yes","No"),"Page not found"))</f>
        <v/>
      </c>
      <c r="N73" s="25" t="inlineStr">
        <is>
          <t>ratehub, rates.ca, sonnet</t>
        </is>
      </c>
      <c r="O73" s="25" t="n"/>
      <c r="P73" s="40" t="n"/>
      <c r="Q73" s="38" t="n"/>
      <c r="R73" s="38" t="n"/>
    </row>
    <row r="74" ht="23.85" customHeight="1" s="22">
      <c r="A74" s="36" t="inlineStr">
        <is>
          <t>car insurance pickering</t>
        </is>
      </c>
      <c r="B74" s="36" t="inlineStr">
        <is>
          <t>Car insurance</t>
        </is>
      </c>
      <c r="C74" s="36" t="inlineStr">
        <is>
          <t>Car Insurance</t>
        </is>
      </c>
      <c r="D74" s="36" t="inlineStr">
        <is>
          <t>Ontario</t>
        </is>
      </c>
      <c r="E74" s="36" t="inlineStr">
        <is>
          <t>Pickering</t>
        </is>
      </c>
      <c r="F74" s="37" t="n">
        <v>400</v>
      </c>
      <c r="G74" s="36" t="n">
        <v>56</v>
      </c>
      <c r="H74" s="36" t="inlineStr">
        <is>
          <t>local</t>
        </is>
      </c>
      <c r="I74" s="36" t="inlineStr">
        <is>
          <t>auto-local</t>
        </is>
      </c>
      <c r="J74" s="36" t="n">
        <v>4</v>
      </c>
      <c r="K74" s="36" t="inlineStr">
        <is>
          <t>https://instasure.ca/car-insurance/ontario/pickering/</t>
        </is>
      </c>
      <c r="L74" s="36">
        <f>IF(K74="","No","Yes")</f>
        <v/>
      </c>
      <c r="M74" s="39">
        <f>IF(K74="","",IFERROR(IF(ISNUMBER(SEARCH(A74,INDEX(Pages!$J$2:$J$829,MATCH(K74,Pages!$B$2:$B$829,0)))),"Yes","No"),"Page not found"))</f>
        <v/>
      </c>
      <c r="N74" s="25" t="inlineStr">
        <is>
          <t>rates.ca</t>
        </is>
      </c>
      <c r="O74" s="25" t="inlineStr">
        <is>
          <t>Page exists but is noindex until an editor adds a 300+ character local intro (Admin → SEO → Page overrides).</t>
        </is>
      </c>
      <c r="P74" s="40" t="n"/>
      <c r="Q74" s="38" t="n"/>
      <c r="R74" s="38" t="n"/>
    </row>
    <row r="75" ht="15" customHeight="1" s="22">
      <c r="A75" s="36" t="inlineStr">
        <is>
          <t>assurance auto gatineau</t>
        </is>
      </c>
      <c r="B75" s="36" t="inlineStr">
        <is>
          <t>Car insurance</t>
        </is>
      </c>
      <c r="C75" s="36" t="inlineStr">
        <is>
          <t>Car Insurance</t>
        </is>
      </c>
      <c r="D75" s="36" t="inlineStr">
        <is>
          <t>Quebec</t>
        </is>
      </c>
      <c r="E75" s="36" t="inlineStr">
        <is>
          <t>Gatineau</t>
        </is>
      </c>
      <c r="F75" s="37" t="n">
        <v>390</v>
      </c>
      <c r="G75" s="36" t="n">
        <v>35</v>
      </c>
      <c r="H75" s="36" t="inlineStr">
        <is>
          <t>local</t>
        </is>
      </c>
      <c r="I75" s="36" t="inlineStr">
        <is>
          <t>fr-quebec</t>
        </is>
      </c>
      <c r="J75" s="36" t="n">
        <v>4</v>
      </c>
      <c r="K75" s="36" t="n"/>
      <c r="L75" s="36">
        <f>IF(K75="","No","Yes")</f>
        <v/>
      </c>
      <c r="M75" s="39">
        <f>IF(K75="","",IFERROR(IF(ISNUMBER(SEARCH(A75,INDEX(Pages!$J$2:$J$829,MATCH(K75,Pages!$B$2:$B$829,0)))),"Yes","No"),"Page not found"))</f>
        <v/>
      </c>
      <c r="N75" s="25" t="inlineStr">
        <is>
          <t>(none seen)</t>
        </is>
      </c>
      <c r="O75" s="25" t="inlineStr">
        <is>
          <t>Planned: /fr/assurance-auto/quebec/gatineau/.</t>
        </is>
      </c>
      <c r="P75" s="40" t="n"/>
      <c r="Q75" s="38" t="n"/>
      <c r="R75" s="38" t="n"/>
    </row>
    <row r="76" ht="15" customHeight="1" s="22">
      <c r="A76" s="36" t="inlineStr">
        <is>
          <t>hail insurance calgary</t>
        </is>
      </c>
      <c r="B76" s="36" t="inlineStr">
        <is>
          <t>Home insurance</t>
        </is>
      </c>
      <c r="C76" s="36" t="inlineStr">
        <is>
          <t>Home Insurance</t>
        </is>
      </c>
      <c r="D76" s="36" t="inlineStr">
        <is>
          <t>Alberta</t>
        </is>
      </c>
      <c r="E76" s="36" t="inlineStr">
        <is>
          <t>Calgary</t>
        </is>
      </c>
      <c r="F76" s="37" t="n">
        <v>390</v>
      </c>
      <c r="G76" s="36" t="n">
        <v>25</v>
      </c>
      <c r="H76" s="36" t="inlineStr">
        <is>
          <t>local</t>
        </is>
      </c>
      <c r="I76" s="36" t="inlineStr">
        <is>
          <t>property-coverage</t>
        </is>
      </c>
      <c r="J76" s="36" t="n">
        <v>1</v>
      </c>
      <c r="K76" s="36" t="inlineStr">
        <is>
          <t>https://instasure.ca/guides/calgary-hail-insurance-guide/</t>
        </is>
      </c>
      <c r="L76" s="36">
        <f>IF(K76="","No","Yes")</f>
        <v/>
      </c>
      <c r="M76" s="39">
        <f>IF(K76="","",IFERROR(IF(ISNUMBER(SEARCH(A76,INDEX(Pages!$J$2:$J$829,MATCH(K76,Pages!$B$2:$B$829,0)))),"Yes","No"),"Page not found"))</f>
        <v/>
      </c>
      <c r="N76" s="25" t="inlineStr">
        <is>
          <t>IBC data, local brokers</t>
        </is>
      </c>
      <c r="O76" s="25" t="inlineStr">
        <is>
          <t>Calgary hail on August 5, 2024 cost about $3.29B (CatIQ, verify).</t>
        </is>
      </c>
      <c r="P76" s="40" t="n"/>
      <c r="Q76" s="38" t="n"/>
      <c r="R76" s="38" t="n"/>
    </row>
    <row r="77" ht="15" customHeight="1" s="22">
      <c r="A77" s="36" t="inlineStr">
        <is>
          <t>home insurance montreal</t>
        </is>
      </c>
      <c r="B77" s="36" t="inlineStr">
        <is>
          <t>Home insurance</t>
        </is>
      </c>
      <c r="C77" s="36" t="inlineStr">
        <is>
          <t>Home Insurance</t>
        </is>
      </c>
      <c r="D77" s="36" t="inlineStr">
        <is>
          <t>Quebec</t>
        </is>
      </c>
      <c r="E77" s="36" t="inlineStr">
        <is>
          <t>Montreal</t>
        </is>
      </c>
      <c r="F77" s="37" t="n">
        <v>390</v>
      </c>
      <c r="G77" s="36" t="n">
        <v>52</v>
      </c>
      <c r="H77" s="36" t="inlineStr">
        <is>
          <t>local</t>
        </is>
      </c>
      <c r="I77" s="36" t="inlineStr">
        <is>
          <t>property-local</t>
        </is>
      </c>
      <c r="J77" s="36" t="n">
        <v>4</v>
      </c>
      <c r="K77" s="36" t="inlineStr">
        <is>
          <t>https://instasure.ca/home-insurance/quebec/montreal/</t>
        </is>
      </c>
      <c r="L77" s="36">
        <f>IF(K77="","No","Yes")</f>
        <v/>
      </c>
      <c r="M77" s="39">
        <f>IF(K77="","",IFERROR(IF(ISNUMBER(SEARCH(A77,INDEX(Pages!$J$2:$J$829,MATCH(K77,Pages!$B$2:$B$829,0)))),"Yes","No"),"Page not found"))</f>
        <v/>
      </c>
      <c r="N77" s="25" t="inlineStr">
        <is>
          <t>ratehub</t>
        </is>
      </c>
      <c r="O77" s="25" t="inlineStr">
        <is>
          <t>Quebec waitlist until AMF registration.</t>
        </is>
      </c>
      <c r="P77" s="40" t="n"/>
      <c r="Q77" s="38" t="n"/>
      <c r="R77" s="38" t="n"/>
    </row>
    <row r="78" ht="23.85" customHeight="1" s="22">
      <c r="A78" s="36" t="inlineStr">
        <is>
          <t>life insurance edmonton</t>
        </is>
      </c>
      <c r="B78" s="36" t="inlineStr">
        <is>
          <t>Life insurance</t>
        </is>
      </c>
      <c r="C78" s="36" t="inlineStr">
        <is>
          <t>Life Insurance</t>
        </is>
      </c>
      <c r="D78" s="36" t="inlineStr">
        <is>
          <t>Alberta</t>
        </is>
      </c>
      <c r="E78" s="36" t="inlineStr">
        <is>
          <t>Edmonton</t>
        </is>
      </c>
      <c r="F78" s="37" t="n">
        <v>390</v>
      </c>
      <c r="G78" s="36" t="n">
        <v>51</v>
      </c>
      <c r="H78" s="36" t="inlineStr">
        <is>
          <t>local</t>
        </is>
      </c>
      <c r="I78" s="36" t="inlineStr">
        <is>
          <t>life-local</t>
        </is>
      </c>
      <c r="J78" s="36" t="n">
        <v>1</v>
      </c>
      <c r="K78" s="36" t="inlineStr">
        <is>
          <t>https://instasure.ca/life-insurance/alberta/edmonton/</t>
        </is>
      </c>
      <c r="L78" s="36">
        <f>IF(K78="","No","Yes")</f>
        <v/>
      </c>
      <c r="M78" s="39">
        <f>IF(K78="","",IFERROR(IF(ISNUMBER(SEARCH(A78,INDEX(Pages!$J$2:$J$829,MATCH(K78,Pages!$B$2:$B$829,0)))),"Yes","No"),"Page not found"))</f>
        <v/>
      </c>
      <c r="N78" s="25" t="inlineStr">
        <is>
          <t>policyadvisor (stale 2025 titles), ratehub (thin)</t>
        </is>
      </c>
      <c r="O78" s="25" t="inlineStr">
        <is>
          <t>Competitor city pages here are thin or carry stale dates (October 2026 review): freshness opening.</t>
        </is>
      </c>
      <c r="P78" s="40" t="n"/>
      <c r="Q78" s="38" t="n"/>
      <c r="R78" s="38" t="n"/>
    </row>
    <row r="79" ht="23.85" customHeight="1" s="22">
      <c r="A79" s="36" t="inlineStr">
        <is>
          <t>life insurance ottawa</t>
        </is>
      </c>
      <c r="B79" s="36" t="inlineStr">
        <is>
          <t>Life insurance</t>
        </is>
      </c>
      <c r="C79" s="36" t="inlineStr">
        <is>
          <t>Life Insurance</t>
        </is>
      </c>
      <c r="D79" s="36" t="inlineStr">
        <is>
          <t>Ontario</t>
        </is>
      </c>
      <c r="E79" s="36" t="inlineStr">
        <is>
          <t>Ottawa</t>
        </is>
      </c>
      <c r="F79" s="37" t="n">
        <v>390</v>
      </c>
      <c r="G79" s="36" t="n">
        <v>47</v>
      </c>
      <c r="H79" s="36" t="inlineStr">
        <is>
          <t>local</t>
        </is>
      </c>
      <c r="I79" s="36" t="inlineStr">
        <is>
          <t>life-local</t>
        </is>
      </c>
      <c r="J79" s="36" t="n">
        <v>1</v>
      </c>
      <c r="K79" s="36" t="inlineStr">
        <is>
          <t>https://instasure.ca/life-insurance/ontario/ottawa/</t>
        </is>
      </c>
      <c r="L79" s="36">
        <f>IF(K79="","No","Yes")</f>
        <v/>
      </c>
      <c r="M79" s="39">
        <f>IF(K79="","",IFERROR(IF(ISNUMBER(SEARCH(A79,INDEX(Pages!$J$2:$J$829,MATCH(K79,Pages!$B$2:$B$829,0)))),"Yes","No"),"Page not found"))</f>
        <v/>
      </c>
      <c r="N79" s="25" t="inlineStr">
        <is>
          <t>policyadvisor (stale 2025 titles)</t>
        </is>
      </c>
      <c r="O79" s="25" t="inlineStr">
        <is>
          <t>Competitor city pages here are thin or carry stale dates (October 2026 review): freshness opening.</t>
        </is>
      </c>
      <c r="P79" s="40" t="n"/>
      <c r="Q79" s="38" t="n"/>
      <c r="R79" s="38" t="n"/>
    </row>
    <row r="80" ht="15" customHeight="1" s="22">
      <c r="A80" s="36" t="inlineStr">
        <is>
          <t>car insurance burnaby</t>
        </is>
      </c>
      <c r="B80" s="36" t="inlineStr">
        <is>
          <t>Car insurance</t>
        </is>
      </c>
      <c r="C80" s="36" t="inlineStr">
        <is>
          <t>Car Insurance</t>
        </is>
      </c>
      <c r="D80" s="36" t="inlineStr">
        <is>
          <t>British Columbia</t>
        </is>
      </c>
      <c r="E80" s="36" t="inlineStr">
        <is>
          <t>Burnaby</t>
        </is>
      </c>
      <c r="F80" s="37" t="n">
        <v>370</v>
      </c>
      <c r="G80" s="36" t="n">
        <v>60</v>
      </c>
      <c r="H80" s="36" t="inlineStr">
        <is>
          <t>local</t>
        </is>
      </c>
      <c r="I80" s="36" t="inlineStr">
        <is>
          <t>auto-local</t>
        </is>
      </c>
      <c r="J80" s="36" t="n">
        <v>4</v>
      </c>
      <c r="K80" s="36" t="inlineStr">
        <is>
          <t>https://instasure.ca/car-insurance/british-columbia/burnaby/</t>
        </is>
      </c>
      <c r="L80" s="36">
        <f>IF(K80="","No","Yes")</f>
        <v/>
      </c>
      <c r="M80" s="39">
        <f>IF(K80="","",IFERROR(IF(ISNUMBER(SEARCH(A80,INDEX(Pages!$J$2:$J$829,MATCH(K80,Pages!$B$2:$B$829,0)))),"Yes","No"),"Page not found"))</f>
        <v/>
      </c>
      <c r="N80" s="25" t="inlineStr">
        <is>
          <t>(none seen)</t>
        </is>
      </c>
      <c r="O80" s="25" t="inlineStr">
        <is>
          <t>ICBC sells basic auto; target optional coverage. Low lead value.</t>
        </is>
      </c>
      <c r="P80" s="40" t="n"/>
      <c r="Q80" s="38" t="n"/>
      <c r="R80" s="38" t="n"/>
    </row>
    <row r="81" ht="15" customHeight="1" s="22">
      <c r="A81" s="36" t="inlineStr">
        <is>
          <t>car insurance laval</t>
        </is>
      </c>
      <c r="B81" s="36" t="inlineStr">
        <is>
          <t>Car insurance</t>
        </is>
      </c>
      <c r="C81" s="36" t="inlineStr">
        <is>
          <t>Car Insurance</t>
        </is>
      </c>
      <c r="D81" s="36" t="inlineStr">
        <is>
          <t>Quebec</t>
        </is>
      </c>
      <c r="E81" s="36" t="inlineStr">
        <is>
          <t>Laval</t>
        </is>
      </c>
      <c r="F81" s="37" t="n">
        <v>370</v>
      </c>
      <c r="G81" s="36" t="n">
        <v>60</v>
      </c>
      <c r="H81" s="36" t="inlineStr">
        <is>
          <t>local</t>
        </is>
      </c>
      <c r="I81" s="36" t="inlineStr">
        <is>
          <t>auto-local</t>
        </is>
      </c>
      <c r="J81" s="36" t="n">
        <v>4</v>
      </c>
      <c r="K81" s="36" t="inlineStr">
        <is>
          <t>https://instasure.ca/car-insurance/quebec/laval/</t>
        </is>
      </c>
      <c r="L81" s="36">
        <f>IF(K81="","No","Yes")</f>
        <v/>
      </c>
      <c r="M81" s="39">
        <f>IF(K81="","",IFERROR(IF(ISNUMBER(SEARCH(A81,INDEX(Pages!$J$2:$J$829,MATCH(K81,Pages!$B$2:$B$829,0)))),"Yes","No"),"Page not found"))</f>
        <v/>
      </c>
      <c r="N81" s="25" t="inlineStr">
        <is>
          <t>(none seen)</t>
        </is>
      </c>
      <c r="O81" s="25" t="inlineStr">
        <is>
          <t>Quebec waitlist until AMF registration.</t>
        </is>
      </c>
      <c r="P81" s="40" t="n"/>
      <c r="Q81" s="38" t="n"/>
      <c r="R81" s="38" t="n"/>
    </row>
    <row r="82" ht="15" customHeight="1" s="22">
      <c r="A82" s="36" t="inlineStr">
        <is>
          <t>insurance advisor calgary</t>
        </is>
      </c>
      <c r="B82" s="36" t="inlineStr">
        <is>
          <t>Multi-line (place hubs)</t>
        </is>
      </c>
      <c r="C82" s="36" t="n"/>
      <c r="D82" s="36" t="inlineStr">
        <is>
          <t>Alberta</t>
        </is>
      </c>
      <c r="E82" s="36" t="inlineStr">
        <is>
          <t>Calgary</t>
        </is>
      </c>
      <c r="F82" s="37" t="n">
        <v>370</v>
      </c>
      <c r="G82" s="36" t="n">
        <v>30</v>
      </c>
      <c r="H82" s="36" t="inlineStr">
        <is>
          <t>local</t>
        </is>
      </c>
      <c r="I82" s="36" t="inlineStr">
        <is>
          <t>advisors</t>
        </is>
      </c>
      <c r="J82" s="36" t="n">
        <v>1</v>
      </c>
      <c r="K82" s="36" t="inlineStr">
        <is>
          <t>https://instasure.ca/insurance/alberta/calgary/</t>
        </is>
      </c>
      <c r="L82" s="36">
        <f>IF(K82="","No","Yes")</f>
        <v/>
      </c>
      <c r="M82" s="39">
        <f>IF(K82="","",IFERROR(IF(ISNUMBER(SEARCH(A82,INDEX(Pages!$J$2:$J$829,MATCH(K82,Pages!$B$2:$B$829,0)))),"Yes","No"),"Page not found"))</f>
        <v/>
      </c>
      <c r="N82" s="25" t="inlineStr">
        <is>
          <t>local brokers, thinkinsure, rates.ca (broker pages)</t>
        </is>
      </c>
      <c r="O82" s="25" t="inlineStr">
        <is>
          <t>City hub. Add a Google Business Profile only where an advisor really works from that city.</t>
        </is>
      </c>
      <c r="P82" s="40" t="n"/>
      <c r="Q82" s="38" t="n"/>
      <c r="R82" s="38" t="n"/>
    </row>
    <row r="83" ht="15" customHeight="1" s="22">
      <c r="A83" s="36" t="inlineStr">
        <is>
          <t>car insurance saskatoon</t>
        </is>
      </c>
      <c r="B83" s="36" t="inlineStr">
        <is>
          <t>Car insurance</t>
        </is>
      </c>
      <c r="C83" s="36" t="inlineStr">
        <is>
          <t>Car Insurance</t>
        </is>
      </c>
      <c r="D83" s="36" t="inlineStr">
        <is>
          <t>Saskatchewan</t>
        </is>
      </c>
      <c r="E83" s="36" t="inlineStr">
        <is>
          <t>Saskatoon</t>
        </is>
      </c>
      <c r="F83" s="37" t="n">
        <v>360</v>
      </c>
      <c r="G83" s="36" t="n">
        <v>64</v>
      </c>
      <c r="H83" s="36" t="inlineStr">
        <is>
          <t>local</t>
        </is>
      </c>
      <c r="I83" s="36" t="inlineStr">
        <is>
          <t>auto-local</t>
        </is>
      </c>
      <c r="J83" s="36" t="n">
        <v>5</v>
      </c>
      <c r="K83" s="36" t="inlineStr">
        <is>
          <t>https://instasure.ca/car-insurance/saskatchewan/saskatoon/</t>
        </is>
      </c>
      <c r="L83" s="36">
        <f>IF(K83="","No","Yes")</f>
        <v/>
      </c>
      <c r="M83" s="39">
        <f>IF(K83="","",IFERROR(IF(ISNUMBER(SEARCH(A83,INDEX(Pages!$J$2:$J$829,MATCH(K83,Pages!$B$2:$B$829,0)))),"Yes","No"),"Page not found"))</f>
        <v/>
      </c>
      <c r="N83" s="25" t="inlineStr">
        <is>
          <t>ratehub</t>
        </is>
      </c>
      <c r="O83" s="25" t="inlineStr">
        <is>
          <t>SGI sells basic auto; target optional coverage. Low lead value.</t>
        </is>
      </c>
      <c r="P83" s="40" t="n"/>
      <c r="Q83" s="38" t="n"/>
      <c r="R83" s="38" t="n"/>
    </row>
    <row r="84" ht="15" customHeight="1" s="22">
      <c r="A84" s="36" t="inlineStr">
        <is>
          <t>car insurance st catharines</t>
        </is>
      </c>
      <c r="B84" s="36" t="inlineStr">
        <is>
          <t>Car insurance</t>
        </is>
      </c>
      <c r="C84" s="36" t="inlineStr">
        <is>
          <t>Car Insurance</t>
        </is>
      </c>
      <c r="D84" s="36" t="inlineStr">
        <is>
          <t>Ontario</t>
        </is>
      </c>
      <c r="E84" s="36" t="inlineStr">
        <is>
          <t>St. Catharines</t>
        </is>
      </c>
      <c r="F84" s="37" t="n">
        <v>360</v>
      </c>
      <c r="G84" s="36" t="n">
        <v>68</v>
      </c>
      <c r="H84" s="36" t="inlineStr">
        <is>
          <t>local</t>
        </is>
      </c>
      <c r="I84" s="36" t="inlineStr">
        <is>
          <t>auto-local</t>
        </is>
      </c>
      <c r="J84" s="36" t="n">
        <v>3</v>
      </c>
      <c r="K84" s="36" t="inlineStr">
        <is>
          <t>https://instasure.ca/car-insurance/ontario/st-catharines/</t>
        </is>
      </c>
      <c r="L84" s="36">
        <f>IF(K84="","No","Yes")</f>
        <v/>
      </c>
      <c r="M84" s="39">
        <f>IF(K84="","",IFERROR(IF(ISNUMBER(SEARCH(A84,INDEX(Pages!$J$2:$J$829,MATCH(K84,Pages!$B$2:$B$829,0)))),"Yes","No"),"Page not found"))</f>
        <v/>
      </c>
      <c r="N84" s="25" t="inlineStr">
        <is>
          <t>rates.ca, sonnet</t>
        </is>
      </c>
      <c r="O84" s="25" t="n"/>
      <c r="P84" s="40" t="n"/>
      <c r="Q84" s="38" t="n"/>
      <c r="R84" s="38" t="n"/>
    </row>
    <row r="85" ht="15" customHeight="1" s="22">
      <c r="A85" s="36" t="inlineStr">
        <is>
          <t>car insurance st johns</t>
        </is>
      </c>
      <c r="B85" s="36" t="inlineStr">
        <is>
          <t>Car insurance</t>
        </is>
      </c>
      <c r="C85" s="36" t="inlineStr">
        <is>
          <t>Car Insurance</t>
        </is>
      </c>
      <c r="D85" s="36" t="inlineStr">
        <is>
          <t>Newfoundland and Labrador</t>
        </is>
      </c>
      <c r="E85" s="36" t="inlineStr">
        <is>
          <t>St. John’s</t>
        </is>
      </c>
      <c r="F85" s="37" t="n">
        <v>360</v>
      </c>
      <c r="G85" s="36" t="n">
        <v>64</v>
      </c>
      <c r="H85" s="36" t="inlineStr">
        <is>
          <t>local</t>
        </is>
      </c>
      <c r="I85" s="36" t="inlineStr">
        <is>
          <t>auto-local</t>
        </is>
      </c>
      <c r="J85" s="36" t="n">
        <v>3</v>
      </c>
      <c r="K85" s="36" t="inlineStr">
        <is>
          <t>https://instasure.ca/car-insurance/newfoundland-and-labrador/st-johns/</t>
        </is>
      </c>
      <c r="L85" s="36">
        <f>IF(K85="","No","Yes")</f>
        <v/>
      </c>
      <c r="M85" s="39">
        <f>IF(K85="","",IFERROR(IF(ISNUMBER(SEARCH(A85,INDEX(Pages!$J$2:$J$829,MATCH(K85,Pages!$B$2:$B$829,0)))),"Yes","No"),"Page not found"))</f>
        <v/>
      </c>
      <c r="N85" s="25" t="inlineStr">
        <is>
          <t>ratehub</t>
        </is>
      </c>
      <c r="O85" s="25" t="n"/>
      <c r="P85" s="40" t="n"/>
      <c r="Q85" s="38" t="n"/>
      <c r="R85" s="38" t="n"/>
    </row>
    <row r="86" ht="15" customHeight="1" s="22">
      <c r="A86" s="36" t="inlineStr">
        <is>
          <t>tenant insurance hamilton</t>
        </is>
      </c>
      <c r="B86" s="36" t="inlineStr">
        <is>
          <t>Tenant insurance</t>
        </is>
      </c>
      <c r="C86" s="36" t="inlineStr">
        <is>
          <t>Tenant Insurance</t>
        </is>
      </c>
      <c r="D86" s="36" t="inlineStr">
        <is>
          <t>Ontario</t>
        </is>
      </c>
      <c r="E86" s="36" t="inlineStr">
        <is>
          <t>Hamilton</t>
        </is>
      </c>
      <c r="F86" s="37" t="n">
        <v>360</v>
      </c>
      <c r="G86" s="36" t="n">
        <v>48</v>
      </c>
      <c r="H86" s="36" t="inlineStr">
        <is>
          <t>local</t>
        </is>
      </c>
      <c r="I86" s="36" t="inlineStr">
        <is>
          <t>property-local</t>
        </is>
      </c>
      <c r="J86" s="36" t="n">
        <v>3</v>
      </c>
      <c r="K86" s="36" t="inlineStr">
        <is>
          <t>https://instasure.ca/tenant-insurance/ontario/hamilton/</t>
        </is>
      </c>
      <c r="L86" s="36">
        <f>IF(K86="","No","Yes")</f>
        <v/>
      </c>
      <c r="M86" s="39">
        <f>IF(K86="","",IFERROR(IF(ISNUMBER(SEARCH(A86,INDEX(Pages!$J$2:$J$829,MATCH(K86,Pages!$B$2:$B$829,0)))),"Yes","No"),"Page not found"))</f>
        <v/>
      </c>
      <c r="N86" s="25" t="inlineStr">
        <is>
          <t>(none seen)</t>
        </is>
      </c>
      <c r="O86" s="25" t="n"/>
      <c r="P86" s="40" t="n"/>
      <c r="Q86" s="38" t="n"/>
      <c r="R86" s="38" t="n"/>
    </row>
    <row r="87" ht="15" customHeight="1" s="22">
      <c r="A87" s="36" t="inlineStr">
        <is>
          <t>tenant insurance surrey</t>
        </is>
      </c>
      <c r="B87" s="36" t="inlineStr">
        <is>
          <t>Tenant insurance</t>
        </is>
      </c>
      <c r="C87" s="36" t="inlineStr">
        <is>
          <t>Tenant Insurance</t>
        </is>
      </c>
      <c r="D87" s="36" t="inlineStr">
        <is>
          <t>British Columbia</t>
        </is>
      </c>
      <c r="E87" s="36" t="inlineStr">
        <is>
          <t>Surrey</t>
        </is>
      </c>
      <c r="F87" s="37" t="n">
        <v>360</v>
      </c>
      <c r="G87" s="36" t="n">
        <v>44</v>
      </c>
      <c r="H87" s="36" t="inlineStr">
        <is>
          <t>local</t>
        </is>
      </c>
      <c r="I87" s="36" t="inlineStr">
        <is>
          <t>property-local</t>
        </is>
      </c>
      <c r="J87" s="36" t="n">
        <v>4</v>
      </c>
      <c r="K87" s="36" t="inlineStr">
        <is>
          <t>https://instasure.ca/tenant-insurance/british-columbia/surrey/</t>
        </is>
      </c>
      <c r="L87" s="36">
        <f>IF(K87="","No","Yes")</f>
        <v/>
      </c>
      <c r="M87" s="39">
        <f>IF(K87="","",IFERROR(IF(ISNUMBER(SEARCH(A87,INDEX(Pages!$J$2:$J$829,MATCH(K87,Pages!$B$2:$B$829,0)))),"Yes","No"),"Page not found"))</f>
        <v/>
      </c>
      <c r="N87" s="25" t="inlineStr">
        <is>
          <t>sonnet</t>
        </is>
      </c>
      <c r="O87" s="25" t="n"/>
      <c r="P87" s="40" t="n"/>
      <c r="Q87" s="38" t="n"/>
      <c r="R87" s="38" t="n"/>
    </row>
    <row r="88" ht="15" customHeight="1" s="22">
      <c r="A88" s="36" t="inlineStr">
        <is>
          <t>home insurance markham</t>
        </is>
      </c>
      <c r="B88" s="36" t="inlineStr">
        <is>
          <t>Home insurance</t>
        </is>
      </c>
      <c r="C88" s="36" t="inlineStr">
        <is>
          <t>Home Insurance</t>
        </is>
      </c>
      <c r="D88" s="36" t="inlineStr">
        <is>
          <t>Ontario</t>
        </is>
      </c>
      <c r="E88" s="36" t="inlineStr">
        <is>
          <t>Markham</t>
        </is>
      </c>
      <c r="F88" s="37" t="n">
        <v>350</v>
      </c>
      <c r="G88" s="36" t="n">
        <v>56</v>
      </c>
      <c r="H88" s="36" t="inlineStr">
        <is>
          <t>local</t>
        </is>
      </c>
      <c r="I88" s="36" t="inlineStr">
        <is>
          <t>property-local</t>
        </is>
      </c>
      <c r="J88" s="36" t="n">
        <v>2</v>
      </c>
      <c r="K88" s="36" t="inlineStr">
        <is>
          <t>https://instasure.ca/home-insurance/ontario/markham/</t>
        </is>
      </c>
      <c r="L88" s="36">
        <f>IF(K88="","No","Yes")</f>
        <v/>
      </c>
      <c r="M88" s="39">
        <f>IF(K88="","",IFERROR(IF(ISNUMBER(SEARCH(A88,INDEX(Pages!$J$2:$J$829,MATCH(K88,Pages!$B$2:$B$829,0)))),"Yes","No"),"Page not found"))</f>
        <v/>
      </c>
      <c r="N88" s="25" t="inlineStr">
        <is>
          <t>(none seen)</t>
        </is>
      </c>
      <c r="O88" s="25" t="n"/>
      <c r="P88" s="40" t="n"/>
      <c r="Q88" s="38" t="n"/>
      <c r="R88" s="38" t="n"/>
    </row>
    <row r="89" ht="23.85" customHeight="1" s="22">
      <c r="A89" s="36" t="inlineStr">
        <is>
          <t>car insurance cambridge</t>
        </is>
      </c>
      <c r="B89" s="36" t="inlineStr">
        <is>
          <t>Car insurance</t>
        </is>
      </c>
      <c r="C89" s="36" t="inlineStr">
        <is>
          <t>Car Insurance</t>
        </is>
      </c>
      <c r="D89" s="36" t="inlineStr">
        <is>
          <t>Ontario</t>
        </is>
      </c>
      <c r="E89" s="36" t="inlineStr">
        <is>
          <t>Cambridge</t>
        </is>
      </c>
      <c r="F89" s="37" t="n">
        <v>340</v>
      </c>
      <c r="G89" s="36" t="n">
        <v>56</v>
      </c>
      <c r="H89" s="36" t="inlineStr">
        <is>
          <t>local</t>
        </is>
      </c>
      <c r="I89" s="36" t="inlineStr">
        <is>
          <t>auto-local</t>
        </is>
      </c>
      <c r="J89" s="36" t="n">
        <v>4</v>
      </c>
      <c r="K89" s="36" t="inlineStr">
        <is>
          <t>https://instasure.ca/car-insurance/ontario/cambridge/</t>
        </is>
      </c>
      <c r="L89" s="36">
        <f>IF(K89="","No","Yes")</f>
        <v/>
      </c>
      <c r="M89" s="39">
        <f>IF(K89="","",IFERROR(IF(ISNUMBER(SEARCH(A89,INDEX(Pages!$J$2:$J$829,MATCH(K89,Pages!$B$2:$B$829,0)))),"Yes","No"),"Page not found"))</f>
        <v/>
      </c>
      <c r="N89" s="25" t="inlineStr">
        <is>
          <t>rates.ca</t>
        </is>
      </c>
      <c r="O89" s="25" t="inlineStr">
        <is>
          <t>Page exists but is noindex until an editor adds a 300+ character local intro (Admin → SEO → Page overrides).</t>
        </is>
      </c>
      <c r="P89" s="40" t="n"/>
      <c r="Q89" s="38" t="n"/>
      <c r="R89" s="38" t="n"/>
    </row>
    <row r="90" ht="23.85" customHeight="1" s="22">
      <c r="A90" s="36" t="inlineStr">
        <is>
          <t>car insurance sudbury</t>
        </is>
      </c>
      <c r="B90" s="36" t="inlineStr">
        <is>
          <t>Car insurance</t>
        </is>
      </c>
      <c r="C90" s="36" t="inlineStr">
        <is>
          <t>Car Insurance</t>
        </is>
      </c>
      <c r="D90" s="36" t="inlineStr">
        <is>
          <t>Ontario</t>
        </is>
      </c>
      <c r="E90" s="36" t="inlineStr">
        <is>
          <t>Sudbury</t>
        </is>
      </c>
      <c r="F90" s="37" t="n">
        <v>340</v>
      </c>
      <c r="G90" s="36" t="n">
        <v>60</v>
      </c>
      <c r="H90" s="36" t="inlineStr">
        <is>
          <t>local</t>
        </is>
      </c>
      <c r="I90" s="36" t="inlineStr">
        <is>
          <t>auto-local</t>
        </is>
      </c>
      <c r="J90" s="36" t="n">
        <v>4</v>
      </c>
      <c r="K90" s="36" t="inlineStr">
        <is>
          <t>https://instasure.ca/car-insurance/ontario/sudbury/</t>
        </is>
      </c>
      <c r="L90" s="36">
        <f>IF(K90="","No","Yes")</f>
        <v/>
      </c>
      <c r="M90" s="39">
        <f>IF(K90="","",IFERROR(IF(ISNUMBER(SEARCH(A90,INDEX(Pages!$J$2:$J$829,MATCH(K90,Pages!$B$2:$B$829,0)))),"Yes","No"),"Page not found"))</f>
        <v/>
      </c>
      <c r="N90" s="25" t="inlineStr">
        <is>
          <t>ratehub, rates.ca</t>
        </is>
      </c>
      <c r="O90" s="25" t="inlineStr">
        <is>
          <t>Page exists but is noindex until an editor adds a 300+ character local intro (Admin → SEO → Page overrides).</t>
        </is>
      </c>
      <c r="P90" s="40" t="n"/>
      <c r="Q90" s="38" t="n"/>
      <c r="R90" s="38" t="n"/>
    </row>
    <row r="91" ht="15" customHeight="1" s="22">
      <c r="A91" s="36" t="inlineStr">
        <is>
          <t>home insurance vaughan</t>
        </is>
      </c>
      <c r="B91" s="36" t="inlineStr">
        <is>
          <t>Home insurance</t>
        </is>
      </c>
      <c r="C91" s="36" t="inlineStr">
        <is>
          <t>Home Insurance</t>
        </is>
      </c>
      <c r="D91" s="36" t="inlineStr">
        <is>
          <t>Ontario</t>
        </is>
      </c>
      <c r="E91" s="36" t="inlineStr">
        <is>
          <t>Vaughan</t>
        </is>
      </c>
      <c r="F91" s="37" t="n">
        <v>340</v>
      </c>
      <c r="G91" s="36" t="n">
        <v>56</v>
      </c>
      <c r="H91" s="36" t="inlineStr">
        <is>
          <t>local</t>
        </is>
      </c>
      <c r="I91" s="36" t="inlineStr">
        <is>
          <t>property-local</t>
        </is>
      </c>
      <c r="J91" s="36" t="n">
        <v>2</v>
      </c>
      <c r="K91" s="36" t="inlineStr">
        <is>
          <t>https://instasure.ca/home-insurance/ontario/vaughan/</t>
        </is>
      </c>
      <c r="L91" s="36">
        <f>IF(K91="","No","Yes")</f>
        <v/>
      </c>
      <c r="M91" s="39">
        <f>IF(K91="","",IFERROR(IF(ISNUMBER(SEARCH(A91,INDEX(Pages!$J$2:$J$829,MATCH(K91,Pages!$B$2:$B$829,0)))),"Yes","No"),"Page not found"))</f>
        <v/>
      </c>
      <c r="N91" s="25" t="inlineStr">
        <is>
          <t>(none seen)</t>
        </is>
      </c>
      <c r="O91" s="25" t="n"/>
      <c r="P91" s="40" t="n"/>
      <c r="Q91" s="38" t="n"/>
      <c r="R91" s="38" t="n"/>
    </row>
    <row r="92" ht="15" customHeight="1" s="22">
      <c r="A92" s="36" t="inlineStr">
        <is>
          <t>car insurance guelph</t>
        </is>
      </c>
      <c r="B92" s="36" t="inlineStr">
        <is>
          <t>Car insurance</t>
        </is>
      </c>
      <c r="C92" s="36" t="inlineStr">
        <is>
          <t>Car Insurance</t>
        </is>
      </c>
      <c r="D92" s="36" t="inlineStr">
        <is>
          <t>Ontario</t>
        </is>
      </c>
      <c r="E92" s="36" t="inlineStr">
        <is>
          <t>Guelph</t>
        </is>
      </c>
      <c r="F92" s="37" t="n">
        <v>330</v>
      </c>
      <c r="G92" s="36" t="n">
        <v>68</v>
      </c>
      <c r="H92" s="36" t="inlineStr">
        <is>
          <t>local</t>
        </is>
      </c>
      <c r="I92" s="36" t="inlineStr">
        <is>
          <t>auto-local</t>
        </is>
      </c>
      <c r="J92" s="36" t="n">
        <v>3</v>
      </c>
      <c r="K92" s="36" t="inlineStr">
        <is>
          <t>https://instasure.ca/car-insurance/ontario/guelph/</t>
        </is>
      </c>
      <c r="L92" s="36">
        <f>IF(K92="","No","Yes")</f>
        <v/>
      </c>
      <c r="M92" s="39">
        <f>IF(K92="","",IFERROR(IF(ISNUMBER(SEARCH(A92,INDEX(Pages!$J$2:$J$829,MATCH(K92,Pages!$B$2:$B$829,0)))),"Yes","No"),"Page not found"))</f>
        <v/>
      </c>
      <c r="N92" s="25" t="inlineStr">
        <is>
          <t>ratehub, rates.ca</t>
        </is>
      </c>
      <c r="O92" s="25" t="n"/>
      <c r="P92" s="40" t="n"/>
      <c r="Q92" s="38" t="n"/>
      <c r="R92" s="38" t="n"/>
    </row>
    <row r="93" ht="23.85" customHeight="1" s="22">
      <c r="A93" s="36" t="inlineStr">
        <is>
          <t>how much is car insurance in ottawa</t>
        </is>
      </c>
      <c r="B93" s="36" t="inlineStr">
        <is>
          <t>Car insurance</t>
        </is>
      </c>
      <c r="C93" s="36" t="inlineStr">
        <is>
          <t>Car Insurance</t>
        </is>
      </c>
      <c r="D93" s="36" t="inlineStr">
        <is>
          <t>Ontario</t>
        </is>
      </c>
      <c r="E93" s="36" t="inlineStr">
        <is>
          <t>Ottawa</t>
        </is>
      </c>
      <c r="F93" s="37" t="n">
        <v>330</v>
      </c>
      <c r="G93" s="36" t="n">
        <v>79</v>
      </c>
      <c r="H93" s="36" t="inlineStr">
        <is>
          <t>informational</t>
        </is>
      </c>
      <c r="I93" s="36" t="inlineStr">
        <is>
          <t>auto-local</t>
        </is>
      </c>
      <c r="J93" s="36" t="n">
        <v>3</v>
      </c>
      <c r="K93" s="36" t="inlineStr">
        <is>
          <t>https://instasure.ca/car-insurance/ontario/ottawa/</t>
        </is>
      </c>
      <c r="L93" s="36">
        <f>IF(K93="","No","Yes")</f>
        <v/>
      </c>
      <c r="M93" s="39">
        <f>IF(K93="","",IFERROR(IF(ISNUMBER(SEARCH(A93,INDEX(Pages!$J$2:$J$829,MATCH(K93,Pages!$B$2:$B$829,0)))),"Yes","No"),"Page not found"))</f>
        <v/>
      </c>
      <c r="N93" s="25" t="inlineStr">
        <is>
          <t>ratehub, rates.ca, sonnet, mychoice/squareone/thinkinsure</t>
        </is>
      </c>
      <c r="O93" s="25" t="inlineStr">
        <is>
          <t>Ratehub ranks a blog post for this. The city page answers it in the first two sentences with a dated average.</t>
        </is>
      </c>
      <c r="P93" s="40" t="n"/>
      <c r="Q93" s="38" t="n"/>
      <c r="R93" s="38" t="n"/>
    </row>
    <row r="94" ht="15" customHeight="1" s="22">
      <c r="A94" s="36" t="inlineStr">
        <is>
          <t>assurance habitation laval</t>
        </is>
      </c>
      <c r="B94" s="36" t="inlineStr">
        <is>
          <t>Home insurance</t>
        </is>
      </c>
      <c r="C94" s="36" t="inlineStr">
        <is>
          <t>Home Insurance</t>
        </is>
      </c>
      <c r="D94" s="36" t="inlineStr">
        <is>
          <t>Quebec</t>
        </is>
      </c>
      <c r="E94" s="36" t="inlineStr">
        <is>
          <t>Laval</t>
        </is>
      </c>
      <c r="F94" s="37" t="n">
        <v>320</v>
      </c>
      <c r="G94" s="36" t="n">
        <v>40</v>
      </c>
      <c r="H94" s="36" t="inlineStr">
        <is>
          <t>local</t>
        </is>
      </c>
      <c r="I94" s="36" t="inlineStr">
        <is>
          <t>fr-quebec</t>
        </is>
      </c>
      <c r="J94" s="36" t="n">
        <v>4</v>
      </c>
      <c r="K94" s="36" t="n"/>
      <c r="L94" s="36">
        <f>IF(K94="","No","Yes")</f>
        <v/>
      </c>
      <c r="M94" s="39">
        <f>IF(K94="","",IFERROR(IF(ISNUMBER(SEARCH(A94,INDEX(Pages!$J$2:$J$829,MATCH(K94,Pages!$B$2:$B$829,0)))),"Yes","No"),"Page not found"))</f>
        <v/>
      </c>
      <c r="N94" s="25" t="inlineStr">
        <is>
          <t>sonnet</t>
        </is>
      </c>
      <c r="O94" s="25" t="inlineStr">
        <is>
          <t>Planned: /fr/assurance-habitation/quebec/laval/.</t>
        </is>
      </c>
      <c r="P94" s="40" t="n"/>
      <c r="Q94" s="38" t="n"/>
      <c r="R94" s="38" t="n"/>
    </row>
    <row r="95" ht="15" customHeight="1" s="22">
      <c r="A95" s="36" t="inlineStr">
        <is>
          <t>business insurance calgary</t>
        </is>
      </c>
      <c r="B95" s="36" t="inlineStr">
        <is>
          <t>Business insurance</t>
        </is>
      </c>
      <c r="C95" s="36" t="inlineStr">
        <is>
          <t>Business Insurance</t>
        </is>
      </c>
      <c r="D95" s="36" t="inlineStr">
        <is>
          <t>Alberta</t>
        </is>
      </c>
      <c r="E95" s="36" t="inlineStr">
        <is>
          <t>Calgary</t>
        </is>
      </c>
      <c r="F95" s="37" t="n">
        <v>320</v>
      </c>
      <c r="G95" s="36" t="n">
        <v>41</v>
      </c>
      <c r="H95" s="36" t="inlineStr">
        <is>
          <t>local</t>
        </is>
      </c>
      <c r="I95" s="36" t="inlineStr">
        <is>
          <t>business-local</t>
        </is>
      </c>
      <c r="J95" s="36" t="n">
        <v>1</v>
      </c>
      <c r="K95" s="36" t="inlineStr">
        <is>
          <t>https://instasure.ca/business-insurance/alberta/calgary/</t>
        </is>
      </c>
      <c r="L95" s="36">
        <f>IF(K95="","No","Yes")</f>
        <v/>
      </c>
      <c r="M95" s="39">
        <f>IF(K95="","",IFERROR(IF(ISNUMBER(SEARCH(A95,INDEX(Pages!$J$2:$J$829,MATCH(K95,Pages!$B$2:$B$829,0)))),"Yes","No"),"Page not found"))</f>
        <v/>
      </c>
      <c r="N95" s="25" t="inlineStr">
        <is>
          <t>(none seen)</t>
        </is>
      </c>
      <c r="O95" s="25" t="n"/>
      <c r="P95" s="40" t="n"/>
      <c r="Q95" s="38" t="n"/>
      <c r="R95" s="38" t="n"/>
    </row>
    <row r="96" ht="15" customHeight="1" s="22">
      <c r="A96" s="36" t="inlineStr">
        <is>
          <t>car insurance regina</t>
        </is>
      </c>
      <c r="B96" s="36" t="inlineStr">
        <is>
          <t>Car insurance</t>
        </is>
      </c>
      <c r="C96" s="36" t="inlineStr">
        <is>
          <t>Car Insurance</t>
        </is>
      </c>
      <c r="D96" s="36" t="inlineStr">
        <is>
          <t>Saskatchewan</t>
        </is>
      </c>
      <c r="E96" s="36" t="inlineStr">
        <is>
          <t>Regina</t>
        </is>
      </c>
      <c r="F96" s="37" t="n">
        <v>320</v>
      </c>
      <c r="G96" s="36" t="n">
        <v>64</v>
      </c>
      <c r="H96" s="36" t="inlineStr">
        <is>
          <t>local</t>
        </is>
      </c>
      <c r="I96" s="36" t="inlineStr">
        <is>
          <t>auto-local</t>
        </is>
      </c>
      <c r="J96" s="36" t="n">
        <v>5</v>
      </c>
      <c r="K96" s="36" t="inlineStr">
        <is>
          <t>https://instasure.ca/car-insurance/saskatchewan/regina/</t>
        </is>
      </c>
      <c r="L96" s="36">
        <f>IF(K96="","No","Yes")</f>
        <v/>
      </c>
      <c r="M96" s="39">
        <f>IF(K96="","",IFERROR(IF(ISNUMBER(SEARCH(A96,INDEX(Pages!$J$2:$J$829,MATCH(K96,Pages!$B$2:$B$829,0)))),"Yes","No"),"Page not found"))</f>
        <v/>
      </c>
      <c r="N96" s="25" t="inlineStr">
        <is>
          <t>ratehub</t>
        </is>
      </c>
      <c r="O96" s="25" t="inlineStr">
        <is>
          <t>SGI sells basic auto; target optional coverage. Low lead value.</t>
        </is>
      </c>
      <c r="P96" s="40" t="n"/>
      <c r="Q96" s="38" t="n"/>
      <c r="R96" s="38" t="n"/>
    </row>
    <row r="97" ht="15" customHeight="1" s="22">
      <c r="A97" s="36" t="inlineStr">
        <is>
          <t>car insurance richmond bc</t>
        </is>
      </c>
      <c r="B97" s="36" t="inlineStr">
        <is>
          <t>Car insurance</t>
        </is>
      </c>
      <c r="C97" s="36" t="inlineStr">
        <is>
          <t>Car Insurance</t>
        </is>
      </c>
      <c r="D97" s="36" t="inlineStr">
        <is>
          <t>British Columbia</t>
        </is>
      </c>
      <c r="E97" s="36" t="inlineStr">
        <is>
          <t>Richmond</t>
        </is>
      </c>
      <c r="F97" s="37" t="n">
        <v>320</v>
      </c>
      <c r="G97" s="36" t="n">
        <v>52</v>
      </c>
      <c r="H97" s="36" t="inlineStr">
        <is>
          <t>local</t>
        </is>
      </c>
      <c r="I97" s="36" t="inlineStr">
        <is>
          <t>auto-local</t>
        </is>
      </c>
      <c r="J97" s="36" t="n">
        <v>4</v>
      </c>
      <c r="K97" s="36" t="inlineStr">
        <is>
          <t>https://instasure.ca/car-insurance/british-columbia/richmond/</t>
        </is>
      </c>
      <c r="L97" s="36">
        <f>IF(K97="","No","Yes")</f>
        <v/>
      </c>
      <c r="M97" s="39">
        <f>IF(K97="","",IFERROR(IF(ISNUMBER(SEARCH(A97,INDEX(Pages!$J$2:$J$829,MATCH(K97,Pages!$B$2:$B$829,0)))),"Yes","No"),"Page not found"))</f>
        <v/>
      </c>
      <c r="N97" s="25" t="inlineStr">
        <is>
          <t>(none seen)</t>
        </is>
      </c>
      <c r="O97" s="25" t="inlineStr">
        <is>
          <t>ICBC sells basic auto; target optional coverage. Low lead value.</t>
        </is>
      </c>
      <c r="P97" s="40" t="n"/>
      <c r="Q97" s="38" t="n"/>
      <c r="R97" s="38" t="n"/>
    </row>
    <row r="98" ht="15" customHeight="1" s="22">
      <c r="A98" s="36" t="inlineStr">
        <is>
          <t>condo insurance calgary</t>
        </is>
      </c>
      <c r="B98" s="36" t="inlineStr">
        <is>
          <t>Condo insurance</t>
        </is>
      </c>
      <c r="C98" s="36" t="inlineStr">
        <is>
          <t>Condo Insurance</t>
        </is>
      </c>
      <c r="D98" s="36" t="inlineStr">
        <is>
          <t>Alberta</t>
        </is>
      </c>
      <c r="E98" s="36" t="inlineStr">
        <is>
          <t>Calgary</t>
        </is>
      </c>
      <c r="F98" s="37" t="n">
        <v>320</v>
      </c>
      <c r="G98" s="36" t="n">
        <v>56</v>
      </c>
      <c r="H98" s="36" t="inlineStr">
        <is>
          <t>local</t>
        </is>
      </c>
      <c r="I98" s="36" t="inlineStr">
        <is>
          <t>property-local</t>
        </is>
      </c>
      <c r="J98" s="36" t="n">
        <v>3</v>
      </c>
      <c r="K98" s="36" t="inlineStr">
        <is>
          <t>https://instasure.ca/condo-insurance/alberta/calgary/</t>
        </is>
      </c>
      <c r="L98" s="36">
        <f>IF(K98="","No","Yes")</f>
        <v/>
      </c>
      <c r="M98" s="39">
        <f>IF(K98="","",IFERROR(IF(ISNUMBER(SEARCH(A98,INDEX(Pages!$J$2:$J$829,MATCH(K98,Pages!$B$2:$B$829,0)))),"Yes","No"),"Page not found"))</f>
        <v/>
      </c>
      <c r="N98" s="25" t="inlineStr">
        <is>
          <t>rates.ca, sonnet</t>
        </is>
      </c>
      <c r="O98" s="25" t="n"/>
      <c r="P98" s="40" t="n"/>
      <c r="Q98" s="38" t="n"/>
      <c r="R98" s="38" t="n"/>
    </row>
    <row r="99" ht="15" customHeight="1" s="22">
      <c r="A99" s="36" t="inlineStr">
        <is>
          <t>super visa insurance toronto</t>
        </is>
      </c>
      <c r="B99" s="36" t="inlineStr">
        <is>
          <t>Super Visa &amp; visitors insurance</t>
        </is>
      </c>
      <c r="C99" s="36" t="inlineStr">
        <is>
          <t>Super Visa Insurance</t>
        </is>
      </c>
      <c r="D99" s="36" t="inlineStr">
        <is>
          <t>Ontario</t>
        </is>
      </c>
      <c r="E99" s="36" t="inlineStr">
        <is>
          <t>Toronto</t>
        </is>
      </c>
      <c r="F99" s="37" t="n">
        <v>320</v>
      </c>
      <c r="G99" s="36" t="n">
        <v>36</v>
      </c>
      <c r="H99" s="36" t="inlineStr">
        <is>
          <t>local</t>
        </is>
      </c>
      <c r="I99" s="36" t="inlineStr">
        <is>
          <t>travel-visitors</t>
        </is>
      </c>
      <c r="J99" s="36" t="n">
        <v>2</v>
      </c>
      <c r="K99" s="36" t="inlineStr">
        <is>
          <t>https://instasure.ca/super-visa-insurance/ontario/toronto/</t>
        </is>
      </c>
      <c r="L99" s="36">
        <f>IF(K99="","No","Yes")</f>
        <v/>
      </c>
      <c r="M99" s="39">
        <f>IF(K99="","",IFERROR(IF(ISNUMBER(SEARCH(A99,INDEX(Pages!$J$2:$J$829,MATCH(K99,Pages!$B$2:$B$829,0)))),"Yes","No"),"Page not found"))</f>
        <v/>
      </c>
      <c r="N99" s="25" t="inlineStr">
        <is>
          <t>(none seen)</t>
        </is>
      </c>
      <c r="O99" s="25" t="n"/>
      <c r="P99" s="40" t="n"/>
      <c r="Q99" s="38" t="n"/>
      <c r="R99" s="38" t="n"/>
    </row>
    <row r="100" ht="15" customHeight="1" s="22">
      <c r="A100" s="36" t="inlineStr">
        <is>
          <t>car insurance red deer</t>
        </is>
      </c>
      <c r="B100" s="36" t="inlineStr">
        <is>
          <t>Car insurance</t>
        </is>
      </c>
      <c r="C100" s="36" t="inlineStr">
        <is>
          <t>Car Insurance</t>
        </is>
      </c>
      <c r="D100" s="36" t="inlineStr">
        <is>
          <t>Alberta</t>
        </is>
      </c>
      <c r="E100" s="36" t="inlineStr">
        <is>
          <t>Red Deer</t>
        </is>
      </c>
      <c r="F100" s="37" t="n">
        <v>310</v>
      </c>
      <c r="G100" s="36" t="n">
        <v>56</v>
      </c>
      <c r="H100" s="36" t="inlineStr">
        <is>
          <t>local</t>
        </is>
      </c>
      <c r="I100" s="36" t="inlineStr">
        <is>
          <t>auto-local</t>
        </is>
      </c>
      <c r="J100" s="36" t="n">
        <v>3</v>
      </c>
      <c r="K100" s="36" t="inlineStr">
        <is>
          <t>https://instasure.ca/car-insurance/alberta/red-deer/</t>
        </is>
      </c>
      <c r="L100" s="36">
        <f>IF(K100="","No","Yes")</f>
        <v/>
      </c>
      <c r="M100" s="39">
        <f>IF(K100="","",IFERROR(IF(ISNUMBER(SEARCH(A100,INDEX(Pages!$J$2:$J$829,MATCH(K100,Pages!$B$2:$B$829,0)))),"Yes","No"),"Page not found"))</f>
        <v/>
      </c>
      <c r="N100" s="25" t="inlineStr">
        <is>
          <t>ratehub</t>
        </is>
      </c>
      <c r="O100" s="25" t="n"/>
      <c r="P100" s="40" t="n"/>
      <c r="Q100" s="38" t="n"/>
      <c r="R100" s="38" t="n"/>
    </row>
    <row r="101" ht="23.85" customHeight="1" s="22">
      <c r="A101" s="36" t="inlineStr">
        <is>
          <t>life insurance winnipeg</t>
        </is>
      </c>
      <c r="B101" s="36" t="inlineStr">
        <is>
          <t>Life insurance</t>
        </is>
      </c>
      <c r="C101" s="36" t="inlineStr">
        <is>
          <t>Life Insurance</t>
        </is>
      </c>
      <c r="D101" s="36" t="inlineStr">
        <is>
          <t>Manitoba</t>
        </is>
      </c>
      <c r="E101" s="36" t="inlineStr">
        <is>
          <t>Winnipeg</t>
        </is>
      </c>
      <c r="F101" s="37" t="n">
        <v>310</v>
      </c>
      <c r="G101" s="36" t="n">
        <v>39</v>
      </c>
      <c r="H101" s="36" t="inlineStr">
        <is>
          <t>local</t>
        </is>
      </c>
      <c r="I101" s="36" t="inlineStr">
        <is>
          <t>life-local</t>
        </is>
      </c>
      <c r="J101" s="36" t="n">
        <v>1</v>
      </c>
      <c r="K101" s="36" t="inlineStr">
        <is>
          <t>https://instasure.ca/life-insurance/manitoba/winnipeg/</t>
        </is>
      </c>
      <c r="L101" s="36">
        <f>IF(K101="","No","Yes")</f>
        <v/>
      </c>
      <c r="M101" s="39">
        <f>IF(K101="","",IFERROR(IF(ISNUMBER(SEARCH(A101,INDEX(Pages!$J$2:$J$829,MATCH(K101,Pages!$B$2:$B$829,0)))),"Yes","No"),"Page not found"))</f>
        <v/>
      </c>
      <c r="N101" s="25" t="inlineStr">
        <is>
          <t>ratehub (thin)</t>
        </is>
      </c>
      <c r="O101" s="25" t="inlineStr">
        <is>
          <t>Competitor city pages here are thin or carry stale dates (October 2026 review): freshness opening.</t>
        </is>
      </c>
      <c r="P101" s="40" t="n"/>
      <c r="Q101" s="38" t="n"/>
      <c r="R101" s="38" t="n"/>
    </row>
    <row r="102" ht="15" customHeight="1" s="22">
      <c r="A102" s="36" t="inlineStr">
        <is>
          <t>car insurance quebec city</t>
        </is>
      </c>
      <c r="B102" s="36" t="inlineStr">
        <is>
          <t>Car insurance</t>
        </is>
      </c>
      <c r="C102" s="36" t="inlineStr">
        <is>
          <t>Car Insurance</t>
        </is>
      </c>
      <c r="D102" s="36" t="inlineStr">
        <is>
          <t>Quebec</t>
        </is>
      </c>
      <c r="E102" s="36" t="inlineStr">
        <is>
          <t>Quebec City</t>
        </is>
      </c>
      <c r="F102" s="37" t="n">
        <v>300</v>
      </c>
      <c r="G102" s="36" t="n">
        <v>60</v>
      </c>
      <c r="H102" s="36" t="inlineStr">
        <is>
          <t>local</t>
        </is>
      </c>
      <c r="I102" s="36" t="inlineStr">
        <is>
          <t>auto-local</t>
        </is>
      </c>
      <c r="J102" s="36" t="n">
        <v>4</v>
      </c>
      <c r="K102" s="36" t="inlineStr">
        <is>
          <t>https://instasure.ca/car-insurance/quebec/quebec-city/</t>
        </is>
      </c>
      <c r="L102" s="36">
        <f>IF(K102="","No","Yes")</f>
        <v/>
      </c>
      <c r="M102" s="39">
        <f>IF(K102="","",IFERROR(IF(ISNUMBER(SEARCH(A102,INDEX(Pages!$J$2:$J$829,MATCH(K102,Pages!$B$2:$B$829,0)))),"Yes","No"),"Page not found"))</f>
        <v/>
      </c>
      <c r="N102" s="25" t="inlineStr">
        <is>
          <t>(none seen)</t>
        </is>
      </c>
      <c r="O102" s="25" t="inlineStr">
        <is>
          <t>Quebec waitlist until AMF registration.</t>
        </is>
      </c>
      <c r="P102" s="40" t="n"/>
      <c r="Q102" s="38" t="n"/>
      <c r="R102" s="38" t="n"/>
    </row>
    <row r="103" ht="15" customHeight="1" s="22">
      <c r="A103" s="36" t="inlineStr">
        <is>
          <t>car insurance waterloo</t>
        </is>
      </c>
      <c r="B103" s="36" t="inlineStr">
        <is>
          <t>Car insurance</t>
        </is>
      </c>
      <c r="C103" s="36" t="inlineStr">
        <is>
          <t>Car Insurance</t>
        </is>
      </c>
      <c r="D103" s="36" t="inlineStr">
        <is>
          <t>Ontario</t>
        </is>
      </c>
      <c r="E103" s="36" t="inlineStr">
        <is>
          <t>Waterloo</t>
        </is>
      </c>
      <c r="F103" s="37" t="n">
        <v>300</v>
      </c>
      <c r="G103" s="36" t="n">
        <v>64</v>
      </c>
      <c r="H103" s="36" t="inlineStr">
        <is>
          <t>local</t>
        </is>
      </c>
      <c r="I103" s="36" t="inlineStr">
        <is>
          <t>auto-local</t>
        </is>
      </c>
      <c r="J103" s="36" t="n">
        <v>3</v>
      </c>
      <c r="K103" s="36" t="inlineStr">
        <is>
          <t>https://instasure.ca/car-insurance/ontario/waterloo/</t>
        </is>
      </c>
      <c r="L103" s="36">
        <f>IF(K103="","No","Yes")</f>
        <v/>
      </c>
      <c r="M103" s="39">
        <f>IF(K103="","",IFERROR(IF(ISNUMBER(SEARCH(A103,INDEX(Pages!$J$2:$J$829,MATCH(K103,Pages!$B$2:$B$829,0)))),"Yes","No"),"Page not found"))</f>
        <v/>
      </c>
      <c r="N103" s="25" t="inlineStr">
        <is>
          <t>ratehub</t>
        </is>
      </c>
      <c r="O103" s="25" t="n"/>
      <c r="P103" s="40" t="n"/>
      <c r="Q103" s="38" t="n"/>
      <c r="R103" s="38" t="n"/>
    </row>
    <row r="104" ht="23.85" customHeight="1" s="22">
      <c r="A104" s="36" t="inlineStr">
        <is>
          <t>how much is car insurance in hamilton</t>
        </is>
      </c>
      <c r="B104" s="36" t="inlineStr">
        <is>
          <t>Car insurance</t>
        </is>
      </c>
      <c r="C104" s="36" t="inlineStr">
        <is>
          <t>Car Insurance</t>
        </is>
      </c>
      <c r="D104" s="36" t="inlineStr">
        <is>
          <t>Ontario</t>
        </is>
      </c>
      <c r="E104" s="36" t="inlineStr">
        <is>
          <t>Hamilton</t>
        </is>
      </c>
      <c r="F104" s="37" t="n">
        <v>300</v>
      </c>
      <c r="G104" s="36" t="n">
        <v>65</v>
      </c>
      <c r="H104" s="36" t="inlineStr">
        <is>
          <t>informational</t>
        </is>
      </c>
      <c r="I104" s="36" t="inlineStr">
        <is>
          <t>auto-local</t>
        </is>
      </c>
      <c r="J104" s="36" t="n">
        <v>3</v>
      </c>
      <c r="K104" s="36" t="inlineStr">
        <is>
          <t>https://instasure.ca/car-insurance/ontario/hamilton/</t>
        </is>
      </c>
      <c r="L104" s="36">
        <f>IF(K104="","No","Yes")</f>
        <v/>
      </c>
      <c r="M104" s="39">
        <f>IF(K104="","",IFERROR(IF(ISNUMBER(SEARCH(A104,INDEX(Pages!$J$2:$J$829,MATCH(K104,Pages!$B$2:$B$829,0)))),"Yes","No"),"Page not found"))</f>
        <v/>
      </c>
      <c r="N104" s="25" t="inlineStr">
        <is>
          <t>ratehub, rates.ca, sonnet, mychoice/squareone/thinkinsure</t>
        </is>
      </c>
      <c r="O104" s="25" t="inlineStr">
        <is>
          <t>Ratehub ranks a blog post for this. The city page answers it in the first two sentences with a dated average.</t>
        </is>
      </c>
      <c r="P104" s="40" t="n"/>
      <c r="Q104" s="38" t="n"/>
      <c r="R104" s="38" t="n"/>
    </row>
    <row r="105" ht="15" customHeight="1" s="22">
      <c r="A105" s="36" t="inlineStr">
        <is>
          <t>insurance advisor edmonton</t>
        </is>
      </c>
      <c r="B105" s="36" t="inlineStr">
        <is>
          <t>Multi-line (place hubs)</t>
        </is>
      </c>
      <c r="C105" s="36" t="n"/>
      <c r="D105" s="36" t="inlineStr">
        <is>
          <t>Alberta</t>
        </is>
      </c>
      <c r="E105" s="36" t="inlineStr">
        <is>
          <t>Edmonton</t>
        </is>
      </c>
      <c r="F105" s="37" t="n">
        <v>300</v>
      </c>
      <c r="G105" s="36" t="n">
        <v>30</v>
      </c>
      <c r="H105" s="36" t="inlineStr">
        <is>
          <t>local</t>
        </is>
      </c>
      <c r="I105" s="36" t="inlineStr">
        <is>
          <t>advisors</t>
        </is>
      </c>
      <c r="J105" s="36" t="n">
        <v>2</v>
      </c>
      <c r="K105" s="36" t="inlineStr">
        <is>
          <t>https://instasure.ca/insurance/alberta/edmonton/</t>
        </is>
      </c>
      <c r="L105" s="36">
        <f>IF(K105="","No","Yes")</f>
        <v/>
      </c>
      <c r="M105" s="39">
        <f>IF(K105="","",IFERROR(IF(ISNUMBER(SEARCH(A105,INDEX(Pages!$J$2:$J$829,MATCH(K105,Pages!$B$2:$B$829,0)))),"Yes","No"),"Page not found"))</f>
        <v/>
      </c>
      <c r="N105" s="25" t="inlineStr">
        <is>
          <t>local brokers, thinkinsure, rates.ca (broker pages)</t>
        </is>
      </c>
      <c r="O105" s="25" t="inlineStr">
        <is>
          <t>City hub. Add a Google Business Profile only where an advisor really works from that city.</t>
        </is>
      </c>
      <c r="P105" s="40" t="n"/>
      <c r="Q105" s="38" t="n"/>
      <c r="R105" s="38" t="n"/>
    </row>
    <row r="106" ht="15" customHeight="1" s="22">
      <c r="A106" s="36" t="inlineStr">
        <is>
          <t>insurance advisor ottawa</t>
        </is>
      </c>
      <c r="B106" s="36" t="inlineStr">
        <is>
          <t>Multi-line (place hubs)</t>
        </is>
      </c>
      <c r="C106" s="36" t="n"/>
      <c r="D106" s="36" t="inlineStr">
        <is>
          <t>Ontario</t>
        </is>
      </c>
      <c r="E106" s="36" t="inlineStr">
        <is>
          <t>Ottawa</t>
        </is>
      </c>
      <c r="F106" s="37" t="n">
        <v>300</v>
      </c>
      <c r="G106" s="36" t="n">
        <v>30</v>
      </c>
      <c r="H106" s="36" t="inlineStr">
        <is>
          <t>local</t>
        </is>
      </c>
      <c r="I106" s="36" t="inlineStr">
        <is>
          <t>advisors</t>
        </is>
      </c>
      <c r="J106" s="36" t="n">
        <v>2</v>
      </c>
      <c r="K106" s="36" t="inlineStr">
        <is>
          <t>https://instasure.ca/insurance/ontario/ottawa/</t>
        </is>
      </c>
      <c r="L106" s="36">
        <f>IF(K106="","No","Yes")</f>
        <v/>
      </c>
      <c r="M106" s="39">
        <f>IF(K106="","",IFERROR(IF(ISNUMBER(SEARCH(A106,INDEX(Pages!$J$2:$J$829,MATCH(K106,Pages!$B$2:$B$829,0)))),"Yes","No"),"Page not found"))</f>
        <v/>
      </c>
      <c r="N106" s="25" t="inlineStr">
        <is>
          <t>local brokers, thinkinsure, rates.ca (broker pages)</t>
        </is>
      </c>
      <c r="O106" s="25" t="inlineStr">
        <is>
          <t>City hub. Add a Google Business Profile only where an advisor really works from that city.</t>
        </is>
      </c>
      <c r="P106" s="40" t="n"/>
      <c r="Q106" s="38" t="n"/>
      <c r="R106" s="38" t="n"/>
    </row>
    <row r="107" ht="23.85" customHeight="1" s="22">
      <c r="A107" s="36" t="inlineStr">
        <is>
          <t>life insurance mississauga</t>
        </is>
      </c>
      <c r="B107" s="36" t="inlineStr">
        <is>
          <t>Life insurance</t>
        </is>
      </c>
      <c r="C107" s="36" t="inlineStr">
        <is>
          <t>Life Insurance</t>
        </is>
      </c>
      <c r="D107" s="36" t="inlineStr">
        <is>
          <t>Ontario</t>
        </is>
      </c>
      <c r="E107" s="36" t="inlineStr">
        <is>
          <t>Mississauga</t>
        </is>
      </c>
      <c r="F107" s="37" t="n">
        <v>300</v>
      </c>
      <c r="G107" s="36" t="n">
        <v>51</v>
      </c>
      <c r="H107" s="36" t="inlineStr">
        <is>
          <t>local</t>
        </is>
      </c>
      <c r="I107" s="36" t="inlineStr">
        <is>
          <t>life-local</t>
        </is>
      </c>
      <c r="J107" s="36" t="n">
        <v>1</v>
      </c>
      <c r="K107" s="36" t="inlineStr">
        <is>
          <t>https://instasure.ca/life-insurance/ontario/mississauga/</t>
        </is>
      </c>
      <c r="L107" s="36">
        <f>IF(K107="","No","Yes")</f>
        <v/>
      </c>
      <c r="M107" s="39">
        <f>IF(K107="","",IFERROR(IF(ISNUMBER(SEARCH(A107,INDEX(Pages!$J$2:$J$829,MATCH(K107,Pages!$B$2:$B$829,0)))),"Yes","No"),"Page not found"))</f>
        <v/>
      </c>
      <c r="N107" s="25" t="inlineStr">
        <is>
          <t>policyadvisor (stale 2025 titles), ratehub (thin)</t>
        </is>
      </c>
      <c r="O107" s="25" t="inlineStr">
        <is>
          <t>Competitor city pages here are thin or carry stale dates (October 2026 review): freshness opening.</t>
        </is>
      </c>
      <c r="P107" s="40" t="n"/>
      <c r="Q107" s="38" t="n"/>
      <c r="R107" s="38" t="n"/>
    </row>
    <row r="108" ht="15" customHeight="1" s="22">
      <c r="A108" s="36" t="inlineStr">
        <is>
          <t>super visa insurance brampton</t>
        </is>
      </c>
      <c r="B108" s="36" t="inlineStr">
        <is>
          <t>Super Visa &amp; visitors insurance</t>
        </is>
      </c>
      <c r="C108" s="36" t="inlineStr">
        <is>
          <t>Super Visa Insurance</t>
        </is>
      </c>
      <c r="D108" s="36" t="inlineStr">
        <is>
          <t>Ontario</t>
        </is>
      </c>
      <c r="E108" s="36" t="inlineStr">
        <is>
          <t>Brampton</t>
        </is>
      </c>
      <c r="F108" s="37" t="n">
        <v>300</v>
      </c>
      <c r="G108" s="36" t="n">
        <v>36</v>
      </c>
      <c r="H108" s="36" t="inlineStr">
        <is>
          <t>local</t>
        </is>
      </c>
      <c r="I108" s="36" t="inlineStr">
        <is>
          <t>travel-visitors</t>
        </is>
      </c>
      <c r="J108" s="36" t="n">
        <v>2</v>
      </c>
      <c r="K108" s="36" t="inlineStr">
        <is>
          <t>https://instasure.ca/super-visa-insurance/ontario/brampton/</t>
        </is>
      </c>
      <c r="L108" s="36">
        <f>IF(K108="","No","Yes")</f>
        <v/>
      </c>
      <c r="M108" s="39">
        <f>IF(K108="","",IFERROR(IF(ISNUMBER(SEARCH(A108,INDEX(Pages!$J$2:$J$829,MATCH(K108,Pages!$B$2:$B$829,0)))),"Yes","No"),"Page not found"))</f>
        <v/>
      </c>
      <c r="N108" s="25" t="inlineStr">
        <is>
          <t>(none seen)</t>
        </is>
      </c>
      <c r="O108" s="25" t="n"/>
      <c r="P108" s="40" t="n"/>
      <c r="Q108" s="38" t="n"/>
      <c r="R108" s="38" t="n"/>
    </row>
    <row r="109" ht="15" customHeight="1" s="22">
      <c r="A109" s="36" t="inlineStr">
        <is>
          <t>tenant insurance halifax</t>
        </is>
      </c>
      <c r="B109" s="36" t="inlineStr">
        <is>
          <t>Tenant insurance</t>
        </is>
      </c>
      <c r="C109" s="36" t="inlineStr">
        <is>
          <t>Tenant Insurance</t>
        </is>
      </c>
      <c r="D109" s="36" t="inlineStr">
        <is>
          <t>Nova Scotia</t>
        </is>
      </c>
      <c r="E109" s="36" t="inlineStr">
        <is>
          <t>Halifax</t>
        </is>
      </c>
      <c r="F109" s="37" t="n">
        <v>300</v>
      </c>
      <c r="G109" s="36" t="n">
        <v>40</v>
      </c>
      <c r="H109" s="36" t="inlineStr">
        <is>
          <t>local</t>
        </is>
      </c>
      <c r="I109" s="36" t="inlineStr">
        <is>
          <t>property-local</t>
        </is>
      </c>
      <c r="J109" s="36" t="n">
        <v>4</v>
      </c>
      <c r="K109" s="36" t="inlineStr">
        <is>
          <t>https://instasure.ca/tenant-insurance/nova-scotia/halifax/</t>
        </is>
      </c>
      <c r="L109" s="36">
        <f>IF(K109="","No","Yes")</f>
        <v/>
      </c>
      <c r="M109" s="39">
        <f>IF(K109="","",IFERROR(IF(ISNUMBER(SEARCH(A109,INDEX(Pages!$J$2:$J$829,MATCH(K109,Pages!$B$2:$B$829,0)))),"Yes","No"),"Page not found"))</f>
        <v/>
      </c>
      <c r="N109" s="25" t="inlineStr">
        <is>
          <t>(none seen)</t>
        </is>
      </c>
      <c r="O109" s="25" t="n"/>
      <c r="P109" s="40" t="n"/>
      <c r="Q109" s="38" t="n"/>
      <c r="R109" s="38" t="n"/>
    </row>
    <row r="110" ht="15" customHeight="1" s="22">
      <c r="A110" s="36" t="inlineStr">
        <is>
          <t>cheap car insurance london ontario</t>
        </is>
      </c>
      <c r="B110" s="36" t="inlineStr">
        <is>
          <t>Car insurance</t>
        </is>
      </c>
      <c r="C110" s="36" t="inlineStr">
        <is>
          <t>Car Insurance</t>
        </is>
      </c>
      <c r="D110" s="36" t="inlineStr">
        <is>
          <t>Ontario</t>
        </is>
      </c>
      <c r="E110" s="36" t="inlineStr">
        <is>
          <t>London</t>
        </is>
      </c>
      <c r="F110" s="37" t="n">
        <v>290</v>
      </c>
      <c r="G110" s="36" t="n">
        <v>71</v>
      </c>
      <c r="H110" s="36" t="inlineStr">
        <is>
          <t>transactional</t>
        </is>
      </c>
      <c r="I110" s="36" t="inlineStr">
        <is>
          <t>auto-local</t>
        </is>
      </c>
      <c r="J110" s="36" t="n">
        <v>3</v>
      </c>
      <c r="K110" s="36" t="inlineStr">
        <is>
          <t>https://instasure.ca/car-insurance/ontario/london/</t>
        </is>
      </c>
      <c r="L110" s="36">
        <f>IF(K110="","No","Yes")</f>
        <v/>
      </c>
      <c r="M110" s="39">
        <f>IF(K110="","",IFERROR(IF(ISNUMBER(SEARCH(A110,INDEX(Pages!$J$2:$J$829,MATCH(K110,Pages!$B$2:$B$829,0)))),"Yes","No"),"Page not found"))</f>
        <v/>
      </c>
      <c r="N110" s="25" t="inlineStr">
        <is>
          <t>ratehub, rates.ca</t>
        </is>
      </c>
      <c r="O110" s="25" t="inlineStr">
        <is>
          <t>Rates.ca titles lead with "Cheap"; answer with factors and FSA data, not a price promise.</t>
        </is>
      </c>
      <c r="P110" s="40" t="n"/>
      <c r="Q110" s="38" t="n"/>
      <c r="R110" s="38" t="n"/>
    </row>
    <row r="111" ht="15" customHeight="1" s="22">
      <c r="A111" s="36" t="inlineStr">
        <is>
          <t>home insurance saskatoon</t>
        </is>
      </c>
      <c r="B111" s="36" t="inlineStr">
        <is>
          <t>Home insurance</t>
        </is>
      </c>
      <c r="C111" s="36" t="inlineStr">
        <is>
          <t>Home Insurance</t>
        </is>
      </c>
      <c r="D111" s="36" t="inlineStr">
        <is>
          <t>Saskatchewan</t>
        </is>
      </c>
      <c r="E111" s="36" t="inlineStr">
        <is>
          <t>Saskatoon</t>
        </is>
      </c>
      <c r="F111" s="37" t="n">
        <v>290</v>
      </c>
      <c r="G111" s="36" t="n">
        <v>52</v>
      </c>
      <c r="H111" s="36" t="inlineStr">
        <is>
          <t>local</t>
        </is>
      </c>
      <c r="I111" s="36" t="inlineStr">
        <is>
          <t>property-local</t>
        </is>
      </c>
      <c r="J111" s="36" t="n">
        <v>3</v>
      </c>
      <c r="K111" s="36" t="inlineStr">
        <is>
          <t>https://instasure.ca/home-insurance/saskatchewan/saskatoon/</t>
        </is>
      </c>
      <c r="L111" s="36">
        <f>IF(K111="","No","Yes")</f>
        <v/>
      </c>
      <c r="M111" s="39">
        <f>IF(K111="","",IFERROR(IF(ISNUMBER(SEARCH(A111,INDEX(Pages!$J$2:$J$829,MATCH(K111,Pages!$B$2:$B$829,0)))),"Yes","No"),"Page not found"))</f>
        <v/>
      </c>
      <c r="N111" s="25" t="inlineStr">
        <is>
          <t>ratehub</t>
        </is>
      </c>
      <c r="O111" s="25" t="n"/>
      <c r="P111" s="40" t="n"/>
      <c r="Q111" s="38" t="n"/>
      <c r="R111" s="38" t="n"/>
    </row>
    <row r="112" ht="15" customHeight="1" s="22">
      <c r="A112" s="36" t="inlineStr">
        <is>
          <t>tenant insurance london ontario</t>
        </is>
      </c>
      <c r="B112" s="36" t="inlineStr">
        <is>
          <t>Tenant insurance</t>
        </is>
      </c>
      <c r="C112" s="36" t="inlineStr">
        <is>
          <t>Tenant Insurance</t>
        </is>
      </c>
      <c r="D112" s="36" t="inlineStr">
        <is>
          <t>Ontario</t>
        </is>
      </c>
      <c r="E112" s="36" t="inlineStr">
        <is>
          <t>London</t>
        </is>
      </c>
      <c r="F112" s="37" t="n">
        <v>290</v>
      </c>
      <c r="G112" s="36" t="n">
        <v>48</v>
      </c>
      <c r="H112" s="36" t="inlineStr">
        <is>
          <t>local</t>
        </is>
      </c>
      <c r="I112" s="36" t="inlineStr">
        <is>
          <t>property-local</t>
        </is>
      </c>
      <c r="J112" s="36" t="n">
        <v>4</v>
      </c>
      <c r="K112" s="36" t="inlineStr">
        <is>
          <t>https://instasure.ca/tenant-insurance/ontario/london/</t>
        </is>
      </c>
      <c r="L112" s="36">
        <f>IF(K112="","No","Yes")</f>
        <v/>
      </c>
      <c r="M112" s="39">
        <f>IF(K112="","",IFERROR(IF(ISNUMBER(SEARCH(A112,INDEX(Pages!$J$2:$J$829,MATCH(K112,Pages!$B$2:$B$829,0)))),"Yes","No"),"Page not found"))</f>
        <v/>
      </c>
      <c r="N112" s="25" t="inlineStr">
        <is>
          <t>(none seen)</t>
        </is>
      </c>
      <c r="O112" s="25" t="n"/>
      <c r="P112" s="40" t="n"/>
      <c r="Q112" s="38" t="n"/>
      <c r="R112" s="38" t="n"/>
    </row>
    <row r="113" ht="15" customHeight="1" s="22">
      <c r="A113" s="36" t="inlineStr">
        <is>
          <t>car insurance kingston</t>
        </is>
      </c>
      <c r="B113" s="36" t="inlineStr">
        <is>
          <t>Car insurance</t>
        </is>
      </c>
      <c r="C113" s="36" t="inlineStr">
        <is>
          <t>Car Insurance</t>
        </is>
      </c>
      <c r="D113" s="36" t="inlineStr">
        <is>
          <t>Ontario</t>
        </is>
      </c>
      <c r="E113" s="36" t="inlineStr">
        <is>
          <t>Kingston</t>
        </is>
      </c>
      <c r="F113" s="37" t="n">
        <v>280</v>
      </c>
      <c r="G113" s="36" t="n">
        <v>68</v>
      </c>
      <c r="H113" s="36" t="inlineStr">
        <is>
          <t>local</t>
        </is>
      </c>
      <c r="I113" s="36" t="inlineStr">
        <is>
          <t>auto-local</t>
        </is>
      </c>
      <c r="J113" s="36" t="n">
        <v>3</v>
      </c>
      <c r="K113" s="36" t="inlineStr">
        <is>
          <t>https://instasure.ca/car-insurance/ontario/kingston/</t>
        </is>
      </c>
      <c r="L113" s="36">
        <f>IF(K113="","No","Yes")</f>
        <v/>
      </c>
      <c r="M113" s="39">
        <f>IF(K113="","",IFERROR(IF(ISNUMBER(SEARCH(A113,INDEX(Pages!$J$2:$J$829,MATCH(K113,Pages!$B$2:$B$829,0)))),"Yes","No"),"Page not found"))</f>
        <v/>
      </c>
      <c r="N113" s="25" t="inlineStr">
        <is>
          <t>ratehub, rates.ca</t>
        </is>
      </c>
      <c r="O113" s="25" t="n"/>
      <c r="P113" s="40" t="n"/>
      <c r="Q113" s="38" t="n"/>
      <c r="R113" s="38" t="n"/>
    </row>
    <row r="114" ht="15" customHeight="1" s="22">
      <c r="A114" s="36" t="inlineStr">
        <is>
          <t>car insurance lethbridge</t>
        </is>
      </c>
      <c r="B114" s="36" t="inlineStr">
        <is>
          <t>Car insurance</t>
        </is>
      </c>
      <c r="C114" s="36" t="inlineStr">
        <is>
          <t>Car Insurance</t>
        </is>
      </c>
      <c r="D114" s="36" t="inlineStr">
        <is>
          <t>Alberta</t>
        </is>
      </c>
      <c r="E114" s="36" t="inlineStr">
        <is>
          <t>Lethbridge</t>
        </is>
      </c>
      <c r="F114" s="37" t="n">
        <v>280</v>
      </c>
      <c r="G114" s="36" t="n">
        <v>56</v>
      </c>
      <c r="H114" s="36" t="inlineStr">
        <is>
          <t>local</t>
        </is>
      </c>
      <c r="I114" s="36" t="inlineStr">
        <is>
          <t>auto-local</t>
        </is>
      </c>
      <c r="J114" s="36" t="n">
        <v>3</v>
      </c>
      <c r="K114" s="36" t="inlineStr">
        <is>
          <t>https://instasure.ca/car-insurance/alberta/lethbridge/</t>
        </is>
      </c>
      <c r="L114" s="36">
        <f>IF(K114="","No","Yes")</f>
        <v/>
      </c>
      <c r="M114" s="39">
        <f>IF(K114="","",IFERROR(IF(ISNUMBER(SEARCH(A114,INDEX(Pages!$J$2:$J$829,MATCH(K114,Pages!$B$2:$B$829,0)))),"Yes","No"),"Page not found"))</f>
        <v/>
      </c>
      <c r="N114" s="25" t="inlineStr">
        <is>
          <t>ratehub</t>
        </is>
      </c>
      <c r="O114" s="25" t="n"/>
      <c r="P114" s="40" t="n"/>
      <c r="Q114" s="38" t="n"/>
      <c r="R114" s="38" t="n"/>
    </row>
    <row r="115" ht="15" customHeight="1" s="22">
      <c r="A115" s="36" t="inlineStr">
        <is>
          <t>home insurance kitchener</t>
        </is>
      </c>
      <c r="B115" s="36" t="inlineStr">
        <is>
          <t>Home insurance</t>
        </is>
      </c>
      <c r="C115" s="36" t="inlineStr">
        <is>
          <t>Home Insurance</t>
        </is>
      </c>
      <c r="D115" s="36" t="inlineStr">
        <is>
          <t>Ontario</t>
        </is>
      </c>
      <c r="E115" s="36" t="inlineStr">
        <is>
          <t>Kitchener</t>
        </is>
      </c>
      <c r="F115" s="37" t="n">
        <v>280</v>
      </c>
      <c r="G115" s="36" t="n">
        <v>56</v>
      </c>
      <c r="H115" s="36" t="inlineStr">
        <is>
          <t>local</t>
        </is>
      </c>
      <c r="I115" s="36" t="inlineStr">
        <is>
          <t>property-local</t>
        </is>
      </c>
      <c r="J115" s="36" t="n">
        <v>3</v>
      </c>
      <c r="K115" s="36" t="inlineStr">
        <is>
          <t>https://instasure.ca/home-insurance/ontario/kitchener/</t>
        </is>
      </c>
      <c r="L115" s="36">
        <f>IF(K115="","No","Yes")</f>
        <v/>
      </c>
      <c r="M115" s="39">
        <f>IF(K115="","",IFERROR(IF(ISNUMBER(SEARCH(A115,INDEX(Pages!$J$2:$J$829,MATCH(K115,Pages!$B$2:$B$829,0)))),"Yes","No"),"Page not found"))</f>
        <v/>
      </c>
      <c r="N115" s="25" t="inlineStr">
        <is>
          <t>(none seen)</t>
        </is>
      </c>
      <c r="O115" s="25" t="n"/>
      <c r="P115" s="40" t="n"/>
      <c r="Q115" s="38" t="n"/>
      <c r="R115" s="38" t="n"/>
    </row>
    <row r="116" ht="23.85" customHeight="1" s="22">
      <c r="A116" s="36" t="inlineStr">
        <is>
          <t>life insurance vancouver</t>
        </is>
      </c>
      <c r="B116" s="36" t="inlineStr">
        <is>
          <t>Life insurance</t>
        </is>
      </c>
      <c r="C116" s="36" t="inlineStr">
        <is>
          <t>Life Insurance</t>
        </is>
      </c>
      <c r="D116" s="36" t="inlineStr">
        <is>
          <t>British Columbia</t>
        </is>
      </c>
      <c r="E116" s="36" t="inlineStr">
        <is>
          <t>Vancouver</t>
        </is>
      </c>
      <c r="F116" s="37" t="n">
        <v>280</v>
      </c>
      <c r="G116" s="36" t="n">
        <v>47</v>
      </c>
      <c r="H116" s="36" t="inlineStr">
        <is>
          <t>local</t>
        </is>
      </c>
      <c r="I116" s="36" t="inlineStr">
        <is>
          <t>life-local</t>
        </is>
      </c>
      <c r="J116" s="36" t="n">
        <v>1</v>
      </c>
      <c r="K116" s="36" t="inlineStr">
        <is>
          <t>https://instasure.ca/life-insurance/british-columbia/vancouver/</t>
        </is>
      </c>
      <c r="L116" s="36">
        <f>IF(K116="","No","Yes")</f>
        <v/>
      </c>
      <c r="M116" s="39">
        <f>IF(K116="","",IFERROR(IF(ISNUMBER(SEARCH(A116,INDEX(Pages!$J$2:$J$829,MATCH(K116,Pages!$B$2:$B$829,0)))),"Yes","No"),"Page not found"))</f>
        <v/>
      </c>
      <c r="N116" s="25" t="inlineStr">
        <is>
          <t>policyadvisor (stale 2025 titles)</t>
        </is>
      </c>
      <c r="O116" s="25" t="inlineStr">
        <is>
          <t>Competitor city pages here are thin or carry stale dates (October 2026 review): freshness opening.</t>
        </is>
      </c>
      <c r="P116" s="40" t="n"/>
      <c r="Q116" s="38" t="n"/>
      <c r="R116" s="38" t="n"/>
    </row>
    <row r="117" ht="15" customHeight="1" s="22">
      <c r="A117" s="36" t="inlineStr">
        <is>
          <t>car insurance moncton</t>
        </is>
      </c>
      <c r="B117" s="36" t="inlineStr">
        <is>
          <t>Car insurance</t>
        </is>
      </c>
      <c r="C117" s="36" t="inlineStr">
        <is>
          <t>Car Insurance</t>
        </is>
      </c>
      <c r="D117" s="36" t="inlineStr">
        <is>
          <t>New Brunswick</t>
        </is>
      </c>
      <c r="E117" s="36" t="inlineStr">
        <is>
          <t>Moncton</t>
        </is>
      </c>
      <c r="F117" s="37" t="n">
        <v>270</v>
      </c>
      <c r="G117" s="36" t="n">
        <v>56</v>
      </c>
      <c r="H117" s="36" t="inlineStr">
        <is>
          <t>local</t>
        </is>
      </c>
      <c r="I117" s="36" t="inlineStr">
        <is>
          <t>auto-local</t>
        </is>
      </c>
      <c r="J117" s="36" t="n">
        <v>3</v>
      </c>
      <c r="K117" s="36" t="inlineStr">
        <is>
          <t>https://instasure.ca/car-insurance/new-brunswick/moncton/</t>
        </is>
      </c>
      <c r="L117" s="36">
        <f>IF(K117="","No","Yes")</f>
        <v/>
      </c>
      <c r="M117" s="39">
        <f>IF(K117="","",IFERROR(IF(ISNUMBER(SEARCH(A117,INDEX(Pages!$J$2:$J$829,MATCH(K117,Pages!$B$2:$B$829,0)))),"Yes","No"),"Page not found"))</f>
        <v/>
      </c>
      <c r="N117" s="25" t="inlineStr">
        <is>
          <t>ratehub</t>
        </is>
      </c>
      <c r="O117" s="25" t="n"/>
      <c r="P117" s="40" t="n"/>
      <c r="Q117" s="38" t="n"/>
      <c r="R117" s="38" t="n"/>
    </row>
    <row r="118" ht="15" customHeight="1" s="22">
      <c r="A118" s="36" t="inlineStr">
        <is>
          <t>home insurance burnaby</t>
        </is>
      </c>
      <c r="B118" s="36" t="inlineStr">
        <is>
          <t>Home insurance</t>
        </is>
      </c>
      <c r="C118" s="36" t="inlineStr">
        <is>
          <t>Home Insurance</t>
        </is>
      </c>
      <c r="D118" s="36" t="inlineStr">
        <is>
          <t>British Columbia</t>
        </is>
      </c>
      <c r="E118" s="36" t="inlineStr">
        <is>
          <t>Burnaby</t>
        </is>
      </c>
      <c r="F118" s="37" t="n">
        <v>270</v>
      </c>
      <c r="G118" s="36" t="n">
        <v>52</v>
      </c>
      <c r="H118" s="36" t="inlineStr">
        <is>
          <t>local</t>
        </is>
      </c>
      <c r="I118" s="36" t="inlineStr">
        <is>
          <t>property-local</t>
        </is>
      </c>
      <c r="J118" s="36" t="n">
        <v>3</v>
      </c>
      <c r="K118" s="36" t="inlineStr">
        <is>
          <t>https://instasure.ca/home-insurance/british-columbia/burnaby/</t>
        </is>
      </c>
      <c r="L118" s="36">
        <f>IF(K118="","No","Yes")</f>
        <v/>
      </c>
      <c r="M118" s="39">
        <f>IF(K118="","",IFERROR(IF(ISNUMBER(SEARCH(A118,INDEX(Pages!$J$2:$J$829,MATCH(K118,Pages!$B$2:$B$829,0)))),"Yes","No"),"Page not found"))</f>
        <v/>
      </c>
      <c r="N118" s="25" t="inlineStr">
        <is>
          <t>ratehub</t>
        </is>
      </c>
      <c r="O118" s="25" t="n"/>
      <c r="P118" s="40" t="n"/>
      <c r="Q118" s="38" t="n"/>
      <c r="R118" s="38" t="n"/>
    </row>
    <row r="119" ht="23.85" customHeight="1" s="22">
      <c r="A119" s="36" t="inlineStr">
        <is>
          <t>life insurance brampton</t>
        </is>
      </c>
      <c r="B119" s="36" t="inlineStr">
        <is>
          <t>Life insurance</t>
        </is>
      </c>
      <c r="C119" s="36" t="inlineStr">
        <is>
          <t>Life Insurance</t>
        </is>
      </c>
      <c r="D119" s="36" t="inlineStr">
        <is>
          <t>Ontario</t>
        </is>
      </c>
      <c r="E119" s="36" t="inlineStr">
        <is>
          <t>Brampton</t>
        </is>
      </c>
      <c r="F119" s="37" t="n">
        <v>270</v>
      </c>
      <c r="G119" s="36" t="n">
        <v>47</v>
      </c>
      <c r="H119" s="36" t="inlineStr">
        <is>
          <t>local</t>
        </is>
      </c>
      <c r="I119" s="36" t="inlineStr">
        <is>
          <t>life-local</t>
        </is>
      </c>
      <c r="J119" s="36" t="n">
        <v>1</v>
      </c>
      <c r="K119" s="36" t="inlineStr">
        <is>
          <t>https://instasure.ca/life-insurance/ontario/brampton/</t>
        </is>
      </c>
      <c r="L119" s="36">
        <f>IF(K119="","No","Yes")</f>
        <v/>
      </c>
      <c r="M119" s="39">
        <f>IF(K119="","",IFERROR(IF(ISNUMBER(SEARCH(A119,INDEX(Pages!$J$2:$J$829,MATCH(K119,Pages!$B$2:$B$829,0)))),"Yes","No"),"Page not found"))</f>
        <v/>
      </c>
      <c r="N119" s="25" t="inlineStr">
        <is>
          <t>policyadvisor (stale 2025 titles)</t>
        </is>
      </c>
      <c r="O119" s="25" t="inlineStr">
        <is>
          <t>Competitor city pages here are thin or carry stale dates (October 2026 review): freshness opening.</t>
        </is>
      </c>
      <c r="P119" s="40" t="n"/>
      <c r="Q119" s="38" t="n"/>
      <c r="R119" s="38" t="n"/>
    </row>
    <row r="120" ht="15" customHeight="1" s="22">
      <c r="A120" s="36" t="inlineStr">
        <is>
          <t>super visa insurance surrey</t>
        </is>
      </c>
      <c r="B120" s="36" t="inlineStr">
        <is>
          <t>Super Visa &amp; visitors insurance</t>
        </is>
      </c>
      <c r="C120" s="36" t="inlineStr">
        <is>
          <t>Super Visa Insurance</t>
        </is>
      </c>
      <c r="D120" s="36" t="inlineStr">
        <is>
          <t>British Columbia</t>
        </is>
      </c>
      <c r="E120" s="36" t="inlineStr">
        <is>
          <t>Surrey</t>
        </is>
      </c>
      <c r="F120" s="37" t="n">
        <v>270</v>
      </c>
      <c r="G120" s="36" t="n">
        <v>28</v>
      </c>
      <c r="H120" s="36" t="inlineStr">
        <is>
          <t>local</t>
        </is>
      </c>
      <c r="I120" s="36" t="inlineStr">
        <is>
          <t>travel-visitors</t>
        </is>
      </c>
      <c r="J120" s="36" t="n">
        <v>2</v>
      </c>
      <c r="K120" s="36" t="inlineStr">
        <is>
          <t>https://instasure.ca/super-visa-insurance/british-columbia/surrey/</t>
        </is>
      </c>
      <c r="L120" s="36">
        <f>IF(K120="","No","Yes")</f>
        <v/>
      </c>
      <c r="M120" s="39">
        <f>IF(K120="","",IFERROR(IF(ISNUMBER(SEARCH(A120,INDEX(Pages!$J$2:$J$829,MATCH(K120,Pages!$B$2:$B$829,0)))),"Yes","No"),"Page not found"))</f>
        <v/>
      </c>
      <c r="N120" s="25" t="inlineStr">
        <is>
          <t>(none seen)</t>
        </is>
      </c>
      <c r="O120" s="25" t="n"/>
      <c r="P120" s="40" t="n"/>
      <c r="Q120" s="38" t="n"/>
      <c r="R120" s="38" t="n"/>
    </row>
    <row r="121" ht="15" customHeight="1" s="22">
      <c r="A121" s="36" t="inlineStr">
        <is>
          <t>tenant insurance montreal</t>
        </is>
      </c>
      <c r="B121" s="36" t="inlineStr">
        <is>
          <t>Tenant insurance</t>
        </is>
      </c>
      <c r="C121" s="36" t="inlineStr">
        <is>
          <t>Tenant Insurance</t>
        </is>
      </c>
      <c r="D121" s="36" t="inlineStr">
        <is>
          <t>Quebec</t>
        </is>
      </c>
      <c r="E121" s="36" t="inlineStr">
        <is>
          <t>Montreal</t>
        </is>
      </c>
      <c r="F121" s="37" t="n">
        <v>270</v>
      </c>
      <c r="G121" s="36" t="n">
        <v>44</v>
      </c>
      <c r="H121" s="36" t="inlineStr">
        <is>
          <t>local</t>
        </is>
      </c>
      <c r="I121" s="36" t="inlineStr">
        <is>
          <t>property-local</t>
        </is>
      </c>
      <c r="J121" s="36" t="n">
        <v>5</v>
      </c>
      <c r="K121" s="36" t="inlineStr">
        <is>
          <t>https://instasure.ca/tenant-insurance/quebec/montreal/</t>
        </is>
      </c>
      <c r="L121" s="36">
        <f>IF(K121="","No","Yes")</f>
        <v/>
      </c>
      <c r="M121" s="39">
        <f>IF(K121="","",IFERROR(IF(ISNUMBER(SEARCH(A121,INDEX(Pages!$J$2:$J$829,MATCH(K121,Pages!$B$2:$B$829,0)))),"Yes","No"),"Page not found"))</f>
        <v/>
      </c>
      <c r="N121" s="25" t="inlineStr">
        <is>
          <t>sonnet</t>
        </is>
      </c>
      <c r="O121" s="25" t="inlineStr">
        <is>
          <t>Quebec waitlist until AMF registration.</t>
        </is>
      </c>
      <c r="P121" s="40" t="n"/>
      <c r="Q121" s="38" t="n"/>
      <c r="R121" s="38" t="n"/>
    </row>
    <row r="122" ht="15" customHeight="1" s="22">
      <c r="A122" s="36" t="inlineStr">
        <is>
          <t>assurance vie montréal</t>
        </is>
      </c>
      <c r="B122" s="36" t="inlineStr">
        <is>
          <t>Life insurance</t>
        </is>
      </c>
      <c r="C122" s="36" t="inlineStr">
        <is>
          <t>Life Insurance</t>
        </is>
      </c>
      <c r="D122" s="36" t="inlineStr">
        <is>
          <t>Quebec</t>
        </is>
      </c>
      <c r="E122" s="36" t="inlineStr">
        <is>
          <t>Montreal</t>
        </is>
      </c>
      <c r="F122" s="37" t="n">
        <v>260</v>
      </c>
      <c r="G122" s="36" t="n">
        <v>25</v>
      </c>
      <c r="H122" s="36" t="inlineStr">
        <is>
          <t>local</t>
        </is>
      </c>
      <c r="I122" s="36" t="inlineStr">
        <is>
          <t>fr-quebec</t>
        </is>
      </c>
      <c r="J122" s="36" t="n">
        <v>3</v>
      </c>
      <c r="K122" s="36" t="n"/>
      <c r="L122" s="36">
        <f>IF(K122="","No","Yes")</f>
        <v/>
      </c>
      <c r="M122" s="39">
        <f>IF(K122="","",IFERROR(IF(ISNUMBER(SEARCH(A122,INDEX(Pages!$J$2:$J$829,MATCH(K122,Pages!$B$2:$B$829,0)))),"Yes","No"),"Page not found"))</f>
        <v/>
      </c>
      <c r="N122" s="25" t="inlineStr">
        <is>
          <t>(none seen)</t>
        </is>
      </c>
      <c r="O122" s="25" t="inlineStr">
        <is>
          <t>Planned: /fr/assurance-vie/quebec/montreal/.</t>
        </is>
      </c>
      <c r="P122" s="40" t="n"/>
      <c r="Q122" s="38" t="n"/>
      <c r="R122" s="38" t="n"/>
    </row>
    <row r="123" ht="15" customHeight="1" s="22">
      <c r="A123" s="36" t="inlineStr">
        <is>
          <t>business insurance edmonton</t>
        </is>
      </c>
      <c r="B123" s="36" t="inlineStr">
        <is>
          <t>Business insurance</t>
        </is>
      </c>
      <c r="C123" s="36" t="inlineStr">
        <is>
          <t>Business Insurance</t>
        </is>
      </c>
      <c r="D123" s="36" t="inlineStr">
        <is>
          <t>Alberta</t>
        </is>
      </c>
      <c r="E123" s="36" t="inlineStr">
        <is>
          <t>Edmonton</t>
        </is>
      </c>
      <c r="F123" s="37" t="n">
        <v>260</v>
      </c>
      <c r="G123" s="36" t="n">
        <v>41</v>
      </c>
      <c r="H123" s="36" t="inlineStr">
        <is>
          <t>local</t>
        </is>
      </c>
      <c r="I123" s="36" t="inlineStr">
        <is>
          <t>business-local</t>
        </is>
      </c>
      <c r="J123" s="36" t="n">
        <v>1</v>
      </c>
      <c r="K123" s="36" t="inlineStr">
        <is>
          <t>https://instasure.ca/business-insurance/alberta/edmonton/</t>
        </is>
      </c>
      <c r="L123" s="36">
        <f>IF(K123="","No","Yes")</f>
        <v/>
      </c>
      <c r="M123" s="39">
        <f>IF(K123="","",IFERROR(IF(ISNUMBER(SEARCH(A123,INDEX(Pages!$J$2:$J$829,MATCH(K123,Pages!$B$2:$B$829,0)))),"Yes","No"),"Page not found"))</f>
        <v/>
      </c>
      <c r="N123" s="25" t="inlineStr">
        <is>
          <t>(none seen)</t>
        </is>
      </c>
      <c r="O123" s="25" t="n"/>
      <c r="P123" s="40" t="n"/>
      <c r="Q123" s="38" t="n"/>
      <c r="R123" s="38" t="n"/>
    </row>
    <row r="124" ht="15" customHeight="1" s="22">
      <c r="A124" s="36" t="inlineStr">
        <is>
          <t>business insurance ottawa</t>
        </is>
      </c>
      <c r="B124" s="36" t="inlineStr">
        <is>
          <t>Business insurance</t>
        </is>
      </c>
      <c r="C124" s="36" t="inlineStr">
        <is>
          <t>Business Insurance</t>
        </is>
      </c>
      <c r="D124" s="36" t="inlineStr">
        <is>
          <t>Ontario</t>
        </is>
      </c>
      <c r="E124" s="36" t="inlineStr">
        <is>
          <t>Ottawa</t>
        </is>
      </c>
      <c r="F124" s="37" t="n">
        <v>260</v>
      </c>
      <c r="G124" s="36" t="n">
        <v>41</v>
      </c>
      <c r="H124" s="36" t="inlineStr">
        <is>
          <t>local</t>
        </is>
      </c>
      <c r="I124" s="36" t="inlineStr">
        <is>
          <t>business-local</t>
        </is>
      </c>
      <c r="J124" s="36" t="n">
        <v>1</v>
      </c>
      <c r="K124" s="36" t="inlineStr">
        <is>
          <t>https://instasure.ca/business-insurance/ontario/ottawa/</t>
        </is>
      </c>
      <c r="L124" s="36">
        <f>IF(K124="","No","Yes")</f>
        <v/>
      </c>
      <c r="M124" s="39">
        <f>IF(K124="","",IFERROR(IF(ISNUMBER(SEARCH(A124,INDEX(Pages!$J$2:$J$829,MATCH(K124,Pages!$B$2:$B$829,0)))),"Yes","No"),"Page not found"))</f>
        <v/>
      </c>
      <c r="N124" s="25" t="inlineStr">
        <is>
          <t>(none seen)</t>
        </is>
      </c>
      <c r="O124" s="25" t="n"/>
      <c r="P124" s="40" t="n"/>
      <c r="Q124" s="38" t="n"/>
      <c r="R124" s="38" t="n"/>
    </row>
    <row r="125" ht="23.85" customHeight="1" s="22">
      <c r="A125" s="36" t="inlineStr">
        <is>
          <t>car insurance airdrie</t>
        </is>
      </c>
      <c r="B125" s="36" t="inlineStr">
        <is>
          <t>Car insurance</t>
        </is>
      </c>
      <c r="C125" s="36" t="inlineStr">
        <is>
          <t>Car Insurance</t>
        </is>
      </c>
      <c r="D125" s="36" t="inlineStr">
        <is>
          <t>Alberta</t>
        </is>
      </c>
      <c r="E125" s="36" t="inlineStr">
        <is>
          <t>Airdrie</t>
        </is>
      </c>
      <c r="F125" s="37" t="n">
        <v>260</v>
      </c>
      <c r="G125" s="36" t="n">
        <v>44</v>
      </c>
      <c r="H125" s="36" t="inlineStr">
        <is>
          <t>local</t>
        </is>
      </c>
      <c r="I125" s="36" t="inlineStr">
        <is>
          <t>auto-local</t>
        </is>
      </c>
      <c r="J125" s="36" t="n">
        <v>4</v>
      </c>
      <c r="K125" s="36" t="inlineStr">
        <is>
          <t>https://instasure.ca/car-insurance/alberta/airdrie/</t>
        </is>
      </c>
      <c r="L125" s="36">
        <f>IF(K125="","No","Yes")</f>
        <v/>
      </c>
      <c r="M125" s="39">
        <f>IF(K125="","",IFERROR(IF(ISNUMBER(SEARCH(A125,INDEX(Pages!$J$2:$J$829,MATCH(K125,Pages!$B$2:$B$829,0)))),"Yes","No"),"Page not found"))</f>
        <v/>
      </c>
      <c r="N125" s="25" t="inlineStr">
        <is>
          <t>(none seen)</t>
        </is>
      </c>
      <c r="O125" s="25" t="inlineStr">
        <is>
          <t>Page exists but is noindex until an editor adds a 300+ character local intro (Admin → SEO → Page overrides).</t>
        </is>
      </c>
      <c r="P125" s="40" t="n"/>
      <c r="Q125" s="38" t="n"/>
      <c r="R125" s="38" t="n"/>
    </row>
    <row r="126" ht="15" customHeight="1" s="22">
      <c r="A126" s="36" t="inlineStr">
        <is>
          <t>condo insurance edmonton</t>
        </is>
      </c>
      <c r="B126" s="36" t="inlineStr">
        <is>
          <t>Condo insurance</t>
        </is>
      </c>
      <c r="C126" s="36" t="inlineStr">
        <is>
          <t>Condo Insurance</t>
        </is>
      </c>
      <c r="D126" s="36" t="inlineStr">
        <is>
          <t>Alberta</t>
        </is>
      </c>
      <c r="E126" s="36" t="inlineStr">
        <is>
          <t>Edmonton</t>
        </is>
      </c>
      <c r="F126" s="37" t="n">
        <v>260</v>
      </c>
      <c r="G126" s="36" t="n">
        <v>52</v>
      </c>
      <c r="H126" s="36" t="inlineStr">
        <is>
          <t>local</t>
        </is>
      </c>
      <c r="I126" s="36" t="inlineStr">
        <is>
          <t>property-local</t>
        </is>
      </c>
      <c r="J126" s="36" t="n">
        <v>3</v>
      </c>
      <c r="K126" s="36" t="inlineStr">
        <is>
          <t>https://instasure.ca/condo-insurance/alberta/edmonton/</t>
        </is>
      </c>
      <c r="L126" s="36">
        <f>IF(K126="","No","Yes")</f>
        <v/>
      </c>
      <c r="M126" s="39">
        <f>IF(K126="","",IFERROR(IF(ISNUMBER(SEARCH(A126,INDEX(Pages!$J$2:$J$829,MATCH(K126,Pages!$B$2:$B$829,0)))),"Yes","No"),"Page not found"))</f>
        <v/>
      </c>
      <c r="N126" s="25" t="inlineStr">
        <is>
          <t>rates.ca</t>
        </is>
      </c>
      <c r="O126" s="25" t="n"/>
      <c r="P126" s="40" t="n"/>
      <c r="Q126" s="38" t="n"/>
      <c r="R126" s="38" t="n"/>
    </row>
    <row r="127" ht="15" customHeight="1" s="22">
      <c r="A127" s="36" t="inlineStr">
        <is>
          <t>condo insurance ottawa</t>
        </is>
      </c>
      <c r="B127" s="36" t="inlineStr">
        <is>
          <t>Condo insurance</t>
        </is>
      </c>
      <c r="C127" s="36" t="inlineStr">
        <is>
          <t>Condo Insurance</t>
        </is>
      </c>
      <c r="D127" s="36" t="inlineStr">
        <is>
          <t>Ontario</t>
        </is>
      </c>
      <c r="E127" s="36" t="inlineStr">
        <is>
          <t>Ottawa</t>
        </is>
      </c>
      <c r="F127" s="37" t="n">
        <v>260</v>
      </c>
      <c r="G127" s="36" t="n">
        <v>52</v>
      </c>
      <c r="H127" s="36" t="inlineStr">
        <is>
          <t>local</t>
        </is>
      </c>
      <c r="I127" s="36" t="inlineStr">
        <is>
          <t>property-local</t>
        </is>
      </c>
      <c r="J127" s="36" t="n">
        <v>3</v>
      </c>
      <c r="K127" s="36" t="inlineStr">
        <is>
          <t>https://instasure.ca/condo-insurance/ontario/ottawa/</t>
        </is>
      </c>
      <c r="L127" s="36">
        <f>IF(K127="","No","Yes")</f>
        <v/>
      </c>
      <c r="M127" s="39">
        <f>IF(K127="","",IFERROR(IF(ISNUMBER(SEARCH(A127,INDEX(Pages!$J$2:$J$829,MATCH(K127,Pages!$B$2:$B$829,0)))),"Yes","No"),"Page not found"))</f>
        <v/>
      </c>
      <c r="N127" s="25" t="inlineStr">
        <is>
          <t>rates.ca</t>
        </is>
      </c>
      <c r="O127" s="25" t="n"/>
      <c r="P127" s="40" t="n"/>
      <c r="Q127" s="38" t="n"/>
      <c r="R127" s="38" t="n"/>
    </row>
    <row r="128" ht="15" customHeight="1" s="22">
      <c r="A128" s="36" t="inlineStr">
        <is>
          <t>home insurance windsor</t>
        </is>
      </c>
      <c r="B128" s="36" t="inlineStr">
        <is>
          <t>Home insurance</t>
        </is>
      </c>
      <c r="C128" s="36" t="inlineStr">
        <is>
          <t>Home Insurance</t>
        </is>
      </c>
      <c r="D128" s="36" t="inlineStr">
        <is>
          <t>Ontario</t>
        </is>
      </c>
      <c r="E128" s="36" t="inlineStr">
        <is>
          <t>Windsor</t>
        </is>
      </c>
      <c r="F128" s="37" t="n">
        <v>260</v>
      </c>
      <c r="G128" s="36" t="n">
        <v>64</v>
      </c>
      <c r="H128" s="36" t="inlineStr">
        <is>
          <t>local</t>
        </is>
      </c>
      <c r="I128" s="36" t="inlineStr">
        <is>
          <t>property-local</t>
        </is>
      </c>
      <c r="J128" s="36" t="n">
        <v>3</v>
      </c>
      <c r="K128" s="36" t="inlineStr">
        <is>
          <t>https://instasure.ca/home-insurance/ontario/windsor/</t>
        </is>
      </c>
      <c r="L128" s="36">
        <f>IF(K128="","No","Yes")</f>
        <v/>
      </c>
      <c r="M128" s="39">
        <f>IF(K128="","",IFERROR(IF(ISNUMBER(SEARCH(A128,INDEX(Pages!$J$2:$J$829,MATCH(K128,Pages!$B$2:$B$829,0)))),"Yes","No"),"Page not found"))</f>
        <v/>
      </c>
      <c r="N128" s="25" t="inlineStr">
        <is>
          <t>ratehub, rates.ca</t>
        </is>
      </c>
      <c r="O128" s="25" t="n"/>
      <c r="P128" s="40" t="n"/>
      <c r="Q128" s="38" t="n"/>
      <c r="R128" s="38" t="n"/>
    </row>
    <row r="129" ht="23.85" customHeight="1" s="22">
      <c r="A129" s="36" t="inlineStr">
        <is>
          <t>how much is car insurance in vaughan</t>
        </is>
      </c>
      <c r="B129" s="36" t="inlineStr">
        <is>
          <t>Car insurance</t>
        </is>
      </c>
      <c r="C129" s="36" t="inlineStr">
        <is>
          <t>Car Insurance</t>
        </is>
      </c>
      <c r="D129" s="36" t="inlineStr">
        <is>
          <t>Ontario</t>
        </is>
      </c>
      <c r="E129" s="36" t="inlineStr">
        <is>
          <t>Vaughan</t>
        </is>
      </c>
      <c r="F129" s="37" t="n">
        <v>260</v>
      </c>
      <c r="G129" s="36" t="n">
        <v>67</v>
      </c>
      <c r="H129" s="36" t="inlineStr">
        <is>
          <t>informational</t>
        </is>
      </c>
      <c r="I129" s="36" t="inlineStr">
        <is>
          <t>auto-local</t>
        </is>
      </c>
      <c r="J129" s="36" t="n">
        <v>3</v>
      </c>
      <c r="K129" s="36" t="inlineStr">
        <is>
          <t>https://instasure.ca/car-insurance/ontario/vaughan/</t>
        </is>
      </c>
      <c r="L129" s="36">
        <f>IF(K129="","No","Yes")</f>
        <v/>
      </c>
      <c r="M129" s="39">
        <f>IF(K129="","",IFERROR(IF(ISNUMBER(SEARCH(A129,INDEX(Pages!$J$2:$J$829,MATCH(K129,Pages!$B$2:$B$829,0)))),"Yes","No"),"Page not found"))</f>
        <v/>
      </c>
      <c r="N129" s="25" t="inlineStr">
        <is>
          <t>rates.ca</t>
        </is>
      </c>
      <c r="O129" s="25" t="inlineStr">
        <is>
          <t>Ratehub ranks a blog post for this. The city page answers it in the first two sentences with a dated average.</t>
        </is>
      </c>
      <c r="P129" s="40" t="n"/>
      <c r="Q129" s="38" t="n"/>
      <c r="R129" s="38" t="n"/>
    </row>
    <row r="130" ht="15" customHeight="1" s="22">
      <c r="A130" s="36" t="inlineStr">
        <is>
          <t>car insurance saint john</t>
        </is>
      </c>
      <c r="B130" s="36" t="inlineStr">
        <is>
          <t>Car insurance</t>
        </is>
      </c>
      <c r="C130" s="36" t="inlineStr">
        <is>
          <t>Car Insurance</t>
        </is>
      </c>
      <c r="D130" s="36" t="inlineStr">
        <is>
          <t>New Brunswick</t>
        </is>
      </c>
      <c r="E130" s="36" t="inlineStr">
        <is>
          <t>Saint John</t>
        </is>
      </c>
      <c r="F130" s="37" t="n">
        <v>250</v>
      </c>
      <c r="G130" s="36" t="n">
        <v>56</v>
      </c>
      <c r="H130" s="36" t="inlineStr">
        <is>
          <t>local</t>
        </is>
      </c>
      <c r="I130" s="36" t="inlineStr">
        <is>
          <t>auto-local</t>
        </is>
      </c>
      <c r="J130" s="36" t="n">
        <v>3</v>
      </c>
      <c r="K130" s="36" t="inlineStr">
        <is>
          <t>https://instasure.ca/car-insurance/new-brunswick/saint-john/</t>
        </is>
      </c>
      <c r="L130" s="36">
        <f>IF(K130="","No","Yes")</f>
        <v/>
      </c>
      <c r="M130" s="39">
        <f>IF(K130="","",IFERROR(IF(ISNUMBER(SEARCH(A130,INDEX(Pages!$J$2:$J$829,MATCH(K130,Pages!$B$2:$B$829,0)))),"Yes","No"),"Page not found"))</f>
        <v/>
      </c>
      <c r="N130" s="25" t="inlineStr">
        <is>
          <t>ratehub</t>
        </is>
      </c>
      <c r="O130" s="25" t="n"/>
      <c r="P130" s="40" t="n"/>
      <c r="Q130" s="38" t="n"/>
      <c r="R130" s="38" t="n"/>
    </row>
    <row r="131" ht="15" customHeight="1" s="22">
      <c r="A131" s="36" t="inlineStr">
        <is>
          <t>home insurance regina</t>
        </is>
      </c>
      <c r="B131" s="36" t="inlineStr">
        <is>
          <t>Home insurance</t>
        </is>
      </c>
      <c r="C131" s="36" t="inlineStr">
        <is>
          <t>Home Insurance</t>
        </is>
      </c>
      <c r="D131" s="36" t="inlineStr">
        <is>
          <t>Saskatchewan</t>
        </is>
      </c>
      <c r="E131" s="36" t="inlineStr">
        <is>
          <t>Regina</t>
        </is>
      </c>
      <c r="F131" s="37" t="n">
        <v>250</v>
      </c>
      <c r="G131" s="36" t="n">
        <v>52</v>
      </c>
      <c r="H131" s="36" t="inlineStr">
        <is>
          <t>local</t>
        </is>
      </c>
      <c r="I131" s="36" t="inlineStr">
        <is>
          <t>property-local</t>
        </is>
      </c>
      <c r="J131" s="36" t="n">
        <v>3</v>
      </c>
      <c r="K131" s="36" t="inlineStr">
        <is>
          <t>https://instasure.ca/home-insurance/saskatchewan/regina/</t>
        </is>
      </c>
      <c r="L131" s="36">
        <f>IF(K131="","No","Yes")</f>
        <v/>
      </c>
      <c r="M131" s="39">
        <f>IF(K131="","",IFERROR(IF(ISNUMBER(SEARCH(A131,INDEX(Pages!$J$2:$J$829,MATCH(K131,Pages!$B$2:$B$829,0)))),"Yes","No"),"Page not found"))</f>
        <v/>
      </c>
      <c r="N131" s="25" t="inlineStr">
        <is>
          <t>ratehub</t>
        </is>
      </c>
      <c r="O131" s="25" t="n"/>
      <c r="P131" s="40" t="n"/>
      <c r="Q131" s="38" t="n"/>
      <c r="R131" s="38" t="n"/>
    </row>
    <row r="132" ht="23.85" customHeight="1" s="22">
      <c r="A132" s="36" t="inlineStr">
        <is>
          <t>how much is car insurance in halifax</t>
        </is>
      </c>
      <c r="B132" s="36" t="inlineStr">
        <is>
          <t>Car insurance</t>
        </is>
      </c>
      <c r="C132" s="36" t="inlineStr">
        <is>
          <t>Car Insurance</t>
        </is>
      </c>
      <c r="D132" s="36" t="inlineStr">
        <is>
          <t>Nova Scotia</t>
        </is>
      </c>
      <c r="E132" s="36" t="inlineStr">
        <is>
          <t>Halifax</t>
        </is>
      </c>
      <c r="F132" s="37" t="n">
        <v>250</v>
      </c>
      <c r="G132" s="36" t="n">
        <v>59</v>
      </c>
      <c r="H132" s="36" t="inlineStr">
        <is>
          <t>informational</t>
        </is>
      </c>
      <c r="I132" s="36" t="inlineStr">
        <is>
          <t>auto-local</t>
        </is>
      </c>
      <c r="J132" s="36" t="n">
        <v>3</v>
      </c>
      <c r="K132" s="36" t="inlineStr">
        <is>
          <t>https://instasure.ca/car-insurance/nova-scotia/halifax/</t>
        </is>
      </c>
      <c r="L132" s="36">
        <f>IF(K132="","No","Yes")</f>
        <v/>
      </c>
      <c r="M132" s="39">
        <f>IF(K132="","",IFERROR(IF(ISNUMBER(SEARCH(A132,INDEX(Pages!$J$2:$J$829,MATCH(K132,Pages!$B$2:$B$829,0)))),"Yes","No"),"Page not found"))</f>
        <v/>
      </c>
      <c r="N132" s="25" t="inlineStr">
        <is>
          <t>ratehub</t>
        </is>
      </c>
      <c r="O132" s="25" t="inlineStr">
        <is>
          <t>Ratehub ranks a blog post for this. The city page answers it in the first two sentences with a dated average.</t>
        </is>
      </c>
      <c r="P132" s="40" t="n"/>
      <c r="Q132" s="38" t="n"/>
      <c r="R132" s="38" t="n"/>
    </row>
    <row r="133" ht="23.85" customHeight="1" s="22">
      <c r="A133" s="36" t="inlineStr">
        <is>
          <t>life insurance hamilton</t>
        </is>
      </c>
      <c r="B133" s="36" t="inlineStr">
        <is>
          <t>Life insurance</t>
        </is>
      </c>
      <c r="C133" s="36" t="inlineStr">
        <is>
          <t>Life Insurance</t>
        </is>
      </c>
      <c r="D133" s="36" t="inlineStr">
        <is>
          <t>Ontario</t>
        </is>
      </c>
      <c r="E133" s="36" t="inlineStr">
        <is>
          <t>Hamilton</t>
        </is>
      </c>
      <c r="F133" s="37" t="n">
        <v>250</v>
      </c>
      <c r="G133" s="36" t="n">
        <v>47</v>
      </c>
      <c r="H133" s="36" t="inlineStr">
        <is>
          <t>local</t>
        </is>
      </c>
      <c r="I133" s="36" t="inlineStr">
        <is>
          <t>life-local</t>
        </is>
      </c>
      <c r="J133" s="36" t="n">
        <v>1</v>
      </c>
      <c r="K133" s="36" t="inlineStr">
        <is>
          <t>https://instasure.ca/life-insurance/ontario/hamilton/</t>
        </is>
      </c>
      <c r="L133" s="36">
        <f>IF(K133="","No","Yes")</f>
        <v/>
      </c>
      <c r="M133" s="39">
        <f>IF(K133="","",IFERROR(IF(ISNUMBER(SEARCH(A133,INDEX(Pages!$J$2:$J$829,MATCH(K133,Pages!$B$2:$B$829,0)))),"Yes","No"),"Page not found"))</f>
        <v/>
      </c>
      <c r="N133" s="25" t="inlineStr">
        <is>
          <t>policyadvisor (stale 2025 titles)</t>
        </is>
      </c>
      <c r="O133" s="25" t="inlineStr">
        <is>
          <t>Competitor city pages here are thin or carry stale dates (October 2026 review): freshness opening.</t>
        </is>
      </c>
      <c r="P133" s="40" t="n"/>
      <c r="Q133" s="38" t="n"/>
      <c r="R133" s="38" t="n"/>
    </row>
    <row r="134" ht="23.85" customHeight="1" s="22">
      <c r="A134" s="36" t="inlineStr">
        <is>
          <t>car insurance thunder bay</t>
        </is>
      </c>
      <c r="B134" s="36" t="inlineStr">
        <is>
          <t>Car insurance</t>
        </is>
      </c>
      <c r="C134" s="36" t="inlineStr">
        <is>
          <t>Car Insurance</t>
        </is>
      </c>
      <c r="D134" s="36" t="inlineStr">
        <is>
          <t>Ontario</t>
        </is>
      </c>
      <c r="E134" s="36" t="inlineStr">
        <is>
          <t>Thunder Bay</t>
        </is>
      </c>
      <c r="F134" s="37" t="n">
        <v>240</v>
      </c>
      <c r="G134" s="36" t="n">
        <v>64</v>
      </c>
      <c r="H134" s="36" t="inlineStr">
        <is>
          <t>local</t>
        </is>
      </c>
      <c r="I134" s="36" t="inlineStr">
        <is>
          <t>auto-local</t>
        </is>
      </c>
      <c r="J134" s="36" t="n">
        <v>5</v>
      </c>
      <c r="K134" s="36" t="inlineStr">
        <is>
          <t>https://instasure.ca/car-insurance/ontario/thunder-bay/</t>
        </is>
      </c>
      <c r="L134" s="36">
        <f>IF(K134="","No","Yes")</f>
        <v/>
      </c>
      <c r="M134" s="39">
        <f>IF(K134="","",IFERROR(IF(ISNUMBER(SEARCH(A134,INDEX(Pages!$J$2:$J$829,MATCH(K134,Pages!$B$2:$B$829,0)))),"Yes","No"),"Page not found"))</f>
        <v/>
      </c>
      <c r="N134" s="25" t="inlineStr">
        <is>
          <t>ratehub, rates.ca, sonnet</t>
        </is>
      </c>
      <c r="O134" s="25" t="inlineStr">
        <is>
          <t>Page exists but is noindex until an editor adds a 300+ character local intro (Admin → SEO → Page overrides).</t>
        </is>
      </c>
      <c r="P134" s="40" t="n"/>
      <c r="Q134" s="38" t="n"/>
      <c r="R134" s="38" t="n"/>
    </row>
    <row r="135" ht="15" customHeight="1" s="22">
      <c r="A135" s="36" t="inlineStr">
        <is>
          <t>home insurance oakville</t>
        </is>
      </c>
      <c r="B135" s="36" t="inlineStr">
        <is>
          <t>Home insurance</t>
        </is>
      </c>
      <c r="C135" s="36" t="inlineStr">
        <is>
          <t>Home Insurance</t>
        </is>
      </c>
      <c r="D135" s="36" t="inlineStr">
        <is>
          <t>Ontario</t>
        </is>
      </c>
      <c r="E135" s="36" t="inlineStr">
        <is>
          <t>Oakville</t>
        </is>
      </c>
      <c r="F135" s="37" t="n">
        <v>240</v>
      </c>
      <c r="G135" s="36" t="n">
        <v>48</v>
      </c>
      <c r="H135" s="36" t="inlineStr">
        <is>
          <t>local</t>
        </is>
      </c>
      <c r="I135" s="36" t="inlineStr">
        <is>
          <t>property-local</t>
        </is>
      </c>
      <c r="J135" s="36" t="n">
        <v>3</v>
      </c>
      <c r="K135" s="36" t="inlineStr">
        <is>
          <t>https://instasure.ca/home-insurance/ontario/oakville/</t>
        </is>
      </c>
      <c r="L135" s="36">
        <f>IF(K135="","No","Yes")</f>
        <v/>
      </c>
      <c r="M135" s="39">
        <f>IF(K135="","",IFERROR(IF(ISNUMBER(SEARCH(A135,INDEX(Pages!$J$2:$J$829,MATCH(K135,Pages!$B$2:$B$829,0)))),"Yes","No"),"Page not found"))</f>
        <v/>
      </c>
      <c r="N135" s="25" t="inlineStr">
        <is>
          <t>(none seen)</t>
        </is>
      </c>
      <c r="O135" s="25" t="n"/>
      <c r="P135" s="40" t="n"/>
      <c r="Q135" s="38" t="n"/>
      <c r="R135" s="38" t="n"/>
    </row>
    <row r="136" ht="15" customHeight="1" s="22">
      <c r="A136" s="36" t="inlineStr">
        <is>
          <t>home insurance richmond bc</t>
        </is>
      </c>
      <c r="B136" s="36" t="inlineStr">
        <is>
          <t>Home insurance</t>
        </is>
      </c>
      <c r="C136" s="36" t="inlineStr">
        <is>
          <t>Home Insurance</t>
        </is>
      </c>
      <c r="D136" s="36" t="inlineStr">
        <is>
          <t>British Columbia</t>
        </is>
      </c>
      <c r="E136" s="36" t="inlineStr">
        <is>
          <t>Richmond</t>
        </is>
      </c>
      <c r="F136" s="37" t="n">
        <v>240</v>
      </c>
      <c r="G136" s="36" t="n">
        <v>40</v>
      </c>
      <c r="H136" s="36" t="inlineStr">
        <is>
          <t>local</t>
        </is>
      </c>
      <c r="I136" s="36" t="inlineStr">
        <is>
          <t>property-local</t>
        </is>
      </c>
      <c r="J136" s="36" t="n">
        <v>2</v>
      </c>
      <c r="K136" s="36" t="inlineStr">
        <is>
          <t>https://instasure.ca/home-insurance/british-columbia/richmond/</t>
        </is>
      </c>
      <c r="L136" s="36">
        <f>IF(K136="","No","Yes")</f>
        <v/>
      </c>
      <c r="M136" s="39">
        <f>IF(K136="","",IFERROR(IF(ISNUMBER(SEARCH(A136,INDEX(Pages!$J$2:$J$829,MATCH(K136,Pages!$B$2:$B$829,0)))),"Yes","No"),"Page not found"))</f>
        <v/>
      </c>
      <c r="N136" s="25" t="inlineStr">
        <is>
          <t>(none seen)</t>
        </is>
      </c>
      <c r="O136" s="25" t="n"/>
      <c r="P136" s="40" t="n"/>
      <c r="Q136" s="38" t="n"/>
      <c r="R136" s="38" t="n"/>
    </row>
    <row r="137" ht="23.85" customHeight="1" s="22">
      <c r="A137" s="36" t="inlineStr">
        <is>
          <t>how much is car insurance in markham</t>
        </is>
      </c>
      <c r="B137" s="36" t="inlineStr">
        <is>
          <t>Car insurance</t>
        </is>
      </c>
      <c r="C137" s="36" t="inlineStr">
        <is>
          <t>Car Insurance</t>
        </is>
      </c>
      <c r="D137" s="36" t="inlineStr">
        <is>
          <t>Ontario</t>
        </is>
      </c>
      <c r="E137" s="36" t="inlineStr">
        <is>
          <t>Markham</t>
        </is>
      </c>
      <c r="F137" s="37" t="n">
        <v>240</v>
      </c>
      <c r="G137" s="36" t="n">
        <v>71</v>
      </c>
      <c r="H137" s="36" t="inlineStr">
        <is>
          <t>informational</t>
        </is>
      </c>
      <c r="I137" s="36" t="inlineStr">
        <is>
          <t>auto-local</t>
        </is>
      </c>
      <c r="J137" s="36" t="n">
        <v>4</v>
      </c>
      <c r="K137" s="36" t="inlineStr">
        <is>
          <t>https://instasure.ca/car-insurance/ontario/markham/</t>
        </is>
      </c>
      <c r="L137" s="36">
        <f>IF(K137="","No","Yes")</f>
        <v/>
      </c>
      <c r="M137" s="39">
        <f>IF(K137="","",IFERROR(IF(ISNUMBER(SEARCH(A137,INDEX(Pages!$J$2:$J$829,MATCH(K137,Pages!$B$2:$B$829,0)))),"Yes","No"),"Page not found"))</f>
        <v/>
      </c>
      <c r="N137" s="25" t="inlineStr">
        <is>
          <t>ratehub, rates.ca</t>
        </is>
      </c>
      <c r="O137" s="25" t="inlineStr">
        <is>
          <t>Ratehub ranks a blog post for this. The city page answers it in the first two sentences with a dated average.</t>
        </is>
      </c>
      <c r="P137" s="40" t="n"/>
      <c r="Q137" s="38" t="n"/>
      <c r="R137" s="38" t="n"/>
    </row>
    <row r="138" ht="15" customHeight="1" s="22">
      <c r="A138" s="36" t="inlineStr">
        <is>
          <t>insurance advisor winnipeg</t>
        </is>
      </c>
      <c r="B138" s="36" t="inlineStr">
        <is>
          <t>Multi-line (place hubs)</t>
        </is>
      </c>
      <c r="C138" s="36" t="n"/>
      <c r="D138" s="36" t="inlineStr">
        <is>
          <t>Manitoba</t>
        </is>
      </c>
      <c r="E138" s="36" t="inlineStr">
        <is>
          <t>Winnipeg</t>
        </is>
      </c>
      <c r="F138" s="37" t="n">
        <v>240</v>
      </c>
      <c r="G138" s="36" t="n">
        <v>30</v>
      </c>
      <c r="H138" s="36" t="inlineStr">
        <is>
          <t>local</t>
        </is>
      </c>
      <c r="I138" s="36" t="inlineStr">
        <is>
          <t>advisors</t>
        </is>
      </c>
      <c r="J138" s="36" t="n">
        <v>2</v>
      </c>
      <c r="K138" s="36" t="inlineStr">
        <is>
          <t>https://instasure.ca/insurance/manitoba/winnipeg/</t>
        </is>
      </c>
      <c r="L138" s="36">
        <f>IF(K138="","No","Yes")</f>
        <v/>
      </c>
      <c r="M138" s="39">
        <f>IF(K138="","",IFERROR(IF(ISNUMBER(SEARCH(A138,INDEX(Pages!$J$2:$J$829,MATCH(K138,Pages!$B$2:$B$829,0)))),"Yes","No"),"Page not found"))</f>
        <v/>
      </c>
      <c r="N138" s="25" t="inlineStr">
        <is>
          <t>local brokers, thinkinsure, rates.ca (broker pages)</t>
        </is>
      </c>
      <c r="O138" s="25" t="inlineStr">
        <is>
          <t>City hub. Add a Google Business Profile only where an advisor really works from that city.</t>
        </is>
      </c>
      <c r="P138" s="40" t="n"/>
      <c r="Q138" s="38" t="n"/>
      <c r="R138" s="38" t="n"/>
    </row>
    <row r="139" ht="15" customHeight="1" s="22">
      <c r="A139" s="36" t="inlineStr">
        <is>
          <t>life insurance surrey</t>
        </is>
      </c>
      <c r="B139" s="36" t="inlineStr">
        <is>
          <t>Life insurance</t>
        </is>
      </c>
      <c r="C139" s="36" t="inlineStr">
        <is>
          <t>Life Insurance</t>
        </is>
      </c>
      <c r="D139" s="36" t="inlineStr">
        <is>
          <t>British Columbia</t>
        </is>
      </c>
      <c r="E139" s="36" t="inlineStr">
        <is>
          <t>Surrey</t>
        </is>
      </c>
      <c r="F139" s="37" t="n">
        <v>240</v>
      </c>
      <c r="G139" s="36" t="n">
        <v>35</v>
      </c>
      <c r="H139" s="36" t="inlineStr">
        <is>
          <t>local</t>
        </is>
      </c>
      <c r="I139" s="36" t="inlineStr">
        <is>
          <t>life-local</t>
        </is>
      </c>
      <c r="J139" s="36" t="n">
        <v>1</v>
      </c>
      <c r="K139" s="36" t="inlineStr">
        <is>
          <t>https://instasure.ca/life-insurance/british-columbia/surrey/</t>
        </is>
      </c>
      <c r="L139" s="36">
        <f>IF(K139="","No","Yes")</f>
        <v/>
      </c>
      <c r="M139" s="39">
        <f>IF(K139="","",IFERROR(IF(ISNUMBER(SEARCH(A139,INDEX(Pages!$J$2:$J$829,MATCH(K139,Pages!$B$2:$B$829,0)))),"Yes","No"),"Page not found"))</f>
        <v/>
      </c>
      <c r="N139" s="25" t="inlineStr">
        <is>
          <t>(none seen)</t>
        </is>
      </c>
      <c r="O139" s="25" t="n"/>
      <c r="P139" s="40" t="n"/>
      <c r="Q139" s="38" t="n"/>
      <c r="R139" s="38" t="n"/>
    </row>
    <row r="140" ht="15" customHeight="1" s="22">
      <c r="A140" s="36" t="inlineStr">
        <is>
          <t>tenant insurance markham</t>
        </is>
      </c>
      <c r="B140" s="36" t="inlineStr">
        <is>
          <t>Tenant insurance</t>
        </is>
      </c>
      <c r="C140" s="36" t="inlineStr">
        <is>
          <t>Tenant Insurance</t>
        </is>
      </c>
      <c r="D140" s="36" t="inlineStr">
        <is>
          <t>Ontario</t>
        </is>
      </c>
      <c r="E140" s="36" t="inlineStr">
        <is>
          <t>Markham</t>
        </is>
      </c>
      <c r="F140" s="37" t="n">
        <v>240</v>
      </c>
      <c r="G140" s="36" t="n">
        <v>48</v>
      </c>
      <c r="H140" s="36" t="inlineStr">
        <is>
          <t>local</t>
        </is>
      </c>
      <c r="I140" s="36" t="inlineStr">
        <is>
          <t>property-local</t>
        </is>
      </c>
      <c r="J140" s="36" t="n">
        <v>4</v>
      </c>
      <c r="K140" s="36" t="inlineStr">
        <is>
          <t>https://instasure.ca/tenant-insurance/ontario/markham/</t>
        </is>
      </c>
      <c r="L140" s="36">
        <f>IF(K140="","No","Yes")</f>
        <v/>
      </c>
      <c r="M140" s="39">
        <f>IF(K140="","",IFERROR(IF(ISNUMBER(SEARCH(A140,INDEX(Pages!$J$2:$J$829,MATCH(K140,Pages!$B$2:$B$829,0)))),"Yes","No"),"Page not found"))</f>
        <v/>
      </c>
      <c r="N140" s="25" t="inlineStr">
        <is>
          <t>(none seen)</t>
        </is>
      </c>
      <c r="O140" s="25" t="n"/>
      <c r="P140" s="40" t="n"/>
      <c r="Q140" s="38" t="n"/>
      <c r="R140" s="38" t="n"/>
    </row>
    <row r="141" ht="15" customHeight="1" s="22">
      <c r="A141" s="36" t="inlineStr">
        <is>
          <t>car insurance coquitlam</t>
        </is>
      </c>
      <c r="B141" s="36" t="inlineStr">
        <is>
          <t>Car insurance</t>
        </is>
      </c>
      <c r="C141" s="36" t="inlineStr">
        <is>
          <t>Car Insurance</t>
        </is>
      </c>
      <c r="D141" s="36" t="inlineStr">
        <is>
          <t>British Columbia</t>
        </is>
      </c>
      <c r="E141" s="36" t="inlineStr">
        <is>
          <t>Coquitlam</t>
        </is>
      </c>
      <c r="F141" s="37" t="n">
        <v>230</v>
      </c>
      <c r="G141" s="36" t="n">
        <v>52</v>
      </c>
      <c r="H141" s="36" t="inlineStr">
        <is>
          <t>local</t>
        </is>
      </c>
      <c r="I141" s="36" t="inlineStr">
        <is>
          <t>auto-local</t>
        </is>
      </c>
      <c r="J141" s="36" t="n">
        <v>5</v>
      </c>
      <c r="K141" s="36" t="inlineStr">
        <is>
          <t>https://instasure.ca/car-insurance/british-columbia/coquitlam/</t>
        </is>
      </c>
      <c r="L141" s="36">
        <f>IF(K141="","No","Yes")</f>
        <v/>
      </c>
      <c r="M141" s="39">
        <f>IF(K141="","",IFERROR(IF(ISNUMBER(SEARCH(A141,INDEX(Pages!$J$2:$J$829,MATCH(K141,Pages!$B$2:$B$829,0)))),"Yes","No"),"Page not found"))</f>
        <v/>
      </c>
      <c r="N141" s="25" t="inlineStr">
        <is>
          <t>(none seen)</t>
        </is>
      </c>
      <c r="O141" s="25" t="inlineStr">
        <is>
          <t>ICBC sells basic auto; target optional coverage. Low lead value.</t>
        </is>
      </c>
      <c r="P141" s="40" t="n"/>
      <c r="Q141" s="38" t="n"/>
      <c r="R141" s="38" t="n"/>
    </row>
    <row r="142" ht="15" customHeight="1" s="22">
      <c r="A142" s="36" t="inlineStr">
        <is>
          <t>home insurance richmond hill</t>
        </is>
      </c>
      <c r="B142" s="36" t="inlineStr">
        <is>
          <t>Home insurance</t>
        </is>
      </c>
      <c r="C142" s="36" t="inlineStr">
        <is>
          <t>Home Insurance</t>
        </is>
      </c>
      <c r="D142" s="36" t="inlineStr">
        <is>
          <t>Ontario</t>
        </is>
      </c>
      <c r="E142" s="36" t="inlineStr">
        <is>
          <t>Richmond Hill</t>
        </is>
      </c>
      <c r="F142" s="37" t="n">
        <v>230</v>
      </c>
      <c r="G142" s="36" t="n">
        <v>48</v>
      </c>
      <c r="H142" s="36" t="inlineStr">
        <is>
          <t>local</t>
        </is>
      </c>
      <c r="I142" s="36" t="inlineStr">
        <is>
          <t>property-local</t>
        </is>
      </c>
      <c r="J142" s="36" t="n">
        <v>3</v>
      </c>
      <c r="K142" s="36" t="inlineStr">
        <is>
          <t>https://instasure.ca/home-insurance/ontario/richmond-hill/</t>
        </is>
      </c>
      <c r="L142" s="36">
        <f>IF(K142="","No","Yes")</f>
        <v/>
      </c>
      <c r="M142" s="39">
        <f>IF(K142="","",IFERROR(IF(ISNUMBER(SEARCH(A142,INDEX(Pages!$J$2:$J$829,MATCH(K142,Pages!$B$2:$B$829,0)))),"Yes","No"),"Page not found"))</f>
        <v/>
      </c>
      <c r="N142" s="25" t="inlineStr">
        <is>
          <t>(none seen)</t>
        </is>
      </c>
      <c r="O142" s="25" t="n"/>
      <c r="P142" s="40" t="n"/>
      <c r="Q142" s="38" t="n"/>
      <c r="R142" s="38" t="n"/>
    </row>
    <row r="143" ht="15" customHeight="1" s="22">
      <c r="A143" s="36" t="inlineStr">
        <is>
          <t>insurance advisor mississauga</t>
        </is>
      </c>
      <c r="B143" s="36" t="inlineStr">
        <is>
          <t>Multi-line (place hubs)</t>
        </is>
      </c>
      <c r="C143" s="36" t="n"/>
      <c r="D143" s="36" t="inlineStr">
        <is>
          <t>Ontario</t>
        </is>
      </c>
      <c r="E143" s="36" t="inlineStr">
        <is>
          <t>Mississauga</t>
        </is>
      </c>
      <c r="F143" s="37" t="n">
        <v>230</v>
      </c>
      <c r="G143" s="36" t="n">
        <v>30</v>
      </c>
      <c r="H143" s="36" t="inlineStr">
        <is>
          <t>local</t>
        </is>
      </c>
      <c r="I143" s="36" t="inlineStr">
        <is>
          <t>advisors</t>
        </is>
      </c>
      <c r="J143" s="36" t="n">
        <v>2</v>
      </c>
      <c r="K143" s="36" t="inlineStr">
        <is>
          <t>https://instasure.ca/insurance/ontario/mississauga/</t>
        </is>
      </c>
      <c r="L143" s="36">
        <f>IF(K143="","No","Yes")</f>
        <v/>
      </c>
      <c r="M143" s="39">
        <f>IF(K143="","",IFERROR(IF(ISNUMBER(SEARCH(A143,INDEX(Pages!$J$2:$J$829,MATCH(K143,Pages!$B$2:$B$829,0)))),"Yes","No"),"Page not found"))</f>
        <v/>
      </c>
      <c r="N143" s="25" t="inlineStr">
        <is>
          <t>local brokers, thinkinsure, rates.ca (broker pages)</t>
        </is>
      </c>
      <c r="O143" s="25" t="inlineStr">
        <is>
          <t>City hub. Add a Google Business Profile only where an advisor really works from that city.</t>
        </is>
      </c>
      <c r="P143" s="40" t="n"/>
      <c r="Q143" s="38" t="n"/>
      <c r="R143" s="38" t="n"/>
    </row>
    <row r="144" ht="15" customHeight="1" s="22">
      <c r="A144" s="36" t="inlineStr">
        <is>
          <t>super visa insurance calgary</t>
        </is>
      </c>
      <c r="B144" s="36" t="inlineStr">
        <is>
          <t>Super Visa &amp; visitors insurance</t>
        </is>
      </c>
      <c r="C144" s="36" t="inlineStr">
        <is>
          <t>Super Visa Insurance</t>
        </is>
      </c>
      <c r="D144" s="36" t="inlineStr">
        <is>
          <t>Alberta</t>
        </is>
      </c>
      <c r="E144" s="36" t="inlineStr">
        <is>
          <t>Calgary</t>
        </is>
      </c>
      <c r="F144" s="37" t="n">
        <v>230</v>
      </c>
      <c r="G144" s="36" t="n">
        <v>36</v>
      </c>
      <c r="H144" s="36" t="inlineStr">
        <is>
          <t>local</t>
        </is>
      </c>
      <c r="I144" s="36" t="inlineStr">
        <is>
          <t>travel-visitors</t>
        </is>
      </c>
      <c r="J144" s="36" t="n">
        <v>2</v>
      </c>
      <c r="K144" s="36" t="inlineStr">
        <is>
          <t>https://instasure.ca/super-visa-insurance/alberta/calgary/</t>
        </is>
      </c>
      <c r="L144" s="36">
        <f>IF(K144="","No","Yes")</f>
        <v/>
      </c>
      <c r="M144" s="39">
        <f>IF(K144="","",IFERROR(IF(ISNUMBER(SEARCH(A144,INDEX(Pages!$J$2:$J$829,MATCH(K144,Pages!$B$2:$B$829,0)))),"Yes","No"),"Page not found"))</f>
        <v/>
      </c>
      <c r="N144" s="25" t="inlineStr">
        <is>
          <t>(none seen)</t>
        </is>
      </c>
      <c r="O144" s="25" t="n"/>
      <c r="P144" s="40" t="n"/>
      <c r="Q144" s="38" t="n"/>
      <c r="R144" s="38" t="n"/>
    </row>
    <row r="145" ht="15" customHeight="1" s="22">
      <c r="A145" s="36" t="inlineStr">
        <is>
          <t>tenant insurance vaughan</t>
        </is>
      </c>
      <c r="B145" s="36" t="inlineStr">
        <is>
          <t>Tenant insurance</t>
        </is>
      </c>
      <c r="C145" s="36" t="inlineStr">
        <is>
          <t>Tenant Insurance</t>
        </is>
      </c>
      <c r="D145" s="36" t="inlineStr">
        <is>
          <t>Ontario</t>
        </is>
      </c>
      <c r="E145" s="36" t="inlineStr">
        <is>
          <t>Vaughan</t>
        </is>
      </c>
      <c r="F145" s="37" t="n">
        <v>230</v>
      </c>
      <c r="G145" s="36" t="n">
        <v>48</v>
      </c>
      <c r="H145" s="36" t="inlineStr">
        <is>
          <t>local</t>
        </is>
      </c>
      <c r="I145" s="36" t="inlineStr">
        <is>
          <t>property-local</t>
        </is>
      </c>
      <c r="J145" s="36" t="n">
        <v>4</v>
      </c>
      <c r="K145" s="36" t="inlineStr">
        <is>
          <t>https://instasure.ca/tenant-insurance/ontario/vaughan/</t>
        </is>
      </c>
      <c r="L145" s="36">
        <f>IF(K145="","No","Yes")</f>
        <v/>
      </c>
      <c r="M145" s="39">
        <f>IF(K145="","",IFERROR(IF(ISNUMBER(SEARCH(A145,INDEX(Pages!$J$2:$J$829,MATCH(K145,Pages!$B$2:$B$829,0)))),"Yes","No"),"Page not found"))</f>
        <v/>
      </c>
      <c r="N145" s="25" t="inlineStr">
        <is>
          <t>(none seen)</t>
        </is>
      </c>
      <c r="O145" s="25" t="n"/>
      <c r="P145" s="40" t="n"/>
      <c r="Q145" s="38" t="n"/>
      <c r="R145" s="38" t="n"/>
    </row>
    <row r="146" ht="15" customHeight="1" s="22">
      <c r="A146" s="36" t="inlineStr">
        <is>
          <t>car insurance longueuil</t>
        </is>
      </c>
      <c r="B146" s="36" t="inlineStr">
        <is>
          <t>Car insurance</t>
        </is>
      </c>
      <c r="C146" s="36" t="inlineStr">
        <is>
          <t>Car Insurance</t>
        </is>
      </c>
      <c r="D146" s="36" t="inlineStr">
        <is>
          <t>Quebec</t>
        </is>
      </c>
      <c r="E146" s="36" t="inlineStr">
        <is>
          <t>Longueuil</t>
        </is>
      </c>
      <c r="F146" s="37" t="n">
        <v>220</v>
      </c>
      <c r="G146" s="36" t="n">
        <v>52</v>
      </c>
      <c r="H146" s="36" t="inlineStr">
        <is>
          <t>local</t>
        </is>
      </c>
      <c r="I146" s="36" t="inlineStr">
        <is>
          <t>auto-local</t>
        </is>
      </c>
      <c r="J146" s="36" t="n">
        <v>4</v>
      </c>
      <c r="K146" s="36" t="inlineStr">
        <is>
          <t>https://instasure.ca/car-insurance/quebec/longueuil/</t>
        </is>
      </c>
      <c r="L146" s="36">
        <f>IF(K146="","No","Yes")</f>
        <v/>
      </c>
      <c r="M146" s="39">
        <f>IF(K146="","",IFERROR(IF(ISNUMBER(SEARCH(A146,INDEX(Pages!$J$2:$J$829,MATCH(K146,Pages!$B$2:$B$829,0)))),"Yes","No"),"Page not found"))</f>
        <v/>
      </c>
      <c r="N146" s="25" t="inlineStr">
        <is>
          <t>(none seen)</t>
        </is>
      </c>
      <c r="O146" s="25" t="inlineStr">
        <is>
          <t>Quebec waitlist until AMF registration.</t>
        </is>
      </c>
      <c r="P146" s="40" t="n"/>
      <c r="Q146" s="38" t="n"/>
      <c r="R146" s="38" t="n"/>
    </row>
    <row r="147" ht="15" customHeight="1" s="22">
      <c r="A147" s="36" t="inlineStr">
        <is>
          <t>cheap car insurance windsor</t>
        </is>
      </c>
      <c r="B147" s="36" t="inlineStr">
        <is>
          <t>Car insurance</t>
        </is>
      </c>
      <c r="C147" s="36" t="inlineStr">
        <is>
          <t>Car Insurance</t>
        </is>
      </c>
      <c r="D147" s="36" t="inlineStr">
        <is>
          <t>Ontario</t>
        </is>
      </c>
      <c r="E147" s="36" t="inlineStr">
        <is>
          <t>Windsor</t>
        </is>
      </c>
      <c r="F147" s="37" t="n">
        <v>220</v>
      </c>
      <c r="G147" s="36" t="n">
        <v>71</v>
      </c>
      <c r="H147" s="36" t="inlineStr">
        <is>
          <t>transactional</t>
        </is>
      </c>
      <c r="I147" s="36" t="inlineStr">
        <is>
          <t>auto-local</t>
        </is>
      </c>
      <c r="J147" s="36" t="n">
        <v>4</v>
      </c>
      <c r="K147" s="36" t="inlineStr">
        <is>
          <t>https://instasure.ca/car-insurance/ontario/windsor/</t>
        </is>
      </c>
      <c r="L147" s="36">
        <f>IF(K147="","No","Yes")</f>
        <v/>
      </c>
      <c r="M147" s="39">
        <f>IF(K147="","",IFERROR(IF(ISNUMBER(SEARCH(A147,INDEX(Pages!$J$2:$J$829,MATCH(K147,Pages!$B$2:$B$829,0)))),"Yes","No"),"Page not found"))</f>
        <v/>
      </c>
      <c r="N147" s="25" t="inlineStr">
        <is>
          <t>ratehub, rates.ca</t>
        </is>
      </c>
      <c r="O147" s="25" t="inlineStr">
        <is>
          <t>Rates.ca titles lead with "Cheap"; answer with factors and FSA data, not a price promise.</t>
        </is>
      </c>
      <c r="P147" s="40" t="n"/>
      <c r="Q147" s="38" t="n"/>
      <c r="R147" s="38" t="n"/>
    </row>
    <row r="148" ht="15" customHeight="1" s="22">
      <c r="A148" s="36" t="inlineStr">
        <is>
          <t>home insurance burlington</t>
        </is>
      </c>
      <c r="B148" s="36" t="inlineStr">
        <is>
          <t>Home insurance</t>
        </is>
      </c>
      <c r="C148" s="36" t="inlineStr">
        <is>
          <t>Home Insurance</t>
        </is>
      </c>
      <c r="D148" s="36" t="inlineStr">
        <is>
          <t>Ontario</t>
        </is>
      </c>
      <c r="E148" s="36" t="inlineStr">
        <is>
          <t>Burlington</t>
        </is>
      </c>
      <c r="F148" s="37" t="n">
        <v>220</v>
      </c>
      <c r="G148" s="36" t="n">
        <v>48</v>
      </c>
      <c r="H148" s="36" t="inlineStr">
        <is>
          <t>local</t>
        </is>
      </c>
      <c r="I148" s="36" t="inlineStr">
        <is>
          <t>property-local</t>
        </is>
      </c>
      <c r="J148" s="36" t="n">
        <v>3</v>
      </c>
      <c r="K148" s="36" t="inlineStr">
        <is>
          <t>https://instasure.ca/home-insurance/ontario/burlington/</t>
        </is>
      </c>
      <c r="L148" s="36">
        <f>IF(K148="","No","Yes")</f>
        <v/>
      </c>
      <c r="M148" s="39">
        <f>IF(K148="","",IFERROR(IF(ISNUMBER(SEARCH(A148,INDEX(Pages!$J$2:$J$829,MATCH(K148,Pages!$B$2:$B$829,0)))),"Yes","No"),"Page not found"))</f>
        <v/>
      </c>
      <c r="N148" s="25" t="inlineStr">
        <is>
          <t>(none seen)</t>
        </is>
      </c>
      <c r="O148" s="25" t="n"/>
      <c r="P148" s="40" t="n"/>
      <c r="Q148" s="38" t="n"/>
      <c r="R148" s="38" t="n"/>
    </row>
    <row r="149" ht="15" customHeight="1" s="22">
      <c r="A149" s="36" t="inlineStr">
        <is>
          <t>insurance advisor vancouver</t>
        </is>
      </c>
      <c r="B149" s="36" t="inlineStr">
        <is>
          <t>Multi-line (place hubs)</t>
        </is>
      </c>
      <c r="C149" s="36" t="n"/>
      <c r="D149" s="36" t="inlineStr">
        <is>
          <t>British Columbia</t>
        </is>
      </c>
      <c r="E149" s="36" t="inlineStr">
        <is>
          <t>Vancouver</t>
        </is>
      </c>
      <c r="F149" s="37" t="n">
        <v>220</v>
      </c>
      <c r="G149" s="36" t="n">
        <v>30</v>
      </c>
      <c r="H149" s="36" t="inlineStr">
        <is>
          <t>local</t>
        </is>
      </c>
      <c r="I149" s="36" t="inlineStr">
        <is>
          <t>advisors</t>
        </is>
      </c>
      <c r="J149" s="36" t="n">
        <v>2</v>
      </c>
      <c r="K149" s="36" t="inlineStr">
        <is>
          <t>https://instasure.ca/insurance/british-columbia/vancouver/</t>
        </is>
      </c>
      <c r="L149" s="36">
        <f>IF(K149="","No","Yes")</f>
        <v/>
      </c>
      <c r="M149" s="39">
        <f>IF(K149="","",IFERROR(IF(ISNUMBER(SEARCH(A149,INDEX(Pages!$J$2:$J$829,MATCH(K149,Pages!$B$2:$B$829,0)))),"Yes","No"),"Page not found"))</f>
        <v/>
      </c>
      <c r="N149" s="25" t="inlineStr">
        <is>
          <t>local brokers, thinkinsure, rates.ca (broker pages)</t>
        </is>
      </c>
      <c r="O149" s="25" t="inlineStr">
        <is>
          <t>City hub. Add a Google Business Profile only where an advisor really works from that city.</t>
        </is>
      </c>
      <c r="P149" s="40" t="n"/>
      <c r="Q149" s="38" t="n"/>
      <c r="R149" s="38" t="n"/>
    </row>
    <row r="150" ht="15" customHeight="1" s="22">
      <c r="A150" s="36" t="inlineStr">
        <is>
          <t>basement flood insurance toronto</t>
        </is>
      </c>
      <c r="B150" s="36" t="inlineStr">
        <is>
          <t>Home insurance</t>
        </is>
      </c>
      <c r="C150" s="36" t="inlineStr">
        <is>
          <t>Home Insurance</t>
        </is>
      </c>
      <c r="D150" s="36" t="inlineStr">
        <is>
          <t>Ontario</t>
        </is>
      </c>
      <c r="E150" s="36" t="inlineStr">
        <is>
          <t>Toronto</t>
        </is>
      </c>
      <c r="F150" s="37" t="n">
        <v>210</v>
      </c>
      <c r="G150" s="36" t="n">
        <v>25</v>
      </c>
      <c r="H150" s="36" t="inlineStr">
        <is>
          <t>local</t>
        </is>
      </c>
      <c r="I150" s="36" t="inlineStr">
        <is>
          <t>property-coverage</t>
        </is>
      </c>
      <c r="J150" s="36" t="n">
        <v>2</v>
      </c>
      <c r="K150" s="36" t="inlineStr">
        <is>
          <t>https://instasure.ca/guides/does-home-insurance-cover-water-damage-canada/</t>
        </is>
      </c>
      <c r="L150" s="36">
        <f>IF(K150="","No","Yes")</f>
        <v/>
      </c>
      <c r="M150" s="39">
        <f>IF(K150="","",IFERROR(IF(ISNUMBER(SEARCH(A150,INDEX(Pages!$J$2:$J$829,MATCH(K150,Pages!$B$2:$B$829,0)))),"Yes","No"),"Page not found"))</f>
        <v/>
      </c>
      <c r="N150" s="25" t="inlineStr">
        <is>
          <t>mcdougall, brokers</t>
        </is>
      </c>
      <c r="O150" s="25" t="n"/>
      <c r="P150" s="40" t="n"/>
      <c r="Q150" s="38" t="n"/>
      <c r="R150" s="38" t="n"/>
    </row>
    <row r="151" ht="15" customHeight="1" s="22">
      <c r="A151" s="36" t="inlineStr">
        <is>
          <t>business insurance winnipeg</t>
        </is>
      </c>
      <c r="B151" s="36" t="inlineStr">
        <is>
          <t>Business insurance</t>
        </is>
      </c>
      <c r="C151" s="36" t="inlineStr">
        <is>
          <t>Business Insurance</t>
        </is>
      </c>
      <c r="D151" s="36" t="inlineStr">
        <is>
          <t>Manitoba</t>
        </is>
      </c>
      <c r="E151" s="36" t="inlineStr">
        <is>
          <t>Winnipeg</t>
        </is>
      </c>
      <c r="F151" s="37" t="n">
        <v>210</v>
      </c>
      <c r="G151" s="36" t="n">
        <v>33</v>
      </c>
      <c r="H151" s="36" t="inlineStr">
        <is>
          <t>local</t>
        </is>
      </c>
      <c r="I151" s="36" t="inlineStr">
        <is>
          <t>business-local</t>
        </is>
      </c>
      <c r="J151" s="36" t="n">
        <v>1</v>
      </c>
      <c r="K151" s="36" t="inlineStr">
        <is>
          <t>https://instasure.ca/business-insurance/manitoba/winnipeg/</t>
        </is>
      </c>
      <c r="L151" s="36">
        <f>IF(K151="","No","Yes")</f>
        <v/>
      </c>
      <c r="M151" s="39">
        <f>IF(K151="","",IFERROR(IF(ISNUMBER(SEARCH(A151,INDEX(Pages!$J$2:$J$829,MATCH(K151,Pages!$B$2:$B$829,0)))),"Yes","No"),"Page not found"))</f>
        <v/>
      </c>
      <c r="N151" s="25" t="inlineStr">
        <is>
          <t>(none seen)</t>
        </is>
      </c>
      <c r="O151" s="25" t="n"/>
      <c r="P151" s="40" t="n"/>
      <c r="Q151" s="38" t="n"/>
      <c r="R151" s="38" t="n"/>
    </row>
    <row r="152" ht="15" customHeight="1" s="22">
      <c r="A152" s="36" t="inlineStr">
        <is>
          <t>car insurance abbotsford</t>
        </is>
      </c>
      <c r="B152" s="36" t="inlineStr">
        <is>
          <t>Car insurance</t>
        </is>
      </c>
      <c r="C152" s="36" t="inlineStr">
        <is>
          <t>Car Insurance</t>
        </is>
      </c>
      <c r="D152" s="36" t="inlineStr">
        <is>
          <t>British Columbia</t>
        </is>
      </c>
      <c r="E152" s="36" t="inlineStr">
        <is>
          <t>Abbotsford</t>
        </is>
      </c>
      <c r="F152" s="37" t="n">
        <v>210</v>
      </c>
      <c r="G152" s="36" t="n">
        <v>56</v>
      </c>
      <c r="H152" s="36" t="inlineStr">
        <is>
          <t>local</t>
        </is>
      </c>
      <c r="I152" s="36" t="inlineStr">
        <is>
          <t>auto-local</t>
        </is>
      </c>
      <c r="J152" s="36" t="n">
        <v>5</v>
      </c>
      <c r="K152" s="36" t="inlineStr">
        <is>
          <t>https://instasure.ca/car-insurance/british-columbia/abbotsford/</t>
        </is>
      </c>
      <c r="L152" s="36">
        <f>IF(K152="","No","Yes")</f>
        <v/>
      </c>
      <c r="M152" s="39">
        <f>IF(K152="","",IFERROR(IF(ISNUMBER(SEARCH(A152,INDEX(Pages!$J$2:$J$829,MATCH(K152,Pages!$B$2:$B$829,0)))),"Yes","No"),"Page not found"))</f>
        <v/>
      </c>
      <c r="N152" s="25" t="inlineStr">
        <is>
          <t>ratehub</t>
        </is>
      </c>
      <c r="O152" s="25" t="inlineStr">
        <is>
          <t>ICBC sells basic auto; target optional coverage. Low lead value.</t>
        </is>
      </c>
      <c r="P152" s="40" t="n"/>
      <c r="Q152" s="38" t="n"/>
      <c r="R152" s="38" t="n"/>
    </row>
    <row r="153" ht="15" customHeight="1" s="22">
      <c r="A153" s="36" t="inlineStr">
        <is>
          <t>car insurance fredericton</t>
        </is>
      </c>
      <c r="B153" s="36" t="inlineStr">
        <is>
          <t>Car insurance</t>
        </is>
      </c>
      <c r="C153" s="36" t="inlineStr">
        <is>
          <t>Car Insurance</t>
        </is>
      </c>
      <c r="D153" s="36" t="inlineStr">
        <is>
          <t>New Brunswick</t>
        </is>
      </c>
      <c r="E153" s="36" t="inlineStr">
        <is>
          <t>Fredericton</t>
        </is>
      </c>
      <c r="F153" s="37" t="n">
        <v>210</v>
      </c>
      <c r="G153" s="36" t="n">
        <v>56</v>
      </c>
      <c r="H153" s="36" t="inlineStr">
        <is>
          <t>local</t>
        </is>
      </c>
      <c r="I153" s="36" t="inlineStr">
        <is>
          <t>auto-local</t>
        </is>
      </c>
      <c r="J153" s="36" t="n">
        <v>3</v>
      </c>
      <c r="K153" s="36" t="inlineStr">
        <is>
          <t>https://instasure.ca/car-insurance/new-brunswick/fredericton/</t>
        </is>
      </c>
      <c r="L153" s="36">
        <f>IF(K153="","No","Yes")</f>
        <v/>
      </c>
      <c r="M153" s="39">
        <f>IF(K153="","",IFERROR(IF(ISNUMBER(SEARCH(A153,INDEX(Pages!$J$2:$J$829,MATCH(K153,Pages!$B$2:$B$829,0)))),"Yes","No"),"Page not found"))</f>
        <v/>
      </c>
      <c r="N153" s="25" t="inlineStr">
        <is>
          <t>ratehub</t>
        </is>
      </c>
      <c r="O153" s="25" t="n"/>
      <c r="P153" s="40" t="n"/>
      <c r="Q153" s="38" t="n"/>
      <c r="R153" s="38" t="n"/>
    </row>
    <row r="154" ht="15" customHeight="1" s="22">
      <c r="A154" s="36" t="inlineStr">
        <is>
          <t>car insurance gatineau</t>
        </is>
      </c>
      <c r="B154" s="36" t="inlineStr">
        <is>
          <t>Car insurance</t>
        </is>
      </c>
      <c r="C154" s="36" t="inlineStr">
        <is>
          <t>Car Insurance</t>
        </is>
      </c>
      <c r="D154" s="36" t="inlineStr">
        <is>
          <t>Quebec</t>
        </is>
      </c>
      <c r="E154" s="36" t="inlineStr">
        <is>
          <t>Gatineau</t>
        </is>
      </c>
      <c r="F154" s="37" t="n">
        <v>210</v>
      </c>
      <c r="G154" s="36" t="n">
        <v>52</v>
      </c>
      <c r="H154" s="36" t="inlineStr">
        <is>
          <t>local</t>
        </is>
      </c>
      <c r="I154" s="36" t="inlineStr">
        <is>
          <t>auto-local</t>
        </is>
      </c>
      <c r="J154" s="36" t="n">
        <v>4</v>
      </c>
      <c r="K154" s="36" t="inlineStr">
        <is>
          <t>https://instasure.ca/car-insurance/quebec/gatineau/</t>
        </is>
      </c>
      <c r="L154" s="36">
        <f>IF(K154="","No","Yes")</f>
        <v/>
      </c>
      <c r="M154" s="39">
        <f>IF(K154="","",IFERROR(IF(ISNUMBER(SEARCH(A154,INDEX(Pages!$J$2:$J$829,MATCH(K154,Pages!$B$2:$B$829,0)))),"Yes","No"),"Page not found"))</f>
        <v/>
      </c>
      <c r="N154" s="25" t="inlineStr">
        <is>
          <t>(none seen)</t>
        </is>
      </c>
      <c r="O154" s="25" t="inlineStr">
        <is>
          <t>Quebec waitlist until AMF registration.</t>
        </is>
      </c>
      <c r="P154" s="40" t="n"/>
      <c r="Q154" s="38" t="n"/>
      <c r="R154" s="38" t="n"/>
    </row>
    <row r="155" ht="15" customHeight="1" s="22">
      <c r="A155" s="36" t="inlineStr">
        <is>
          <t>condo insurance winnipeg</t>
        </is>
      </c>
      <c r="B155" s="36" t="inlineStr">
        <is>
          <t>Condo insurance</t>
        </is>
      </c>
      <c r="C155" s="36" t="inlineStr">
        <is>
          <t>Condo Insurance</t>
        </is>
      </c>
      <c r="D155" s="36" t="inlineStr">
        <is>
          <t>Manitoba</t>
        </is>
      </c>
      <c r="E155" s="36" t="inlineStr">
        <is>
          <t>Winnipeg</t>
        </is>
      </c>
      <c r="F155" s="37" t="n">
        <v>210</v>
      </c>
      <c r="G155" s="36" t="n">
        <v>40</v>
      </c>
      <c r="H155" s="36" t="inlineStr">
        <is>
          <t>local</t>
        </is>
      </c>
      <c r="I155" s="36" t="inlineStr">
        <is>
          <t>property-local</t>
        </is>
      </c>
      <c r="J155" s="36" t="n">
        <v>3</v>
      </c>
      <c r="K155" s="36" t="inlineStr">
        <is>
          <t>https://instasure.ca/condo-insurance/manitoba/winnipeg/</t>
        </is>
      </c>
      <c r="L155" s="36">
        <f>IF(K155="","No","Yes")</f>
        <v/>
      </c>
      <c r="M155" s="39">
        <f>IF(K155="","",IFERROR(IF(ISNUMBER(SEARCH(A155,INDEX(Pages!$J$2:$J$829,MATCH(K155,Pages!$B$2:$B$829,0)))),"Yes","No"),"Page not found"))</f>
        <v/>
      </c>
      <c r="N155" s="25" t="inlineStr">
        <is>
          <t>(none seen)</t>
        </is>
      </c>
      <c r="O155" s="25" t="n"/>
      <c r="P155" s="40" t="n"/>
      <c r="Q155" s="38" t="n"/>
      <c r="R155" s="38" t="n"/>
    </row>
    <row r="156" ht="15" customHeight="1" s="22">
      <c r="A156" s="36" t="inlineStr">
        <is>
          <t>home insurance oshawa</t>
        </is>
      </c>
      <c r="B156" s="36" t="inlineStr">
        <is>
          <t>Home insurance</t>
        </is>
      </c>
      <c r="C156" s="36" t="inlineStr">
        <is>
          <t>Home Insurance</t>
        </is>
      </c>
      <c r="D156" s="36" t="inlineStr">
        <is>
          <t>Ontario</t>
        </is>
      </c>
      <c r="E156" s="36" t="inlineStr">
        <is>
          <t>Oshawa</t>
        </is>
      </c>
      <c r="F156" s="37" t="n">
        <v>210</v>
      </c>
      <c r="G156" s="36" t="n">
        <v>52</v>
      </c>
      <c r="H156" s="36" t="inlineStr">
        <is>
          <t>local</t>
        </is>
      </c>
      <c r="I156" s="36" t="inlineStr">
        <is>
          <t>property-local</t>
        </is>
      </c>
      <c r="J156" s="36" t="n">
        <v>3</v>
      </c>
      <c r="K156" s="36" t="inlineStr">
        <is>
          <t>https://instasure.ca/home-insurance/ontario/oshawa/</t>
        </is>
      </c>
      <c r="L156" s="36">
        <f>IF(K156="","No","Yes")</f>
        <v/>
      </c>
      <c r="M156" s="39">
        <f>IF(K156="","",IFERROR(IF(ISNUMBER(SEARCH(A156,INDEX(Pages!$J$2:$J$829,MATCH(K156,Pages!$B$2:$B$829,0)))),"Yes","No"),"Page not found"))</f>
        <v/>
      </c>
      <c r="N156" s="25" t="inlineStr">
        <is>
          <t>rates.ca</t>
        </is>
      </c>
      <c r="O156" s="25" t="n"/>
      <c r="P156" s="40" t="n"/>
      <c r="Q156" s="38" t="n"/>
      <c r="R156" s="38" t="n"/>
    </row>
    <row r="157" ht="15" customHeight="1" s="22">
      <c r="A157" s="36" t="inlineStr">
        <is>
          <t>insurance advisor brampton</t>
        </is>
      </c>
      <c r="B157" s="36" t="inlineStr">
        <is>
          <t>Multi-line (place hubs)</t>
        </is>
      </c>
      <c r="C157" s="36" t="n"/>
      <c r="D157" s="36" t="inlineStr">
        <is>
          <t>Ontario</t>
        </is>
      </c>
      <c r="E157" s="36" t="inlineStr">
        <is>
          <t>Brampton</t>
        </is>
      </c>
      <c r="F157" s="37" t="n">
        <v>210</v>
      </c>
      <c r="G157" s="36" t="n">
        <v>30</v>
      </c>
      <c r="H157" s="36" t="inlineStr">
        <is>
          <t>local</t>
        </is>
      </c>
      <c r="I157" s="36" t="inlineStr">
        <is>
          <t>advisors</t>
        </is>
      </c>
      <c r="J157" s="36" t="n">
        <v>2</v>
      </c>
      <c r="K157" s="36" t="inlineStr">
        <is>
          <t>https://instasure.ca/insurance/ontario/brampton/</t>
        </is>
      </c>
      <c r="L157" s="36">
        <f>IF(K157="","No","Yes")</f>
        <v/>
      </c>
      <c r="M157" s="39">
        <f>IF(K157="","",IFERROR(IF(ISNUMBER(SEARCH(A157,INDEX(Pages!$J$2:$J$829,MATCH(K157,Pages!$B$2:$B$829,0)))),"Yes","No"),"Page not found"))</f>
        <v/>
      </c>
      <c r="N157" s="25" t="inlineStr">
        <is>
          <t>local brokers, thinkinsure, rates.ca (broker pages)</t>
        </is>
      </c>
      <c r="O157" s="25" t="inlineStr">
        <is>
          <t>City hub. Add a Google Business Profile only where an advisor really works from that city.</t>
        </is>
      </c>
      <c r="P157" s="40" t="n"/>
      <c r="Q157" s="38" t="n"/>
      <c r="R157" s="38" t="n"/>
    </row>
    <row r="158" ht="15" customHeight="1" s="22">
      <c r="A158" s="36" t="inlineStr">
        <is>
          <t>business insurance mississauga</t>
        </is>
      </c>
      <c r="B158" s="36" t="inlineStr">
        <is>
          <t>Business insurance</t>
        </is>
      </c>
      <c r="C158" s="36" t="inlineStr">
        <is>
          <t>Business Insurance</t>
        </is>
      </c>
      <c r="D158" s="36" t="inlineStr">
        <is>
          <t>Ontario</t>
        </is>
      </c>
      <c r="E158" s="36" t="inlineStr">
        <is>
          <t>Mississauga</t>
        </is>
      </c>
      <c r="F158" s="37" t="n">
        <v>200</v>
      </c>
      <c r="G158" s="36" t="n">
        <v>41</v>
      </c>
      <c r="H158" s="36" t="inlineStr">
        <is>
          <t>local</t>
        </is>
      </c>
      <c r="I158" s="36" t="inlineStr">
        <is>
          <t>business-local</t>
        </is>
      </c>
      <c r="J158" s="36" t="n">
        <v>2</v>
      </c>
      <c r="K158" s="36" t="inlineStr">
        <is>
          <t>https://instasure.ca/business-insurance/ontario/mississauga/</t>
        </is>
      </c>
      <c r="L158" s="36">
        <f>IF(K158="","No","Yes")</f>
        <v/>
      </c>
      <c r="M158" s="39">
        <f>IF(K158="","",IFERROR(IF(ISNUMBER(SEARCH(A158,INDEX(Pages!$J$2:$J$829,MATCH(K158,Pages!$B$2:$B$829,0)))),"Yes","No"),"Page not found"))</f>
        <v/>
      </c>
      <c r="N158" s="25" t="inlineStr">
        <is>
          <t>(none seen)</t>
        </is>
      </c>
      <c r="O158" s="25" t="n"/>
      <c r="P158" s="40" t="n"/>
      <c r="Q158" s="38" t="n"/>
      <c r="R158" s="38" t="n"/>
    </row>
    <row r="159" ht="15" customHeight="1" s="22">
      <c r="A159" s="36" t="inlineStr">
        <is>
          <t>car insurance kelowna</t>
        </is>
      </c>
      <c r="B159" s="36" t="inlineStr">
        <is>
          <t>Car insurance</t>
        </is>
      </c>
      <c r="C159" s="36" t="inlineStr">
        <is>
          <t>Car Insurance</t>
        </is>
      </c>
      <c r="D159" s="36" t="inlineStr">
        <is>
          <t>British Columbia</t>
        </is>
      </c>
      <c r="E159" s="36" t="inlineStr">
        <is>
          <t>Kelowna</t>
        </is>
      </c>
      <c r="F159" s="37" t="n">
        <v>200</v>
      </c>
      <c r="G159" s="36" t="n">
        <v>64</v>
      </c>
      <c r="H159" s="36" t="inlineStr">
        <is>
          <t>local</t>
        </is>
      </c>
      <c r="I159" s="36" t="inlineStr">
        <is>
          <t>auto-local</t>
        </is>
      </c>
      <c r="J159" s="36" t="n">
        <v>5</v>
      </c>
      <c r="K159" s="36" t="inlineStr">
        <is>
          <t>https://instasure.ca/car-insurance/british-columbia/kelowna/</t>
        </is>
      </c>
      <c r="L159" s="36">
        <f>IF(K159="","No","Yes")</f>
        <v/>
      </c>
      <c r="M159" s="39">
        <f>IF(K159="","",IFERROR(IF(ISNUMBER(SEARCH(A159,INDEX(Pages!$J$2:$J$829,MATCH(K159,Pages!$B$2:$B$829,0)))),"Yes","No"),"Page not found"))</f>
        <v/>
      </c>
      <c r="N159" s="25" t="inlineStr">
        <is>
          <t>ratehub</t>
        </is>
      </c>
      <c r="O159" s="25" t="inlineStr">
        <is>
          <t>ICBC sells basic auto; target optional coverage. Low lead value.</t>
        </is>
      </c>
      <c r="P159" s="40" t="n"/>
      <c r="Q159" s="38" t="n"/>
      <c r="R159" s="38" t="n"/>
    </row>
    <row r="160" ht="23.85" customHeight="1" s="22">
      <c r="A160" s="36" t="inlineStr">
        <is>
          <t>car insurance langley</t>
        </is>
      </c>
      <c r="B160" s="36" t="inlineStr">
        <is>
          <t>Car insurance</t>
        </is>
      </c>
      <c r="C160" s="36" t="inlineStr">
        <is>
          <t>Car Insurance</t>
        </is>
      </c>
      <c r="D160" s="36" t="inlineStr">
        <is>
          <t>British Columbia</t>
        </is>
      </c>
      <c r="E160" s="36" t="inlineStr">
        <is>
          <t>Langley</t>
        </is>
      </c>
      <c r="F160" s="37" t="n">
        <v>200</v>
      </c>
      <c r="G160" s="36" t="n">
        <v>44</v>
      </c>
      <c r="H160" s="36" t="inlineStr">
        <is>
          <t>local</t>
        </is>
      </c>
      <c r="I160" s="36" t="inlineStr">
        <is>
          <t>auto-local</t>
        </is>
      </c>
      <c r="J160" s="36" t="n">
        <v>5</v>
      </c>
      <c r="K160" s="36" t="inlineStr">
        <is>
          <t>https://instasure.ca/car-insurance/british-columbia/langley/</t>
        </is>
      </c>
      <c r="L160" s="36">
        <f>IF(K160="","No","Yes")</f>
        <v/>
      </c>
      <c r="M160" s="39">
        <f>IF(K160="","",IFERROR(IF(ISNUMBER(SEARCH(A160,INDEX(Pages!$J$2:$J$829,MATCH(K160,Pages!$B$2:$B$829,0)))),"Yes","No"),"Page not found"))</f>
        <v/>
      </c>
      <c r="N160" s="25" t="inlineStr">
        <is>
          <t>(none seen)</t>
        </is>
      </c>
      <c r="O160" s="25" t="inlineStr">
        <is>
          <t>Page exists but is noindex until an editor adds a 300+ character local intro (Admin → SEO → Page overrides). ICBC sells basic auto; target optional coverage. Low lead value.</t>
        </is>
      </c>
      <c r="P160" s="40" t="n"/>
      <c r="Q160" s="38" t="n"/>
      <c r="R160" s="38" t="n"/>
    </row>
    <row r="161" ht="15" customHeight="1" s="22">
      <c r="A161" s="36" t="inlineStr">
        <is>
          <t>condo insurance mississauga</t>
        </is>
      </c>
      <c r="B161" s="36" t="inlineStr">
        <is>
          <t>Condo insurance</t>
        </is>
      </c>
      <c r="C161" s="36" t="inlineStr">
        <is>
          <t>Condo Insurance</t>
        </is>
      </c>
      <c r="D161" s="36" t="inlineStr">
        <is>
          <t>Ontario</t>
        </is>
      </c>
      <c r="E161" s="36" t="inlineStr">
        <is>
          <t>Mississauga</t>
        </is>
      </c>
      <c r="F161" s="37" t="n">
        <v>200</v>
      </c>
      <c r="G161" s="36" t="n">
        <v>52</v>
      </c>
      <c r="H161" s="36" t="inlineStr">
        <is>
          <t>local</t>
        </is>
      </c>
      <c r="I161" s="36" t="inlineStr">
        <is>
          <t>property-local</t>
        </is>
      </c>
      <c r="J161" s="36" t="n">
        <v>4</v>
      </c>
      <c r="K161" s="36" t="inlineStr">
        <is>
          <t>https://instasure.ca/condo-insurance/ontario/mississauga/</t>
        </is>
      </c>
      <c r="L161" s="36">
        <f>IF(K161="","No","Yes")</f>
        <v/>
      </c>
      <c r="M161" s="39">
        <f>IF(K161="","",IFERROR(IF(ISNUMBER(SEARCH(A161,INDEX(Pages!$J$2:$J$829,MATCH(K161,Pages!$B$2:$B$829,0)))),"Yes","No"),"Page not found"))</f>
        <v/>
      </c>
      <c r="N161" s="25" t="inlineStr">
        <is>
          <t>sonnet</t>
        </is>
      </c>
      <c r="O161" s="25" t="n"/>
      <c r="P161" s="40" t="n"/>
      <c r="Q161" s="38" t="n"/>
      <c r="R161" s="38" t="n"/>
    </row>
    <row r="162" ht="23.85" customHeight="1" s="22">
      <c r="A162" s="36" t="inlineStr">
        <is>
          <t>home insurance sudbury</t>
        </is>
      </c>
      <c r="B162" s="36" t="inlineStr">
        <is>
          <t>Home insurance</t>
        </is>
      </c>
      <c r="C162" s="36" t="inlineStr">
        <is>
          <t>Home Insurance</t>
        </is>
      </c>
      <c r="D162" s="36" t="inlineStr">
        <is>
          <t>Ontario</t>
        </is>
      </c>
      <c r="E162" s="36" t="inlineStr">
        <is>
          <t>Sudbury</t>
        </is>
      </c>
      <c r="F162" s="37" t="n">
        <v>200</v>
      </c>
      <c r="G162" s="36" t="n">
        <v>40</v>
      </c>
      <c r="H162" s="36" t="inlineStr">
        <is>
          <t>local</t>
        </is>
      </c>
      <c r="I162" s="36" t="inlineStr">
        <is>
          <t>property-local</t>
        </is>
      </c>
      <c r="J162" s="36" t="n">
        <v>3</v>
      </c>
      <c r="K162" s="36" t="inlineStr">
        <is>
          <t>https://instasure.ca/home-insurance/ontario/sudbury/</t>
        </is>
      </c>
      <c r="L162" s="36">
        <f>IF(K162="","No","Yes")</f>
        <v/>
      </c>
      <c r="M162" s="39">
        <f>IF(K162="","",IFERROR(IF(ISNUMBER(SEARCH(A162,INDEX(Pages!$J$2:$J$829,MATCH(K162,Pages!$B$2:$B$829,0)))),"Yes","No"),"Page not found"))</f>
        <v/>
      </c>
      <c r="N162" s="25" t="inlineStr">
        <is>
          <t>(none seen)</t>
        </is>
      </c>
      <c r="O162" s="25" t="inlineStr">
        <is>
          <t>Page exists but is noindex until an editor adds a 300+ character local intro (Admin → SEO → Page overrides).</t>
        </is>
      </c>
      <c r="P162" s="40" t="n"/>
      <c r="Q162" s="38" t="n"/>
      <c r="R162" s="38" t="n"/>
    </row>
    <row r="163" ht="15" customHeight="1" s="22">
      <c r="A163" s="36" t="inlineStr">
        <is>
          <t>life insurance halifax</t>
        </is>
      </c>
      <c r="B163" s="36" t="inlineStr">
        <is>
          <t>Life insurance</t>
        </is>
      </c>
      <c r="C163" s="36" t="inlineStr">
        <is>
          <t>Life Insurance</t>
        </is>
      </c>
      <c r="D163" s="36" t="inlineStr">
        <is>
          <t>Nova Scotia</t>
        </is>
      </c>
      <c r="E163" s="36" t="inlineStr">
        <is>
          <t>Halifax</t>
        </is>
      </c>
      <c r="F163" s="37" t="n">
        <v>200</v>
      </c>
      <c r="G163" s="36" t="n">
        <v>35</v>
      </c>
      <c r="H163" s="36" t="inlineStr">
        <is>
          <t>local</t>
        </is>
      </c>
      <c r="I163" s="36" t="inlineStr">
        <is>
          <t>life-local</t>
        </is>
      </c>
      <c r="J163" s="36" t="n">
        <v>1</v>
      </c>
      <c r="K163" s="36" t="inlineStr">
        <is>
          <t>https://instasure.ca/life-insurance/nova-scotia/halifax/</t>
        </is>
      </c>
      <c r="L163" s="36">
        <f>IF(K163="","No","Yes")</f>
        <v/>
      </c>
      <c r="M163" s="39">
        <f>IF(K163="","",IFERROR(IF(ISNUMBER(SEARCH(A163,INDEX(Pages!$J$2:$J$829,MATCH(K163,Pages!$B$2:$B$829,0)))),"Yes","No"),"Page not found"))</f>
        <v/>
      </c>
      <c r="N163" s="25" t="inlineStr">
        <is>
          <t>(none seen)</t>
        </is>
      </c>
      <c r="O163" s="25" t="n"/>
      <c r="P163" s="40" t="n"/>
      <c r="Q163" s="38" t="n"/>
      <c r="R163" s="38" t="n"/>
    </row>
    <row r="164" ht="15" customHeight="1" s="22">
      <c r="A164" s="36" t="inlineStr">
        <is>
          <t>tenant insurance saskatoon</t>
        </is>
      </c>
      <c r="B164" s="36" t="inlineStr">
        <is>
          <t>Tenant insurance</t>
        </is>
      </c>
      <c r="C164" s="36" t="inlineStr">
        <is>
          <t>Tenant Insurance</t>
        </is>
      </c>
      <c r="D164" s="36" t="inlineStr">
        <is>
          <t>Saskatchewan</t>
        </is>
      </c>
      <c r="E164" s="36" t="inlineStr">
        <is>
          <t>Saskatoon</t>
        </is>
      </c>
      <c r="F164" s="37" t="n">
        <v>200</v>
      </c>
      <c r="G164" s="36" t="n">
        <v>40</v>
      </c>
      <c r="H164" s="36" t="inlineStr">
        <is>
          <t>local</t>
        </is>
      </c>
      <c r="I164" s="36" t="inlineStr">
        <is>
          <t>property-local</t>
        </is>
      </c>
      <c r="J164" s="36" t="n">
        <v>4</v>
      </c>
      <c r="K164" s="36" t="inlineStr">
        <is>
          <t>https://instasure.ca/tenant-insurance/saskatchewan/saskatoon/</t>
        </is>
      </c>
      <c r="L164" s="36">
        <f>IF(K164="","No","Yes")</f>
        <v/>
      </c>
      <c r="M164" s="39">
        <f>IF(K164="","",IFERROR(IF(ISNUMBER(SEARCH(A164,INDEX(Pages!$J$2:$J$829,MATCH(K164,Pages!$B$2:$B$829,0)))),"Yes","No"),"Page not found"))</f>
        <v/>
      </c>
      <c r="N164" s="25" t="inlineStr">
        <is>
          <t>(none seen)</t>
        </is>
      </c>
      <c r="O164" s="25" t="n"/>
      <c r="P164" s="40" t="n"/>
      <c r="Q164" s="38" t="n"/>
      <c r="R164" s="38" t="n"/>
    </row>
    <row r="165" ht="15" customHeight="1" s="22">
      <c r="A165" s="36" t="inlineStr">
        <is>
          <t>business insurance brampton</t>
        </is>
      </c>
      <c r="B165" s="36" t="inlineStr">
        <is>
          <t>Business insurance</t>
        </is>
      </c>
      <c r="C165" s="36" t="inlineStr">
        <is>
          <t>Business Insurance</t>
        </is>
      </c>
      <c r="D165" s="36" t="inlineStr">
        <is>
          <t>Ontario</t>
        </is>
      </c>
      <c r="E165" s="36" t="inlineStr">
        <is>
          <t>Brampton</t>
        </is>
      </c>
      <c r="F165" s="37" t="n">
        <v>190</v>
      </c>
      <c r="G165" s="36" t="n">
        <v>41</v>
      </c>
      <c r="H165" s="36" t="inlineStr">
        <is>
          <t>local</t>
        </is>
      </c>
      <c r="I165" s="36" t="inlineStr">
        <is>
          <t>business-local</t>
        </is>
      </c>
      <c r="J165" s="36" t="n">
        <v>2</v>
      </c>
      <c r="K165" s="36" t="inlineStr">
        <is>
          <t>https://instasure.ca/business-insurance/ontario/brampton/</t>
        </is>
      </c>
      <c r="L165" s="36">
        <f>IF(K165="","No","Yes")</f>
        <v/>
      </c>
      <c r="M165" s="39">
        <f>IF(K165="","",IFERROR(IF(ISNUMBER(SEARCH(A165,INDEX(Pages!$J$2:$J$829,MATCH(K165,Pages!$B$2:$B$829,0)))),"Yes","No"),"Page not found"))</f>
        <v/>
      </c>
      <c r="N165" s="25" t="inlineStr">
        <is>
          <t>(none seen)</t>
        </is>
      </c>
      <c r="O165" s="25" t="n"/>
      <c r="P165" s="40" t="n"/>
      <c r="Q165" s="38" t="n"/>
      <c r="R165" s="38" t="n"/>
    </row>
    <row r="166" ht="15" customHeight="1" s="22">
      <c r="A166" s="36" t="inlineStr">
        <is>
          <t>business insurance vancouver</t>
        </is>
      </c>
      <c r="B166" s="36" t="inlineStr">
        <is>
          <t>Business insurance</t>
        </is>
      </c>
      <c r="C166" s="36" t="inlineStr">
        <is>
          <t>Business Insurance</t>
        </is>
      </c>
      <c r="D166" s="36" t="inlineStr">
        <is>
          <t>British Columbia</t>
        </is>
      </c>
      <c r="E166" s="36" t="inlineStr">
        <is>
          <t>Vancouver</t>
        </is>
      </c>
      <c r="F166" s="37" t="n">
        <v>190</v>
      </c>
      <c r="G166" s="36" t="n">
        <v>41</v>
      </c>
      <c r="H166" s="36" t="inlineStr">
        <is>
          <t>local</t>
        </is>
      </c>
      <c r="I166" s="36" t="inlineStr">
        <is>
          <t>business-local</t>
        </is>
      </c>
      <c r="J166" s="36" t="n">
        <v>2</v>
      </c>
      <c r="K166" s="36" t="inlineStr">
        <is>
          <t>https://instasure.ca/business-insurance/british-columbia/vancouver/</t>
        </is>
      </c>
      <c r="L166" s="36">
        <f>IF(K166="","No","Yes")</f>
        <v/>
      </c>
      <c r="M166" s="39">
        <f>IF(K166="","",IFERROR(IF(ISNUMBER(SEARCH(A166,INDEX(Pages!$J$2:$J$829,MATCH(K166,Pages!$B$2:$B$829,0)))),"Yes","No"),"Page not found"))</f>
        <v/>
      </c>
      <c r="N166" s="25" t="inlineStr">
        <is>
          <t>(none seen)</t>
        </is>
      </c>
      <c r="O166" s="25" t="n"/>
      <c r="P166" s="40" t="n"/>
      <c r="Q166" s="38" t="n"/>
      <c r="R166" s="38" t="n"/>
    </row>
    <row r="167" ht="15" customHeight="1" s="22">
      <c r="A167" s="36" t="inlineStr">
        <is>
          <t>cheap car insurance kitchener</t>
        </is>
      </c>
      <c r="B167" s="36" t="inlineStr">
        <is>
          <t>Car insurance</t>
        </is>
      </c>
      <c r="C167" s="36" t="inlineStr">
        <is>
          <t>Car Insurance</t>
        </is>
      </c>
      <c r="D167" s="36" t="inlineStr">
        <is>
          <t>Ontario</t>
        </is>
      </c>
      <c r="E167" s="36" t="inlineStr">
        <is>
          <t>Kitchener</t>
        </is>
      </c>
      <c r="F167" s="37" t="n">
        <v>190</v>
      </c>
      <c r="G167" s="36" t="n">
        <v>71</v>
      </c>
      <c r="H167" s="36" t="inlineStr">
        <is>
          <t>transactional</t>
        </is>
      </c>
      <c r="I167" s="36" t="inlineStr">
        <is>
          <t>auto-local</t>
        </is>
      </c>
      <c r="J167" s="36" t="n">
        <v>4</v>
      </c>
      <c r="K167" s="36" t="inlineStr">
        <is>
          <t>https://instasure.ca/car-insurance/ontario/kitchener/</t>
        </is>
      </c>
      <c r="L167" s="36">
        <f>IF(K167="","No","Yes")</f>
        <v/>
      </c>
      <c r="M167" s="39">
        <f>IF(K167="","",IFERROR(IF(ISNUMBER(SEARCH(A167,INDEX(Pages!$J$2:$J$829,MATCH(K167,Pages!$B$2:$B$829,0)))),"Yes","No"),"Page not found"))</f>
        <v/>
      </c>
      <c r="N167" s="25" t="inlineStr">
        <is>
          <t>ratehub, rates.ca</t>
        </is>
      </c>
      <c r="O167" s="25" t="inlineStr">
        <is>
          <t>Rates.ca titles lead with "Cheap"; answer with factors and FSA data, not a price promise.</t>
        </is>
      </c>
      <c r="P167" s="40" t="n"/>
      <c r="Q167" s="38" t="n"/>
      <c r="R167" s="38" t="n"/>
    </row>
    <row r="168" ht="15" customHeight="1" s="22">
      <c r="A168" s="36" t="inlineStr">
        <is>
          <t>condo insurance brampton</t>
        </is>
      </c>
      <c r="B168" s="36" t="inlineStr">
        <is>
          <t>Condo insurance</t>
        </is>
      </c>
      <c r="C168" s="36" t="inlineStr">
        <is>
          <t>Condo Insurance</t>
        </is>
      </c>
      <c r="D168" s="36" t="inlineStr">
        <is>
          <t>Ontario</t>
        </is>
      </c>
      <c r="E168" s="36" t="inlineStr">
        <is>
          <t>Brampton</t>
        </is>
      </c>
      <c r="F168" s="37" t="n">
        <v>190</v>
      </c>
      <c r="G168" s="36" t="n">
        <v>48</v>
      </c>
      <c r="H168" s="36" t="inlineStr">
        <is>
          <t>local</t>
        </is>
      </c>
      <c r="I168" s="36" t="inlineStr">
        <is>
          <t>property-local</t>
        </is>
      </c>
      <c r="J168" s="36" t="n">
        <v>3</v>
      </c>
      <c r="K168" s="36" t="inlineStr">
        <is>
          <t>https://instasure.ca/condo-insurance/ontario/brampton/</t>
        </is>
      </c>
      <c r="L168" s="36">
        <f>IF(K168="","No","Yes")</f>
        <v/>
      </c>
      <c r="M168" s="39">
        <f>IF(K168="","",IFERROR(IF(ISNUMBER(SEARCH(A168,INDEX(Pages!$J$2:$J$829,MATCH(K168,Pages!$B$2:$B$829,0)))),"Yes","No"),"Page not found"))</f>
        <v/>
      </c>
      <c r="N168" s="25" t="inlineStr">
        <is>
          <t>(none seen)</t>
        </is>
      </c>
      <c r="O168" s="25" t="n"/>
      <c r="P168" s="40" t="n"/>
      <c r="Q168" s="38" t="n"/>
      <c r="R168" s="38" t="n"/>
    </row>
    <row r="169" ht="15" customHeight="1" s="22">
      <c r="A169" s="36" t="inlineStr">
        <is>
          <t>condo insurance vancouver</t>
        </is>
      </c>
      <c r="B169" s="36" t="inlineStr">
        <is>
          <t>Condo insurance</t>
        </is>
      </c>
      <c r="C169" s="36" t="inlineStr">
        <is>
          <t>Condo Insurance</t>
        </is>
      </c>
      <c r="D169" s="36" t="inlineStr">
        <is>
          <t>British Columbia</t>
        </is>
      </c>
      <c r="E169" s="36" t="inlineStr">
        <is>
          <t>Vancouver</t>
        </is>
      </c>
      <c r="F169" s="37" t="n">
        <v>190</v>
      </c>
      <c r="G169" s="36" t="n">
        <v>52</v>
      </c>
      <c r="H169" s="36" t="inlineStr">
        <is>
          <t>local</t>
        </is>
      </c>
      <c r="I169" s="36" t="inlineStr">
        <is>
          <t>property-local</t>
        </is>
      </c>
      <c r="J169" s="36" t="n">
        <v>4</v>
      </c>
      <c r="K169" s="36" t="inlineStr">
        <is>
          <t>https://instasure.ca/condo-insurance/british-columbia/vancouver/</t>
        </is>
      </c>
      <c r="L169" s="36">
        <f>IF(K169="","No","Yes")</f>
        <v/>
      </c>
      <c r="M169" s="39">
        <f>IF(K169="","",IFERROR(IF(ISNUMBER(SEARCH(A169,INDEX(Pages!$J$2:$J$829,MATCH(K169,Pages!$B$2:$B$829,0)))),"Yes","No"),"Page not found"))</f>
        <v/>
      </c>
      <c r="N169" s="25" t="inlineStr">
        <is>
          <t>rates.ca</t>
        </is>
      </c>
      <c r="O169" s="25" t="n"/>
      <c r="P169" s="40" t="n"/>
      <c r="Q169" s="38" t="n"/>
      <c r="R169" s="38" t="n"/>
    </row>
    <row r="170" ht="15" customHeight="1" s="22">
      <c r="A170" s="36" t="inlineStr">
        <is>
          <t>home insurance abbotsford</t>
        </is>
      </c>
      <c r="B170" s="36" t="inlineStr">
        <is>
          <t>Home insurance</t>
        </is>
      </c>
      <c r="C170" s="36" t="inlineStr">
        <is>
          <t>Home Insurance</t>
        </is>
      </c>
      <c r="D170" s="36" t="inlineStr">
        <is>
          <t>British Columbia</t>
        </is>
      </c>
      <c r="E170" s="36" t="inlineStr">
        <is>
          <t>Abbotsford</t>
        </is>
      </c>
      <c r="F170" s="37" t="n">
        <v>190</v>
      </c>
      <c r="G170" s="36" t="n">
        <v>40</v>
      </c>
      <c r="H170" s="36" t="inlineStr">
        <is>
          <t>local</t>
        </is>
      </c>
      <c r="I170" s="36" t="inlineStr">
        <is>
          <t>property-local</t>
        </is>
      </c>
      <c r="J170" s="36" t="n">
        <v>3</v>
      </c>
      <c r="K170" s="36" t="inlineStr">
        <is>
          <t>https://instasure.ca/home-insurance/british-columbia/abbotsford/</t>
        </is>
      </c>
      <c r="L170" s="36">
        <f>IF(K170="","No","Yes")</f>
        <v/>
      </c>
      <c r="M170" s="39">
        <f>IF(K170="","",IFERROR(IF(ISNUMBER(SEARCH(A170,INDEX(Pages!$J$2:$J$829,MATCH(K170,Pages!$B$2:$B$829,0)))),"Yes","No"),"Page not found"))</f>
        <v/>
      </c>
      <c r="N170" s="25" t="inlineStr">
        <is>
          <t>(none seen)</t>
        </is>
      </c>
      <c r="O170" s="25" t="n"/>
      <c r="P170" s="40" t="n"/>
      <c r="Q170" s="38" t="n"/>
      <c r="R170" s="38" t="n"/>
    </row>
    <row r="171" ht="15" customHeight="1" s="22">
      <c r="A171" s="36" t="inlineStr">
        <is>
          <t>insurance advisor hamilton</t>
        </is>
      </c>
      <c r="B171" s="36" t="inlineStr">
        <is>
          <t>Multi-line (place hubs)</t>
        </is>
      </c>
      <c r="C171" s="36" t="n"/>
      <c r="D171" s="36" t="inlineStr">
        <is>
          <t>Ontario</t>
        </is>
      </c>
      <c r="E171" s="36" t="inlineStr">
        <is>
          <t>Hamilton</t>
        </is>
      </c>
      <c r="F171" s="37" t="n">
        <v>190</v>
      </c>
      <c r="G171" s="36" t="n">
        <v>30</v>
      </c>
      <c r="H171" s="36" t="inlineStr">
        <is>
          <t>local</t>
        </is>
      </c>
      <c r="I171" s="36" t="inlineStr">
        <is>
          <t>advisors</t>
        </is>
      </c>
      <c r="J171" s="36" t="n">
        <v>2</v>
      </c>
      <c r="K171" s="36" t="inlineStr">
        <is>
          <t>https://instasure.ca/insurance/ontario/hamilton/</t>
        </is>
      </c>
      <c r="L171" s="36">
        <f>IF(K171="","No","Yes")</f>
        <v/>
      </c>
      <c r="M171" s="39">
        <f>IF(K171="","",IFERROR(IF(ISNUMBER(SEARCH(A171,INDEX(Pages!$J$2:$J$829,MATCH(K171,Pages!$B$2:$B$829,0)))),"Yes","No"),"Page not found"))</f>
        <v/>
      </c>
      <c r="N171" s="25" t="inlineStr">
        <is>
          <t>local brokers, thinkinsure, rates.ca (broker pages)</t>
        </is>
      </c>
      <c r="O171" s="25" t="inlineStr">
        <is>
          <t>City hub. Add a Google Business Profile only where an advisor really works from that city.</t>
        </is>
      </c>
      <c r="P171" s="40" t="n"/>
      <c r="Q171" s="38" t="n"/>
      <c r="R171" s="38" t="n"/>
    </row>
    <row r="172" ht="15" customHeight="1" s="22">
      <c r="A172" s="36" t="inlineStr">
        <is>
          <t>insurance advisor surrey</t>
        </is>
      </c>
      <c r="B172" s="36" t="inlineStr">
        <is>
          <t>Multi-line (place hubs)</t>
        </is>
      </c>
      <c r="C172" s="36" t="n"/>
      <c r="D172" s="36" t="inlineStr">
        <is>
          <t>British Columbia</t>
        </is>
      </c>
      <c r="E172" s="36" t="inlineStr">
        <is>
          <t>Surrey</t>
        </is>
      </c>
      <c r="F172" s="37" t="n">
        <v>190</v>
      </c>
      <c r="G172" s="36" t="n">
        <v>30</v>
      </c>
      <c r="H172" s="36" t="inlineStr">
        <is>
          <t>local</t>
        </is>
      </c>
      <c r="I172" s="36" t="inlineStr">
        <is>
          <t>advisors</t>
        </is>
      </c>
      <c r="J172" s="36" t="n">
        <v>2</v>
      </c>
      <c r="K172" s="36" t="inlineStr">
        <is>
          <t>https://instasure.ca/insurance/british-columbia/surrey/</t>
        </is>
      </c>
      <c r="L172" s="36">
        <f>IF(K172="","No","Yes")</f>
        <v/>
      </c>
      <c r="M172" s="39">
        <f>IF(K172="","",IFERROR(IF(ISNUMBER(SEARCH(A172,INDEX(Pages!$J$2:$J$829,MATCH(K172,Pages!$B$2:$B$829,0)))),"Yes","No"),"Page not found"))</f>
        <v/>
      </c>
      <c r="N172" s="25" t="inlineStr">
        <is>
          <t>local brokers, thinkinsure, rates.ca (broker pages)</t>
        </is>
      </c>
      <c r="O172" s="25" t="inlineStr">
        <is>
          <t>City hub. Add a Google Business Profile only where an advisor really works from that city.</t>
        </is>
      </c>
      <c r="P172" s="40" t="n"/>
      <c r="Q172" s="38" t="n"/>
      <c r="R172" s="38" t="n"/>
    </row>
    <row r="173" ht="15" customHeight="1" s="22">
      <c r="A173" s="36" t="inlineStr">
        <is>
          <t>life insurance london ontario</t>
        </is>
      </c>
      <c r="B173" s="36" t="inlineStr">
        <is>
          <t>Life insurance</t>
        </is>
      </c>
      <c r="C173" s="36" t="inlineStr">
        <is>
          <t>Life Insurance</t>
        </is>
      </c>
      <c r="D173" s="36" t="inlineStr">
        <is>
          <t>Ontario</t>
        </is>
      </c>
      <c r="E173" s="36" t="inlineStr">
        <is>
          <t>London</t>
        </is>
      </c>
      <c r="F173" s="37" t="n">
        <v>190</v>
      </c>
      <c r="G173" s="36" t="n">
        <v>43</v>
      </c>
      <c r="H173" s="36" t="inlineStr">
        <is>
          <t>local</t>
        </is>
      </c>
      <c r="I173" s="36" t="inlineStr">
        <is>
          <t>life-local</t>
        </is>
      </c>
      <c r="J173" s="36" t="n">
        <v>1</v>
      </c>
      <c r="K173" s="36" t="inlineStr">
        <is>
          <t>https://instasure.ca/life-insurance/ontario/london/</t>
        </is>
      </c>
      <c r="L173" s="36">
        <f>IF(K173="","No","Yes")</f>
        <v/>
      </c>
      <c r="M173" s="39">
        <f>IF(K173="","",IFERROR(IF(ISNUMBER(SEARCH(A173,INDEX(Pages!$J$2:$J$829,MATCH(K173,Pages!$B$2:$B$829,0)))),"Yes","No"),"Page not found"))</f>
        <v/>
      </c>
      <c r="N173" s="25" t="inlineStr">
        <is>
          <t>(none seen)</t>
        </is>
      </c>
      <c r="O173" s="25" t="n"/>
      <c r="P173" s="40" t="n"/>
      <c r="Q173" s="38" t="n"/>
      <c r="R173" s="38" t="n"/>
    </row>
    <row r="174" ht="15" customHeight="1" s="22">
      <c r="A174" s="36" t="inlineStr">
        <is>
          <t>super visa insurance mississauga</t>
        </is>
      </c>
      <c r="B174" s="36" t="inlineStr">
        <is>
          <t>Super Visa &amp; visitors insurance</t>
        </is>
      </c>
      <c r="C174" s="36" t="inlineStr">
        <is>
          <t>Super Visa Insurance</t>
        </is>
      </c>
      <c r="D174" s="36" t="inlineStr">
        <is>
          <t>Ontario</t>
        </is>
      </c>
      <c r="E174" s="36" t="inlineStr">
        <is>
          <t>Mississauga</t>
        </is>
      </c>
      <c r="F174" s="37" t="n">
        <v>190</v>
      </c>
      <c r="G174" s="36" t="n">
        <v>36</v>
      </c>
      <c r="H174" s="36" t="inlineStr">
        <is>
          <t>local</t>
        </is>
      </c>
      <c r="I174" s="36" t="inlineStr">
        <is>
          <t>travel-visitors</t>
        </is>
      </c>
      <c r="J174" s="36" t="n">
        <v>3</v>
      </c>
      <c r="K174" s="36" t="inlineStr">
        <is>
          <t>https://instasure.ca/super-visa-insurance/ontario/mississauga/</t>
        </is>
      </c>
      <c r="L174" s="36">
        <f>IF(K174="","No","Yes")</f>
        <v/>
      </c>
      <c r="M174" s="39">
        <f>IF(K174="","",IFERROR(IF(ISNUMBER(SEARCH(A174,INDEX(Pages!$J$2:$J$829,MATCH(K174,Pages!$B$2:$B$829,0)))),"Yes","No"),"Page not found"))</f>
        <v/>
      </c>
      <c r="N174" s="25" t="inlineStr">
        <is>
          <t>(none seen)</t>
        </is>
      </c>
      <c r="O174" s="25" t="n"/>
      <c r="P174" s="40" t="n"/>
      <c r="Q174" s="38" t="n"/>
      <c r="R174" s="38" t="n"/>
    </row>
    <row r="175" ht="15" customHeight="1" s="22">
      <c r="A175" s="36" t="inlineStr">
        <is>
          <t>tenant insurance burnaby</t>
        </is>
      </c>
      <c r="B175" s="36" t="inlineStr">
        <is>
          <t>Tenant insurance</t>
        </is>
      </c>
      <c r="C175" s="36" t="inlineStr">
        <is>
          <t>Tenant Insurance</t>
        </is>
      </c>
      <c r="D175" s="36" t="inlineStr">
        <is>
          <t>British Columbia</t>
        </is>
      </c>
      <c r="E175" s="36" t="inlineStr">
        <is>
          <t>Burnaby</t>
        </is>
      </c>
      <c r="F175" s="37" t="n">
        <v>190</v>
      </c>
      <c r="G175" s="36" t="n">
        <v>40</v>
      </c>
      <c r="H175" s="36" t="inlineStr">
        <is>
          <t>local</t>
        </is>
      </c>
      <c r="I175" s="36" t="inlineStr">
        <is>
          <t>property-local</t>
        </is>
      </c>
      <c r="J175" s="36" t="n">
        <v>4</v>
      </c>
      <c r="K175" s="36" t="inlineStr">
        <is>
          <t>https://instasure.ca/tenant-insurance/british-columbia/burnaby/</t>
        </is>
      </c>
      <c r="L175" s="36">
        <f>IF(K175="","No","Yes")</f>
        <v/>
      </c>
      <c r="M175" s="39">
        <f>IF(K175="","",IFERROR(IF(ISNUMBER(SEARCH(A175,INDEX(Pages!$J$2:$J$829,MATCH(K175,Pages!$B$2:$B$829,0)))),"Yes","No"),"Page not found"))</f>
        <v/>
      </c>
      <c r="N175" s="25" t="inlineStr">
        <is>
          <t>(none seen)</t>
        </is>
      </c>
      <c r="O175" s="25" t="n"/>
      <c r="P175" s="40" t="n"/>
      <c r="Q175" s="38" t="n"/>
      <c r="R175" s="38" t="n"/>
    </row>
    <row r="176" ht="15" customHeight="1" s="22">
      <c r="A176" s="36" t="inlineStr">
        <is>
          <t>tenant insurance kitchener</t>
        </is>
      </c>
      <c r="B176" s="36" t="inlineStr">
        <is>
          <t>Tenant insurance</t>
        </is>
      </c>
      <c r="C176" s="36" t="inlineStr">
        <is>
          <t>Tenant Insurance</t>
        </is>
      </c>
      <c r="D176" s="36" t="inlineStr">
        <is>
          <t>Ontario</t>
        </is>
      </c>
      <c r="E176" s="36" t="inlineStr">
        <is>
          <t>Kitchener</t>
        </is>
      </c>
      <c r="F176" s="37" t="n">
        <v>190</v>
      </c>
      <c r="G176" s="36" t="n">
        <v>48</v>
      </c>
      <c r="H176" s="36" t="inlineStr">
        <is>
          <t>local</t>
        </is>
      </c>
      <c r="I176" s="36" t="inlineStr">
        <is>
          <t>property-local</t>
        </is>
      </c>
      <c r="J176" s="36" t="n">
        <v>4</v>
      </c>
      <c r="K176" s="36" t="inlineStr">
        <is>
          <t>https://instasure.ca/tenant-insurance/ontario/kitchener/</t>
        </is>
      </c>
      <c r="L176" s="36">
        <f>IF(K176="","No","Yes")</f>
        <v/>
      </c>
      <c r="M176" s="39">
        <f>IF(K176="","",IFERROR(IF(ISNUMBER(SEARCH(A176,INDEX(Pages!$J$2:$J$829,MATCH(K176,Pages!$B$2:$B$829,0)))),"Yes","No"),"Page not found"))</f>
        <v/>
      </c>
      <c r="N176" s="25" t="inlineStr">
        <is>
          <t>(none seen)</t>
        </is>
      </c>
      <c r="O176" s="25" t="n"/>
      <c r="P176" s="40" t="n"/>
      <c r="Q176" s="38" t="n"/>
      <c r="R176" s="38" t="n"/>
    </row>
    <row r="177" ht="15" customHeight="1" s="22">
      <c r="A177" s="36" t="inlineStr">
        <is>
          <t>home insurance barrie</t>
        </is>
      </c>
      <c r="B177" s="36" t="inlineStr">
        <is>
          <t>Home insurance</t>
        </is>
      </c>
      <c r="C177" s="36" t="inlineStr">
        <is>
          <t>Home Insurance</t>
        </is>
      </c>
      <c r="D177" s="36" t="inlineStr">
        <is>
          <t>Ontario</t>
        </is>
      </c>
      <c r="E177" s="36" t="inlineStr">
        <is>
          <t>Barrie</t>
        </is>
      </c>
      <c r="F177" s="37" t="n">
        <v>180</v>
      </c>
      <c r="G177" s="36" t="n">
        <v>48</v>
      </c>
      <c r="H177" s="36" t="inlineStr">
        <is>
          <t>local</t>
        </is>
      </c>
      <c r="I177" s="36" t="inlineStr">
        <is>
          <t>property-local</t>
        </is>
      </c>
      <c r="J177" s="36" t="n">
        <v>3</v>
      </c>
      <c r="K177" s="36" t="inlineStr">
        <is>
          <t>https://instasure.ca/home-insurance/ontario/barrie/</t>
        </is>
      </c>
      <c r="L177" s="36">
        <f>IF(K177="","No","Yes")</f>
        <v/>
      </c>
      <c r="M177" s="39">
        <f>IF(K177="","",IFERROR(IF(ISNUMBER(SEARCH(A177,INDEX(Pages!$J$2:$J$829,MATCH(K177,Pages!$B$2:$B$829,0)))),"Yes","No"),"Page not found"))</f>
        <v/>
      </c>
      <c r="N177" s="25" t="inlineStr">
        <is>
          <t>(none seen)</t>
        </is>
      </c>
      <c r="O177" s="25" t="n"/>
      <c r="P177" s="40" t="n"/>
      <c r="Q177" s="38" t="n"/>
      <c r="R177" s="38" t="n"/>
    </row>
    <row r="178" ht="15" customHeight="1" s="22">
      <c r="A178" s="36" t="inlineStr">
        <is>
          <t>home insurance coquitlam</t>
        </is>
      </c>
      <c r="B178" s="36" t="inlineStr">
        <is>
          <t>Home insurance</t>
        </is>
      </c>
      <c r="C178" s="36" t="inlineStr">
        <is>
          <t>Home Insurance</t>
        </is>
      </c>
      <c r="D178" s="36" t="inlineStr">
        <is>
          <t>British Columbia</t>
        </is>
      </c>
      <c r="E178" s="36" t="inlineStr">
        <is>
          <t>Coquitlam</t>
        </is>
      </c>
      <c r="F178" s="37" t="n">
        <v>180</v>
      </c>
      <c r="G178" s="36" t="n">
        <v>40</v>
      </c>
      <c r="H178" s="36" t="inlineStr">
        <is>
          <t>local</t>
        </is>
      </c>
      <c r="I178" s="36" t="inlineStr">
        <is>
          <t>property-local</t>
        </is>
      </c>
      <c r="J178" s="36" t="n">
        <v>3</v>
      </c>
      <c r="K178" s="36" t="inlineStr">
        <is>
          <t>https://instasure.ca/home-insurance/british-columbia/coquitlam/</t>
        </is>
      </c>
      <c r="L178" s="36">
        <f>IF(K178="","No","Yes")</f>
        <v/>
      </c>
      <c r="M178" s="39">
        <f>IF(K178="","",IFERROR(IF(ISNUMBER(SEARCH(A178,INDEX(Pages!$J$2:$J$829,MATCH(K178,Pages!$B$2:$B$829,0)))),"Yes","No"),"Page not found"))</f>
        <v/>
      </c>
      <c r="N178" s="25" t="inlineStr">
        <is>
          <t>(none seen)</t>
        </is>
      </c>
      <c r="O178" s="25" t="n"/>
      <c r="P178" s="40" t="n"/>
      <c r="Q178" s="38" t="n"/>
      <c r="R178" s="38" t="n"/>
    </row>
    <row r="179" ht="15" customHeight="1" s="22">
      <c r="A179" s="36" t="inlineStr">
        <is>
          <t>home insurance guelph</t>
        </is>
      </c>
      <c r="B179" s="36" t="inlineStr">
        <is>
          <t>Home insurance</t>
        </is>
      </c>
      <c r="C179" s="36" t="inlineStr">
        <is>
          <t>Home Insurance</t>
        </is>
      </c>
      <c r="D179" s="36" t="inlineStr">
        <is>
          <t>Ontario</t>
        </is>
      </c>
      <c r="E179" s="36" t="inlineStr">
        <is>
          <t>Guelph</t>
        </is>
      </c>
      <c r="F179" s="37" t="n">
        <v>180</v>
      </c>
      <c r="G179" s="36" t="n">
        <v>48</v>
      </c>
      <c r="H179" s="36" t="inlineStr">
        <is>
          <t>local</t>
        </is>
      </c>
      <c r="I179" s="36" t="inlineStr">
        <is>
          <t>property-local</t>
        </is>
      </c>
      <c r="J179" s="36" t="n">
        <v>3</v>
      </c>
      <c r="K179" s="36" t="inlineStr">
        <is>
          <t>https://instasure.ca/home-insurance/ontario/guelph/</t>
        </is>
      </c>
      <c r="L179" s="36">
        <f>IF(K179="","No","Yes")</f>
        <v/>
      </c>
      <c r="M179" s="39">
        <f>IF(K179="","",IFERROR(IF(ISNUMBER(SEARCH(A179,INDEX(Pages!$J$2:$J$829,MATCH(K179,Pages!$B$2:$B$829,0)))),"Yes","No"),"Page not found"))</f>
        <v/>
      </c>
      <c r="N179" s="25" t="inlineStr">
        <is>
          <t>(none seen)</t>
        </is>
      </c>
      <c r="O179" s="25" t="n"/>
      <c r="P179" s="40" t="n"/>
      <c r="Q179" s="38" t="n"/>
      <c r="R179" s="38" t="n"/>
    </row>
    <row r="180" ht="15" customHeight="1" s="22">
      <c r="A180" s="36" t="inlineStr">
        <is>
          <t>home insurance kelowna</t>
        </is>
      </c>
      <c r="B180" s="36" t="inlineStr">
        <is>
          <t>Home insurance</t>
        </is>
      </c>
      <c r="C180" s="36" t="inlineStr">
        <is>
          <t>Home Insurance</t>
        </is>
      </c>
      <c r="D180" s="36" t="inlineStr">
        <is>
          <t>British Columbia</t>
        </is>
      </c>
      <c r="E180" s="36" t="inlineStr">
        <is>
          <t>Kelowna</t>
        </is>
      </c>
      <c r="F180" s="37" t="n">
        <v>180</v>
      </c>
      <c r="G180" s="36" t="n">
        <v>48</v>
      </c>
      <c r="H180" s="36" t="inlineStr">
        <is>
          <t>local</t>
        </is>
      </c>
      <c r="I180" s="36" t="inlineStr">
        <is>
          <t>property-local</t>
        </is>
      </c>
      <c r="J180" s="36" t="n">
        <v>3</v>
      </c>
      <c r="K180" s="36" t="inlineStr">
        <is>
          <t>https://instasure.ca/home-insurance/british-columbia/kelowna/</t>
        </is>
      </c>
      <c r="L180" s="36">
        <f>IF(K180="","No","Yes")</f>
        <v/>
      </c>
      <c r="M180" s="39">
        <f>IF(K180="","",IFERROR(IF(ISNUMBER(SEARCH(A180,INDEX(Pages!$J$2:$J$829,MATCH(K180,Pages!$B$2:$B$829,0)))),"Yes","No"),"Page not found"))</f>
        <v/>
      </c>
      <c r="N180" s="25" t="inlineStr">
        <is>
          <t>(none seen)</t>
        </is>
      </c>
      <c r="O180" s="25" t="n"/>
      <c r="P180" s="40" t="n"/>
      <c r="Q180" s="38" t="n"/>
      <c r="R180" s="38" t="n"/>
    </row>
    <row r="181" ht="23.85" customHeight="1" s="22">
      <c r="A181" s="36" t="inlineStr">
        <is>
          <t>life insurance montreal</t>
        </is>
      </c>
      <c r="B181" s="36" t="inlineStr">
        <is>
          <t>Life insurance</t>
        </is>
      </c>
      <c r="C181" s="36" t="inlineStr">
        <is>
          <t>Life Insurance</t>
        </is>
      </c>
      <c r="D181" s="36" t="inlineStr">
        <is>
          <t>Quebec</t>
        </is>
      </c>
      <c r="E181" s="36" t="inlineStr">
        <is>
          <t>Montreal</t>
        </is>
      </c>
      <c r="F181" s="37" t="n">
        <v>180</v>
      </c>
      <c r="G181" s="36" t="n">
        <v>39</v>
      </c>
      <c r="H181" s="36" t="inlineStr">
        <is>
          <t>local</t>
        </is>
      </c>
      <c r="I181" s="36" t="inlineStr">
        <is>
          <t>life-local</t>
        </is>
      </c>
      <c r="J181" s="36" t="n">
        <v>3</v>
      </c>
      <c r="K181" s="36" t="inlineStr">
        <is>
          <t>https://instasure.ca/life-insurance/quebec/montreal/</t>
        </is>
      </c>
      <c r="L181" s="36">
        <f>IF(K181="","No","Yes")</f>
        <v/>
      </c>
      <c r="M181" s="39">
        <f>IF(K181="","",IFERROR(IF(ISNUMBER(SEARCH(A181,INDEX(Pages!$J$2:$J$829,MATCH(K181,Pages!$B$2:$B$829,0)))),"Yes","No"),"Page not found"))</f>
        <v/>
      </c>
      <c r="N181" s="25" t="inlineStr">
        <is>
          <t>ratehub (thin)</t>
        </is>
      </c>
      <c r="O181" s="25" t="inlineStr">
        <is>
          <t>Quebec waitlist until AMF registration. Competitor city pages here are thin or carry stale dates (October 2026 review): freshness opening.</t>
        </is>
      </c>
      <c r="P181" s="40" t="n"/>
      <c r="Q181" s="38" t="n"/>
      <c r="R181" s="38" t="n"/>
    </row>
    <row r="182" ht="15" customHeight="1" s="22">
      <c r="A182" s="36" t="inlineStr">
        <is>
          <t>super visa insurance edmonton</t>
        </is>
      </c>
      <c r="B182" s="36" t="inlineStr">
        <is>
          <t>Super Visa &amp; visitors insurance</t>
        </is>
      </c>
      <c r="C182" s="36" t="inlineStr">
        <is>
          <t>Super Visa Insurance</t>
        </is>
      </c>
      <c r="D182" s="36" t="inlineStr">
        <is>
          <t>Alberta</t>
        </is>
      </c>
      <c r="E182" s="36" t="inlineStr">
        <is>
          <t>Edmonton</t>
        </is>
      </c>
      <c r="F182" s="37" t="n">
        <v>180</v>
      </c>
      <c r="G182" s="36" t="n">
        <v>36</v>
      </c>
      <c r="H182" s="36" t="inlineStr">
        <is>
          <t>local</t>
        </is>
      </c>
      <c r="I182" s="36" t="inlineStr">
        <is>
          <t>travel-visitors</t>
        </is>
      </c>
      <c r="J182" s="36" t="n">
        <v>3</v>
      </c>
      <c r="K182" s="36" t="inlineStr">
        <is>
          <t>https://instasure.ca/super-visa-insurance/alberta/edmonton/</t>
        </is>
      </c>
      <c r="L182" s="36">
        <f>IF(K182="","No","Yes")</f>
        <v/>
      </c>
      <c r="M182" s="39">
        <f>IF(K182="","",IFERROR(IF(ISNUMBER(SEARCH(A182,INDEX(Pages!$J$2:$J$829,MATCH(K182,Pages!$B$2:$B$829,0)))),"Yes","No"),"Page not found"))</f>
        <v/>
      </c>
      <c r="N182" s="25" t="inlineStr">
        <is>
          <t>(none seen)</t>
        </is>
      </c>
      <c r="O182" s="25" t="n"/>
      <c r="P182" s="40" t="n"/>
      <c r="Q182" s="38" t="n"/>
      <c r="R182" s="38" t="n"/>
    </row>
    <row r="183" ht="15" customHeight="1" s="22">
      <c r="A183" s="36" t="inlineStr">
        <is>
          <t>tenant insurance windsor</t>
        </is>
      </c>
      <c r="B183" s="36" t="inlineStr">
        <is>
          <t>Tenant insurance</t>
        </is>
      </c>
      <c r="C183" s="36" t="inlineStr">
        <is>
          <t>Tenant Insurance</t>
        </is>
      </c>
      <c r="D183" s="36" t="inlineStr">
        <is>
          <t>Ontario</t>
        </is>
      </c>
      <c r="E183" s="36" t="inlineStr">
        <is>
          <t>Windsor</t>
        </is>
      </c>
      <c r="F183" s="37" t="n">
        <v>180</v>
      </c>
      <c r="G183" s="36" t="n">
        <v>48</v>
      </c>
      <c r="H183" s="36" t="inlineStr">
        <is>
          <t>local</t>
        </is>
      </c>
      <c r="I183" s="36" t="inlineStr">
        <is>
          <t>property-local</t>
        </is>
      </c>
      <c r="J183" s="36" t="n">
        <v>4</v>
      </c>
      <c r="K183" s="36" t="inlineStr">
        <is>
          <t>https://instasure.ca/tenant-insurance/ontario/windsor/</t>
        </is>
      </c>
      <c r="L183" s="36">
        <f>IF(K183="","No","Yes")</f>
        <v/>
      </c>
      <c r="M183" s="39">
        <f>IF(K183="","",IFERROR(IF(ISNUMBER(SEARCH(A183,INDEX(Pages!$J$2:$J$829,MATCH(K183,Pages!$B$2:$B$829,0)))),"Yes","No"),"Page not found"))</f>
        <v/>
      </c>
      <c r="N183" s="25" t="inlineStr">
        <is>
          <t>(none seen)</t>
        </is>
      </c>
      <c r="O183" s="25" t="n"/>
      <c r="P183" s="40" t="n"/>
      <c r="Q183" s="38" t="n"/>
      <c r="R183" s="38" t="n"/>
    </row>
    <row r="184" ht="15" customHeight="1" s="22">
      <c r="A184" s="36" t="inlineStr">
        <is>
          <t>business insurance hamilton</t>
        </is>
      </c>
      <c r="B184" s="36" t="inlineStr">
        <is>
          <t>Business insurance</t>
        </is>
      </c>
      <c r="C184" s="36" t="inlineStr">
        <is>
          <t>Business Insurance</t>
        </is>
      </c>
      <c r="D184" s="36" t="inlineStr">
        <is>
          <t>Ontario</t>
        </is>
      </c>
      <c r="E184" s="36" t="inlineStr">
        <is>
          <t>Hamilton</t>
        </is>
      </c>
      <c r="F184" s="37" t="n">
        <v>170</v>
      </c>
      <c r="G184" s="36" t="n">
        <v>41</v>
      </c>
      <c r="H184" s="36" t="inlineStr">
        <is>
          <t>local</t>
        </is>
      </c>
      <c r="I184" s="36" t="inlineStr">
        <is>
          <t>business-local</t>
        </is>
      </c>
      <c r="J184" s="36" t="n">
        <v>2</v>
      </c>
      <c r="K184" s="36" t="inlineStr">
        <is>
          <t>https://instasure.ca/business-insurance/ontario/hamilton/</t>
        </is>
      </c>
      <c r="L184" s="36">
        <f>IF(K184="","No","Yes")</f>
        <v/>
      </c>
      <c r="M184" s="39">
        <f>IF(K184="","",IFERROR(IF(ISNUMBER(SEARCH(A184,INDEX(Pages!$J$2:$J$829,MATCH(K184,Pages!$B$2:$B$829,0)))),"Yes","No"),"Page not found"))</f>
        <v/>
      </c>
      <c r="N184" s="25" t="inlineStr">
        <is>
          <t>(none seen)</t>
        </is>
      </c>
      <c r="O184" s="25" t="n"/>
      <c r="P184" s="40" t="n"/>
      <c r="Q184" s="38" t="n"/>
      <c r="R184" s="38" t="n"/>
    </row>
    <row r="185" ht="15" customHeight="1" s="22">
      <c r="A185" s="36" t="inlineStr">
        <is>
          <t>business insurance surrey</t>
        </is>
      </c>
      <c r="B185" s="36" t="inlineStr">
        <is>
          <t>Business insurance</t>
        </is>
      </c>
      <c r="C185" s="36" t="inlineStr">
        <is>
          <t>Business Insurance</t>
        </is>
      </c>
      <c r="D185" s="36" t="inlineStr">
        <is>
          <t>British Columbia</t>
        </is>
      </c>
      <c r="E185" s="36" t="inlineStr">
        <is>
          <t>Surrey</t>
        </is>
      </c>
      <c r="F185" s="37" t="n">
        <v>170</v>
      </c>
      <c r="G185" s="36" t="n">
        <v>33</v>
      </c>
      <c r="H185" s="36" t="inlineStr">
        <is>
          <t>local</t>
        </is>
      </c>
      <c r="I185" s="36" t="inlineStr">
        <is>
          <t>business-local</t>
        </is>
      </c>
      <c r="J185" s="36" t="n">
        <v>2</v>
      </c>
      <c r="K185" s="36" t="inlineStr">
        <is>
          <t>https://instasure.ca/business-insurance/british-columbia/surrey/</t>
        </is>
      </c>
      <c r="L185" s="36">
        <f>IF(K185="","No","Yes")</f>
        <v/>
      </c>
      <c r="M185" s="39">
        <f>IF(K185="","",IFERROR(IF(ISNUMBER(SEARCH(A185,INDEX(Pages!$J$2:$J$829,MATCH(K185,Pages!$B$2:$B$829,0)))),"Yes","No"),"Page not found"))</f>
        <v/>
      </c>
      <c r="N185" s="25" t="inlineStr">
        <is>
          <t>(none seen)</t>
        </is>
      </c>
      <c r="O185" s="25" t="n"/>
      <c r="P185" s="40" t="n"/>
      <c r="Q185" s="38" t="n"/>
      <c r="R185" s="38" t="n"/>
    </row>
    <row r="186" ht="15" customHeight="1" s="22">
      <c r="A186" s="36" t="inlineStr">
        <is>
          <t>condo insurance hamilton</t>
        </is>
      </c>
      <c r="B186" s="36" t="inlineStr">
        <is>
          <t>Condo insurance</t>
        </is>
      </c>
      <c r="C186" s="36" t="inlineStr">
        <is>
          <t>Condo Insurance</t>
        </is>
      </c>
      <c r="D186" s="36" t="inlineStr">
        <is>
          <t>Ontario</t>
        </is>
      </c>
      <c r="E186" s="36" t="inlineStr">
        <is>
          <t>Hamilton</t>
        </is>
      </c>
      <c r="F186" s="37" t="n">
        <v>170</v>
      </c>
      <c r="G186" s="36" t="n">
        <v>48</v>
      </c>
      <c r="H186" s="36" t="inlineStr">
        <is>
          <t>local</t>
        </is>
      </c>
      <c r="I186" s="36" t="inlineStr">
        <is>
          <t>property-local</t>
        </is>
      </c>
      <c r="J186" s="36" t="n">
        <v>3</v>
      </c>
      <c r="K186" s="36" t="inlineStr">
        <is>
          <t>https://instasure.ca/condo-insurance/ontario/hamilton/</t>
        </is>
      </c>
      <c r="L186" s="36">
        <f>IF(K186="","No","Yes")</f>
        <v/>
      </c>
      <c r="M186" s="39">
        <f>IF(K186="","",IFERROR(IF(ISNUMBER(SEARCH(A186,INDEX(Pages!$J$2:$J$829,MATCH(K186,Pages!$B$2:$B$829,0)))),"Yes","No"),"Page not found"))</f>
        <v/>
      </c>
      <c r="N186" s="25" t="inlineStr">
        <is>
          <t>(none seen)</t>
        </is>
      </c>
      <c r="O186" s="25" t="n"/>
      <c r="P186" s="40" t="n"/>
      <c r="Q186" s="38" t="n"/>
      <c r="R186" s="38" t="n"/>
    </row>
    <row r="187" ht="15" customHeight="1" s="22">
      <c r="A187" s="36" t="inlineStr">
        <is>
          <t>condo insurance surrey</t>
        </is>
      </c>
      <c r="B187" s="36" t="inlineStr">
        <is>
          <t>Condo insurance</t>
        </is>
      </c>
      <c r="C187" s="36" t="inlineStr">
        <is>
          <t>Condo Insurance</t>
        </is>
      </c>
      <c r="D187" s="36" t="inlineStr">
        <is>
          <t>British Columbia</t>
        </is>
      </c>
      <c r="E187" s="36" t="inlineStr">
        <is>
          <t>Surrey</t>
        </is>
      </c>
      <c r="F187" s="37" t="n">
        <v>170</v>
      </c>
      <c r="G187" s="36" t="n">
        <v>40</v>
      </c>
      <c r="H187" s="36" t="inlineStr">
        <is>
          <t>local</t>
        </is>
      </c>
      <c r="I187" s="36" t="inlineStr">
        <is>
          <t>property-local</t>
        </is>
      </c>
      <c r="J187" s="36" t="n">
        <v>3</v>
      </c>
      <c r="K187" s="36" t="inlineStr">
        <is>
          <t>https://instasure.ca/condo-insurance/british-columbia/surrey/</t>
        </is>
      </c>
      <c r="L187" s="36">
        <f>IF(K187="","No","Yes")</f>
        <v/>
      </c>
      <c r="M187" s="39">
        <f>IF(K187="","",IFERROR(IF(ISNUMBER(SEARCH(A187,INDEX(Pages!$J$2:$J$829,MATCH(K187,Pages!$B$2:$B$829,0)))),"Yes","No"),"Page not found"))</f>
        <v/>
      </c>
      <c r="N187" s="25" t="inlineStr">
        <is>
          <t>(none seen)</t>
        </is>
      </c>
      <c r="O187" s="25" t="n"/>
      <c r="P187" s="40" t="n"/>
      <c r="Q187" s="38" t="n"/>
      <c r="R187" s="38" t="n"/>
    </row>
    <row r="188" ht="23.85" customHeight="1" s="22">
      <c r="A188" s="36" t="inlineStr">
        <is>
          <t>home insurance cambridge</t>
        </is>
      </c>
      <c r="B188" s="36" t="inlineStr">
        <is>
          <t>Home insurance</t>
        </is>
      </c>
      <c r="C188" s="36" t="inlineStr">
        <is>
          <t>Home Insurance</t>
        </is>
      </c>
      <c r="D188" s="36" t="inlineStr">
        <is>
          <t>Ontario</t>
        </is>
      </c>
      <c r="E188" s="36" t="inlineStr">
        <is>
          <t>Cambridge</t>
        </is>
      </c>
      <c r="F188" s="37" t="n">
        <v>170</v>
      </c>
      <c r="G188" s="36" t="n">
        <v>44</v>
      </c>
      <c r="H188" s="36" t="inlineStr">
        <is>
          <t>local</t>
        </is>
      </c>
      <c r="I188" s="36" t="inlineStr">
        <is>
          <t>property-local</t>
        </is>
      </c>
      <c r="J188" s="36" t="n">
        <v>4</v>
      </c>
      <c r="K188" s="36" t="inlineStr">
        <is>
          <t>https://instasure.ca/home-insurance/ontario/cambridge/</t>
        </is>
      </c>
      <c r="L188" s="36">
        <f>IF(K188="","No","Yes")</f>
        <v/>
      </c>
      <c r="M188" s="39">
        <f>IF(K188="","",IFERROR(IF(ISNUMBER(SEARCH(A188,INDEX(Pages!$J$2:$J$829,MATCH(K188,Pages!$B$2:$B$829,0)))),"Yes","No"),"Page not found"))</f>
        <v/>
      </c>
      <c r="N188" s="25" t="inlineStr">
        <is>
          <t>rates.ca</t>
        </is>
      </c>
      <c r="O188" s="25" t="inlineStr">
        <is>
          <t>Page exists but is noindex until an editor adds a 300+ character local intro (Admin → SEO → Page overrides).</t>
        </is>
      </c>
      <c r="P188" s="40" t="n"/>
      <c r="Q188" s="38" t="n"/>
      <c r="R188" s="38" t="n"/>
    </row>
    <row r="189" ht="15" customHeight="1" s="22">
      <c r="A189" s="36" t="inlineStr">
        <is>
          <t>home insurance kingston</t>
        </is>
      </c>
      <c r="B189" s="36" t="inlineStr">
        <is>
          <t>Home insurance</t>
        </is>
      </c>
      <c r="C189" s="36" t="inlineStr">
        <is>
          <t>Home Insurance</t>
        </is>
      </c>
      <c r="D189" s="36" t="inlineStr">
        <is>
          <t>Ontario</t>
        </is>
      </c>
      <c r="E189" s="36" t="inlineStr">
        <is>
          <t>Kingston</t>
        </is>
      </c>
      <c r="F189" s="37" t="n">
        <v>170</v>
      </c>
      <c r="G189" s="36" t="n">
        <v>48</v>
      </c>
      <c r="H189" s="36" t="inlineStr">
        <is>
          <t>local</t>
        </is>
      </c>
      <c r="I189" s="36" t="inlineStr">
        <is>
          <t>property-local</t>
        </is>
      </c>
      <c r="J189" s="36" t="n">
        <v>3</v>
      </c>
      <c r="K189" s="36" t="inlineStr">
        <is>
          <t>https://instasure.ca/home-insurance/ontario/kingston/</t>
        </is>
      </c>
      <c r="L189" s="36">
        <f>IF(K189="","No","Yes")</f>
        <v/>
      </c>
      <c r="M189" s="39">
        <f>IF(K189="","",IFERROR(IF(ISNUMBER(SEARCH(A189,INDEX(Pages!$J$2:$J$829,MATCH(K189,Pages!$B$2:$B$829,0)))),"Yes","No"),"Page not found"))</f>
        <v/>
      </c>
      <c r="N189" s="25" t="inlineStr">
        <is>
          <t>(none seen)</t>
        </is>
      </c>
      <c r="O189" s="25" t="n"/>
      <c r="P189" s="40" t="n"/>
      <c r="Q189" s="38" t="n"/>
      <c r="R189" s="38" t="n"/>
    </row>
    <row r="190" ht="23.85" customHeight="1" s="22">
      <c r="A190" s="36" t="inlineStr">
        <is>
          <t>home insurance langley</t>
        </is>
      </c>
      <c r="B190" s="36" t="inlineStr">
        <is>
          <t>Home insurance</t>
        </is>
      </c>
      <c r="C190" s="36" t="inlineStr">
        <is>
          <t>Home Insurance</t>
        </is>
      </c>
      <c r="D190" s="36" t="inlineStr">
        <is>
          <t>British Columbia</t>
        </is>
      </c>
      <c r="E190" s="36" t="inlineStr">
        <is>
          <t>Langley</t>
        </is>
      </c>
      <c r="F190" s="37" t="n">
        <v>170</v>
      </c>
      <c r="G190" s="36" t="n">
        <v>32</v>
      </c>
      <c r="H190" s="36" t="inlineStr">
        <is>
          <t>local</t>
        </is>
      </c>
      <c r="I190" s="36" t="inlineStr">
        <is>
          <t>property-local</t>
        </is>
      </c>
      <c r="J190" s="36" t="n">
        <v>3</v>
      </c>
      <c r="K190" s="36" t="inlineStr">
        <is>
          <t>https://instasure.ca/home-insurance/british-columbia/langley/</t>
        </is>
      </c>
      <c r="L190" s="36">
        <f>IF(K190="","No","Yes")</f>
        <v/>
      </c>
      <c r="M190" s="39">
        <f>IF(K190="","",IFERROR(IF(ISNUMBER(SEARCH(A190,INDEX(Pages!$J$2:$J$829,MATCH(K190,Pages!$B$2:$B$829,0)))),"Yes","No"),"Page not found"))</f>
        <v/>
      </c>
      <c r="N190" s="25" t="inlineStr">
        <is>
          <t>(none seen)</t>
        </is>
      </c>
      <c r="O190" s="25" t="inlineStr">
        <is>
          <t>Page exists but is noindex until an editor adds a 300+ character local intro (Admin → SEO → Page overrides).</t>
        </is>
      </c>
      <c r="P190" s="40" t="n"/>
      <c r="Q190" s="38" t="n"/>
      <c r="R190" s="38" t="n"/>
    </row>
    <row r="191" ht="23.85" customHeight="1" s="22">
      <c r="A191" s="36" t="inlineStr">
        <is>
          <t>home insurance milton</t>
        </is>
      </c>
      <c r="B191" s="36" t="inlineStr">
        <is>
          <t>Home insurance</t>
        </is>
      </c>
      <c r="C191" s="36" t="inlineStr">
        <is>
          <t>Home Insurance</t>
        </is>
      </c>
      <c r="D191" s="36" t="inlineStr">
        <is>
          <t>Ontario</t>
        </is>
      </c>
      <c r="E191" s="36" t="inlineStr">
        <is>
          <t>Milton</t>
        </is>
      </c>
      <c r="F191" s="37" t="n">
        <v>170</v>
      </c>
      <c r="G191" s="36" t="n">
        <v>40</v>
      </c>
      <c r="H191" s="36" t="inlineStr">
        <is>
          <t>local</t>
        </is>
      </c>
      <c r="I191" s="36" t="inlineStr">
        <is>
          <t>property-local</t>
        </is>
      </c>
      <c r="J191" s="36" t="n">
        <v>4</v>
      </c>
      <c r="K191" s="36" t="inlineStr">
        <is>
          <t>https://instasure.ca/home-insurance/ontario/milton/</t>
        </is>
      </c>
      <c r="L191" s="36">
        <f>IF(K191="","No","Yes")</f>
        <v/>
      </c>
      <c r="M191" s="39">
        <f>IF(K191="","",IFERROR(IF(ISNUMBER(SEARCH(A191,INDEX(Pages!$J$2:$J$829,MATCH(K191,Pages!$B$2:$B$829,0)))),"Yes","No"),"Page not found"))</f>
        <v/>
      </c>
      <c r="N191" s="25" t="inlineStr">
        <is>
          <t>(none seen)</t>
        </is>
      </c>
      <c r="O191" s="25" t="inlineStr">
        <is>
          <t>Page exists but is noindex until an editor adds a 300+ character local intro (Admin → SEO → Page overrides).</t>
        </is>
      </c>
      <c r="P191" s="40" t="n"/>
      <c r="Q191" s="38" t="n"/>
      <c r="R191" s="38" t="n"/>
    </row>
    <row r="192" ht="15" customHeight="1" s="22">
      <c r="A192" s="36" t="inlineStr">
        <is>
          <t>home insurance st catharines</t>
        </is>
      </c>
      <c r="B192" s="36" t="inlineStr">
        <is>
          <t>Home insurance</t>
        </is>
      </c>
      <c r="C192" s="36" t="inlineStr">
        <is>
          <t>Home Insurance</t>
        </is>
      </c>
      <c r="D192" s="36" t="inlineStr">
        <is>
          <t>Ontario</t>
        </is>
      </c>
      <c r="E192" s="36" t="inlineStr">
        <is>
          <t>St. Catharines</t>
        </is>
      </c>
      <c r="F192" s="37" t="n">
        <v>170</v>
      </c>
      <c r="G192" s="36" t="n">
        <v>52</v>
      </c>
      <c r="H192" s="36" t="inlineStr">
        <is>
          <t>local</t>
        </is>
      </c>
      <c r="I192" s="36" t="inlineStr">
        <is>
          <t>property-local</t>
        </is>
      </c>
      <c r="J192" s="36" t="n">
        <v>3</v>
      </c>
      <c r="K192" s="36" t="inlineStr">
        <is>
          <t>https://instasure.ca/home-insurance/ontario/st-catharines/</t>
        </is>
      </c>
      <c r="L192" s="36">
        <f>IF(K192="","No","Yes")</f>
        <v/>
      </c>
      <c r="M192" s="39">
        <f>IF(K192="","",IFERROR(IF(ISNUMBER(SEARCH(A192,INDEX(Pages!$J$2:$J$829,MATCH(K192,Pages!$B$2:$B$829,0)))),"Yes","No"),"Page not found"))</f>
        <v/>
      </c>
      <c r="N192" s="25" t="inlineStr">
        <is>
          <t>rates.ca</t>
        </is>
      </c>
      <c r="O192" s="25" t="n"/>
      <c r="P192" s="40" t="n"/>
      <c r="Q192" s="38" t="n"/>
      <c r="R192" s="38" t="n"/>
    </row>
    <row r="193" ht="23.85" customHeight="1" s="22">
      <c r="A193" s="36" t="inlineStr">
        <is>
          <t>home insurance whitby</t>
        </is>
      </c>
      <c r="B193" s="36" t="inlineStr">
        <is>
          <t>Home insurance</t>
        </is>
      </c>
      <c r="C193" s="36" t="inlineStr">
        <is>
          <t>Home Insurance</t>
        </is>
      </c>
      <c r="D193" s="36" t="inlineStr">
        <is>
          <t>Ontario</t>
        </is>
      </c>
      <c r="E193" s="36" t="inlineStr">
        <is>
          <t>Whitby</t>
        </is>
      </c>
      <c r="F193" s="37" t="n">
        <v>170</v>
      </c>
      <c r="G193" s="36" t="n">
        <v>40</v>
      </c>
      <c r="H193" s="36" t="inlineStr">
        <is>
          <t>local</t>
        </is>
      </c>
      <c r="I193" s="36" t="inlineStr">
        <is>
          <t>property-local</t>
        </is>
      </c>
      <c r="J193" s="36" t="n">
        <v>4</v>
      </c>
      <c r="K193" s="36" t="inlineStr">
        <is>
          <t>https://instasure.ca/home-insurance/ontario/whitby/</t>
        </is>
      </c>
      <c r="L193" s="36">
        <f>IF(K193="","No","Yes")</f>
        <v/>
      </c>
      <c r="M193" s="39">
        <f>IF(K193="","",IFERROR(IF(ISNUMBER(SEARCH(A193,INDEX(Pages!$J$2:$J$829,MATCH(K193,Pages!$B$2:$B$829,0)))),"Yes","No"),"Page not found"))</f>
        <v/>
      </c>
      <c r="N193" s="25" t="inlineStr">
        <is>
          <t>(none seen)</t>
        </is>
      </c>
      <c r="O193" s="25" t="inlineStr">
        <is>
          <t>Page exists but is noindex until an editor adds a 300+ character local intro (Admin → SEO → Page overrides).</t>
        </is>
      </c>
      <c r="P193" s="40" t="n"/>
      <c r="Q193" s="38" t="n"/>
      <c r="R193" s="38" t="n"/>
    </row>
    <row r="194" ht="23.85" customHeight="1" s="22">
      <c r="A194" s="36" t="inlineStr">
        <is>
          <t>how much is car insurance in london ontario</t>
        </is>
      </c>
      <c r="B194" s="36" t="inlineStr">
        <is>
          <t>Car insurance</t>
        </is>
      </c>
      <c r="C194" s="36" t="inlineStr">
        <is>
          <t>Car Insurance</t>
        </is>
      </c>
      <c r="D194" s="36" t="inlineStr">
        <is>
          <t>Ontario</t>
        </is>
      </c>
      <c r="E194" s="36" t="inlineStr">
        <is>
          <t>London</t>
        </is>
      </c>
      <c r="F194" s="37" t="n">
        <v>170</v>
      </c>
      <c r="G194" s="36" t="n">
        <v>71</v>
      </c>
      <c r="H194" s="36" t="inlineStr">
        <is>
          <t>informational</t>
        </is>
      </c>
      <c r="I194" s="36" t="inlineStr">
        <is>
          <t>auto-local</t>
        </is>
      </c>
      <c r="J194" s="36" t="n">
        <v>4</v>
      </c>
      <c r="K194" s="36" t="inlineStr">
        <is>
          <t>https://instasure.ca/car-insurance/ontario/london/</t>
        </is>
      </c>
      <c r="L194" s="36">
        <f>IF(K194="","No","Yes")</f>
        <v/>
      </c>
      <c r="M194" s="39">
        <f>IF(K194="","",IFERROR(IF(ISNUMBER(SEARCH(A194,INDEX(Pages!$J$2:$J$829,MATCH(K194,Pages!$B$2:$B$829,0)))),"Yes","No"),"Page not found"))</f>
        <v/>
      </c>
      <c r="N194" s="25" t="inlineStr">
        <is>
          <t>ratehub, rates.ca</t>
        </is>
      </c>
      <c r="O194" s="25" t="inlineStr">
        <is>
          <t>Ratehub ranks a blog post for this. The city page answers it in the first two sentences with a dated average.</t>
        </is>
      </c>
      <c r="P194" s="40" t="n"/>
      <c r="Q194" s="38" t="n"/>
      <c r="R194" s="38" t="n"/>
    </row>
    <row r="195" ht="15" customHeight="1" s="22">
      <c r="A195" s="36" t="inlineStr">
        <is>
          <t>super visa insurance winnipeg</t>
        </is>
      </c>
      <c r="B195" s="36" t="inlineStr">
        <is>
          <t>Super Visa &amp; visitors insurance</t>
        </is>
      </c>
      <c r="C195" s="36" t="inlineStr">
        <is>
          <t>Super Visa Insurance</t>
        </is>
      </c>
      <c r="D195" s="36" t="inlineStr">
        <is>
          <t>Manitoba</t>
        </is>
      </c>
      <c r="E195" s="36" t="inlineStr">
        <is>
          <t>Winnipeg</t>
        </is>
      </c>
      <c r="F195" s="37" t="n">
        <v>170</v>
      </c>
      <c r="G195" s="36" t="n">
        <v>28</v>
      </c>
      <c r="H195" s="36" t="inlineStr">
        <is>
          <t>local</t>
        </is>
      </c>
      <c r="I195" s="36" t="inlineStr">
        <is>
          <t>travel-visitors</t>
        </is>
      </c>
      <c r="J195" s="36" t="n">
        <v>3</v>
      </c>
      <c r="K195" s="36" t="inlineStr">
        <is>
          <t>https://instasure.ca/super-visa-insurance/manitoba/winnipeg/</t>
        </is>
      </c>
      <c r="L195" s="36">
        <f>IF(K195="","No","Yes")</f>
        <v/>
      </c>
      <c r="M195" s="39">
        <f>IF(K195="","",IFERROR(IF(ISNUMBER(SEARCH(A195,INDEX(Pages!$J$2:$J$829,MATCH(K195,Pages!$B$2:$B$829,0)))),"Yes","No"),"Page not found"))</f>
        <v/>
      </c>
      <c r="N195" s="25" t="inlineStr">
        <is>
          <t>(none seen)</t>
        </is>
      </c>
      <c r="O195" s="25" t="n"/>
      <c r="P195" s="40" t="n"/>
      <c r="Q195" s="38" t="n"/>
      <c r="R195" s="38" t="n"/>
    </row>
    <row r="196" ht="15" customHeight="1" s="22">
      <c r="A196" s="36" t="inlineStr">
        <is>
          <t>tenant insurance oakville</t>
        </is>
      </c>
      <c r="B196" s="36" t="inlineStr">
        <is>
          <t>Tenant insurance</t>
        </is>
      </c>
      <c r="C196" s="36" t="inlineStr">
        <is>
          <t>Tenant Insurance</t>
        </is>
      </c>
      <c r="D196" s="36" t="inlineStr">
        <is>
          <t>Ontario</t>
        </is>
      </c>
      <c r="E196" s="36" t="inlineStr">
        <is>
          <t>Oakville</t>
        </is>
      </c>
      <c r="F196" s="37" t="n">
        <v>170</v>
      </c>
      <c r="G196" s="36" t="n">
        <v>40</v>
      </c>
      <c r="H196" s="36" t="inlineStr">
        <is>
          <t>local</t>
        </is>
      </c>
      <c r="I196" s="36" t="inlineStr">
        <is>
          <t>property-local</t>
        </is>
      </c>
      <c r="J196" s="36" t="n">
        <v>4</v>
      </c>
      <c r="K196" s="36" t="inlineStr">
        <is>
          <t>https://instasure.ca/tenant-insurance/ontario/oakville/</t>
        </is>
      </c>
      <c r="L196" s="36">
        <f>IF(K196="","No","Yes")</f>
        <v/>
      </c>
      <c r="M196" s="39">
        <f>IF(K196="","",IFERROR(IF(ISNUMBER(SEARCH(A196,INDEX(Pages!$J$2:$J$829,MATCH(K196,Pages!$B$2:$B$829,0)))),"Yes","No"),"Page not found"))</f>
        <v/>
      </c>
      <c r="N196" s="25" t="inlineStr">
        <is>
          <t>(none seen)</t>
        </is>
      </c>
      <c r="O196" s="25" t="n"/>
      <c r="P196" s="40" t="n"/>
      <c r="Q196" s="38" t="n"/>
      <c r="R196" s="38" t="n"/>
    </row>
    <row r="197" ht="15" customHeight="1" s="22">
      <c r="A197" s="36" t="inlineStr">
        <is>
          <t>tenant insurance regina</t>
        </is>
      </c>
      <c r="B197" s="36" t="inlineStr">
        <is>
          <t>Tenant insurance</t>
        </is>
      </c>
      <c r="C197" s="36" t="inlineStr">
        <is>
          <t>Tenant Insurance</t>
        </is>
      </c>
      <c r="D197" s="36" t="inlineStr">
        <is>
          <t>Saskatchewan</t>
        </is>
      </c>
      <c r="E197" s="36" t="inlineStr">
        <is>
          <t>Regina</t>
        </is>
      </c>
      <c r="F197" s="37" t="n">
        <v>170</v>
      </c>
      <c r="G197" s="36" t="n">
        <v>40</v>
      </c>
      <c r="H197" s="36" t="inlineStr">
        <is>
          <t>local</t>
        </is>
      </c>
      <c r="I197" s="36" t="inlineStr">
        <is>
          <t>property-local</t>
        </is>
      </c>
      <c r="J197" s="36" t="n">
        <v>4</v>
      </c>
      <c r="K197" s="36" t="inlineStr">
        <is>
          <t>https://instasure.ca/tenant-insurance/saskatchewan/regina/</t>
        </is>
      </c>
      <c r="L197" s="36">
        <f>IF(K197="","No","Yes")</f>
        <v/>
      </c>
      <c r="M197" s="39">
        <f>IF(K197="","",IFERROR(IF(ISNUMBER(SEARCH(A197,INDEX(Pages!$J$2:$J$829,MATCH(K197,Pages!$B$2:$B$829,0)))),"Yes","No"),"Page not found"))</f>
        <v/>
      </c>
      <c r="N197" s="25" t="inlineStr">
        <is>
          <t>(none seen)</t>
        </is>
      </c>
      <c r="O197" s="25" t="n"/>
      <c r="P197" s="40" t="n"/>
      <c r="Q197" s="38" t="n"/>
      <c r="R197" s="38" t="n"/>
    </row>
    <row r="198" ht="23.85" customHeight="1" s="22">
      <c r="A198" s="36" t="inlineStr">
        <is>
          <t>home insurance ajax</t>
        </is>
      </c>
      <c r="B198" s="36" t="inlineStr">
        <is>
          <t>Home insurance</t>
        </is>
      </c>
      <c r="C198" s="36" t="inlineStr">
        <is>
          <t>Home Insurance</t>
        </is>
      </c>
      <c r="D198" s="36" t="inlineStr">
        <is>
          <t>Ontario</t>
        </is>
      </c>
      <c r="E198" s="36" t="inlineStr">
        <is>
          <t>Ajax</t>
        </is>
      </c>
      <c r="F198" s="37" t="n">
        <v>160</v>
      </c>
      <c r="G198" s="36" t="n">
        <v>40</v>
      </c>
      <c r="H198" s="36" t="inlineStr">
        <is>
          <t>local</t>
        </is>
      </c>
      <c r="I198" s="36" t="inlineStr">
        <is>
          <t>property-local</t>
        </is>
      </c>
      <c r="J198" s="36" t="n">
        <v>4</v>
      </c>
      <c r="K198" s="36" t="inlineStr">
        <is>
          <t>https://instasure.ca/home-insurance/ontario/ajax/</t>
        </is>
      </c>
      <c r="L198" s="36">
        <f>IF(K198="","No","Yes")</f>
        <v/>
      </c>
      <c r="M198" s="39">
        <f>IF(K198="","",IFERROR(IF(ISNUMBER(SEARCH(A198,INDEX(Pages!$J$2:$J$829,MATCH(K198,Pages!$B$2:$B$829,0)))),"Yes","No"),"Page not found"))</f>
        <v/>
      </c>
      <c r="N198" s="25" t="inlineStr">
        <is>
          <t>(none seen)</t>
        </is>
      </c>
      <c r="O198" s="25" t="inlineStr">
        <is>
          <t>Page exists but is noindex until an editor adds a 300+ character local intro (Admin → SEO → Page overrides).</t>
        </is>
      </c>
      <c r="P198" s="40" t="n"/>
      <c r="Q198" s="38" t="n"/>
      <c r="R198" s="38" t="n"/>
    </row>
    <row r="199" ht="15" customHeight="1" s="22">
      <c r="A199" s="36" t="inlineStr">
        <is>
          <t>home insurance quebec city</t>
        </is>
      </c>
      <c r="B199" s="36" t="inlineStr">
        <is>
          <t>Home insurance</t>
        </is>
      </c>
      <c r="C199" s="36" t="inlineStr">
        <is>
          <t>Home Insurance</t>
        </is>
      </c>
      <c r="D199" s="36" t="inlineStr">
        <is>
          <t>Quebec</t>
        </is>
      </c>
      <c r="E199" s="36" t="inlineStr">
        <is>
          <t>Quebec City</t>
        </is>
      </c>
      <c r="F199" s="37" t="n">
        <v>160</v>
      </c>
      <c r="G199" s="36" t="n">
        <v>52</v>
      </c>
      <c r="H199" s="36" t="inlineStr">
        <is>
          <t>local</t>
        </is>
      </c>
      <c r="I199" s="36" t="inlineStr">
        <is>
          <t>property-local</t>
        </is>
      </c>
      <c r="J199" s="36" t="n">
        <v>5</v>
      </c>
      <c r="K199" s="36" t="inlineStr">
        <is>
          <t>https://instasure.ca/home-insurance/quebec/quebec-city/</t>
        </is>
      </c>
      <c r="L199" s="36">
        <f>IF(K199="","No","Yes")</f>
        <v/>
      </c>
      <c r="M199" s="39">
        <f>IF(K199="","",IFERROR(IF(ISNUMBER(SEARCH(A199,INDEX(Pages!$J$2:$J$829,MATCH(K199,Pages!$B$2:$B$829,0)))),"Yes","No"),"Page not found"))</f>
        <v/>
      </c>
      <c r="N199" s="25" t="inlineStr">
        <is>
          <t>sonnet</t>
        </is>
      </c>
      <c r="O199" s="25" t="inlineStr">
        <is>
          <t>Quebec waitlist until AMF registration.</t>
        </is>
      </c>
      <c r="P199" s="40" t="n"/>
      <c r="Q199" s="38" t="n"/>
      <c r="R199" s="38" t="n"/>
    </row>
    <row r="200" ht="15" customHeight="1" s="22">
      <c r="A200" s="36" t="inlineStr">
        <is>
          <t>insurance advisor halifax</t>
        </is>
      </c>
      <c r="B200" s="36" t="inlineStr">
        <is>
          <t>Multi-line (place hubs)</t>
        </is>
      </c>
      <c r="C200" s="36" t="n"/>
      <c r="D200" s="36" t="inlineStr">
        <is>
          <t>Nova Scotia</t>
        </is>
      </c>
      <c r="E200" s="36" t="inlineStr">
        <is>
          <t>Halifax</t>
        </is>
      </c>
      <c r="F200" s="37" t="n">
        <v>160</v>
      </c>
      <c r="G200" s="36" t="n">
        <v>30</v>
      </c>
      <c r="H200" s="36" t="inlineStr">
        <is>
          <t>local</t>
        </is>
      </c>
      <c r="I200" s="36" t="inlineStr">
        <is>
          <t>advisors</t>
        </is>
      </c>
      <c r="J200" s="36" t="n">
        <v>2</v>
      </c>
      <c r="K200" s="36" t="inlineStr">
        <is>
          <t>https://instasure.ca/insurance/nova-scotia/halifax/</t>
        </is>
      </c>
      <c r="L200" s="36">
        <f>IF(K200="","No","Yes")</f>
        <v/>
      </c>
      <c r="M200" s="39">
        <f>IF(K200="","",IFERROR(IF(ISNUMBER(SEARCH(A200,INDEX(Pages!$J$2:$J$829,MATCH(K200,Pages!$B$2:$B$829,0)))),"Yes","No"),"Page not found"))</f>
        <v/>
      </c>
      <c r="N200" s="25" t="inlineStr">
        <is>
          <t>local brokers, thinkinsure, rates.ca (broker pages)</t>
        </is>
      </c>
      <c r="O200" s="25" t="inlineStr">
        <is>
          <t>City hub. Add a Google Business Profile only where an advisor really works from that city.</t>
        </is>
      </c>
      <c r="P200" s="40" t="n"/>
      <c r="Q200" s="38" t="n"/>
      <c r="R200" s="38" t="n"/>
    </row>
    <row r="201" ht="15" customHeight="1" s="22">
      <c r="A201" s="36" t="inlineStr">
        <is>
          <t>life insurance markham</t>
        </is>
      </c>
      <c r="B201" s="36" t="inlineStr">
        <is>
          <t>Life insurance</t>
        </is>
      </c>
      <c r="C201" s="36" t="inlineStr">
        <is>
          <t>Life Insurance</t>
        </is>
      </c>
      <c r="D201" s="36" t="inlineStr">
        <is>
          <t>Ontario</t>
        </is>
      </c>
      <c r="E201" s="36" t="inlineStr">
        <is>
          <t>Markham</t>
        </is>
      </c>
      <c r="F201" s="37" t="n">
        <v>160</v>
      </c>
      <c r="G201" s="36" t="n">
        <v>43</v>
      </c>
      <c r="H201" s="36" t="inlineStr">
        <is>
          <t>local</t>
        </is>
      </c>
      <c r="I201" s="36" t="inlineStr">
        <is>
          <t>life-local</t>
        </is>
      </c>
      <c r="J201" s="36" t="n">
        <v>2</v>
      </c>
      <c r="K201" s="36" t="inlineStr">
        <is>
          <t>https://instasure.ca/life-insurance/ontario/markham/</t>
        </is>
      </c>
      <c r="L201" s="36">
        <f>IF(K201="","No","Yes")</f>
        <v/>
      </c>
      <c r="M201" s="39">
        <f>IF(K201="","",IFERROR(IF(ISNUMBER(SEARCH(A201,INDEX(Pages!$J$2:$J$829,MATCH(K201,Pages!$B$2:$B$829,0)))),"Yes","No"),"Page not found"))</f>
        <v/>
      </c>
      <c r="N201" s="25" t="inlineStr">
        <is>
          <t>(none seen)</t>
        </is>
      </c>
      <c r="O201" s="25" t="n"/>
      <c r="P201" s="40" t="n"/>
      <c r="Q201" s="38" t="n"/>
      <c r="R201" s="38" t="n"/>
    </row>
    <row r="202" ht="15" customHeight="1" s="22">
      <c r="A202" s="36" t="inlineStr">
        <is>
          <t>life insurance vaughan</t>
        </is>
      </c>
      <c r="B202" s="36" t="inlineStr">
        <is>
          <t>Life insurance</t>
        </is>
      </c>
      <c r="C202" s="36" t="inlineStr">
        <is>
          <t>Life Insurance</t>
        </is>
      </c>
      <c r="D202" s="36" t="inlineStr">
        <is>
          <t>Ontario</t>
        </is>
      </c>
      <c r="E202" s="36" t="inlineStr">
        <is>
          <t>Vaughan</t>
        </is>
      </c>
      <c r="F202" s="37" t="n">
        <v>160</v>
      </c>
      <c r="G202" s="36" t="n">
        <v>43</v>
      </c>
      <c r="H202" s="36" t="inlineStr">
        <is>
          <t>local</t>
        </is>
      </c>
      <c r="I202" s="36" t="inlineStr">
        <is>
          <t>life-local</t>
        </is>
      </c>
      <c r="J202" s="36" t="n">
        <v>2</v>
      </c>
      <c r="K202" s="36" t="inlineStr">
        <is>
          <t>https://instasure.ca/life-insurance/ontario/vaughan/</t>
        </is>
      </c>
      <c r="L202" s="36">
        <f>IF(K202="","No","Yes")</f>
        <v/>
      </c>
      <c r="M202" s="39">
        <f>IF(K202="","",IFERROR(IF(ISNUMBER(SEARCH(A202,INDEX(Pages!$J$2:$J$829,MATCH(K202,Pages!$B$2:$B$829,0)))),"Yes","No"),"Page not found"))</f>
        <v/>
      </c>
      <c r="N202" s="25" t="inlineStr">
        <is>
          <t>(none seen)</t>
        </is>
      </c>
      <c r="O202" s="25" t="n"/>
      <c r="P202" s="40" t="n"/>
      <c r="Q202" s="38" t="n"/>
      <c r="R202" s="38" t="n"/>
    </row>
    <row r="203" ht="15" customHeight="1" s="22">
      <c r="A203" s="36" t="inlineStr">
        <is>
          <t>tenant insurance richmond bc</t>
        </is>
      </c>
      <c r="B203" s="36" t="inlineStr">
        <is>
          <t>Tenant insurance</t>
        </is>
      </c>
      <c r="C203" s="36" t="inlineStr">
        <is>
          <t>Tenant Insurance</t>
        </is>
      </c>
      <c r="D203" s="36" t="inlineStr">
        <is>
          <t>British Columbia</t>
        </is>
      </c>
      <c r="E203" s="36" t="inlineStr">
        <is>
          <t>Richmond</t>
        </is>
      </c>
      <c r="F203" s="37" t="n">
        <v>160</v>
      </c>
      <c r="G203" s="36" t="n">
        <v>32</v>
      </c>
      <c r="H203" s="36" t="inlineStr">
        <is>
          <t>local</t>
        </is>
      </c>
      <c r="I203" s="36" t="inlineStr">
        <is>
          <t>property-local</t>
        </is>
      </c>
      <c r="J203" s="36" t="n">
        <v>4</v>
      </c>
      <c r="K203" s="36" t="inlineStr">
        <is>
          <t>https://instasure.ca/tenant-insurance/british-columbia/richmond/</t>
        </is>
      </c>
      <c r="L203" s="36">
        <f>IF(K203="","No","Yes")</f>
        <v/>
      </c>
      <c r="M203" s="39">
        <f>IF(K203="","",IFERROR(IF(ISNUMBER(SEARCH(A203,INDEX(Pages!$J$2:$J$829,MATCH(K203,Pages!$B$2:$B$829,0)))),"Yes","No"),"Page not found"))</f>
        <v/>
      </c>
      <c r="N203" s="25" t="inlineStr">
        <is>
          <t>(none seen)</t>
        </is>
      </c>
      <c r="O203" s="25" t="n"/>
      <c r="P203" s="40" t="n"/>
      <c r="Q203" s="38" t="n"/>
      <c r="R203" s="38" t="n"/>
    </row>
    <row r="204" ht="15" customHeight="1" s="22">
      <c r="A204" s="36" t="inlineStr">
        <is>
          <t>tenant insurance richmond hill</t>
        </is>
      </c>
      <c r="B204" s="36" t="inlineStr">
        <is>
          <t>Tenant insurance</t>
        </is>
      </c>
      <c r="C204" s="36" t="inlineStr">
        <is>
          <t>Tenant Insurance</t>
        </is>
      </c>
      <c r="D204" s="36" t="inlineStr">
        <is>
          <t>Ontario</t>
        </is>
      </c>
      <c r="E204" s="36" t="inlineStr">
        <is>
          <t>Richmond Hill</t>
        </is>
      </c>
      <c r="F204" s="37" t="n">
        <v>160</v>
      </c>
      <c r="G204" s="36" t="n">
        <v>40</v>
      </c>
      <c r="H204" s="36" t="inlineStr">
        <is>
          <t>local</t>
        </is>
      </c>
      <c r="I204" s="36" t="inlineStr">
        <is>
          <t>property-local</t>
        </is>
      </c>
      <c r="J204" s="36" t="n">
        <v>4</v>
      </c>
      <c r="K204" s="36" t="inlineStr">
        <is>
          <t>https://instasure.ca/tenant-insurance/ontario/richmond-hill/</t>
        </is>
      </c>
      <c r="L204" s="36">
        <f>IF(K204="","No","Yes")</f>
        <v/>
      </c>
      <c r="M204" s="39">
        <f>IF(K204="","",IFERROR(IF(ISNUMBER(SEARCH(A204,INDEX(Pages!$J$2:$J$829,MATCH(K204,Pages!$B$2:$B$829,0)))),"Yes","No"),"Page not found"))</f>
        <v/>
      </c>
      <c r="N204" s="25" t="inlineStr">
        <is>
          <t>(none seen)</t>
        </is>
      </c>
      <c r="O204" s="25" t="n"/>
      <c r="P204" s="40" t="n"/>
      <c r="Q204" s="38" t="n"/>
      <c r="R204" s="38" t="n"/>
    </row>
    <row r="205" ht="15" customHeight="1" s="22">
      <c r="A205" s="36" t="inlineStr">
        <is>
          <t>car insurance charlottetown</t>
        </is>
      </c>
      <c r="B205" s="36" t="inlineStr">
        <is>
          <t>Car insurance</t>
        </is>
      </c>
      <c r="C205" s="36" t="inlineStr">
        <is>
          <t>Car Insurance</t>
        </is>
      </c>
      <c r="D205" s="36" t="inlineStr">
        <is>
          <t>Prince Edward Island</t>
        </is>
      </c>
      <c r="E205" s="36" t="inlineStr">
        <is>
          <t>Charlottetown</t>
        </is>
      </c>
      <c r="F205" s="37" t="n">
        <v>150</v>
      </c>
      <c r="G205" s="36" t="n">
        <v>52</v>
      </c>
      <c r="H205" s="36" t="inlineStr">
        <is>
          <t>local</t>
        </is>
      </c>
      <c r="I205" s="36" t="inlineStr">
        <is>
          <t>auto-local</t>
        </is>
      </c>
      <c r="J205" s="36" t="n">
        <v>3</v>
      </c>
      <c r="K205" s="36" t="inlineStr">
        <is>
          <t>https://instasure.ca/car-insurance/prince-edward-island/charlottetown/</t>
        </is>
      </c>
      <c r="L205" s="36">
        <f>IF(K205="","No","Yes")</f>
        <v/>
      </c>
      <c r="M205" s="39">
        <f>IF(K205="","",IFERROR(IF(ISNUMBER(SEARCH(A205,INDEX(Pages!$J$2:$J$829,MATCH(K205,Pages!$B$2:$B$829,0)))),"Yes","No"),"Page not found"))</f>
        <v/>
      </c>
      <c r="N205" s="25" t="inlineStr">
        <is>
          <t>(none seen)</t>
        </is>
      </c>
      <c r="O205" s="25" t="n"/>
      <c r="P205" s="40" t="n"/>
      <c r="Q205" s="38" t="n"/>
      <c r="R205" s="38" t="n"/>
    </row>
    <row r="206" ht="15" customHeight="1" s="22">
      <c r="A206" s="36" t="inlineStr">
        <is>
          <t>home insurance waterloo</t>
        </is>
      </c>
      <c r="B206" s="36" t="inlineStr">
        <is>
          <t>Home insurance</t>
        </is>
      </c>
      <c r="C206" s="36" t="inlineStr">
        <is>
          <t>Home Insurance</t>
        </is>
      </c>
      <c r="D206" s="36" t="inlineStr">
        <is>
          <t>Ontario</t>
        </is>
      </c>
      <c r="E206" s="36" t="inlineStr">
        <is>
          <t>Waterloo</t>
        </is>
      </c>
      <c r="F206" s="37" t="n">
        <v>150</v>
      </c>
      <c r="G206" s="36" t="n">
        <v>52</v>
      </c>
      <c r="H206" s="36" t="inlineStr">
        <is>
          <t>local</t>
        </is>
      </c>
      <c r="I206" s="36" t="inlineStr">
        <is>
          <t>property-local</t>
        </is>
      </c>
      <c r="J206" s="36" t="n">
        <v>3</v>
      </c>
      <c r="K206" s="36" t="inlineStr">
        <is>
          <t>https://instasure.ca/home-insurance/ontario/waterloo/</t>
        </is>
      </c>
      <c r="L206" s="36">
        <f>IF(K206="","No","Yes")</f>
        <v/>
      </c>
      <c r="M206" s="39">
        <f>IF(K206="","",IFERROR(IF(ISNUMBER(SEARCH(A206,INDEX(Pages!$J$2:$J$829,MATCH(K206,Pages!$B$2:$B$829,0)))),"Yes","No"),"Page not found"))</f>
        <v/>
      </c>
      <c r="N206" s="25" t="inlineStr">
        <is>
          <t>rates.ca</t>
        </is>
      </c>
      <c r="O206" s="25" t="n"/>
      <c r="P206" s="40" t="n"/>
      <c r="Q206" s="38" t="n"/>
      <c r="R206" s="38" t="n"/>
    </row>
    <row r="207" ht="15" customHeight="1" s="22">
      <c r="A207" s="36" t="inlineStr">
        <is>
          <t>insurance advisor london ontario</t>
        </is>
      </c>
      <c r="B207" s="36" t="inlineStr">
        <is>
          <t>Multi-line (place hubs)</t>
        </is>
      </c>
      <c r="C207" s="36" t="n"/>
      <c r="D207" s="36" t="inlineStr">
        <is>
          <t>Ontario</t>
        </is>
      </c>
      <c r="E207" s="36" t="inlineStr">
        <is>
          <t>London</t>
        </is>
      </c>
      <c r="F207" s="37" t="n">
        <v>150</v>
      </c>
      <c r="G207" s="36" t="n">
        <v>30</v>
      </c>
      <c r="H207" s="36" t="inlineStr">
        <is>
          <t>local</t>
        </is>
      </c>
      <c r="I207" s="36" t="inlineStr">
        <is>
          <t>advisors</t>
        </is>
      </c>
      <c r="J207" s="36" t="n">
        <v>2</v>
      </c>
      <c r="K207" s="36" t="inlineStr">
        <is>
          <t>https://instasure.ca/insurance/ontario/london/</t>
        </is>
      </c>
      <c r="L207" s="36">
        <f>IF(K207="","No","Yes")</f>
        <v/>
      </c>
      <c r="M207" s="39">
        <f>IF(K207="","",IFERROR(IF(ISNUMBER(SEARCH(A207,INDEX(Pages!$J$2:$J$829,MATCH(K207,Pages!$B$2:$B$829,0)))),"Yes","No"),"Page not found"))</f>
        <v/>
      </c>
      <c r="N207" s="25" t="inlineStr">
        <is>
          <t>local brokers, thinkinsure, rates.ca (broker pages)</t>
        </is>
      </c>
      <c r="O207" s="25" t="inlineStr">
        <is>
          <t>City hub. Add a Google Business Profile only where an advisor really works from that city.</t>
        </is>
      </c>
      <c r="P207" s="40" t="n"/>
      <c r="Q207" s="38" t="n"/>
      <c r="R207" s="38" t="n"/>
    </row>
    <row r="208" ht="15" customHeight="1" s="22">
      <c r="A208" s="36" t="inlineStr">
        <is>
          <t>tenant insurance burlington</t>
        </is>
      </c>
      <c r="B208" s="36" t="inlineStr">
        <is>
          <t>Tenant insurance</t>
        </is>
      </c>
      <c r="C208" s="36" t="inlineStr">
        <is>
          <t>Tenant Insurance</t>
        </is>
      </c>
      <c r="D208" s="36" t="inlineStr">
        <is>
          <t>Ontario</t>
        </is>
      </c>
      <c r="E208" s="36" t="inlineStr">
        <is>
          <t>Burlington</t>
        </is>
      </c>
      <c r="F208" s="37" t="n">
        <v>150</v>
      </c>
      <c r="G208" s="36" t="n">
        <v>40</v>
      </c>
      <c r="H208" s="36" t="inlineStr">
        <is>
          <t>local</t>
        </is>
      </c>
      <c r="I208" s="36" t="inlineStr">
        <is>
          <t>property-local</t>
        </is>
      </c>
      <c r="J208" s="36" t="n">
        <v>4</v>
      </c>
      <c r="K208" s="36" t="inlineStr">
        <is>
          <t>https://instasure.ca/tenant-insurance/ontario/burlington/</t>
        </is>
      </c>
      <c r="L208" s="36">
        <f>IF(K208="","No","Yes")</f>
        <v/>
      </c>
      <c r="M208" s="39">
        <f>IF(K208="","",IFERROR(IF(ISNUMBER(SEARCH(A208,INDEX(Pages!$J$2:$J$829,MATCH(K208,Pages!$B$2:$B$829,0)))),"Yes","No"),"Page not found"))</f>
        <v/>
      </c>
      <c r="N208" s="25" t="inlineStr">
        <is>
          <t>(none seen)</t>
        </is>
      </c>
      <c r="O208" s="25" t="n"/>
      <c r="P208" s="40" t="n"/>
      <c r="Q208" s="38" t="n"/>
      <c r="R208" s="38" t="n"/>
    </row>
    <row r="209" ht="15" customHeight="1" s="22">
      <c r="A209" s="36" t="inlineStr">
        <is>
          <t>home insurance st johns</t>
        </is>
      </c>
      <c r="B209" s="36" t="inlineStr">
        <is>
          <t>Home insurance</t>
        </is>
      </c>
      <c r="C209" s="36" t="inlineStr">
        <is>
          <t>Home Insurance</t>
        </is>
      </c>
      <c r="D209" s="36" t="inlineStr">
        <is>
          <t>Newfoundland and Labrador</t>
        </is>
      </c>
      <c r="E209" s="36" t="inlineStr">
        <is>
          <t>St. John’s</t>
        </is>
      </c>
      <c r="F209" s="37" t="n">
        <v>140</v>
      </c>
      <c r="G209" s="36" t="n">
        <v>52</v>
      </c>
      <c r="H209" s="36" t="inlineStr">
        <is>
          <t>local</t>
        </is>
      </c>
      <c r="I209" s="36" t="inlineStr">
        <is>
          <t>property-local</t>
        </is>
      </c>
      <c r="J209" s="36" t="n">
        <v>3</v>
      </c>
      <c r="K209" s="36" t="inlineStr">
        <is>
          <t>https://instasure.ca/home-insurance/newfoundland-and-labrador/st-johns/</t>
        </is>
      </c>
      <c r="L209" s="36">
        <f>IF(K209="","No","Yes")</f>
        <v/>
      </c>
      <c r="M209" s="39">
        <f>IF(K209="","",IFERROR(IF(ISNUMBER(SEARCH(A209,INDEX(Pages!$J$2:$J$829,MATCH(K209,Pages!$B$2:$B$829,0)))),"Yes","No"),"Page not found"))</f>
        <v/>
      </c>
      <c r="N209" s="25" t="inlineStr">
        <is>
          <t>ratehub</t>
        </is>
      </c>
      <c r="O209" s="25" t="n"/>
      <c r="P209" s="40" t="n"/>
      <c r="Q209" s="38" t="n"/>
      <c r="R209" s="38" t="n"/>
    </row>
    <row r="210" ht="23.85" customHeight="1" s="22">
      <c r="A210" s="36" t="inlineStr">
        <is>
          <t>home insurance thunder bay</t>
        </is>
      </c>
      <c r="B210" s="36" t="inlineStr">
        <is>
          <t>Home insurance</t>
        </is>
      </c>
      <c r="C210" s="36" t="inlineStr">
        <is>
          <t>Home Insurance</t>
        </is>
      </c>
      <c r="D210" s="36" t="inlineStr">
        <is>
          <t>Ontario</t>
        </is>
      </c>
      <c r="E210" s="36" t="inlineStr">
        <is>
          <t>Thunder Bay</t>
        </is>
      </c>
      <c r="F210" s="37" t="n">
        <v>140</v>
      </c>
      <c r="G210" s="36" t="n">
        <v>40</v>
      </c>
      <c r="H210" s="36" t="inlineStr">
        <is>
          <t>local</t>
        </is>
      </c>
      <c r="I210" s="36" t="inlineStr">
        <is>
          <t>property-local</t>
        </is>
      </c>
      <c r="J210" s="36" t="n">
        <v>4</v>
      </c>
      <c r="K210" s="36" t="inlineStr">
        <is>
          <t>https://instasure.ca/home-insurance/ontario/thunder-bay/</t>
        </is>
      </c>
      <c r="L210" s="36">
        <f>IF(K210="","No","Yes")</f>
        <v/>
      </c>
      <c r="M210" s="39">
        <f>IF(K210="","",IFERROR(IF(ISNUMBER(SEARCH(A210,INDEX(Pages!$J$2:$J$829,MATCH(K210,Pages!$B$2:$B$829,0)))),"Yes","No"),"Page not found"))</f>
        <v/>
      </c>
      <c r="N210" s="25" t="inlineStr">
        <is>
          <t>(none seen)</t>
        </is>
      </c>
      <c r="O210" s="25" t="inlineStr">
        <is>
          <t>Page exists but is noindex until an editor adds a 300+ character local intro (Admin → SEO → Page overrides).</t>
        </is>
      </c>
      <c r="P210" s="40" t="n"/>
      <c r="Q210" s="38" t="n"/>
      <c r="R210" s="38" t="n"/>
    </row>
    <row r="211" ht="15" customHeight="1" s="22">
      <c r="A211" s="36" t="inlineStr">
        <is>
          <t>tenant insurance oshawa</t>
        </is>
      </c>
      <c r="B211" s="36" t="inlineStr">
        <is>
          <t>Tenant insurance</t>
        </is>
      </c>
      <c r="C211" s="36" t="inlineStr">
        <is>
          <t>Tenant Insurance</t>
        </is>
      </c>
      <c r="D211" s="36" t="inlineStr">
        <is>
          <t>Ontario</t>
        </is>
      </c>
      <c r="E211" s="36" t="inlineStr">
        <is>
          <t>Oshawa</t>
        </is>
      </c>
      <c r="F211" s="37" t="n">
        <v>140</v>
      </c>
      <c r="G211" s="36" t="n">
        <v>40</v>
      </c>
      <c r="H211" s="36" t="inlineStr">
        <is>
          <t>local</t>
        </is>
      </c>
      <c r="I211" s="36" t="inlineStr">
        <is>
          <t>property-local</t>
        </is>
      </c>
      <c r="J211" s="36" t="n">
        <v>4</v>
      </c>
      <c r="K211" s="36" t="inlineStr">
        <is>
          <t>https://instasure.ca/tenant-insurance/ontario/oshawa/</t>
        </is>
      </c>
      <c r="L211" s="36">
        <f>IF(K211="","No","Yes")</f>
        <v/>
      </c>
      <c r="M211" s="39">
        <f>IF(K211="","",IFERROR(IF(ISNUMBER(SEARCH(A211,INDEX(Pages!$J$2:$J$829,MATCH(K211,Pages!$B$2:$B$829,0)))),"Yes","No"),"Page not found"))</f>
        <v/>
      </c>
      <c r="N211" s="25" t="inlineStr">
        <is>
          <t>(none seen)</t>
        </is>
      </c>
      <c r="O211" s="25" t="n"/>
      <c r="P211" s="40" t="n"/>
      <c r="Q211" s="38" t="n"/>
      <c r="R211" s="38" t="n"/>
    </row>
    <row r="212" ht="23.85" customHeight="1" s="22">
      <c r="A212" s="36" t="inlineStr">
        <is>
          <t>tenant insurance sudbury</t>
        </is>
      </c>
      <c r="B212" s="36" t="inlineStr">
        <is>
          <t>Tenant insurance</t>
        </is>
      </c>
      <c r="C212" s="36" t="inlineStr">
        <is>
          <t>Tenant Insurance</t>
        </is>
      </c>
      <c r="D212" s="36" t="inlineStr">
        <is>
          <t>Ontario</t>
        </is>
      </c>
      <c r="E212" s="36" t="inlineStr">
        <is>
          <t>Sudbury</t>
        </is>
      </c>
      <c r="F212" s="37" t="n">
        <v>140</v>
      </c>
      <c r="G212" s="36" t="n">
        <v>32</v>
      </c>
      <c r="H212" s="36" t="inlineStr">
        <is>
          <t>local</t>
        </is>
      </c>
      <c r="I212" s="36" t="inlineStr">
        <is>
          <t>property-local</t>
        </is>
      </c>
      <c r="J212" s="36" t="n">
        <v>5</v>
      </c>
      <c r="K212" s="36" t="inlineStr">
        <is>
          <t>https://instasure.ca/tenant-insurance/ontario/sudbury/</t>
        </is>
      </c>
      <c r="L212" s="36">
        <f>IF(K212="","No","Yes")</f>
        <v/>
      </c>
      <c r="M212" s="39">
        <f>IF(K212="","",IFERROR(IF(ISNUMBER(SEARCH(A212,INDEX(Pages!$J$2:$J$829,MATCH(K212,Pages!$B$2:$B$829,0)))),"Yes","No"),"Page not found"))</f>
        <v/>
      </c>
      <c r="N212" s="25" t="inlineStr">
        <is>
          <t>(none seen)</t>
        </is>
      </c>
      <c r="O212" s="25" t="inlineStr">
        <is>
          <t>Page exists but is noindex until an editor adds a 300+ character local intro (Admin → SEO → Page overrides).</t>
        </is>
      </c>
      <c r="P212" s="40" t="n"/>
      <c r="Q212" s="38" t="n"/>
      <c r="R212" s="38" t="n"/>
    </row>
    <row r="213" ht="15" customHeight="1" s="22">
      <c r="A213" s="36" t="inlineStr">
        <is>
          <t>business insurance halifax</t>
        </is>
      </c>
      <c r="B213" s="36" t="inlineStr">
        <is>
          <t>Business insurance</t>
        </is>
      </c>
      <c r="C213" s="36" t="inlineStr">
        <is>
          <t>Business Insurance</t>
        </is>
      </c>
      <c r="D213" s="36" t="inlineStr">
        <is>
          <t>Nova Scotia</t>
        </is>
      </c>
      <c r="E213" s="36" t="inlineStr">
        <is>
          <t>Halifax</t>
        </is>
      </c>
      <c r="F213" s="37" t="n">
        <v>130</v>
      </c>
      <c r="G213" s="36" t="n">
        <v>33</v>
      </c>
      <c r="H213" s="36" t="inlineStr">
        <is>
          <t>local</t>
        </is>
      </c>
      <c r="I213" s="36" t="inlineStr">
        <is>
          <t>business-local</t>
        </is>
      </c>
      <c r="J213" s="36" t="n">
        <v>2</v>
      </c>
      <c r="K213" s="36" t="inlineStr">
        <is>
          <t>https://instasure.ca/business-insurance/nova-scotia/halifax/</t>
        </is>
      </c>
      <c r="L213" s="36">
        <f>IF(K213="","No","Yes")</f>
        <v/>
      </c>
      <c r="M213" s="39">
        <f>IF(K213="","",IFERROR(IF(ISNUMBER(SEARCH(A213,INDEX(Pages!$J$2:$J$829,MATCH(K213,Pages!$B$2:$B$829,0)))),"Yes","No"),"Page not found"))</f>
        <v/>
      </c>
      <c r="N213" s="25" t="inlineStr">
        <is>
          <t>(none seen)</t>
        </is>
      </c>
      <c r="O213" s="25" t="n"/>
      <c r="P213" s="40" t="n"/>
      <c r="Q213" s="38" t="n"/>
      <c r="R213" s="38" t="n"/>
    </row>
    <row r="214" ht="15" customHeight="1" s="22">
      <c r="A214" s="36" t="inlineStr">
        <is>
          <t>business insurance london ontario</t>
        </is>
      </c>
      <c r="B214" s="36" t="inlineStr">
        <is>
          <t>Business insurance</t>
        </is>
      </c>
      <c r="C214" s="36" t="inlineStr">
        <is>
          <t>Business Insurance</t>
        </is>
      </c>
      <c r="D214" s="36" t="inlineStr">
        <is>
          <t>Ontario</t>
        </is>
      </c>
      <c r="E214" s="36" t="inlineStr">
        <is>
          <t>London</t>
        </is>
      </c>
      <c r="F214" s="37" t="n">
        <v>130</v>
      </c>
      <c r="G214" s="36" t="n">
        <v>41</v>
      </c>
      <c r="H214" s="36" t="inlineStr">
        <is>
          <t>local</t>
        </is>
      </c>
      <c r="I214" s="36" t="inlineStr">
        <is>
          <t>business-local</t>
        </is>
      </c>
      <c r="J214" s="36" t="n">
        <v>2</v>
      </c>
      <c r="K214" s="36" t="inlineStr">
        <is>
          <t>https://instasure.ca/business-insurance/ontario/london/</t>
        </is>
      </c>
      <c r="L214" s="36">
        <f>IF(K214="","No","Yes")</f>
        <v/>
      </c>
      <c r="M214" s="39">
        <f>IF(K214="","",IFERROR(IF(ISNUMBER(SEARCH(A214,INDEX(Pages!$J$2:$J$829,MATCH(K214,Pages!$B$2:$B$829,0)))),"Yes","No"),"Page not found"))</f>
        <v/>
      </c>
      <c r="N214" s="25" t="inlineStr">
        <is>
          <t>(none seen)</t>
        </is>
      </c>
      <c r="O214" s="25" t="n"/>
      <c r="P214" s="40" t="n"/>
      <c r="Q214" s="38" t="n"/>
      <c r="R214" s="38" t="n"/>
    </row>
    <row r="215" ht="15" customHeight="1" s="22">
      <c r="A215" s="36" t="inlineStr">
        <is>
          <t>car insurance victoria</t>
        </is>
      </c>
      <c r="B215" s="36" t="inlineStr">
        <is>
          <t>Car insurance</t>
        </is>
      </c>
      <c r="C215" s="36" t="inlineStr">
        <is>
          <t>Car Insurance</t>
        </is>
      </c>
      <c r="D215" s="36" t="inlineStr">
        <is>
          <t>British Columbia</t>
        </is>
      </c>
      <c r="E215" s="36" t="inlineStr">
        <is>
          <t>Victoria</t>
        </is>
      </c>
      <c r="F215" s="37" t="n">
        <v>130</v>
      </c>
      <c r="G215" s="36" t="n">
        <v>64</v>
      </c>
      <c r="H215" s="36" t="inlineStr">
        <is>
          <t>local</t>
        </is>
      </c>
      <c r="I215" s="36" t="inlineStr">
        <is>
          <t>auto-local</t>
        </is>
      </c>
      <c r="J215" s="36" t="n">
        <v>5</v>
      </c>
      <c r="K215" s="36" t="inlineStr">
        <is>
          <t>https://instasure.ca/car-insurance/british-columbia/victoria/</t>
        </is>
      </c>
      <c r="L215" s="36">
        <f>IF(K215="","No","Yes")</f>
        <v/>
      </c>
      <c r="M215" s="39">
        <f>IF(K215="","",IFERROR(IF(ISNUMBER(SEARCH(A215,INDEX(Pages!$J$2:$J$829,MATCH(K215,Pages!$B$2:$B$829,0)))),"Yes","No"),"Page not found"))</f>
        <v/>
      </c>
      <c r="N215" s="25" t="inlineStr">
        <is>
          <t>ratehub</t>
        </is>
      </c>
      <c r="O215" s="25" t="inlineStr">
        <is>
          <t>ICBC sells basic auto; target optional coverage. Low lead value.</t>
        </is>
      </c>
      <c r="P215" s="40" t="n"/>
      <c r="Q215" s="38" t="n"/>
      <c r="R215" s="38" t="n"/>
    </row>
    <row r="216" ht="15" customHeight="1" s="22">
      <c r="A216" s="36" t="inlineStr">
        <is>
          <t>condo insurance halifax</t>
        </is>
      </c>
      <c r="B216" s="36" t="inlineStr">
        <is>
          <t>Condo insurance</t>
        </is>
      </c>
      <c r="C216" s="36" t="inlineStr">
        <is>
          <t>Condo Insurance</t>
        </is>
      </c>
      <c r="D216" s="36" t="inlineStr">
        <is>
          <t>Nova Scotia</t>
        </is>
      </c>
      <c r="E216" s="36" t="inlineStr">
        <is>
          <t>Halifax</t>
        </is>
      </c>
      <c r="F216" s="37" t="n">
        <v>130</v>
      </c>
      <c r="G216" s="36" t="n">
        <v>40</v>
      </c>
      <c r="H216" s="36" t="inlineStr">
        <is>
          <t>local</t>
        </is>
      </c>
      <c r="I216" s="36" t="inlineStr">
        <is>
          <t>property-local</t>
        </is>
      </c>
      <c r="J216" s="36" t="n">
        <v>4</v>
      </c>
      <c r="K216" s="36" t="inlineStr">
        <is>
          <t>https://instasure.ca/condo-insurance/nova-scotia/halifax/</t>
        </is>
      </c>
      <c r="L216" s="36">
        <f>IF(K216="","No","Yes")</f>
        <v/>
      </c>
      <c r="M216" s="39">
        <f>IF(K216="","",IFERROR(IF(ISNUMBER(SEARCH(A216,INDEX(Pages!$J$2:$J$829,MATCH(K216,Pages!$B$2:$B$829,0)))),"Yes","No"),"Page not found"))</f>
        <v/>
      </c>
      <c r="N216" s="25" t="inlineStr">
        <is>
          <t>(none seen)</t>
        </is>
      </c>
      <c r="O216" s="25" t="n"/>
      <c r="P216" s="40" t="n"/>
      <c r="Q216" s="38" t="n"/>
      <c r="R216" s="38" t="n"/>
    </row>
    <row r="217" ht="15" customHeight="1" s="22">
      <c r="A217" s="36" t="inlineStr">
        <is>
          <t>condo insurance london ontario</t>
        </is>
      </c>
      <c r="B217" s="36" t="inlineStr">
        <is>
          <t>Condo insurance</t>
        </is>
      </c>
      <c r="C217" s="36" t="inlineStr">
        <is>
          <t>Condo Insurance</t>
        </is>
      </c>
      <c r="D217" s="36" t="inlineStr">
        <is>
          <t>Ontario</t>
        </is>
      </c>
      <c r="E217" s="36" t="inlineStr">
        <is>
          <t>London</t>
        </is>
      </c>
      <c r="F217" s="37" t="n">
        <v>130</v>
      </c>
      <c r="G217" s="36" t="n">
        <v>48</v>
      </c>
      <c r="H217" s="36" t="inlineStr">
        <is>
          <t>local</t>
        </is>
      </c>
      <c r="I217" s="36" t="inlineStr">
        <is>
          <t>property-local</t>
        </is>
      </c>
      <c r="J217" s="36" t="n">
        <v>4</v>
      </c>
      <c r="K217" s="36" t="inlineStr">
        <is>
          <t>https://instasure.ca/condo-insurance/ontario/london/</t>
        </is>
      </c>
      <c r="L217" s="36">
        <f>IF(K217="","No","Yes")</f>
        <v/>
      </c>
      <c r="M217" s="39">
        <f>IF(K217="","",IFERROR(IF(ISNUMBER(SEARCH(A217,INDEX(Pages!$J$2:$J$829,MATCH(K217,Pages!$B$2:$B$829,0)))),"Yes","No"),"Page not found"))</f>
        <v/>
      </c>
      <c r="N217" s="25" t="inlineStr">
        <is>
          <t>(none seen)</t>
        </is>
      </c>
      <c r="O217" s="25" t="n"/>
      <c r="P217" s="40" t="n"/>
      <c r="Q217" s="38" t="n"/>
      <c r="R217" s="38" t="n"/>
    </row>
    <row r="218" ht="15" customHeight="1" s="22">
      <c r="A218" s="36" t="inlineStr">
        <is>
          <t>home insurance laval</t>
        </is>
      </c>
      <c r="B218" s="36" t="inlineStr">
        <is>
          <t>Home insurance</t>
        </is>
      </c>
      <c r="C218" s="36" t="inlineStr">
        <is>
          <t>Home Insurance</t>
        </is>
      </c>
      <c r="D218" s="36" t="inlineStr">
        <is>
          <t>Quebec</t>
        </is>
      </c>
      <c r="E218" s="36" t="inlineStr">
        <is>
          <t>Laval</t>
        </is>
      </c>
      <c r="F218" s="37" t="n">
        <v>130</v>
      </c>
      <c r="G218" s="36" t="n">
        <v>52</v>
      </c>
      <c r="H218" s="36" t="inlineStr">
        <is>
          <t>local</t>
        </is>
      </c>
      <c r="I218" s="36" t="inlineStr">
        <is>
          <t>property-local</t>
        </is>
      </c>
      <c r="J218" s="36" t="n">
        <v>5</v>
      </c>
      <c r="K218" s="36" t="inlineStr">
        <is>
          <t>https://instasure.ca/home-insurance/quebec/laval/</t>
        </is>
      </c>
      <c r="L218" s="36">
        <f>IF(K218="","No","Yes")</f>
        <v/>
      </c>
      <c r="M218" s="39">
        <f>IF(K218="","",IFERROR(IF(ISNUMBER(SEARCH(A218,INDEX(Pages!$J$2:$J$829,MATCH(K218,Pages!$B$2:$B$829,0)))),"Yes","No"),"Page not found"))</f>
        <v/>
      </c>
      <c r="N218" s="25" t="inlineStr">
        <is>
          <t>sonnet</t>
        </is>
      </c>
      <c r="O218" s="25" t="inlineStr">
        <is>
          <t>Quebec waitlist until AMF registration.</t>
        </is>
      </c>
      <c r="P218" s="40" t="n"/>
      <c r="Q218" s="38" t="n"/>
      <c r="R218" s="38" t="n"/>
    </row>
    <row r="219" ht="15" customHeight="1" s="22">
      <c r="A219" s="36" t="inlineStr">
        <is>
          <t>home insurance lethbridge</t>
        </is>
      </c>
      <c r="B219" s="36" t="inlineStr">
        <is>
          <t>Home insurance</t>
        </is>
      </c>
      <c r="C219" s="36" t="inlineStr">
        <is>
          <t>Home Insurance</t>
        </is>
      </c>
      <c r="D219" s="36" t="inlineStr">
        <is>
          <t>Alberta</t>
        </is>
      </c>
      <c r="E219" s="36" t="inlineStr">
        <is>
          <t>Lethbridge</t>
        </is>
      </c>
      <c r="F219" s="37" t="n">
        <v>130</v>
      </c>
      <c r="G219" s="36" t="n">
        <v>40</v>
      </c>
      <c r="H219" s="36" t="inlineStr">
        <is>
          <t>local</t>
        </is>
      </c>
      <c r="I219" s="36" t="inlineStr">
        <is>
          <t>property-local</t>
        </is>
      </c>
      <c r="J219" s="36" t="n">
        <v>3</v>
      </c>
      <c r="K219" s="36" t="inlineStr">
        <is>
          <t>https://instasure.ca/home-insurance/alberta/lethbridge/</t>
        </is>
      </c>
      <c r="L219" s="36">
        <f>IF(K219="","No","Yes")</f>
        <v/>
      </c>
      <c r="M219" s="39">
        <f>IF(K219="","",IFERROR(IF(ISNUMBER(SEARCH(A219,INDEX(Pages!$J$2:$J$829,MATCH(K219,Pages!$B$2:$B$829,0)))),"Yes","No"),"Page not found"))</f>
        <v/>
      </c>
      <c r="N219" s="25" t="inlineStr">
        <is>
          <t>(none seen)</t>
        </is>
      </c>
      <c r="O219" s="25" t="n"/>
      <c r="P219" s="40" t="n"/>
      <c r="Q219" s="38" t="n"/>
      <c r="R219" s="38" t="n"/>
    </row>
    <row r="220" ht="23.85" customHeight="1" s="22">
      <c r="A220" s="36" t="inlineStr">
        <is>
          <t>home insurance pickering</t>
        </is>
      </c>
      <c r="B220" s="36" t="inlineStr">
        <is>
          <t>Home insurance</t>
        </is>
      </c>
      <c r="C220" s="36" t="inlineStr">
        <is>
          <t>Home Insurance</t>
        </is>
      </c>
      <c r="D220" s="36" t="inlineStr">
        <is>
          <t>Ontario</t>
        </is>
      </c>
      <c r="E220" s="36" t="inlineStr">
        <is>
          <t>Pickering</t>
        </is>
      </c>
      <c r="F220" s="37" t="n">
        <v>130</v>
      </c>
      <c r="G220" s="36" t="n">
        <v>40</v>
      </c>
      <c r="H220" s="36" t="inlineStr">
        <is>
          <t>local</t>
        </is>
      </c>
      <c r="I220" s="36" t="inlineStr">
        <is>
          <t>property-local</t>
        </is>
      </c>
      <c r="J220" s="36" t="n">
        <v>4</v>
      </c>
      <c r="K220" s="36" t="inlineStr">
        <is>
          <t>https://instasure.ca/home-insurance/ontario/pickering/</t>
        </is>
      </c>
      <c r="L220" s="36">
        <f>IF(K220="","No","Yes")</f>
        <v/>
      </c>
      <c r="M220" s="39">
        <f>IF(K220="","",IFERROR(IF(ISNUMBER(SEARCH(A220,INDEX(Pages!$J$2:$J$829,MATCH(K220,Pages!$B$2:$B$829,0)))),"Yes","No"),"Page not found"))</f>
        <v/>
      </c>
      <c r="N220" s="25" t="inlineStr">
        <is>
          <t>(none seen)</t>
        </is>
      </c>
      <c r="O220" s="25" t="inlineStr">
        <is>
          <t>Page exists but is noindex until an editor adds a 300+ character local intro (Admin → SEO → Page overrides).</t>
        </is>
      </c>
      <c r="P220" s="40" t="n"/>
      <c r="Q220" s="38" t="n"/>
      <c r="R220" s="38" t="n"/>
    </row>
    <row r="221" ht="15" customHeight="1" s="22">
      <c r="A221" s="36" t="inlineStr">
        <is>
          <t>home insurance red deer</t>
        </is>
      </c>
      <c r="B221" s="36" t="inlineStr">
        <is>
          <t>Home insurance</t>
        </is>
      </c>
      <c r="C221" s="36" t="inlineStr">
        <is>
          <t>Home Insurance</t>
        </is>
      </c>
      <c r="D221" s="36" t="inlineStr">
        <is>
          <t>Alberta</t>
        </is>
      </c>
      <c r="E221" s="36" t="inlineStr">
        <is>
          <t>Red Deer</t>
        </is>
      </c>
      <c r="F221" s="37" t="n">
        <v>130</v>
      </c>
      <c r="G221" s="36" t="n">
        <v>40</v>
      </c>
      <c r="H221" s="36" t="inlineStr">
        <is>
          <t>local</t>
        </is>
      </c>
      <c r="I221" s="36" t="inlineStr">
        <is>
          <t>property-local</t>
        </is>
      </c>
      <c r="J221" s="36" t="n">
        <v>3</v>
      </c>
      <c r="K221" s="36" t="inlineStr">
        <is>
          <t>https://instasure.ca/home-insurance/alberta/red-deer/</t>
        </is>
      </c>
      <c r="L221" s="36">
        <f>IF(K221="","No","Yes")</f>
        <v/>
      </c>
      <c r="M221" s="39">
        <f>IF(K221="","",IFERROR(IF(ISNUMBER(SEARCH(A221,INDEX(Pages!$J$2:$J$829,MATCH(K221,Pages!$B$2:$B$829,0)))),"Yes","No"),"Page not found"))</f>
        <v/>
      </c>
      <c r="N221" s="25" t="inlineStr">
        <is>
          <t>(none seen)</t>
        </is>
      </c>
      <c r="O221" s="25" t="n"/>
      <c r="P221" s="40" t="n"/>
      <c r="Q221" s="38" t="n"/>
      <c r="R221" s="38" t="n"/>
    </row>
    <row r="222" ht="23.85" customHeight="1" s="22">
      <c r="A222" s="36" t="inlineStr">
        <is>
          <t>how much is car insurance in windsor</t>
        </is>
      </c>
      <c r="B222" s="36" t="inlineStr">
        <is>
          <t>Car insurance</t>
        </is>
      </c>
      <c r="C222" s="36" t="inlineStr">
        <is>
          <t>Car Insurance</t>
        </is>
      </c>
      <c r="D222" s="36" t="inlineStr">
        <is>
          <t>Ontario</t>
        </is>
      </c>
      <c r="E222" s="36" t="inlineStr">
        <is>
          <t>Windsor</t>
        </is>
      </c>
      <c r="F222" s="37" t="n">
        <v>130</v>
      </c>
      <c r="G222" s="36" t="n">
        <v>71</v>
      </c>
      <c r="H222" s="36" t="inlineStr">
        <is>
          <t>informational</t>
        </is>
      </c>
      <c r="I222" s="36" t="inlineStr">
        <is>
          <t>auto-local</t>
        </is>
      </c>
      <c r="J222" s="36" t="n">
        <v>4</v>
      </c>
      <c r="K222" s="36" t="inlineStr">
        <is>
          <t>https://instasure.ca/car-insurance/ontario/windsor/</t>
        </is>
      </c>
      <c r="L222" s="36">
        <f>IF(K222="","No","Yes")</f>
        <v/>
      </c>
      <c r="M222" s="39">
        <f>IF(K222="","",IFERROR(IF(ISNUMBER(SEARCH(A222,INDEX(Pages!$J$2:$J$829,MATCH(K222,Pages!$B$2:$B$829,0)))),"Yes","No"),"Page not found"))</f>
        <v/>
      </c>
      <c r="N222" s="25" t="inlineStr">
        <is>
          <t>ratehub, rates.ca</t>
        </is>
      </c>
      <c r="O222" s="25" t="inlineStr">
        <is>
          <t>Ratehub ranks a blog post for this. The city page answers it in the first two sentences with a dated average.</t>
        </is>
      </c>
      <c r="P222" s="40" t="n"/>
      <c r="Q222" s="38" t="n"/>
      <c r="R222" s="38" t="n"/>
    </row>
    <row r="223" ht="15" customHeight="1" s="22">
      <c r="A223" s="36" t="inlineStr">
        <is>
          <t>insurance advisor markham</t>
        </is>
      </c>
      <c r="B223" s="36" t="inlineStr">
        <is>
          <t>Multi-line (place hubs)</t>
        </is>
      </c>
      <c r="C223" s="36" t="n"/>
      <c r="D223" s="36" t="inlineStr">
        <is>
          <t>Ontario</t>
        </is>
      </c>
      <c r="E223" s="36" t="inlineStr">
        <is>
          <t>Markham</t>
        </is>
      </c>
      <c r="F223" s="37" t="n">
        <v>130</v>
      </c>
      <c r="G223" s="36" t="n">
        <v>30</v>
      </c>
      <c r="H223" s="36" t="inlineStr">
        <is>
          <t>local</t>
        </is>
      </c>
      <c r="I223" s="36" t="inlineStr">
        <is>
          <t>advisors</t>
        </is>
      </c>
      <c r="J223" s="36" t="n">
        <v>3</v>
      </c>
      <c r="K223" s="36" t="inlineStr">
        <is>
          <t>https://instasure.ca/insurance/ontario/markham/</t>
        </is>
      </c>
      <c r="L223" s="36">
        <f>IF(K223="","No","Yes")</f>
        <v/>
      </c>
      <c r="M223" s="39">
        <f>IF(K223="","",IFERROR(IF(ISNUMBER(SEARCH(A223,INDEX(Pages!$J$2:$J$829,MATCH(K223,Pages!$B$2:$B$829,0)))),"Yes","No"),"Page not found"))</f>
        <v/>
      </c>
      <c r="N223" s="25" t="inlineStr">
        <is>
          <t>local brokers, thinkinsure, rates.ca (broker pages)</t>
        </is>
      </c>
      <c r="O223" s="25" t="inlineStr">
        <is>
          <t>City hub. Add a Google Business Profile only where an advisor really works from that city.</t>
        </is>
      </c>
      <c r="P223" s="40" t="n"/>
      <c r="Q223" s="38" t="n"/>
      <c r="R223" s="38" t="n"/>
    </row>
    <row r="224" ht="15" customHeight="1" s="22">
      <c r="A224" s="36" t="inlineStr">
        <is>
          <t>life insurance burnaby</t>
        </is>
      </c>
      <c r="B224" s="36" t="inlineStr">
        <is>
          <t>Life insurance</t>
        </is>
      </c>
      <c r="C224" s="36" t="inlineStr">
        <is>
          <t>Life Insurance</t>
        </is>
      </c>
      <c r="D224" s="36" t="inlineStr">
        <is>
          <t>British Columbia</t>
        </is>
      </c>
      <c r="E224" s="36" t="inlineStr">
        <is>
          <t>Burnaby</t>
        </is>
      </c>
      <c r="F224" s="37" t="n">
        <v>130</v>
      </c>
      <c r="G224" s="36" t="n">
        <v>35</v>
      </c>
      <c r="H224" s="36" t="inlineStr">
        <is>
          <t>local</t>
        </is>
      </c>
      <c r="I224" s="36" t="inlineStr">
        <is>
          <t>life-local</t>
        </is>
      </c>
      <c r="J224" s="36" t="n">
        <v>2</v>
      </c>
      <c r="K224" s="36" t="inlineStr">
        <is>
          <t>https://instasure.ca/life-insurance/british-columbia/burnaby/</t>
        </is>
      </c>
      <c r="L224" s="36">
        <f>IF(K224="","No","Yes")</f>
        <v/>
      </c>
      <c r="M224" s="39">
        <f>IF(K224="","",IFERROR(IF(ISNUMBER(SEARCH(A224,INDEX(Pages!$J$2:$J$829,MATCH(K224,Pages!$B$2:$B$829,0)))),"Yes","No"),"Page not found"))</f>
        <v/>
      </c>
      <c r="N224" s="25" t="inlineStr">
        <is>
          <t>(none seen)</t>
        </is>
      </c>
      <c r="O224" s="25" t="n"/>
      <c r="P224" s="40" t="n"/>
      <c r="Q224" s="38" t="n"/>
      <c r="R224" s="38" t="n"/>
    </row>
    <row r="225" ht="15" customHeight="1" s="22">
      <c r="A225" s="36" t="inlineStr">
        <is>
          <t>life insurance kitchener</t>
        </is>
      </c>
      <c r="B225" s="36" t="inlineStr">
        <is>
          <t>Life insurance</t>
        </is>
      </c>
      <c r="C225" s="36" t="inlineStr">
        <is>
          <t>Life Insurance</t>
        </is>
      </c>
      <c r="D225" s="36" t="inlineStr">
        <is>
          <t>Ontario</t>
        </is>
      </c>
      <c r="E225" s="36" t="inlineStr">
        <is>
          <t>Kitchener</t>
        </is>
      </c>
      <c r="F225" s="37" t="n">
        <v>130</v>
      </c>
      <c r="G225" s="36" t="n">
        <v>43</v>
      </c>
      <c r="H225" s="36" t="inlineStr">
        <is>
          <t>local</t>
        </is>
      </c>
      <c r="I225" s="36" t="inlineStr">
        <is>
          <t>life-local</t>
        </is>
      </c>
      <c r="J225" s="36" t="n">
        <v>2</v>
      </c>
      <c r="K225" s="36" t="inlineStr">
        <is>
          <t>https://instasure.ca/life-insurance/ontario/kitchener/</t>
        </is>
      </c>
      <c r="L225" s="36">
        <f>IF(K225="","No","Yes")</f>
        <v/>
      </c>
      <c r="M225" s="39">
        <f>IF(K225="","",IFERROR(IF(ISNUMBER(SEARCH(A225,INDEX(Pages!$J$2:$J$829,MATCH(K225,Pages!$B$2:$B$829,0)))),"Yes","No"),"Page not found"))</f>
        <v/>
      </c>
      <c r="N225" s="25" t="inlineStr">
        <is>
          <t>(none seen)</t>
        </is>
      </c>
      <c r="O225" s="25" t="n"/>
      <c r="P225" s="40" t="n"/>
      <c r="Q225" s="38" t="n"/>
      <c r="R225" s="38" t="n"/>
    </row>
    <row r="226" ht="15" customHeight="1" s="22">
      <c r="A226" s="36" t="inlineStr">
        <is>
          <t>life insurance saskatoon</t>
        </is>
      </c>
      <c r="B226" s="36" t="inlineStr">
        <is>
          <t>Life insurance</t>
        </is>
      </c>
      <c r="C226" s="36" t="inlineStr">
        <is>
          <t>Life Insurance</t>
        </is>
      </c>
      <c r="D226" s="36" t="inlineStr">
        <is>
          <t>Saskatchewan</t>
        </is>
      </c>
      <c r="E226" s="36" t="inlineStr">
        <is>
          <t>Saskatoon</t>
        </is>
      </c>
      <c r="F226" s="37" t="n">
        <v>130</v>
      </c>
      <c r="G226" s="36" t="n">
        <v>35</v>
      </c>
      <c r="H226" s="36" t="inlineStr">
        <is>
          <t>local</t>
        </is>
      </c>
      <c r="I226" s="36" t="inlineStr">
        <is>
          <t>life-local</t>
        </is>
      </c>
      <c r="J226" s="36" t="n">
        <v>2</v>
      </c>
      <c r="K226" s="36" t="inlineStr">
        <is>
          <t>https://instasure.ca/life-insurance/saskatchewan/saskatoon/</t>
        </is>
      </c>
      <c r="L226" s="36">
        <f>IF(K226="","No","Yes")</f>
        <v/>
      </c>
      <c r="M226" s="39">
        <f>IF(K226="","",IFERROR(IF(ISNUMBER(SEARCH(A226,INDEX(Pages!$J$2:$J$829,MATCH(K226,Pages!$B$2:$B$829,0)))),"Yes","No"),"Page not found"))</f>
        <v/>
      </c>
      <c r="N226" s="25" t="inlineStr">
        <is>
          <t>(none seen)</t>
        </is>
      </c>
      <c r="O226" s="25" t="n"/>
      <c r="P226" s="40" t="n"/>
      <c r="Q226" s="38" t="n"/>
      <c r="R226" s="38" t="n"/>
    </row>
    <row r="227" ht="15" customHeight="1" s="22">
      <c r="A227" s="36" t="inlineStr">
        <is>
          <t>tenant insurance abbotsford</t>
        </is>
      </c>
      <c r="B227" s="36" t="inlineStr">
        <is>
          <t>Tenant insurance</t>
        </is>
      </c>
      <c r="C227" s="36" t="inlineStr">
        <is>
          <t>Tenant Insurance</t>
        </is>
      </c>
      <c r="D227" s="36" t="inlineStr">
        <is>
          <t>British Columbia</t>
        </is>
      </c>
      <c r="E227" s="36" t="inlineStr">
        <is>
          <t>Abbotsford</t>
        </is>
      </c>
      <c r="F227" s="37" t="n">
        <v>130</v>
      </c>
      <c r="G227" s="36" t="n">
        <v>32</v>
      </c>
      <c r="H227" s="36" t="inlineStr">
        <is>
          <t>local</t>
        </is>
      </c>
      <c r="I227" s="36" t="inlineStr">
        <is>
          <t>property-local</t>
        </is>
      </c>
      <c r="J227" s="36" t="n">
        <v>4</v>
      </c>
      <c r="K227" s="36" t="inlineStr">
        <is>
          <t>https://instasure.ca/tenant-insurance/british-columbia/abbotsford/</t>
        </is>
      </c>
      <c r="L227" s="36">
        <f>IF(K227="","No","Yes")</f>
        <v/>
      </c>
      <c r="M227" s="39">
        <f>IF(K227="","",IFERROR(IF(ISNUMBER(SEARCH(A227,INDEX(Pages!$J$2:$J$829,MATCH(K227,Pages!$B$2:$B$829,0)))),"Yes","No"),"Page not found"))</f>
        <v/>
      </c>
      <c r="N227" s="25" t="inlineStr">
        <is>
          <t>(none seen)</t>
        </is>
      </c>
      <c r="O227" s="25" t="n"/>
      <c r="P227" s="40" t="n"/>
      <c r="Q227" s="38" t="n"/>
      <c r="R227" s="38" t="n"/>
    </row>
    <row r="228" ht="15" customHeight="1" s="22">
      <c r="A228" s="36" t="inlineStr">
        <is>
          <t>business insurance montreal</t>
        </is>
      </c>
      <c r="B228" s="36" t="inlineStr">
        <is>
          <t>Business insurance</t>
        </is>
      </c>
      <c r="C228" s="36" t="inlineStr">
        <is>
          <t>Business Insurance</t>
        </is>
      </c>
      <c r="D228" s="36" t="inlineStr">
        <is>
          <t>Quebec</t>
        </is>
      </c>
      <c r="E228" s="36" t="inlineStr">
        <is>
          <t>Montreal</t>
        </is>
      </c>
      <c r="F228" s="37" t="n">
        <v>120</v>
      </c>
      <c r="G228" s="36" t="n">
        <v>33</v>
      </c>
      <c r="H228" s="36" t="inlineStr">
        <is>
          <t>local</t>
        </is>
      </c>
      <c r="I228" s="36" t="inlineStr">
        <is>
          <t>business-local</t>
        </is>
      </c>
      <c r="J228" s="36" t="n">
        <v>3</v>
      </c>
      <c r="K228" s="36" t="inlineStr">
        <is>
          <t>https://instasure.ca/business-insurance/quebec/montreal/</t>
        </is>
      </c>
      <c r="L228" s="36">
        <f>IF(K228="","No","Yes")</f>
        <v/>
      </c>
      <c r="M228" s="39">
        <f>IF(K228="","",IFERROR(IF(ISNUMBER(SEARCH(A228,INDEX(Pages!$J$2:$J$829,MATCH(K228,Pages!$B$2:$B$829,0)))),"Yes","No"),"Page not found"))</f>
        <v/>
      </c>
      <c r="N228" s="25" t="inlineStr">
        <is>
          <t>(none seen)</t>
        </is>
      </c>
      <c r="O228" s="25" t="inlineStr">
        <is>
          <t>Quebec waitlist until AMF registration.</t>
        </is>
      </c>
      <c r="P228" s="40" t="n"/>
      <c r="Q228" s="38" t="n"/>
      <c r="R228" s="38" t="n"/>
    </row>
    <row r="229" ht="23.85" customHeight="1" s="22">
      <c r="A229" s="36" t="inlineStr">
        <is>
          <t>car insurance sherbrooke</t>
        </is>
      </c>
      <c r="B229" s="36" t="inlineStr">
        <is>
          <t>Car insurance</t>
        </is>
      </c>
      <c r="C229" s="36" t="inlineStr">
        <is>
          <t>Car Insurance</t>
        </is>
      </c>
      <c r="D229" s="36" t="inlineStr">
        <is>
          <t>Quebec</t>
        </is>
      </c>
      <c r="E229" s="36" t="inlineStr">
        <is>
          <t>Sherbrooke</t>
        </is>
      </c>
      <c r="F229" s="37" t="n">
        <v>120</v>
      </c>
      <c r="G229" s="36" t="n">
        <v>44</v>
      </c>
      <c r="H229" s="36" t="inlineStr">
        <is>
          <t>local</t>
        </is>
      </c>
      <c r="I229" s="36" t="inlineStr">
        <is>
          <t>auto-local</t>
        </is>
      </c>
      <c r="J229" s="36" t="n">
        <v>5</v>
      </c>
      <c r="K229" s="36" t="inlineStr">
        <is>
          <t>https://instasure.ca/car-insurance/quebec/sherbrooke/</t>
        </is>
      </c>
      <c r="L229" s="36">
        <f>IF(K229="","No","Yes")</f>
        <v/>
      </c>
      <c r="M229" s="39">
        <f>IF(K229="","",IFERROR(IF(ISNUMBER(SEARCH(A229,INDEX(Pages!$J$2:$J$829,MATCH(K229,Pages!$B$2:$B$829,0)))),"Yes","No"),"Page not found"))</f>
        <v/>
      </c>
      <c r="N229" s="25" t="inlineStr">
        <is>
          <t>(none seen)</t>
        </is>
      </c>
      <c r="O229" s="25" t="inlineStr">
        <is>
          <t>Page exists but is noindex until an editor adds a 300+ character local intro (Admin → SEO → Page overrides). Quebec waitlist until AMF registration.</t>
        </is>
      </c>
      <c r="P229" s="40" t="n"/>
      <c r="Q229" s="38" t="n"/>
      <c r="R229" s="38" t="n"/>
    </row>
    <row r="230" ht="15" customHeight="1" s="22">
      <c r="A230" s="36" t="inlineStr">
        <is>
          <t>cheap car insurance st johns</t>
        </is>
      </c>
      <c r="B230" s="36" t="inlineStr">
        <is>
          <t>Car insurance</t>
        </is>
      </c>
      <c r="C230" s="36" t="inlineStr">
        <is>
          <t>Car Insurance</t>
        </is>
      </c>
      <c r="D230" s="36" t="inlineStr">
        <is>
          <t>Newfoundland and Labrador</t>
        </is>
      </c>
      <c r="E230" s="36" t="inlineStr">
        <is>
          <t>St. John’s</t>
        </is>
      </c>
      <c r="F230" s="37" t="n">
        <v>120</v>
      </c>
      <c r="G230" s="36" t="n">
        <v>59</v>
      </c>
      <c r="H230" s="36" t="inlineStr">
        <is>
          <t>transactional</t>
        </is>
      </c>
      <c r="I230" s="36" t="inlineStr">
        <is>
          <t>auto-local</t>
        </is>
      </c>
      <c r="J230" s="36" t="n">
        <v>4</v>
      </c>
      <c r="K230" s="36" t="inlineStr">
        <is>
          <t>https://instasure.ca/car-insurance/newfoundland-and-labrador/st-johns/</t>
        </is>
      </c>
      <c r="L230" s="36">
        <f>IF(K230="","No","Yes")</f>
        <v/>
      </c>
      <c r="M230" s="39">
        <f>IF(K230="","",IFERROR(IF(ISNUMBER(SEARCH(A230,INDEX(Pages!$J$2:$J$829,MATCH(K230,Pages!$B$2:$B$829,0)))),"Yes","No"),"Page not found"))</f>
        <v/>
      </c>
      <c r="N230" s="25" t="inlineStr">
        <is>
          <t>ratehub</t>
        </is>
      </c>
      <c r="O230" s="25" t="inlineStr">
        <is>
          <t>Rates.ca titles lead with "Cheap"; answer with factors and FSA data, not a price promise.</t>
        </is>
      </c>
      <c r="P230" s="40" t="n"/>
      <c r="Q230" s="38" t="n"/>
      <c r="R230" s="38" t="n"/>
    </row>
    <row r="231" ht="15" customHeight="1" s="22">
      <c r="A231" s="36" t="inlineStr">
        <is>
          <t>condo insurance montreal</t>
        </is>
      </c>
      <c r="B231" s="36" t="inlineStr">
        <is>
          <t>Condo insurance</t>
        </is>
      </c>
      <c r="C231" s="36" t="inlineStr">
        <is>
          <t>Condo Insurance</t>
        </is>
      </c>
      <c r="D231" s="36" t="inlineStr">
        <is>
          <t>Quebec</t>
        </is>
      </c>
      <c r="E231" s="36" t="inlineStr">
        <is>
          <t>Montreal</t>
        </is>
      </c>
      <c r="F231" s="37" t="n">
        <v>120</v>
      </c>
      <c r="G231" s="36" t="n">
        <v>40</v>
      </c>
      <c r="H231" s="36" t="inlineStr">
        <is>
          <t>local</t>
        </is>
      </c>
      <c r="I231" s="36" t="inlineStr">
        <is>
          <t>property-local</t>
        </is>
      </c>
      <c r="J231" s="36" t="n">
        <v>5</v>
      </c>
      <c r="K231" s="36" t="inlineStr">
        <is>
          <t>https://instasure.ca/condo-insurance/quebec/montreal/</t>
        </is>
      </c>
      <c r="L231" s="36">
        <f>IF(K231="","No","Yes")</f>
        <v/>
      </c>
      <c r="M231" s="39">
        <f>IF(K231="","",IFERROR(IF(ISNUMBER(SEARCH(A231,INDEX(Pages!$J$2:$J$829,MATCH(K231,Pages!$B$2:$B$829,0)))),"Yes","No"),"Page not found"))</f>
        <v/>
      </c>
      <c r="N231" s="25" t="inlineStr">
        <is>
          <t>(none seen)</t>
        </is>
      </c>
      <c r="O231" s="25" t="inlineStr">
        <is>
          <t>Quebec waitlist until AMF registration.</t>
        </is>
      </c>
      <c r="P231" s="40" t="n"/>
      <c r="Q231" s="38" t="n"/>
      <c r="R231" s="38" t="n"/>
    </row>
    <row r="232" ht="15" customHeight="1" s="22">
      <c r="A232" s="36" t="inlineStr">
        <is>
          <t>home insurance victoria</t>
        </is>
      </c>
      <c r="B232" s="36" t="inlineStr">
        <is>
          <t>Home insurance</t>
        </is>
      </c>
      <c r="C232" s="36" t="inlineStr">
        <is>
          <t>Home Insurance</t>
        </is>
      </c>
      <c r="D232" s="36" t="inlineStr">
        <is>
          <t>British Columbia</t>
        </is>
      </c>
      <c r="E232" s="36" t="inlineStr">
        <is>
          <t>Victoria</t>
        </is>
      </c>
      <c r="F232" s="37" t="n">
        <v>120</v>
      </c>
      <c r="G232" s="36" t="n">
        <v>52</v>
      </c>
      <c r="H232" s="36" t="inlineStr">
        <is>
          <t>local</t>
        </is>
      </c>
      <c r="I232" s="36" t="inlineStr">
        <is>
          <t>property-local</t>
        </is>
      </c>
      <c r="J232" s="36" t="n">
        <v>4</v>
      </c>
      <c r="K232" s="36" t="inlineStr">
        <is>
          <t>https://instasure.ca/home-insurance/british-columbia/victoria/</t>
        </is>
      </c>
      <c r="L232" s="36">
        <f>IF(K232="","No","Yes")</f>
        <v/>
      </c>
      <c r="M232" s="39">
        <f>IF(K232="","",IFERROR(IF(ISNUMBER(SEARCH(A232,INDEX(Pages!$J$2:$J$829,MATCH(K232,Pages!$B$2:$B$829,0)))),"Yes","No"),"Page not found"))</f>
        <v/>
      </c>
      <c r="N232" s="25" t="inlineStr">
        <is>
          <t>ratehub</t>
        </is>
      </c>
      <c r="O232" s="25" t="n"/>
      <c r="P232" s="40" t="n"/>
      <c r="Q232" s="38" t="n"/>
      <c r="R232" s="38" t="n"/>
    </row>
    <row r="233" ht="15" customHeight="1" s="22">
      <c r="A233" s="36" t="inlineStr">
        <is>
          <t>insurance advisor vaughan</t>
        </is>
      </c>
      <c r="B233" s="36" t="inlineStr">
        <is>
          <t>Multi-line (place hubs)</t>
        </is>
      </c>
      <c r="C233" s="36" t="n"/>
      <c r="D233" s="36" t="inlineStr">
        <is>
          <t>Ontario</t>
        </is>
      </c>
      <c r="E233" s="36" t="inlineStr">
        <is>
          <t>Vaughan</t>
        </is>
      </c>
      <c r="F233" s="37" t="n">
        <v>120</v>
      </c>
      <c r="G233" s="36" t="n">
        <v>30</v>
      </c>
      <c r="H233" s="36" t="inlineStr">
        <is>
          <t>local</t>
        </is>
      </c>
      <c r="I233" s="36" t="inlineStr">
        <is>
          <t>advisors</t>
        </is>
      </c>
      <c r="J233" s="36" t="n">
        <v>3</v>
      </c>
      <c r="K233" s="36" t="inlineStr">
        <is>
          <t>https://instasure.ca/insurance/ontario/vaughan/</t>
        </is>
      </c>
      <c r="L233" s="36">
        <f>IF(K233="","No","Yes")</f>
        <v/>
      </c>
      <c r="M233" s="39">
        <f>IF(K233="","",IFERROR(IF(ISNUMBER(SEARCH(A233,INDEX(Pages!$J$2:$J$829,MATCH(K233,Pages!$B$2:$B$829,0)))),"Yes","No"),"Page not found"))</f>
        <v/>
      </c>
      <c r="N233" s="25" t="inlineStr">
        <is>
          <t>local brokers, thinkinsure, rates.ca (broker pages)</t>
        </is>
      </c>
      <c r="O233" s="25" t="inlineStr">
        <is>
          <t>City hub. Add a Google Business Profile only where an advisor really works from that city.</t>
        </is>
      </c>
      <c r="P233" s="40" t="n"/>
      <c r="Q233" s="38" t="n"/>
      <c r="R233" s="38" t="n"/>
    </row>
    <row r="234" ht="15" customHeight="1" s="22">
      <c r="A234" s="36" t="inlineStr">
        <is>
          <t>life insurance regina</t>
        </is>
      </c>
      <c r="B234" s="36" t="inlineStr">
        <is>
          <t>Life insurance</t>
        </is>
      </c>
      <c r="C234" s="36" t="inlineStr">
        <is>
          <t>Life Insurance</t>
        </is>
      </c>
      <c r="D234" s="36" t="inlineStr">
        <is>
          <t>Saskatchewan</t>
        </is>
      </c>
      <c r="E234" s="36" t="inlineStr">
        <is>
          <t>Regina</t>
        </is>
      </c>
      <c r="F234" s="37" t="n">
        <v>120</v>
      </c>
      <c r="G234" s="36" t="n">
        <v>35</v>
      </c>
      <c r="H234" s="36" t="inlineStr">
        <is>
          <t>local</t>
        </is>
      </c>
      <c r="I234" s="36" t="inlineStr">
        <is>
          <t>life-local</t>
        </is>
      </c>
      <c r="J234" s="36" t="n">
        <v>2</v>
      </c>
      <c r="K234" s="36" t="inlineStr">
        <is>
          <t>https://instasure.ca/life-insurance/saskatchewan/regina/</t>
        </is>
      </c>
      <c r="L234" s="36">
        <f>IF(K234="","No","Yes")</f>
        <v/>
      </c>
      <c r="M234" s="39">
        <f>IF(K234="","",IFERROR(IF(ISNUMBER(SEARCH(A234,INDEX(Pages!$J$2:$J$829,MATCH(K234,Pages!$B$2:$B$829,0)))),"Yes","No"),"Page not found"))</f>
        <v/>
      </c>
      <c r="N234" s="25" t="inlineStr">
        <is>
          <t>(none seen)</t>
        </is>
      </c>
      <c r="O234" s="25" t="n"/>
      <c r="P234" s="40" t="n"/>
      <c r="Q234" s="38" t="n"/>
      <c r="R234" s="38" t="n"/>
    </row>
    <row r="235" ht="23.85" customHeight="1" s="22">
      <c r="A235" s="36" t="inlineStr">
        <is>
          <t>life insurance windsor</t>
        </is>
      </c>
      <c r="B235" s="36" t="inlineStr">
        <is>
          <t>Life insurance</t>
        </is>
      </c>
      <c r="C235" s="36" t="inlineStr">
        <is>
          <t>Life Insurance</t>
        </is>
      </c>
      <c r="D235" s="36" t="inlineStr">
        <is>
          <t>Ontario</t>
        </is>
      </c>
      <c r="E235" s="36" t="inlineStr">
        <is>
          <t>Windsor</t>
        </is>
      </c>
      <c r="F235" s="37" t="n">
        <v>120</v>
      </c>
      <c r="G235" s="36" t="n">
        <v>47</v>
      </c>
      <c r="H235" s="36" t="inlineStr">
        <is>
          <t>local</t>
        </is>
      </c>
      <c r="I235" s="36" t="inlineStr">
        <is>
          <t>life-local</t>
        </is>
      </c>
      <c r="J235" s="36" t="n">
        <v>2</v>
      </c>
      <c r="K235" s="36" t="inlineStr">
        <is>
          <t>https://instasure.ca/life-insurance/ontario/windsor/</t>
        </is>
      </c>
      <c r="L235" s="36">
        <f>IF(K235="","No","Yes")</f>
        <v/>
      </c>
      <c r="M235" s="39">
        <f>IF(K235="","",IFERROR(IF(ISNUMBER(SEARCH(A235,INDEX(Pages!$J$2:$J$829,MATCH(K235,Pages!$B$2:$B$829,0)))),"Yes","No"),"Page not found"))</f>
        <v/>
      </c>
      <c r="N235" s="25" t="inlineStr">
        <is>
          <t>policyadvisor (stale 2025 titles)</t>
        </is>
      </c>
      <c r="O235" s="25" t="inlineStr">
        <is>
          <t>Competitor city pages here are thin or carry stale dates (October 2026 review): freshness opening.</t>
        </is>
      </c>
      <c r="P235" s="40" t="n"/>
      <c r="Q235" s="38" t="n"/>
      <c r="R235" s="38" t="n"/>
    </row>
    <row r="236" ht="15" customHeight="1" s="22">
      <c r="A236" s="36" t="inlineStr">
        <is>
          <t>tenant insurance barrie</t>
        </is>
      </c>
      <c r="B236" s="36" t="inlineStr">
        <is>
          <t>Tenant insurance</t>
        </is>
      </c>
      <c r="C236" s="36" t="inlineStr">
        <is>
          <t>Tenant Insurance</t>
        </is>
      </c>
      <c r="D236" s="36" t="inlineStr">
        <is>
          <t>Ontario</t>
        </is>
      </c>
      <c r="E236" s="36" t="inlineStr">
        <is>
          <t>Barrie</t>
        </is>
      </c>
      <c r="F236" s="37" t="n">
        <v>120</v>
      </c>
      <c r="G236" s="36" t="n">
        <v>40</v>
      </c>
      <c r="H236" s="36" t="inlineStr">
        <is>
          <t>local</t>
        </is>
      </c>
      <c r="I236" s="36" t="inlineStr">
        <is>
          <t>property-local</t>
        </is>
      </c>
      <c r="J236" s="36" t="n">
        <v>5</v>
      </c>
      <c r="K236" s="36" t="inlineStr">
        <is>
          <t>https://instasure.ca/tenant-insurance/ontario/barrie/</t>
        </is>
      </c>
      <c r="L236" s="36">
        <f>IF(K236="","No","Yes")</f>
        <v/>
      </c>
      <c r="M236" s="39">
        <f>IF(K236="","",IFERROR(IF(ISNUMBER(SEARCH(A236,INDEX(Pages!$J$2:$J$829,MATCH(K236,Pages!$B$2:$B$829,0)))),"Yes","No"),"Page not found"))</f>
        <v/>
      </c>
      <c r="N236" s="25" t="inlineStr">
        <is>
          <t>(none seen)</t>
        </is>
      </c>
      <c r="O236" s="25" t="n"/>
      <c r="P236" s="40" t="n"/>
      <c r="Q236" s="38" t="n"/>
      <c r="R236" s="38" t="n"/>
    </row>
    <row r="237" ht="23.85" customHeight="1" s="22">
      <c r="A237" s="36" t="inlineStr">
        <is>
          <t>tenant insurance cambridge</t>
        </is>
      </c>
      <c r="B237" s="36" t="inlineStr">
        <is>
          <t>Tenant insurance</t>
        </is>
      </c>
      <c r="C237" s="36" t="inlineStr">
        <is>
          <t>Tenant Insurance</t>
        </is>
      </c>
      <c r="D237" s="36" t="inlineStr">
        <is>
          <t>Ontario</t>
        </is>
      </c>
      <c r="E237" s="36" t="inlineStr">
        <is>
          <t>Cambridge</t>
        </is>
      </c>
      <c r="F237" s="37" t="n">
        <v>120</v>
      </c>
      <c r="G237" s="36" t="n">
        <v>32</v>
      </c>
      <c r="H237" s="36" t="inlineStr">
        <is>
          <t>local</t>
        </is>
      </c>
      <c r="I237" s="36" t="inlineStr">
        <is>
          <t>property-local</t>
        </is>
      </c>
      <c r="J237" s="36" t="n">
        <v>5</v>
      </c>
      <c r="K237" s="36" t="inlineStr">
        <is>
          <t>https://instasure.ca/tenant-insurance/ontario/cambridge/</t>
        </is>
      </c>
      <c r="L237" s="36">
        <f>IF(K237="","No","Yes")</f>
        <v/>
      </c>
      <c r="M237" s="39">
        <f>IF(K237="","",IFERROR(IF(ISNUMBER(SEARCH(A237,INDEX(Pages!$J$2:$J$829,MATCH(K237,Pages!$B$2:$B$829,0)))),"Yes","No"),"Page not found"))</f>
        <v/>
      </c>
      <c r="N237" s="25" t="inlineStr">
        <is>
          <t>(none seen)</t>
        </is>
      </c>
      <c r="O237" s="25" t="inlineStr">
        <is>
          <t>Page exists but is noindex until an editor adds a 300+ character local intro (Admin → SEO → Page overrides).</t>
        </is>
      </c>
      <c r="P237" s="40" t="n"/>
      <c r="Q237" s="38" t="n"/>
      <c r="R237" s="38" t="n"/>
    </row>
    <row r="238" ht="15" customHeight="1" s="22">
      <c r="A238" s="36" t="inlineStr">
        <is>
          <t>tenant insurance coquitlam</t>
        </is>
      </c>
      <c r="B238" s="36" t="inlineStr">
        <is>
          <t>Tenant insurance</t>
        </is>
      </c>
      <c r="C238" s="36" t="inlineStr">
        <is>
          <t>Tenant Insurance</t>
        </is>
      </c>
      <c r="D238" s="36" t="inlineStr">
        <is>
          <t>British Columbia</t>
        </is>
      </c>
      <c r="E238" s="36" t="inlineStr">
        <is>
          <t>Coquitlam</t>
        </is>
      </c>
      <c r="F238" s="37" t="n">
        <v>120</v>
      </c>
      <c r="G238" s="36" t="n">
        <v>32</v>
      </c>
      <c r="H238" s="36" t="inlineStr">
        <is>
          <t>local</t>
        </is>
      </c>
      <c r="I238" s="36" t="inlineStr">
        <is>
          <t>property-local</t>
        </is>
      </c>
      <c r="J238" s="36" t="n">
        <v>4</v>
      </c>
      <c r="K238" s="36" t="inlineStr">
        <is>
          <t>https://instasure.ca/tenant-insurance/british-columbia/coquitlam/</t>
        </is>
      </c>
      <c r="L238" s="36">
        <f>IF(K238="","No","Yes")</f>
        <v/>
      </c>
      <c r="M238" s="39">
        <f>IF(K238="","",IFERROR(IF(ISNUMBER(SEARCH(A238,INDEX(Pages!$J$2:$J$829,MATCH(K238,Pages!$B$2:$B$829,0)))),"Yes","No"),"Page not found"))</f>
        <v/>
      </c>
      <c r="N238" s="25" t="inlineStr">
        <is>
          <t>(none seen)</t>
        </is>
      </c>
      <c r="O238" s="25" t="n"/>
      <c r="P238" s="40" t="n"/>
      <c r="Q238" s="38" t="n"/>
      <c r="R238" s="38" t="n"/>
    </row>
    <row r="239" ht="15" customHeight="1" s="22">
      <c r="A239" s="36" t="inlineStr">
        <is>
          <t>tenant insurance guelph</t>
        </is>
      </c>
      <c r="B239" s="36" t="inlineStr">
        <is>
          <t>Tenant insurance</t>
        </is>
      </c>
      <c r="C239" s="36" t="inlineStr">
        <is>
          <t>Tenant Insurance</t>
        </is>
      </c>
      <c r="D239" s="36" t="inlineStr">
        <is>
          <t>Ontario</t>
        </is>
      </c>
      <c r="E239" s="36" t="inlineStr">
        <is>
          <t>Guelph</t>
        </is>
      </c>
      <c r="F239" s="37" t="n">
        <v>120</v>
      </c>
      <c r="G239" s="36" t="n">
        <v>40</v>
      </c>
      <c r="H239" s="36" t="inlineStr">
        <is>
          <t>local</t>
        </is>
      </c>
      <c r="I239" s="36" t="inlineStr">
        <is>
          <t>property-local</t>
        </is>
      </c>
      <c r="J239" s="36" t="n">
        <v>5</v>
      </c>
      <c r="K239" s="36" t="inlineStr">
        <is>
          <t>https://instasure.ca/tenant-insurance/ontario/guelph/</t>
        </is>
      </c>
      <c r="L239" s="36">
        <f>IF(K239="","No","Yes")</f>
        <v/>
      </c>
      <c r="M239" s="39">
        <f>IF(K239="","",IFERROR(IF(ISNUMBER(SEARCH(A239,INDEX(Pages!$J$2:$J$829,MATCH(K239,Pages!$B$2:$B$829,0)))),"Yes","No"),"Page not found"))</f>
        <v/>
      </c>
      <c r="N239" s="25" t="inlineStr">
        <is>
          <t>(none seen)</t>
        </is>
      </c>
      <c r="O239" s="25" t="n"/>
      <c r="P239" s="40" t="n"/>
      <c r="Q239" s="38" t="n"/>
      <c r="R239" s="38" t="n"/>
    </row>
    <row r="240" ht="15" customHeight="1" s="22">
      <c r="A240" s="36" t="inlineStr">
        <is>
          <t>tenant insurance kelowna</t>
        </is>
      </c>
      <c r="B240" s="36" t="inlineStr">
        <is>
          <t>Tenant insurance</t>
        </is>
      </c>
      <c r="C240" s="36" t="inlineStr">
        <is>
          <t>Tenant Insurance</t>
        </is>
      </c>
      <c r="D240" s="36" t="inlineStr">
        <is>
          <t>British Columbia</t>
        </is>
      </c>
      <c r="E240" s="36" t="inlineStr">
        <is>
          <t>Kelowna</t>
        </is>
      </c>
      <c r="F240" s="37" t="n">
        <v>120</v>
      </c>
      <c r="G240" s="36" t="n">
        <v>40</v>
      </c>
      <c r="H240" s="36" t="inlineStr">
        <is>
          <t>local</t>
        </is>
      </c>
      <c r="I240" s="36" t="inlineStr">
        <is>
          <t>property-local</t>
        </is>
      </c>
      <c r="J240" s="36" t="n">
        <v>5</v>
      </c>
      <c r="K240" s="36" t="inlineStr">
        <is>
          <t>https://instasure.ca/tenant-insurance/british-columbia/kelowna/</t>
        </is>
      </c>
      <c r="L240" s="36">
        <f>IF(K240="","No","Yes")</f>
        <v/>
      </c>
      <c r="M240" s="39">
        <f>IF(K240="","",IFERROR(IF(ISNUMBER(SEARCH(A240,INDEX(Pages!$J$2:$J$829,MATCH(K240,Pages!$B$2:$B$829,0)))),"Yes","No"),"Page not found"))</f>
        <v/>
      </c>
      <c r="N240" s="25" t="inlineStr">
        <is>
          <t>(none seen)</t>
        </is>
      </c>
      <c r="O240" s="25" t="n"/>
      <c r="P240" s="40" t="n"/>
      <c r="Q240" s="38" t="n"/>
      <c r="R240" s="38" t="n"/>
    </row>
    <row r="241" ht="15" customHeight="1" s="22">
      <c r="A241" s="36" t="inlineStr">
        <is>
          <t>tenant insurance st catharines</t>
        </is>
      </c>
      <c r="B241" s="36" t="inlineStr">
        <is>
          <t>Tenant insurance</t>
        </is>
      </c>
      <c r="C241" s="36" t="inlineStr">
        <is>
          <t>Tenant Insurance</t>
        </is>
      </c>
      <c r="D241" s="36" t="inlineStr">
        <is>
          <t>Ontario</t>
        </is>
      </c>
      <c r="E241" s="36" t="inlineStr">
        <is>
          <t>St. Catharines</t>
        </is>
      </c>
      <c r="F241" s="37" t="n">
        <v>120</v>
      </c>
      <c r="G241" s="36" t="n">
        <v>40</v>
      </c>
      <c r="H241" s="36" t="inlineStr">
        <is>
          <t>local</t>
        </is>
      </c>
      <c r="I241" s="36" t="inlineStr">
        <is>
          <t>property-local</t>
        </is>
      </c>
      <c r="J241" s="36" t="n">
        <v>5</v>
      </c>
      <c r="K241" s="36" t="inlineStr">
        <is>
          <t>https://instasure.ca/tenant-insurance/ontario/st-catharines/</t>
        </is>
      </c>
      <c r="L241" s="36">
        <f>IF(K241="","No","Yes")</f>
        <v/>
      </c>
      <c r="M241" s="39">
        <f>IF(K241="","",IFERROR(IF(ISNUMBER(SEARCH(A241,INDEX(Pages!$J$2:$J$829,MATCH(K241,Pages!$B$2:$B$829,0)))),"Yes","No"),"Page not found"))</f>
        <v/>
      </c>
      <c r="N241" s="25" t="inlineStr">
        <is>
          <t>(none seen)</t>
        </is>
      </c>
      <c r="O241" s="25" t="n"/>
      <c r="P241" s="40" t="n"/>
      <c r="Q241" s="38" t="n"/>
      <c r="R241" s="38" t="n"/>
    </row>
    <row r="242" ht="23.85" customHeight="1" s="22">
      <c r="A242" s="36" t="inlineStr">
        <is>
          <t>tenant insurance whitby</t>
        </is>
      </c>
      <c r="B242" s="36" t="inlineStr">
        <is>
          <t>Tenant insurance</t>
        </is>
      </c>
      <c r="C242" s="36" t="inlineStr">
        <is>
          <t>Tenant Insurance</t>
        </is>
      </c>
      <c r="D242" s="36" t="inlineStr">
        <is>
          <t>Ontario</t>
        </is>
      </c>
      <c r="E242" s="36" t="inlineStr">
        <is>
          <t>Whitby</t>
        </is>
      </c>
      <c r="F242" s="37" t="n">
        <v>120</v>
      </c>
      <c r="G242" s="36" t="n">
        <v>32</v>
      </c>
      <c r="H242" s="36" t="inlineStr">
        <is>
          <t>local</t>
        </is>
      </c>
      <c r="I242" s="36" t="inlineStr">
        <is>
          <t>property-local</t>
        </is>
      </c>
      <c r="J242" s="36" t="n">
        <v>5</v>
      </c>
      <c r="K242" s="36" t="inlineStr">
        <is>
          <t>https://instasure.ca/tenant-insurance/ontario/whitby/</t>
        </is>
      </c>
      <c r="L242" s="36">
        <f>IF(K242="","No","Yes")</f>
        <v/>
      </c>
      <c r="M242" s="39">
        <f>IF(K242="","",IFERROR(IF(ISNUMBER(SEARCH(A242,INDEX(Pages!$J$2:$J$829,MATCH(K242,Pages!$B$2:$B$829,0)))),"Yes","No"),"Page not found"))</f>
        <v/>
      </c>
      <c r="N242" s="25" t="inlineStr">
        <is>
          <t>(none seen)</t>
        </is>
      </c>
      <c r="O242" s="25" t="inlineStr">
        <is>
          <t>Page exists but is noindex until an editor adds a 300+ character local intro (Admin → SEO → Page overrides).</t>
        </is>
      </c>
      <c r="P242" s="40" t="n"/>
      <c r="Q242" s="38" t="n"/>
      <c r="R242" s="38" t="n"/>
    </row>
    <row r="243" ht="15" customHeight="1" s="22">
      <c r="A243" s="36" t="inlineStr">
        <is>
          <t>business insurance markham</t>
        </is>
      </c>
      <c r="B243" s="36" t="inlineStr">
        <is>
          <t>Business insurance</t>
        </is>
      </c>
      <c r="C243" s="36" t="inlineStr">
        <is>
          <t>Business Insurance</t>
        </is>
      </c>
      <c r="D243" s="36" t="inlineStr">
        <is>
          <t>Ontario</t>
        </is>
      </c>
      <c r="E243" s="36" t="inlineStr">
        <is>
          <t>Markham</t>
        </is>
      </c>
      <c r="F243" s="37" t="n">
        <v>110</v>
      </c>
      <c r="G243" s="36" t="n">
        <v>41</v>
      </c>
      <c r="H243" s="36" t="inlineStr">
        <is>
          <t>local</t>
        </is>
      </c>
      <c r="I243" s="36" t="inlineStr">
        <is>
          <t>business-local</t>
        </is>
      </c>
      <c r="J243" s="36" t="n">
        <v>2</v>
      </c>
      <c r="K243" s="36" t="inlineStr">
        <is>
          <t>https://instasure.ca/business-insurance/ontario/markham/</t>
        </is>
      </c>
      <c r="L243" s="36">
        <f>IF(K243="","No","Yes")</f>
        <v/>
      </c>
      <c r="M243" s="39">
        <f>IF(K243="","",IFERROR(IF(ISNUMBER(SEARCH(A243,INDEX(Pages!$J$2:$J$829,MATCH(K243,Pages!$B$2:$B$829,0)))),"Yes","No"),"Page not found"))</f>
        <v/>
      </c>
      <c r="N243" s="25" t="inlineStr">
        <is>
          <t>(none seen)</t>
        </is>
      </c>
      <c r="O243" s="25" t="n"/>
      <c r="P243" s="40" t="n"/>
      <c r="Q243" s="38" t="n"/>
      <c r="R243" s="38" t="n"/>
    </row>
    <row r="244" ht="15" customHeight="1" s="22">
      <c r="A244" s="36" t="inlineStr">
        <is>
          <t>business insurance vaughan</t>
        </is>
      </c>
      <c r="B244" s="36" t="inlineStr">
        <is>
          <t>Business insurance</t>
        </is>
      </c>
      <c r="C244" s="36" t="inlineStr">
        <is>
          <t>Business Insurance</t>
        </is>
      </c>
      <c r="D244" s="36" t="inlineStr">
        <is>
          <t>Ontario</t>
        </is>
      </c>
      <c r="E244" s="36" t="inlineStr">
        <is>
          <t>Vaughan</t>
        </is>
      </c>
      <c r="F244" s="37" t="n">
        <v>110</v>
      </c>
      <c r="G244" s="36" t="n">
        <v>41</v>
      </c>
      <c r="H244" s="36" t="inlineStr">
        <is>
          <t>local</t>
        </is>
      </c>
      <c r="I244" s="36" t="inlineStr">
        <is>
          <t>business-local</t>
        </is>
      </c>
      <c r="J244" s="36" t="n">
        <v>2</v>
      </c>
      <c r="K244" s="36" t="inlineStr">
        <is>
          <t>https://instasure.ca/business-insurance/ontario/vaughan/</t>
        </is>
      </c>
      <c r="L244" s="36">
        <f>IF(K244="","No","Yes")</f>
        <v/>
      </c>
      <c r="M244" s="39">
        <f>IF(K244="","",IFERROR(IF(ISNUMBER(SEARCH(A244,INDEX(Pages!$J$2:$J$829,MATCH(K244,Pages!$B$2:$B$829,0)))),"Yes","No"),"Page not found"))</f>
        <v/>
      </c>
      <c r="N244" s="25" t="inlineStr">
        <is>
          <t>(none seen)</t>
        </is>
      </c>
      <c r="O244" s="25" t="n"/>
      <c r="P244" s="40" t="n"/>
      <c r="Q244" s="38" t="n"/>
      <c r="R244" s="38" t="n"/>
    </row>
    <row r="245" ht="15" customHeight="1" s="22">
      <c r="A245" s="36" t="inlineStr">
        <is>
          <t>condo insurance markham</t>
        </is>
      </c>
      <c r="B245" s="36" t="inlineStr">
        <is>
          <t>Condo insurance</t>
        </is>
      </c>
      <c r="C245" s="36" t="inlineStr">
        <is>
          <t>Condo Insurance</t>
        </is>
      </c>
      <c r="D245" s="36" t="inlineStr">
        <is>
          <t>Ontario</t>
        </is>
      </c>
      <c r="E245" s="36" t="inlineStr">
        <is>
          <t>Markham</t>
        </is>
      </c>
      <c r="F245" s="37" t="n">
        <v>110</v>
      </c>
      <c r="G245" s="36" t="n">
        <v>48</v>
      </c>
      <c r="H245" s="36" t="inlineStr">
        <is>
          <t>local</t>
        </is>
      </c>
      <c r="I245" s="36" t="inlineStr">
        <is>
          <t>property-local</t>
        </is>
      </c>
      <c r="J245" s="36" t="n">
        <v>4</v>
      </c>
      <c r="K245" s="36" t="inlineStr">
        <is>
          <t>https://instasure.ca/condo-insurance/ontario/markham/</t>
        </is>
      </c>
      <c r="L245" s="36">
        <f>IF(K245="","No","Yes")</f>
        <v/>
      </c>
      <c r="M245" s="39">
        <f>IF(K245="","",IFERROR(IF(ISNUMBER(SEARCH(A245,INDEX(Pages!$J$2:$J$829,MATCH(K245,Pages!$B$2:$B$829,0)))),"Yes","No"),"Page not found"))</f>
        <v/>
      </c>
      <c r="N245" s="25" t="inlineStr">
        <is>
          <t>(none seen)</t>
        </is>
      </c>
      <c r="O245" s="25" t="n"/>
      <c r="P245" s="40" t="n"/>
      <c r="Q245" s="38" t="n"/>
      <c r="R245" s="38" t="n"/>
    </row>
    <row r="246" ht="15" customHeight="1" s="22">
      <c r="A246" s="36" t="inlineStr">
        <is>
          <t>condo insurance vaughan</t>
        </is>
      </c>
      <c r="B246" s="36" t="inlineStr">
        <is>
          <t>Condo insurance</t>
        </is>
      </c>
      <c r="C246" s="36" t="inlineStr">
        <is>
          <t>Condo Insurance</t>
        </is>
      </c>
      <c r="D246" s="36" t="inlineStr">
        <is>
          <t>Ontario</t>
        </is>
      </c>
      <c r="E246" s="36" t="inlineStr">
        <is>
          <t>Vaughan</t>
        </is>
      </c>
      <c r="F246" s="37" t="n">
        <v>110</v>
      </c>
      <c r="G246" s="36" t="n">
        <v>48</v>
      </c>
      <c r="H246" s="36" t="inlineStr">
        <is>
          <t>local</t>
        </is>
      </c>
      <c r="I246" s="36" t="inlineStr">
        <is>
          <t>property-local</t>
        </is>
      </c>
      <c r="J246" s="36" t="n">
        <v>4</v>
      </c>
      <c r="K246" s="36" t="inlineStr">
        <is>
          <t>https://instasure.ca/condo-insurance/ontario/vaughan/</t>
        </is>
      </c>
      <c r="L246" s="36">
        <f>IF(K246="","No","Yes")</f>
        <v/>
      </c>
      <c r="M246" s="39">
        <f>IF(K246="","",IFERROR(IF(ISNUMBER(SEARCH(A246,INDEX(Pages!$J$2:$J$829,MATCH(K246,Pages!$B$2:$B$829,0)))),"Yes","No"),"Page not found"))</f>
        <v/>
      </c>
      <c r="N246" s="25" t="inlineStr">
        <is>
          <t>(none seen)</t>
        </is>
      </c>
      <c r="O246" s="25" t="n"/>
      <c r="P246" s="40" t="n"/>
      <c r="Q246" s="38" t="n"/>
      <c r="R246" s="38" t="n"/>
    </row>
    <row r="247" ht="15" customHeight="1" s="22">
      <c r="A247" s="36" t="inlineStr">
        <is>
          <t>home insurance moncton</t>
        </is>
      </c>
      <c r="B247" s="36" t="inlineStr">
        <is>
          <t>Home insurance</t>
        </is>
      </c>
      <c r="C247" s="36" t="inlineStr">
        <is>
          <t>Home Insurance</t>
        </is>
      </c>
      <c r="D247" s="36" t="inlineStr">
        <is>
          <t>New Brunswick</t>
        </is>
      </c>
      <c r="E247" s="36" t="inlineStr">
        <is>
          <t>Moncton</t>
        </is>
      </c>
      <c r="F247" s="37" t="n">
        <v>110</v>
      </c>
      <c r="G247" s="36" t="n">
        <v>44</v>
      </c>
      <c r="H247" s="36" t="inlineStr">
        <is>
          <t>local</t>
        </is>
      </c>
      <c r="I247" s="36" t="inlineStr">
        <is>
          <t>property-local</t>
        </is>
      </c>
      <c r="J247" s="36" t="n">
        <v>4</v>
      </c>
      <c r="K247" s="36" t="inlineStr">
        <is>
          <t>https://instasure.ca/home-insurance/new-brunswick/moncton/</t>
        </is>
      </c>
      <c r="L247" s="36">
        <f>IF(K247="","No","Yes")</f>
        <v/>
      </c>
      <c r="M247" s="39">
        <f>IF(K247="","",IFERROR(IF(ISNUMBER(SEARCH(A247,INDEX(Pages!$J$2:$J$829,MATCH(K247,Pages!$B$2:$B$829,0)))),"Yes","No"),"Page not found"))</f>
        <v/>
      </c>
      <c r="N247" s="25" t="inlineStr">
        <is>
          <t>ratehub</t>
        </is>
      </c>
      <c r="O247" s="25" t="n"/>
      <c r="P247" s="40" t="n"/>
      <c r="Q247" s="38" t="n"/>
      <c r="R247" s="38" t="n"/>
    </row>
    <row r="248" ht="23.85" customHeight="1" s="22">
      <c r="A248" s="36" t="inlineStr">
        <is>
          <t>how much is car insurance in kitchener</t>
        </is>
      </c>
      <c r="B248" s="36" t="inlineStr">
        <is>
          <t>Car insurance</t>
        </is>
      </c>
      <c r="C248" s="36" t="inlineStr">
        <is>
          <t>Car Insurance</t>
        </is>
      </c>
      <c r="D248" s="36" t="inlineStr">
        <is>
          <t>Ontario</t>
        </is>
      </c>
      <c r="E248" s="36" t="inlineStr">
        <is>
          <t>Kitchener</t>
        </is>
      </c>
      <c r="F248" s="37" t="n">
        <v>110</v>
      </c>
      <c r="G248" s="36" t="n">
        <v>71</v>
      </c>
      <c r="H248" s="36" t="inlineStr">
        <is>
          <t>informational</t>
        </is>
      </c>
      <c r="I248" s="36" t="inlineStr">
        <is>
          <t>auto-local</t>
        </is>
      </c>
      <c r="J248" s="36" t="n">
        <v>5</v>
      </c>
      <c r="K248" s="36" t="inlineStr">
        <is>
          <t>https://instasure.ca/car-insurance/ontario/kitchener/</t>
        </is>
      </c>
      <c r="L248" s="36">
        <f>IF(K248="","No","Yes")</f>
        <v/>
      </c>
      <c r="M248" s="39">
        <f>IF(K248="","",IFERROR(IF(ISNUMBER(SEARCH(A248,INDEX(Pages!$J$2:$J$829,MATCH(K248,Pages!$B$2:$B$829,0)))),"Yes","No"),"Page not found"))</f>
        <v/>
      </c>
      <c r="N248" s="25" t="inlineStr">
        <is>
          <t>ratehub, rates.ca</t>
        </is>
      </c>
      <c r="O248" s="25" t="inlineStr">
        <is>
          <t>Ratehub ranks a blog post for this. The city page answers it in the first two sentences with a dated average.</t>
        </is>
      </c>
      <c r="P248" s="40" t="n"/>
      <c r="Q248" s="38" t="n"/>
      <c r="R248" s="38" t="n"/>
    </row>
    <row r="249" ht="23.85" customHeight="1" s="22">
      <c r="A249" s="36" t="inlineStr">
        <is>
          <t>life insurance oakville</t>
        </is>
      </c>
      <c r="B249" s="36" t="inlineStr">
        <is>
          <t>Life insurance</t>
        </is>
      </c>
      <c r="C249" s="36" t="inlineStr">
        <is>
          <t>Life Insurance</t>
        </is>
      </c>
      <c r="D249" s="36" t="inlineStr">
        <is>
          <t>Ontario</t>
        </is>
      </c>
      <c r="E249" s="36" t="inlineStr">
        <is>
          <t>Oakville</t>
        </is>
      </c>
      <c r="F249" s="37" t="n">
        <v>110</v>
      </c>
      <c r="G249" s="36" t="n">
        <v>35</v>
      </c>
      <c r="H249" s="36" t="inlineStr">
        <is>
          <t>local</t>
        </is>
      </c>
      <c r="I249" s="36" t="inlineStr">
        <is>
          <t>life-local</t>
        </is>
      </c>
      <c r="J249" s="36" t="n">
        <v>3</v>
      </c>
      <c r="K249" s="36" t="inlineStr">
        <is>
          <t>https://instasure.ca/life-insurance/ontario/oakville/</t>
        </is>
      </c>
      <c r="L249" s="36">
        <f>IF(K249="","No","Yes")</f>
        <v/>
      </c>
      <c r="M249" s="39">
        <f>IF(K249="","",IFERROR(IF(ISNUMBER(SEARCH(A249,INDEX(Pages!$J$2:$J$829,MATCH(K249,Pages!$B$2:$B$829,0)))),"Yes","No"),"Page not found"))</f>
        <v/>
      </c>
      <c r="N249" s="25" t="inlineStr">
        <is>
          <t>(none seen)</t>
        </is>
      </c>
      <c r="O249" s="25" t="inlineStr">
        <is>
          <t>Page exists but is noindex until an editor adds a 300+ character local intro (Admin → SEO → Page overrides).</t>
        </is>
      </c>
      <c r="P249" s="40" t="n"/>
      <c r="Q249" s="38" t="n"/>
      <c r="R249" s="38" t="n"/>
    </row>
    <row r="250" ht="23.85" customHeight="1" s="22">
      <c r="A250" s="36" t="inlineStr">
        <is>
          <t>life insurance richmond bc</t>
        </is>
      </c>
      <c r="B250" s="36" t="inlineStr">
        <is>
          <t>Life insurance</t>
        </is>
      </c>
      <c r="C250" s="36" t="inlineStr">
        <is>
          <t>Life Insurance</t>
        </is>
      </c>
      <c r="D250" s="36" t="inlineStr">
        <is>
          <t>British Columbia</t>
        </is>
      </c>
      <c r="E250" s="36" t="inlineStr">
        <is>
          <t>Richmond</t>
        </is>
      </c>
      <c r="F250" s="37" t="n">
        <v>110</v>
      </c>
      <c r="G250" s="36" t="n">
        <v>27</v>
      </c>
      <c r="H250" s="36" t="inlineStr">
        <is>
          <t>local</t>
        </is>
      </c>
      <c r="I250" s="36" t="inlineStr">
        <is>
          <t>life-local</t>
        </is>
      </c>
      <c r="J250" s="36" t="n">
        <v>3</v>
      </c>
      <c r="K250" s="36" t="inlineStr">
        <is>
          <t>https://instasure.ca/life-insurance/british-columbia/richmond/</t>
        </is>
      </c>
      <c r="L250" s="36">
        <f>IF(K250="","No","Yes")</f>
        <v/>
      </c>
      <c r="M250" s="39">
        <f>IF(K250="","",IFERROR(IF(ISNUMBER(SEARCH(A250,INDEX(Pages!$J$2:$J$829,MATCH(K250,Pages!$B$2:$B$829,0)))),"Yes","No"),"Page not found"))</f>
        <v/>
      </c>
      <c r="N250" s="25" t="inlineStr">
        <is>
          <t>(none seen)</t>
        </is>
      </c>
      <c r="O250" s="25" t="inlineStr">
        <is>
          <t>Page exists but is noindex until an editor adds a 300+ character local intro (Admin → SEO → Page overrides).</t>
        </is>
      </c>
      <c r="P250" s="40" t="n"/>
      <c r="Q250" s="38" t="n"/>
      <c r="R250" s="38" t="n"/>
    </row>
    <row r="251" ht="23.85" customHeight="1" s="22">
      <c r="A251" s="36" t="inlineStr">
        <is>
          <t>life insurance richmond hill</t>
        </is>
      </c>
      <c r="B251" s="36" t="inlineStr">
        <is>
          <t>Life insurance</t>
        </is>
      </c>
      <c r="C251" s="36" t="inlineStr">
        <is>
          <t>Life Insurance</t>
        </is>
      </c>
      <c r="D251" s="36" t="inlineStr">
        <is>
          <t>Ontario</t>
        </is>
      </c>
      <c r="E251" s="36" t="inlineStr">
        <is>
          <t>Richmond Hill</t>
        </is>
      </c>
      <c r="F251" s="37" t="n">
        <v>110</v>
      </c>
      <c r="G251" s="36" t="n">
        <v>35</v>
      </c>
      <c r="H251" s="36" t="inlineStr">
        <is>
          <t>local</t>
        </is>
      </c>
      <c r="I251" s="36" t="inlineStr">
        <is>
          <t>life-local</t>
        </is>
      </c>
      <c r="J251" s="36" t="n">
        <v>3</v>
      </c>
      <c r="K251" s="36" t="inlineStr">
        <is>
          <t>https://instasure.ca/life-insurance/ontario/richmond-hill/</t>
        </is>
      </c>
      <c r="L251" s="36">
        <f>IF(K251="","No","Yes")</f>
        <v/>
      </c>
      <c r="M251" s="39">
        <f>IF(K251="","",IFERROR(IF(ISNUMBER(SEARCH(A251,INDEX(Pages!$J$2:$J$829,MATCH(K251,Pages!$B$2:$B$829,0)))),"Yes","No"),"Page not found"))</f>
        <v/>
      </c>
      <c r="N251" s="25" t="inlineStr">
        <is>
          <t>(none seen)</t>
        </is>
      </c>
      <c r="O251" s="25" t="inlineStr">
        <is>
          <t>Page exists but is noindex until an editor adds a 300+ character local intro (Admin → SEO → Page overrides).</t>
        </is>
      </c>
      <c r="P251" s="40" t="n"/>
      <c r="Q251" s="38" t="n"/>
      <c r="R251" s="38" t="n"/>
    </row>
    <row r="252" ht="15" customHeight="1" s="22">
      <c r="A252" s="36" t="inlineStr">
        <is>
          <t>super visa insurance ottawa</t>
        </is>
      </c>
      <c r="B252" s="36" t="inlineStr">
        <is>
          <t>Super Visa &amp; visitors insurance</t>
        </is>
      </c>
      <c r="C252" s="36" t="inlineStr">
        <is>
          <t>Super Visa Insurance</t>
        </is>
      </c>
      <c r="D252" s="36" t="inlineStr">
        <is>
          <t>Ontario</t>
        </is>
      </c>
      <c r="E252" s="36" t="inlineStr">
        <is>
          <t>Ottawa</t>
        </is>
      </c>
      <c r="F252" s="37" t="n">
        <v>110</v>
      </c>
      <c r="G252" s="36" t="n">
        <v>36</v>
      </c>
      <c r="H252" s="36" t="inlineStr">
        <is>
          <t>local</t>
        </is>
      </c>
      <c r="I252" s="36" t="inlineStr">
        <is>
          <t>travel-visitors</t>
        </is>
      </c>
      <c r="J252" s="36" t="n">
        <v>3</v>
      </c>
      <c r="K252" s="36" t="inlineStr">
        <is>
          <t>https://instasure.ca/super-visa-insurance/ontario/ottawa/</t>
        </is>
      </c>
      <c r="L252" s="36">
        <f>IF(K252="","No","Yes")</f>
        <v/>
      </c>
      <c r="M252" s="39">
        <f>IF(K252="","",IFERROR(IF(ISNUMBER(SEARCH(A252,INDEX(Pages!$J$2:$J$829,MATCH(K252,Pages!$B$2:$B$829,0)))),"Yes","No"),"Page not found"))</f>
        <v/>
      </c>
      <c r="N252" s="25" t="inlineStr">
        <is>
          <t>(none seen)</t>
        </is>
      </c>
      <c r="O252" s="25" t="n"/>
      <c r="P252" s="40" t="n"/>
      <c r="Q252" s="38" t="n"/>
      <c r="R252" s="38" t="n"/>
    </row>
    <row r="253" ht="23.85" customHeight="1" s="22">
      <c r="A253" s="36" t="inlineStr">
        <is>
          <t>tenant insurance ajax</t>
        </is>
      </c>
      <c r="B253" s="36" t="inlineStr">
        <is>
          <t>Tenant insurance</t>
        </is>
      </c>
      <c r="C253" s="36" t="inlineStr">
        <is>
          <t>Tenant Insurance</t>
        </is>
      </c>
      <c r="D253" s="36" t="inlineStr">
        <is>
          <t>Ontario</t>
        </is>
      </c>
      <c r="E253" s="36" t="inlineStr">
        <is>
          <t>Ajax</t>
        </is>
      </c>
      <c r="F253" s="37" t="n">
        <v>110</v>
      </c>
      <c r="G253" s="36" t="n">
        <v>32</v>
      </c>
      <c r="H253" s="36" t="inlineStr">
        <is>
          <t>local</t>
        </is>
      </c>
      <c r="I253" s="36" t="inlineStr">
        <is>
          <t>property-local</t>
        </is>
      </c>
      <c r="J253" s="36" t="n">
        <v>5</v>
      </c>
      <c r="K253" s="36" t="inlineStr">
        <is>
          <t>https://instasure.ca/tenant-insurance/ontario/ajax/</t>
        </is>
      </c>
      <c r="L253" s="36">
        <f>IF(K253="","No","Yes")</f>
        <v/>
      </c>
      <c r="M253" s="39">
        <f>IF(K253="","",IFERROR(IF(ISNUMBER(SEARCH(A253,INDEX(Pages!$J$2:$J$829,MATCH(K253,Pages!$B$2:$B$829,0)))),"Yes","No"),"Page not found"))</f>
        <v/>
      </c>
      <c r="N253" s="25" t="inlineStr">
        <is>
          <t>(none seen)</t>
        </is>
      </c>
      <c r="O253" s="25" t="inlineStr">
        <is>
          <t>Page exists but is noindex until an editor adds a 300+ character local intro (Admin → SEO → Page overrides).</t>
        </is>
      </c>
      <c r="P253" s="40" t="n"/>
      <c r="Q253" s="38" t="n"/>
      <c r="R253" s="38" t="n"/>
    </row>
    <row r="254" ht="15" customHeight="1" s="22">
      <c r="A254" s="36" t="inlineStr">
        <is>
          <t>tenant insurance kingston</t>
        </is>
      </c>
      <c r="B254" s="36" t="inlineStr">
        <is>
          <t>Tenant insurance</t>
        </is>
      </c>
      <c r="C254" s="36" t="inlineStr">
        <is>
          <t>Tenant Insurance</t>
        </is>
      </c>
      <c r="D254" s="36" t="inlineStr">
        <is>
          <t>Ontario</t>
        </is>
      </c>
      <c r="E254" s="36" t="inlineStr">
        <is>
          <t>Kingston</t>
        </is>
      </c>
      <c r="F254" s="37" t="n">
        <v>110</v>
      </c>
      <c r="G254" s="36" t="n">
        <v>40</v>
      </c>
      <c r="H254" s="36" t="inlineStr">
        <is>
          <t>local</t>
        </is>
      </c>
      <c r="I254" s="36" t="inlineStr">
        <is>
          <t>property-local</t>
        </is>
      </c>
      <c r="J254" s="36" t="n">
        <v>5</v>
      </c>
      <c r="K254" s="36" t="inlineStr">
        <is>
          <t>https://instasure.ca/tenant-insurance/ontario/kingston/</t>
        </is>
      </c>
      <c r="L254" s="36">
        <f>IF(K254="","No","Yes")</f>
        <v/>
      </c>
      <c r="M254" s="39">
        <f>IF(K254="","",IFERROR(IF(ISNUMBER(SEARCH(A254,INDEX(Pages!$J$2:$J$829,MATCH(K254,Pages!$B$2:$B$829,0)))),"Yes","No"),"Page not found"))</f>
        <v/>
      </c>
      <c r="N254" s="25" t="inlineStr">
        <is>
          <t>(none seen)</t>
        </is>
      </c>
      <c r="O254" s="25" t="n"/>
      <c r="P254" s="40" t="n"/>
      <c r="Q254" s="38" t="n"/>
      <c r="R254" s="38" t="n"/>
    </row>
    <row r="255" ht="23.85" customHeight="1" s="22">
      <c r="A255" s="36" t="inlineStr">
        <is>
          <t>tenant insurance langley</t>
        </is>
      </c>
      <c r="B255" s="36" t="inlineStr">
        <is>
          <t>Tenant insurance</t>
        </is>
      </c>
      <c r="C255" s="36" t="inlineStr">
        <is>
          <t>Tenant Insurance</t>
        </is>
      </c>
      <c r="D255" s="36" t="inlineStr">
        <is>
          <t>British Columbia</t>
        </is>
      </c>
      <c r="E255" s="36" t="inlineStr">
        <is>
          <t>Langley</t>
        </is>
      </c>
      <c r="F255" s="37" t="n">
        <v>110</v>
      </c>
      <c r="G255" s="36" t="n">
        <v>24</v>
      </c>
      <c r="H255" s="36" t="inlineStr">
        <is>
          <t>local</t>
        </is>
      </c>
      <c r="I255" s="36" t="inlineStr">
        <is>
          <t>property-local</t>
        </is>
      </c>
      <c r="J255" s="36" t="n">
        <v>5</v>
      </c>
      <c r="K255" s="36" t="inlineStr">
        <is>
          <t>https://instasure.ca/tenant-insurance/british-columbia/langley/</t>
        </is>
      </c>
      <c r="L255" s="36">
        <f>IF(K255="","No","Yes")</f>
        <v/>
      </c>
      <c r="M255" s="39">
        <f>IF(K255="","",IFERROR(IF(ISNUMBER(SEARCH(A255,INDEX(Pages!$J$2:$J$829,MATCH(K255,Pages!$B$2:$B$829,0)))),"Yes","No"),"Page not found"))</f>
        <v/>
      </c>
      <c r="N255" s="25" t="inlineStr">
        <is>
          <t>(none seen)</t>
        </is>
      </c>
      <c r="O255" s="25" t="inlineStr">
        <is>
          <t>Page exists but is noindex until an editor adds a 300+ character local intro (Admin → SEO → Page overrides).</t>
        </is>
      </c>
      <c r="P255" s="40" t="n"/>
      <c r="Q255" s="38" t="n"/>
      <c r="R255" s="38" t="n"/>
    </row>
    <row r="256" ht="23.85" customHeight="1" s="22">
      <c r="A256" s="36" t="inlineStr">
        <is>
          <t>tenant insurance milton</t>
        </is>
      </c>
      <c r="B256" s="36" t="inlineStr">
        <is>
          <t>Tenant insurance</t>
        </is>
      </c>
      <c r="C256" s="36" t="inlineStr">
        <is>
          <t>Tenant Insurance</t>
        </is>
      </c>
      <c r="D256" s="36" t="inlineStr">
        <is>
          <t>Ontario</t>
        </is>
      </c>
      <c r="E256" s="36" t="inlineStr">
        <is>
          <t>Milton</t>
        </is>
      </c>
      <c r="F256" s="37" t="n">
        <v>110</v>
      </c>
      <c r="G256" s="36" t="n">
        <v>32</v>
      </c>
      <c r="H256" s="36" t="inlineStr">
        <is>
          <t>local</t>
        </is>
      </c>
      <c r="I256" s="36" t="inlineStr">
        <is>
          <t>property-local</t>
        </is>
      </c>
      <c r="J256" s="36" t="n">
        <v>5</v>
      </c>
      <c r="K256" s="36" t="inlineStr">
        <is>
          <t>https://instasure.ca/tenant-insurance/ontario/milton/</t>
        </is>
      </c>
      <c r="L256" s="36">
        <f>IF(K256="","No","Yes")</f>
        <v/>
      </c>
      <c r="M256" s="39">
        <f>IF(K256="","",IFERROR(IF(ISNUMBER(SEARCH(A256,INDEX(Pages!$J$2:$J$829,MATCH(K256,Pages!$B$2:$B$829,0)))),"Yes","No"),"Page not found"))</f>
        <v/>
      </c>
      <c r="N256" s="25" t="inlineStr">
        <is>
          <t>(none seen)</t>
        </is>
      </c>
      <c r="O256" s="25" t="inlineStr">
        <is>
          <t>Page exists but is noindex until an editor adds a 300+ character local intro (Admin → SEO → Page overrides).</t>
        </is>
      </c>
      <c r="P256" s="40" t="n"/>
      <c r="Q256" s="38" t="n"/>
      <c r="R256" s="38" t="n"/>
    </row>
    <row r="257" ht="15" customHeight="1" s="22">
      <c r="A257" s="36" t="inlineStr">
        <is>
          <t>tenant insurance quebec city</t>
        </is>
      </c>
      <c r="B257" s="36" t="inlineStr">
        <is>
          <t>Tenant insurance</t>
        </is>
      </c>
      <c r="C257" s="36" t="inlineStr">
        <is>
          <t>Tenant Insurance</t>
        </is>
      </c>
      <c r="D257" s="36" t="inlineStr">
        <is>
          <t>Quebec</t>
        </is>
      </c>
      <c r="E257" s="36" t="inlineStr">
        <is>
          <t>Quebec City</t>
        </is>
      </c>
      <c r="F257" s="37" t="n">
        <v>110</v>
      </c>
      <c r="G257" s="36" t="n">
        <v>44</v>
      </c>
      <c r="H257" s="36" t="inlineStr">
        <is>
          <t>local</t>
        </is>
      </c>
      <c r="I257" s="36" t="inlineStr">
        <is>
          <t>property-local</t>
        </is>
      </c>
      <c r="J257" s="36" t="n">
        <v>5</v>
      </c>
      <c r="K257" s="36" t="inlineStr">
        <is>
          <t>https://instasure.ca/tenant-insurance/quebec/quebec-city/</t>
        </is>
      </c>
      <c r="L257" s="36">
        <f>IF(K257="","No","Yes")</f>
        <v/>
      </c>
      <c r="M257" s="39">
        <f>IF(K257="","",IFERROR(IF(ISNUMBER(SEARCH(A257,INDEX(Pages!$J$2:$J$829,MATCH(K257,Pages!$B$2:$B$829,0)))),"Yes","No"),"Page not found"))</f>
        <v/>
      </c>
      <c r="N257" s="25" t="inlineStr">
        <is>
          <t>sonnet</t>
        </is>
      </c>
      <c r="O257" s="25" t="inlineStr">
        <is>
          <t>Quebec waitlist until AMF registration.</t>
        </is>
      </c>
      <c r="P257" s="40" t="n"/>
      <c r="Q257" s="38" t="n"/>
      <c r="R257" s="38" t="n"/>
    </row>
    <row r="258" ht="15" customHeight="1" s="22">
      <c r="A258" s="36" t="inlineStr">
        <is>
          <t>tenant insurance waterloo</t>
        </is>
      </c>
      <c r="B258" s="36" t="inlineStr">
        <is>
          <t>Tenant insurance</t>
        </is>
      </c>
      <c r="C258" s="36" t="inlineStr">
        <is>
          <t>Tenant Insurance</t>
        </is>
      </c>
      <c r="D258" s="36" t="inlineStr">
        <is>
          <t>Ontario</t>
        </is>
      </c>
      <c r="E258" s="36" t="inlineStr">
        <is>
          <t>Waterloo</t>
        </is>
      </c>
      <c r="F258" s="37" t="n">
        <v>110</v>
      </c>
      <c r="G258" s="36" t="n">
        <v>40</v>
      </c>
      <c r="H258" s="36" t="inlineStr">
        <is>
          <t>local</t>
        </is>
      </c>
      <c r="I258" s="36" t="inlineStr">
        <is>
          <t>property-local</t>
        </is>
      </c>
      <c r="J258" s="36" t="n">
        <v>5</v>
      </c>
      <c r="K258" s="36" t="inlineStr">
        <is>
          <t>https://instasure.ca/tenant-insurance/ontario/waterloo/</t>
        </is>
      </c>
      <c r="L258" s="36">
        <f>IF(K258="","No","Yes")</f>
        <v/>
      </c>
      <c r="M258" s="39">
        <f>IF(K258="","",IFERROR(IF(ISNUMBER(SEARCH(A258,INDEX(Pages!$J$2:$J$829,MATCH(K258,Pages!$B$2:$B$829,0)))),"Yes","No"),"Page not found"))</f>
        <v/>
      </c>
      <c r="N258" s="25" t="inlineStr">
        <is>
          <t>(none seen)</t>
        </is>
      </c>
      <c r="O258" s="25" t="n"/>
      <c r="P258" s="40" t="n"/>
      <c r="Q258" s="38" t="n"/>
      <c r="R258" s="38" t="n"/>
    </row>
    <row r="259" ht="23.85" customHeight="1" s="22">
      <c r="A259" s="36" t="inlineStr">
        <is>
          <t>home insurance airdrie</t>
        </is>
      </c>
      <c r="B259" s="36" t="inlineStr">
        <is>
          <t>Home insurance</t>
        </is>
      </c>
      <c r="C259" s="36" t="inlineStr">
        <is>
          <t>Home Insurance</t>
        </is>
      </c>
      <c r="D259" s="36" t="inlineStr">
        <is>
          <t>Alberta</t>
        </is>
      </c>
      <c r="E259" s="36" t="inlineStr">
        <is>
          <t>Airdrie</t>
        </is>
      </c>
      <c r="F259" s="37" t="n">
        <v>100</v>
      </c>
      <c r="G259" s="36" t="n">
        <v>32</v>
      </c>
      <c r="H259" s="36" t="inlineStr">
        <is>
          <t>local</t>
        </is>
      </c>
      <c r="I259" s="36" t="inlineStr">
        <is>
          <t>property-local</t>
        </is>
      </c>
      <c r="J259" s="36" t="n">
        <v>4</v>
      </c>
      <c r="K259" s="36" t="inlineStr">
        <is>
          <t>https://instasure.ca/home-insurance/alberta/airdrie/</t>
        </is>
      </c>
      <c r="L259" s="36">
        <f>IF(K259="","No","Yes")</f>
        <v/>
      </c>
      <c r="M259" s="39">
        <f>IF(K259="","",IFERROR(IF(ISNUMBER(SEARCH(A259,INDEX(Pages!$J$2:$J$829,MATCH(K259,Pages!$B$2:$B$829,0)))),"Yes","No"),"Page not found"))</f>
        <v/>
      </c>
      <c r="N259" s="25" t="inlineStr">
        <is>
          <t>(none seen)</t>
        </is>
      </c>
      <c r="O259" s="25" t="inlineStr">
        <is>
          <t>Page exists but is noindex until an editor adds a 300+ character local intro (Admin → SEO → Page overrides).</t>
        </is>
      </c>
      <c r="P259" s="40" t="n"/>
      <c r="Q259" s="38" t="n"/>
      <c r="R259" s="38" t="n"/>
    </row>
    <row r="260" ht="15" customHeight="1" s="22">
      <c r="A260" s="36" t="inlineStr">
        <is>
          <t>insurance advisor kitchener</t>
        </is>
      </c>
      <c r="B260" s="36" t="inlineStr">
        <is>
          <t>Multi-line (place hubs)</t>
        </is>
      </c>
      <c r="C260" s="36" t="n"/>
      <c r="D260" s="36" t="inlineStr">
        <is>
          <t>Ontario</t>
        </is>
      </c>
      <c r="E260" s="36" t="inlineStr">
        <is>
          <t>Kitchener</t>
        </is>
      </c>
      <c r="F260" s="37" t="n">
        <v>100</v>
      </c>
      <c r="G260" s="36" t="n">
        <v>30</v>
      </c>
      <c r="H260" s="36" t="inlineStr">
        <is>
          <t>local</t>
        </is>
      </c>
      <c r="I260" s="36" t="inlineStr">
        <is>
          <t>advisors</t>
        </is>
      </c>
      <c r="J260" s="36" t="n">
        <v>3</v>
      </c>
      <c r="K260" s="36" t="inlineStr">
        <is>
          <t>https://instasure.ca/insurance/ontario/kitchener/</t>
        </is>
      </c>
      <c r="L260" s="36">
        <f>IF(K260="","No","Yes")</f>
        <v/>
      </c>
      <c r="M260" s="39">
        <f>IF(K260="","",IFERROR(IF(ISNUMBER(SEARCH(A260,INDEX(Pages!$J$2:$J$829,MATCH(K260,Pages!$B$2:$B$829,0)))),"Yes","No"),"Page not found"))</f>
        <v/>
      </c>
      <c r="N260" s="25" t="inlineStr">
        <is>
          <t>local brokers, thinkinsure, rates.ca (broker pages)</t>
        </is>
      </c>
      <c r="O260" s="25" t="inlineStr">
        <is>
          <t>City hub. Add a Google Business Profile only where an advisor really works from that city.</t>
        </is>
      </c>
      <c r="P260" s="40" t="n"/>
      <c r="Q260" s="38" t="n"/>
      <c r="R260" s="38" t="n"/>
    </row>
    <row r="261" ht="15" customHeight="1" s="22">
      <c r="A261" s="36" t="inlineStr">
        <is>
          <t>insurance advisor saskatoon</t>
        </is>
      </c>
      <c r="B261" s="36" t="inlineStr">
        <is>
          <t>Multi-line (place hubs)</t>
        </is>
      </c>
      <c r="C261" s="36" t="n"/>
      <c r="D261" s="36" t="inlineStr">
        <is>
          <t>Saskatchewan</t>
        </is>
      </c>
      <c r="E261" s="36" t="inlineStr">
        <is>
          <t>Saskatoon</t>
        </is>
      </c>
      <c r="F261" s="37" t="n">
        <v>100</v>
      </c>
      <c r="G261" s="36" t="n">
        <v>30</v>
      </c>
      <c r="H261" s="36" t="inlineStr">
        <is>
          <t>local</t>
        </is>
      </c>
      <c r="I261" s="36" t="inlineStr">
        <is>
          <t>advisors</t>
        </is>
      </c>
      <c r="J261" s="36" t="n">
        <v>3</v>
      </c>
      <c r="K261" s="36" t="inlineStr">
        <is>
          <t>https://instasure.ca/insurance/saskatchewan/saskatoon/</t>
        </is>
      </c>
      <c r="L261" s="36">
        <f>IF(K261="","No","Yes")</f>
        <v/>
      </c>
      <c r="M261" s="39">
        <f>IF(K261="","",IFERROR(IF(ISNUMBER(SEARCH(A261,INDEX(Pages!$J$2:$J$829,MATCH(K261,Pages!$B$2:$B$829,0)))),"Yes","No"),"Page not found"))</f>
        <v/>
      </c>
      <c r="N261" s="25" t="inlineStr">
        <is>
          <t>local brokers, thinkinsure, rates.ca (broker pages)</t>
        </is>
      </c>
      <c r="O261" s="25" t="inlineStr">
        <is>
          <t>City hub. Add a Google Business Profile only where an advisor really works from that city.</t>
        </is>
      </c>
      <c r="P261" s="40" t="n"/>
      <c r="Q261" s="38" t="n"/>
      <c r="R261" s="38" t="n"/>
    </row>
    <row r="262" ht="23.85" customHeight="1" s="22">
      <c r="A262" s="36" t="inlineStr">
        <is>
          <t>life insurance burlington</t>
        </is>
      </c>
      <c r="B262" s="36" t="inlineStr">
        <is>
          <t>Life insurance</t>
        </is>
      </c>
      <c r="C262" s="36" t="inlineStr">
        <is>
          <t>Life Insurance</t>
        </is>
      </c>
      <c r="D262" s="36" t="inlineStr">
        <is>
          <t>Ontario</t>
        </is>
      </c>
      <c r="E262" s="36" t="inlineStr">
        <is>
          <t>Burlington</t>
        </is>
      </c>
      <c r="F262" s="37" t="n">
        <v>100</v>
      </c>
      <c r="G262" s="36" t="n">
        <v>35</v>
      </c>
      <c r="H262" s="36" t="inlineStr">
        <is>
          <t>local</t>
        </is>
      </c>
      <c r="I262" s="36" t="inlineStr">
        <is>
          <t>life-local</t>
        </is>
      </c>
      <c r="J262" s="36" t="n">
        <v>3</v>
      </c>
      <c r="K262" s="36" t="inlineStr">
        <is>
          <t>https://instasure.ca/life-insurance/ontario/burlington/</t>
        </is>
      </c>
      <c r="L262" s="36">
        <f>IF(K262="","No","Yes")</f>
        <v/>
      </c>
      <c r="M262" s="39">
        <f>IF(K262="","",IFERROR(IF(ISNUMBER(SEARCH(A262,INDEX(Pages!$J$2:$J$829,MATCH(K262,Pages!$B$2:$B$829,0)))),"Yes","No"),"Page not found"))</f>
        <v/>
      </c>
      <c r="N262" s="25" t="inlineStr">
        <is>
          <t>(none seen)</t>
        </is>
      </c>
      <c r="O262" s="25" t="inlineStr">
        <is>
          <t>Page exists but is noindex until an editor adds a 300+ character local intro (Admin → SEO → Page overrides).</t>
        </is>
      </c>
      <c r="P262" s="40" t="n"/>
      <c r="Q262" s="38" t="n"/>
      <c r="R262" s="38" t="n"/>
    </row>
    <row r="263" ht="15" customHeight="1" s="22">
      <c r="A263" s="36" t="inlineStr">
        <is>
          <t>super visa insurance vancouver</t>
        </is>
      </c>
      <c r="B263" s="36" t="inlineStr">
        <is>
          <t>Super Visa &amp; visitors insurance</t>
        </is>
      </c>
      <c r="C263" s="36" t="inlineStr">
        <is>
          <t>Super Visa Insurance</t>
        </is>
      </c>
      <c r="D263" s="36" t="inlineStr">
        <is>
          <t>British Columbia</t>
        </is>
      </c>
      <c r="E263" s="36" t="inlineStr">
        <is>
          <t>Vancouver</t>
        </is>
      </c>
      <c r="F263" s="37" t="n">
        <v>100</v>
      </c>
      <c r="G263" s="36" t="n">
        <v>36</v>
      </c>
      <c r="H263" s="36" t="inlineStr">
        <is>
          <t>local</t>
        </is>
      </c>
      <c r="I263" s="36" t="inlineStr">
        <is>
          <t>travel-visitors</t>
        </is>
      </c>
      <c r="J263" s="36" t="n">
        <v>3</v>
      </c>
      <c r="K263" s="36" t="inlineStr">
        <is>
          <t>https://instasure.ca/super-visa-insurance/british-columbia/vancouver/</t>
        </is>
      </c>
      <c r="L263" s="36">
        <f>IF(K263="","No","Yes")</f>
        <v/>
      </c>
      <c r="M263" s="39">
        <f>IF(K263="","",IFERROR(IF(ISNUMBER(SEARCH(A263,INDEX(Pages!$J$2:$J$829,MATCH(K263,Pages!$B$2:$B$829,0)))),"Yes","No"),"Page not found"))</f>
        <v/>
      </c>
      <c r="N263" s="25" t="inlineStr">
        <is>
          <t>(none seen)</t>
        </is>
      </c>
      <c r="O263" s="25" t="n"/>
      <c r="P263" s="40" t="n"/>
      <c r="Q263" s="38" t="n"/>
      <c r="R263" s="38" t="n"/>
    </row>
    <row r="264" ht="15" customHeight="1" s="22">
      <c r="A264" s="36" t="inlineStr">
        <is>
          <t>home insurance saint john</t>
        </is>
      </c>
      <c r="B264" s="36" t="inlineStr">
        <is>
          <t>Home insurance</t>
        </is>
      </c>
      <c r="C264" s="36" t="inlineStr">
        <is>
          <t>Home Insurance</t>
        </is>
      </c>
      <c r="D264" s="36" t="inlineStr">
        <is>
          <t>New Brunswick</t>
        </is>
      </c>
      <c r="E264" s="36" t="inlineStr">
        <is>
          <t>Saint John</t>
        </is>
      </c>
      <c r="F264" s="37" t="n">
        <v>99</v>
      </c>
      <c r="G264" s="36" t="n">
        <v>40</v>
      </c>
      <c r="H264" s="36" t="inlineStr">
        <is>
          <t>local</t>
        </is>
      </c>
      <c r="I264" s="36" t="inlineStr">
        <is>
          <t>property-local</t>
        </is>
      </c>
      <c r="J264" s="36" t="n">
        <v>3</v>
      </c>
      <c r="K264" s="36" t="inlineStr">
        <is>
          <t>https://instasure.ca/home-insurance/new-brunswick/saint-john/</t>
        </is>
      </c>
      <c r="L264" s="36">
        <f>IF(K264="","No","Yes")</f>
        <v/>
      </c>
      <c r="M264" s="39">
        <f>IF(K264="","",IFERROR(IF(ISNUMBER(SEARCH(A264,INDEX(Pages!$J$2:$J$829,MATCH(K264,Pages!$B$2:$B$829,0)))),"Yes","No"),"Page not found"))</f>
        <v/>
      </c>
      <c r="N264" s="25" t="inlineStr">
        <is>
          <t>(none seen)</t>
        </is>
      </c>
      <c r="O264" s="25" t="n"/>
      <c r="P264" s="40" t="n"/>
      <c r="Q264" s="38" t="n"/>
      <c r="R264" s="38" t="n"/>
    </row>
    <row r="265" ht="15" customHeight="1" s="22">
      <c r="A265" s="36" t="inlineStr">
        <is>
          <t>insurance advisor burnaby</t>
        </is>
      </c>
      <c r="B265" s="36" t="inlineStr">
        <is>
          <t>Multi-line (place hubs)</t>
        </is>
      </c>
      <c r="C265" s="36" t="n"/>
      <c r="D265" s="36" t="inlineStr">
        <is>
          <t>British Columbia</t>
        </is>
      </c>
      <c r="E265" s="36" t="inlineStr">
        <is>
          <t>Burnaby</t>
        </is>
      </c>
      <c r="F265" s="37" t="n">
        <v>99</v>
      </c>
      <c r="G265" s="36" t="n">
        <v>30</v>
      </c>
      <c r="H265" s="36" t="inlineStr">
        <is>
          <t>local</t>
        </is>
      </c>
      <c r="I265" s="36" t="inlineStr">
        <is>
          <t>advisors</t>
        </is>
      </c>
      <c r="J265" s="36" t="n">
        <v>3</v>
      </c>
      <c r="K265" s="36" t="inlineStr">
        <is>
          <t>https://instasure.ca/insurance/british-columbia/burnaby/</t>
        </is>
      </c>
      <c r="L265" s="36">
        <f>IF(K265="","No","Yes")</f>
        <v/>
      </c>
      <c r="M265" s="39">
        <f>IF(K265="","",IFERROR(IF(ISNUMBER(SEARCH(A265,INDEX(Pages!$J$2:$J$829,MATCH(K265,Pages!$B$2:$B$829,0)))),"Yes","No"),"Page not found"))</f>
        <v/>
      </c>
      <c r="N265" s="25" t="inlineStr">
        <is>
          <t>local brokers, thinkinsure, rates.ca (broker pages)</t>
        </is>
      </c>
      <c r="O265" s="25" t="inlineStr">
        <is>
          <t>City hub. Add a Google Business Profile only where an advisor really works from that city.</t>
        </is>
      </c>
      <c r="P265" s="40" t="n"/>
      <c r="Q265" s="38" t="n"/>
      <c r="R265" s="38" t="n"/>
    </row>
    <row r="266" ht="15" customHeight="1" s="22">
      <c r="A266" s="36" t="inlineStr">
        <is>
          <t>tenant insurance st johns</t>
        </is>
      </c>
      <c r="B266" s="36" t="inlineStr">
        <is>
          <t>Tenant insurance</t>
        </is>
      </c>
      <c r="C266" s="36" t="inlineStr">
        <is>
          <t>Tenant Insurance</t>
        </is>
      </c>
      <c r="D266" s="36" t="inlineStr">
        <is>
          <t>Newfoundland and Labrador</t>
        </is>
      </c>
      <c r="E266" s="36" t="inlineStr">
        <is>
          <t>St. John’s</t>
        </is>
      </c>
      <c r="F266" s="37" t="n">
        <v>98</v>
      </c>
      <c r="G266" s="36" t="n">
        <v>40</v>
      </c>
      <c r="H266" s="36" t="inlineStr">
        <is>
          <t>local</t>
        </is>
      </c>
      <c r="I266" s="36" t="inlineStr">
        <is>
          <t>property-local</t>
        </is>
      </c>
      <c r="J266" s="36" t="n">
        <v>5</v>
      </c>
      <c r="K266" s="36" t="inlineStr">
        <is>
          <t>https://instasure.ca/tenant-insurance/newfoundland-and-labrador/st-johns/</t>
        </is>
      </c>
      <c r="L266" s="36">
        <f>IF(K266="","No","Yes")</f>
        <v/>
      </c>
      <c r="M266" s="39">
        <f>IF(K266="","",IFERROR(IF(ISNUMBER(SEARCH(A266,INDEX(Pages!$J$2:$J$829,MATCH(K266,Pages!$B$2:$B$829,0)))),"Yes","No"),"Page not found"))</f>
        <v/>
      </c>
      <c r="N266" s="25" t="inlineStr">
        <is>
          <t>(none seen)</t>
        </is>
      </c>
      <c r="O266" s="25" t="n"/>
      <c r="P266" s="40" t="n"/>
      <c r="Q266" s="38" t="n"/>
      <c r="R266" s="38" t="n"/>
    </row>
    <row r="267" ht="23.85" customHeight="1" s="22">
      <c r="A267" s="36" t="inlineStr">
        <is>
          <t>tenant insurance thunder bay</t>
        </is>
      </c>
      <c r="B267" s="36" t="inlineStr">
        <is>
          <t>Tenant insurance</t>
        </is>
      </c>
      <c r="C267" s="36" t="inlineStr">
        <is>
          <t>Tenant Insurance</t>
        </is>
      </c>
      <c r="D267" s="36" t="inlineStr">
        <is>
          <t>Ontario</t>
        </is>
      </c>
      <c r="E267" s="36" t="inlineStr">
        <is>
          <t>Thunder Bay</t>
        </is>
      </c>
      <c r="F267" s="37" t="n">
        <v>97</v>
      </c>
      <c r="G267" s="36" t="n">
        <v>32</v>
      </c>
      <c r="H267" s="36" t="inlineStr">
        <is>
          <t>local</t>
        </is>
      </c>
      <c r="I267" s="36" t="inlineStr">
        <is>
          <t>property-local</t>
        </is>
      </c>
      <c r="J267" s="36" t="n">
        <v>5</v>
      </c>
      <c r="K267" s="36" t="inlineStr">
        <is>
          <t>https://instasure.ca/tenant-insurance/ontario/thunder-bay/</t>
        </is>
      </c>
      <c r="L267" s="36">
        <f>IF(K267="","No","Yes")</f>
        <v/>
      </c>
      <c r="M267" s="39">
        <f>IF(K267="","",IFERROR(IF(ISNUMBER(SEARCH(A267,INDEX(Pages!$J$2:$J$829,MATCH(K267,Pages!$B$2:$B$829,0)))),"Yes","No"),"Page not found"))</f>
        <v/>
      </c>
      <c r="N267" s="25" t="inlineStr">
        <is>
          <t>(none seen)</t>
        </is>
      </c>
      <c r="O267" s="25" t="inlineStr">
        <is>
          <t>Page exists but is noindex until an editor adds a 300+ character local intro (Admin → SEO → Page overrides).</t>
        </is>
      </c>
      <c r="P267" s="40" t="n"/>
      <c r="Q267" s="38" t="n"/>
      <c r="R267" s="38" t="n"/>
    </row>
    <row r="268" ht="23.85" customHeight="1" s="22">
      <c r="A268" s="36" t="inlineStr">
        <is>
          <t>life insurance oshawa</t>
        </is>
      </c>
      <c r="B268" s="36" t="inlineStr">
        <is>
          <t>Life insurance</t>
        </is>
      </c>
      <c r="C268" s="36" t="inlineStr">
        <is>
          <t>Life Insurance</t>
        </is>
      </c>
      <c r="D268" s="36" t="inlineStr">
        <is>
          <t>Ontario</t>
        </is>
      </c>
      <c r="E268" s="36" t="inlineStr">
        <is>
          <t>Oshawa</t>
        </is>
      </c>
      <c r="F268" s="37" t="n">
        <v>96</v>
      </c>
      <c r="G268" s="36" t="n">
        <v>35</v>
      </c>
      <c r="H268" s="36" t="inlineStr">
        <is>
          <t>local</t>
        </is>
      </c>
      <c r="I268" s="36" t="inlineStr">
        <is>
          <t>life-local</t>
        </is>
      </c>
      <c r="J268" s="36" t="n">
        <v>3</v>
      </c>
      <c r="K268" s="36" t="inlineStr">
        <is>
          <t>https://instasure.ca/life-insurance/ontario/oshawa/</t>
        </is>
      </c>
      <c r="L268" s="36">
        <f>IF(K268="","No","Yes")</f>
        <v/>
      </c>
      <c r="M268" s="39">
        <f>IF(K268="","",IFERROR(IF(ISNUMBER(SEARCH(A268,INDEX(Pages!$J$2:$J$829,MATCH(K268,Pages!$B$2:$B$829,0)))),"Yes","No"),"Page not found"))</f>
        <v/>
      </c>
      <c r="N268" s="25" t="inlineStr">
        <is>
          <t>(none seen)</t>
        </is>
      </c>
      <c r="O268" s="25" t="inlineStr">
        <is>
          <t>Page exists but is noindex until an editor adds a 300+ character local intro (Admin → SEO → Page overrides).</t>
        </is>
      </c>
      <c r="P268" s="40" t="n"/>
      <c r="Q268" s="38" t="n"/>
      <c r="R268" s="38" t="n"/>
    </row>
    <row r="269" ht="15" customHeight="1" s="22">
      <c r="A269" s="36" t="inlineStr">
        <is>
          <t>home insurance gatineau</t>
        </is>
      </c>
      <c r="B269" s="36" t="inlineStr">
        <is>
          <t>Home insurance</t>
        </is>
      </c>
      <c r="C269" s="36" t="inlineStr">
        <is>
          <t>Home Insurance</t>
        </is>
      </c>
      <c r="D269" s="36" t="inlineStr">
        <is>
          <t>Quebec</t>
        </is>
      </c>
      <c r="E269" s="36" t="inlineStr">
        <is>
          <t>Gatineau</t>
        </is>
      </c>
      <c r="F269" s="37" t="n">
        <v>93</v>
      </c>
      <c r="G269" s="36" t="n">
        <v>40</v>
      </c>
      <c r="H269" s="36" t="inlineStr">
        <is>
          <t>local</t>
        </is>
      </c>
      <c r="I269" s="36" t="inlineStr">
        <is>
          <t>property-local</t>
        </is>
      </c>
      <c r="J269" s="36" t="n">
        <v>5</v>
      </c>
      <c r="K269" s="36" t="inlineStr">
        <is>
          <t>https://instasure.ca/home-insurance/quebec/gatineau/</t>
        </is>
      </c>
      <c r="L269" s="36">
        <f>IF(K269="","No","Yes")</f>
        <v/>
      </c>
      <c r="M269" s="39">
        <f>IF(K269="","",IFERROR(IF(ISNUMBER(SEARCH(A269,INDEX(Pages!$J$2:$J$829,MATCH(K269,Pages!$B$2:$B$829,0)))),"Yes","No"),"Page not found"))</f>
        <v/>
      </c>
      <c r="N269" s="25" t="inlineStr">
        <is>
          <t>(none seen)</t>
        </is>
      </c>
      <c r="O269" s="25" t="inlineStr">
        <is>
          <t>Quebec waitlist until AMF registration.</t>
        </is>
      </c>
      <c r="P269" s="40" t="n"/>
      <c r="Q269" s="38" t="n"/>
      <c r="R269" s="38" t="n"/>
    </row>
    <row r="270" ht="15" customHeight="1" s="22">
      <c r="A270" s="36" t="inlineStr">
        <is>
          <t>home insurance fredericton</t>
        </is>
      </c>
      <c r="B270" s="36" t="inlineStr">
        <is>
          <t>Home insurance</t>
        </is>
      </c>
      <c r="C270" s="36" t="inlineStr">
        <is>
          <t>Home Insurance</t>
        </is>
      </c>
      <c r="D270" s="36" t="inlineStr">
        <is>
          <t>New Brunswick</t>
        </is>
      </c>
      <c r="E270" s="36" t="inlineStr">
        <is>
          <t>Fredericton</t>
        </is>
      </c>
      <c r="F270" s="37" t="n">
        <v>92</v>
      </c>
      <c r="G270" s="36" t="n">
        <v>44</v>
      </c>
      <c r="H270" s="36" t="inlineStr">
        <is>
          <t>local</t>
        </is>
      </c>
      <c r="I270" s="36" t="inlineStr">
        <is>
          <t>property-local</t>
        </is>
      </c>
      <c r="J270" s="36" t="n">
        <v>4</v>
      </c>
      <c r="K270" s="36" t="inlineStr">
        <is>
          <t>https://instasure.ca/home-insurance/new-brunswick/fredericton/</t>
        </is>
      </c>
      <c r="L270" s="36">
        <f>IF(K270="","No","Yes")</f>
        <v/>
      </c>
      <c r="M270" s="39">
        <f>IF(K270="","",IFERROR(IF(ISNUMBER(SEARCH(A270,INDEX(Pages!$J$2:$J$829,MATCH(K270,Pages!$B$2:$B$829,0)))),"Yes","No"),"Page not found"))</f>
        <v/>
      </c>
      <c r="N270" s="25" t="inlineStr">
        <is>
          <t>ratehub</t>
        </is>
      </c>
      <c r="O270" s="25" t="n"/>
      <c r="P270" s="40" t="n"/>
      <c r="Q270" s="38" t="n"/>
      <c r="R270" s="38" t="n"/>
    </row>
    <row r="271" ht="15" customHeight="1" s="22">
      <c r="A271" s="36" t="inlineStr">
        <is>
          <t>insurance advisor windsor</t>
        </is>
      </c>
      <c r="B271" s="36" t="inlineStr">
        <is>
          <t>Multi-line (place hubs)</t>
        </is>
      </c>
      <c r="C271" s="36" t="n"/>
      <c r="D271" s="36" t="inlineStr">
        <is>
          <t>Ontario</t>
        </is>
      </c>
      <c r="E271" s="36" t="inlineStr">
        <is>
          <t>Windsor</t>
        </is>
      </c>
      <c r="F271" s="37" t="n">
        <v>92</v>
      </c>
      <c r="G271" s="36" t="n">
        <v>30</v>
      </c>
      <c r="H271" s="36" t="inlineStr">
        <is>
          <t>local</t>
        </is>
      </c>
      <c r="I271" s="36" t="inlineStr">
        <is>
          <t>advisors</t>
        </is>
      </c>
      <c r="J271" s="36" t="n">
        <v>3</v>
      </c>
      <c r="K271" s="36" t="inlineStr">
        <is>
          <t>https://instasure.ca/insurance/ontario/windsor/</t>
        </is>
      </c>
      <c r="L271" s="36">
        <f>IF(K271="","No","Yes")</f>
        <v/>
      </c>
      <c r="M271" s="39">
        <f>IF(K271="","",IFERROR(IF(ISNUMBER(SEARCH(A271,INDEX(Pages!$J$2:$J$829,MATCH(K271,Pages!$B$2:$B$829,0)))),"Yes","No"),"Page not found"))</f>
        <v/>
      </c>
      <c r="N271" s="25" t="inlineStr">
        <is>
          <t>local brokers, thinkinsure, rates.ca (broker pages)</t>
        </is>
      </c>
      <c r="O271" s="25" t="inlineStr">
        <is>
          <t>City hub. Add a Google Business Profile only where an advisor really works from that city.</t>
        </is>
      </c>
      <c r="P271" s="40" t="n"/>
      <c r="Q271" s="38" t="n"/>
      <c r="R271" s="38" t="n"/>
    </row>
    <row r="272" ht="23.85" customHeight="1" s="22">
      <c r="A272" s="36" t="inlineStr">
        <is>
          <t>life insurance sudbury</t>
        </is>
      </c>
      <c r="B272" s="36" t="inlineStr">
        <is>
          <t>Life insurance</t>
        </is>
      </c>
      <c r="C272" s="36" t="inlineStr">
        <is>
          <t>Life Insurance</t>
        </is>
      </c>
      <c r="D272" s="36" t="inlineStr">
        <is>
          <t>Ontario</t>
        </is>
      </c>
      <c r="E272" s="36" t="inlineStr">
        <is>
          <t>Sudbury</t>
        </is>
      </c>
      <c r="F272" s="37" t="n">
        <v>92</v>
      </c>
      <c r="G272" s="36" t="n">
        <v>27</v>
      </c>
      <c r="H272" s="36" t="inlineStr">
        <is>
          <t>local</t>
        </is>
      </c>
      <c r="I272" s="36" t="inlineStr">
        <is>
          <t>life-local</t>
        </is>
      </c>
      <c r="J272" s="36" t="n">
        <v>3</v>
      </c>
      <c r="K272" s="36" t="inlineStr">
        <is>
          <t>https://instasure.ca/life-insurance/ontario/sudbury/</t>
        </is>
      </c>
      <c r="L272" s="36">
        <f>IF(K272="","No","Yes")</f>
        <v/>
      </c>
      <c r="M272" s="39">
        <f>IF(K272="","",IFERROR(IF(ISNUMBER(SEARCH(A272,INDEX(Pages!$J$2:$J$829,MATCH(K272,Pages!$B$2:$B$829,0)))),"Yes","No"),"Page not found"))</f>
        <v/>
      </c>
      <c r="N272" s="25" t="inlineStr">
        <is>
          <t>(none seen)</t>
        </is>
      </c>
      <c r="O272" s="25" t="inlineStr">
        <is>
          <t>Page exists but is noindex until an editor adds a 300+ character local intro (Admin → SEO → Page overrides).</t>
        </is>
      </c>
      <c r="P272" s="40" t="n"/>
      <c r="Q272" s="38" t="n"/>
      <c r="R272" s="38" t="n"/>
    </row>
    <row r="273" ht="15" customHeight="1" s="22">
      <c r="A273" s="36" t="inlineStr">
        <is>
          <t>insurance advisor regina</t>
        </is>
      </c>
      <c r="B273" s="36" t="inlineStr">
        <is>
          <t>Multi-line (place hubs)</t>
        </is>
      </c>
      <c r="C273" s="36" t="n"/>
      <c r="D273" s="36" t="inlineStr">
        <is>
          <t>Saskatchewan</t>
        </is>
      </c>
      <c r="E273" s="36" t="inlineStr">
        <is>
          <t>Regina</t>
        </is>
      </c>
      <c r="F273" s="37" t="n">
        <v>91</v>
      </c>
      <c r="G273" s="36" t="n">
        <v>30</v>
      </c>
      <c r="H273" s="36" t="inlineStr">
        <is>
          <t>local</t>
        </is>
      </c>
      <c r="I273" s="36" t="inlineStr">
        <is>
          <t>advisors</t>
        </is>
      </c>
      <c r="J273" s="36" t="n">
        <v>3</v>
      </c>
      <c r="K273" s="36" t="inlineStr">
        <is>
          <t>https://instasure.ca/insurance/saskatchewan/regina/</t>
        </is>
      </c>
      <c r="L273" s="36">
        <f>IF(K273="","No","Yes")</f>
        <v/>
      </c>
      <c r="M273" s="39">
        <f>IF(K273="","",IFERROR(IF(ISNUMBER(SEARCH(A273,INDEX(Pages!$J$2:$J$829,MATCH(K273,Pages!$B$2:$B$829,0)))),"Yes","No"),"Page not found"))</f>
        <v/>
      </c>
      <c r="N273" s="25" t="inlineStr">
        <is>
          <t>local brokers, thinkinsure, rates.ca (broker pages)</t>
        </is>
      </c>
      <c r="O273" s="25" t="inlineStr">
        <is>
          <t>City hub. Add a Google Business Profile only where an advisor really works from that city.</t>
        </is>
      </c>
      <c r="P273" s="40" t="n"/>
      <c r="Q273" s="38" t="n"/>
      <c r="R273" s="38" t="n"/>
    </row>
    <row r="274" ht="15" customHeight="1" s="22">
      <c r="A274" s="36" t="inlineStr">
        <is>
          <t>tenant insurance red deer</t>
        </is>
      </c>
      <c r="B274" s="36" t="inlineStr">
        <is>
          <t>Tenant insurance</t>
        </is>
      </c>
      <c r="C274" s="36" t="inlineStr">
        <is>
          <t>Tenant Insurance</t>
        </is>
      </c>
      <c r="D274" s="36" t="inlineStr">
        <is>
          <t>Alberta</t>
        </is>
      </c>
      <c r="E274" s="36" t="inlineStr">
        <is>
          <t>Red Deer</t>
        </is>
      </c>
      <c r="F274" s="37" t="n">
        <v>91</v>
      </c>
      <c r="G274" s="36" t="n">
        <v>32</v>
      </c>
      <c r="H274" s="36" t="inlineStr">
        <is>
          <t>local</t>
        </is>
      </c>
      <c r="I274" s="36" t="inlineStr">
        <is>
          <t>property-local</t>
        </is>
      </c>
      <c r="J274" s="36" t="n">
        <v>5</v>
      </c>
      <c r="K274" s="36" t="inlineStr">
        <is>
          <t>https://instasure.ca/tenant-insurance/alberta/red-deer/</t>
        </is>
      </c>
      <c r="L274" s="36">
        <f>IF(K274="","No","Yes")</f>
        <v/>
      </c>
      <c r="M274" s="39">
        <f>IF(K274="","",IFERROR(IF(ISNUMBER(SEARCH(A274,INDEX(Pages!$J$2:$J$829,MATCH(K274,Pages!$B$2:$B$829,0)))),"Yes","No"),"Page not found"))</f>
        <v/>
      </c>
      <c r="N274" s="25" t="inlineStr">
        <is>
          <t>(none seen)</t>
        </is>
      </c>
      <c r="O274" s="25" t="n"/>
      <c r="P274" s="40" t="n"/>
      <c r="Q274" s="38" t="n"/>
      <c r="R274" s="38" t="n"/>
    </row>
    <row r="275" ht="15" customHeight="1" s="22">
      <c r="A275" s="36" t="inlineStr">
        <is>
          <t>business insurance saskatoon</t>
        </is>
      </c>
      <c r="B275" s="36" t="inlineStr">
        <is>
          <t>Business insurance</t>
        </is>
      </c>
      <c r="C275" s="36" t="inlineStr">
        <is>
          <t>Business Insurance</t>
        </is>
      </c>
      <c r="D275" s="36" t="inlineStr">
        <is>
          <t>Saskatchewan</t>
        </is>
      </c>
      <c r="E275" s="36" t="inlineStr">
        <is>
          <t>Saskatoon</t>
        </is>
      </c>
      <c r="F275" s="37" t="n">
        <v>90</v>
      </c>
      <c r="G275" s="36" t="n">
        <v>33</v>
      </c>
      <c r="H275" s="36" t="inlineStr">
        <is>
          <t>local</t>
        </is>
      </c>
      <c r="I275" s="36" t="inlineStr">
        <is>
          <t>business-local</t>
        </is>
      </c>
      <c r="J275" s="36" t="n">
        <v>2</v>
      </c>
      <c r="K275" s="36" t="inlineStr">
        <is>
          <t>https://instasure.ca/business-insurance/saskatchewan/saskatoon/</t>
        </is>
      </c>
      <c r="L275" s="36">
        <f>IF(K275="","No","Yes")</f>
        <v/>
      </c>
      <c r="M275" s="39">
        <f>IF(K275="","",IFERROR(IF(ISNUMBER(SEARCH(A275,INDEX(Pages!$J$2:$J$829,MATCH(K275,Pages!$B$2:$B$829,0)))),"Yes","No"),"Page not found"))</f>
        <v/>
      </c>
      <c r="N275" s="25" t="inlineStr">
        <is>
          <t>(none seen)</t>
        </is>
      </c>
      <c r="O275" s="25" t="n"/>
      <c r="P275" s="40" t="n"/>
      <c r="Q275" s="38" t="n"/>
      <c r="R275" s="38" t="n"/>
    </row>
    <row r="276" ht="15" customHeight="1" s="22">
      <c r="A276" s="36" t="inlineStr">
        <is>
          <t>condo insurance saskatoon</t>
        </is>
      </c>
      <c r="B276" s="36" t="inlineStr">
        <is>
          <t>Condo insurance</t>
        </is>
      </c>
      <c r="C276" s="36" t="inlineStr">
        <is>
          <t>Condo Insurance</t>
        </is>
      </c>
      <c r="D276" s="36" t="inlineStr">
        <is>
          <t>Saskatchewan</t>
        </is>
      </c>
      <c r="E276" s="36" t="inlineStr">
        <is>
          <t>Saskatoon</t>
        </is>
      </c>
      <c r="F276" s="37" t="n">
        <v>90</v>
      </c>
      <c r="G276" s="36" t="n">
        <v>40</v>
      </c>
      <c r="H276" s="36" t="inlineStr">
        <is>
          <t>local</t>
        </is>
      </c>
      <c r="I276" s="36" t="inlineStr">
        <is>
          <t>property-local</t>
        </is>
      </c>
      <c r="J276" s="36" t="n">
        <v>4</v>
      </c>
      <c r="K276" s="36" t="inlineStr">
        <is>
          <t>https://instasure.ca/condo-insurance/saskatchewan/saskatoon/</t>
        </is>
      </c>
      <c r="L276" s="36">
        <f>IF(K276="","No","Yes")</f>
        <v/>
      </c>
      <c r="M276" s="39">
        <f>IF(K276="","",IFERROR(IF(ISNUMBER(SEARCH(A276,INDEX(Pages!$J$2:$J$829,MATCH(K276,Pages!$B$2:$B$829,0)))),"Yes","No"),"Page not found"))</f>
        <v/>
      </c>
      <c r="N276" s="25" t="inlineStr">
        <is>
          <t>(none seen)</t>
        </is>
      </c>
      <c r="O276" s="25" t="n"/>
      <c r="P276" s="40" t="n"/>
      <c r="Q276" s="38" t="n"/>
      <c r="R276" s="38" t="n"/>
    </row>
    <row r="277" ht="15" customHeight="1" s="22">
      <c r="A277" s="36" t="inlineStr">
        <is>
          <t>hail damage red deer</t>
        </is>
      </c>
      <c r="B277" s="36" t="inlineStr">
        <is>
          <t>Home insurance</t>
        </is>
      </c>
      <c r="C277" s="36" t="inlineStr">
        <is>
          <t>Home Insurance</t>
        </is>
      </c>
      <c r="D277" s="36" t="inlineStr">
        <is>
          <t>Alberta</t>
        </is>
      </c>
      <c r="E277" s="36" t="inlineStr">
        <is>
          <t>Red Deer</t>
        </is>
      </c>
      <c r="F277" s="37" t="n">
        <v>90</v>
      </c>
      <c r="G277" s="36" t="n">
        <v>15</v>
      </c>
      <c r="H277" s="36" t="inlineStr">
        <is>
          <t>local</t>
        </is>
      </c>
      <c r="I277" s="36" t="inlineStr">
        <is>
          <t>property-coverage</t>
        </is>
      </c>
      <c r="J277" s="36" t="n">
        <v>3</v>
      </c>
      <c r="K277" s="36" t="inlineStr">
        <is>
          <t>https://instasure.ca/guides/calgary-hail-insurance-guide/</t>
        </is>
      </c>
      <c r="L277" s="36">
        <f>IF(K277="","No","Yes")</f>
        <v/>
      </c>
      <c r="M277" s="39">
        <f>IF(K277="","",IFERROR(IF(ISNUMBER(SEARCH(A277,INDEX(Pages!$J$2:$J$829,MATCH(K277,Pages!$B$2:$B$829,0)))),"Yes","No"),"Page not found"))</f>
        <v/>
      </c>
      <c r="N277" s="25" t="inlineStr">
        <is>
          <t>(none seen)</t>
        </is>
      </c>
      <c r="O277" s="25" t="n"/>
      <c r="P277" s="40" t="n"/>
      <c r="Q277" s="38" t="n"/>
      <c r="R277" s="38" t="n"/>
    </row>
    <row r="278" ht="23.85" customHeight="1" s="22">
      <c r="A278" s="36" t="inlineStr">
        <is>
          <t>tenant insurance pickering</t>
        </is>
      </c>
      <c r="B278" s="36" t="inlineStr">
        <is>
          <t>Tenant insurance</t>
        </is>
      </c>
      <c r="C278" s="36" t="inlineStr">
        <is>
          <t>Tenant Insurance</t>
        </is>
      </c>
      <c r="D278" s="36" t="inlineStr">
        <is>
          <t>Ontario</t>
        </is>
      </c>
      <c r="E278" s="36" t="inlineStr">
        <is>
          <t>Pickering</t>
        </is>
      </c>
      <c r="F278" s="37" t="n">
        <v>90</v>
      </c>
      <c r="G278" s="36" t="n">
        <v>32</v>
      </c>
      <c r="H278" s="36" t="inlineStr">
        <is>
          <t>local</t>
        </is>
      </c>
      <c r="I278" s="36" t="inlineStr">
        <is>
          <t>property-local</t>
        </is>
      </c>
      <c r="J278" s="36" t="n">
        <v>5</v>
      </c>
      <c r="K278" s="36" t="inlineStr">
        <is>
          <t>https://instasure.ca/tenant-insurance/ontario/pickering/</t>
        </is>
      </c>
      <c r="L278" s="36">
        <f>IF(K278="","No","Yes")</f>
        <v/>
      </c>
      <c r="M278" s="39">
        <f>IF(K278="","",IFERROR(IF(ISNUMBER(SEARCH(A278,INDEX(Pages!$J$2:$J$829,MATCH(K278,Pages!$B$2:$B$829,0)))),"Yes","No"),"Page not found"))</f>
        <v/>
      </c>
      <c r="N278" s="25" t="inlineStr">
        <is>
          <t>(none seen)</t>
        </is>
      </c>
      <c r="O278" s="25" t="inlineStr">
        <is>
          <t>Page exists but is noindex until an editor adds a 300+ character local intro (Admin → SEO → Page overrides).</t>
        </is>
      </c>
      <c r="P278" s="40" t="n"/>
      <c r="Q278" s="38" t="n"/>
      <c r="R278" s="38" t="n"/>
    </row>
    <row r="279" ht="23.85" customHeight="1" s="22">
      <c r="A279" s="36" t="inlineStr">
        <is>
          <t>car insurance brandon</t>
        </is>
      </c>
      <c r="B279" s="36" t="inlineStr">
        <is>
          <t>Car insurance</t>
        </is>
      </c>
      <c r="C279" s="36" t="inlineStr">
        <is>
          <t>Car Insurance</t>
        </is>
      </c>
      <c r="D279" s="36" t="inlineStr">
        <is>
          <t>Manitoba</t>
        </is>
      </c>
      <c r="E279" s="36" t="inlineStr">
        <is>
          <t>Brandon</t>
        </is>
      </c>
      <c r="F279" s="37" t="n">
        <v>89</v>
      </c>
      <c r="G279" s="36" t="n">
        <v>44</v>
      </c>
      <c r="H279" s="36" t="inlineStr">
        <is>
          <t>local</t>
        </is>
      </c>
      <c r="I279" s="36" t="inlineStr">
        <is>
          <t>auto-local</t>
        </is>
      </c>
      <c r="J279" s="36" t="n">
        <v>5</v>
      </c>
      <c r="K279" s="36" t="inlineStr">
        <is>
          <t>https://instasure.ca/car-insurance/manitoba/brandon/</t>
        </is>
      </c>
      <c r="L279" s="36">
        <f>IF(K279="","No","Yes")</f>
        <v/>
      </c>
      <c r="M279" s="39">
        <f>IF(K279="","",IFERROR(IF(ISNUMBER(SEARCH(A279,INDEX(Pages!$J$2:$J$829,MATCH(K279,Pages!$B$2:$B$829,0)))),"Yes","No"),"Page not found"))</f>
        <v/>
      </c>
      <c r="N279" s="25" t="inlineStr">
        <is>
          <t>(none seen)</t>
        </is>
      </c>
      <c r="O279" s="25" t="inlineStr">
        <is>
          <t>Page exists but is noindex until an editor adds a 300+ character local intro (Admin → SEO → Page overrides). MPI sells basic auto; target optional coverage. Low lead value.</t>
        </is>
      </c>
      <c r="P279" s="40" t="n"/>
      <c r="Q279" s="38" t="n"/>
      <c r="R279" s="38" t="n"/>
    </row>
    <row r="280" ht="15" customHeight="1" s="22">
      <c r="A280" s="36" t="inlineStr">
        <is>
          <t>tenant insurance lethbridge</t>
        </is>
      </c>
      <c r="B280" s="36" t="inlineStr">
        <is>
          <t>Tenant insurance</t>
        </is>
      </c>
      <c r="C280" s="36" t="inlineStr">
        <is>
          <t>Tenant Insurance</t>
        </is>
      </c>
      <c r="D280" s="36" t="inlineStr">
        <is>
          <t>Alberta</t>
        </is>
      </c>
      <c r="E280" s="36" t="inlineStr">
        <is>
          <t>Lethbridge</t>
        </is>
      </c>
      <c r="F280" s="37" t="n">
        <v>89</v>
      </c>
      <c r="G280" s="36" t="n">
        <v>32</v>
      </c>
      <c r="H280" s="36" t="inlineStr">
        <is>
          <t>local</t>
        </is>
      </c>
      <c r="I280" s="36" t="inlineStr">
        <is>
          <t>property-local</t>
        </is>
      </c>
      <c r="J280" s="36" t="n">
        <v>5</v>
      </c>
      <c r="K280" s="36" t="inlineStr">
        <is>
          <t>https://instasure.ca/tenant-insurance/alberta/lethbridge/</t>
        </is>
      </c>
      <c r="L280" s="36">
        <f>IF(K280="","No","Yes")</f>
        <v/>
      </c>
      <c r="M280" s="39">
        <f>IF(K280="","",IFERROR(IF(ISNUMBER(SEARCH(A280,INDEX(Pages!$J$2:$J$829,MATCH(K280,Pages!$B$2:$B$829,0)))),"Yes","No"),"Page not found"))</f>
        <v/>
      </c>
      <c r="N280" s="25" t="inlineStr">
        <is>
          <t>(none seen)</t>
        </is>
      </c>
      <c r="O280" s="25" t="n"/>
      <c r="P280" s="40" t="n"/>
      <c r="Q280" s="38" t="n"/>
      <c r="R280" s="38" t="n"/>
    </row>
    <row r="281" ht="15" customHeight="1" s="22">
      <c r="A281" s="36" t="inlineStr">
        <is>
          <t>business insurance kitchener</t>
        </is>
      </c>
      <c r="B281" s="36" t="inlineStr">
        <is>
          <t>Business insurance</t>
        </is>
      </c>
      <c r="C281" s="36" t="inlineStr">
        <is>
          <t>Business Insurance</t>
        </is>
      </c>
      <c r="D281" s="36" t="inlineStr">
        <is>
          <t>Ontario</t>
        </is>
      </c>
      <c r="E281" s="36" t="inlineStr">
        <is>
          <t>Kitchener</t>
        </is>
      </c>
      <c r="F281" s="37" t="n">
        <v>88</v>
      </c>
      <c r="G281" s="36" t="n">
        <v>41</v>
      </c>
      <c r="H281" s="36" t="inlineStr">
        <is>
          <t>local</t>
        </is>
      </c>
      <c r="I281" s="36" t="inlineStr">
        <is>
          <t>business-local</t>
        </is>
      </c>
      <c r="J281" s="36" t="n">
        <v>3</v>
      </c>
      <c r="K281" s="36" t="inlineStr">
        <is>
          <t>https://instasure.ca/business-insurance/ontario/kitchener/</t>
        </is>
      </c>
      <c r="L281" s="36">
        <f>IF(K281="","No","Yes")</f>
        <v/>
      </c>
      <c r="M281" s="39">
        <f>IF(K281="","",IFERROR(IF(ISNUMBER(SEARCH(A281,INDEX(Pages!$J$2:$J$829,MATCH(K281,Pages!$B$2:$B$829,0)))),"Yes","No"),"Page not found"))</f>
        <v/>
      </c>
      <c r="N281" s="25" t="inlineStr">
        <is>
          <t>(none seen)</t>
        </is>
      </c>
      <c r="O281" s="25" t="n"/>
      <c r="P281" s="40" t="n"/>
      <c r="Q281" s="38" t="n"/>
      <c r="R281" s="38" t="n"/>
    </row>
    <row r="282" ht="15" customHeight="1" s="22">
      <c r="A282" s="36" t="inlineStr">
        <is>
          <t>condo insurance kitchener</t>
        </is>
      </c>
      <c r="B282" s="36" t="inlineStr">
        <is>
          <t>Condo insurance</t>
        </is>
      </c>
      <c r="C282" s="36" t="inlineStr">
        <is>
          <t>Condo Insurance</t>
        </is>
      </c>
      <c r="D282" s="36" t="inlineStr">
        <is>
          <t>Ontario</t>
        </is>
      </c>
      <c r="E282" s="36" t="inlineStr">
        <is>
          <t>Kitchener</t>
        </is>
      </c>
      <c r="F282" s="37" t="n">
        <v>88</v>
      </c>
      <c r="G282" s="36" t="n">
        <v>48</v>
      </c>
      <c r="H282" s="36" t="inlineStr">
        <is>
          <t>local</t>
        </is>
      </c>
      <c r="I282" s="36" t="inlineStr">
        <is>
          <t>property-local</t>
        </is>
      </c>
      <c r="J282" s="36" t="n">
        <v>4</v>
      </c>
      <c r="K282" s="36" t="inlineStr">
        <is>
          <t>https://instasure.ca/condo-insurance/ontario/kitchener/</t>
        </is>
      </c>
      <c r="L282" s="36">
        <f>IF(K282="","No","Yes")</f>
        <v/>
      </c>
      <c r="M282" s="39">
        <f>IF(K282="","",IFERROR(IF(ISNUMBER(SEARCH(A282,INDEX(Pages!$J$2:$J$829,MATCH(K282,Pages!$B$2:$B$829,0)))),"Yes","No"),"Page not found"))</f>
        <v/>
      </c>
      <c r="N282" s="25" t="inlineStr">
        <is>
          <t>(none seen)</t>
        </is>
      </c>
      <c r="O282" s="25" t="n"/>
      <c r="P282" s="40" t="n"/>
      <c r="Q282" s="38" t="n"/>
      <c r="R282" s="38" t="n"/>
    </row>
    <row r="283" ht="15" customHeight="1" s="22">
      <c r="A283" s="36" t="inlineStr">
        <is>
          <t>super visa insurance markham</t>
        </is>
      </c>
      <c r="B283" s="36" t="inlineStr">
        <is>
          <t>Super Visa &amp; visitors insurance</t>
        </is>
      </c>
      <c r="C283" s="36" t="inlineStr">
        <is>
          <t>Super Visa Insurance</t>
        </is>
      </c>
      <c r="D283" s="36" t="inlineStr">
        <is>
          <t>Ontario</t>
        </is>
      </c>
      <c r="E283" s="36" t="inlineStr">
        <is>
          <t>Markham</t>
        </is>
      </c>
      <c r="F283" s="37" t="n">
        <v>88</v>
      </c>
      <c r="G283" s="36" t="n">
        <v>36</v>
      </c>
      <c r="H283" s="36" t="inlineStr">
        <is>
          <t>local</t>
        </is>
      </c>
      <c r="I283" s="36" t="inlineStr">
        <is>
          <t>travel-visitors</t>
        </is>
      </c>
      <c r="J283" s="36" t="n">
        <v>4</v>
      </c>
      <c r="K283" s="36" t="inlineStr">
        <is>
          <t>https://instasure.ca/super-visa-insurance/ontario/markham/</t>
        </is>
      </c>
      <c r="L283" s="36">
        <f>IF(K283="","No","Yes")</f>
        <v/>
      </c>
      <c r="M283" s="39">
        <f>IF(K283="","",IFERROR(IF(ISNUMBER(SEARCH(A283,INDEX(Pages!$J$2:$J$829,MATCH(K283,Pages!$B$2:$B$829,0)))),"Yes","No"),"Page not found"))</f>
        <v/>
      </c>
      <c r="N283" s="25" t="inlineStr">
        <is>
          <t>(none seen)</t>
        </is>
      </c>
      <c r="O283" s="25" t="n"/>
      <c r="P283" s="40" t="n"/>
      <c r="Q283" s="38" t="n"/>
      <c r="R283" s="38" t="n"/>
    </row>
    <row r="284" ht="15" customHeight="1" s="22">
      <c r="A284" s="36" t="inlineStr">
        <is>
          <t>tenant insurance laval</t>
        </is>
      </c>
      <c r="B284" s="36" t="inlineStr">
        <is>
          <t>Tenant insurance</t>
        </is>
      </c>
      <c r="C284" s="36" t="inlineStr">
        <is>
          <t>Tenant Insurance</t>
        </is>
      </c>
      <c r="D284" s="36" t="inlineStr">
        <is>
          <t>Quebec</t>
        </is>
      </c>
      <c r="E284" s="36" t="inlineStr">
        <is>
          <t>Laval</t>
        </is>
      </c>
      <c r="F284" s="37" t="n">
        <v>88</v>
      </c>
      <c r="G284" s="36" t="n">
        <v>44</v>
      </c>
      <c r="H284" s="36" t="inlineStr">
        <is>
          <t>local</t>
        </is>
      </c>
      <c r="I284" s="36" t="inlineStr">
        <is>
          <t>property-local</t>
        </is>
      </c>
      <c r="J284" s="36" t="n">
        <v>5</v>
      </c>
      <c r="K284" s="36" t="inlineStr">
        <is>
          <t>https://instasure.ca/tenant-insurance/quebec/laval/</t>
        </is>
      </c>
      <c r="L284" s="36">
        <f>IF(K284="","No","Yes")</f>
        <v/>
      </c>
      <c r="M284" s="39">
        <f>IF(K284="","",IFERROR(IF(ISNUMBER(SEARCH(A284,INDEX(Pages!$J$2:$J$829,MATCH(K284,Pages!$B$2:$B$829,0)))),"Yes","No"),"Page not found"))</f>
        <v/>
      </c>
      <c r="N284" s="25" t="inlineStr">
        <is>
          <t>sonnet</t>
        </is>
      </c>
      <c r="O284" s="25" t="inlineStr">
        <is>
          <t>Quebec waitlist until AMF registration.</t>
        </is>
      </c>
      <c r="P284" s="40" t="n"/>
      <c r="Q284" s="38" t="n"/>
      <c r="R284" s="38" t="n"/>
    </row>
    <row r="285" ht="15" customHeight="1" s="22">
      <c r="A285" s="36" t="inlineStr">
        <is>
          <t>business insurance burnaby</t>
        </is>
      </c>
      <c r="B285" s="36" t="inlineStr">
        <is>
          <t>Business insurance</t>
        </is>
      </c>
      <c r="C285" s="36" t="inlineStr">
        <is>
          <t>Business Insurance</t>
        </is>
      </c>
      <c r="D285" s="36" t="inlineStr">
        <is>
          <t>British Columbia</t>
        </is>
      </c>
      <c r="E285" s="36" t="inlineStr">
        <is>
          <t>Burnaby</t>
        </is>
      </c>
      <c r="F285" s="37" t="n">
        <v>86</v>
      </c>
      <c r="G285" s="36" t="n">
        <v>33</v>
      </c>
      <c r="H285" s="36" t="inlineStr">
        <is>
          <t>local</t>
        </is>
      </c>
      <c r="I285" s="36" t="inlineStr">
        <is>
          <t>business-local</t>
        </is>
      </c>
      <c r="J285" s="36" t="n">
        <v>2</v>
      </c>
      <c r="K285" s="36" t="inlineStr">
        <is>
          <t>https://instasure.ca/business-insurance/british-columbia/burnaby/</t>
        </is>
      </c>
      <c r="L285" s="36">
        <f>IF(K285="","No","Yes")</f>
        <v/>
      </c>
      <c r="M285" s="39">
        <f>IF(K285="","",IFERROR(IF(ISNUMBER(SEARCH(A285,INDEX(Pages!$J$2:$J$829,MATCH(K285,Pages!$B$2:$B$829,0)))),"Yes","No"),"Page not found"))</f>
        <v/>
      </c>
      <c r="N285" s="25" t="inlineStr">
        <is>
          <t>(none seen)</t>
        </is>
      </c>
      <c r="O285" s="25" t="n"/>
      <c r="P285" s="40" t="n"/>
      <c r="Q285" s="38" t="n"/>
      <c r="R285" s="38" t="n"/>
    </row>
    <row r="286" ht="15" customHeight="1" s="22">
      <c r="A286" s="36" t="inlineStr">
        <is>
          <t>condo insurance burnaby</t>
        </is>
      </c>
      <c r="B286" s="36" t="inlineStr">
        <is>
          <t>Condo insurance</t>
        </is>
      </c>
      <c r="C286" s="36" t="inlineStr">
        <is>
          <t>Condo Insurance</t>
        </is>
      </c>
      <c r="D286" s="36" t="inlineStr">
        <is>
          <t>British Columbia</t>
        </is>
      </c>
      <c r="E286" s="36" t="inlineStr">
        <is>
          <t>Burnaby</t>
        </is>
      </c>
      <c r="F286" s="37" t="n">
        <v>86</v>
      </c>
      <c r="G286" s="36" t="n">
        <v>40</v>
      </c>
      <c r="H286" s="36" t="inlineStr">
        <is>
          <t>local</t>
        </is>
      </c>
      <c r="I286" s="36" t="inlineStr">
        <is>
          <t>property-local</t>
        </is>
      </c>
      <c r="J286" s="36" t="n">
        <v>4</v>
      </c>
      <c r="K286" s="36" t="inlineStr">
        <is>
          <t>https://instasure.ca/condo-insurance/british-columbia/burnaby/</t>
        </is>
      </c>
      <c r="L286" s="36">
        <f>IF(K286="","No","Yes")</f>
        <v/>
      </c>
      <c r="M286" s="39">
        <f>IF(K286="","",IFERROR(IF(ISNUMBER(SEARCH(A286,INDEX(Pages!$J$2:$J$829,MATCH(K286,Pages!$B$2:$B$829,0)))),"Yes","No"),"Page not found"))</f>
        <v/>
      </c>
      <c r="N286" s="25" t="inlineStr">
        <is>
          <t>(none seen)</t>
        </is>
      </c>
      <c r="O286" s="25" t="n"/>
      <c r="P286" s="40" t="n"/>
      <c r="Q286" s="38" t="n"/>
      <c r="R286" s="38" t="n"/>
    </row>
    <row r="287" ht="23.85" customHeight="1" s="22">
      <c r="A287" s="36" t="inlineStr">
        <is>
          <t>life insurance abbotsford</t>
        </is>
      </c>
      <c r="B287" s="36" t="inlineStr">
        <is>
          <t>Life insurance</t>
        </is>
      </c>
      <c r="C287" s="36" t="inlineStr">
        <is>
          <t>Life Insurance</t>
        </is>
      </c>
      <c r="D287" s="36" t="inlineStr">
        <is>
          <t>British Columbia</t>
        </is>
      </c>
      <c r="E287" s="36" t="inlineStr">
        <is>
          <t>Abbotsford</t>
        </is>
      </c>
      <c r="F287" s="37" t="n">
        <v>86</v>
      </c>
      <c r="G287" s="36" t="n">
        <v>27</v>
      </c>
      <c r="H287" s="36" t="inlineStr">
        <is>
          <t>local</t>
        </is>
      </c>
      <c r="I287" s="36" t="inlineStr">
        <is>
          <t>life-local</t>
        </is>
      </c>
      <c r="J287" s="36" t="n">
        <v>3</v>
      </c>
      <c r="K287" s="36" t="inlineStr">
        <is>
          <t>https://instasure.ca/life-insurance/british-columbia/abbotsford/</t>
        </is>
      </c>
      <c r="L287" s="36">
        <f>IF(K287="","No","Yes")</f>
        <v/>
      </c>
      <c r="M287" s="39">
        <f>IF(K287="","",IFERROR(IF(ISNUMBER(SEARCH(A287,INDEX(Pages!$J$2:$J$829,MATCH(K287,Pages!$B$2:$B$829,0)))),"Yes","No"),"Page not found"))</f>
        <v/>
      </c>
      <c r="N287" s="25" t="inlineStr">
        <is>
          <t>(none seen)</t>
        </is>
      </c>
      <c r="O287" s="25" t="inlineStr">
        <is>
          <t>Page exists but is noindex until an editor adds a 300+ character local intro (Admin → SEO → Page overrides).</t>
        </is>
      </c>
      <c r="P287" s="40" t="n"/>
      <c r="Q287" s="38" t="n"/>
      <c r="R287" s="38" t="n"/>
    </row>
    <row r="288" ht="15" customHeight="1" s="22">
      <c r="A288" s="36" t="inlineStr">
        <is>
          <t>home insurance longueuil</t>
        </is>
      </c>
      <c r="B288" s="36" t="inlineStr">
        <is>
          <t>Home insurance</t>
        </is>
      </c>
      <c r="C288" s="36" t="inlineStr">
        <is>
          <t>Home Insurance</t>
        </is>
      </c>
      <c r="D288" s="36" t="inlineStr">
        <is>
          <t>Quebec</t>
        </is>
      </c>
      <c r="E288" s="36" t="inlineStr">
        <is>
          <t>Longueuil</t>
        </is>
      </c>
      <c r="F288" s="37" t="n">
        <v>84</v>
      </c>
      <c r="G288" s="36" t="n">
        <v>40</v>
      </c>
      <c r="H288" s="36" t="inlineStr">
        <is>
          <t>local</t>
        </is>
      </c>
      <c r="I288" s="36" t="inlineStr">
        <is>
          <t>property-local</t>
        </is>
      </c>
      <c r="J288" s="36" t="n">
        <v>5</v>
      </c>
      <c r="K288" s="36" t="inlineStr">
        <is>
          <t>https://instasure.ca/home-insurance/quebec/longueuil/</t>
        </is>
      </c>
      <c r="L288" s="36">
        <f>IF(K288="","No","Yes")</f>
        <v/>
      </c>
      <c r="M288" s="39">
        <f>IF(K288="","",IFERROR(IF(ISNUMBER(SEARCH(A288,INDEX(Pages!$J$2:$J$829,MATCH(K288,Pages!$B$2:$B$829,0)))),"Yes","No"),"Page not found"))</f>
        <v/>
      </c>
      <c r="N288" s="25" t="inlineStr">
        <is>
          <t>(none seen)</t>
        </is>
      </c>
      <c r="O288" s="25" t="inlineStr">
        <is>
          <t>Quebec waitlist until AMF registration.</t>
        </is>
      </c>
      <c r="P288" s="40" t="n"/>
      <c r="Q288" s="38" t="n"/>
      <c r="R288" s="38" t="n"/>
    </row>
    <row r="289" ht="23.85" customHeight="1" s="22">
      <c r="A289" s="36" t="inlineStr">
        <is>
          <t>life insurance coquitlam</t>
        </is>
      </c>
      <c r="B289" s="36" t="inlineStr">
        <is>
          <t>Life insurance</t>
        </is>
      </c>
      <c r="C289" s="36" t="inlineStr">
        <is>
          <t>Life Insurance</t>
        </is>
      </c>
      <c r="D289" s="36" t="inlineStr">
        <is>
          <t>British Columbia</t>
        </is>
      </c>
      <c r="E289" s="36" t="inlineStr">
        <is>
          <t>Coquitlam</t>
        </is>
      </c>
      <c r="F289" s="37" t="n">
        <v>84</v>
      </c>
      <c r="G289" s="36" t="n">
        <v>27</v>
      </c>
      <c r="H289" s="36" t="inlineStr">
        <is>
          <t>local</t>
        </is>
      </c>
      <c r="I289" s="36" t="inlineStr">
        <is>
          <t>life-local</t>
        </is>
      </c>
      <c r="J289" s="36" t="n">
        <v>3</v>
      </c>
      <c r="K289" s="36" t="inlineStr">
        <is>
          <t>https://instasure.ca/life-insurance/british-columbia/coquitlam/</t>
        </is>
      </c>
      <c r="L289" s="36">
        <f>IF(K289="","No","Yes")</f>
        <v/>
      </c>
      <c r="M289" s="39">
        <f>IF(K289="","",IFERROR(IF(ISNUMBER(SEARCH(A289,INDEX(Pages!$J$2:$J$829,MATCH(K289,Pages!$B$2:$B$829,0)))),"Yes","No"),"Page not found"))</f>
        <v/>
      </c>
      <c r="N289" s="25" t="inlineStr">
        <is>
          <t>(none seen)</t>
        </is>
      </c>
      <c r="O289" s="25" t="inlineStr">
        <is>
          <t>Page exists but is noindex until an editor adds a 300+ character local intro (Admin → SEO → Page overrides).</t>
        </is>
      </c>
      <c r="P289" s="40" t="n"/>
      <c r="Q289" s="38" t="n"/>
      <c r="R289" s="38" t="n"/>
    </row>
    <row r="290" ht="15" customHeight="1" s="22">
      <c r="A290" s="36" t="inlineStr">
        <is>
          <t>tenant insurance victoria</t>
        </is>
      </c>
      <c r="B290" s="36" t="inlineStr">
        <is>
          <t>Tenant insurance</t>
        </is>
      </c>
      <c r="C290" s="36" t="inlineStr">
        <is>
          <t>Tenant Insurance</t>
        </is>
      </c>
      <c r="D290" s="36" t="inlineStr">
        <is>
          <t>British Columbia</t>
        </is>
      </c>
      <c r="E290" s="36" t="inlineStr">
        <is>
          <t>Victoria</t>
        </is>
      </c>
      <c r="F290" s="37" t="n">
        <v>84</v>
      </c>
      <c r="G290" s="36" t="n">
        <v>40</v>
      </c>
      <c r="H290" s="36" t="inlineStr">
        <is>
          <t>local</t>
        </is>
      </c>
      <c r="I290" s="36" t="inlineStr">
        <is>
          <t>property-local</t>
        </is>
      </c>
      <c r="J290" s="36" t="n">
        <v>5</v>
      </c>
      <c r="K290" s="36" t="inlineStr">
        <is>
          <t>https://instasure.ca/tenant-insurance/british-columbia/victoria/</t>
        </is>
      </c>
      <c r="L290" s="36">
        <f>IF(K290="","No","Yes")</f>
        <v/>
      </c>
      <c r="M290" s="39">
        <f>IF(K290="","",IFERROR(IF(ISNUMBER(SEARCH(A290,INDEX(Pages!$J$2:$J$829,MATCH(K290,Pages!$B$2:$B$829,0)))),"Yes","No"),"Page not found"))</f>
        <v/>
      </c>
      <c r="N290" s="25" t="inlineStr">
        <is>
          <t>(none seen)</t>
        </is>
      </c>
      <c r="O290" s="25" t="n"/>
      <c r="P290" s="40" t="n"/>
      <c r="Q290" s="38" t="n"/>
      <c r="R290" s="38" t="n"/>
    </row>
    <row r="291" ht="23.85" customHeight="1" s="22">
      <c r="A291" s="36" t="inlineStr">
        <is>
          <t>life insurance barrie</t>
        </is>
      </c>
      <c r="B291" s="36" t="inlineStr">
        <is>
          <t>Life insurance</t>
        </is>
      </c>
      <c r="C291" s="36" t="inlineStr">
        <is>
          <t>Life Insurance</t>
        </is>
      </c>
      <c r="D291" s="36" t="inlineStr">
        <is>
          <t>Ontario</t>
        </is>
      </c>
      <c r="E291" s="36" t="inlineStr">
        <is>
          <t>Barrie</t>
        </is>
      </c>
      <c r="F291" s="37" t="n">
        <v>83</v>
      </c>
      <c r="G291" s="36" t="n">
        <v>35</v>
      </c>
      <c r="H291" s="36" t="inlineStr">
        <is>
          <t>local</t>
        </is>
      </c>
      <c r="I291" s="36" t="inlineStr">
        <is>
          <t>life-local</t>
        </is>
      </c>
      <c r="J291" s="36" t="n">
        <v>3</v>
      </c>
      <c r="K291" s="36" t="inlineStr">
        <is>
          <t>https://instasure.ca/life-insurance/ontario/barrie/</t>
        </is>
      </c>
      <c r="L291" s="36">
        <f>IF(K291="","No","Yes")</f>
        <v/>
      </c>
      <c r="M291" s="39">
        <f>IF(K291="","",IFERROR(IF(ISNUMBER(SEARCH(A291,INDEX(Pages!$J$2:$J$829,MATCH(K291,Pages!$B$2:$B$829,0)))),"Yes","No"),"Page not found"))</f>
        <v/>
      </c>
      <c r="N291" s="25" t="inlineStr">
        <is>
          <t>(none seen)</t>
        </is>
      </c>
      <c r="O291" s="25" t="inlineStr">
        <is>
          <t>Page exists but is noindex until an editor adds a 300+ character local intro (Admin → SEO → Page overrides).</t>
        </is>
      </c>
      <c r="P291" s="40" t="n"/>
      <c r="Q291" s="38" t="n"/>
      <c r="R291" s="38" t="n"/>
    </row>
    <row r="292" ht="23.85" customHeight="1" s="22">
      <c r="A292" s="36" t="inlineStr">
        <is>
          <t>life insurance guelph</t>
        </is>
      </c>
      <c r="B292" s="36" t="inlineStr">
        <is>
          <t>Life insurance</t>
        </is>
      </c>
      <c r="C292" s="36" t="inlineStr">
        <is>
          <t>Life Insurance</t>
        </is>
      </c>
      <c r="D292" s="36" t="inlineStr">
        <is>
          <t>Ontario</t>
        </is>
      </c>
      <c r="E292" s="36" t="inlineStr">
        <is>
          <t>Guelph</t>
        </is>
      </c>
      <c r="F292" s="37" t="n">
        <v>82</v>
      </c>
      <c r="G292" s="36" t="n">
        <v>35</v>
      </c>
      <c r="H292" s="36" t="inlineStr">
        <is>
          <t>local</t>
        </is>
      </c>
      <c r="I292" s="36" t="inlineStr">
        <is>
          <t>life-local</t>
        </is>
      </c>
      <c r="J292" s="36" t="n">
        <v>3</v>
      </c>
      <c r="K292" s="36" t="inlineStr">
        <is>
          <t>https://instasure.ca/life-insurance/ontario/guelph/</t>
        </is>
      </c>
      <c r="L292" s="36">
        <f>IF(K292="","No","Yes")</f>
        <v/>
      </c>
      <c r="M292" s="39">
        <f>IF(K292="","",IFERROR(IF(ISNUMBER(SEARCH(A292,INDEX(Pages!$J$2:$J$829,MATCH(K292,Pages!$B$2:$B$829,0)))),"Yes","No"),"Page not found"))</f>
        <v/>
      </c>
      <c r="N292" s="25" t="inlineStr">
        <is>
          <t>(none seen)</t>
        </is>
      </c>
      <c r="O292" s="25" t="inlineStr">
        <is>
          <t>Page exists but is noindex until an editor adds a 300+ character local intro (Admin → SEO → Page overrides).</t>
        </is>
      </c>
      <c r="P292" s="40" t="n"/>
      <c r="Q292" s="38" t="n"/>
      <c r="R292" s="38" t="n"/>
    </row>
    <row r="293" ht="15" customHeight="1" s="22">
      <c r="A293" s="36" t="inlineStr">
        <is>
          <t>life insurance kelowna</t>
        </is>
      </c>
      <c r="B293" s="36" t="inlineStr">
        <is>
          <t>Life insurance</t>
        </is>
      </c>
      <c r="C293" s="36" t="inlineStr">
        <is>
          <t>Life Insurance</t>
        </is>
      </c>
      <c r="D293" s="36" t="inlineStr">
        <is>
          <t>British Columbia</t>
        </is>
      </c>
      <c r="E293" s="36" t="inlineStr">
        <is>
          <t>Kelowna</t>
        </is>
      </c>
      <c r="F293" s="37" t="n">
        <v>82</v>
      </c>
      <c r="G293" s="36" t="n">
        <v>35</v>
      </c>
      <c r="H293" s="36" t="inlineStr">
        <is>
          <t>local</t>
        </is>
      </c>
      <c r="I293" s="36" t="inlineStr">
        <is>
          <t>life-local</t>
        </is>
      </c>
      <c r="J293" s="36" t="n">
        <v>2</v>
      </c>
      <c r="K293" s="36" t="inlineStr">
        <is>
          <t>https://instasure.ca/life-insurance/british-columbia/kelowna/</t>
        </is>
      </c>
      <c r="L293" s="36">
        <f>IF(K293="","No","Yes")</f>
        <v/>
      </c>
      <c r="M293" s="39">
        <f>IF(K293="","",IFERROR(IF(ISNUMBER(SEARCH(A293,INDEX(Pages!$J$2:$J$829,MATCH(K293,Pages!$B$2:$B$829,0)))),"Yes","No"),"Page not found"))</f>
        <v/>
      </c>
      <c r="N293" s="25" t="inlineStr">
        <is>
          <t>(none seen)</t>
        </is>
      </c>
      <c r="O293" s="25" t="n"/>
      <c r="P293" s="40" t="n"/>
      <c r="Q293" s="38" t="n"/>
      <c r="R293" s="38" t="n"/>
    </row>
    <row r="294" ht="15" customHeight="1" s="22">
      <c r="A294" s="36" t="inlineStr">
        <is>
          <t>business insurance windsor</t>
        </is>
      </c>
      <c r="B294" s="36" t="inlineStr">
        <is>
          <t>Business insurance</t>
        </is>
      </c>
      <c r="C294" s="36" t="inlineStr">
        <is>
          <t>Business Insurance</t>
        </is>
      </c>
      <c r="D294" s="36" t="inlineStr">
        <is>
          <t>Ontario</t>
        </is>
      </c>
      <c r="E294" s="36" t="inlineStr">
        <is>
          <t>Windsor</t>
        </is>
      </c>
      <c r="F294" s="37" t="n">
        <v>80</v>
      </c>
      <c r="G294" s="36" t="n">
        <v>41</v>
      </c>
      <c r="H294" s="36" t="inlineStr">
        <is>
          <t>local</t>
        </is>
      </c>
      <c r="I294" s="36" t="inlineStr">
        <is>
          <t>business-local</t>
        </is>
      </c>
      <c r="J294" s="36" t="n">
        <v>3</v>
      </c>
      <c r="K294" s="36" t="inlineStr">
        <is>
          <t>https://instasure.ca/business-insurance/ontario/windsor/</t>
        </is>
      </c>
      <c r="L294" s="36">
        <f>IF(K294="","No","Yes")</f>
        <v/>
      </c>
      <c r="M294" s="39">
        <f>IF(K294="","",IFERROR(IF(ISNUMBER(SEARCH(A294,INDEX(Pages!$J$2:$J$829,MATCH(K294,Pages!$B$2:$B$829,0)))),"Yes","No"),"Page not found"))</f>
        <v/>
      </c>
      <c r="N294" s="25" t="inlineStr">
        <is>
          <t>(none seen)</t>
        </is>
      </c>
      <c r="O294" s="25" t="n"/>
      <c r="P294" s="40" t="n"/>
      <c r="Q294" s="38" t="n"/>
      <c r="R294" s="38" t="n"/>
    </row>
    <row r="295" ht="15" customHeight="1" s="22">
      <c r="A295" s="36" t="inlineStr">
        <is>
          <t>condo insurance windsor</t>
        </is>
      </c>
      <c r="B295" s="36" t="inlineStr">
        <is>
          <t>Condo insurance</t>
        </is>
      </c>
      <c r="C295" s="36" t="inlineStr">
        <is>
          <t>Condo Insurance</t>
        </is>
      </c>
      <c r="D295" s="36" t="inlineStr">
        <is>
          <t>Ontario</t>
        </is>
      </c>
      <c r="E295" s="36" t="inlineStr">
        <is>
          <t>Windsor</t>
        </is>
      </c>
      <c r="F295" s="37" t="n">
        <v>80</v>
      </c>
      <c r="G295" s="36" t="n">
        <v>48</v>
      </c>
      <c r="H295" s="36" t="inlineStr">
        <is>
          <t>local</t>
        </is>
      </c>
      <c r="I295" s="36" t="inlineStr">
        <is>
          <t>property-local</t>
        </is>
      </c>
      <c r="J295" s="36" t="n">
        <v>4</v>
      </c>
      <c r="K295" s="36" t="inlineStr">
        <is>
          <t>https://instasure.ca/condo-insurance/ontario/windsor/</t>
        </is>
      </c>
      <c r="L295" s="36">
        <f>IF(K295="","No","Yes")</f>
        <v/>
      </c>
      <c r="M295" s="39">
        <f>IF(K295="","",IFERROR(IF(ISNUMBER(SEARCH(A295,INDEX(Pages!$J$2:$J$829,MATCH(K295,Pages!$B$2:$B$829,0)))),"Yes","No"),"Page not found"))</f>
        <v/>
      </c>
      <c r="N295" s="25" t="inlineStr">
        <is>
          <t>(none seen)</t>
        </is>
      </c>
      <c r="O295" s="25" t="n"/>
      <c r="P295" s="40" t="n"/>
      <c r="Q295" s="38" t="n"/>
      <c r="R295" s="38" t="n"/>
    </row>
    <row r="296" ht="15" customHeight="1" s="22">
      <c r="A296" s="36" t="inlineStr">
        <is>
          <t>business insurance regina</t>
        </is>
      </c>
      <c r="B296" s="36" t="inlineStr">
        <is>
          <t>Business insurance</t>
        </is>
      </c>
      <c r="C296" s="36" t="inlineStr">
        <is>
          <t>Business Insurance</t>
        </is>
      </c>
      <c r="D296" s="36" t="inlineStr">
        <is>
          <t>Saskatchewan</t>
        </is>
      </c>
      <c r="E296" s="36" t="inlineStr">
        <is>
          <t>Regina</t>
        </is>
      </c>
      <c r="F296" s="37" t="n">
        <v>79</v>
      </c>
      <c r="G296" s="36" t="n">
        <v>33</v>
      </c>
      <c r="H296" s="36" t="inlineStr">
        <is>
          <t>local</t>
        </is>
      </c>
      <c r="I296" s="36" t="inlineStr">
        <is>
          <t>business-local</t>
        </is>
      </c>
      <c r="J296" s="36" t="n">
        <v>3</v>
      </c>
      <c r="K296" s="36" t="inlineStr">
        <is>
          <t>https://instasure.ca/business-insurance/saskatchewan/regina/</t>
        </is>
      </c>
      <c r="L296" s="36">
        <f>IF(K296="","No","Yes")</f>
        <v/>
      </c>
      <c r="M296" s="39">
        <f>IF(K296="","",IFERROR(IF(ISNUMBER(SEARCH(A296,INDEX(Pages!$J$2:$J$829,MATCH(K296,Pages!$B$2:$B$829,0)))),"Yes","No"),"Page not found"))</f>
        <v/>
      </c>
      <c r="N296" s="25" t="inlineStr">
        <is>
          <t>(none seen)</t>
        </is>
      </c>
      <c r="O296" s="25" t="n"/>
      <c r="P296" s="40" t="n"/>
      <c r="Q296" s="38" t="n"/>
      <c r="R296" s="38" t="n"/>
    </row>
    <row r="297" ht="15" customHeight="1" s="22">
      <c r="A297" s="36" t="inlineStr">
        <is>
          <t>condo insurance regina</t>
        </is>
      </c>
      <c r="B297" s="36" t="inlineStr">
        <is>
          <t>Condo insurance</t>
        </is>
      </c>
      <c r="C297" s="36" t="inlineStr">
        <is>
          <t>Condo Insurance</t>
        </is>
      </c>
      <c r="D297" s="36" t="inlineStr">
        <is>
          <t>Saskatchewan</t>
        </is>
      </c>
      <c r="E297" s="36" t="inlineStr">
        <is>
          <t>Regina</t>
        </is>
      </c>
      <c r="F297" s="37" t="n">
        <v>79</v>
      </c>
      <c r="G297" s="36" t="n">
        <v>40</v>
      </c>
      <c r="H297" s="36" t="inlineStr">
        <is>
          <t>local</t>
        </is>
      </c>
      <c r="I297" s="36" t="inlineStr">
        <is>
          <t>property-local</t>
        </is>
      </c>
      <c r="J297" s="36" t="n">
        <v>4</v>
      </c>
      <c r="K297" s="36" t="inlineStr">
        <is>
          <t>https://instasure.ca/condo-insurance/saskatchewan/regina/</t>
        </is>
      </c>
      <c r="L297" s="36">
        <f>IF(K297="","No","Yes")</f>
        <v/>
      </c>
      <c r="M297" s="39">
        <f>IF(K297="","",IFERROR(IF(ISNUMBER(SEARCH(A297,INDEX(Pages!$J$2:$J$829,MATCH(K297,Pages!$B$2:$B$829,0)))),"Yes","No"),"Page not found"))</f>
        <v/>
      </c>
      <c r="N297" s="25" t="inlineStr">
        <is>
          <t>(none seen)</t>
        </is>
      </c>
      <c r="O297" s="25" t="n"/>
      <c r="P297" s="40" t="n"/>
      <c r="Q297" s="38" t="n"/>
      <c r="R297" s="38" t="n"/>
    </row>
    <row r="298" ht="23.85" customHeight="1" s="22">
      <c r="A298" s="36" t="inlineStr">
        <is>
          <t>life insurance cambridge</t>
        </is>
      </c>
      <c r="B298" s="36" t="inlineStr">
        <is>
          <t>Life insurance</t>
        </is>
      </c>
      <c r="C298" s="36" t="inlineStr">
        <is>
          <t>Life Insurance</t>
        </is>
      </c>
      <c r="D298" s="36" t="inlineStr">
        <is>
          <t>Ontario</t>
        </is>
      </c>
      <c r="E298" s="36" t="inlineStr">
        <is>
          <t>Cambridge</t>
        </is>
      </c>
      <c r="F298" s="37" t="n">
        <v>79</v>
      </c>
      <c r="G298" s="36" t="n">
        <v>27</v>
      </c>
      <c r="H298" s="36" t="inlineStr">
        <is>
          <t>local</t>
        </is>
      </c>
      <c r="I298" s="36" t="inlineStr">
        <is>
          <t>life-local</t>
        </is>
      </c>
      <c r="J298" s="36" t="n">
        <v>3</v>
      </c>
      <c r="K298" s="36" t="inlineStr">
        <is>
          <t>https://instasure.ca/life-insurance/ontario/cambridge/</t>
        </is>
      </c>
      <c r="L298" s="36">
        <f>IF(K298="","No","Yes")</f>
        <v/>
      </c>
      <c r="M298" s="39">
        <f>IF(K298="","",IFERROR(IF(ISNUMBER(SEARCH(A298,INDEX(Pages!$J$2:$J$829,MATCH(K298,Pages!$B$2:$B$829,0)))),"Yes","No"),"Page not found"))</f>
        <v/>
      </c>
      <c r="N298" s="25" t="inlineStr">
        <is>
          <t>(none seen)</t>
        </is>
      </c>
      <c r="O298" s="25" t="inlineStr">
        <is>
          <t>Page exists but is noindex until an editor adds a 300+ character local intro (Admin → SEO → Page overrides).</t>
        </is>
      </c>
      <c r="P298" s="40" t="n"/>
      <c r="Q298" s="38" t="n"/>
      <c r="R298" s="38" t="n"/>
    </row>
    <row r="299" ht="23.85" customHeight="1" s="22">
      <c r="A299" s="36" t="inlineStr">
        <is>
          <t>life insurance whitby</t>
        </is>
      </c>
      <c r="B299" s="36" t="inlineStr">
        <is>
          <t>Life insurance</t>
        </is>
      </c>
      <c r="C299" s="36" t="inlineStr">
        <is>
          <t>Life Insurance</t>
        </is>
      </c>
      <c r="D299" s="36" t="inlineStr">
        <is>
          <t>Ontario</t>
        </is>
      </c>
      <c r="E299" s="36" t="inlineStr">
        <is>
          <t>Whitby</t>
        </is>
      </c>
      <c r="F299" s="37" t="n">
        <v>79</v>
      </c>
      <c r="G299" s="36" t="n">
        <v>27</v>
      </c>
      <c r="H299" s="36" t="inlineStr">
        <is>
          <t>local</t>
        </is>
      </c>
      <c r="I299" s="36" t="inlineStr">
        <is>
          <t>life-local</t>
        </is>
      </c>
      <c r="J299" s="36" t="n">
        <v>3</v>
      </c>
      <c r="K299" s="36" t="inlineStr">
        <is>
          <t>https://instasure.ca/life-insurance/ontario/whitby/</t>
        </is>
      </c>
      <c r="L299" s="36">
        <f>IF(K299="","No","Yes")</f>
        <v/>
      </c>
      <c r="M299" s="39">
        <f>IF(K299="","",IFERROR(IF(ISNUMBER(SEARCH(A299,INDEX(Pages!$J$2:$J$829,MATCH(K299,Pages!$B$2:$B$829,0)))),"Yes","No"),"Page not found"))</f>
        <v/>
      </c>
      <c r="N299" s="25" t="inlineStr">
        <is>
          <t>(none seen)</t>
        </is>
      </c>
      <c r="O299" s="25" t="inlineStr">
        <is>
          <t>Page exists but is noindex until an editor adds a 300+ character local intro (Admin → SEO → Page overrides).</t>
        </is>
      </c>
      <c r="P299" s="40" t="n"/>
      <c r="Q299" s="38" t="n"/>
      <c r="R299" s="38" t="n"/>
    </row>
    <row r="300" ht="23.85" customHeight="1" s="22">
      <c r="A300" s="36" t="inlineStr">
        <is>
          <t>home insurance brandon</t>
        </is>
      </c>
      <c r="B300" s="36" t="inlineStr">
        <is>
          <t>Home insurance</t>
        </is>
      </c>
      <c r="C300" s="36" t="inlineStr">
        <is>
          <t>Home Insurance</t>
        </is>
      </c>
      <c r="D300" s="36" t="inlineStr">
        <is>
          <t>Manitoba</t>
        </is>
      </c>
      <c r="E300" s="36" t="inlineStr">
        <is>
          <t>Brandon</t>
        </is>
      </c>
      <c r="F300" s="37" t="n">
        <v>78</v>
      </c>
      <c r="G300" s="36" t="n">
        <v>32</v>
      </c>
      <c r="H300" s="36" t="inlineStr">
        <is>
          <t>local</t>
        </is>
      </c>
      <c r="I300" s="36" t="inlineStr">
        <is>
          <t>property-local</t>
        </is>
      </c>
      <c r="J300" s="36" t="n">
        <v>4</v>
      </c>
      <c r="K300" s="36" t="inlineStr">
        <is>
          <t>https://instasure.ca/home-insurance/manitoba/brandon/</t>
        </is>
      </c>
      <c r="L300" s="36">
        <f>IF(K300="","No","Yes")</f>
        <v/>
      </c>
      <c r="M300" s="39">
        <f>IF(K300="","",IFERROR(IF(ISNUMBER(SEARCH(A300,INDEX(Pages!$J$2:$J$829,MATCH(K300,Pages!$B$2:$B$829,0)))),"Yes","No"),"Page not found"))</f>
        <v/>
      </c>
      <c r="N300" s="25" t="inlineStr">
        <is>
          <t>(none seen)</t>
        </is>
      </c>
      <c r="O300" s="25" t="inlineStr">
        <is>
          <t>Page exists but is noindex until an editor adds a 300+ character local intro (Admin → SEO → Page overrides).</t>
        </is>
      </c>
      <c r="P300" s="40" t="n"/>
      <c r="Q300" s="38" t="n"/>
      <c r="R300" s="38" t="n"/>
    </row>
    <row r="301" ht="23.85" customHeight="1" s="22">
      <c r="A301" s="36" t="inlineStr">
        <is>
          <t>life insurance st catharines</t>
        </is>
      </c>
      <c r="B301" s="36" t="inlineStr">
        <is>
          <t>Life insurance</t>
        </is>
      </c>
      <c r="C301" s="36" t="inlineStr">
        <is>
          <t>Life Insurance</t>
        </is>
      </c>
      <c r="D301" s="36" t="inlineStr">
        <is>
          <t>Ontario</t>
        </is>
      </c>
      <c r="E301" s="36" t="inlineStr">
        <is>
          <t>St. Catharines</t>
        </is>
      </c>
      <c r="F301" s="37" t="n">
        <v>78</v>
      </c>
      <c r="G301" s="36" t="n">
        <v>35</v>
      </c>
      <c r="H301" s="36" t="inlineStr">
        <is>
          <t>local</t>
        </is>
      </c>
      <c r="I301" s="36" t="inlineStr">
        <is>
          <t>life-local</t>
        </is>
      </c>
      <c r="J301" s="36" t="n">
        <v>3</v>
      </c>
      <c r="K301" s="36" t="inlineStr">
        <is>
          <t>https://instasure.ca/life-insurance/ontario/st-catharines/</t>
        </is>
      </c>
      <c r="L301" s="36">
        <f>IF(K301="","No","Yes")</f>
        <v/>
      </c>
      <c r="M301" s="39">
        <f>IF(K301="","",IFERROR(IF(ISNUMBER(SEARCH(A301,INDEX(Pages!$J$2:$J$829,MATCH(K301,Pages!$B$2:$B$829,0)))),"Yes","No"),"Page not found"))</f>
        <v/>
      </c>
      <c r="N301" s="25" t="inlineStr">
        <is>
          <t>(none seen)</t>
        </is>
      </c>
      <c r="O301" s="25" t="inlineStr">
        <is>
          <t>Page exists but is noindex until an editor adds a 300+ character local intro (Admin → SEO → Page overrides).</t>
        </is>
      </c>
      <c r="P301" s="40" t="n"/>
      <c r="Q301" s="38" t="n"/>
      <c r="R301" s="38" t="n"/>
    </row>
    <row r="302" ht="23.85" customHeight="1" s="22">
      <c r="A302" s="36" t="inlineStr">
        <is>
          <t>life insurance milton</t>
        </is>
      </c>
      <c r="B302" s="36" t="inlineStr">
        <is>
          <t>Life insurance</t>
        </is>
      </c>
      <c r="C302" s="36" t="inlineStr">
        <is>
          <t>Life Insurance</t>
        </is>
      </c>
      <c r="D302" s="36" t="inlineStr">
        <is>
          <t>Ontario</t>
        </is>
      </c>
      <c r="E302" s="36" t="inlineStr">
        <is>
          <t>Milton</t>
        </is>
      </c>
      <c r="F302" s="37" t="n">
        <v>77</v>
      </c>
      <c r="G302" s="36" t="n">
        <v>27</v>
      </c>
      <c r="H302" s="36" t="inlineStr">
        <is>
          <t>local</t>
        </is>
      </c>
      <c r="I302" s="36" t="inlineStr">
        <is>
          <t>life-local</t>
        </is>
      </c>
      <c r="J302" s="36" t="n">
        <v>3</v>
      </c>
      <c r="K302" s="36" t="inlineStr">
        <is>
          <t>https://instasure.ca/life-insurance/ontario/milton/</t>
        </is>
      </c>
      <c r="L302" s="36">
        <f>IF(K302="","No","Yes")</f>
        <v/>
      </c>
      <c r="M302" s="39">
        <f>IF(K302="","",IFERROR(IF(ISNUMBER(SEARCH(A302,INDEX(Pages!$J$2:$J$829,MATCH(K302,Pages!$B$2:$B$829,0)))),"Yes","No"),"Page not found"))</f>
        <v/>
      </c>
      <c r="N302" s="25" t="inlineStr">
        <is>
          <t>(none seen)</t>
        </is>
      </c>
      <c r="O302" s="25" t="inlineStr">
        <is>
          <t>Page exists but is noindex until an editor adds a 300+ character local intro (Admin → SEO → Page overrides).</t>
        </is>
      </c>
      <c r="P302" s="40" t="n"/>
      <c r="Q302" s="38" t="n"/>
      <c r="R302" s="38" t="n"/>
    </row>
    <row r="303" ht="23.85" customHeight="1" s="22">
      <c r="A303" s="36" t="inlineStr">
        <is>
          <t>business insurance oakville</t>
        </is>
      </c>
      <c r="B303" s="36" t="inlineStr">
        <is>
          <t>Business insurance</t>
        </is>
      </c>
      <c r="C303" s="36" t="inlineStr">
        <is>
          <t>Business Insurance</t>
        </is>
      </c>
      <c r="D303" s="36" t="inlineStr">
        <is>
          <t>Ontario</t>
        </is>
      </c>
      <c r="E303" s="36" t="inlineStr">
        <is>
          <t>Oakville</t>
        </is>
      </c>
      <c r="F303" s="37" t="n">
        <v>76</v>
      </c>
      <c r="G303" s="36" t="n">
        <v>33</v>
      </c>
      <c r="H303" s="36" t="inlineStr">
        <is>
          <t>local</t>
        </is>
      </c>
      <c r="I303" s="36" t="inlineStr">
        <is>
          <t>business-local</t>
        </is>
      </c>
      <c r="J303" s="36" t="n">
        <v>4</v>
      </c>
      <c r="K303" s="36" t="inlineStr">
        <is>
          <t>https://instasure.ca/business-insurance/ontario/oakville/</t>
        </is>
      </c>
      <c r="L303" s="36">
        <f>IF(K303="","No","Yes")</f>
        <v/>
      </c>
      <c r="M303" s="39">
        <f>IF(K303="","",IFERROR(IF(ISNUMBER(SEARCH(A303,INDEX(Pages!$J$2:$J$829,MATCH(K303,Pages!$B$2:$B$829,0)))),"Yes","No"),"Page not found"))</f>
        <v/>
      </c>
      <c r="N303" s="25" t="inlineStr">
        <is>
          <t>(none seen)</t>
        </is>
      </c>
      <c r="O303" s="25" t="inlineStr">
        <is>
          <t>Page exists but is noindex until an editor adds a 300+ character local intro (Admin → SEO → Page overrides).</t>
        </is>
      </c>
      <c r="P303" s="40" t="n"/>
      <c r="Q303" s="38" t="n"/>
      <c r="R303" s="38" t="n"/>
    </row>
    <row r="304" ht="15" customHeight="1" s="22">
      <c r="A304" s="36" t="inlineStr">
        <is>
          <t>condo insurance oakville</t>
        </is>
      </c>
      <c r="B304" s="36" t="inlineStr">
        <is>
          <t>Condo insurance</t>
        </is>
      </c>
      <c r="C304" s="36" t="inlineStr">
        <is>
          <t>Condo Insurance</t>
        </is>
      </c>
      <c r="D304" s="36" t="inlineStr">
        <is>
          <t>Ontario</t>
        </is>
      </c>
      <c r="E304" s="36" t="inlineStr">
        <is>
          <t>Oakville</t>
        </is>
      </c>
      <c r="F304" s="37" t="n">
        <v>76</v>
      </c>
      <c r="G304" s="36" t="n">
        <v>40</v>
      </c>
      <c r="H304" s="36" t="inlineStr">
        <is>
          <t>local</t>
        </is>
      </c>
      <c r="I304" s="36" t="inlineStr">
        <is>
          <t>property-local</t>
        </is>
      </c>
      <c r="J304" s="36" t="n">
        <v>4</v>
      </c>
      <c r="K304" s="36" t="inlineStr">
        <is>
          <t>https://instasure.ca/condo-insurance/ontario/oakville/</t>
        </is>
      </c>
      <c r="L304" s="36">
        <f>IF(K304="","No","Yes")</f>
        <v/>
      </c>
      <c r="M304" s="39">
        <f>IF(K304="","",IFERROR(IF(ISNUMBER(SEARCH(A304,INDEX(Pages!$J$2:$J$829,MATCH(K304,Pages!$B$2:$B$829,0)))),"Yes","No"),"Page not found"))</f>
        <v/>
      </c>
      <c r="N304" s="25" t="inlineStr">
        <is>
          <t>(none seen)</t>
        </is>
      </c>
      <c r="O304" s="25" t="n"/>
      <c r="P304" s="40" t="n"/>
      <c r="Q304" s="38" t="n"/>
      <c r="R304" s="38" t="n"/>
    </row>
    <row r="305" ht="23.85" customHeight="1" s="22">
      <c r="A305" s="36" t="inlineStr">
        <is>
          <t>life insurance kingston</t>
        </is>
      </c>
      <c r="B305" s="36" t="inlineStr">
        <is>
          <t>Life insurance</t>
        </is>
      </c>
      <c r="C305" s="36" t="inlineStr">
        <is>
          <t>Life Insurance</t>
        </is>
      </c>
      <c r="D305" s="36" t="inlineStr">
        <is>
          <t>Ontario</t>
        </is>
      </c>
      <c r="E305" s="36" t="inlineStr">
        <is>
          <t>Kingston</t>
        </is>
      </c>
      <c r="F305" s="37" t="n">
        <v>76</v>
      </c>
      <c r="G305" s="36" t="n">
        <v>35</v>
      </c>
      <c r="H305" s="36" t="inlineStr">
        <is>
          <t>local</t>
        </is>
      </c>
      <c r="I305" s="36" t="inlineStr">
        <is>
          <t>life-local</t>
        </is>
      </c>
      <c r="J305" s="36" t="n">
        <v>3</v>
      </c>
      <c r="K305" s="36" t="inlineStr">
        <is>
          <t>https://instasure.ca/life-insurance/ontario/kingston/</t>
        </is>
      </c>
      <c r="L305" s="36">
        <f>IF(K305="","No","Yes")</f>
        <v/>
      </c>
      <c r="M305" s="39">
        <f>IF(K305="","",IFERROR(IF(ISNUMBER(SEARCH(A305,INDEX(Pages!$J$2:$J$829,MATCH(K305,Pages!$B$2:$B$829,0)))),"Yes","No"),"Page not found"))</f>
        <v/>
      </c>
      <c r="N305" s="25" t="inlineStr">
        <is>
          <t>(none seen)</t>
        </is>
      </c>
      <c r="O305" s="25" t="inlineStr">
        <is>
          <t>Page exists but is noindex until an editor adds a 300+ character local intro (Admin → SEO → Page overrides).</t>
        </is>
      </c>
      <c r="P305" s="40" t="n"/>
      <c r="Q305" s="38" t="n"/>
      <c r="R305" s="38" t="n"/>
    </row>
    <row r="306" ht="23.85" customHeight="1" s="22">
      <c r="A306" s="36" t="inlineStr">
        <is>
          <t>life insurance langley</t>
        </is>
      </c>
      <c r="B306" s="36" t="inlineStr">
        <is>
          <t>Life insurance</t>
        </is>
      </c>
      <c r="C306" s="36" t="inlineStr">
        <is>
          <t>Life Insurance</t>
        </is>
      </c>
      <c r="D306" s="36" t="inlineStr">
        <is>
          <t>British Columbia</t>
        </is>
      </c>
      <c r="E306" s="36" t="inlineStr">
        <is>
          <t>Langley</t>
        </is>
      </c>
      <c r="F306" s="37" t="n">
        <v>76</v>
      </c>
      <c r="G306" s="36" t="n">
        <v>19</v>
      </c>
      <c r="H306" s="36" t="inlineStr">
        <is>
          <t>local</t>
        </is>
      </c>
      <c r="I306" s="36" t="inlineStr">
        <is>
          <t>life-local</t>
        </is>
      </c>
      <c r="J306" s="36" t="n">
        <v>3</v>
      </c>
      <c r="K306" s="36" t="inlineStr">
        <is>
          <t>https://instasure.ca/life-insurance/british-columbia/langley/</t>
        </is>
      </c>
      <c r="L306" s="36">
        <f>IF(K306="","No","Yes")</f>
        <v/>
      </c>
      <c r="M306" s="39">
        <f>IF(K306="","",IFERROR(IF(ISNUMBER(SEARCH(A306,INDEX(Pages!$J$2:$J$829,MATCH(K306,Pages!$B$2:$B$829,0)))),"Yes","No"),"Page not found"))</f>
        <v/>
      </c>
      <c r="N306" s="25" t="inlineStr">
        <is>
          <t>(none seen)</t>
        </is>
      </c>
      <c r="O306" s="25" t="inlineStr">
        <is>
          <t>Page exists but is noindex until an editor adds a 300+ character local intro (Admin → SEO → Page overrides).</t>
        </is>
      </c>
      <c r="P306" s="40" t="n"/>
      <c r="Q306" s="38" t="n"/>
      <c r="R306" s="38" t="n"/>
    </row>
    <row r="307" ht="23.85" customHeight="1" s="22">
      <c r="A307" s="36" t="inlineStr">
        <is>
          <t>business insurance richmond bc</t>
        </is>
      </c>
      <c r="B307" s="36" t="inlineStr">
        <is>
          <t>Business insurance</t>
        </is>
      </c>
      <c r="C307" s="36" t="inlineStr">
        <is>
          <t>Business Insurance</t>
        </is>
      </c>
      <c r="D307" s="36" t="inlineStr">
        <is>
          <t>British Columbia</t>
        </is>
      </c>
      <c r="E307" s="36" t="inlineStr">
        <is>
          <t>Richmond</t>
        </is>
      </c>
      <c r="F307" s="37" t="n">
        <v>75</v>
      </c>
      <c r="G307" s="36" t="n">
        <v>25</v>
      </c>
      <c r="H307" s="36" t="inlineStr">
        <is>
          <t>local</t>
        </is>
      </c>
      <c r="I307" s="36" t="inlineStr">
        <is>
          <t>business-local</t>
        </is>
      </c>
      <c r="J307" s="36" t="n">
        <v>3</v>
      </c>
      <c r="K307" s="36" t="inlineStr">
        <is>
          <t>https://instasure.ca/business-insurance/british-columbia/richmond/</t>
        </is>
      </c>
      <c r="L307" s="36">
        <f>IF(K307="","No","Yes")</f>
        <v/>
      </c>
      <c r="M307" s="39">
        <f>IF(K307="","",IFERROR(IF(ISNUMBER(SEARCH(A307,INDEX(Pages!$J$2:$J$829,MATCH(K307,Pages!$B$2:$B$829,0)))),"Yes","No"),"Page not found"))</f>
        <v/>
      </c>
      <c r="N307" s="25" t="inlineStr">
        <is>
          <t>(none seen)</t>
        </is>
      </c>
      <c r="O307" s="25" t="inlineStr">
        <is>
          <t>Page exists but is noindex until an editor adds a 300+ character local intro (Admin → SEO → Page overrides).</t>
        </is>
      </c>
      <c r="P307" s="40" t="n"/>
      <c r="Q307" s="38" t="n"/>
      <c r="R307" s="38" t="n"/>
    </row>
    <row r="308" ht="15" customHeight="1" s="22">
      <c r="A308" s="36" t="inlineStr">
        <is>
          <t>condo insurance richmond bc</t>
        </is>
      </c>
      <c r="B308" s="36" t="inlineStr">
        <is>
          <t>Condo insurance</t>
        </is>
      </c>
      <c r="C308" s="36" t="inlineStr">
        <is>
          <t>Condo Insurance</t>
        </is>
      </c>
      <c r="D308" s="36" t="inlineStr">
        <is>
          <t>British Columbia</t>
        </is>
      </c>
      <c r="E308" s="36" t="inlineStr">
        <is>
          <t>Richmond</t>
        </is>
      </c>
      <c r="F308" s="37" t="n">
        <v>75</v>
      </c>
      <c r="G308" s="36" t="n">
        <v>32</v>
      </c>
      <c r="H308" s="36" t="inlineStr">
        <is>
          <t>local</t>
        </is>
      </c>
      <c r="I308" s="36" t="inlineStr">
        <is>
          <t>property-local</t>
        </is>
      </c>
      <c r="J308" s="36" t="n">
        <v>4</v>
      </c>
      <c r="K308" s="36" t="inlineStr">
        <is>
          <t>https://instasure.ca/condo-insurance/british-columbia/richmond/</t>
        </is>
      </c>
      <c r="L308" s="36">
        <f>IF(K308="","No","Yes")</f>
        <v/>
      </c>
      <c r="M308" s="39">
        <f>IF(K308="","",IFERROR(IF(ISNUMBER(SEARCH(A308,INDEX(Pages!$J$2:$J$829,MATCH(K308,Pages!$B$2:$B$829,0)))),"Yes","No"),"Page not found"))</f>
        <v/>
      </c>
      <c r="N308" s="25" t="inlineStr">
        <is>
          <t>(none seen)</t>
        </is>
      </c>
      <c r="O308" s="25" t="n"/>
      <c r="P308" s="40" t="n"/>
      <c r="Q308" s="38" t="n"/>
      <c r="R308" s="38" t="n"/>
    </row>
    <row r="309" ht="15" customHeight="1" s="22">
      <c r="A309" s="36" t="inlineStr">
        <is>
          <t>tenant insurance moncton</t>
        </is>
      </c>
      <c r="B309" s="36" t="inlineStr">
        <is>
          <t>Tenant insurance</t>
        </is>
      </c>
      <c r="C309" s="36" t="inlineStr">
        <is>
          <t>Tenant Insurance</t>
        </is>
      </c>
      <c r="D309" s="36" t="inlineStr">
        <is>
          <t>New Brunswick</t>
        </is>
      </c>
      <c r="E309" s="36" t="inlineStr">
        <is>
          <t>Moncton</t>
        </is>
      </c>
      <c r="F309" s="37" t="n">
        <v>75</v>
      </c>
      <c r="G309" s="36" t="n">
        <v>32</v>
      </c>
      <c r="H309" s="36" t="inlineStr">
        <is>
          <t>local</t>
        </is>
      </c>
      <c r="I309" s="36" t="inlineStr">
        <is>
          <t>property-local</t>
        </is>
      </c>
      <c r="J309" s="36" t="n">
        <v>5</v>
      </c>
      <c r="K309" s="36" t="inlineStr">
        <is>
          <t>https://instasure.ca/tenant-insurance/new-brunswick/moncton/</t>
        </is>
      </c>
      <c r="L309" s="36">
        <f>IF(K309="","No","Yes")</f>
        <v/>
      </c>
      <c r="M309" s="39">
        <f>IF(K309="","",IFERROR(IF(ISNUMBER(SEARCH(A309,INDEX(Pages!$J$2:$J$829,MATCH(K309,Pages!$B$2:$B$829,0)))),"Yes","No"),"Page not found"))</f>
        <v/>
      </c>
      <c r="N309" s="25" t="inlineStr">
        <is>
          <t>(none seen)</t>
        </is>
      </c>
      <c r="O309" s="25" t="n"/>
      <c r="P309" s="40" t="n"/>
      <c r="Q309" s="38" t="n"/>
      <c r="R309" s="38" t="n"/>
    </row>
    <row r="310" ht="23.85" customHeight="1" s="22">
      <c r="A310" s="36" t="inlineStr">
        <is>
          <t>life insurance ajax</t>
        </is>
      </c>
      <c r="B310" s="36" t="inlineStr">
        <is>
          <t>Life insurance</t>
        </is>
      </c>
      <c r="C310" s="36" t="inlineStr">
        <is>
          <t>Life Insurance</t>
        </is>
      </c>
      <c r="D310" s="36" t="inlineStr">
        <is>
          <t>Ontario</t>
        </is>
      </c>
      <c r="E310" s="36" t="inlineStr">
        <is>
          <t>Ajax</t>
        </is>
      </c>
      <c r="F310" s="37" t="n">
        <v>74</v>
      </c>
      <c r="G310" s="36" t="n">
        <v>27</v>
      </c>
      <c r="H310" s="36" t="inlineStr">
        <is>
          <t>local</t>
        </is>
      </c>
      <c r="I310" s="36" t="inlineStr">
        <is>
          <t>life-local</t>
        </is>
      </c>
      <c r="J310" s="36" t="n">
        <v>3</v>
      </c>
      <c r="K310" s="36" t="inlineStr">
        <is>
          <t>https://instasure.ca/life-insurance/ontario/ajax/</t>
        </is>
      </c>
      <c r="L310" s="36">
        <f>IF(K310="","No","Yes")</f>
        <v/>
      </c>
      <c r="M310" s="39">
        <f>IF(K310="","",IFERROR(IF(ISNUMBER(SEARCH(A310,INDEX(Pages!$J$2:$J$829,MATCH(K310,Pages!$B$2:$B$829,0)))),"Yes","No"),"Page not found"))</f>
        <v/>
      </c>
      <c r="N310" s="25" t="inlineStr">
        <is>
          <t>(none seen)</t>
        </is>
      </c>
      <c r="O310" s="25" t="inlineStr">
        <is>
          <t>Page exists but is noindex until an editor adds a 300+ character local intro (Admin → SEO → Page overrides).</t>
        </is>
      </c>
      <c r="P310" s="40" t="n"/>
      <c r="Q310" s="38" t="n"/>
      <c r="R310" s="38" t="n"/>
    </row>
    <row r="311" ht="23.85" customHeight="1" s="22">
      <c r="A311" s="36" t="inlineStr">
        <is>
          <t>business insurance richmond hill</t>
        </is>
      </c>
      <c r="B311" s="36" t="inlineStr">
        <is>
          <t>Business insurance</t>
        </is>
      </c>
      <c r="C311" s="36" t="inlineStr">
        <is>
          <t>Business Insurance</t>
        </is>
      </c>
      <c r="D311" s="36" t="inlineStr">
        <is>
          <t>Ontario</t>
        </is>
      </c>
      <c r="E311" s="36" t="inlineStr">
        <is>
          <t>Richmond Hill</t>
        </is>
      </c>
      <c r="F311" s="37" t="n">
        <v>72</v>
      </c>
      <c r="G311" s="36" t="n">
        <v>33</v>
      </c>
      <c r="H311" s="36" t="inlineStr">
        <is>
          <t>local</t>
        </is>
      </c>
      <c r="I311" s="36" t="inlineStr">
        <is>
          <t>business-local</t>
        </is>
      </c>
      <c r="J311" s="36" t="n">
        <v>4</v>
      </c>
      <c r="K311" s="36" t="inlineStr">
        <is>
          <t>https://instasure.ca/business-insurance/ontario/richmond-hill/</t>
        </is>
      </c>
      <c r="L311" s="36">
        <f>IF(K311="","No","Yes")</f>
        <v/>
      </c>
      <c r="M311" s="39">
        <f>IF(K311="","",IFERROR(IF(ISNUMBER(SEARCH(A311,INDEX(Pages!$J$2:$J$829,MATCH(K311,Pages!$B$2:$B$829,0)))),"Yes","No"),"Page not found"))</f>
        <v/>
      </c>
      <c r="N311" s="25" t="inlineStr">
        <is>
          <t>(none seen)</t>
        </is>
      </c>
      <c r="O311" s="25" t="inlineStr">
        <is>
          <t>Page exists but is noindex until an editor adds a 300+ character local intro (Admin → SEO → Page overrides).</t>
        </is>
      </c>
      <c r="P311" s="40" t="n"/>
      <c r="Q311" s="38" t="n"/>
      <c r="R311" s="38" t="n"/>
    </row>
    <row r="312" ht="15" customHeight="1" s="22">
      <c r="A312" s="36" t="inlineStr">
        <is>
          <t>condo insurance richmond hill</t>
        </is>
      </c>
      <c r="B312" s="36" t="inlineStr">
        <is>
          <t>Condo insurance</t>
        </is>
      </c>
      <c r="C312" s="36" t="inlineStr">
        <is>
          <t>Condo Insurance</t>
        </is>
      </c>
      <c r="D312" s="36" t="inlineStr">
        <is>
          <t>Ontario</t>
        </is>
      </c>
      <c r="E312" s="36" t="inlineStr">
        <is>
          <t>Richmond Hill</t>
        </is>
      </c>
      <c r="F312" s="37" t="n">
        <v>72</v>
      </c>
      <c r="G312" s="36" t="n">
        <v>40</v>
      </c>
      <c r="H312" s="36" t="inlineStr">
        <is>
          <t>local</t>
        </is>
      </c>
      <c r="I312" s="36" t="inlineStr">
        <is>
          <t>property-local</t>
        </is>
      </c>
      <c r="J312" s="36" t="n">
        <v>4</v>
      </c>
      <c r="K312" s="36" t="inlineStr">
        <is>
          <t>https://instasure.ca/condo-insurance/ontario/richmond-hill/</t>
        </is>
      </c>
      <c r="L312" s="36">
        <f>IF(K312="","No","Yes")</f>
        <v/>
      </c>
      <c r="M312" s="39">
        <f>IF(K312="","",IFERROR(IF(ISNUMBER(SEARCH(A312,INDEX(Pages!$J$2:$J$829,MATCH(K312,Pages!$B$2:$B$829,0)))),"Yes","No"),"Page not found"))</f>
        <v/>
      </c>
      <c r="N312" s="25" t="inlineStr">
        <is>
          <t>(none seen)</t>
        </is>
      </c>
      <c r="O312" s="25" t="n"/>
      <c r="P312" s="40" t="n"/>
      <c r="Q312" s="38" t="n"/>
      <c r="R312" s="38" t="n"/>
    </row>
    <row r="313" ht="15" customHeight="1" s="22">
      <c r="A313" s="36" t="inlineStr">
        <is>
          <t>life insurance quebec city</t>
        </is>
      </c>
      <c r="B313" s="36" t="inlineStr">
        <is>
          <t>Life insurance</t>
        </is>
      </c>
      <c r="C313" s="36" t="inlineStr">
        <is>
          <t>Life Insurance</t>
        </is>
      </c>
      <c r="D313" s="36" t="inlineStr">
        <is>
          <t>Quebec</t>
        </is>
      </c>
      <c r="E313" s="36" t="inlineStr">
        <is>
          <t>Quebec City</t>
        </is>
      </c>
      <c r="F313" s="37" t="n">
        <v>72</v>
      </c>
      <c r="G313" s="36" t="n">
        <v>35</v>
      </c>
      <c r="H313" s="36" t="inlineStr">
        <is>
          <t>local</t>
        </is>
      </c>
      <c r="I313" s="36" t="inlineStr">
        <is>
          <t>life-local</t>
        </is>
      </c>
      <c r="J313" s="36" t="n">
        <v>4</v>
      </c>
      <c r="K313" s="36" t="inlineStr">
        <is>
          <t>https://instasure.ca/life-insurance/quebec/quebec-city/</t>
        </is>
      </c>
      <c r="L313" s="36">
        <f>IF(K313="","No","Yes")</f>
        <v/>
      </c>
      <c r="M313" s="39">
        <f>IF(K313="","",IFERROR(IF(ISNUMBER(SEARCH(A313,INDEX(Pages!$J$2:$J$829,MATCH(K313,Pages!$B$2:$B$829,0)))),"Yes","No"),"Page not found"))</f>
        <v/>
      </c>
      <c r="N313" s="25" t="inlineStr">
        <is>
          <t>(none seen)</t>
        </is>
      </c>
      <c r="O313" s="25" t="inlineStr">
        <is>
          <t>Quebec waitlist until AMF registration.</t>
        </is>
      </c>
      <c r="P313" s="40" t="n"/>
      <c r="Q313" s="38" t="n"/>
      <c r="R313" s="38" t="n"/>
    </row>
    <row r="314" ht="23.85" customHeight="1" s="22">
      <c r="A314" s="36" t="inlineStr">
        <is>
          <t>how much is car insurance in st johns</t>
        </is>
      </c>
      <c r="B314" s="36" t="inlineStr">
        <is>
          <t>Car insurance</t>
        </is>
      </c>
      <c r="C314" s="36" t="inlineStr">
        <is>
          <t>Car Insurance</t>
        </is>
      </c>
      <c r="D314" s="36" t="inlineStr">
        <is>
          <t>Newfoundland and Labrador</t>
        </is>
      </c>
      <c r="E314" s="36" t="inlineStr">
        <is>
          <t>St. John’s</t>
        </is>
      </c>
      <c r="F314" s="37" t="n">
        <v>71</v>
      </c>
      <c r="G314" s="36" t="n">
        <v>59</v>
      </c>
      <c r="H314" s="36" t="inlineStr">
        <is>
          <t>informational</t>
        </is>
      </c>
      <c r="I314" s="36" t="inlineStr">
        <is>
          <t>auto-local</t>
        </is>
      </c>
      <c r="J314" s="36" t="n">
        <v>5</v>
      </c>
      <c r="K314" s="36" t="inlineStr">
        <is>
          <t>https://instasure.ca/car-insurance/newfoundland-and-labrador/st-johns/</t>
        </is>
      </c>
      <c r="L314" s="36">
        <f>IF(K314="","No","Yes")</f>
        <v/>
      </c>
      <c r="M314" s="39">
        <f>IF(K314="","",IFERROR(IF(ISNUMBER(SEARCH(A314,INDEX(Pages!$J$2:$J$829,MATCH(K314,Pages!$B$2:$B$829,0)))),"Yes","No"),"Page not found"))</f>
        <v/>
      </c>
      <c r="N314" s="25" t="inlineStr">
        <is>
          <t>ratehub</t>
        </is>
      </c>
      <c r="O314" s="25" t="inlineStr">
        <is>
          <t>Ratehub ranks a blog post for this. The city page answers it in the first two sentences with a dated average.</t>
        </is>
      </c>
      <c r="P314" s="40" t="n"/>
      <c r="Q314" s="38" t="n"/>
      <c r="R314" s="38" t="n"/>
    </row>
    <row r="315" ht="23.85" customHeight="1" s="22">
      <c r="A315" s="36" t="inlineStr">
        <is>
          <t>life insurance waterloo</t>
        </is>
      </c>
      <c r="B315" s="36" t="inlineStr">
        <is>
          <t>Life insurance</t>
        </is>
      </c>
      <c r="C315" s="36" t="inlineStr">
        <is>
          <t>Life Insurance</t>
        </is>
      </c>
      <c r="D315" s="36" t="inlineStr">
        <is>
          <t>Ontario</t>
        </is>
      </c>
      <c r="E315" s="36" t="inlineStr">
        <is>
          <t>Waterloo</t>
        </is>
      </c>
      <c r="F315" s="37" t="n">
        <v>71</v>
      </c>
      <c r="G315" s="36" t="n">
        <v>35</v>
      </c>
      <c r="H315" s="36" t="inlineStr">
        <is>
          <t>local</t>
        </is>
      </c>
      <c r="I315" s="36" t="inlineStr">
        <is>
          <t>life-local</t>
        </is>
      </c>
      <c r="J315" s="36" t="n">
        <v>3</v>
      </c>
      <c r="K315" s="36" t="inlineStr">
        <is>
          <t>https://instasure.ca/life-insurance/ontario/waterloo/</t>
        </is>
      </c>
      <c r="L315" s="36">
        <f>IF(K315="","No","Yes")</f>
        <v/>
      </c>
      <c r="M315" s="39">
        <f>IF(K315="","",IFERROR(IF(ISNUMBER(SEARCH(A315,INDEX(Pages!$J$2:$J$829,MATCH(K315,Pages!$B$2:$B$829,0)))),"Yes","No"),"Page not found"))</f>
        <v/>
      </c>
      <c r="N315" s="25" t="inlineStr">
        <is>
          <t>(none seen)</t>
        </is>
      </c>
      <c r="O315" s="25" t="inlineStr">
        <is>
          <t>Page exists but is noindex until an editor adds a 300+ character local intro (Admin → SEO → Page overrides).</t>
        </is>
      </c>
      <c r="P315" s="40" t="n"/>
      <c r="Q315" s="38" t="n"/>
      <c r="R315" s="38" t="n"/>
    </row>
    <row r="316" ht="23.85" customHeight="1" s="22">
      <c r="A316" s="36" t="inlineStr">
        <is>
          <t>tenant insurance airdrie</t>
        </is>
      </c>
      <c r="B316" s="36" t="inlineStr">
        <is>
          <t>Tenant insurance</t>
        </is>
      </c>
      <c r="C316" s="36" t="inlineStr">
        <is>
          <t>Tenant Insurance</t>
        </is>
      </c>
      <c r="D316" s="36" t="inlineStr">
        <is>
          <t>Alberta</t>
        </is>
      </c>
      <c r="E316" s="36" t="inlineStr">
        <is>
          <t>Airdrie</t>
        </is>
      </c>
      <c r="F316" s="37" t="n">
        <v>71</v>
      </c>
      <c r="G316" s="36" t="n">
        <v>24</v>
      </c>
      <c r="H316" s="36" t="inlineStr">
        <is>
          <t>local</t>
        </is>
      </c>
      <c r="I316" s="36" t="inlineStr">
        <is>
          <t>property-local</t>
        </is>
      </c>
      <c r="J316" s="36" t="n">
        <v>5</v>
      </c>
      <c r="K316" s="36" t="inlineStr">
        <is>
          <t>https://instasure.ca/tenant-insurance/alberta/airdrie/</t>
        </is>
      </c>
      <c r="L316" s="36">
        <f>IF(K316="","No","Yes")</f>
        <v/>
      </c>
      <c r="M316" s="39">
        <f>IF(K316="","",IFERROR(IF(ISNUMBER(SEARCH(A316,INDEX(Pages!$J$2:$J$829,MATCH(K316,Pages!$B$2:$B$829,0)))),"Yes","No"),"Page not found"))</f>
        <v/>
      </c>
      <c r="N316" s="25" t="inlineStr">
        <is>
          <t>(none seen)</t>
        </is>
      </c>
      <c r="O316" s="25" t="inlineStr">
        <is>
          <t>Page exists but is noindex until an editor adds a 300+ character local intro (Admin → SEO → Page overrides).</t>
        </is>
      </c>
      <c r="P316" s="40" t="n"/>
      <c r="Q316" s="38" t="n"/>
      <c r="R316" s="38" t="n"/>
    </row>
    <row r="317" ht="23.85" customHeight="1" s="22">
      <c r="A317" s="36" t="inlineStr">
        <is>
          <t>super visa insurance abbotsford</t>
        </is>
      </c>
      <c r="B317" s="36" t="inlineStr">
        <is>
          <t>Super Visa &amp; visitors insurance</t>
        </is>
      </c>
      <c r="C317" s="36" t="inlineStr">
        <is>
          <t>Super Visa Insurance</t>
        </is>
      </c>
      <c r="D317" s="36" t="inlineStr">
        <is>
          <t>British Columbia</t>
        </is>
      </c>
      <c r="E317" s="36" t="inlineStr">
        <is>
          <t>Abbotsford</t>
        </is>
      </c>
      <c r="F317" s="37" t="n">
        <v>69</v>
      </c>
      <c r="G317" s="36" t="n">
        <v>20</v>
      </c>
      <c r="H317" s="36" t="inlineStr">
        <is>
          <t>local</t>
        </is>
      </c>
      <c r="I317" s="36" t="inlineStr">
        <is>
          <t>travel-visitors</t>
        </is>
      </c>
      <c r="J317" s="36" t="n">
        <v>4</v>
      </c>
      <c r="K317" s="36" t="inlineStr">
        <is>
          <t>https://instasure.ca/super-visa-insurance/british-columbia/abbotsford/</t>
        </is>
      </c>
      <c r="L317" s="36">
        <f>IF(K317="","No","Yes")</f>
        <v/>
      </c>
      <c r="M317" s="39">
        <f>IF(K317="","",IFERROR(IF(ISNUMBER(SEARCH(A317,INDEX(Pages!$J$2:$J$829,MATCH(K317,Pages!$B$2:$B$829,0)))),"Yes","No"),"Page not found"))</f>
        <v/>
      </c>
      <c r="N317" s="25" t="inlineStr">
        <is>
          <t>(none seen)</t>
        </is>
      </c>
      <c r="O317" s="25" t="inlineStr">
        <is>
          <t>Page exists but is noindex until an editor adds a 300+ character local intro (Admin → SEO → Page overrides).</t>
        </is>
      </c>
      <c r="P317" s="40" t="n"/>
      <c r="Q317" s="38" t="n"/>
      <c r="R317" s="38" t="n"/>
    </row>
    <row r="318" ht="23.85" customHeight="1" s="22">
      <c r="A318" s="36" t="inlineStr">
        <is>
          <t>business insurance burlington</t>
        </is>
      </c>
      <c r="B318" s="36" t="inlineStr">
        <is>
          <t>Business insurance</t>
        </is>
      </c>
      <c r="C318" s="36" t="inlineStr">
        <is>
          <t>Business Insurance</t>
        </is>
      </c>
      <c r="D318" s="36" t="inlineStr">
        <is>
          <t>Ontario</t>
        </is>
      </c>
      <c r="E318" s="36" t="inlineStr">
        <is>
          <t>Burlington</t>
        </is>
      </c>
      <c r="F318" s="37" t="n">
        <v>68</v>
      </c>
      <c r="G318" s="36" t="n">
        <v>33</v>
      </c>
      <c r="H318" s="36" t="inlineStr">
        <is>
          <t>local</t>
        </is>
      </c>
      <c r="I318" s="36" t="inlineStr">
        <is>
          <t>business-local</t>
        </is>
      </c>
      <c r="J318" s="36" t="n">
        <v>4</v>
      </c>
      <c r="K318" s="36" t="inlineStr">
        <is>
          <t>https://instasure.ca/business-insurance/ontario/burlington/</t>
        </is>
      </c>
      <c r="L318" s="36">
        <f>IF(K318="","No","Yes")</f>
        <v/>
      </c>
      <c r="M318" s="39">
        <f>IF(K318="","",IFERROR(IF(ISNUMBER(SEARCH(A318,INDEX(Pages!$J$2:$J$829,MATCH(K318,Pages!$B$2:$B$829,0)))),"Yes","No"),"Page not found"))</f>
        <v/>
      </c>
      <c r="N318" s="25" t="inlineStr">
        <is>
          <t>(none seen)</t>
        </is>
      </c>
      <c r="O318" s="25" t="inlineStr">
        <is>
          <t>Page exists but is noindex until an editor adds a 300+ character local intro (Admin → SEO → Page overrides).</t>
        </is>
      </c>
      <c r="P318" s="40" t="n"/>
      <c r="Q318" s="38" t="n"/>
      <c r="R318" s="38" t="n"/>
    </row>
    <row r="319" ht="15" customHeight="1" s="22">
      <c r="A319" s="36" t="inlineStr">
        <is>
          <t>condo insurance burlington</t>
        </is>
      </c>
      <c r="B319" s="36" t="inlineStr">
        <is>
          <t>Condo insurance</t>
        </is>
      </c>
      <c r="C319" s="36" t="inlineStr">
        <is>
          <t>Condo Insurance</t>
        </is>
      </c>
      <c r="D319" s="36" t="inlineStr">
        <is>
          <t>Ontario</t>
        </is>
      </c>
      <c r="E319" s="36" t="inlineStr">
        <is>
          <t>Burlington</t>
        </is>
      </c>
      <c r="F319" s="37" t="n">
        <v>68</v>
      </c>
      <c r="G319" s="36" t="n">
        <v>40</v>
      </c>
      <c r="H319" s="36" t="inlineStr">
        <is>
          <t>local</t>
        </is>
      </c>
      <c r="I319" s="36" t="inlineStr">
        <is>
          <t>property-local</t>
        </is>
      </c>
      <c r="J319" s="36" t="n">
        <v>4</v>
      </c>
      <c r="K319" s="36" t="inlineStr">
        <is>
          <t>https://instasure.ca/condo-insurance/ontario/burlington/</t>
        </is>
      </c>
      <c r="L319" s="36">
        <f>IF(K319="","No","Yes")</f>
        <v/>
      </c>
      <c r="M319" s="39">
        <f>IF(K319="","",IFERROR(IF(ISNUMBER(SEARCH(A319,INDEX(Pages!$J$2:$J$829,MATCH(K319,Pages!$B$2:$B$829,0)))),"Yes","No"),"Page not found"))</f>
        <v/>
      </c>
      <c r="N319" s="25" t="inlineStr">
        <is>
          <t>(none seen)</t>
        </is>
      </c>
      <c r="O319" s="25" t="n"/>
      <c r="P319" s="40" t="n"/>
      <c r="Q319" s="38" t="n"/>
      <c r="R319" s="38" t="n"/>
    </row>
    <row r="320" ht="15" customHeight="1" s="22">
      <c r="A320" s="36" t="inlineStr">
        <is>
          <t>tenant insurance saint john</t>
        </is>
      </c>
      <c r="B320" s="36" t="inlineStr">
        <is>
          <t>Tenant insurance</t>
        </is>
      </c>
      <c r="C320" s="36" t="inlineStr">
        <is>
          <t>Tenant Insurance</t>
        </is>
      </c>
      <c r="D320" s="36" t="inlineStr">
        <is>
          <t>New Brunswick</t>
        </is>
      </c>
      <c r="E320" s="36" t="inlineStr">
        <is>
          <t>Saint John</t>
        </is>
      </c>
      <c r="F320" s="37" t="n">
        <v>68</v>
      </c>
      <c r="G320" s="36" t="n">
        <v>32</v>
      </c>
      <c r="H320" s="36" t="inlineStr">
        <is>
          <t>local</t>
        </is>
      </c>
      <c r="I320" s="36" t="inlineStr">
        <is>
          <t>property-local</t>
        </is>
      </c>
      <c r="J320" s="36" t="n">
        <v>5</v>
      </c>
      <c r="K320" s="36" t="inlineStr">
        <is>
          <t>https://instasure.ca/tenant-insurance/new-brunswick/saint-john/</t>
        </is>
      </c>
      <c r="L320" s="36">
        <f>IF(K320="","No","Yes")</f>
        <v/>
      </c>
      <c r="M320" s="39">
        <f>IF(K320="","",IFERROR(IF(ISNUMBER(SEARCH(A320,INDEX(Pages!$J$2:$J$829,MATCH(K320,Pages!$B$2:$B$829,0)))),"Yes","No"),"Page not found"))</f>
        <v/>
      </c>
      <c r="N320" s="25" t="inlineStr">
        <is>
          <t>(none seen)</t>
        </is>
      </c>
      <c r="O320" s="25" t="n"/>
      <c r="P320" s="40" t="n"/>
      <c r="Q320" s="38" t="n"/>
      <c r="R320" s="38" t="n"/>
    </row>
    <row r="321" ht="15" customHeight="1" s="22">
      <c r="A321" s="36" t="inlineStr">
        <is>
          <t>life insurance st johns</t>
        </is>
      </c>
      <c r="B321" s="36" t="inlineStr">
        <is>
          <t>Life insurance</t>
        </is>
      </c>
      <c r="C321" s="36" t="inlineStr">
        <is>
          <t>Life Insurance</t>
        </is>
      </c>
      <c r="D321" s="36" t="inlineStr">
        <is>
          <t>Newfoundland and Labrador</t>
        </is>
      </c>
      <c r="E321" s="36" t="inlineStr">
        <is>
          <t>St. John’s</t>
        </is>
      </c>
      <c r="F321" s="37" t="n">
        <v>66</v>
      </c>
      <c r="G321" s="36" t="n">
        <v>35</v>
      </c>
      <c r="H321" s="36" t="inlineStr">
        <is>
          <t>local</t>
        </is>
      </c>
      <c r="I321" s="36" t="inlineStr">
        <is>
          <t>life-local</t>
        </is>
      </c>
      <c r="J321" s="36" t="n">
        <v>2</v>
      </c>
      <c r="K321" s="36" t="inlineStr">
        <is>
          <t>https://instasure.ca/life-insurance/newfoundland-and-labrador/st-johns/</t>
        </is>
      </c>
      <c r="L321" s="36">
        <f>IF(K321="","No","Yes")</f>
        <v/>
      </c>
      <c r="M321" s="39">
        <f>IF(K321="","",IFERROR(IF(ISNUMBER(SEARCH(A321,INDEX(Pages!$J$2:$J$829,MATCH(K321,Pages!$B$2:$B$829,0)))),"Yes","No"),"Page not found"))</f>
        <v/>
      </c>
      <c r="N321" s="25" t="inlineStr">
        <is>
          <t>(none seen)</t>
        </is>
      </c>
      <c r="O321" s="25" t="n"/>
      <c r="P321" s="40" t="n"/>
      <c r="Q321" s="38" t="n"/>
      <c r="R321" s="38" t="n"/>
    </row>
    <row r="322" ht="23.85" customHeight="1" s="22">
      <c r="A322" s="36" t="inlineStr">
        <is>
          <t>business insurance oshawa</t>
        </is>
      </c>
      <c r="B322" s="36" t="inlineStr">
        <is>
          <t>Business insurance</t>
        </is>
      </c>
      <c r="C322" s="36" t="inlineStr">
        <is>
          <t>Business Insurance</t>
        </is>
      </c>
      <c r="D322" s="36" t="inlineStr">
        <is>
          <t>Ontario</t>
        </is>
      </c>
      <c r="E322" s="36" t="inlineStr">
        <is>
          <t>Oshawa</t>
        </is>
      </c>
      <c r="F322" s="37" t="n">
        <v>65</v>
      </c>
      <c r="G322" s="36" t="n">
        <v>33</v>
      </c>
      <c r="H322" s="36" t="inlineStr">
        <is>
          <t>local</t>
        </is>
      </c>
      <c r="I322" s="36" t="inlineStr">
        <is>
          <t>business-local</t>
        </is>
      </c>
      <c r="J322" s="36" t="n">
        <v>4</v>
      </c>
      <c r="K322" s="36" t="inlineStr">
        <is>
          <t>https://instasure.ca/business-insurance/ontario/oshawa/</t>
        </is>
      </c>
      <c r="L322" s="36">
        <f>IF(K322="","No","Yes")</f>
        <v/>
      </c>
      <c r="M322" s="39">
        <f>IF(K322="","",IFERROR(IF(ISNUMBER(SEARCH(A322,INDEX(Pages!$J$2:$J$829,MATCH(K322,Pages!$B$2:$B$829,0)))),"Yes","No"),"Page not found"))</f>
        <v/>
      </c>
      <c r="N322" s="25" t="inlineStr">
        <is>
          <t>(none seen)</t>
        </is>
      </c>
      <c r="O322" s="25" t="inlineStr">
        <is>
          <t>Page exists but is noindex until an editor adds a 300+ character local intro (Admin → SEO → Page overrides).</t>
        </is>
      </c>
      <c r="P322" s="40" t="n"/>
      <c r="Q322" s="38" t="n"/>
      <c r="R322" s="38" t="n"/>
    </row>
    <row r="323" ht="15" customHeight="1" s="22">
      <c r="A323" s="36" t="inlineStr">
        <is>
          <t>condo insurance oshawa</t>
        </is>
      </c>
      <c r="B323" s="36" t="inlineStr">
        <is>
          <t>Condo insurance</t>
        </is>
      </c>
      <c r="C323" s="36" t="inlineStr">
        <is>
          <t>Condo Insurance</t>
        </is>
      </c>
      <c r="D323" s="36" t="inlineStr">
        <is>
          <t>Ontario</t>
        </is>
      </c>
      <c r="E323" s="36" t="inlineStr">
        <is>
          <t>Oshawa</t>
        </is>
      </c>
      <c r="F323" s="37" t="n">
        <v>65</v>
      </c>
      <c r="G323" s="36" t="n">
        <v>40</v>
      </c>
      <c r="H323" s="36" t="inlineStr">
        <is>
          <t>local</t>
        </is>
      </c>
      <c r="I323" s="36" t="inlineStr">
        <is>
          <t>property-local</t>
        </is>
      </c>
      <c r="J323" s="36" t="n">
        <v>4</v>
      </c>
      <c r="K323" s="36" t="inlineStr">
        <is>
          <t>https://instasure.ca/condo-insurance/ontario/oshawa/</t>
        </is>
      </c>
      <c r="L323" s="36">
        <f>IF(K323="","No","Yes")</f>
        <v/>
      </c>
      <c r="M323" s="39">
        <f>IF(K323="","",IFERROR(IF(ISNUMBER(SEARCH(A323,INDEX(Pages!$J$2:$J$829,MATCH(K323,Pages!$B$2:$B$829,0)))),"Yes","No"),"Page not found"))</f>
        <v/>
      </c>
      <c r="N323" s="25" t="inlineStr">
        <is>
          <t>(none seen)</t>
        </is>
      </c>
      <c r="O323" s="25" t="n"/>
      <c r="P323" s="40" t="n"/>
      <c r="Q323" s="38" t="n"/>
      <c r="R323" s="38" t="n"/>
    </row>
    <row r="324" ht="23.85" customHeight="1" s="22">
      <c r="A324" s="36" t="inlineStr">
        <is>
          <t>life insurance thunder bay</t>
        </is>
      </c>
      <c r="B324" s="36" t="inlineStr">
        <is>
          <t>Life insurance</t>
        </is>
      </c>
      <c r="C324" s="36" t="inlineStr">
        <is>
          <t>Life Insurance</t>
        </is>
      </c>
      <c r="D324" s="36" t="inlineStr">
        <is>
          <t>Ontario</t>
        </is>
      </c>
      <c r="E324" s="36" t="inlineStr">
        <is>
          <t>Thunder Bay</t>
        </is>
      </c>
      <c r="F324" s="37" t="n">
        <v>65</v>
      </c>
      <c r="G324" s="36" t="n">
        <v>27</v>
      </c>
      <c r="H324" s="36" t="inlineStr">
        <is>
          <t>local</t>
        </is>
      </c>
      <c r="I324" s="36" t="inlineStr">
        <is>
          <t>life-local</t>
        </is>
      </c>
      <c r="J324" s="36" t="n">
        <v>3</v>
      </c>
      <c r="K324" s="36" t="inlineStr">
        <is>
          <t>https://instasure.ca/life-insurance/ontario/thunder-bay/</t>
        </is>
      </c>
      <c r="L324" s="36">
        <f>IF(K324="","No","Yes")</f>
        <v/>
      </c>
      <c r="M324" s="39">
        <f>IF(K324="","",IFERROR(IF(ISNUMBER(SEARCH(A324,INDEX(Pages!$J$2:$J$829,MATCH(K324,Pages!$B$2:$B$829,0)))),"Yes","No"),"Page not found"))</f>
        <v/>
      </c>
      <c r="N324" s="25" t="inlineStr">
        <is>
          <t>(none seen)</t>
        </is>
      </c>
      <c r="O324" s="25" t="inlineStr">
        <is>
          <t>Page exists but is noindex until an editor adds a 300+ character local intro (Admin → SEO → Page overrides).</t>
        </is>
      </c>
      <c r="P324" s="40" t="n"/>
      <c r="Q324" s="38" t="n"/>
      <c r="R324" s="38" t="n"/>
    </row>
    <row r="325" ht="15" customHeight="1" s="22">
      <c r="A325" s="36" t="inlineStr">
        <is>
          <t>insurance advisor kelowna</t>
        </is>
      </c>
      <c r="B325" s="36" t="inlineStr">
        <is>
          <t>Multi-line (place hubs)</t>
        </is>
      </c>
      <c r="C325" s="36" t="n"/>
      <c r="D325" s="36" t="inlineStr">
        <is>
          <t>British Columbia</t>
        </is>
      </c>
      <c r="E325" s="36" t="inlineStr">
        <is>
          <t>Kelowna</t>
        </is>
      </c>
      <c r="F325" s="37" t="n">
        <v>64</v>
      </c>
      <c r="G325" s="36" t="n">
        <v>30</v>
      </c>
      <c r="H325" s="36" t="inlineStr">
        <is>
          <t>local</t>
        </is>
      </c>
      <c r="I325" s="36" t="inlineStr">
        <is>
          <t>advisors</t>
        </is>
      </c>
      <c r="J325" s="36" t="n">
        <v>3</v>
      </c>
      <c r="K325" s="36" t="inlineStr">
        <is>
          <t>https://instasure.ca/insurance/british-columbia/kelowna/</t>
        </is>
      </c>
      <c r="L325" s="36">
        <f>IF(K325="","No","Yes")</f>
        <v/>
      </c>
      <c r="M325" s="39">
        <f>IF(K325="","",IFERROR(IF(ISNUMBER(SEARCH(A325,INDEX(Pages!$J$2:$J$829,MATCH(K325,Pages!$B$2:$B$829,0)))),"Yes","No"),"Page not found"))</f>
        <v/>
      </c>
      <c r="N325" s="25" t="inlineStr">
        <is>
          <t>local brokers, thinkinsure, rates.ca (broker pages)</t>
        </is>
      </c>
      <c r="O325" s="25" t="inlineStr">
        <is>
          <t>City hub. Add a Google Business Profile only where an advisor really works from that city.</t>
        </is>
      </c>
      <c r="P325" s="40" t="n"/>
      <c r="Q325" s="38" t="n"/>
      <c r="R325" s="38" t="n"/>
    </row>
    <row r="326" ht="15" customHeight="1" s="22">
      <c r="A326" s="36" t="inlineStr">
        <is>
          <t>tenant insurance gatineau</t>
        </is>
      </c>
      <c r="B326" s="36" t="inlineStr">
        <is>
          <t>Tenant insurance</t>
        </is>
      </c>
      <c r="C326" s="36" t="inlineStr">
        <is>
          <t>Tenant Insurance</t>
        </is>
      </c>
      <c r="D326" s="36" t="inlineStr">
        <is>
          <t>Quebec</t>
        </is>
      </c>
      <c r="E326" s="36" t="inlineStr">
        <is>
          <t>Gatineau</t>
        </is>
      </c>
      <c r="F326" s="37" t="n">
        <v>64</v>
      </c>
      <c r="G326" s="36" t="n">
        <v>32</v>
      </c>
      <c r="H326" s="36" t="inlineStr">
        <is>
          <t>local</t>
        </is>
      </c>
      <c r="I326" s="36" t="inlineStr">
        <is>
          <t>property-local</t>
        </is>
      </c>
      <c r="J326" s="36" t="n">
        <v>5</v>
      </c>
      <c r="K326" s="36" t="inlineStr">
        <is>
          <t>https://instasure.ca/tenant-insurance/quebec/gatineau/</t>
        </is>
      </c>
      <c r="L326" s="36">
        <f>IF(K326="","No","Yes")</f>
        <v/>
      </c>
      <c r="M326" s="39">
        <f>IF(K326="","",IFERROR(IF(ISNUMBER(SEARCH(A326,INDEX(Pages!$J$2:$J$829,MATCH(K326,Pages!$B$2:$B$829,0)))),"Yes","No"),"Page not found"))</f>
        <v/>
      </c>
      <c r="N326" s="25" t="inlineStr">
        <is>
          <t>(none seen)</t>
        </is>
      </c>
      <c r="O326" s="25" t="inlineStr">
        <is>
          <t>Quebec waitlist until AMF registration.</t>
        </is>
      </c>
      <c r="P326" s="40" t="n"/>
      <c r="Q326" s="38" t="n"/>
      <c r="R326" s="38" t="n"/>
    </row>
    <row r="327" ht="15" customHeight="1" s="22">
      <c r="A327" s="36" t="inlineStr">
        <is>
          <t>tenant insurance fredericton</t>
        </is>
      </c>
      <c r="B327" s="36" t="inlineStr">
        <is>
          <t>Tenant insurance</t>
        </is>
      </c>
      <c r="C327" s="36" t="inlineStr">
        <is>
          <t>Tenant Insurance</t>
        </is>
      </c>
      <c r="D327" s="36" t="inlineStr">
        <is>
          <t>New Brunswick</t>
        </is>
      </c>
      <c r="E327" s="36" t="inlineStr">
        <is>
          <t>Fredericton</t>
        </is>
      </c>
      <c r="F327" s="37" t="n">
        <v>63</v>
      </c>
      <c r="G327" s="36" t="n">
        <v>32</v>
      </c>
      <c r="H327" s="36" t="inlineStr">
        <is>
          <t>local</t>
        </is>
      </c>
      <c r="I327" s="36" t="inlineStr">
        <is>
          <t>property-local</t>
        </is>
      </c>
      <c r="J327" s="36" t="n">
        <v>5</v>
      </c>
      <c r="K327" s="36" t="inlineStr">
        <is>
          <t>https://instasure.ca/tenant-insurance/new-brunswick/fredericton/</t>
        </is>
      </c>
      <c r="L327" s="36">
        <f>IF(K327="","No","Yes")</f>
        <v/>
      </c>
      <c r="M327" s="39">
        <f>IF(K327="","",IFERROR(IF(ISNUMBER(SEARCH(A327,INDEX(Pages!$J$2:$J$829,MATCH(K327,Pages!$B$2:$B$829,0)))),"Yes","No"),"Page not found"))</f>
        <v/>
      </c>
      <c r="N327" s="25" t="inlineStr">
        <is>
          <t>(none seen)</t>
        </is>
      </c>
      <c r="O327" s="25" t="n"/>
      <c r="P327" s="40" t="n"/>
      <c r="Q327" s="38" t="n"/>
      <c r="R327" s="38" t="n"/>
    </row>
    <row r="328" ht="23.85" customHeight="1" s="22">
      <c r="A328" s="36" t="inlineStr">
        <is>
          <t>business insurance sudbury</t>
        </is>
      </c>
      <c r="B328" s="36" t="inlineStr">
        <is>
          <t>Business insurance</t>
        </is>
      </c>
      <c r="C328" s="36" t="inlineStr">
        <is>
          <t>Business Insurance</t>
        </is>
      </c>
      <c r="D328" s="36" t="inlineStr">
        <is>
          <t>Ontario</t>
        </is>
      </c>
      <c r="E328" s="36" t="inlineStr">
        <is>
          <t>Sudbury</t>
        </is>
      </c>
      <c r="F328" s="37" t="n">
        <v>62</v>
      </c>
      <c r="G328" s="36" t="n">
        <v>25</v>
      </c>
      <c r="H328" s="36" t="inlineStr">
        <is>
          <t>local</t>
        </is>
      </c>
      <c r="I328" s="36" t="inlineStr">
        <is>
          <t>business-local</t>
        </is>
      </c>
      <c r="J328" s="36" t="n">
        <v>4</v>
      </c>
      <c r="K328" s="36" t="inlineStr">
        <is>
          <t>https://instasure.ca/business-insurance/ontario/sudbury/</t>
        </is>
      </c>
      <c r="L328" s="36">
        <f>IF(K328="","No","Yes")</f>
        <v/>
      </c>
      <c r="M328" s="39">
        <f>IF(K328="","",IFERROR(IF(ISNUMBER(SEARCH(A328,INDEX(Pages!$J$2:$J$829,MATCH(K328,Pages!$B$2:$B$829,0)))),"Yes","No"),"Page not found"))</f>
        <v/>
      </c>
      <c r="N328" s="25" t="inlineStr">
        <is>
          <t>(none seen)</t>
        </is>
      </c>
      <c r="O328" s="25" t="inlineStr">
        <is>
          <t>Page exists but is noindex until an editor adds a 300+ character local intro (Admin → SEO → Page overrides).</t>
        </is>
      </c>
      <c r="P328" s="40" t="n"/>
      <c r="Q328" s="38" t="n"/>
      <c r="R328" s="38" t="n"/>
    </row>
    <row r="329" ht="23.85" customHeight="1" s="22">
      <c r="A329" s="36" t="inlineStr">
        <is>
          <t>condo insurance sudbury</t>
        </is>
      </c>
      <c r="B329" s="36" t="inlineStr">
        <is>
          <t>Condo insurance</t>
        </is>
      </c>
      <c r="C329" s="36" t="inlineStr">
        <is>
          <t>Condo Insurance</t>
        </is>
      </c>
      <c r="D329" s="36" t="inlineStr">
        <is>
          <t>Ontario</t>
        </is>
      </c>
      <c r="E329" s="36" t="inlineStr">
        <is>
          <t>Sudbury</t>
        </is>
      </c>
      <c r="F329" s="37" t="n">
        <v>62</v>
      </c>
      <c r="G329" s="36" t="n">
        <v>32</v>
      </c>
      <c r="H329" s="36" t="inlineStr">
        <is>
          <t>local</t>
        </is>
      </c>
      <c r="I329" s="36" t="inlineStr">
        <is>
          <t>property-local</t>
        </is>
      </c>
      <c r="J329" s="36" t="n">
        <v>5</v>
      </c>
      <c r="K329" s="36" t="inlineStr">
        <is>
          <t>https://instasure.ca/condo-insurance/ontario/sudbury/</t>
        </is>
      </c>
      <c r="L329" s="36">
        <f>IF(K329="","No","Yes")</f>
        <v/>
      </c>
      <c r="M329" s="39">
        <f>IF(K329="","",IFERROR(IF(ISNUMBER(SEARCH(A329,INDEX(Pages!$J$2:$J$829,MATCH(K329,Pages!$B$2:$B$829,0)))),"Yes","No"),"Page not found"))</f>
        <v/>
      </c>
      <c r="N329" s="25" t="inlineStr">
        <is>
          <t>(none seen)</t>
        </is>
      </c>
      <c r="O329" s="25" t="inlineStr">
        <is>
          <t>Page exists but is noindex until an editor adds a 300+ character local intro (Admin → SEO → Page overrides).</t>
        </is>
      </c>
      <c r="P329" s="40" t="n"/>
      <c r="Q329" s="38" t="n"/>
      <c r="R329" s="38" t="n"/>
    </row>
    <row r="330" ht="15" customHeight="1" s="22">
      <c r="A330" s="36" t="inlineStr">
        <is>
          <t>home insurance charlottetown</t>
        </is>
      </c>
      <c r="B330" s="36" t="inlineStr">
        <is>
          <t>Home insurance</t>
        </is>
      </c>
      <c r="C330" s="36" t="inlineStr">
        <is>
          <t>Home Insurance</t>
        </is>
      </c>
      <c r="D330" s="36" t="inlineStr">
        <is>
          <t>Prince Edward Island</t>
        </is>
      </c>
      <c r="E330" s="36" t="inlineStr">
        <is>
          <t>Charlottetown</t>
        </is>
      </c>
      <c r="F330" s="37" t="n">
        <v>62</v>
      </c>
      <c r="G330" s="36" t="n">
        <v>40</v>
      </c>
      <c r="H330" s="36" t="inlineStr">
        <is>
          <t>local</t>
        </is>
      </c>
      <c r="I330" s="36" t="inlineStr">
        <is>
          <t>property-local</t>
        </is>
      </c>
      <c r="J330" s="36" t="n">
        <v>4</v>
      </c>
      <c r="K330" s="36" t="inlineStr">
        <is>
          <t>https://instasure.ca/home-insurance/prince-edward-island/charlottetown/</t>
        </is>
      </c>
      <c r="L330" s="36">
        <f>IF(K330="","No","Yes")</f>
        <v/>
      </c>
      <c r="M330" s="39">
        <f>IF(K330="","",IFERROR(IF(ISNUMBER(SEARCH(A330,INDEX(Pages!$J$2:$J$829,MATCH(K330,Pages!$B$2:$B$829,0)))),"Yes","No"),"Page not found"))</f>
        <v/>
      </c>
      <c r="N330" s="25" t="inlineStr">
        <is>
          <t>(none seen)</t>
        </is>
      </c>
      <c r="O330" s="25" t="n"/>
      <c r="P330" s="40" t="n"/>
      <c r="Q330" s="38" t="n"/>
      <c r="R330" s="38" t="n"/>
    </row>
    <row r="331" ht="23.85" customHeight="1" s="22">
      <c r="A331" s="36" t="inlineStr">
        <is>
          <t>home insurance sherbrooke</t>
        </is>
      </c>
      <c r="B331" s="36" t="inlineStr">
        <is>
          <t>Home insurance</t>
        </is>
      </c>
      <c r="C331" s="36" t="inlineStr">
        <is>
          <t>Home Insurance</t>
        </is>
      </c>
      <c r="D331" s="36" t="inlineStr">
        <is>
          <t>Quebec</t>
        </is>
      </c>
      <c r="E331" s="36" t="inlineStr">
        <is>
          <t>Sherbrooke</t>
        </is>
      </c>
      <c r="F331" s="37" t="n">
        <v>62</v>
      </c>
      <c r="G331" s="36" t="n">
        <v>32</v>
      </c>
      <c r="H331" s="36" t="inlineStr">
        <is>
          <t>local</t>
        </is>
      </c>
      <c r="I331" s="36" t="inlineStr">
        <is>
          <t>property-local</t>
        </is>
      </c>
      <c r="J331" s="36" t="n">
        <v>5</v>
      </c>
      <c r="K331" s="36" t="inlineStr">
        <is>
          <t>https://instasure.ca/home-insurance/quebec/sherbrooke/</t>
        </is>
      </c>
      <c r="L331" s="36">
        <f>IF(K331="","No","Yes")</f>
        <v/>
      </c>
      <c r="M331" s="39">
        <f>IF(K331="","",IFERROR(IF(ISNUMBER(SEARCH(A331,INDEX(Pages!$J$2:$J$829,MATCH(K331,Pages!$B$2:$B$829,0)))),"Yes","No"),"Page not found"))</f>
        <v/>
      </c>
      <c r="N331" s="25" t="inlineStr">
        <is>
          <t>(none seen)</t>
        </is>
      </c>
      <c r="O331" s="25" t="inlineStr">
        <is>
          <t>Page exists but is noindex until an editor adds a 300+ character local intro (Admin → SEO → Page overrides). Quebec waitlist until AMF registration.</t>
        </is>
      </c>
      <c r="P331" s="40" t="n"/>
      <c r="Q331" s="38" t="n"/>
      <c r="R331" s="38" t="n"/>
    </row>
    <row r="332" ht="23.85" customHeight="1" s="22">
      <c r="A332" s="36" t="inlineStr">
        <is>
          <t>life insurance pickering</t>
        </is>
      </c>
      <c r="B332" s="36" t="inlineStr">
        <is>
          <t>Life insurance</t>
        </is>
      </c>
      <c r="C332" s="36" t="inlineStr">
        <is>
          <t>Life Insurance</t>
        </is>
      </c>
      <c r="D332" s="36" t="inlineStr">
        <is>
          <t>Ontario</t>
        </is>
      </c>
      <c r="E332" s="36" t="inlineStr">
        <is>
          <t>Pickering</t>
        </is>
      </c>
      <c r="F332" s="37" t="n">
        <v>61</v>
      </c>
      <c r="G332" s="36" t="n">
        <v>27</v>
      </c>
      <c r="H332" s="36" t="inlineStr">
        <is>
          <t>local</t>
        </is>
      </c>
      <c r="I332" s="36" t="inlineStr">
        <is>
          <t>life-local</t>
        </is>
      </c>
      <c r="J332" s="36" t="n">
        <v>3</v>
      </c>
      <c r="K332" s="36" t="inlineStr">
        <is>
          <t>https://instasure.ca/life-insurance/ontario/pickering/</t>
        </is>
      </c>
      <c r="L332" s="36">
        <f>IF(K332="","No","Yes")</f>
        <v/>
      </c>
      <c r="M332" s="39">
        <f>IF(K332="","",IFERROR(IF(ISNUMBER(SEARCH(A332,INDEX(Pages!$J$2:$J$829,MATCH(K332,Pages!$B$2:$B$829,0)))),"Yes","No"),"Page not found"))</f>
        <v/>
      </c>
      <c r="N332" s="25" t="inlineStr">
        <is>
          <t>(none seen)</t>
        </is>
      </c>
      <c r="O332" s="25" t="inlineStr">
        <is>
          <t>Page exists but is noindex until an editor adds a 300+ character local intro (Admin → SEO → Page overrides).</t>
        </is>
      </c>
      <c r="P332" s="40" t="n"/>
      <c r="Q332" s="38" t="n"/>
      <c r="R332" s="38" t="n"/>
    </row>
    <row r="333" ht="23.85" customHeight="1" s="22">
      <c r="A333" s="36" t="inlineStr">
        <is>
          <t>life insurance red deer</t>
        </is>
      </c>
      <c r="B333" s="36" t="inlineStr">
        <is>
          <t>Life insurance</t>
        </is>
      </c>
      <c r="C333" s="36" t="inlineStr">
        <is>
          <t>Life Insurance</t>
        </is>
      </c>
      <c r="D333" s="36" t="inlineStr">
        <is>
          <t>Alberta</t>
        </is>
      </c>
      <c r="E333" s="36" t="inlineStr">
        <is>
          <t>Red Deer</t>
        </is>
      </c>
      <c r="F333" s="37" t="n">
        <v>61</v>
      </c>
      <c r="G333" s="36" t="n">
        <v>27</v>
      </c>
      <c r="H333" s="36" t="inlineStr">
        <is>
          <t>local</t>
        </is>
      </c>
      <c r="I333" s="36" t="inlineStr">
        <is>
          <t>life-local</t>
        </is>
      </c>
      <c r="J333" s="36" t="n">
        <v>3</v>
      </c>
      <c r="K333" s="36" t="inlineStr">
        <is>
          <t>https://instasure.ca/life-insurance/alberta/red-deer/</t>
        </is>
      </c>
      <c r="L333" s="36">
        <f>IF(K333="","No","Yes")</f>
        <v/>
      </c>
      <c r="M333" s="39">
        <f>IF(K333="","",IFERROR(IF(ISNUMBER(SEARCH(A333,INDEX(Pages!$J$2:$J$829,MATCH(K333,Pages!$B$2:$B$829,0)))),"Yes","No"),"Page not found"))</f>
        <v/>
      </c>
      <c r="N333" s="25" t="inlineStr">
        <is>
          <t>(none seen)</t>
        </is>
      </c>
      <c r="O333" s="25" t="inlineStr">
        <is>
          <t>Page exists but is noindex until an editor adds a 300+ character local intro (Admin → SEO → Page overrides).</t>
        </is>
      </c>
      <c r="P333" s="40" t="n"/>
      <c r="Q333" s="38" t="n"/>
      <c r="R333" s="38" t="n"/>
    </row>
    <row r="334" ht="15" customHeight="1" s="22">
      <c r="A334" s="36" t="inlineStr">
        <is>
          <t>life insurance laval</t>
        </is>
      </c>
      <c r="B334" s="36" t="inlineStr">
        <is>
          <t>Life insurance</t>
        </is>
      </c>
      <c r="C334" s="36" t="inlineStr">
        <is>
          <t>Life Insurance</t>
        </is>
      </c>
      <c r="D334" s="36" t="inlineStr">
        <is>
          <t>Quebec</t>
        </is>
      </c>
      <c r="E334" s="36" t="inlineStr">
        <is>
          <t>Laval</t>
        </is>
      </c>
      <c r="F334" s="37" t="n">
        <v>60</v>
      </c>
      <c r="G334" s="36" t="n">
        <v>35</v>
      </c>
      <c r="H334" s="36" t="inlineStr">
        <is>
          <t>local</t>
        </is>
      </c>
      <c r="I334" s="36" t="inlineStr">
        <is>
          <t>life-local</t>
        </is>
      </c>
      <c r="J334" s="36" t="n">
        <v>4</v>
      </c>
      <c r="K334" s="36" t="inlineStr">
        <is>
          <t>https://instasure.ca/life-insurance/quebec/laval/</t>
        </is>
      </c>
      <c r="L334" s="36">
        <f>IF(K334="","No","Yes")</f>
        <v/>
      </c>
      <c r="M334" s="39">
        <f>IF(K334="","",IFERROR(IF(ISNUMBER(SEARCH(A334,INDEX(Pages!$J$2:$J$829,MATCH(K334,Pages!$B$2:$B$829,0)))),"Yes","No"),"Page not found"))</f>
        <v/>
      </c>
      <c r="N334" s="25" t="inlineStr">
        <is>
          <t>(none seen)</t>
        </is>
      </c>
      <c r="O334" s="25" t="inlineStr">
        <is>
          <t>Quebec waitlist until AMF registration.</t>
        </is>
      </c>
      <c r="P334" s="40" t="n"/>
      <c r="Q334" s="38" t="n"/>
      <c r="R334" s="38" t="n"/>
    </row>
    <row r="335" ht="23.85" customHeight="1" s="22">
      <c r="A335" s="36" t="inlineStr">
        <is>
          <t>life insurance lethbridge</t>
        </is>
      </c>
      <c r="B335" s="36" t="inlineStr">
        <is>
          <t>Life insurance</t>
        </is>
      </c>
      <c r="C335" s="36" t="inlineStr">
        <is>
          <t>Life Insurance</t>
        </is>
      </c>
      <c r="D335" s="36" t="inlineStr">
        <is>
          <t>Alberta</t>
        </is>
      </c>
      <c r="E335" s="36" t="inlineStr">
        <is>
          <t>Lethbridge</t>
        </is>
      </c>
      <c r="F335" s="37" t="n">
        <v>60</v>
      </c>
      <c r="G335" s="36" t="n">
        <v>27</v>
      </c>
      <c r="H335" s="36" t="inlineStr">
        <is>
          <t>local</t>
        </is>
      </c>
      <c r="I335" s="36" t="inlineStr">
        <is>
          <t>life-local</t>
        </is>
      </c>
      <c r="J335" s="36" t="n">
        <v>3</v>
      </c>
      <c r="K335" s="36" t="inlineStr">
        <is>
          <t>https://instasure.ca/life-insurance/alberta/lethbridge/</t>
        </is>
      </c>
      <c r="L335" s="36">
        <f>IF(K335="","No","Yes")</f>
        <v/>
      </c>
      <c r="M335" s="39">
        <f>IF(K335="","",IFERROR(IF(ISNUMBER(SEARCH(A335,INDEX(Pages!$J$2:$J$829,MATCH(K335,Pages!$B$2:$B$829,0)))),"Yes","No"),"Page not found"))</f>
        <v/>
      </c>
      <c r="N335" s="25" t="inlineStr">
        <is>
          <t>(none seen)</t>
        </is>
      </c>
      <c r="O335" s="25" t="inlineStr">
        <is>
          <t>Page exists but is noindex until an editor adds a 300+ character local intro (Admin → SEO → Page overrides).</t>
        </is>
      </c>
      <c r="P335" s="40" t="n"/>
      <c r="Q335" s="38" t="n"/>
      <c r="R335" s="38" t="n"/>
    </row>
    <row r="336" ht="15" customHeight="1" s="22">
      <c r="A336" s="36" t="inlineStr">
        <is>
          <t>super visa insurance burnaby</t>
        </is>
      </c>
      <c r="B336" s="36" t="inlineStr">
        <is>
          <t>Super Visa &amp; visitors insurance</t>
        </is>
      </c>
      <c r="C336" s="36" t="inlineStr">
        <is>
          <t>Super Visa Insurance</t>
        </is>
      </c>
      <c r="D336" s="36" t="inlineStr">
        <is>
          <t>British Columbia</t>
        </is>
      </c>
      <c r="E336" s="36" t="inlineStr">
        <is>
          <t>Burnaby</t>
        </is>
      </c>
      <c r="F336" s="37" t="n">
        <v>60</v>
      </c>
      <c r="G336" s="36" t="n">
        <v>28</v>
      </c>
      <c r="H336" s="36" t="inlineStr">
        <is>
          <t>local</t>
        </is>
      </c>
      <c r="I336" s="36" t="inlineStr">
        <is>
          <t>travel-visitors</t>
        </is>
      </c>
      <c r="J336" s="36" t="n">
        <v>4</v>
      </c>
      <c r="K336" s="36" t="inlineStr">
        <is>
          <t>https://instasure.ca/super-visa-insurance/british-columbia/burnaby/</t>
        </is>
      </c>
      <c r="L336" s="36">
        <f>IF(K336="","No","Yes")</f>
        <v/>
      </c>
      <c r="M336" s="39">
        <f>IF(K336="","",IFERROR(IF(ISNUMBER(SEARCH(A336,INDEX(Pages!$J$2:$J$829,MATCH(K336,Pages!$B$2:$B$829,0)))),"Yes","No"),"Page not found"))</f>
        <v/>
      </c>
      <c r="N336" s="25" t="inlineStr">
        <is>
          <t>(none seen)</t>
        </is>
      </c>
      <c r="O336" s="25" t="n"/>
      <c r="P336" s="40" t="n"/>
      <c r="Q336" s="38" t="n"/>
      <c r="R336" s="38" t="n"/>
    </row>
    <row r="337" ht="23.85" customHeight="1" s="22">
      <c r="A337" s="36" t="inlineStr">
        <is>
          <t>super visa insurance richmond bc</t>
        </is>
      </c>
      <c r="B337" s="36" t="inlineStr">
        <is>
          <t>Super Visa &amp; visitors insurance</t>
        </is>
      </c>
      <c r="C337" s="36" t="inlineStr">
        <is>
          <t>Super Visa Insurance</t>
        </is>
      </c>
      <c r="D337" s="36" t="inlineStr">
        <is>
          <t>British Columbia</t>
        </is>
      </c>
      <c r="E337" s="36" t="inlineStr">
        <is>
          <t>Richmond</t>
        </is>
      </c>
      <c r="F337" s="37" t="n">
        <v>60</v>
      </c>
      <c r="G337" s="36" t="n">
        <v>20</v>
      </c>
      <c r="H337" s="36" t="inlineStr">
        <is>
          <t>local</t>
        </is>
      </c>
      <c r="I337" s="36" t="inlineStr">
        <is>
          <t>travel-visitors</t>
        </is>
      </c>
      <c r="J337" s="36" t="n">
        <v>4</v>
      </c>
      <c r="K337" s="36" t="inlineStr">
        <is>
          <t>https://instasure.ca/super-visa-insurance/british-columbia/richmond/</t>
        </is>
      </c>
      <c r="L337" s="36">
        <f>IF(K337="","No","Yes")</f>
        <v/>
      </c>
      <c r="M337" s="39">
        <f>IF(K337="","",IFERROR(IF(ISNUMBER(SEARCH(A337,INDEX(Pages!$J$2:$J$829,MATCH(K337,Pages!$B$2:$B$829,0)))),"Yes","No"),"Page not found"))</f>
        <v/>
      </c>
      <c r="N337" s="25" t="inlineStr">
        <is>
          <t>(none seen)</t>
        </is>
      </c>
      <c r="O337" s="25" t="inlineStr">
        <is>
          <t>Page exists but is noindex until an editor adds a 300+ character local intro (Admin → SEO → Page overrides).</t>
        </is>
      </c>
      <c r="P337" s="40" t="n"/>
      <c r="Q337" s="38" t="n"/>
      <c r="R337" s="38" t="n"/>
    </row>
    <row r="338" ht="23.85" customHeight="1" s="22">
      <c r="A338" s="36" t="inlineStr">
        <is>
          <t>business insurance abbotsford</t>
        </is>
      </c>
      <c r="B338" s="36" t="inlineStr">
        <is>
          <t>Business insurance</t>
        </is>
      </c>
      <c r="C338" s="36" t="inlineStr">
        <is>
          <t>Business Insurance</t>
        </is>
      </c>
      <c r="D338" s="36" t="inlineStr">
        <is>
          <t>British Columbia</t>
        </is>
      </c>
      <c r="E338" s="36" t="inlineStr">
        <is>
          <t>Abbotsford</t>
        </is>
      </c>
      <c r="F338" s="37" t="n">
        <v>58</v>
      </c>
      <c r="G338" s="36" t="n">
        <v>25</v>
      </c>
      <c r="H338" s="36" t="inlineStr">
        <is>
          <t>local</t>
        </is>
      </c>
      <c r="I338" s="36" t="inlineStr">
        <is>
          <t>business-local</t>
        </is>
      </c>
      <c r="J338" s="36" t="n">
        <v>4</v>
      </c>
      <c r="K338" s="36" t="inlineStr">
        <is>
          <t>https://instasure.ca/business-insurance/british-columbia/abbotsford/</t>
        </is>
      </c>
      <c r="L338" s="36">
        <f>IF(K338="","No","Yes")</f>
        <v/>
      </c>
      <c r="M338" s="39">
        <f>IF(K338="","",IFERROR(IF(ISNUMBER(SEARCH(A338,INDEX(Pages!$J$2:$J$829,MATCH(K338,Pages!$B$2:$B$829,0)))),"Yes","No"),"Page not found"))</f>
        <v/>
      </c>
      <c r="N338" s="25" t="inlineStr">
        <is>
          <t>(none seen)</t>
        </is>
      </c>
      <c r="O338" s="25" t="inlineStr">
        <is>
          <t>Page exists but is noindex until an editor adds a 300+ character local intro (Admin → SEO → Page overrides).</t>
        </is>
      </c>
      <c r="P338" s="40" t="n"/>
      <c r="Q338" s="38" t="n"/>
      <c r="R338" s="38" t="n"/>
    </row>
    <row r="339" ht="15" customHeight="1" s="22">
      <c r="A339" s="36" t="inlineStr">
        <is>
          <t>condo insurance abbotsford</t>
        </is>
      </c>
      <c r="B339" s="36" t="inlineStr">
        <is>
          <t>Condo insurance</t>
        </is>
      </c>
      <c r="C339" s="36" t="inlineStr">
        <is>
          <t>Condo Insurance</t>
        </is>
      </c>
      <c r="D339" s="36" t="inlineStr">
        <is>
          <t>British Columbia</t>
        </is>
      </c>
      <c r="E339" s="36" t="inlineStr">
        <is>
          <t>Abbotsford</t>
        </is>
      </c>
      <c r="F339" s="37" t="n">
        <v>58</v>
      </c>
      <c r="G339" s="36" t="n">
        <v>32</v>
      </c>
      <c r="H339" s="36" t="inlineStr">
        <is>
          <t>local</t>
        </is>
      </c>
      <c r="I339" s="36" t="inlineStr">
        <is>
          <t>property-local</t>
        </is>
      </c>
      <c r="J339" s="36" t="n">
        <v>4</v>
      </c>
      <c r="K339" s="36" t="inlineStr">
        <is>
          <t>https://instasure.ca/condo-insurance/british-columbia/abbotsford/</t>
        </is>
      </c>
      <c r="L339" s="36">
        <f>IF(K339="","No","Yes")</f>
        <v/>
      </c>
      <c r="M339" s="39">
        <f>IF(K339="","",IFERROR(IF(ISNUMBER(SEARCH(A339,INDEX(Pages!$J$2:$J$829,MATCH(K339,Pages!$B$2:$B$829,0)))),"Yes","No"),"Page not found"))</f>
        <v/>
      </c>
      <c r="N339" s="25" t="inlineStr">
        <is>
          <t>(none seen)</t>
        </is>
      </c>
      <c r="O339" s="25" t="n"/>
      <c r="P339" s="40" t="n"/>
      <c r="Q339" s="38" t="n"/>
      <c r="R339" s="38" t="n"/>
    </row>
    <row r="340" ht="23.85" customHeight="1" s="22">
      <c r="A340" s="36" t="inlineStr">
        <is>
          <t>business insurance coquitlam</t>
        </is>
      </c>
      <c r="B340" s="36" t="inlineStr">
        <is>
          <t>Business insurance</t>
        </is>
      </c>
      <c r="C340" s="36" t="inlineStr">
        <is>
          <t>Business Insurance</t>
        </is>
      </c>
      <c r="D340" s="36" t="inlineStr">
        <is>
          <t>British Columbia</t>
        </is>
      </c>
      <c r="E340" s="36" t="inlineStr">
        <is>
          <t>Coquitlam</t>
        </is>
      </c>
      <c r="F340" s="37" t="n">
        <v>57</v>
      </c>
      <c r="G340" s="36" t="n">
        <v>25</v>
      </c>
      <c r="H340" s="36" t="inlineStr">
        <is>
          <t>local</t>
        </is>
      </c>
      <c r="I340" s="36" t="inlineStr">
        <is>
          <t>business-local</t>
        </is>
      </c>
      <c r="J340" s="36" t="n">
        <v>4</v>
      </c>
      <c r="K340" s="36" t="inlineStr">
        <is>
          <t>https://instasure.ca/business-insurance/british-columbia/coquitlam/</t>
        </is>
      </c>
      <c r="L340" s="36">
        <f>IF(K340="","No","Yes")</f>
        <v/>
      </c>
      <c r="M340" s="39">
        <f>IF(K340="","",IFERROR(IF(ISNUMBER(SEARCH(A340,INDEX(Pages!$J$2:$J$829,MATCH(K340,Pages!$B$2:$B$829,0)))),"Yes","No"),"Page not found"))</f>
        <v/>
      </c>
      <c r="N340" s="25" t="inlineStr">
        <is>
          <t>(none seen)</t>
        </is>
      </c>
      <c r="O340" s="25" t="inlineStr">
        <is>
          <t>Page exists but is noindex until an editor adds a 300+ character local intro (Admin → SEO → Page overrides).</t>
        </is>
      </c>
      <c r="P340" s="40" t="n"/>
      <c r="Q340" s="38" t="n"/>
      <c r="R340" s="38" t="n"/>
    </row>
    <row r="341" ht="15" customHeight="1" s="22">
      <c r="A341" s="36" t="inlineStr">
        <is>
          <t>condo insurance coquitlam</t>
        </is>
      </c>
      <c r="B341" s="36" t="inlineStr">
        <is>
          <t>Condo insurance</t>
        </is>
      </c>
      <c r="C341" s="36" t="inlineStr">
        <is>
          <t>Condo Insurance</t>
        </is>
      </c>
      <c r="D341" s="36" t="inlineStr">
        <is>
          <t>British Columbia</t>
        </is>
      </c>
      <c r="E341" s="36" t="inlineStr">
        <is>
          <t>Coquitlam</t>
        </is>
      </c>
      <c r="F341" s="37" t="n">
        <v>57</v>
      </c>
      <c r="G341" s="36" t="n">
        <v>32</v>
      </c>
      <c r="H341" s="36" t="inlineStr">
        <is>
          <t>local</t>
        </is>
      </c>
      <c r="I341" s="36" t="inlineStr">
        <is>
          <t>property-local</t>
        </is>
      </c>
      <c r="J341" s="36" t="n">
        <v>4</v>
      </c>
      <c r="K341" s="36" t="inlineStr">
        <is>
          <t>https://instasure.ca/condo-insurance/british-columbia/coquitlam/</t>
        </is>
      </c>
      <c r="L341" s="36">
        <f>IF(K341="","No","Yes")</f>
        <v/>
      </c>
      <c r="M341" s="39">
        <f>IF(K341="","",IFERROR(IF(ISNUMBER(SEARCH(A341,INDEX(Pages!$J$2:$J$829,MATCH(K341,Pages!$B$2:$B$829,0)))),"Yes","No"),"Page not found"))</f>
        <v/>
      </c>
      <c r="N341" s="25" t="inlineStr">
        <is>
          <t>(none seen)</t>
        </is>
      </c>
      <c r="O341" s="25" t="n"/>
      <c r="P341" s="40" t="n"/>
      <c r="Q341" s="38" t="n"/>
      <c r="R341" s="38" t="n"/>
    </row>
    <row r="342" ht="15" customHeight="1" s="22">
      <c r="A342" s="36" t="inlineStr">
        <is>
          <t>life insurance victoria</t>
        </is>
      </c>
      <c r="B342" s="36" t="inlineStr">
        <is>
          <t>Life insurance</t>
        </is>
      </c>
      <c r="C342" s="36" t="inlineStr">
        <is>
          <t>Life Insurance</t>
        </is>
      </c>
      <c r="D342" s="36" t="inlineStr">
        <is>
          <t>British Columbia</t>
        </is>
      </c>
      <c r="E342" s="36" t="inlineStr">
        <is>
          <t>Victoria</t>
        </is>
      </c>
      <c r="F342" s="37" t="n">
        <v>57</v>
      </c>
      <c r="G342" s="36" t="n">
        <v>35</v>
      </c>
      <c r="H342" s="36" t="inlineStr">
        <is>
          <t>local</t>
        </is>
      </c>
      <c r="I342" s="36" t="inlineStr">
        <is>
          <t>life-local</t>
        </is>
      </c>
      <c r="J342" s="36" t="n">
        <v>3</v>
      </c>
      <c r="K342" s="36" t="inlineStr">
        <is>
          <t>https://instasure.ca/life-insurance/british-columbia/victoria/</t>
        </is>
      </c>
      <c r="L342" s="36">
        <f>IF(K342="","No","Yes")</f>
        <v/>
      </c>
      <c r="M342" s="39">
        <f>IF(K342="","",IFERROR(IF(ISNUMBER(SEARCH(A342,INDEX(Pages!$J$2:$J$829,MATCH(K342,Pages!$B$2:$B$829,0)))),"Yes","No"),"Page not found"))</f>
        <v/>
      </c>
      <c r="N342" s="25" t="inlineStr">
        <is>
          <t>(none seen)</t>
        </is>
      </c>
      <c r="O342" s="25" t="n"/>
      <c r="P342" s="40" t="n"/>
      <c r="Q342" s="38" t="n"/>
      <c r="R342" s="38" t="n"/>
    </row>
    <row r="343" ht="15" customHeight="1" s="22">
      <c r="A343" s="36" t="inlineStr">
        <is>
          <t>tenant insurance longueuil</t>
        </is>
      </c>
      <c r="B343" s="36" t="inlineStr">
        <is>
          <t>Tenant insurance</t>
        </is>
      </c>
      <c r="C343" s="36" t="inlineStr">
        <is>
          <t>Tenant Insurance</t>
        </is>
      </c>
      <c r="D343" s="36" t="inlineStr">
        <is>
          <t>Quebec</t>
        </is>
      </c>
      <c r="E343" s="36" t="inlineStr">
        <is>
          <t>Longueuil</t>
        </is>
      </c>
      <c r="F343" s="37" t="n">
        <v>57</v>
      </c>
      <c r="G343" s="36" t="n">
        <v>32</v>
      </c>
      <c r="H343" s="36" t="inlineStr">
        <is>
          <t>local</t>
        </is>
      </c>
      <c r="I343" s="36" t="inlineStr">
        <is>
          <t>property-local</t>
        </is>
      </c>
      <c r="J343" s="36" t="n">
        <v>5</v>
      </c>
      <c r="K343" s="36" t="inlineStr">
        <is>
          <t>https://instasure.ca/tenant-insurance/quebec/longueuil/</t>
        </is>
      </c>
      <c r="L343" s="36">
        <f>IF(K343="","No","Yes")</f>
        <v/>
      </c>
      <c r="M343" s="39">
        <f>IF(K343="","",IFERROR(IF(ISNUMBER(SEARCH(A343,INDEX(Pages!$J$2:$J$829,MATCH(K343,Pages!$B$2:$B$829,0)))),"Yes","No"),"Page not found"))</f>
        <v/>
      </c>
      <c r="N343" s="25" t="inlineStr">
        <is>
          <t>(none seen)</t>
        </is>
      </c>
      <c r="O343" s="25" t="inlineStr">
        <is>
          <t>Quebec waitlist until AMF registration.</t>
        </is>
      </c>
      <c r="P343" s="40" t="n"/>
      <c r="Q343" s="38" t="n"/>
      <c r="R343" s="38" t="n"/>
    </row>
    <row r="344" ht="23.85" customHeight="1" s="22">
      <c r="A344" s="36" t="inlineStr">
        <is>
          <t>business insurance barrie</t>
        </is>
      </c>
      <c r="B344" s="36" t="inlineStr">
        <is>
          <t>Business insurance</t>
        </is>
      </c>
      <c r="C344" s="36" t="inlineStr">
        <is>
          <t>Business Insurance</t>
        </is>
      </c>
      <c r="D344" s="36" t="inlineStr">
        <is>
          <t>Ontario</t>
        </is>
      </c>
      <c r="E344" s="36" t="inlineStr">
        <is>
          <t>Barrie</t>
        </is>
      </c>
      <c r="F344" s="37" t="n">
        <v>56</v>
      </c>
      <c r="G344" s="36" t="n">
        <v>33</v>
      </c>
      <c r="H344" s="36" t="inlineStr">
        <is>
          <t>local</t>
        </is>
      </c>
      <c r="I344" s="36" t="inlineStr">
        <is>
          <t>business-local</t>
        </is>
      </c>
      <c r="J344" s="36" t="n">
        <v>4</v>
      </c>
      <c r="K344" s="36" t="inlineStr">
        <is>
          <t>https://instasure.ca/business-insurance/ontario/barrie/</t>
        </is>
      </c>
      <c r="L344" s="36">
        <f>IF(K344="","No","Yes")</f>
        <v/>
      </c>
      <c r="M344" s="39">
        <f>IF(K344="","",IFERROR(IF(ISNUMBER(SEARCH(A344,INDEX(Pages!$J$2:$J$829,MATCH(K344,Pages!$B$2:$B$829,0)))),"Yes","No"),"Page not found"))</f>
        <v/>
      </c>
      <c r="N344" s="25" t="inlineStr">
        <is>
          <t>(none seen)</t>
        </is>
      </c>
      <c r="O344" s="25" t="inlineStr">
        <is>
          <t>Page exists but is noindex until an editor adds a 300+ character local intro (Admin → SEO → Page overrides).</t>
        </is>
      </c>
      <c r="P344" s="40" t="n"/>
      <c r="Q344" s="38" t="n"/>
      <c r="R344" s="38" t="n"/>
    </row>
    <row r="345" ht="15" customHeight="1" s="22">
      <c r="A345" s="36" t="inlineStr">
        <is>
          <t>condo insurance barrie</t>
        </is>
      </c>
      <c r="B345" s="36" t="inlineStr">
        <is>
          <t>Condo insurance</t>
        </is>
      </c>
      <c r="C345" s="36" t="inlineStr">
        <is>
          <t>Condo Insurance</t>
        </is>
      </c>
      <c r="D345" s="36" t="inlineStr">
        <is>
          <t>Ontario</t>
        </is>
      </c>
      <c r="E345" s="36" t="inlineStr">
        <is>
          <t>Barrie</t>
        </is>
      </c>
      <c r="F345" s="37" t="n">
        <v>56</v>
      </c>
      <c r="G345" s="36" t="n">
        <v>40</v>
      </c>
      <c r="H345" s="36" t="inlineStr">
        <is>
          <t>local</t>
        </is>
      </c>
      <c r="I345" s="36" t="inlineStr">
        <is>
          <t>property-local</t>
        </is>
      </c>
      <c r="J345" s="36" t="n">
        <v>5</v>
      </c>
      <c r="K345" s="36" t="inlineStr">
        <is>
          <t>https://instasure.ca/condo-insurance/ontario/barrie/</t>
        </is>
      </c>
      <c r="L345" s="36">
        <f>IF(K345="","No","Yes")</f>
        <v/>
      </c>
      <c r="M345" s="39">
        <f>IF(K345="","",IFERROR(IF(ISNUMBER(SEARCH(A345,INDEX(Pages!$J$2:$J$829,MATCH(K345,Pages!$B$2:$B$829,0)))),"Yes","No"),"Page not found"))</f>
        <v/>
      </c>
      <c r="N345" s="25" t="inlineStr">
        <is>
          <t>(none seen)</t>
        </is>
      </c>
      <c r="O345" s="25" t="n"/>
      <c r="P345" s="40" t="n"/>
      <c r="Q345" s="38" t="n"/>
      <c r="R345" s="38" t="n"/>
    </row>
    <row r="346" ht="23.85" customHeight="1" s="22">
      <c r="A346" s="36" t="inlineStr">
        <is>
          <t>business insurance guelph</t>
        </is>
      </c>
      <c r="B346" s="36" t="inlineStr">
        <is>
          <t>Business insurance</t>
        </is>
      </c>
      <c r="C346" s="36" t="inlineStr">
        <is>
          <t>Business Insurance</t>
        </is>
      </c>
      <c r="D346" s="36" t="inlineStr">
        <is>
          <t>Ontario</t>
        </is>
      </c>
      <c r="E346" s="36" t="inlineStr">
        <is>
          <t>Guelph</t>
        </is>
      </c>
      <c r="F346" s="37" t="n">
        <v>55</v>
      </c>
      <c r="G346" s="36" t="n">
        <v>33</v>
      </c>
      <c r="H346" s="36" t="inlineStr">
        <is>
          <t>local</t>
        </is>
      </c>
      <c r="I346" s="36" t="inlineStr">
        <is>
          <t>business-local</t>
        </is>
      </c>
      <c r="J346" s="36" t="n">
        <v>4</v>
      </c>
      <c r="K346" s="36" t="inlineStr">
        <is>
          <t>https://instasure.ca/business-insurance/ontario/guelph/</t>
        </is>
      </c>
      <c r="L346" s="36">
        <f>IF(K346="","No","Yes")</f>
        <v/>
      </c>
      <c r="M346" s="39">
        <f>IF(K346="","",IFERROR(IF(ISNUMBER(SEARCH(A346,INDEX(Pages!$J$2:$J$829,MATCH(K346,Pages!$B$2:$B$829,0)))),"Yes","No"),"Page not found"))</f>
        <v/>
      </c>
      <c r="N346" s="25" t="inlineStr">
        <is>
          <t>(none seen)</t>
        </is>
      </c>
      <c r="O346" s="25" t="inlineStr">
        <is>
          <t>Page exists but is noindex until an editor adds a 300+ character local intro (Admin → SEO → Page overrides).</t>
        </is>
      </c>
      <c r="P346" s="40" t="n"/>
      <c r="Q346" s="38" t="n"/>
      <c r="R346" s="38" t="n"/>
    </row>
    <row r="347" ht="15" customHeight="1" s="22">
      <c r="A347" s="36" t="inlineStr">
        <is>
          <t>business insurance kelowna</t>
        </is>
      </c>
      <c r="B347" s="36" t="inlineStr">
        <is>
          <t>Business insurance</t>
        </is>
      </c>
      <c r="C347" s="36" t="inlineStr">
        <is>
          <t>Business Insurance</t>
        </is>
      </c>
      <c r="D347" s="36" t="inlineStr">
        <is>
          <t>British Columbia</t>
        </is>
      </c>
      <c r="E347" s="36" t="inlineStr">
        <is>
          <t>Kelowna</t>
        </is>
      </c>
      <c r="F347" s="37" t="n">
        <v>55</v>
      </c>
      <c r="G347" s="36" t="n">
        <v>33</v>
      </c>
      <c r="H347" s="36" t="inlineStr">
        <is>
          <t>local</t>
        </is>
      </c>
      <c r="I347" s="36" t="inlineStr">
        <is>
          <t>business-local</t>
        </is>
      </c>
      <c r="J347" s="36" t="n">
        <v>3</v>
      </c>
      <c r="K347" s="36" t="inlineStr">
        <is>
          <t>https://instasure.ca/business-insurance/british-columbia/kelowna/</t>
        </is>
      </c>
      <c r="L347" s="36">
        <f>IF(K347="","No","Yes")</f>
        <v/>
      </c>
      <c r="M347" s="39">
        <f>IF(K347="","",IFERROR(IF(ISNUMBER(SEARCH(A347,INDEX(Pages!$J$2:$J$829,MATCH(K347,Pages!$B$2:$B$829,0)))),"Yes","No"),"Page not found"))</f>
        <v/>
      </c>
      <c r="N347" s="25" t="inlineStr">
        <is>
          <t>(none seen)</t>
        </is>
      </c>
      <c r="O347" s="25" t="n"/>
      <c r="P347" s="40" t="n"/>
      <c r="Q347" s="38" t="n"/>
      <c r="R347" s="38" t="n"/>
    </row>
    <row r="348" ht="15" customHeight="1" s="22">
      <c r="A348" s="36" t="inlineStr">
        <is>
          <t>condo insurance guelph</t>
        </is>
      </c>
      <c r="B348" s="36" t="inlineStr">
        <is>
          <t>Condo insurance</t>
        </is>
      </c>
      <c r="C348" s="36" t="inlineStr">
        <is>
          <t>Condo Insurance</t>
        </is>
      </c>
      <c r="D348" s="36" t="inlineStr">
        <is>
          <t>Ontario</t>
        </is>
      </c>
      <c r="E348" s="36" t="inlineStr">
        <is>
          <t>Guelph</t>
        </is>
      </c>
      <c r="F348" s="37" t="n">
        <v>55</v>
      </c>
      <c r="G348" s="36" t="n">
        <v>40</v>
      </c>
      <c r="H348" s="36" t="inlineStr">
        <is>
          <t>local</t>
        </is>
      </c>
      <c r="I348" s="36" t="inlineStr">
        <is>
          <t>property-local</t>
        </is>
      </c>
      <c r="J348" s="36" t="n">
        <v>5</v>
      </c>
      <c r="K348" s="36" t="inlineStr">
        <is>
          <t>https://instasure.ca/condo-insurance/ontario/guelph/</t>
        </is>
      </c>
      <c r="L348" s="36">
        <f>IF(K348="","No","Yes")</f>
        <v/>
      </c>
      <c r="M348" s="39">
        <f>IF(K348="","",IFERROR(IF(ISNUMBER(SEARCH(A348,INDEX(Pages!$J$2:$J$829,MATCH(K348,Pages!$B$2:$B$829,0)))),"Yes","No"),"Page not found"))</f>
        <v/>
      </c>
      <c r="N348" s="25" t="inlineStr">
        <is>
          <t>(none seen)</t>
        </is>
      </c>
      <c r="O348" s="25" t="n"/>
      <c r="P348" s="40" t="n"/>
      <c r="Q348" s="38" t="n"/>
      <c r="R348" s="38" t="n"/>
    </row>
    <row r="349" ht="15" customHeight="1" s="22">
      <c r="A349" s="36" t="inlineStr">
        <is>
          <t>condo insurance kelowna</t>
        </is>
      </c>
      <c r="B349" s="36" t="inlineStr">
        <is>
          <t>Condo insurance</t>
        </is>
      </c>
      <c r="C349" s="36" t="inlineStr">
        <is>
          <t>Condo Insurance</t>
        </is>
      </c>
      <c r="D349" s="36" t="inlineStr">
        <is>
          <t>British Columbia</t>
        </is>
      </c>
      <c r="E349" s="36" t="inlineStr">
        <is>
          <t>Kelowna</t>
        </is>
      </c>
      <c r="F349" s="37" t="n">
        <v>55</v>
      </c>
      <c r="G349" s="36" t="n">
        <v>40</v>
      </c>
      <c r="H349" s="36" t="inlineStr">
        <is>
          <t>local</t>
        </is>
      </c>
      <c r="I349" s="36" t="inlineStr">
        <is>
          <t>property-local</t>
        </is>
      </c>
      <c r="J349" s="36" t="n">
        <v>5</v>
      </c>
      <c r="K349" s="36" t="inlineStr">
        <is>
          <t>https://instasure.ca/condo-insurance/british-columbia/kelowna/</t>
        </is>
      </c>
      <c r="L349" s="36">
        <f>IF(K349="","No","Yes")</f>
        <v/>
      </c>
      <c r="M349" s="39">
        <f>IF(K349="","",IFERROR(IF(ISNUMBER(SEARCH(A349,INDEX(Pages!$J$2:$J$829,MATCH(K349,Pages!$B$2:$B$829,0)))),"Yes","No"),"Page not found"))</f>
        <v/>
      </c>
      <c r="N349" s="25" t="inlineStr">
        <is>
          <t>(none seen)</t>
        </is>
      </c>
      <c r="O349" s="25" t="n"/>
      <c r="P349" s="40" t="n"/>
      <c r="Q349" s="38" t="n"/>
      <c r="R349" s="38" t="n"/>
    </row>
    <row r="350" ht="23.85" customHeight="1" s="22">
      <c r="A350" s="36" t="inlineStr">
        <is>
          <t>business insurance cambridge</t>
        </is>
      </c>
      <c r="B350" s="36" t="inlineStr">
        <is>
          <t>Business insurance</t>
        </is>
      </c>
      <c r="C350" s="36" t="inlineStr">
        <is>
          <t>Business Insurance</t>
        </is>
      </c>
      <c r="D350" s="36" t="inlineStr">
        <is>
          <t>Ontario</t>
        </is>
      </c>
      <c r="E350" s="36" t="inlineStr">
        <is>
          <t>Cambridge</t>
        </is>
      </c>
      <c r="F350" s="37" t="n">
        <v>53</v>
      </c>
      <c r="G350" s="36" t="n">
        <v>25</v>
      </c>
      <c r="H350" s="36" t="inlineStr">
        <is>
          <t>local</t>
        </is>
      </c>
      <c r="I350" s="36" t="inlineStr">
        <is>
          <t>business-local</t>
        </is>
      </c>
      <c r="J350" s="36" t="n">
        <v>4</v>
      </c>
      <c r="K350" s="36" t="inlineStr">
        <is>
          <t>https://instasure.ca/business-insurance/ontario/cambridge/</t>
        </is>
      </c>
      <c r="L350" s="36">
        <f>IF(K350="","No","Yes")</f>
        <v/>
      </c>
      <c r="M350" s="39">
        <f>IF(K350="","",IFERROR(IF(ISNUMBER(SEARCH(A350,INDEX(Pages!$J$2:$J$829,MATCH(K350,Pages!$B$2:$B$829,0)))),"Yes","No"),"Page not found"))</f>
        <v/>
      </c>
      <c r="N350" s="25" t="inlineStr">
        <is>
          <t>(none seen)</t>
        </is>
      </c>
      <c r="O350" s="25" t="inlineStr">
        <is>
          <t>Page exists but is noindex until an editor adds a 300+ character local intro (Admin → SEO → Page overrides).</t>
        </is>
      </c>
      <c r="P350" s="40" t="n"/>
      <c r="Q350" s="38" t="n"/>
      <c r="R350" s="38" t="n"/>
    </row>
    <row r="351" ht="23.85" customHeight="1" s="22">
      <c r="A351" s="36" t="inlineStr">
        <is>
          <t>business insurance st catharines</t>
        </is>
      </c>
      <c r="B351" s="36" t="inlineStr">
        <is>
          <t>Business insurance</t>
        </is>
      </c>
      <c r="C351" s="36" t="inlineStr">
        <is>
          <t>Business Insurance</t>
        </is>
      </c>
      <c r="D351" s="36" t="inlineStr">
        <is>
          <t>Ontario</t>
        </is>
      </c>
      <c r="E351" s="36" t="inlineStr">
        <is>
          <t>St. Catharines</t>
        </is>
      </c>
      <c r="F351" s="37" t="n">
        <v>53</v>
      </c>
      <c r="G351" s="36" t="n">
        <v>33</v>
      </c>
      <c r="H351" s="36" t="inlineStr">
        <is>
          <t>local</t>
        </is>
      </c>
      <c r="I351" s="36" t="inlineStr">
        <is>
          <t>business-local</t>
        </is>
      </c>
      <c r="J351" s="36" t="n">
        <v>4</v>
      </c>
      <c r="K351" s="36" t="inlineStr">
        <is>
          <t>https://instasure.ca/business-insurance/ontario/st-catharines/</t>
        </is>
      </c>
      <c r="L351" s="36">
        <f>IF(K351="","No","Yes")</f>
        <v/>
      </c>
      <c r="M351" s="39">
        <f>IF(K351="","",IFERROR(IF(ISNUMBER(SEARCH(A351,INDEX(Pages!$J$2:$J$829,MATCH(K351,Pages!$B$2:$B$829,0)))),"Yes","No"),"Page not found"))</f>
        <v/>
      </c>
      <c r="N351" s="25" t="inlineStr">
        <is>
          <t>(none seen)</t>
        </is>
      </c>
      <c r="O351" s="25" t="inlineStr">
        <is>
          <t>Page exists but is noindex until an editor adds a 300+ character local intro (Admin → SEO → Page overrides).</t>
        </is>
      </c>
      <c r="P351" s="40" t="n"/>
      <c r="Q351" s="38" t="n"/>
      <c r="R351" s="38" t="n"/>
    </row>
    <row r="352" ht="23.85" customHeight="1" s="22">
      <c r="A352" s="36" t="inlineStr">
        <is>
          <t>business insurance whitby</t>
        </is>
      </c>
      <c r="B352" s="36" t="inlineStr">
        <is>
          <t>Business insurance</t>
        </is>
      </c>
      <c r="C352" s="36" t="inlineStr">
        <is>
          <t>Business Insurance</t>
        </is>
      </c>
      <c r="D352" s="36" t="inlineStr">
        <is>
          <t>Ontario</t>
        </is>
      </c>
      <c r="E352" s="36" t="inlineStr">
        <is>
          <t>Whitby</t>
        </is>
      </c>
      <c r="F352" s="37" t="n">
        <v>53</v>
      </c>
      <c r="G352" s="36" t="n">
        <v>25</v>
      </c>
      <c r="H352" s="36" t="inlineStr">
        <is>
          <t>local</t>
        </is>
      </c>
      <c r="I352" s="36" t="inlineStr">
        <is>
          <t>business-local</t>
        </is>
      </c>
      <c r="J352" s="36" t="n">
        <v>4</v>
      </c>
      <c r="K352" s="36" t="inlineStr">
        <is>
          <t>https://instasure.ca/business-insurance/ontario/whitby/</t>
        </is>
      </c>
      <c r="L352" s="36">
        <f>IF(K352="","No","Yes")</f>
        <v/>
      </c>
      <c r="M352" s="39">
        <f>IF(K352="","",IFERROR(IF(ISNUMBER(SEARCH(A352,INDEX(Pages!$J$2:$J$829,MATCH(K352,Pages!$B$2:$B$829,0)))),"Yes","No"),"Page not found"))</f>
        <v/>
      </c>
      <c r="N352" s="25" t="inlineStr">
        <is>
          <t>(none seen)</t>
        </is>
      </c>
      <c r="O352" s="25" t="inlineStr">
        <is>
          <t>Page exists but is noindex until an editor adds a 300+ character local intro (Admin → SEO → Page overrides).</t>
        </is>
      </c>
      <c r="P352" s="40" t="n"/>
      <c r="Q352" s="38" t="n"/>
      <c r="R352" s="38" t="n"/>
    </row>
    <row r="353" ht="23.85" customHeight="1" s="22">
      <c r="A353" s="36" t="inlineStr">
        <is>
          <t>condo insurance cambridge</t>
        </is>
      </c>
      <c r="B353" s="36" t="inlineStr">
        <is>
          <t>Condo insurance</t>
        </is>
      </c>
      <c r="C353" s="36" t="inlineStr">
        <is>
          <t>Condo Insurance</t>
        </is>
      </c>
      <c r="D353" s="36" t="inlineStr">
        <is>
          <t>Ontario</t>
        </is>
      </c>
      <c r="E353" s="36" t="inlineStr">
        <is>
          <t>Cambridge</t>
        </is>
      </c>
      <c r="F353" s="37" t="n">
        <v>53</v>
      </c>
      <c r="G353" s="36" t="n">
        <v>32</v>
      </c>
      <c r="H353" s="36" t="inlineStr">
        <is>
          <t>local</t>
        </is>
      </c>
      <c r="I353" s="36" t="inlineStr">
        <is>
          <t>property-local</t>
        </is>
      </c>
      <c r="J353" s="36" t="n">
        <v>5</v>
      </c>
      <c r="K353" s="36" t="inlineStr">
        <is>
          <t>https://instasure.ca/condo-insurance/ontario/cambridge/</t>
        </is>
      </c>
      <c r="L353" s="36">
        <f>IF(K353="","No","Yes")</f>
        <v/>
      </c>
      <c r="M353" s="39">
        <f>IF(K353="","",IFERROR(IF(ISNUMBER(SEARCH(A353,INDEX(Pages!$J$2:$J$829,MATCH(K353,Pages!$B$2:$B$829,0)))),"Yes","No"),"Page not found"))</f>
        <v/>
      </c>
      <c r="N353" s="25" t="inlineStr">
        <is>
          <t>(none seen)</t>
        </is>
      </c>
      <c r="O353" s="25" t="inlineStr">
        <is>
          <t>Page exists but is noindex until an editor adds a 300+ character local intro (Admin → SEO → Page overrides).</t>
        </is>
      </c>
      <c r="P353" s="40" t="n"/>
      <c r="Q353" s="38" t="n"/>
      <c r="R353" s="38" t="n"/>
    </row>
    <row r="354" ht="15" customHeight="1" s="22">
      <c r="A354" s="36" t="inlineStr">
        <is>
          <t>condo insurance st catharines</t>
        </is>
      </c>
      <c r="B354" s="36" t="inlineStr">
        <is>
          <t>Condo insurance</t>
        </is>
      </c>
      <c r="C354" s="36" t="inlineStr">
        <is>
          <t>Condo Insurance</t>
        </is>
      </c>
      <c r="D354" s="36" t="inlineStr">
        <is>
          <t>Ontario</t>
        </is>
      </c>
      <c r="E354" s="36" t="inlineStr">
        <is>
          <t>St. Catharines</t>
        </is>
      </c>
      <c r="F354" s="37" t="n">
        <v>53</v>
      </c>
      <c r="G354" s="36" t="n">
        <v>40</v>
      </c>
      <c r="H354" s="36" t="inlineStr">
        <is>
          <t>local</t>
        </is>
      </c>
      <c r="I354" s="36" t="inlineStr">
        <is>
          <t>property-local</t>
        </is>
      </c>
      <c r="J354" s="36" t="n">
        <v>5</v>
      </c>
      <c r="K354" s="36" t="inlineStr">
        <is>
          <t>https://instasure.ca/condo-insurance/ontario/st-catharines/</t>
        </is>
      </c>
      <c r="L354" s="36">
        <f>IF(K354="","No","Yes")</f>
        <v/>
      </c>
      <c r="M354" s="39">
        <f>IF(K354="","",IFERROR(IF(ISNUMBER(SEARCH(A354,INDEX(Pages!$J$2:$J$829,MATCH(K354,Pages!$B$2:$B$829,0)))),"Yes","No"),"Page not found"))</f>
        <v/>
      </c>
      <c r="N354" s="25" t="inlineStr">
        <is>
          <t>(none seen)</t>
        </is>
      </c>
      <c r="O354" s="25" t="n"/>
      <c r="P354" s="40" t="n"/>
      <c r="Q354" s="38" t="n"/>
      <c r="R354" s="38" t="n"/>
    </row>
    <row r="355" ht="23.85" customHeight="1" s="22">
      <c r="A355" s="36" t="inlineStr">
        <is>
          <t>condo insurance whitby</t>
        </is>
      </c>
      <c r="B355" s="36" t="inlineStr">
        <is>
          <t>Condo insurance</t>
        </is>
      </c>
      <c r="C355" s="36" t="inlineStr">
        <is>
          <t>Condo Insurance</t>
        </is>
      </c>
      <c r="D355" s="36" t="inlineStr">
        <is>
          <t>Ontario</t>
        </is>
      </c>
      <c r="E355" s="36" t="inlineStr">
        <is>
          <t>Whitby</t>
        </is>
      </c>
      <c r="F355" s="37" t="n">
        <v>53</v>
      </c>
      <c r="G355" s="36" t="n">
        <v>32</v>
      </c>
      <c r="H355" s="36" t="inlineStr">
        <is>
          <t>local</t>
        </is>
      </c>
      <c r="I355" s="36" t="inlineStr">
        <is>
          <t>property-local</t>
        </is>
      </c>
      <c r="J355" s="36" t="n">
        <v>5</v>
      </c>
      <c r="K355" s="36" t="inlineStr">
        <is>
          <t>https://instasure.ca/condo-insurance/ontario/whitby/</t>
        </is>
      </c>
      <c r="L355" s="36">
        <f>IF(K355="","No","Yes")</f>
        <v/>
      </c>
      <c r="M355" s="39">
        <f>IF(K355="","",IFERROR(IF(ISNUMBER(SEARCH(A355,INDEX(Pages!$J$2:$J$829,MATCH(K355,Pages!$B$2:$B$829,0)))),"Yes","No"),"Page not found"))</f>
        <v/>
      </c>
      <c r="N355" s="25" t="inlineStr">
        <is>
          <t>(none seen)</t>
        </is>
      </c>
      <c r="O355" s="25" t="inlineStr">
        <is>
          <t>Page exists but is noindex until an editor adds a 300+ character local intro (Admin → SEO → Page overrides).</t>
        </is>
      </c>
      <c r="P355" s="40" t="n"/>
      <c r="Q355" s="38" t="n"/>
      <c r="R355" s="38" t="n"/>
    </row>
    <row r="356" ht="23.85" customHeight="1" s="22">
      <c r="A356" s="36" t="inlineStr">
        <is>
          <t>tenant insurance brandon</t>
        </is>
      </c>
      <c r="B356" s="36" t="inlineStr">
        <is>
          <t>Tenant insurance</t>
        </is>
      </c>
      <c r="C356" s="36" t="inlineStr">
        <is>
          <t>Tenant Insurance</t>
        </is>
      </c>
      <c r="D356" s="36" t="inlineStr">
        <is>
          <t>Manitoba</t>
        </is>
      </c>
      <c r="E356" s="36" t="inlineStr">
        <is>
          <t>Brandon</t>
        </is>
      </c>
      <c r="F356" s="37" t="n">
        <v>53</v>
      </c>
      <c r="G356" s="36" t="n">
        <v>24</v>
      </c>
      <c r="H356" s="36" t="inlineStr">
        <is>
          <t>local</t>
        </is>
      </c>
      <c r="I356" s="36" t="inlineStr">
        <is>
          <t>property-local</t>
        </is>
      </c>
      <c r="J356" s="36" t="n">
        <v>5</v>
      </c>
      <c r="K356" s="36" t="inlineStr">
        <is>
          <t>https://instasure.ca/tenant-insurance/manitoba/brandon/</t>
        </is>
      </c>
      <c r="L356" s="36">
        <f>IF(K356="","No","Yes")</f>
        <v/>
      </c>
      <c r="M356" s="39">
        <f>IF(K356="","",IFERROR(IF(ISNUMBER(SEARCH(A356,INDEX(Pages!$J$2:$J$829,MATCH(K356,Pages!$B$2:$B$829,0)))),"Yes","No"),"Page not found"))</f>
        <v/>
      </c>
      <c r="N356" s="25" t="inlineStr">
        <is>
          <t>(none seen)</t>
        </is>
      </c>
      <c r="O356" s="25" t="inlineStr">
        <is>
          <t>Page exists but is noindex until an editor adds a 300+ character local intro (Admin → SEO → Page overrides).</t>
        </is>
      </c>
      <c r="P356" s="40" t="n"/>
      <c r="Q356" s="38" t="n"/>
      <c r="R356" s="38" t="n"/>
    </row>
    <row r="357" ht="23.85" customHeight="1" s="22">
      <c r="A357" s="36" t="inlineStr">
        <is>
          <t>business insurance kingston</t>
        </is>
      </c>
      <c r="B357" s="36" t="inlineStr">
        <is>
          <t>Business insurance</t>
        </is>
      </c>
      <c r="C357" s="36" t="inlineStr">
        <is>
          <t>Business Insurance</t>
        </is>
      </c>
      <c r="D357" s="36" t="inlineStr">
        <is>
          <t>Ontario</t>
        </is>
      </c>
      <c r="E357" s="36" t="inlineStr">
        <is>
          <t>Kingston</t>
        </is>
      </c>
      <c r="F357" s="37" t="n">
        <v>52</v>
      </c>
      <c r="G357" s="36" t="n">
        <v>33</v>
      </c>
      <c r="H357" s="36" t="inlineStr">
        <is>
          <t>local</t>
        </is>
      </c>
      <c r="I357" s="36" t="inlineStr">
        <is>
          <t>business-local</t>
        </is>
      </c>
      <c r="J357" s="36" t="n">
        <v>4</v>
      </c>
      <c r="K357" s="36" t="inlineStr">
        <is>
          <t>https://instasure.ca/business-insurance/ontario/kingston/</t>
        </is>
      </c>
      <c r="L357" s="36">
        <f>IF(K357="","No","Yes")</f>
        <v/>
      </c>
      <c r="M357" s="39">
        <f>IF(K357="","",IFERROR(IF(ISNUMBER(SEARCH(A357,INDEX(Pages!$J$2:$J$829,MATCH(K357,Pages!$B$2:$B$829,0)))),"Yes","No"),"Page not found"))</f>
        <v/>
      </c>
      <c r="N357" s="25" t="inlineStr">
        <is>
          <t>(none seen)</t>
        </is>
      </c>
      <c r="O357" s="25" t="inlineStr">
        <is>
          <t>Page exists but is noindex until an editor adds a 300+ character local intro (Admin → SEO → Page overrides).</t>
        </is>
      </c>
      <c r="P357" s="40" t="n"/>
      <c r="Q357" s="38" t="n"/>
      <c r="R357" s="38" t="n"/>
    </row>
    <row r="358" ht="23.85" customHeight="1" s="22">
      <c r="A358" s="36" t="inlineStr">
        <is>
          <t>business insurance langley</t>
        </is>
      </c>
      <c r="B358" s="36" t="inlineStr">
        <is>
          <t>Business insurance</t>
        </is>
      </c>
      <c r="C358" s="36" t="inlineStr">
        <is>
          <t>Business Insurance</t>
        </is>
      </c>
      <c r="D358" s="36" t="inlineStr">
        <is>
          <t>British Columbia</t>
        </is>
      </c>
      <c r="E358" s="36" t="inlineStr">
        <is>
          <t>Langley</t>
        </is>
      </c>
      <c r="F358" s="37" t="n">
        <v>52</v>
      </c>
      <c r="G358" s="36" t="n">
        <v>17</v>
      </c>
      <c r="H358" s="36" t="inlineStr">
        <is>
          <t>local</t>
        </is>
      </c>
      <c r="I358" s="36" t="inlineStr">
        <is>
          <t>business-local</t>
        </is>
      </c>
      <c r="J358" s="36" t="n">
        <v>3</v>
      </c>
      <c r="K358" s="36" t="inlineStr">
        <is>
          <t>https://instasure.ca/business-insurance/british-columbia/langley/</t>
        </is>
      </c>
      <c r="L358" s="36">
        <f>IF(K358="","No","Yes")</f>
        <v/>
      </c>
      <c r="M358" s="39">
        <f>IF(K358="","",IFERROR(IF(ISNUMBER(SEARCH(A358,INDEX(Pages!$J$2:$J$829,MATCH(K358,Pages!$B$2:$B$829,0)))),"Yes","No"),"Page not found"))</f>
        <v/>
      </c>
      <c r="N358" s="25" t="inlineStr">
        <is>
          <t>(none seen)</t>
        </is>
      </c>
      <c r="O358" s="25" t="inlineStr">
        <is>
          <t>Page exists but is noindex until an editor adds a 300+ character local intro (Admin → SEO → Page overrides).</t>
        </is>
      </c>
      <c r="P358" s="40" t="n"/>
      <c r="Q358" s="38" t="n"/>
      <c r="R358" s="38" t="n"/>
    </row>
    <row r="359" ht="23.85" customHeight="1" s="22">
      <c r="A359" s="36" t="inlineStr">
        <is>
          <t>business insurance milton</t>
        </is>
      </c>
      <c r="B359" s="36" t="inlineStr">
        <is>
          <t>Business insurance</t>
        </is>
      </c>
      <c r="C359" s="36" t="inlineStr">
        <is>
          <t>Business Insurance</t>
        </is>
      </c>
      <c r="D359" s="36" t="inlineStr">
        <is>
          <t>Ontario</t>
        </is>
      </c>
      <c r="E359" s="36" t="inlineStr">
        <is>
          <t>Milton</t>
        </is>
      </c>
      <c r="F359" s="37" t="n">
        <v>52</v>
      </c>
      <c r="G359" s="36" t="n">
        <v>25</v>
      </c>
      <c r="H359" s="36" t="inlineStr">
        <is>
          <t>local</t>
        </is>
      </c>
      <c r="I359" s="36" t="inlineStr">
        <is>
          <t>business-local</t>
        </is>
      </c>
      <c r="J359" s="36" t="n">
        <v>4</v>
      </c>
      <c r="K359" s="36" t="inlineStr">
        <is>
          <t>https://instasure.ca/business-insurance/ontario/milton/</t>
        </is>
      </c>
      <c r="L359" s="36">
        <f>IF(K359="","No","Yes")</f>
        <v/>
      </c>
      <c r="M359" s="39">
        <f>IF(K359="","",IFERROR(IF(ISNUMBER(SEARCH(A359,INDEX(Pages!$J$2:$J$829,MATCH(K359,Pages!$B$2:$B$829,0)))),"Yes","No"),"Page not found"))</f>
        <v/>
      </c>
      <c r="N359" s="25" t="inlineStr">
        <is>
          <t>(none seen)</t>
        </is>
      </c>
      <c r="O359" s="25" t="inlineStr">
        <is>
          <t>Page exists but is noindex until an editor adds a 300+ character local intro (Admin → SEO → Page overrides).</t>
        </is>
      </c>
      <c r="P359" s="40" t="n"/>
      <c r="Q359" s="38" t="n"/>
      <c r="R359" s="38" t="n"/>
    </row>
    <row r="360" ht="15" customHeight="1" s="22">
      <c r="A360" s="36" t="inlineStr">
        <is>
          <t>condo insurance kingston</t>
        </is>
      </c>
      <c r="B360" s="36" t="inlineStr">
        <is>
          <t>Condo insurance</t>
        </is>
      </c>
      <c r="C360" s="36" t="inlineStr">
        <is>
          <t>Condo Insurance</t>
        </is>
      </c>
      <c r="D360" s="36" t="inlineStr">
        <is>
          <t>Ontario</t>
        </is>
      </c>
      <c r="E360" s="36" t="inlineStr">
        <is>
          <t>Kingston</t>
        </is>
      </c>
      <c r="F360" s="37" t="n">
        <v>52</v>
      </c>
      <c r="G360" s="36" t="n">
        <v>40</v>
      </c>
      <c r="H360" s="36" t="inlineStr">
        <is>
          <t>local</t>
        </is>
      </c>
      <c r="I360" s="36" t="inlineStr">
        <is>
          <t>property-local</t>
        </is>
      </c>
      <c r="J360" s="36" t="n">
        <v>5</v>
      </c>
      <c r="K360" s="36" t="inlineStr">
        <is>
          <t>https://instasure.ca/condo-insurance/ontario/kingston/</t>
        </is>
      </c>
      <c r="L360" s="36">
        <f>IF(K360="","No","Yes")</f>
        <v/>
      </c>
      <c r="M360" s="39">
        <f>IF(K360="","",IFERROR(IF(ISNUMBER(SEARCH(A360,INDEX(Pages!$J$2:$J$829,MATCH(K360,Pages!$B$2:$B$829,0)))),"Yes","No"),"Page not found"))</f>
        <v/>
      </c>
      <c r="N360" s="25" t="inlineStr">
        <is>
          <t>(none seen)</t>
        </is>
      </c>
      <c r="O360" s="25" t="n"/>
      <c r="P360" s="40" t="n"/>
      <c r="Q360" s="38" t="n"/>
      <c r="R360" s="38" t="n"/>
    </row>
    <row r="361" ht="23.85" customHeight="1" s="22">
      <c r="A361" s="36" t="inlineStr">
        <is>
          <t>condo insurance langley</t>
        </is>
      </c>
      <c r="B361" s="36" t="inlineStr">
        <is>
          <t>Condo insurance</t>
        </is>
      </c>
      <c r="C361" s="36" t="inlineStr">
        <is>
          <t>Condo Insurance</t>
        </is>
      </c>
      <c r="D361" s="36" t="inlineStr">
        <is>
          <t>British Columbia</t>
        </is>
      </c>
      <c r="E361" s="36" t="inlineStr">
        <is>
          <t>Langley</t>
        </is>
      </c>
      <c r="F361" s="37" t="n">
        <v>52</v>
      </c>
      <c r="G361" s="36" t="n">
        <v>24</v>
      </c>
      <c r="H361" s="36" t="inlineStr">
        <is>
          <t>local</t>
        </is>
      </c>
      <c r="I361" s="36" t="inlineStr">
        <is>
          <t>property-local</t>
        </is>
      </c>
      <c r="J361" s="36" t="n">
        <v>5</v>
      </c>
      <c r="K361" s="36" t="inlineStr">
        <is>
          <t>https://instasure.ca/condo-insurance/british-columbia/langley/</t>
        </is>
      </c>
      <c r="L361" s="36">
        <f>IF(K361="","No","Yes")</f>
        <v/>
      </c>
      <c r="M361" s="39">
        <f>IF(K361="","",IFERROR(IF(ISNUMBER(SEARCH(A361,INDEX(Pages!$J$2:$J$829,MATCH(K361,Pages!$B$2:$B$829,0)))),"Yes","No"),"Page not found"))</f>
        <v/>
      </c>
      <c r="N361" s="25" t="inlineStr">
        <is>
          <t>(none seen)</t>
        </is>
      </c>
      <c r="O361" s="25" t="inlineStr">
        <is>
          <t>Page exists but is noindex until an editor adds a 300+ character local intro (Admin → SEO → Page overrides).</t>
        </is>
      </c>
      <c r="P361" s="40" t="n"/>
      <c r="Q361" s="38" t="n"/>
      <c r="R361" s="38" t="n"/>
    </row>
    <row r="362" ht="23.85" customHeight="1" s="22">
      <c r="A362" s="36" t="inlineStr">
        <is>
          <t>condo insurance milton</t>
        </is>
      </c>
      <c r="B362" s="36" t="inlineStr">
        <is>
          <t>Condo insurance</t>
        </is>
      </c>
      <c r="C362" s="36" t="inlineStr">
        <is>
          <t>Condo Insurance</t>
        </is>
      </c>
      <c r="D362" s="36" t="inlineStr">
        <is>
          <t>Ontario</t>
        </is>
      </c>
      <c r="E362" s="36" t="inlineStr">
        <is>
          <t>Milton</t>
        </is>
      </c>
      <c r="F362" s="37" t="n">
        <v>52</v>
      </c>
      <c r="G362" s="36" t="n">
        <v>32</v>
      </c>
      <c r="H362" s="36" t="inlineStr">
        <is>
          <t>local</t>
        </is>
      </c>
      <c r="I362" s="36" t="inlineStr">
        <is>
          <t>property-local</t>
        </is>
      </c>
      <c r="J362" s="36" t="n">
        <v>5</v>
      </c>
      <c r="K362" s="36" t="inlineStr">
        <is>
          <t>https://instasure.ca/condo-insurance/ontario/milton/</t>
        </is>
      </c>
      <c r="L362" s="36">
        <f>IF(K362="","No","Yes")</f>
        <v/>
      </c>
      <c r="M362" s="39">
        <f>IF(K362="","",IFERROR(IF(ISNUMBER(SEARCH(A362,INDEX(Pages!$J$2:$J$829,MATCH(K362,Pages!$B$2:$B$829,0)))),"Yes","No"),"Page not found"))</f>
        <v/>
      </c>
      <c r="N362" s="25" t="inlineStr">
        <is>
          <t>(none seen)</t>
        </is>
      </c>
      <c r="O362" s="25" t="inlineStr">
        <is>
          <t>Page exists but is noindex until an editor adds a 300+ character local intro (Admin → SEO → Page overrides).</t>
        </is>
      </c>
      <c r="P362" s="40" t="n"/>
      <c r="Q362" s="38" t="n"/>
      <c r="R362" s="38" t="n"/>
    </row>
    <row r="363" ht="15" customHeight="1" s="22">
      <c r="A363" s="36" t="inlineStr">
        <is>
          <t>insurance advisor st johns</t>
        </is>
      </c>
      <c r="B363" s="36" t="inlineStr">
        <is>
          <t>Multi-line (place hubs)</t>
        </is>
      </c>
      <c r="C363" s="36" t="n"/>
      <c r="D363" s="36" t="inlineStr">
        <is>
          <t>Newfoundland and Labrador</t>
        </is>
      </c>
      <c r="E363" s="36" t="inlineStr">
        <is>
          <t>St. John’s</t>
        </is>
      </c>
      <c r="F363" s="37" t="n">
        <v>52</v>
      </c>
      <c r="G363" s="36" t="n">
        <v>30</v>
      </c>
      <c r="H363" s="36" t="inlineStr">
        <is>
          <t>local</t>
        </is>
      </c>
      <c r="I363" s="36" t="inlineStr">
        <is>
          <t>advisors</t>
        </is>
      </c>
      <c r="J363" s="36" t="n">
        <v>4</v>
      </c>
      <c r="K363" s="36" t="inlineStr">
        <is>
          <t>https://instasure.ca/insurance/newfoundland-and-labrador/st-johns/</t>
        </is>
      </c>
      <c r="L363" s="36">
        <f>IF(K363="","No","Yes")</f>
        <v/>
      </c>
      <c r="M363" s="39">
        <f>IF(K363="","",IFERROR(IF(ISNUMBER(SEARCH(A363,INDEX(Pages!$J$2:$J$829,MATCH(K363,Pages!$B$2:$B$829,0)))),"Yes","No"),"Page not found"))</f>
        <v/>
      </c>
      <c r="N363" s="25" t="inlineStr">
        <is>
          <t>local brokers, thinkinsure, rates.ca (broker pages)</t>
        </is>
      </c>
      <c r="O363" s="25" t="inlineStr">
        <is>
          <t>City hub. Add a Google Business Profile only where an advisor really works from that city.</t>
        </is>
      </c>
      <c r="P363" s="40" t="n"/>
      <c r="Q363" s="38" t="n"/>
      <c r="R363" s="38" t="n"/>
    </row>
    <row r="364" ht="23.85" customHeight="1" s="22">
      <c r="A364" s="36" t="inlineStr">
        <is>
          <t>life insurance moncton</t>
        </is>
      </c>
      <c r="B364" s="36" t="inlineStr">
        <is>
          <t>Life insurance</t>
        </is>
      </c>
      <c r="C364" s="36" t="inlineStr">
        <is>
          <t>Life Insurance</t>
        </is>
      </c>
      <c r="D364" s="36" t="inlineStr">
        <is>
          <t>New Brunswick</t>
        </is>
      </c>
      <c r="E364" s="36" t="inlineStr">
        <is>
          <t>Moncton</t>
        </is>
      </c>
      <c r="F364" s="37" t="n">
        <v>51</v>
      </c>
      <c r="G364" s="36" t="n">
        <v>27</v>
      </c>
      <c r="H364" s="36" t="inlineStr">
        <is>
          <t>local</t>
        </is>
      </c>
      <c r="I364" s="36" t="inlineStr">
        <is>
          <t>life-local</t>
        </is>
      </c>
      <c r="J364" s="36" t="n">
        <v>3</v>
      </c>
      <c r="K364" s="36" t="inlineStr">
        <is>
          <t>https://instasure.ca/life-insurance/new-brunswick/moncton/</t>
        </is>
      </c>
      <c r="L364" s="36">
        <f>IF(K364="","No","Yes")</f>
        <v/>
      </c>
      <c r="M364" s="39">
        <f>IF(K364="","",IFERROR(IF(ISNUMBER(SEARCH(A364,INDEX(Pages!$J$2:$J$829,MATCH(K364,Pages!$B$2:$B$829,0)))),"Yes","No"),"Page not found"))</f>
        <v/>
      </c>
      <c r="N364" s="25" t="inlineStr">
        <is>
          <t>(none seen)</t>
        </is>
      </c>
      <c r="O364" s="25" t="inlineStr">
        <is>
          <t>Page exists but is noindex until an editor adds a 300+ character local intro (Admin → SEO → Page overrides).</t>
        </is>
      </c>
      <c r="P364" s="40" t="n"/>
      <c r="Q364" s="38" t="n"/>
      <c r="R364" s="38" t="n"/>
    </row>
    <row r="365" ht="23.85" customHeight="1" s="22">
      <c r="A365" s="36" t="inlineStr">
        <is>
          <t>business insurance ajax</t>
        </is>
      </c>
      <c r="B365" s="36" t="inlineStr">
        <is>
          <t>Business insurance</t>
        </is>
      </c>
      <c r="C365" s="36" t="inlineStr">
        <is>
          <t>Business Insurance</t>
        </is>
      </c>
      <c r="D365" s="36" t="inlineStr">
        <is>
          <t>Ontario</t>
        </is>
      </c>
      <c r="E365" s="36" t="inlineStr">
        <is>
          <t>Ajax</t>
        </is>
      </c>
      <c r="F365" s="37" t="n">
        <v>50</v>
      </c>
      <c r="G365" s="36" t="n">
        <v>25</v>
      </c>
      <c r="H365" s="36" t="inlineStr">
        <is>
          <t>local</t>
        </is>
      </c>
      <c r="I365" s="36" t="inlineStr">
        <is>
          <t>business-local</t>
        </is>
      </c>
      <c r="J365" s="36" t="n">
        <v>4</v>
      </c>
      <c r="K365" s="36" t="inlineStr">
        <is>
          <t>https://instasure.ca/business-insurance/ontario/ajax/</t>
        </is>
      </c>
      <c r="L365" s="36">
        <f>IF(K365="","No","Yes")</f>
        <v/>
      </c>
      <c r="M365" s="39">
        <f>IF(K365="","",IFERROR(IF(ISNUMBER(SEARCH(A365,INDEX(Pages!$J$2:$J$829,MATCH(K365,Pages!$B$2:$B$829,0)))),"Yes","No"),"Page not found"))</f>
        <v/>
      </c>
      <c r="N365" s="25" t="inlineStr">
        <is>
          <t>(none seen)</t>
        </is>
      </c>
      <c r="O365" s="25" t="inlineStr">
        <is>
          <t>Page exists but is noindex until an editor adds a 300+ character local intro (Admin → SEO → Page overrides).</t>
        </is>
      </c>
      <c r="P365" s="40" t="n"/>
      <c r="Q365" s="38" t="n"/>
      <c r="R365" s="38" t="n"/>
    </row>
    <row r="366" ht="23.85" customHeight="1" s="22">
      <c r="A366" s="36" t="inlineStr">
        <is>
          <t>condo insurance ajax</t>
        </is>
      </c>
      <c r="B366" s="36" t="inlineStr">
        <is>
          <t>Condo insurance</t>
        </is>
      </c>
      <c r="C366" s="36" t="inlineStr">
        <is>
          <t>Condo Insurance</t>
        </is>
      </c>
      <c r="D366" s="36" t="inlineStr">
        <is>
          <t>Ontario</t>
        </is>
      </c>
      <c r="E366" s="36" t="inlineStr">
        <is>
          <t>Ajax</t>
        </is>
      </c>
      <c r="F366" s="37" t="n">
        <v>50</v>
      </c>
      <c r="G366" s="36" t="n">
        <v>32</v>
      </c>
      <c r="H366" s="36" t="inlineStr">
        <is>
          <t>local</t>
        </is>
      </c>
      <c r="I366" s="36" t="inlineStr">
        <is>
          <t>property-local</t>
        </is>
      </c>
      <c r="J366" s="36" t="n">
        <v>5</v>
      </c>
      <c r="K366" s="36" t="inlineStr">
        <is>
          <t>https://instasure.ca/condo-insurance/ontario/ajax/</t>
        </is>
      </c>
      <c r="L366" s="36">
        <f>IF(K366="","No","Yes")</f>
        <v/>
      </c>
      <c r="M366" s="39">
        <f>IF(K366="","",IFERROR(IF(ISNUMBER(SEARCH(A366,INDEX(Pages!$J$2:$J$829,MATCH(K366,Pages!$B$2:$B$829,0)))),"Yes","No"),"Page not found"))</f>
        <v/>
      </c>
      <c r="N366" s="25" t="inlineStr">
        <is>
          <t>(none seen)</t>
        </is>
      </c>
      <c r="O366" s="25" t="inlineStr">
        <is>
          <t>Page exists but is noindex until an editor adds a 300+ character local intro (Admin → SEO → Page overrides).</t>
        </is>
      </c>
      <c r="P366" s="40" t="n"/>
      <c r="Q366" s="38" t="n"/>
      <c r="R366" s="38" t="n"/>
    </row>
    <row r="367" ht="15" customHeight="1" s="22">
      <c r="A367" s="36" t="inlineStr">
        <is>
          <t>super visa insurance saskatoon</t>
        </is>
      </c>
      <c r="B367" s="36" t="inlineStr">
        <is>
          <t>Super Visa &amp; visitors insurance</t>
        </is>
      </c>
      <c r="C367" s="36" t="inlineStr">
        <is>
          <t>Super Visa Insurance</t>
        </is>
      </c>
      <c r="D367" s="36" t="inlineStr">
        <is>
          <t>Saskatchewan</t>
        </is>
      </c>
      <c r="E367" s="36" t="inlineStr">
        <is>
          <t>Saskatoon</t>
        </is>
      </c>
      <c r="F367" s="37" t="n">
        <v>49</v>
      </c>
      <c r="G367" s="36" t="n">
        <v>28</v>
      </c>
      <c r="H367" s="36" t="inlineStr">
        <is>
          <t>local</t>
        </is>
      </c>
      <c r="I367" s="36" t="inlineStr">
        <is>
          <t>travel-visitors</t>
        </is>
      </c>
      <c r="J367" s="36" t="n">
        <v>4</v>
      </c>
      <c r="K367" s="36" t="inlineStr">
        <is>
          <t>https://instasure.ca/super-visa-insurance/saskatchewan/saskatoon/</t>
        </is>
      </c>
      <c r="L367" s="36">
        <f>IF(K367="","No","Yes")</f>
        <v/>
      </c>
      <c r="M367" s="39">
        <f>IF(K367="","",IFERROR(IF(ISNUMBER(SEARCH(A367,INDEX(Pages!$J$2:$J$829,MATCH(K367,Pages!$B$2:$B$829,0)))),"Yes","No"),"Page not found"))</f>
        <v/>
      </c>
      <c r="N367" s="25" t="inlineStr">
        <is>
          <t>(none seen)</t>
        </is>
      </c>
      <c r="O367" s="25" t="n"/>
      <c r="P367" s="40" t="n"/>
      <c r="Q367" s="38" t="n"/>
      <c r="R367" s="38" t="n"/>
    </row>
    <row r="368" ht="15" customHeight="1" s="22">
      <c r="A368" s="36" t="inlineStr">
        <is>
          <t>business insurance quebec city</t>
        </is>
      </c>
      <c r="B368" s="36" t="inlineStr">
        <is>
          <t>Business insurance</t>
        </is>
      </c>
      <c r="C368" s="36" t="inlineStr">
        <is>
          <t>Business Insurance</t>
        </is>
      </c>
      <c r="D368" s="36" t="inlineStr">
        <is>
          <t>Quebec</t>
        </is>
      </c>
      <c r="E368" s="36" t="inlineStr">
        <is>
          <t>Quebec City</t>
        </is>
      </c>
      <c r="F368" s="37" t="n">
        <v>48</v>
      </c>
      <c r="G368" s="36" t="n">
        <v>33</v>
      </c>
      <c r="H368" s="36" t="inlineStr">
        <is>
          <t>local</t>
        </is>
      </c>
      <c r="I368" s="36" t="inlineStr">
        <is>
          <t>business-local</t>
        </is>
      </c>
      <c r="J368" s="36" t="n">
        <v>5</v>
      </c>
      <c r="K368" s="36" t="inlineStr">
        <is>
          <t>https://instasure.ca/business-insurance/quebec/quebec-city/</t>
        </is>
      </c>
      <c r="L368" s="36">
        <f>IF(K368="","No","Yes")</f>
        <v/>
      </c>
      <c r="M368" s="39">
        <f>IF(K368="","",IFERROR(IF(ISNUMBER(SEARCH(A368,INDEX(Pages!$J$2:$J$829,MATCH(K368,Pages!$B$2:$B$829,0)))),"Yes","No"),"Page not found"))</f>
        <v/>
      </c>
      <c r="N368" s="25" t="inlineStr">
        <is>
          <t>(none seen)</t>
        </is>
      </c>
      <c r="O368" s="25" t="inlineStr">
        <is>
          <t>Quebec waitlist until AMF registration.</t>
        </is>
      </c>
      <c r="P368" s="40" t="n"/>
      <c r="Q368" s="38" t="n"/>
      <c r="R368" s="38" t="n"/>
    </row>
    <row r="369" ht="23.85" customHeight="1" s="22">
      <c r="A369" s="36" t="inlineStr">
        <is>
          <t>business insurance waterloo</t>
        </is>
      </c>
      <c r="B369" s="36" t="inlineStr">
        <is>
          <t>Business insurance</t>
        </is>
      </c>
      <c r="C369" s="36" t="inlineStr">
        <is>
          <t>Business Insurance</t>
        </is>
      </c>
      <c r="D369" s="36" t="inlineStr">
        <is>
          <t>Ontario</t>
        </is>
      </c>
      <c r="E369" s="36" t="inlineStr">
        <is>
          <t>Waterloo</t>
        </is>
      </c>
      <c r="F369" s="37" t="n">
        <v>48</v>
      </c>
      <c r="G369" s="36" t="n">
        <v>33</v>
      </c>
      <c r="H369" s="36" t="inlineStr">
        <is>
          <t>local</t>
        </is>
      </c>
      <c r="I369" s="36" t="inlineStr">
        <is>
          <t>business-local</t>
        </is>
      </c>
      <c r="J369" s="36" t="n">
        <v>4</v>
      </c>
      <c r="K369" s="36" t="inlineStr">
        <is>
          <t>https://instasure.ca/business-insurance/ontario/waterloo/</t>
        </is>
      </c>
      <c r="L369" s="36">
        <f>IF(K369="","No","Yes")</f>
        <v/>
      </c>
      <c r="M369" s="39">
        <f>IF(K369="","",IFERROR(IF(ISNUMBER(SEARCH(A369,INDEX(Pages!$J$2:$J$829,MATCH(K369,Pages!$B$2:$B$829,0)))),"Yes","No"),"Page not found"))</f>
        <v/>
      </c>
      <c r="N369" s="25" t="inlineStr">
        <is>
          <t>(none seen)</t>
        </is>
      </c>
      <c r="O369" s="25" t="inlineStr">
        <is>
          <t>Page exists but is noindex until an editor adds a 300+ character local intro (Admin → SEO → Page overrides).</t>
        </is>
      </c>
      <c r="P369" s="40" t="n"/>
      <c r="Q369" s="38" t="n"/>
      <c r="R369" s="38" t="n"/>
    </row>
    <row r="370" ht="15" customHeight="1" s="22">
      <c r="A370" s="36" t="inlineStr">
        <is>
          <t>condo insurance quebec city</t>
        </is>
      </c>
      <c r="B370" s="36" t="inlineStr">
        <is>
          <t>Condo insurance</t>
        </is>
      </c>
      <c r="C370" s="36" t="inlineStr">
        <is>
          <t>Condo Insurance</t>
        </is>
      </c>
      <c r="D370" s="36" t="inlineStr">
        <is>
          <t>Quebec</t>
        </is>
      </c>
      <c r="E370" s="36" t="inlineStr">
        <is>
          <t>Quebec City</t>
        </is>
      </c>
      <c r="F370" s="37" t="n">
        <v>48</v>
      </c>
      <c r="G370" s="36" t="n">
        <v>40</v>
      </c>
      <c r="H370" s="36" t="inlineStr">
        <is>
          <t>local</t>
        </is>
      </c>
      <c r="I370" s="36" t="inlineStr">
        <is>
          <t>property-local</t>
        </is>
      </c>
      <c r="J370" s="36" t="n">
        <v>5</v>
      </c>
      <c r="K370" s="36" t="inlineStr">
        <is>
          <t>https://instasure.ca/condo-insurance/quebec/quebec-city/</t>
        </is>
      </c>
      <c r="L370" s="36">
        <f>IF(K370="","No","Yes")</f>
        <v/>
      </c>
      <c r="M370" s="39">
        <f>IF(K370="","",IFERROR(IF(ISNUMBER(SEARCH(A370,INDEX(Pages!$J$2:$J$829,MATCH(K370,Pages!$B$2:$B$829,0)))),"Yes","No"),"Page not found"))</f>
        <v/>
      </c>
      <c r="N370" s="25" t="inlineStr">
        <is>
          <t>(none seen)</t>
        </is>
      </c>
      <c r="O370" s="25" t="inlineStr">
        <is>
          <t>Quebec waitlist until AMF registration.</t>
        </is>
      </c>
      <c r="P370" s="40" t="n"/>
      <c r="Q370" s="38" t="n"/>
      <c r="R370" s="38" t="n"/>
    </row>
    <row r="371" ht="15" customHeight="1" s="22">
      <c r="A371" s="36" t="inlineStr">
        <is>
          <t>condo insurance waterloo</t>
        </is>
      </c>
      <c r="B371" s="36" t="inlineStr">
        <is>
          <t>Condo insurance</t>
        </is>
      </c>
      <c r="C371" s="36" t="inlineStr">
        <is>
          <t>Condo Insurance</t>
        </is>
      </c>
      <c r="D371" s="36" t="inlineStr">
        <is>
          <t>Ontario</t>
        </is>
      </c>
      <c r="E371" s="36" t="inlineStr">
        <is>
          <t>Waterloo</t>
        </is>
      </c>
      <c r="F371" s="37" t="n">
        <v>48</v>
      </c>
      <c r="G371" s="36" t="n">
        <v>40</v>
      </c>
      <c r="H371" s="36" t="inlineStr">
        <is>
          <t>local</t>
        </is>
      </c>
      <c r="I371" s="36" t="inlineStr">
        <is>
          <t>property-local</t>
        </is>
      </c>
      <c r="J371" s="36" t="n">
        <v>5</v>
      </c>
      <c r="K371" s="36" t="inlineStr">
        <is>
          <t>https://instasure.ca/condo-insurance/ontario/waterloo/</t>
        </is>
      </c>
      <c r="L371" s="36">
        <f>IF(K371="","No","Yes")</f>
        <v/>
      </c>
      <c r="M371" s="39">
        <f>IF(K371="","",IFERROR(IF(ISNUMBER(SEARCH(A371,INDEX(Pages!$J$2:$J$829,MATCH(K371,Pages!$B$2:$B$829,0)))),"Yes","No"),"Page not found"))</f>
        <v/>
      </c>
      <c r="N371" s="25" t="inlineStr">
        <is>
          <t>(none seen)</t>
        </is>
      </c>
      <c r="O371" s="25" t="n"/>
      <c r="P371" s="40" t="n"/>
      <c r="Q371" s="38" t="n"/>
      <c r="R371" s="38" t="n"/>
    </row>
    <row r="372" ht="23.85" customHeight="1" s="22">
      <c r="A372" s="36" t="inlineStr">
        <is>
          <t>life insurance airdrie</t>
        </is>
      </c>
      <c r="B372" s="36" t="inlineStr">
        <is>
          <t>Life insurance</t>
        </is>
      </c>
      <c r="C372" s="36" t="inlineStr">
        <is>
          <t>Life Insurance</t>
        </is>
      </c>
      <c r="D372" s="36" t="inlineStr">
        <is>
          <t>Alberta</t>
        </is>
      </c>
      <c r="E372" s="36" t="inlineStr">
        <is>
          <t>Airdrie</t>
        </is>
      </c>
      <c r="F372" s="37" t="n">
        <v>48</v>
      </c>
      <c r="G372" s="36" t="n">
        <v>19</v>
      </c>
      <c r="H372" s="36" t="inlineStr">
        <is>
          <t>local</t>
        </is>
      </c>
      <c r="I372" s="36" t="inlineStr">
        <is>
          <t>life-local</t>
        </is>
      </c>
      <c r="J372" s="36" t="n">
        <v>3</v>
      </c>
      <c r="K372" s="36" t="inlineStr">
        <is>
          <t>https://instasure.ca/life-insurance/alberta/airdrie/</t>
        </is>
      </c>
      <c r="L372" s="36">
        <f>IF(K372="","No","Yes")</f>
        <v/>
      </c>
      <c r="M372" s="39">
        <f>IF(K372="","",IFERROR(IF(ISNUMBER(SEARCH(A372,INDEX(Pages!$J$2:$J$829,MATCH(K372,Pages!$B$2:$B$829,0)))),"Yes","No"),"Page not found"))</f>
        <v/>
      </c>
      <c r="N372" s="25" t="inlineStr">
        <is>
          <t>(none seen)</t>
        </is>
      </c>
      <c r="O372" s="25" t="inlineStr">
        <is>
          <t>Page exists but is noindex until an editor adds a 300+ character local intro (Admin → SEO → Page overrides).</t>
        </is>
      </c>
      <c r="P372" s="40" t="n"/>
      <c r="Q372" s="38" t="n"/>
      <c r="R372" s="38" t="n"/>
    </row>
    <row r="373" ht="23.85" customHeight="1" s="22">
      <c r="A373" s="36" t="inlineStr">
        <is>
          <t>life insurance saint john</t>
        </is>
      </c>
      <c r="B373" s="36" t="inlineStr">
        <is>
          <t>Life insurance</t>
        </is>
      </c>
      <c r="C373" s="36" t="inlineStr">
        <is>
          <t>Life Insurance</t>
        </is>
      </c>
      <c r="D373" s="36" t="inlineStr">
        <is>
          <t>New Brunswick</t>
        </is>
      </c>
      <c r="E373" s="36" t="inlineStr">
        <is>
          <t>Saint John</t>
        </is>
      </c>
      <c r="F373" s="37" t="n">
        <v>46</v>
      </c>
      <c r="G373" s="36" t="n">
        <v>27</v>
      </c>
      <c r="H373" s="36" t="inlineStr">
        <is>
          <t>local</t>
        </is>
      </c>
      <c r="I373" s="36" t="inlineStr">
        <is>
          <t>life-local</t>
        </is>
      </c>
      <c r="J373" s="36" t="n">
        <v>3</v>
      </c>
      <c r="K373" s="36" t="inlineStr">
        <is>
          <t>https://instasure.ca/life-insurance/new-brunswick/saint-john/</t>
        </is>
      </c>
      <c r="L373" s="36">
        <f>IF(K373="","No","Yes")</f>
        <v/>
      </c>
      <c r="M373" s="39">
        <f>IF(K373="","",IFERROR(IF(ISNUMBER(SEARCH(A373,INDEX(Pages!$J$2:$J$829,MATCH(K373,Pages!$B$2:$B$829,0)))),"Yes","No"),"Page not found"))</f>
        <v/>
      </c>
      <c r="N373" s="25" t="inlineStr">
        <is>
          <t>(none seen)</t>
        </is>
      </c>
      <c r="O373" s="25" t="inlineStr">
        <is>
          <t>Page exists but is noindex until an editor adds a 300+ character local intro (Admin → SEO → Page overrides).</t>
        </is>
      </c>
      <c r="P373" s="40" t="n"/>
      <c r="Q373" s="38" t="n"/>
      <c r="R373" s="38" t="n"/>
    </row>
    <row r="374" ht="15" customHeight="1" s="22">
      <c r="A374" s="36" t="inlineStr">
        <is>
          <t>super visa insurance montreal</t>
        </is>
      </c>
      <c r="B374" s="36" t="inlineStr">
        <is>
          <t>Super Visa &amp; visitors insurance</t>
        </is>
      </c>
      <c r="C374" s="36" t="inlineStr">
        <is>
          <t>Super Visa Insurance</t>
        </is>
      </c>
      <c r="D374" s="36" t="inlineStr">
        <is>
          <t>Quebec</t>
        </is>
      </c>
      <c r="E374" s="36" t="inlineStr">
        <is>
          <t>Montreal</t>
        </is>
      </c>
      <c r="F374" s="37" t="n">
        <v>46</v>
      </c>
      <c r="G374" s="36" t="n">
        <v>28</v>
      </c>
      <c r="H374" s="36" t="inlineStr">
        <is>
          <t>local</t>
        </is>
      </c>
      <c r="I374" s="36" t="inlineStr">
        <is>
          <t>travel-visitors</t>
        </is>
      </c>
      <c r="J374" s="36" t="n">
        <v>5</v>
      </c>
      <c r="K374" s="36" t="inlineStr">
        <is>
          <t>https://instasure.ca/super-visa-insurance/quebec/montreal/</t>
        </is>
      </c>
      <c r="L374" s="36">
        <f>IF(K374="","No","Yes")</f>
        <v/>
      </c>
      <c r="M374" s="39">
        <f>IF(K374="","",IFERROR(IF(ISNUMBER(SEARCH(A374,INDEX(Pages!$J$2:$J$829,MATCH(K374,Pages!$B$2:$B$829,0)))),"Yes","No"),"Page not found"))</f>
        <v/>
      </c>
      <c r="N374" s="25" t="inlineStr">
        <is>
          <t>(none seen)</t>
        </is>
      </c>
      <c r="O374" s="25" t="inlineStr">
        <is>
          <t>Quebec waitlist until AMF registration.</t>
        </is>
      </c>
      <c r="P374" s="40" t="n"/>
      <c r="Q374" s="38" t="n"/>
      <c r="R374" s="38" t="n"/>
    </row>
    <row r="375" ht="15" customHeight="1" s="22">
      <c r="A375" s="36" t="inlineStr">
        <is>
          <t>business insurance st johns</t>
        </is>
      </c>
      <c r="B375" s="36" t="inlineStr">
        <is>
          <t>Business insurance</t>
        </is>
      </c>
      <c r="C375" s="36" t="inlineStr">
        <is>
          <t>Business Insurance</t>
        </is>
      </c>
      <c r="D375" s="36" t="inlineStr">
        <is>
          <t>Newfoundland and Labrador</t>
        </is>
      </c>
      <c r="E375" s="36" t="inlineStr">
        <is>
          <t>St. John’s</t>
        </is>
      </c>
      <c r="F375" s="37" t="n">
        <v>45</v>
      </c>
      <c r="G375" s="36" t="n">
        <v>33</v>
      </c>
      <c r="H375" s="36" t="inlineStr">
        <is>
          <t>local</t>
        </is>
      </c>
      <c r="I375" s="36" t="inlineStr">
        <is>
          <t>business-local</t>
        </is>
      </c>
      <c r="J375" s="36" t="n">
        <v>3</v>
      </c>
      <c r="K375" s="36" t="inlineStr">
        <is>
          <t>https://instasure.ca/business-insurance/newfoundland-and-labrador/st-johns/</t>
        </is>
      </c>
      <c r="L375" s="36">
        <f>IF(K375="","No","Yes")</f>
        <v/>
      </c>
      <c r="M375" s="39">
        <f>IF(K375="","",IFERROR(IF(ISNUMBER(SEARCH(A375,INDEX(Pages!$J$2:$J$829,MATCH(K375,Pages!$B$2:$B$829,0)))),"Yes","No"),"Page not found"))</f>
        <v/>
      </c>
      <c r="N375" s="25" t="inlineStr">
        <is>
          <t>(none seen)</t>
        </is>
      </c>
      <c r="O375" s="25" t="n"/>
      <c r="P375" s="40" t="n"/>
      <c r="Q375" s="38" t="n"/>
      <c r="R375" s="38" t="n"/>
    </row>
    <row r="376" ht="15" customHeight="1" s="22">
      <c r="A376" s="36" t="inlineStr">
        <is>
          <t>condo insurance st johns</t>
        </is>
      </c>
      <c r="B376" s="36" t="inlineStr">
        <is>
          <t>Condo insurance</t>
        </is>
      </c>
      <c r="C376" s="36" t="inlineStr">
        <is>
          <t>Condo Insurance</t>
        </is>
      </c>
      <c r="D376" s="36" t="inlineStr">
        <is>
          <t>Newfoundland and Labrador</t>
        </is>
      </c>
      <c r="E376" s="36" t="inlineStr">
        <is>
          <t>St. John’s</t>
        </is>
      </c>
      <c r="F376" s="37" t="n">
        <v>45</v>
      </c>
      <c r="G376" s="36" t="n">
        <v>40</v>
      </c>
      <c r="H376" s="36" t="inlineStr">
        <is>
          <t>local</t>
        </is>
      </c>
      <c r="I376" s="36" t="inlineStr">
        <is>
          <t>property-local</t>
        </is>
      </c>
      <c r="J376" s="36" t="n">
        <v>5</v>
      </c>
      <c r="K376" s="36" t="inlineStr">
        <is>
          <t>https://instasure.ca/condo-insurance/newfoundland-and-labrador/st-johns/</t>
        </is>
      </c>
      <c r="L376" s="36">
        <f>IF(K376="","No","Yes")</f>
        <v/>
      </c>
      <c r="M376" s="39">
        <f>IF(K376="","",IFERROR(IF(ISNUMBER(SEARCH(A376,INDEX(Pages!$J$2:$J$829,MATCH(K376,Pages!$B$2:$B$829,0)))),"Yes","No"),"Page not found"))</f>
        <v/>
      </c>
      <c r="N376" s="25" t="inlineStr">
        <is>
          <t>(none seen)</t>
        </is>
      </c>
      <c r="O376" s="25" t="n"/>
      <c r="P376" s="40" t="n"/>
      <c r="Q376" s="38" t="n"/>
      <c r="R376" s="38" t="n"/>
    </row>
    <row r="377" ht="15" customHeight="1" s="22">
      <c r="A377" s="36" t="inlineStr">
        <is>
          <t>super visa insurance hamilton</t>
        </is>
      </c>
      <c r="B377" s="36" t="inlineStr">
        <is>
          <t>Super Visa &amp; visitors insurance</t>
        </is>
      </c>
      <c r="C377" s="36" t="inlineStr">
        <is>
          <t>Super Visa Insurance</t>
        </is>
      </c>
      <c r="D377" s="36" t="inlineStr">
        <is>
          <t>Ontario</t>
        </is>
      </c>
      <c r="E377" s="36" t="inlineStr">
        <is>
          <t>Hamilton</t>
        </is>
      </c>
      <c r="F377" s="37" t="n">
        <v>45</v>
      </c>
      <c r="G377" s="36" t="n">
        <v>36</v>
      </c>
      <c r="H377" s="36" t="inlineStr">
        <is>
          <t>local</t>
        </is>
      </c>
      <c r="I377" s="36" t="inlineStr">
        <is>
          <t>travel-visitors</t>
        </is>
      </c>
      <c r="J377" s="36" t="n">
        <v>4</v>
      </c>
      <c r="K377" s="36" t="inlineStr">
        <is>
          <t>https://instasure.ca/super-visa-insurance/ontario/hamilton/</t>
        </is>
      </c>
      <c r="L377" s="36">
        <f>IF(K377="","No","Yes")</f>
        <v/>
      </c>
      <c r="M377" s="39">
        <f>IF(K377="","",IFERROR(IF(ISNUMBER(SEARCH(A377,INDEX(Pages!$J$2:$J$829,MATCH(K377,Pages!$B$2:$B$829,0)))),"Yes","No"),"Page not found"))</f>
        <v/>
      </c>
      <c r="N377" s="25" t="inlineStr">
        <is>
          <t>(none seen)</t>
        </is>
      </c>
      <c r="O377" s="25" t="n"/>
      <c r="P377" s="40" t="n"/>
      <c r="Q377" s="38" t="n"/>
      <c r="R377" s="38" t="n"/>
    </row>
    <row r="378" ht="23.85" customHeight="1" s="22">
      <c r="A378" s="36" t="inlineStr">
        <is>
          <t>business insurance thunder bay</t>
        </is>
      </c>
      <c r="B378" s="36" t="inlineStr">
        <is>
          <t>Business insurance</t>
        </is>
      </c>
      <c r="C378" s="36" t="inlineStr">
        <is>
          <t>Business Insurance</t>
        </is>
      </c>
      <c r="D378" s="36" t="inlineStr">
        <is>
          <t>Ontario</t>
        </is>
      </c>
      <c r="E378" s="36" t="inlineStr">
        <is>
          <t>Thunder Bay</t>
        </is>
      </c>
      <c r="F378" s="37" t="n">
        <v>44</v>
      </c>
      <c r="G378" s="36" t="n">
        <v>25</v>
      </c>
      <c r="H378" s="36" t="inlineStr">
        <is>
          <t>local</t>
        </is>
      </c>
      <c r="I378" s="36" t="inlineStr">
        <is>
          <t>business-local</t>
        </is>
      </c>
      <c r="J378" s="36" t="n">
        <v>4</v>
      </c>
      <c r="K378" s="36" t="inlineStr">
        <is>
          <t>https://instasure.ca/business-insurance/ontario/thunder-bay/</t>
        </is>
      </c>
      <c r="L378" s="36">
        <f>IF(K378="","No","Yes")</f>
        <v/>
      </c>
      <c r="M378" s="39">
        <f>IF(K378="","",IFERROR(IF(ISNUMBER(SEARCH(A378,INDEX(Pages!$J$2:$J$829,MATCH(K378,Pages!$B$2:$B$829,0)))),"Yes","No"),"Page not found"))</f>
        <v/>
      </c>
      <c r="N378" s="25" t="inlineStr">
        <is>
          <t>(none seen)</t>
        </is>
      </c>
      <c r="O378" s="25" t="inlineStr">
        <is>
          <t>Page exists but is noindex until an editor adds a 300+ character local intro (Admin → SEO → Page overrides).</t>
        </is>
      </c>
      <c r="P378" s="40" t="n"/>
      <c r="Q378" s="38" t="n"/>
      <c r="R378" s="38" t="n"/>
    </row>
    <row r="379" ht="23.85" customHeight="1" s="22">
      <c r="A379" s="36" t="inlineStr">
        <is>
          <t>condo insurance thunder bay</t>
        </is>
      </c>
      <c r="B379" s="36" t="inlineStr">
        <is>
          <t>Condo insurance</t>
        </is>
      </c>
      <c r="C379" s="36" t="inlineStr">
        <is>
          <t>Condo Insurance</t>
        </is>
      </c>
      <c r="D379" s="36" t="inlineStr">
        <is>
          <t>Ontario</t>
        </is>
      </c>
      <c r="E379" s="36" t="inlineStr">
        <is>
          <t>Thunder Bay</t>
        </is>
      </c>
      <c r="F379" s="37" t="n">
        <v>44</v>
      </c>
      <c r="G379" s="36" t="n">
        <v>32</v>
      </c>
      <c r="H379" s="36" t="inlineStr">
        <is>
          <t>local</t>
        </is>
      </c>
      <c r="I379" s="36" t="inlineStr">
        <is>
          <t>property-local</t>
        </is>
      </c>
      <c r="J379" s="36" t="n">
        <v>5</v>
      </c>
      <c r="K379" s="36" t="inlineStr">
        <is>
          <t>https://instasure.ca/condo-insurance/ontario/thunder-bay/</t>
        </is>
      </c>
      <c r="L379" s="36">
        <f>IF(K379="","No","Yes")</f>
        <v/>
      </c>
      <c r="M379" s="39">
        <f>IF(K379="","",IFERROR(IF(ISNUMBER(SEARCH(A379,INDEX(Pages!$J$2:$J$829,MATCH(K379,Pages!$B$2:$B$829,0)))),"Yes","No"),"Page not found"))</f>
        <v/>
      </c>
      <c r="N379" s="25" t="inlineStr">
        <is>
          <t>(none seen)</t>
        </is>
      </c>
      <c r="O379" s="25" t="inlineStr">
        <is>
          <t>Page exists but is noindex until an editor adds a 300+ character local intro (Admin → SEO → Page overrides).</t>
        </is>
      </c>
      <c r="P379" s="40" t="n"/>
      <c r="Q379" s="38" t="n"/>
      <c r="R379" s="38" t="n"/>
    </row>
    <row r="380" ht="15" customHeight="1" s="22">
      <c r="A380" s="36" t="inlineStr">
        <is>
          <t>insurance advisor victoria</t>
        </is>
      </c>
      <c r="B380" s="36" t="inlineStr">
        <is>
          <t>Multi-line (place hubs)</t>
        </is>
      </c>
      <c r="C380" s="36" t="n"/>
      <c r="D380" s="36" t="inlineStr">
        <is>
          <t>British Columbia</t>
        </is>
      </c>
      <c r="E380" s="36" t="inlineStr">
        <is>
          <t>Victoria</t>
        </is>
      </c>
      <c r="F380" s="37" t="n">
        <v>44</v>
      </c>
      <c r="G380" s="36" t="n">
        <v>30</v>
      </c>
      <c r="H380" s="36" t="inlineStr">
        <is>
          <t>local</t>
        </is>
      </c>
      <c r="I380" s="36" t="inlineStr">
        <is>
          <t>advisors</t>
        </is>
      </c>
      <c r="J380" s="36" t="n">
        <v>4</v>
      </c>
      <c r="K380" s="36" t="inlineStr">
        <is>
          <t>https://instasure.ca/insurance/british-columbia/victoria/</t>
        </is>
      </c>
      <c r="L380" s="36">
        <f>IF(K380="","No","Yes")</f>
        <v/>
      </c>
      <c r="M380" s="39">
        <f>IF(K380="","",IFERROR(IF(ISNUMBER(SEARCH(A380,INDEX(Pages!$J$2:$J$829,MATCH(K380,Pages!$B$2:$B$829,0)))),"Yes","No"),"Page not found"))</f>
        <v/>
      </c>
      <c r="N380" s="25" t="inlineStr">
        <is>
          <t>local brokers, thinkinsure, rates.ca (broker pages)</t>
        </is>
      </c>
      <c r="O380" s="25" t="inlineStr">
        <is>
          <t>City hub. Add a Google Business Profile only where an advisor really works from that city.</t>
        </is>
      </c>
      <c r="P380" s="40" t="n"/>
      <c r="Q380" s="38" t="n"/>
      <c r="R380" s="38" t="n"/>
    </row>
    <row r="381" ht="15" customHeight="1" s="22">
      <c r="A381" s="36" t="inlineStr">
        <is>
          <t>super visa insurance halifax</t>
        </is>
      </c>
      <c r="B381" s="36" t="inlineStr">
        <is>
          <t>Super Visa &amp; visitors insurance</t>
        </is>
      </c>
      <c r="C381" s="36" t="inlineStr">
        <is>
          <t>Super Visa Insurance</t>
        </is>
      </c>
      <c r="D381" s="36" t="inlineStr">
        <is>
          <t>Nova Scotia</t>
        </is>
      </c>
      <c r="E381" s="36" t="inlineStr">
        <is>
          <t>Halifax</t>
        </is>
      </c>
      <c r="F381" s="37" t="n">
        <v>44</v>
      </c>
      <c r="G381" s="36" t="n">
        <v>28</v>
      </c>
      <c r="H381" s="36" t="inlineStr">
        <is>
          <t>local</t>
        </is>
      </c>
      <c r="I381" s="36" t="inlineStr">
        <is>
          <t>travel-visitors</t>
        </is>
      </c>
      <c r="J381" s="36" t="n">
        <v>4</v>
      </c>
      <c r="K381" s="36" t="inlineStr">
        <is>
          <t>https://instasure.ca/super-visa-insurance/nova-scotia/halifax/</t>
        </is>
      </c>
      <c r="L381" s="36">
        <f>IF(K381="","No","Yes")</f>
        <v/>
      </c>
      <c r="M381" s="39">
        <f>IF(K381="","",IFERROR(IF(ISNUMBER(SEARCH(A381,INDEX(Pages!$J$2:$J$829,MATCH(K381,Pages!$B$2:$B$829,0)))),"Yes","No"),"Page not found"))</f>
        <v/>
      </c>
      <c r="N381" s="25" t="inlineStr">
        <is>
          <t>(none seen)</t>
        </is>
      </c>
      <c r="O381" s="25" t="n"/>
      <c r="P381" s="40" t="n"/>
      <c r="Q381" s="38" t="n"/>
      <c r="R381" s="38" t="n"/>
    </row>
    <row r="382" ht="23.85" customHeight="1" s="22">
      <c r="A382" s="36" t="inlineStr">
        <is>
          <t>life insurance gatineau</t>
        </is>
      </c>
      <c r="B382" s="36" t="inlineStr">
        <is>
          <t>Life insurance</t>
        </is>
      </c>
      <c r="C382" s="36" t="inlineStr">
        <is>
          <t>Life Insurance</t>
        </is>
      </c>
      <c r="D382" s="36" t="inlineStr">
        <is>
          <t>Quebec</t>
        </is>
      </c>
      <c r="E382" s="36" t="inlineStr">
        <is>
          <t>Gatineau</t>
        </is>
      </c>
      <c r="F382" s="37" t="n">
        <v>43</v>
      </c>
      <c r="G382" s="36" t="n">
        <v>27</v>
      </c>
      <c r="H382" s="36" t="inlineStr">
        <is>
          <t>local</t>
        </is>
      </c>
      <c r="I382" s="36" t="inlineStr">
        <is>
          <t>life-local</t>
        </is>
      </c>
      <c r="J382" s="36" t="n">
        <v>5</v>
      </c>
      <c r="K382" s="36" t="inlineStr">
        <is>
          <t>https://instasure.ca/life-insurance/quebec/gatineau/</t>
        </is>
      </c>
      <c r="L382" s="36">
        <f>IF(K382="","No","Yes")</f>
        <v/>
      </c>
      <c r="M382" s="39">
        <f>IF(K382="","",IFERROR(IF(ISNUMBER(SEARCH(A382,INDEX(Pages!$J$2:$J$829,MATCH(K382,Pages!$B$2:$B$829,0)))),"Yes","No"),"Page not found"))</f>
        <v/>
      </c>
      <c r="N382" s="25" t="inlineStr">
        <is>
          <t>(none seen)</t>
        </is>
      </c>
      <c r="O382" s="25" t="inlineStr">
        <is>
          <t>Page exists but is noindex until an editor adds a 300+ character local intro (Admin → SEO → Page overrides). Quebec waitlist until AMF registration.</t>
        </is>
      </c>
      <c r="P382" s="40" t="n"/>
      <c r="Q382" s="38" t="n"/>
      <c r="R382" s="38" t="n"/>
    </row>
    <row r="383" ht="15" customHeight="1" s="22">
      <c r="A383" s="36" t="inlineStr">
        <is>
          <t>super visa insurance regina</t>
        </is>
      </c>
      <c r="B383" s="36" t="inlineStr">
        <is>
          <t>Super Visa &amp; visitors insurance</t>
        </is>
      </c>
      <c r="C383" s="36" t="inlineStr">
        <is>
          <t>Super Visa Insurance</t>
        </is>
      </c>
      <c r="D383" s="36" t="inlineStr">
        <is>
          <t>Saskatchewan</t>
        </is>
      </c>
      <c r="E383" s="36" t="inlineStr">
        <is>
          <t>Regina</t>
        </is>
      </c>
      <c r="F383" s="37" t="n">
        <v>43</v>
      </c>
      <c r="G383" s="36" t="n">
        <v>28</v>
      </c>
      <c r="H383" s="36" t="inlineStr">
        <is>
          <t>local</t>
        </is>
      </c>
      <c r="I383" s="36" t="inlineStr">
        <is>
          <t>travel-visitors</t>
        </is>
      </c>
      <c r="J383" s="36" t="n">
        <v>4</v>
      </c>
      <c r="K383" s="36" t="inlineStr">
        <is>
          <t>https://instasure.ca/super-visa-insurance/saskatchewan/regina/</t>
        </is>
      </c>
      <c r="L383" s="36">
        <f>IF(K383="","No","Yes")</f>
        <v/>
      </c>
      <c r="M383" s="39">
        <f>IF(K383="","",IFERROR(IF(ISNUMBER(SEARCH(A383,INDEX(Pages!$J$2:$J$829,MATCH(K383,Pages!$B$2:$B$829,0)))),"Yes","No"),"Page not found"))</f>
        <v/>
      </c>
      <c r="N383" s="25" t="inlineStr">
        <is>
          <t>(none seen)</t>
        </is>
      </c>
      <c r="O383" s="25" t="n"/>
      <c r="P383" s="40" t="n"/>
      <c r="Q383" s="38" t="n"/>
      <c r="R383" s="38" t="n"/>
    </row>
    <row r="384" ht="23.85" customHeight="1" s="22">
      <c r="A384" s="36" t="inlineStr">
        <is>
          <t>life insurance fredericton</t>
        </is>
      </c>
      <c r="B384" s="36" t="inlineStr">
        <is>
          <t>Life insurance</t>
        </is>
      </c>
      <c r="C384" s="36" t="inlineStr">
        <is>
          <t>Life Insurance</t>
        </is>
      </c>
      <c r="D384" s="36" t="inlineStr">
        <is>
          <t>New Brunswick</t>
        </is>
      </c>
      <c r="E384" s="36" t="inlineStr">
        <is>
          <t>Fredericton</t>
        </is>
      </c>
      <c r="F384" s="37" t="n">
        <v>42</v>
      </c>
      <c r="G384" s="36" t="n">
        <v>27</v>
      </c>
      <c r="H384" s="36" t="inlineStr">
        <is>
          <t>local</t>
        </is>
      </c>
      <c r="I384" s="36" t="inlineStr">
        <is>
          <t>life-local</t>
        </is>
      </c>
      <c r="J384" s="36" t="n">
        <v>4</v>
      </c>
      <c r="K384" s="36" t="inlineStr">
        <is>
          <t>https://instasure.ca/life-insurance/new-brunswick/fredericton/</t>
        </is>
      </c>
      <c r="L384" s="36">
        <f>IF(K384="","No","Yes")</f>
        <v/>
      </c>
      <c r="M384" s="39">
        <f>IF(K384="","",IFERROR(IF(ISNUMBER(SEARCH(A384,INDEX(Pages!$J$2:$J$829,MATCH(K384,Pages!$B$2:$B$829,0)))),"Yes","No"),"Page not found"))</f>
        <v/>
      </c>
      <c r="N384" s="25" t="inlineStr">
        <is>
          <t>(none seen)</t>
        </is>
      </c>
      <c r="O384" s="25" t="inlineStr">
        <is>
          <t>Page exists but is noindex until an editor adds a 300+ character local intro (Admin → SEO → Page overrides).</t>
        </is>
      </c>
      <c r="P384" s="40" t="n"/>
      <c r="Q384" s="38" t="n"/>
      <c r="R384" s="38" t="n"/>
    </row>
    <row r="385" ht="15" customHeight="1" s="22">
      <c r="A385" s="36" t="inlineStr">
        <is>
          <t>tenant insurance charlottetown</t>
        </is>
      </c>
      <c r="B385" s="36" t="inlineStr">
        <is>
          <t>Tenant insurance</t>
        </is>
      </c>
      <c r="C385" s="36" t="inlineStr">
        <is>
          <t>Tenant Insurance</t>
        </is>
      </c>
      <c r="D385" s="36" t="inlineStr">
        <is>
          <t>Prince Edward Island</t>
        </is>
      </c>
      <c r="E385" s="36" t="inlineStr">
        <is>
          <t>Charlottetown</t>
        </is>
      </c>
      <c r="F385" s="37" t="n">
        <v>42</v>
      </c>
      <c r="G385" s="36" t="n">
        <v>32</v>
      </c>
      <c r="H385" s="36" t="inlineStr">
        <is>
          <t>local</t>
        </is>
      </c>
      <c r="I385" s="36" t="inlineStr">
        <is>
          <t>property-local</t>
        </is>
      </c>
      <c r="J385" s="36" t="n">
        <v>5</v>
      </c>
      <c r="K385" s="36" t="inlineStr">
        <is>
          <t>https://instasure.ca/tenant-insurance/prince-edward-island/charlottetown/</t>
        </is>
      </c>
      <c r="L385" s="36">
        <f>IF(K385="","No","Yes")</f>
        <v/>
      </c>
      <c r="M385" s="39">
        <f>IF(K385="","",IFERROR(IF(ISNUMBER(SEARCH(A385,INDEX(Pages!$J$2:$J$829,MATCH(K385,Pages!$B$2:$B$829,0)))),"Yes","No"),"Page not found"))</f>
        <v/>
      </c>
      <c r="N385" s="25" t="inlineStr">
        <is>
          <t>(none seen)</t>
        </is>
      </c>
      <c r="O385" s="25" t="n"/>
      <c r="P385" s="40" t="n"/>
      <c r="Q385" s="38" t="n"/>
      <c r="R385" s="38" t="n"/>
    </row>
    <row r="386" ht="23.85" customHeight="1" s="22">
      <c r="A386" s="36" t="inlineStr">
        <is>
          <t>tenant insurance sherbrooke</t>
        </is>
      </c>
      <c r="B386" s="36" t="inlineStr">
        <is>
          <t>Tenant insurance</t>
        </is>
      </c>
      <c r="C386" s="36" t="inlineStr">
        <is>
          <t>Tenant Insurance</t>
        </is>
      </c>
      <c r="D386" s="36" t="inlineStr">
        <is>
          <t>Quebec</t>
        </is>
      </c>
      <c r="E386" s="36" t="inlineStr">
        <is>
          <t>Sherbrooke</t>
        </is>
      </c>
      <c r="F386" s="37" t="n">
        <v>42</v>
      </c>
      <c r="G386" s="36" t="n">
        <v>24</v>
      </c>
      <c r="H386" s="36" t="inlineStr">
        <is>
          <t>local</t>
        </is>
      </c>
      <c r="I386" s="36" t="inlineStr">
        <is>
          <t>property-local</t>
        </is>
      </c>
      <c r="J386" s="36" t="n">
        <v>5</v>
      </c>
      <c r="K386" s="36" t="inlineStr">
        <is>
          <t>https://instasure.ca/tenant-insurance/quebec/sherbrooke/</t>
        </is>
      </c>
      <c r="L386" s="36">
        <f>IF(K386="","No","Yes")</f>
        <v/>
      </c>
      <c r="M386" s="39">
        <f>IF(K386="","",IFERROR(IF(ISNUMBER(SEARCH(A386,INDEX(Pages!$J$2:$J$829,MATCH(K386,Pages!$B$2:$B$829,0)))),"Yes","No"),"Page not found"))</f>
        <v/>
      </c>
      <c r="N386" s="25" t="inlineStr">
        <is>
          <t>(none seen)</t>
        </is>
      </c>
      <c r="O386" s="25" t="inlineStr">
        <is>
          <t>Page exists but is noindex until an editor adds a 300+ character local intro (Admin → SEO → Page overrides). Quebec waitlist until AMF registration.</t>
        </is>
      </c>
      <c r="P386" s="40" t="n"/>
      <c r="Q386" s="38" t="n"/>
      <c r="R386" s="38" t="n"/>
    </row>
    <row r="387" ht="23.85" customHeight="1" s="22">
      <c r="A387" s="36" t="inlineStr">
        <is>
          <t>business insurance lethbridge</t>
        </is>
      </c>
      <c r="B387" s="36" t="inlineStr">
        <is>
          <t>Business insurance</t>
        </is>
      </c>
      <c r="C387" s="36" t="inlineStr">
        <is>
          <t>Business Insurance</t>
        </is>
      </c>
      <c r="D387" s="36" t="inlineStr">
        <is>
          <t>Alberta</t>
        </is>
      </c>
      <c r="E387" s="36" t="inlineStr">
        <is>
          <t>Lethbridge</t>
        </is>
      </c>
      <c r="F387" s="37" t="n">
        <v>41</v>
      </c>
      <c r="G387" s="36" t="n">
        <v>25</v>
      </c>
      <c r="H387" s="36" t="inlineStr">
        <is>
          <t>local</t>
        </is>
      </c>
      <c r="I387" s="36" t="inlineStr">
        <is>
          <t>business-local</t>
        </is>
      </c>
      <c r="J387" s="36" t="n">
        <v>4</v>
      </c>
      <c r="K387" s="36" t="inlineStr">
        <is>
          <t>https://instasure.ca/business-insurance/alberta/lethbridge/</t>
        </is>
      </c>
      <c r="L387" s="36">
        <f>IF(K387="","No","Yes")</f>
        <v/>
      </c>
      <c r="M387" s="39">
        <f>IF(K387="","",IFERROR(IF(ISNUMBER(SEARCH(A387,INDEX(Pages!$J$2:$J$829,MATCH(K387,Pages!$B$2:$B$829,0)))),"Yes","No"),"Page not found"))</f>
        <v/>
      </c>
      <c r="N387" s="25" t="inlineStr">
        <is>
          <t>(none seen)</t>
        </is>
      </c>
      <c r="O387" s="25" t="inlineStr">
        <is>
          <t>Page exists but is noindex until an editor adds a 300+ character local intro (Admin → SEO → Page overrides).</t>
        </is>
      </c>
      <c r="P387" s="40" t="n"/>
      <c r="Q387" s="38" t="n"/>
      <c r="R387" s="38" t="n"/>
    </row>
    <row r="388" ht="23.85" customHeight="1" s="22">
      <c r="A388" s="36" t="inlineStr">
        <is>
          <t>business insurance pickering</t>
        </is>
      </c>
      <c r="B388" s="36" t="inlineStr">
        <is>
          <t>Business insurance</t>
        </is>
      </c>
      <c r="C388" s="36" t="inlineStr">
        <is>
          <t>Business Insurance</t>
        </is>
      </c>
      <c r="D388" s="36" t="inlineStr">
        <is>
          <t>Ontario</t>
        </is>
      </c>
      <c r="E388" s="36" t="inlineStr">
        <is>
          <t>Pickering</t>
        </is>
      </c>
      <c r="F388" s="37" t="n">
        <v>41</v>
      </c>
      <c r="G388" s="36" t="n">
        <v>25</v>
      </c>
      <c r="H388" s="36" t="inlineStr">
        <is>
          <t>local</t>
        </is>
      </c>
      <c r="I388" s="36" t="inlineStr">
        <is>
          <t>business-local</t>
        </is>
      </c>
      <c r="J388" s="36" t="n">
        <v>4</v>
      </c>
      <c r="K388" s="36" t="inlineStr">
        <is>
          <t>https://instasure.ca/business-insurance/ontario/pickering/</t>
        </is>
      </c>
      <c r="L388" s="36">
        <f>IF(K388="","No","Yes")</f>
        <v/>
      </c>
      <c r="M388" s="39">
        <f>IF(K388="","",IFERROR(IF(ISNUMBER(SEARCH(A388,INDEX(Pages!$J$2:$J$829,MATCH(K388,Pages!$B$2:$B$829,0)))),"Yes","No"),"Page not found"))</f>
        <v/>
      </c>
      <c r="N388" s="25" t="inlineStr">
        <is>
          <t>(none seen)</t>
        </is>
      </c>
      <c r="O388" s="25" t="inlineStr">
        <is>
          <t>Page exists but is noindex until an editor adds a 300+ character local intro (Admin → SEO → Page overrides).</t>
        </is>
      </c>
      <c r="P388" s="40" t="n"/>
      <c r="Q388" s="38" t="n"/>
      <c r="R388" s="38" t="n"/>
    </row>
    <row r="389" ht="23.85" customHeight="1" s="22">
      <c r="A389" s="36" t="inlineStr">
        <is>
          <t>business insurance red deer</t>
        </is>
      </c>
      <c r="B389" s="36" t="inlineStr">
        <is>
          <t>Business insurance</t>
        </is>
      </c>
      <c r="C389" s="36" t="inlineStr">
        <is>
          <t>Business Insurance</t>
        </is>
      </c>
      <c r="D389" s="36" t="inlineStr">
        <is>
          <t>Alberta</t>
        </is>
      </c>
      <c r="E389" s="36" t="inlineStr">
        <is>
          <t>Red Deer</t>
        </is>
      </c>
      <c r="F389" s="37" t="n">
        <v>41</v>
      </c>
      <c r="G389" s="36" t="n">
        <v>25</v>
      </c>
      <c r="H389" s="36" t="inlineStr">
        <is>
          <t>local</t>
        </is>
      </c>
      <c r="I389" s="36" t="inlineStr">
        <is>
          <t>business-local</t>
        </is>
      </c>
      <c r="J389" s="36" t="n">
        <v>4</v>
      </c>
      <c r="K389" s="36" t="inlineStr">
        <is>
          <t>https://instasure.ca/business-insurance/alberta/red-deer/</t>
        </is>
      </c>
      <c r="L389" s="36">
        <f>IF(K389="","No","Yes")</f>
        <v/>
      </c>
      <c r="M389" s="39">
        <f>IF(K389="","",IFERROR(IF(ISNUMBER(SEARCH(A389,INDEX(Pages!$J$2:$J$829,MATCH(K389,Pages!$B$2:$B$829,0)))),"Yes","No"),"Page not found"))</f>
        <v/>
      </c>
      <c r="N389" s="25" t="inlineStr">
        <is>
          <t>(none seen)</t>
        </is>
      </c>
      <c r="O389" s="25" t="inlineStr">
        <is>
          <t>Page exists but is noindex until an editor adds a 300+ character local intro (Admin → SEO → Page overrides).</t>
        </is>
      </c>
      <c r="P389" s="40" t="n"/>
      <c r="Q389" s="38" t="n"/>
      <c r="R389" s="38" t="n"/>
    </row>
    <row r="390" ht="15" customHeight="1" s="22">
      <c r="A390" s="36" t="inlineStr">
        <is>
          <t>condo insurance lethbridge</t>
        </is>
      </c>
      <c r="B390" s="36" t="inlineStr">
        <is>
          <t>Condo insurance</t>
        </is>
      </c>
      <c r="C390" s="36" t="inlineStr">
        <is>
          <t>Condo Insurance</t>
        </is>
      </c>
      <c r="D390" s="36" t="inlineStr">
        <is>
          <t>Alberta</t>
        </is>
      </c>
      <c r="E390" s="36" t="inlineStr">
        <is>
          <t>Lethbridge</t>
        </is>
      </c>
      <c r="F390" s="37" t="n">
        <v>41</v>
      </c>
      <c r="G390" s="36" t="n">
        <v>32</v>
      </c>
      <c r="H390" s="36" t="inlineStr">
        <is>
          <t>local</t>
        </is>
      </c>
      <c r="I390" s="36" t="inlineStr">
        <is>
          <t>property-local</t>
        </is>
      </c>
      <c r="J390" s="36" t="n">
        <v>5</v>
      </c>
      <c r="K390" s="36" t="inlineStr">
        <is>
          <t>https://instasure.ca/condo-insurance/alberta/lethbridge/</t>
        </is>
      </c>
      <c r="L390" s="36">
        <f>IF(K390="","No","Yes")</f>
        <v/>
      </c>
      <c r="M390" s="39">
        <f>IF(K390="","",IFERROR(IF(ISNUMBER(SEARCH(A390,INDEX(Pages!$J$2:$J$829,MATCH(K390,Pages!$B$2:$B$829,0)))),"Yes","No"),"Page not found"))</f>
        <v/>
      </c>
      <c r="N390" s="25" t="inlineStr">
        <is>
          <t>(none seen)</t>
        </is>
      </c>
      <c r="O390" s="25" t="n"/>
      <c r="P390" s="40" t="n"/>
      <c r="Q390" s="38" t="n"/>
      <c r="R390" s="38" t="n"/>
    </row>
    <row r="391" ht="23.85" customHeight="1" s="22">
      <c r="A391" s="36" t="inlineStr">
        <is>
          <t>condo insurance pickering</t>
        </is>
      </c>
      <c r="B391" s="36" t="inlineStr">
        <is>
          <t>Condo insurance</t>
        </is>
      </c>
      <c r="C391" s="36" t="inlineStr">
        <is>
          <t>Condo Insurance</t>
        </is>
      </c>
      <c r="D391" s="36" t="inlineStr">
        <is>
          <t>Ontario</t>
        </is>
      </c>
      <c r="E391" s="36" t="inlineStr">
        <is>
          <t>Pickering</t>
        </is>
      </c>
      <c r="F391" s="37" t="n">
        <v>41</v>
      </c>
      <c r="G391" s="36" t="n">
        <v>32</v>
      </c>
      <c r="H391" s="36" t="inlineStr">
        <is>
          <t>local</t>
        </is>
      </c>
      <c r="I391" s="36" t="inlineStr">
        <is>
          <t>property-local</t>
        </is>
      </c>
      <c r="J391" s="36" t="n">
        <v>5</v>
      </c>
      <c r="K391" s="36" t="inlineStr">
        <is>
          <t>https://instasure.ca/condo-insurance/ontario/pickering/</t>
        </is>
      </c>
      <c r="L391" s="36">
        <f>IF(K391="","No","Yes")</f>
        <v/>
      </c>
      <c r="M391" s="39">
        <f>IF(K391="","",IFERROR(IF(ISNUMBER(SEARCH(A391,INDEX(Pages!$J$2:$J$829,MATCH(K391,Pages!$B$2:$B$829,0)))),"Yes","No"),"Page not found"))</f>
        <v/>
      </c>
      <c r="N391" s="25" t="inlineStr">
        <is>
          <t>(none seen)</t>
        </is>
      </c>
      <c r="O391" s="25" t="inlineStr">
        <is>
          <t>Page exists but is noindex until an editor adds a 300+ character local intro (Admin → SEO → Page overrides).</t>
        </is>
      </c>
      <c r="P391" s="40" t="n"/>
      <c r="Q391" s="38" t="n"/>
      <c r="R391" s="38" t="n"/>
    </row>
    <row r="392" ht="15" customHeight="1" s="22">
      <c r="A392" s="36" t="inlineStr">
        <is>
          <t>condo insurance red deer</t>
        </is>
      </c>
      <c r="B392" s="36" t="inlineStr">
        <is>
          <t>Condo insurance</t>
        </is>
      </c>
      <c r="C392" s="36" t="inlineStr">
        <is>
          <t>Condo Insurance</t>
        </is>
      </c>
      <c r="D392" s="36" t="inlineStr">
        <is>
          <t>Alberta</t>
        </is>
      </c>
      <c r="E392" s="36" t="inlineStr">
        <is>
          <t>Red Deer</t>
        </is>
      </c>
      <c r="F392" s="37" t="n">
        <v>41</v>
      </c>
      <c r="G392" s="36" t="n">
        <v>32</v>
      </c>
      <c r="H392" s="36" t="inlineStr">
        <is>
          <t>local</t>
        </is>
      </c>
      <c r="I392" s="36" t="inlineStr">
        <is>
          <t>property-local</t>
        </is>
      </c>
      <c r="J392" s="36" t="n">
        <v>5</v>
      </c>
      <c r="K392" s="36" t="inlineStr">
        <is>
          <t>https://instasure.ca/condo-insurance/alberta/red-deer/</t>
        </is>
      </c>
      <c r="L392" s="36">
        <f>IF(K392="","No","Yes")</f>
        <v/>
      </c>
      <c r="M392" s="39">
        <f>IF(K392="","",IFERROR(IF(ISNUMBER(SEARCH(A392,INDEX(Pages!$J$2:$J$829,MATCH(K392,Pages!$B$2:$B$829,0)))),"Yes","No"),"Page not found"))</f>
        <v/>
      </c>
      <c r="N392" s="25" t="inlineStr">
        <is>
          <t>(none seen)</t>
        </is>
      </c>
      <c r="O392" s="25" t="n"/>
      <c r="P392" s="40" t="n"/>
      <c r="Q392" s="38" t="n"/>
      <c r="R392" s="38" t="n"/>
    </row>
    <row r="393" ht="15" customHeight="1" s="22">
      <c r="A393" s="36" t="inlineStr">
        <is>
          <t>business insurance laval</t>
        </is>
      </c>
      <c r="B393" s="36" t="inlineStr">
        <is>
          <t>Business insurance</t>
        </is>
      </c>
      <c r="C393" s="36" t="inlineStr">
        <is>
          <t>Business Insurance</t>
        </is>
      </c>
      <c r="D393" s="36" t="inlineStr">
        <is>
          <t>Quebec</t>
        </is>
      </c>
      <c r="E393" s="36" t="inlineStr">
        <is>
          <t>Laval</t>
        </is>
      </c>
      <c r="F393" s="37" t="n">
        <v>40</v>
      </c>
      <c r="G393" s="36" t="n">
        <v>33</v>
      </c>
      <c r="H393" s="36" t="inlineStr">
        <is>
          <t>local</t>
        </is>
      </c>
      <c r="I393" s="36" t="inlineStr">
        <is>
          <t>business-local</t>
        </is>
      </c>
      <c r="J393" s="36" t="n">
        <v>5</v>
      </c>
      <c r="K393" s="36" t="inlineStr">
        <is>
          <t>https://instasure.ca/business-insurance/quebec/laval/</t>
        </is>
      </c>
      <c r="L393" s="36">
        <f>IF(K393="","No","Yes")</f>
        <v/>
      </c>
      <c r="M393" s="39">
        <f>IF(K393="","",IFERROR(IF(ISNUMBER(SEARCH(A393,INDEX(Pages!$J$2:$J$829,MATCH(K393,Pages!$B$2:$B$829,0)))),"Yes","No"),"Page not found"))</f>
        <v/>
      </c>
      <c r="N393" s="25" t="inlineStr">
        <is>
          <t>(none seen)</t>
        </is>
      </c>
      <c r="O393" s="25" t="inlineStr">
        <is>
          <t>Quebec waitlist until AMF registration.</t>
        </is>
      </c>
      <c r="P393" s="40" t="n"/>
      <c r="Q393" s="38" t="n"/>
      <c r="R393" s="38" t="n"/>
    </row>
    <row r="394" ht="15" customHeight="1" s="22">
      <c r="A394" s="36" t="inlineStr">
        <is>
          <t>condo insurance laval</t>
        </is>
      </c>
      <c r="B394" s="36" t="inlineStr">
        <is>
          <t>Condo insurance</t>
        </is>
      </c>
      <c r="C394" s="36" t="inlineStr">
        <is>
          <t>Condo Insurance</t>
        </is>
      </c>
      <c r="D394" s="36" t="inlineStr">
        <is>
          <t>Quebec</t>
        </is>
      </c>
      <c r="E394" s="36" t="inlineStr">
        <is>
          <t>Laval</t>
        </is>
      </c>
      <c r="F394" s="37" t="n">
        <v>40</v>
      </c>
      <c r="G394" s="36" t="n">
        <v>40</v>
      </c>
      <c r="H394" s="36" t="inlineStr">
        <is>
          <t>local</t>
        </is>
      </c>
      <c r="I394" s="36" t="inlineStr">
        <is>
          <t>property-local</t>
        </is>
      </c>
      <c r="J394" s="36" t="n">
        <v>5</v>
      </c>
      <c r="K394" s="36" t="inlineStr">
        <is>
          <t>https://instasure.ca/condo-insurance/quebec/laval/</t>
        </is>
      </c>
      <c r="L394" s="36">
        <f>IF(K394="","No","Yes")</f>
        <v/>
      </c>
      <c r="M394" s="39">
        <f>IF(K394="","",IFERROR(IF(ISNUMBER(SEARCH(A394,INDEX(Pages!$J$2:$J$829,MATCH(K394,Pages!$B$2:$B$829,0)))),"Yes","No"),"Page not found"))</f>
        <v/>
      </c>
      <c r="N394" s="25" t="inlineStr">
        <is>
          <t>(none seen)</t>
        </is>
      </c>
      <c r="O394" s="25" t="inlineStr">
        <is>
          <t>Quebec waitlist until AMF registration.</t>
        </is>
      </c>
      <c r="P394" s="40" t="n"/>
      <c r="Q394" s="38" t="n"/>
      <c r="R394" s="38" t="n"/>
    </row>
    <row r="395" ht="15" customHeight="1" s="22">
      <c r="A395" s="36" t="inlineStr">
        <is>
          <t>business insurance victoria</t>
        </is>
      </c>
      <c r="B395" s="36" t="inlineStr">
        <is>
          <t>Business insurance</t>
        </is>
      </c>
      <c r="C395" s="36" t="inlineStr">
        <is>
          <t>Business Insurance</t>
        </is>
      </c>
      <c r="D395" s="36" t="inlineStr">
        <is>
          <t>British Columbia</t>
        </is>
      </c>
      <c r="E395" s="36" t="inlineStr">
        <is>
          <t>Victoria</t>
        </is>
      </c>
      <c r="F395" s="37" t="n">
        <v>39</v>
      </c>
      <c r="G395" s="36" t="n">
        <v>33</v>
      </c>
      <c r="H395" s="36" t="inlineStr">
        <is>
          <t>local</t>
        </is>
      </c>
      <c r="I395" s="36" t="inlineStr">
        <is>
          <t>business-local</t>
        </is>
      </c>
      <c r="J395" s="36" t="n">
        <v>3</v>
      </c>
      <c r="K395" s="36" t="inlineStr">
        <is>
          <t>https://instasure.ca/business-insurance/british-columbia/victoria/</t>
        </is>
      </c>
      <c r="L395" s="36">
        <f>IF(K395="","No","Yes")</f>
        <v/>
      </c>
      <c r="M395" s="39">
        <f>IF(K395="","",IFERROR(IF(ISNUMBER(SEARCH(A395,INDEX(Pages!$J$2:$J$829,MATCH(K395,Pages!$B$2:$B$829,0)))),"Yes","No"),"Page not found"))</f>
        <v/>
      </c>
      <c r="N395" s="25" t="inlineStr">
        <is>
          <t>(none seen)</t>
        </is>
      </c>
      <c r="O395" s="25" t="n"/>
      <c r="P395" s="40" t="n"/>
      <c r="Q395" s="38" t="n"/>
      <c r="R395" s="38" t="n"/>
    </row>
    <row r="396" ht="15" customHeight="1" s="22">
      <c r="A396" s="36" t="inlineStr">
        <is>
          <t>condo insurance victoria</t>
        </is>
      </c>
      <c r="B396" s="36" t="inlineStr">
        <is>
          <t>Condo insurance</t>
        </is>
      </c>
      <c r="C396" s="36" t="inlineStr">
        <is>
          <t>Condo Insurance</t>
        </is>
      </c>
      <c r="D396" s="36" t="inlineStr">
        <is>
          <t>British Columbia</t>
        </is>
      </c>
      <c r="E396" s="36" t="inlineStr">
        <is>
          <t>Victoria</t>
        </is>
      </c>
      <c r="F396" s="37" t="n">
        <v>39</v>
      </c>
      <c r="G396" s="36" t="n">
        <v>40</v>
      </c>
      <c r="H396" s="36" t="inlineStr">
        <is>
          <t>local</t>
        </is>
      </c>
      <c r="I396" s="36" t="inlineStr">
        <is>
          <t>property-local</t>
        </is>
      </c>
      <c r="J396" s="36" t="n">
        <v>5</v>
      </c>
      <c r="K396" s="36" t="inlineStr">
        <is>
          <t>https://instasure.ca/condo-insurance/british-columbia/victoria/</t>
        </is>
      </c>
      <c r="L396" s="36">
        <f>IF(K396="","No","Yes")</f>
        <v/>
      </c>
      <c r="M396" s="39">
        <f>IF(K396="","",IFERROR(IF(ISNUMBER(SEARCH(A396,INDEX(Pages!$J$2:$J$829,MATCH(K396,Pages!$B$2:$B$829,0)))),"Yes","No"),"Page not found"))</f>
        <v/>
      </c>
      <c r="N396" s="25" t="inlineStr">
        <is>
          <t>(none seen)</t>
        </is>
      </c>
      <c r="O396" s="25" t="n"/>
      <c r="P396" s="40" t="n"/>
      <c r="Q396" s="38" t="n"/>
      <c r="R396" s="38" t="n"/>
    </row>
    <row r="397" ht="23.85" customHeight="1" s="22">
      <c r="A397" s="36" t="inlineStr">
        <is>
          <t>life insurance longueuil</t>
        </is>
      </c>
      <c r="B397" s="36" t="inlineStr">
        <is>
          <t>Life insurance</t>
        </is>
      </c>
      <c r="C397" s="36" t="inlineStr">
        <is>
          <t>Life Insurance</t>
        </is>
      </c>
      <c r="D397" s="36" t="inlineStr">
        <is>
          <t>Quebec</t>
        </is>
      </c>
      <c r="E397" s="36" t="inlineStr">
        <is>
          <t>Longueuil</t>
        </is>
      </c>
      <c r="F397" s="37" t="n">
        <v>39</v>
      </c>
      <c r="G397" s="36" t="n">
        <v>27</v>
      </c>
      <c r="H397" s="36" t="inlineStr">
        <is>
          <t>local</t>
        </is>
      </c>
      <c r="I397" s="36" t="inlineStr">
        <is>
          <t>life-local</t>
        </is>
      </c>
      <c r="J397" s="36" t="n">
        <v>5</v>
      </c>
      <c r="K397" s="36" t="inlineStr">
        <is>
          <t>https://instasure.ca/life-insurance/quebec/longueuil/</t>
        </is>
      </c>
      <c r="L397" s="36">
        <f>IF(K397="","No","Yes")</f>
        <v/>
      </c>
      <c r="M397" s="39">
        <f>IF(K397="","",IFERROR(IF(ISNUMBER(SEARCH(A397,INDEX(Pages!$J$2:$J$829,MATCH(K397,Pages!$B$2:$B$829,0)))),"Yes","No"),"Page not found"))</f>
        <v/>
      </c>
      <c r="N397" s="25" t="inlineStr">
        <is>
          <t>(none seen)</t>
        </is>
      </c>
      <c r="O397" s="25" t="inlineStr">
        <is>
          <t>Page exists but is noindex until an editor adds a 300+ character local intro (Admin → SEO → Page overrides). Quebec waitlist until AMF registration.</t>
        </is>
      </c>
      <c r="P397" s="40" t="n"/>
      <c r="Q397" s="38" t="n"/>
      <c r="R397" s="38" t="n"/>
    </row>
    <row r="398" ht="23.85" customHeight="1" s="22">
      <c r="A398" s="36" t="inlineStr">
        <is>
          <t>life insurance brandon</t>
        </is>
      </c>
      <c r="B398" s="36" t="inlineStr">
        <is>
          <t>Life insurance</t>
        </is>
      </c>
      <c r="C398" s="36" t="inlineStr">
        <is>
          <t>Life Insurance</t>
        </is>
      </c>
      <c r="D398" s="36" t="inlineStr">
        <is>
          <t>Manitoba</t>
        </is>
      </c>
      <c r="E398" s="36" t="inlineStr">
        <is>
          <t>Brandon</t>
        </is>
      </c>
      <c r="F398" s="37" t="n">
        <v>36</v>
      </c>
      <c r="G398" s="36" t="n">
        <v>19</v>
      </c>
      <c r="H398" s="36" t="inlineStr">
        <is>
          <t>local</t>
        </is>
      </c>
      <c r="I398" s="36" t="inlineStr">
        <is>
          <t>life-local</t>
        </is>
      </c>
      <c r="J398" s="36" t="n">
        <v>3</v>
      </c>
      <c r="K398" s="36" t="inlineStr">
        <is>
          <t>https://instasure.ca/life-insurance/manitoba/brandon/</t>
        </is>
      </c>
      <c r="L398" s="36">
        <f>IF(K398="","No","Yes")</f>
        <v/>
      </c>
      <c r="M398" s="39">
        <f>IF(K398="","",IFERROR(IF(ISNUMBER(SEARCH(A398,INDEX(Pages!$J$2:$J$829,MATCH(K398,Pages!$B$2:$B$829,0)))),"Yes","No"),"Page not found"))</f>
        <v/>
      </c>
      <c r="N398" s="25" t="inlineStr">
        <is>
          <t>(none seen)</t>
        </is>
      </c>
      <c r="O398" s="25" t="inlineStr">
        <is>
          <t>Page exists but is noindex until an editor adds a 300+ character local intro (Admin → SEO → Page overrides).</t>
        </is>
      </c>
      <c r="P398" s="40" t="n"/>
      <c r="Q398" s="38" t="n"/>
      <c r="R398" s="38" t="n"/>
    </row>
    <row r="399" ht="15" customHeight="1" s="22">
      <c r="A399" s="36" t="inlineStr">
        <is>
          <t>super visa insurance london ontario</t>
        </is>
      </c>
      <c r="B399" s="36" t="inlineStr">
        <is>
          <t>Super Visa &amp; visitors insurance</t>
        </is>
      </c>
      <c r="C399" s="36" t="inlineStr">
        <is>
          <t>Super Visa Insurance</t>
        </is>
      </c>
      <c r="D399" s="36" t="inlineStr">
        <is>
          <t>Ontario</t>
        </is>
      </c>
      <c r="E399" s="36" t="inlineStr">
        <is>
          <t>London</t>
        </is>
      </c>
      <c r="F399" s="37" t="n">
        <v>35</v>
      </c>
      <c r="G399" s="36" t="n">
        <v>36</v>
      </c>
      <c r="H399" s="36" t="inlineStr">
        <is>
          <t>local</t>
        </is>
      </c>
      <c r="I399" s="36" t="inlineStr">
        <is>
          <t>travel-visitors</t>
        </is>
      </c>
      <c r="J399" s="36" t="n">
        <v>5</v>
      </c>
      <c r="K399" s="36" t="inlineStr">
        <is>
          <t>https://instasure.ca/super-visa-insurance/ontario/london/</t>
        </is>
      </c>
      <c r="L399" s="36">
        <f>IF(K399="","No","Yes")</f>
        <v/>
      </c>
      <c r="M399" s="39">
        <f>IF(K399="","",IFERROR(IF(ISNUMBER(SEARCH(A399,INDEX(Pages!$J$2:$J$829,MATCH(K399,Pages!$B$2:$B$829,0)))),"Yes","No"),"Page not found"))</f>
        <v/>
      </c>
      <c r="N399" s="25" t="inlineStr">
        <is>
          <t>(none seen)</t>
        </is>
      </c>
      <c r="O399" s="25" t="n"/>
      <c r="P399" s="40" t="n"/>
      <c r="Q399" s="38" t="n"/>
      <c r="R399" s="38" t="n"/>
    </row>
    <row r="400" ht="23.85" customHeight="1" s="22">
      <c r="A400" s="36" t="inlineStr">
        <is>
          <t>business insurance moncton</t>
        </is>
      </c>
      <c r="B400" s="36" t="inlineStr">
        <is>
          <t>Business insurance</t>
        </is>
      </c>
      <c r="C400" s="36" t="inlineStr">
        <is>
          <t>Business Insurance</t>
        </is>
      </c>
      <c r="D400" s="36" t="inlineStr">
        <is>
          <t>New Brunswick</t>
        </is>
      </c>
      <c r="E400" s="36" t="inlineStr">
        <is>
          <t>Moncton</t>
        </is>
      </c>
      <c r="F400" s="37" t="n">
        <v>34</v>
      </c>
      <c r="G400" s="36" t="n">
        <v>25</v>
      </c>
      <c r="H400" s="36" t="inlineStr">
        <is>
          <t>local</t>
        </is>
      </c>
      <c r="I400" s="36" t="inlineStr">
        <is>
          <t>business-local</t>
        </is>
      </c>
      <c r="J400" s="36" t="n">
        <v>4</v>
      </c>
      <c r="K400" s="36" t="inlineStr">
        <is>
          <t>https://instasure.ca/business-insurance/new-brunswick/moncton/</t>
        </is>
      </c>
      <c r="L400" s="36">
        <f>IF(K400="","No","Yes")</f>
        <v/>
      </c>
      <c r="M400" s="39">
        <f>IF(K400="","",IFERROR(IF(ISNUMBER(SEARCH(A400,INDEX(Pages!$J$2:$J$829,MATCH(K400,Pages!$B$2:$B$829,0)))),"Yes","No"),"Page not found"))</f>
        <v/>
      </c>
      <c r="N400" s="25" t="inlineStr">
        <is>
          <t>(none seen)</t>
        </is>
      </c>
      <c r="O400" s="25" t="inlineStr">
        <is>
          <t>Page exists but is noindex until an editor adds a 300+ character local intro (Admin → SEO → Page overrides).</t>
        </is>
      </c>
      <c r="P400" s="40" t="n"/>
      <c r="Q400" s="38" t="n"/>
      <c r="R400" s="38" t="n"/>
    </row>
    <row r="401" ht="15" customHeight="1" s="22">
      <c r="A401" s="36" t="inlineStr">
        <is>
          <t>condo insurance moncton</t>
        </is>
      </c>
      <c r="B401" s="36" t="inlineStr">
        <is>
          <t>Condo insurance</t>
        </is>
      </c>
      <c r="C401" s="36" t="inlineStr">
        <is>
          <t>Condo Insurance</t>
        </is>
      </c>
      <c r="D401" s="36" t="inlineStr">
        <is>
          <t>New Brunswick</t>
        </is>
      </c>
      <c r="E401" s="36" t="inlineStr">
        <is>
          <t>Moncton</t>
        </is>
      </c>
      <c r="F401" s="37" t="n">
        <v>34</v>
      </c>
      <c r="G401" s="36" t="n">
        <v>32</v>
      </c>
      <c r="H401" s="36" t="inlineStr">
        <is>
          <t>local</t>
        </is>
      </c>
      <c r="I401" s="36" t="inlineStr">
        <is>
          <t>property-local</t>
        </is>
      </c>
      <c r="J401" s="36" t="n">
        <v>5</v>
      </c>
      <c r="K401" s="36" t="inlineStr">
        <is>
          <t>https://instasure.ca/condo-insurance/new-brunswick/moncton/</t>
        </is>
      </c>
      <c r="L401" s="36">
        <f>IF(K401="","No","Yes")</f>
        <v/>
      </c>
      <c r="M401" s="39">
        <f>IF(K401="","",IFERROR(IF(ISNUMBER(SEARCH(A401,INDEX(Pages!$J$2:$J$829,MATCH(K401,Pages!$B$2:$B$829,0)))),"Yes","No"),"Page not found"))</f>
        <v/>
      </c>
      <c r="N401" s="25" t="inlineStr">
        <is>
          <t>(none seen)</t>
        </is>
      </c>
      <c r="O401" s="25" t="n"/>
      <c r="P401" s="40" t="n"/>
      <c r="Q401" s="38" t="n"/>
      <c r="R401" s="38" t="n"/>
    </row>
    <row r="402" ht="23.85" customHeight="1" s="22">
      <c r="A402" s="36" t="inlineStr">
        <is>
          <t>business insurance airdrie</t>
        </is>
      </c>
      <c r="B402" s="36" t="inlineStr">
        <is>
          <t>Business insurance</t>
        </is>
      </c>
      <c r="C402" s="36" t="inlineStr">
        <is>
          <t>Business Insurance</t>
        </is>
      </c>
      <c r="D402" s="36" t="inlineStr">
        <is>
          <t>Alberta</t>
        </is>
      </c>
      <c r="E402" s="36" t="inlineStr">
        <is>
          <t>Airdrie</t>
        </is>
      </c>
      <c r="F402" s="37" t="n">
        <v>32</v>
      </c>
      <c r="G402" s="36" t="n">
        <v>17</v>
      </c>
      <c r="H402" s="36" t="inlineStr">
        <is>
          <t>local</t>
        </is>
      </c>
      <c r="I402" s="36" t="inlineStr">
        <is>
          <t>business-local</t>
        </is>
      </c>
      <c r="J402" s="36" t="n">
        <v>4</v>
      </c>
      <c r="K402" s="36" t="inlineStr">
        <is>
          <t>https://instasure.ca/business-insurance/alberta/airdrie/</t>
        </is>
      </c>
      <c r="L402" s="36">
        <f>IF(K402="","No","Yes")</f>
        <v/>
      </c>
      <c r="M402" s="39">
        <f>IF(K402="","",IFERROR(IF(ISNUMBER(SEARCH(A402,INDEX(Pages!$J$2:$J$829,MATCH(K402,Pages!$B$2:$B$829,0)))),"Yes","No"),"Page not found"))</f>
        <v/>
      </c>
      <c r="N402" s="25" t="inlineStr">
        <is>
          <t>(none seen)</t>
        </is>
      </c>
      <c r="O402" s="25" t="inlineStr">
        <is>
          <t>Page exists but is noindex until an editor adds a 300+ character local intro (Admin → SEO → Page overrides).</t>
        </is>
      </c>
      <c r="P402" s="40" t="n"/>
      <c r="Q402" s="38" t="n"/>
      <c r="R402" s="38" t="n"/>
    </row>
    <row r="403" ht="23.85" customHeight="1" s="22">
      <c r="A403" s="36" t="inlineStr">
        <is>
          <t>condo insurance airdrie</t>
        </is>
      </c>
      <c r="B403" s="36" t="inlineStr">
        <is>
          <t>Condo insurance</t>
        </is>
      </c>
      <c r="C403" s="36" t="inlineStr">
        <is>
          <t>Condo Insurance</t>
        </is>
      </c>
      <c r="D403" s="36" t="inlineStr">
        <is>
          <t>Alberta</t>
        </is>
      </c>
      <c r="E403" s="36" t="inlineStr">
        <is>
          <t>Airdrie</t>
        </is>
      </c>
      <c r="F403" s="37" t="n">
        <v>32</v>
      </c>
      <c r="G403" s="36" t="n">
        <v>24</v>
      </c>
      <c r="H403" s="36" t="inlineStr">
        <is>
          <t>local</t>
        </is>
      </c>
      <c r="I403" s="36" t="inlineStr">
        <is>
          <t>property-local</t>
        </is>
      </c>
      <c r="J403" s="36" t="n">
        <v>5</v>
      </c>
      <c r="K403" s="36" t="inlineStr">
        <is>
          <t>https://instasure.ca/condo-insurance/alberta/airdrie/</t>
        </is>
      </c>
      <c r="L403" s="36">
        <f>IF(K403="","No","Yes")</f>
        <v/>
      </c>
      <c r="M403" s="39">
        <f>IF(K403="","",IFERROR(IF(ISNUMBER(SEARCH(A403,INDEX(Pages!$J$2:$J$829,MATCH(K403,Pages!$B$2:$B$829,0)))),"Yes","No"),"Page not found"))</f>
        <v/>
      </c>
      <c r="N403" s="25" t="inlineStr">
        <is>
          <t>(none seen)</t>
        </is>
      </c>
      <c r="O403" s="25" t="inlineStr">
        <is>
          <t>Page exists but is noindex until an editor adds a 300+ character local intro (Admin → SEO → Page overrides).</t>
        </is>
      </c>
      <c r="P403" s="40" t="n"/>
      <c r="Q403" s="38" t="n"/>
      <c r="R403" s="38" t="n"/>
    </row>
    <row r="404" ht="23.85" customHeight="1" s="22">
      <c r="A404" s="36" t="inlineStr">
        <is>
          <t>business insurance saint john</t>
        </is>
      </c>
      <c r="B404" s="36" t="inlineStr">
        <is>
          <t>Business insurance</t>
        </is>
      </c>
      <c r="C404" s="36" t="inlineStr">
        <is>
          <t>Business Insurance</t>
        </is>
      </c>
      <c r="D404" s="36" t="inlineStr">
        <is>
          <t>New Brunswick</t>
        </is>
      </c>
      <c r="E404" s="36" t="inlineStr">
        <is>
          <t>Saint John</t>
        </is>
      </c>
      <c r="F404" s="37" t="n">
        <v>31</v>
      </c>
      <c r="G404" s="36" t="n">
        <v>25</v>
      </c>
      <c r="H404" s="36" t="inlineStr">
        <is>
          <t>local</t>
        </is>
      </c>
      <c r="I404" s="36" t="inlineStr">
        <is>
          <t>business-local</t>
        </is>
      </c>
      <c r="J404" s="36" t="n">
        <v>4</v>
      </c>
      <c r="K404" s="36" t="inlineStr">
        <is>
          <t>https://instasure.ca/business-insurance/new-brunswick/saint-john/</t>
        </is>
      </c>
      <c r="L404" s="36">
        <f>IF(K404="","No","Yes")</f>
        <v/>
      </c>
      <c r="M404" s="39">
        <f>IF(K404="","",IFERROR(IF(ISNUMBER(SEARCH(A404,INDEX(Pages!$J$2:$J$829,MATCH(K404,Pages!$B$2:$B$829,0)))),"Yes","No"),"Page not found"))</f>
        <v/>
      </c>
      <c r="N404" s="25" t="inlineStr">
        <is>
          <t>(none seen)</t>
        </is>
      </c>
      <c r="O404" s="25" t="inlineStr">
        <is>
          <t>Page exists but is noindex until an editor adds a 300+ character local intro (Admin → SEO → Page overrides).</t>
        </is>
      </c>
      <c r="P404" s="40" t="n"/>
      <c r="Q404" s="38" t="n"/>
      <c r="R404" s="38" t="n"/>
    </row>
    <row r="405" ht="15" customHeight="1" s="22">
      <c r="A405" s="36" t="inlineStr">
        <is>
          <t>condo insurance saint john</t>
        </is>
      </c>
      <c r="B405" s="36" t="inlineStr">
        <is>
          <t>Condo insurance</t>
        </is>
      </c>
      <c r="C405" s="36" t="inlineStr">
        <is>
          <t>Condo Insurance</t>
        </is>
      </c>
      <c r="D405" s="36" t="inlineStr">
        <is>
          <t>New Brunswick</t>
        </is>
      </c>
      <c r="E405" s="36" t="inlineStr">
        <is>
          <t>Saint John</t>
        </is>
      </c>
      <c r="F405" s="37" t="n">
        <v>31</v>
      </c>
      <c r="G405" s="36" t="n">
        <v>32</v>
      </c>
      <c r="H405" s="36" t="inlineStr">
        <is>
          <t>local</t>
        </is>
      </c>
      <c r="I405" s="36" t="inlineStr">
        <is>
          <t>property-local</t>
        </is>
      </c>
      <c r="J405" s="36" t="n">
        <v>5</v>
      </c>
      <c r="K405" s="36" t="inlineStr">
        <is>
          <t>https://instasure.ca/condo-insurance/new-brunswick/saint-john/</t>
        </is>
      </c>
      <c r="L405" s="36">
        <f>IF(K405="","No","Yes")</f>
        <v/>
      </c>
      <c r="M405" s="39">
        <f>IF(K405="","",IFERROR(IF(ISNUMBER(SEARCH(A405,INDEX(Pages!$J$2:$J$829,MATCH(K405,Pages!$B$2:$B$829,0)))),"Yes","No"),"Page not found"))</f>
        <v/>
      </c>
      <c r="N405" s="25" t="inlineStr">
        <is>
          <t>(none seen)</t>
        </is>
      </c>
      <c r="O405" s="25" t="n"/>
      <c r="P405" s="40" t="n"/>
      <c r="Q405" s="38" t="n"/>
      <c r="R405" s="38" t="n"/>
    </row>
    <row r="406" ht="23.85" customHeight="1" s="22">
      <c r="A406" s="36" t="inlineStr">
        <is>
          <t>business insurance fredericton</t>
        </is>
      </c>
      <c r="B406" s="36" t="inlineStr">
        <is>
          <t>Business insurance</t>
        </is>
      </c>
      <c r="C406" s="36" t="inlineStr">
        <is>
          <t>Business Insurance</t>
        </is>
      </c>
      <c r="D406" s="36" t="inlineStr">
        <is>
          <t>New Brunswick</t>
        </is>
      </c>
      <c r="E406" s="36" t="inlineStr">
        <is>
          <t>Fredericton</t>
        </is>
      </c>
      <c r="F406" s="37" t="n">
        <v>29</v>
      </c>
      <c r="G406" s="36" t="n">
        <v>25</v>
      </c>
      <c r="H406" s="36" t="inlineStr">
        <is>
          <t>local</t>
        </is>
      </c>
      <c r="I406" s="36" t="inlineStr">
        <is>
          <t>business-local</t>
        </is>
      </c>
      <c r="J406" s="36" t="n">
        <v>4</v>
      </c>
      <c r="K406" s="36" t="inlineStr">
        <is>
          <t>https://instasure.ca/business-insurance/new-brunswick/fredericton/</t>
        </is>
      </c>
      <c r="L406" s="36">
        <f>IF(K406="","No","Yes")</f>
        <v/>
      </c>
      <c r="M406" s="39">
        <f>IF(K406="","",IFERROR(IF(ISNUMBER(SEARCH(A406,INDEX(Pages!$J$2:$J$829,MATCH(K406,Pages!$B$2:$B$829,0)))),"Yes","No"),"Page not found"))</f>
        <v/>
      </c>
      <c r="N406" s="25" t="inlineStr">
        <is>
          <t>(none seen)</t>
        </is>
      </c>
      <c r="O406" s="25" t="inlineStr">
        <is>
          <t>Page exists but is noindex until an editor adds a 300+ character local intro (Admin → SEO → Page overrides).</t>
        </is>
      </c>
      <c r="P406" s="40" t="n"/>
      <c r="Q406" s="38" t="n"/>
      <c r="R406" s="38" t="n"/>
    </row>
    <row r="407" ht="23.85" customHeight="1" s="22">
      <c r="A407" s="36" t="inlineStr">
        <is>
          <t>business insurance gatineau</t>
        </is>
      </c>
      <c r="B407" s="36" t="inlineStr">
        <is>
          <t>Business insurance</t>
        </is>
      </c>
      <c r="C407" s="36" t="inlineStr">
        <is>
          <t>Business Insurance</t>
        </is>
      </c>
      <c r="D407" s="36" t="inlineStr">
        <is>
          <t>Quebec</t>
        </is>
      </c>
      <c r="E407" s="36" t="inlineStr">
        <is>
          <t>Gatineau</t>
        </is>
      </c>
      <c r="F407" s="37" t="n">
        <v>29</v>
      </c>
      <c r="G407" s="36" t="n">
        <v>25</v>
      </c>
      <c r="H407" s="36" t="inlineStr">
        <is>
          <t>local</t>
        </is>
      </c>
      <c r="I407" s="36" t="inlineStr">
        <is>
          <t>business-local</t>
        </is>
      </c>
      <c r="J407" s="36" t="n">
        <v>5</v>
      </c>
      <c r="K407" s="36" t="inlineStr">
        <is>
          <t>https://instasure.ca/business-insurance/quebec/gatineau/</t>
        </is>
      </c>
      <c r="L407" s="36">
        <f>IF(K407="","No","Yes")</f>
        <v/>
      </c>
      <c r="M407" s="39">
        <f>IF(K407="","",IFERROR(IF(ISNUMBER(SEARCH(A407,INDEX(Pages!$J$2:$J$829,MATCH(K407,Pages!$B$2:$B$829,0)))),"Yes","No"),"Page not found"))</f>
        <v/>
      </c>
      <c r="N407" s="25" t="inlineStr">
        <is>
          <t>(none seen)</t>
        </is>
      </c>
      <c r="O407" s="25" t="inlineStr">
        <is>
          <t>Page exists but is noindex until an editor adds a 300+ character local intro (Admin → SEO → Page overrides). Quebec waitlist until AMF registration.</t>
        </is>
      </c>
      <c r="P407" s="40" t="n"/>
      <c r="Q407" s="38" t="n"/>
      <c r="R407" s="38" t="n"/>
    </row>
    <row r="408" ht="15" customHeight="1" s="22">
      <c r="A408" s="36" t="inlineStr">
        <is>
          <t>condo insurance fredericton</t>
        </is>
      </c>
      <c r="B408" s="36" t="inlineStr">
        <is>
          <t>Condo insurance</t>
        </is>
      </c>
      <c r="C408" s="36" t="inlineStr">
        <is>
          <t>Condo Insurance</t>
        </is>
      </c>
      <c r="D408" s="36" t="inlineStr">
        <is>
          <t>New Brunswick</t>
        </is>
      </c>
      <c r="E408" s="36" t="inlineStr">
        <is>
          <t>Fredericton</t>
        </is>
      </c>
      <c r="F408" s="37" t="n">
        <v>29</v>
      </c>
      <c r="G408" s="36" t="n">
        <v>32</v>
      </c>
      <c r="H408" s="36" t="inlineStr">
        <is>
          <t>local</t>
        </is>
      </c>
      <c r="I408" s="36" t="inlineStr">
        <is>
          <t>property-local</t>
        </is>
      </c>
      <c r="J408" s="36" t="n">
        <v>5</v>
      </c>
      <c r="K408" s="36" t="inlineStr">
        <is>
          <t>https://instasure.ca/condo-insurance/new-brunswick/fredericton/</t>
        </is>
      </c>
      <c r="L408" s="36">
        <f>IF(K408="","No","Yes")</f>
        <v/>
      </c>
      <c r="M408" s="39">
        <f>IF(K408="","",IFERROR(IF(ISNUMBER(SEARCH(A408,INDEX(Pages!$J$2:$J$829,MATCH(K408,Pages!$B$2:$B$829,0)))),"Yes","No"),"Page not found"))</f>
        <v/>
      </c>
      <c r="N408" s="25" t="inlineStr">
        <is>
          <t>(none seen)</t>
        </is>
      </c>
      <c r="O408" s="25" t="n"/>
      <c r="P408" s="40" t="n"/>
      <c r="Q408" s="38" t="n"/>
      <c r="R408" s="38" t="n"/>
    </row>
    <row r="409" ht="15" customHeight="1" s="22">
      <c r="A409" s="36" t="inlineStr">
        <is>
          <t>condo insurance gatineau</t>
        </is>
      </c>
      <c r="B409" s="36" t="inlineStr">
        <is>
          <t>Condo insurance</t>
        </is>
      </c>
      <c r="C409" s="36" t="inlineStr">
        <is>
          <t>Condo Insurance</t>
        </is>
      </c>
      <c r="D409" s="36" t="inlineStr">
        <is>
          <t>Quebec</t>
        </is>
      </c>
      <c r="E409" s="36" t="inlineStr">
        <is>
          <t>Gatineau</t>
        </is>
      </c>
      <c r="F409" s="37" t="n">
        <v>29</v>
      </c>
      <c r="G409" s="36" t="n">
        <v>32</v>
      </c>
      <c r="H409" s="36" t="inlineStr">
        <is>
          <t>local</t>
        </is>
      </c>
      <c r="I409" s="36" t="inlineStr">
        <is>
          <t>property-local</t>
        </is>
      </c>
      <c r="J409" s="36" t="n">
        <v>5</v>
      </c>
      <c r="K409" s="36" t="inlineStr">
        <is>
          <t>https://instasure.ca/condo-insurance/quebec/gatineau/</t>
        </is>
      </c>
      <c r="L409" s="36">
        <f>IF(K409="","No","Yes")</f>
        <v/>
      </c>
      <c r="M409" s="39">
        <f>IF(K409="","",IFERROR(IF(ISNUMBER(SEARCH(A409,INDEX(Pages!$J$2:$J$829,MATCH(K409,Pages!$B$2:$B$829,0)))),"Yes","No"),"Page not found"))</f>
        <v/>
      </c>
      <c r="N409" s="25" t="inlineStr">
        <is>
          <t>(none seen)</t>
        </is>
      </c>
      <c r="O409" s="25" t="inlineStr">
        <is>
          <t>Quebec waitlist until AMF registration.</t>
        </is>
      </c>
      <c r="P409" s="40" t="n"/>
      <c r="Q409" s="38" t="n"/>
      <c r="R409" s="38" t="n"/>
    </row>
    <row r="410" ht="23.85" customHeight="1" s="22">
      <c r="A410" s="36" t="inlineStr">
        <is>
          <t>life insurance charlottetown</t>
        </is>
      </c>
      <c r="B410" s="36" t="inlineStr">
        <is>
          <t>Life insurance</t>
        </is>
      </c>
      <c r="C410" s="36" t="inlineStr">
        <is>
          <t>Life Insurance</t>
        </is>
      </c>
      <c r="D410" s="36" t="inlineStr">
        <is>
          <t>Prince Edward Island</t>
        </is>
      </c>
      <c r="E410" s="36" t="inlineStr">
        <is>
          <t>Charlottetown</t>
        </is>
      </c>
      <c r="F410" s="37" t="n">
        <v>29</v>
      </c>
      <c r="G410" s="36" t="n">
        <v>27</v>
      </c>
      <c r="H410" s="36" t="inlineStr">
        <is>
          <t>local</t>
        </is>
      </c>
      <c r="I410" s="36" t="inlineStr">
        <is>
          <t>life-local</t>
        </is>
      </c>
      <c r="J410" s="36" t="n">
        <v>4</v>
      </c>
      <c r="K410" s="36" t="inlineStr">
        <is>
          <t>https://instasure.ca/life-insurance/prince-edward-island/charlottetown/</t>
        </is>
      </c>
      <c r="L410" s="36">
        <f>IF(K410="","No","Yes")</f>
        <v/>
      </c>
      <c r="M410" s="39">
        <f>IF(K410="","",IFERROR(IF(ISNUMBER(SEARCH(A410,INDEX(Pages!$J$2:$J$829,MATCH(K410,Pages!$B$2:$B$829,0)))),"Yes","No"),"Page not found"))</f>
        <v/>
      </c>
      <c r="N410" s="25" t="inlineStr">
        <is>
          <t>(none seen)</t>
        </is>
      </c>
      <c r="O410" s="25" t="inlineStr">
        <is>
          <t>Page exists but is noindex until an editor adds a 300+ character local intro (Admin → SEO → Page overrides).</t>
        </is>
      </c>
      <c r="P410" s="40" t="n"/>
      <c r="Q410" s="38" t="n"/>
      <c r="R410" s="38" t="n"/>
    </row>
    <row r="411" ht="23.85" customHeight="1" s="22">
      <c r="A411" s="36" t="inlineStr">
        <is>
          <t>life insurance sherbrooke</t>
        </is>
      </c>
      <c r="B411" s="36" t="inlineStr">
        <is>
          <t>Life insurance</t>
        </is>
      </c>
      <c r="C411" s="36" t="inlineStr">
        <is>
          <t>Life Insurance</t>
        </is>
      </c>
      <c r="D411" s="36" t="inlineStr">
        <is>
          <t>Quebec</t>
        </is>
      </c>
      <c r="E411" s="36" t="inlineStr">
        <is>
          <t>Sherbrooke</t>
        </is>
      </c>
      <c r="F411" s="37" t="n">
        <v>28</v>
      </c>
      <c r="G411" s="36" t="n">
        <v>19</v>
      </c>
      <c r="H411" s="36" t="inlineStr">
        <is>
          <t>local</t>
        </is>
      </c>
      <c r="I411" s="36" t="inlineStr">
        <is>
          <t>life-local</t>
        </is>
      </c>
      <c r="J411" s="36" t="n">
        <v>5</v>
      </c>
      <c r="K411" s="36" t="inlineStr">
        <is>
          <t>https://instasure.ca/life-insurance/quebec/sherbrooke/</t>
        </is>
      </c>
      <c r="L411" s="36">
        <f>IF(K411="","No","Yes")</f>
        <v/>
      </c>
      <c r="M411" s="39">
        <f>IF(K411="","",IFERROR(IF(ISNUMBER(SEARCH(A411,INDEX(Pages!$J$2:$J$829,MATCH(K411,Pages!$B$2:$B$829,0)))),"Yes","No"),"Page not found"))</f>
        <v/>
      </c>
      <c r="N411" s="25" t="inlineStr">
        <is>
          <t>(none seen)</t>
        </is>
      </c>
      <c r="O411" s="25" t="inlineStr">
        <is>
          <t>Page exists but is noindex until an editor adds a 300+ character local intro (Admin → SEO → Page overrides). Quebec waitlist until AMF registration.</t>
        </is>
      </c>
      <c r="P411" s="40" t="n"/>
      <c r="Q411" s="38" t="n"/>
      <c r="R411" s="38" t="n"/>
    </row>
    <row r="412" ht="15" customHeight="1" s="22">
      <c r="A412" s="36" t="inlineStr">
        <is>
          <t>super visa insurance vaughan</t>
        </is>
      </c>
      <c r="B412" s="36" t="inlineStr">
        <is>
          <t>Super Visa &amp; visitors insurance</t>
        </is>
      </c>
      <c r="C412" s="36" t="inlineStr">
        <is>
          <t>Super Visa Insurance</t>
        </is>
      </c>
      <c r="D412" s="36" t="inlineStr">
        <is>
          <t>Ontario</t>
        </is>
      </c>
      <c r="E412" s="36" t="inlineStr">
        <is>
          <t>Vaughan</t>
        </is>
      </c>
      <c r="F412" s="37" t="n">
        <v>28</v>
      </c>
      <c r="G412" s="36" t="n">
        <v>36</v>
      </c>
      <c r="H412" s="36" t="inlineStr">
        <is>
          <t>local</t>
        </is>
      </c>
      <c r="I412" s="36" t="inlineStr">
        <is>
          <t>travel-visitors</t>
        </is>
      </c>
      <c r="J412" s="36" t="n">
        <v>5</v>
      </c>
      <c r="K412" s="36" t="inlineStr">
        <is>
          <t>https://instasure.ca/super-visa-insurance/ontario/vaughan/</t>
        </is>
      </c>
      <c r="L412" s="36">
        <f>IF(K412="","No","Yes")</f>
        <v/>
      </c>
      <c r="M412" s="39">
        <f>IF(K412="","",IFERROR(IF(ISNUMBER(SEARCH(A412,INDEX(Pages!$J$2:$J$829,MATCH(K412,Pages!$B$2:$B$829,0)))),"Yes","No"),"Page not found"))</f>
        <v/>
      </c>
      <c r="N412" s="25" t="inlineStr">
        <is>
          <t>(none seen)</t>
        </is>
      </c>
      <c r="O412" s="25" t="n"/>
      <c r="P412" s="40" t="n"/>
      <c r="Q412" s="38" t="n"/>
      <c r="R412" s="38" t="n"/>
    </row>
    <row r="413" ht="23.85" customHeight="1" s="22">
      <c r="A413" s="36" t="inlineStr">
        <is>
          <t>business insurance longueuil</t>
        </is>
      </c>
      <c r="B413" s="36" t="inlineStr">
        <is>
          <t>Business insurance</t>
        </is>
      </c>
      <c r="C413" s="36" t="inlineStr">
        <is>
          <t>Business Insurance</t>
        </is>
      </c>
      <c r="D413" s="36" t="inlineStr">
        <is>
          <t>Quebec</t>
        </is>
      </c>
      <c r="E413" s="36" t="inlineStr">
        <is>
          <t>Longueuil</t>
        </is>
      </c>
      <c r="F413" s="37" t="n">
        <v>26</v>
      </c>
      <c r="G413" s="36" t="n">
        <v>25</v>
      </c>
      <c r="H413" s="36" t="inlineStr">
        <is>
          <t>local</t>
        </is>
      </c>
      <c r="I413" s="36" t="inlineStr">
        <is>
          <t>business-local</t>
        </is>
      </c>
      <c r="J413" s="36" t="n">
        <v>5</v>
      </c>
      <c r="K413" s="36" t="inlineStr">
        <is>
          <t>https://instasure.ca/business-insurance/quebec/longueuil/</t>
        </is>
      </c>
      <c r="L413" s="36">
        <f>IF(K413="","No","Yes")</f>
        <v/>
      </c>
      <c r="M413" s="39">
        <f>IF(K413="","",IFERROR(IF(ISNUMBER(SEARCH(A413,INDEX(Pages!$J$2:$J$829,MATCH(K413,Pages!$B$2:$B$829,0)))),"Yes","No"),"Page not found"))</f>
        <v/>
      </c>
      <c r="N413" s="25" t="inlineStr">
        <is>
          <t>(none seen)</t>
        </is>
      </c>
      <c r="O413" s="25" t="inlineStr">
        <is>
          <t>Page exists but is noindex until an editor adds a 300+ character local intro (Admin → SEO → Page overrides). Quebec waitlist until AMF registration.</t>
        </is>
      </c>
      <c r="P413" s="40" t="n"/>
      <c r="Q413" s="38" t="n"/>
      <c r="R413" s="38" t="n"/>
    </row>
    <row r="414" ht="15" customHeight="1" s="22">
      <c r="A414" s="36" t="inlineStr">
        <is>
          <t>condo insurance longueuil</t>
        </is>
      </c>
      <c r="B414" s="36" t="inlineStr">
        <is>
          <t>Condo insurance</t>
        </is>
      </c>
      <c r="C414" s="36" t="inlineStr">
        <is>
          <t>Condo Insurance</t>
        </is>
      </c>
      <c r="D414" s="36" t="inlineStr">
        <is>
          <t>Quebec</t>
        </is>
      </c>
      <c r="E414" s="36" t="inlineStr">
        <is>
          <t>Longueuil</t>
        </is>
      </c>
      <c r="F414" s="37" t="n">
        <v>26</v>
      </c>
      <c r="G414" s="36" t="n">
        <v>32</v>
      </c>
      <c r="H414" s="36" t="inlineStr">
        <is>
          <t>local</t>
        </is>
      </c>
      <c r="I414" s="36" t="inlineStr">
        <is>
          <t>property-local</t>
        </is>
      </c>
      <c r="J414" s="36" t="n">
        <v>5</v>
      </c>
      <c r="K414" s="36" t="inlineStr">
        <is>
          <t>https://instasure.ca/condo-insurance/quebec/longueuil/</t>
        </is>
      </c>
      <c r="L414" s="36">
        <f>IF(K414="","No","Yes")</f>
        <v/>
      </c>
      <c r="M414" s="39">
        <f>IF(K414="","",IFERROR(IF(ISNUMBER(SEARCH(A414,INDEX(Pages!$J$2:$J$829,MATCH(K414,Pages!$B$2:$B$829,0)))),"Yes","No"),"Page not found"))</f>
        <v/>
      </c>
      <c r="N414" s="25" t="inlineStr">
        <is>
          <t>(none seen)</t>
        </is>
      </c>
      <c r="O414" s="25" t="inlineStr">
        <is>
          <t>Quebec waitlist until AMF registration.</t>
        </is>
      </c>
      <c r="P414" s="40" t="n"/>
      <c r="Q414" s="38" t="n"/>
      <c r="R414" s="38" t="n"/>
    </row>
    <row r="415" ht="23.85" customHeight="1" s="22">
      <c r="A415" s="36" t="inlineStr">
        <is>
          <t>business insurance brandon</t>
        </is>
      </c>
      <c r="B415" s="36" t="inlineStr">
        <is>
          <t>Business insurance</t>
        </is>
      </c>
      <c r="C415" s="36" t="inlineStr">
        <is>
          <t>Business Insurance</t>
        </is>
      </c>
      <c r="D415" s="36" t="inlineStr">
        <is>
          <t>Manitoba</t>
        </is>
      </c>
      <c r="E415" s="36" t="inlineStr">
        <is>
          <t>Brandon</t>
        </is>
      </c>
      <c r="F415" s="37" t="n">
        <v>24</v>
      </c>
      <c r="G415" s="36" t="n">
        <v>17</v>
      </c>
      <c r="H415" s="36" t="inlineStr">
        <is>
          <t>local</t>
        </is>
      </c>
      <c r="I415" s="36" t="inlineStr">
        <is>
          <t>business-local</t>
        </is>
      </c>
      <c r="J415" s="36" t="n">
        <v>4</v>
      </c>
      <c r="K415" s="36" t="inlineStr">
        <is>
          <t>https://instasure.ca/business-insurance/manitoba/brandon/</t>
        </is>
      </c>
      <c r="L415" s="36">
        <f>IF(K415="","No","Yes")</f>
        <v/>
      </c>
      <c r="M415" s="39">
        <f>IF(K415="","",IFERROR(IF(ISNUMBER(SEARCH(A415,INDEX(Pages!$J$2:$J$829,MATCH(K415,Pages!$B$2:$B$829,0)))),"Yes","No"),"Page not found"))</f>
        <v/>
      </c>
      <c r="N415" s="25" t="inlineStr">
        <is>
          <t>(none seen)</t>
        </is>
      </c>
      <c r="O415" s="25" t="inlineStr">
        <is>
          <t>Page exists but is noindex until an editor adds a 300+ character local intro (Admin → SEO → Page overrides).</t>
        </is>
      </c>
      <c r="P415" s="40" t="n"/>
      <c r="Q415" s="38" t="n"/>
      <c r="R415" s="38" t="n"/>
    </row>
    <row r="416" ht="23.85" customHeight="1" s="22">
      <c r="A416" s="36" t="inlineStr">
        <is>
          <t>condo insurance brandon</t>
        </is>
      </c>
      <c r="B416" s="36" t="inlineStr">
        <is>
          <t>Condo insurance</t>
        </is>
      </c>
      <c r="C416" s="36" t="inlineStr">
        <is>
          <t>Condo Insurance</t>
        </is>
      </c>
      <c r="D416" s="36" t="inlineStr">
        <is>
          <t>Manitoba</t>
        </is>
      </c>
      <c r="E416" s="36" t="inlineStr">
        <is>
          <t>Brandon</t>
        </is>
      </c>
      <c r="F416" s="37" t="n">
        <v>24</v>
      </c>
      <c r="G416" s="36" t="n">
        <v>24</v>
      </c>
      <c r="H416" s="36" t="inlineStr">
        <is>
          <t>local</t>
        </is>
      </c>
      <c r="I416" s="36" t="inlineStr">
        <is>
          <t>property-local</t>
        </is>
      </c>
      <c r="J416" s="36" t="n">
        <v>5</v>
      </c>
      <c r="K416" s="36" t="inlineStr">
        <is>
          <t>https://instasure.ca/condo-insurance/manitoba/brandon/</t>
        </is>
      </c>
      <c r="L416" s="36">
        <f>IF(K416="","No","Yes")</f>
        <v/>
      </c>
      <c r="M416" s="39">
        <f>IF(K416="","",IFERROR(IF(ISNUMBER(SEARCH(A416,INDEX(Pages!$J$2:$J$829,MATCH(K416,Pages!$B$2:$B$829,0)))),"Yes","No"),"Page not found"))</f>
        <v/>
      </c>
      <c r="N416" s="25" t="inlineStr">
        <is>
          <t>(none seen)</t>
        </is>
      </c>
      <c r="O416" s="25" t="inlineStr">
        <is>
          <t>Page exists but is noindex until an editor adds a 300+ character local intro (Admin → SEO → Page overrides).</t>
        </is>
      </c>
      <c r="P416" s="40" t="n"/>
      <c r="Q416" s="38" t="n"/>
      <c r="R416" s="38" t="n"/>
    </row>
    <row r="417" ht="15" customHeight="1" s="22">
      <c r="A417" s="36" t="inlineStr">
        <is>
          <t>super visa insurance kitchener</t>
        </is>
      </c>
      <c r="B417" s="36" t="inlineStr">
        <is>
          <t>Super Visa &amp; visitors insurance</t>
        </is>
      </c>
      <c r="C417" s="36" t="inlineStr">
        <is>
          <t>Super Visa Insurance</t>
        </is>
      </c>
      <c r="D417" s="36" t="inlineStr">
        <is>
          <t>Ontario</t>
        </is>
      </c>
      <c r="E417" s="36" t="inlineStr">
        <is>
          <t>Kitchener</t>
        </is>
      </c>
      <c r="F417" s="37" t="n">
        <v>24</v>
      </c>
      <c r="G417" s="36" t="n">
        <v>36</v>
      </c>
      <c r="H417" s="36" t="inlineStr">
        <is>
          <t>local</t>
        </is>
      </c>
      <c r="I417" s="36" t="inlineStr">
        <is>
          <t>travel-visitors</t>
        </is>
      </c>
      <c r="J417" s="36" t="n">
        <v>5</v>
      </c>
      <c r="K417" s="36" t="inlineStr">
        <is>
          <t>https://instasure.ca/super-visa-insurance/ontario/kitchener/</t>
        </is>
      </c>
      <c r="L417" s="36">
        <f>IF(K417="","No","Yes")</f>
        <v/>
      </c>
      <c r="M417" s="39">
        <f>IF(K417="","",IFERROR(IF(ISNUMBER(SEARCH(A417,INDEX(Pages!$J$2:$J$829,MATCH(K417,Pages!$B$2:$B$829,0)))),"Yes","No"),"Page not found"))</f>
        <v/>
      </c>
      <c r="N417" s="25" t="inlineStr">
        <is>
          <t>(none seen)</t>
        </is>
      </c>
      <c r="O417" s="25" t="n"/>
      <c r="P417" s="40" t="n"/>
      <c r="Q417" s="38" t="n"/>
      <c r="R417" s="38" t="n"/>
    </row>
    <row r="418" ht="15" customHeight="1" s="22">
      <c r="A418" s="36" t="inlineStr">
        <is>
          <t>super visa insurance windsor</t>
        </is>
      </c>
      <c r="B418" s="36" t="inlineStr">
        <is>
          <t>Super Visa &amp; visitors insurance</t>
        </is>
      </c>
      <c r="C418" s="36" t="inlineStr">
        <is>
          <t>Super Visa Insurance</t>
        </is>
      </c>
      <c r="D418" s="36" t="inlineStr">
        <is>
          <t>Ontario</t>
        </is>
      </c>
      <c r="E418" s="36" t="inlineStr">
        <is>
          <t>Windsor</t>
        </is>
      </c>
      <c r="F418" s="37" t="n">
        <v>22</v>
      </c>
      <c r="G418" s="36" t="n">
        <v>36</v>
      </c>
      <c r="H418" s="36" t="inlineStr">
        <is>
          <t>local</t>
        </is>
      </c>
      <c r="I418" s="36" t="inlineStr">
        <is>
          <t>travel-visitors</t>
        </is>
      </c>
      <c r="J418" s="36" t="n">
        <v>5</v>
      </c>
      <c r="K418" s="36" t="inlineStr">
        <is>
          <t>https://instasure.ca/super-visa-insurance/ontario/windsor/</t>
        </is>
      </c>
      <c r="L418" s="36">
        <f>IF(K418="","No","Yes")</f>
        <v/>
      </c>
      <c r="M418" s="39">
        <f>IF(K418="","",IFERROR(IF(ISNUMBER(SEARCH(A418,INDEX(Pages!$J$2:$J$829,MATCH(K418,Pages!$B$2:$B$829,0)))),"Yes","No"),"Page not found"))</f>
        <v/>
      </c>
      <c r="N418" s="25" t="inlineStr">
        <is>
          <t>(none seen)</t>
        </is>
      </c>
      <c r="O418" s="25" t="n"/>
      <c r="P418" s="40" t="n"/>
      <c r="Q418" s="38" t="n"/>
      <c r="R418" s="38" t="n"/>
    </row>
    <row r="419" ht="23.85" customHeight="1" s="22">
      <c r="A419" s="36" t="inlineStr">
        <is>
          <t>super visa insurance oakville</t>
        </is>
      </c>
      <c r="B419" s="36" t="inlineStr">
        <is>
          <t>Super Visa &amp; visitors insurance</t>
        </is>
      </c>
      <c r="C419" s="36" t="inlineStr">
        <is>
          <t>Super Visa Insurance</t>
        </is>
      </c>
      <c r="D419" s="36" t="inlineStr">
        <is>
          <t>Ontario</t>
        </is>
      </c>
      <c r="E419" s="36" t="inlineStr">
        <is>
          <t>Oakville</t>
        </is>
      </c>
      <c r="F419" s="37" t="n">
        <v>20</v>
      </c>
      <c r="G419" s="36" t="n">
        <v>28</v>
      </c>
      <c r="H419" s="36" t="inlineStr">
        <is>
          <t>local</t>
        </is>
      </c>
      <c r="I419" s="36" t="inlineStr">
        <is>
          <t>travel-visitors</t>
        </is>
      </c>
      <c r="J419" s="36" t="n">
        <v>5</v>
      </c>
      <c r="K419" s="36" t="inlineStr">
        <is>
          <t>https://instasure.ca/super-visa-insurance/ontario/oakville/</t>
        </is>
      </c>
      <c r="L419" s="36">
        <f>IF(K419="","No","Yes")</f>
        <v/>
      </c>
      <c r="M419" s="39">
        <f>IF(K419="","",IFERROR(IF(ISNUMBER(SEARCH(A419,INDEX(Pages!$J$2:$J$829,MATCH(K419,Pages!$B$2:$B$829,0)))),"Yes","No"),"Page not found"))</f>
        <v/>
      </c>
      <c r="N419" s="25" t="inlineStr">
        <is>
          <t>(none seen)</t>
        </is>
      </c>
      <c r="O419" s="25" t="inlineStr">
        <is>
          <t>Page exists but is noindex until an editor adds a 300+ character local intro (Admin → SEO → Page overrides).</t>
        </is>
      </c>
      <c r="P419" s="40" t="n"/>
      <c r="Q419" s="38" t="n"/>
      <c r="R419" s="38" t="n"/>
    </row>
  </sheetData>
  <autoFilter ref="A1:R4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tabColor rgb="FF7A8CA0"/>
    <outlinePr summaryBelow="1" summaryRight="1"/>
    <pageSetUpPr fitToPage="0"/>
  </sheetPr>
  <dimension ref="A1:O4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40" customWidth="1" style="21" min="1" max="1"/>
    <col width="11" customWidth="1" style="21" min="2" max="2"/>
    <col width="24" customWidth="1" style="21" min="3" max="3"/>
    <col width="14" customWidth="1" style="21" min="4" max="4"/>
    <col width="12" customWidth="1" style="21" min="5" max="6"/>
    <col width="10" customWidth="1" style="21" min="7" max="7"/>
    <col width="13" customWidth="1" style="21" min="8" max="8"/>
    <col width="9" customWidth="1" style="21" min="9" max="9"/>
    <col width="40" customWidth="1" style="21" min="10" max="10"/>
    <col width="36" customWidth="1" style="21" min="11" max="11"/>
    <col width="70" customWidth="1" style="21" min="12" max="12"/>
    <col width="14" customWidth="1" style="21" min="13" max="14"/>
    <col width="12" customWidth="1" style="21" min="15" max="15"/>
  </cols>
  <sheetData>
    <row r="1" ht="31.5" customHeight="1" s="22">
      <c r="A1" s="30" t="inlineStr">
        <is>
          <t>Keyword</t>
        </is>
      </c>
      <c r="B1" s="30" t="inlineStr">
        <is>
          <t>Level</t>
        </is>
      </c>
      <c r="C1" s="30" t="inlineStr">
        <is>
          <t>Insurance segment</t>
        </is>
      </c>
      <c r="D1" s="30" t="inlineStr">
        <is>
          <t>Province</t>
        </is>
      </c>
      <c r="E1" s="30" t="inlineStr">
        <is>
          <t>City</t>
        </is>
      </c>
      <c r="F1" s="30" t="inlineStr">
        <is>
          <t>Volume / mo (modelled)</t>
        </is>
      </c>
      <c r="G1" s="30" t="inlineStr">
        <is>
          <t>Difficulty (0–100)</t>
        </is>
      </c>
      <c r="H1" s="30" t="inlineStr">
        <is>
          <t>Intent</t>
        </is>
      </c>
      <c r="I1" s="30" t="inlineStr">
        <is>
          <t>Priority (1 = first)</t>
        </is>
      </c>
      <c r="J1" s="30" t="inlineStr">
        <is>
          <t>Planned URL</t>
        </is>
      </c>
      <c r="K1" s="30" t="inlineStr">
        <is>
          <t>Competitors seen</t>
        </is>
      </c>
      <c r="L1" s="30" t="inlineStr">
        <is>
          <t>Notes</t>
        </is>
      </c>
      <c r="M1" s="30" t="inlineStr">
        <is>
          <t>Status</t>
        </is>
      </c>
      <c r="N1" s="30" t="inlineStr">
        <is>
          <t>Owner</t>
        </is>
      </c>
      <c r="O1" s="30" t="inlineStr">
        <is>
          <t>Target date</t>
        </is>
      </c>
    </row>
    <row r="2" ht="23.85" customHeight="1" s="22">
      <c r="A2" s="36" t="inlineStr">
        <is>
          <t>assurance auto</t>
        </is>
      </c>
      <c r="B2" s="36" t="inlineStr">
        <is>
          <t>Provincial</t>
        </is>
      </c>
      <c r="C2" s="36" t="inlineStr">
        <is>
          <t>Car insurance</t>
        </is>
      </c>
      <c r="D2" s="36" t="inlineStr">
        <is>
          <t>Quebec</t>
        </is>
      </c>
      <c r="E2" s="36" t="n"/>
      <c r="F2" s="37" t="n">
        <v>33000</v>
      </c>
      <c r="G2" s="36" t="n">
        <v>75</v>
      </c>
      <c r="H2" s="36" t="inlineStr">
        <is>
          <t>transactional</t>
        </is>
      </c>
      <c r="I2" s="36" t="n">
        <v>3</v>
      </c>
      <c r="J2" s="36" t="inlineStr">
        <is>
          <t>/fr/assurance-auto/</t>
        </is>
      </c>
      <c r="K2" s="25" t="inlineStr">
        <is>
          <t>sonnet, desjardins, belairdirect, beneva</t>
        </is>
      </c>
      <c r="L2" s="25" t="inlineStr">
        <is>
          <t>Planned: /fr/assurance-auto/. Needs AMF registration (Alternative Distribution Methods regulation), French pages and hreflang.</t>
        </is>
      </c>
      <c r="M2" s="38" t="inlineStr">
        <is>
          <t>Not started</t>
        </is>
      </c>
      <c r="N2" s="38" t="n"/>
      <c r="O2" s="38" t="n"/>
    </row>
    <row r="3" ht="15" customHeight="1" s="22">
      <c r="A3" s="36" t="inlineStr">
        <is>
          <t>assurance habitation</t>
        </is>
      </c>
      <c r="B3" s="36" t="inlineStr">
        <is>
          <t>Provincial</t>
        </is>
      </c>
      <c r="C3" s="36" t="inlineStr">
        <is>
          <t>Home insurance</t>
        </is>
      </c>
      <c r="D3" s="36" t="inlineStr">
        <is>
          <t>Quebec</t>
        </is>
      </c>
      <c r="E3" s="36" t="n"/>
      <c r="F3" s="37" t="n">
        <v>22000</v>
      </c>
      <c r="G3" s="36" t="n">
        <v>70</v>
      </c>
      <c r="H3" s="36" t="inlineStr">
        <is>
          <t>transactional</t>
        </is>
      </c>
      <c r="I3" s="36" t="n">
        <v>3</v>
      </c>
      <c r="J3" s="36" t="inlineStr">
        <is>
          <t>/fr/assurance-habitation/</t>
        </is>
      </c>
      <c r="K3" s="25" t="inlineStr">
        <is>
          <t>sonnet, desjardins, intact</t>
        </is>
      </c>
      <c r="L3" s="25" t="inlineStr">
        <is>
          <t>Planned: /fr/assurance-habitation/.</t>
        </is>
      </c>
      <c r="M3" s="38" t="inlineStr">
        <is>
          <t>Not started</t>
        </is>
      </c>
      <c r="N3" s="38" t="n"/>
      <c r="O3" s="38" t="n"/>
    </row>
    <row r="4" ht="23.85" customHeight="1" s="22">
      <c r="A4" s="36" t="inlineStr">
        <is>
          <t>assurance vie</t>
        </is>
      </c>
      <c r="B4" s="36" t="inlineStr">
        <is>
          <t>Provincial</t>
        </is>
      </c>
      <c r="C4" s="36" t="inlineStr">
        <is>
          <t>Life insurance</t>
        </is>
      </c>
      <c r="D4" s="36" t="inlineStr">
        <is>
          <t>Quebec</t>
        </is>
      </c>
      <c r="E4" s="36" t="n"/>
      <c r="F4" s="37" t="n">
        <v>9900</v>
      </c>
      <c r="G4" s="36" t="n">
        <v>65</v>
      </c>
      <c r="H4" s="36" t="inlineStr">
        <is>
          <t>commercial</t>
        </is>
      </c>
      <c r="I4" s="36" t="n">
        <v>3</v>
      </c>
      <c r="J4" s="36" t="inlineStr">
        <is>
          <t>/fr/assurance-vie/</t>
        </is>
      </c>
      <c r="K4" s="25" t="inlineStr">
        <is>
          <t>desjardins, iA, beneva, sun life</t>
        </is>
      </c>
      <c r="L4" s="25" t="inlineStr">
        <is>
          <t>Planned: /fr/assurance-vie/. No competitor geo page seen for Quebec life insurance; PolicyAdvisor is not licensed there.</t>
        </is>
      </c>
      <c r="M4" s="38" t="inlineStr">
        <is>
          <t>Not started</t>
        </is>
      </c>
      <c r="N4" s="38" t="n"/>
      <c r="O4" s="38" t="n"/>
    </row>
    <row r="5" ht="15" customHeight="1" s="22">
      <c r="A5" s="36" t="inlineStr">
        <is>
          <t>soumission assurance auto</t>
        </is>
      </c>
      <c r="B5" s="36" t="inlineStr">
        <is>
          <t>Provincial</t>
        </is>
      </c>
      <c r="C5" s="36" t="inlineStr">
        <is>
          <t>Car insurance</t>
        </is>
      </c>
      <c r="D5" s="36" t="inlineStr">
        <is>
          <t>Quebec</t>
        </is>
      </c>
      <c r="E5" s="36" t="n"/>
      <c r="F5" s="37" t="n">
        <v>6600</v>
      </c>
      <c r="G5" s="36" t="n">
        <v>65</v>
      </c>
      <c r="H5" s="36" t="inlineStr">
        <is>
          <t>transactional</t>
        </is>
      </c>
      <c r="I5" s="36" t="n">
        <v>3</v>
      </c>
      <c r="J5" s="36" t="inlineStr">
        <is>
          <t>/fr/soumission/</t>
        </is>
      </c>
      <c r="K5" s="25" t="inlineStr">
        <is>
          <t>sonnet ("soumission 100% en ligne")</t>
        </is>
      </c>
      <c r="L5" s="25" t="inlineStr">
        <is>
          <t>Planned: /fr/soumission/ (quote flow in French). Use "soumission" in French titles.</t>
        </is>
      </c>
      <c r="M5" s="38" t="inlineStr">
        <is>
          <t>Not started</t>
        </is>
      </c>
      <c r="N5" s="38" t="n"/>
      <c r="O5" s="38" t="n"/>
    </row>
    <row r="6" ht="15" customHeight="1" s="22">
      <c r="A6" s="36" t="inlineStr">
        <is>
          <t>assurance locataire</t>
        </is>
      </c>
      <c r="B6" s="36" t="inlineStr">
        <is>
          <t>Provincial</t>
        </is>
      </c>
      <c r="C6" s="36" t="inlineStr">
        <is>
          <t>Tenant insurance</t>
        </is>
      </c>
      <c r="D6" s="36" t="inlineStr">
        <is>
          <t>Quebec</t>
        </is>
      </c>
      <c r="E6" s="36" t="n"/>
      <c r="F6" s="37" t="n">
        <v>4400</v>
      </c>
      <c r="G6" s="36" t="n">
        <v>55</v>
      </c>
      <c r="H6" s="36" t="inlineStr">
        <is>
          <t>commercial</t>
        </is>
      </c>
      <c r="I6" s="36" t="n">
        <v>3</v>
      </c>
      <c r="J6" s="36" t="inlineStr">
        <is>
          <t>/fr/assurance-locataire/</t>
        </is>
      </c>
      <c r="K6" s="25" t="inlineStr">
        <is>
          <t>sonnet</t>
        </is>
      </c>
      <c r="L6" s="25" t="inlineStr">
        <is>
          <t>Planned: /fr/assurance-locataire/.</t>
        </is>
      </c>
      <c r="M6" s="38" t="inlineStr">
        <is>
          <t>Not started</t>
        </is>
      </c>
      <c r="N6" s="38" t="n"/>
      <c r="O6" s="38" t="n"/>
    </row>
    <row r="7" ht="23.85" customHeight="1" s="22">
      <c r="A7" s="36" t="inlineStr">
        <is>
          <t>cpp death benefit</t>
        </is>
      </c>
      <c r="B7" s="36" t="inlineStr">
        <is>
          <t>Nationwide</t>
        </is>
      </c>
      <c r="C7" s="36" t="inlineStr">
        <is>
          <t>Life insurance</t>
        </is>
      </c>
      <c r="D7" s="36" t="n"/>
      <c r="E7" s="36" t="n"/>
      <c r="F7" s="37" t="n">
        <v>4400</v>
      </c>
      <c r="G7" s="36" t="n">
        <v>40</v>
      </c>
      <c r="H7" s="36" t="inlineStr">
        <is>
          <t>informational</t>
        </is>
      </c>
      <c r="I7" s="36" t="n">
        <v>2</v>
      </c>
      <c r="J7" s="36" t="inlineStr">
        <is>
          <t>/guides/cpp-death-benefit-and-funeral-costs/</t>
        </is>
      </c>
      <c r="K7" s="25" t="inlineStr">
        <is>
          <t>canada.ca, media</t>
        </is>
      </c>
      <c r="L7" s="25" t="inlineStr">
        <is>
          <t>Planned guide: /guides/cpp-death-benefit-and-funeral-costs/. canada.ca: $2,500 basic plus a possible $2,500 top-up since January 1, 2025.</t>
        </is>
      </c>
      <c r="M7" s="38" t="inlineStr">
        <is>
          <t>Not started</t>
        </is>
      </c>
      <c r="N7" s="38" t="n"/>
      <c r="O7" s="38" t="n"/>
    </row>
    <row r="8" ht="15" customHeight="1" s="22">
      <c r="A8" s="36" t="inlineStr">
        <is>
          <t>best life insurance companies canada</t>
        </is>
      </c>
      <c r="B8" s="36" t="inlineStr">
        <is>
          <t>Nationwide</t>
        </is>
      </c>
      <c r="C8" s="36" t="inlineStr">
        <is>
          <t>Life insurance</t>
        </is>
      </c>
      <c r="D8" s="36" t="n"/>
      <c r="E8" s="36" t="n"/>
      <c r="F8" s="37" t="n">
        <v>2400</v>
      </c>
      <c r="G8" s="36" t="n">
        <v>65</v>
      </c>
      <c r="H8" s="36" t="inlineStr">
        <is>
          <t>commercial</t>
        </is>
      </c>
      <c r="I8" s="36" t="n">
        <v>2</v>
      </c>
      <c r="J8" s="36" t="inlineStr">
        <is>
          <t>/life-insurance/best-companies/</t>
        </is>
      </c>
      <c r="K8" s="25" t="inlineStr">
        <is>
          <t>policyadvisor, wealthnorth, hellosafe</t>
        </is>
      </c>
      <c r="L8" s="25" t="inlineStr">
        <is>
          <t>Planned: /life-insurance/best-companies/. Publish the methodology first.</t>
        </is>
      </c>
      <c r="M8" s="38" t="inlineStr">
        <is>
          <t>Not started</t>
        </is>
      </c>
      <c r="N8" s="38" t="n"/>
      <c r="O8" s="38" t="n"/>
    </row>
    <row r="9" ht="15" customHeight="1" s="22">
      <c r="A9" s="36" t="inlineStr">
        <is>
          <t>most stolen cars canada</t>
        </is>
      </c>
      <c r="B9" s="36" t="inlineStr">
        <is>
          <t>Nationwide</t>
        </is>
      </c>
      <c r="C9" s="36" t="inlineStr">
        <is>
          <t>Car insurance</t>
        </is>
      </c>
      <c r="D9" s="36" t="n"/>
      <c r="E9" s="36" t="n"/>
      <c r="F9" s="37" t="n">
        <v>2400</v>
      </c>
      <c r="G9" s="36" t="n">
        <v>40</v>
      </c>
      <c r="H9" s="36" t="inlineStr">
        <is>
          <t>informational</t>
        </is>
      </c>
      <c r="I9" s="36" t="n">
        <v>2</v>
      </c>
      <c r="J9" s="36" t="inlineStr">
        <is>
          <t>/guides/most-stolen-cars-canada/</t>
        </is>
      </c>
      <c r="K9" s="25" t="inlineStr">
        <is>
          <t>sonnet, equite association, insurancehotline</t>
        </is>
      </c>
      <c r="L9" s="25" t="inlineStr">
        <is>
          <t>Planned: /guides/most-stolen-cars-canada/ refreshed with each Équité report.</t>
        </is>
      </c>
      <c r="M9" s="38" t="inlineStr">
        <is>
          <t>Not started</t>
        </is>
      </c>
      <c r="N9" s="38" t="n"/>
      <c r="O9" s="38" t="n"/>
    </row>
    <row r="10" ht="23.85" customHeight="1" s="22">
      <c r="A10" s="36" t="inlineStr">
        <is>
          <t>best car insurance companies canada</t>
        </is>
      </c>
      <c r="B10" s="36" t="inlineStr">
        <is>
          <t>Nationwide</t>
        </is>
      </c>
      <c r="C10" s="36" t="inlineStr">
        <is>
          <t>Car insurance</t>
        </is>
      </c>
      <c r="D10" s="36" t="n"/>
      <c r="E10" s="36" t="n"/>
      <c r="F10" s="37" t="n">
        <v>1900</v>
      </c>
      <c r="G10" s="36" t="n">
        <v>60</v>
      </c>
      <c r="H10" s="36" t="inlineStr">
        <is>
          <t>commercial</t>
        </is>
      </c>
      <c r="I10" s="36" t="n">
        <v>3</v>
      </c>
      <c r="J10" s="36" t="inlineStr">
        <is>
          <t>/car-insurance/best-companies/</t>
        </is>
      </c>
      <c r="K10" s="25" t="inlineStr">
        <is>
          <t>ratehub blog, mychoice, moneygeek</t>
        </is>
      </c>
      <c r="L10" s="25" t="inlineStr">
        <is>
          <t>Planned: /car-insurance/best-companies/. Needs a published ranking methodology first (Competition Act, RIBO).</t>
        </is>
      </c>
      <c r="M10" s="38" t="inlineStr">
        <is>
          <t>Not started</t>
        </is>
      </c>
      <c r="N10" s="38" t="n"/>
      <c r="O10" s="38" t="n"/>
    </row>
    <row r="11" ht="15" customHeight="1" s="22">
      <c r="A11" s="36" t="inlineStr">
        <is>
          <t>assurance auto montréal</t>
        </is>
      </c>
      <c r="B11" s="36" t="inlineStr">
        <is>
          <t>City</t>
        </is>
      </c>
      <c r="C11" s="36" t="inlineStr">
        <is>
          <t>Car insurance</t>
        </is>
      </c>
      <c r="D11" s="36" t="inlineStr">
        <is>
          <t>Quebec</t>
        </is>
      </c>
      <c r="E11" s="36" t="inlineStr">
        <is>
          <t>Montreal</t>
        </is>
      </c>
      <c r="F11" s="37" t="n">
        <v>1600</v>
      </c>
      <c r="G11" s="36" t="n">
        <v>55</v>
      </c>
      <c r="H11" s="36" t="inlineStr">
        <is>
          <t>local</t>
        </is>
      </c>
      <c r="I11" s="36" t="n">
        <v>3</v>
      </c>
      <c r="J11" s="36" t="inlineStr">
        <is>
          <t>/fr/assurance-auto/quebec/montreal/</t>
        </is>
      </c>
      <c r="K11" s="25" t="inlineStr">
        <is>
          <t>ratehub (EN only)</t>
        </is>
      </c>
      <c r="L11" s="25" t="inlineStr">
        <is>
          <t>Planned: /fr/assurance-auto/quebec/montreal/.</t>
        </is>
      </c>
      <c r="M11" s="38" t="inlineStr">
        <is>
          <t>Not started</t>
        </is>
      </c>
      <c r="N11" s="38" t="n"/>
      <c r="O11" s="38" t="n"/>
    </row>
    <row r="12" ht="23.85" customHeight="1" s="22">
      <c r="A12" s="36" t="inlineStr">
        <is>
          <t>car insurance scarborough</t>
        </is>
      </c>
      <c r="B12" s="36" t="inlineStr">
        <is>
          <t>City</t>
        </is>
      </c>
      <c r="C12" s="36" t="inlineStr">
        <is>
          <t>Car insurance</t>
        </is>
      </c>
      <c r="D12" s="36" t="inlineStr">
        <is>
          <t>Ontario</t>
        </is>
      </c>
      <c r="E12" s="36" t="inlineStr">
        <is>
          <t>Toronto</t>
        </is>
      </c>
      <c r="F12" s="37" t="n">
        <v>1600</v>
      </c>
      <c r="G12" s="36" t="n">
        <v>50</v>
      </c>
      <c r="H12" s="36" t="inlineStr">
        <is>
          <t>local</t>
        </is>
      </c>
      <c r="I12" s="36" t="n">
        <v>1</v>
      </c>
      <c r="J12" s="36" t="n"/>
      <c r="K12" s="25" t="inlineStr">
        <is>
          <t>rates.ca, sonnet ($330/mo)</t>
        </is>
      </c>
      <c r="L12" s="25" t="inlineStr">
        <is>
          <t>Planned Toronto sub-area page (/car-insurance/ontario/toronto/scarborough/). Ratehub has none. Needs a verified population figure or no population fact.</t>
        </is>
      </c>
      <c r="M12" s="38" t="inlineStr">
        <is>
          <t>Not started</t>
        </is>
      </c>
      <c r="N12" s="38" t="n"/>
      <c r="O12" s="38" t="n"/>
    </row>
    <row r="13" ht="15" customHeight="1" s="22">
      <c r="A13" s="36" t="inlineStr">
        <is>
          <t>comprehensive vs collision insurance</t>
        </is>
      </c>
      <c r="B13" s="36" t="inlineStr">
        <is>
          <t>Nationwide</t>
        </is>
      </c>
      <c r="C13" s="36" t="inlineStr">
        <is>
          <t>Car insurance</t>
        </is>
      </c>
      <c r="D13" s="36" t="n"/>
      <c r="E13" s="36" t="n"/>
      <c r="F13" s="37" t="n">
        <v>1600</v>
      </c>
      <c r="G13" s="36" t="n">
        <v>40</v>
      </c>
      <c r="H13" s="36" t="inlineStr">
        <is>
          <t>informational</t>
        </is>
      </c>
      <c r="I13" s="36" t="n">
        <v>3</v>
      </c>
      <c r="J13" s="36" t="n"/>
      <c r="K13" s="25" t="inlineStr">
        <is>
          <t>rates.ca coverage pages</t>
        </is>
      </c>
      <c r="L13" s="25" t="inlineStr">
        <is>
          <t>Planned guide. The glossary covers the terms meanwhile.</t>
        </is>
      </c>
      <c r="M13" s="38" t="inlineStr">
        <is>
          <t>Not started</t>
        </is>
      </c>
      <c r="N13" s="38" t="n"/>
      <c r="O13" s="38" t="n"/>
    </row>
    <row r="14" ht="23.85" customHeight="1" s="22">
      <c r="A14" s="36" t="inlineStr">
        <is>
          <t>cost of a funeral in canada</t>
        </is>
      </c>
      <c r="B14" s="36" t="inlineStr">
        <is>
          <t>Nationwide</t>
        </is>
      </c>
      <c r="C14" s="36" t="inlineStr">
        <is>
          <t>Life insurance</t>
        </is>
      </c>
      <c r="D14" s="36" t="n"/>
      <c r="E14" s="36" t="n"/>
      <c r="F14" s="37" t="n">
        <v>1600</v>
      </c>
      <c r="G14" s="36" t="n">
        <v>30</v>
      </c>
      <c r="H14" s="36" t="inlineStr">
        <is>
          <t>informational</t>
        </is>
      </c>
      <c r="I14" s="36" t="n">
        <v>2</v>
      </c>
      <c r="J14" s="36" t="inlineStr">
        <is>
          <t>/guides/funeral-costs-canada-by-province/</t>
        </is>
      </c>
      <c r="K14" s="25" t="inlineStr">
        <is>
          <t>funeral homes, media</t>
        </is>
      </c>
      <c r="L14" s="25" t="inlineStr">
        <is>
          <t>Planned guide: /guides/funeral-costs-canada-by-province/. Never invent an average; use provincial and funeral-home price lists.</t>
        </is>
      </c>
      <c r="M14" s="38" t="inlineStr">
        <is>
          <t>Not started</t>
        </is>
      </c>
      <c r="N14" s="38" t="n"/>
      <c r="O14" s="38" t="n"/>
    </row>
    <row r="15" ht="15" customHeight="1" s="22">
      <c r="A15" s="36" t="inlineStr">
        <is>
          <t>assurance maladies graves</t>
        </is>
      </c>
      <c r="B15" s="36" t="inlineStr">
        <is>
          <t>Provincial</t>
        </is>
      </c>
      <c r="C15" s="36" t="inlineStr">
        <is>
          <t>Critical illness insurance</t>
        </is>
      </c>
      <c r="D15" s="36" t="inlineStr">
        <is>
          <t>Quebec</t>
        </is>
      </c>
      <c r="E15" s="36" t="n"/>
      <c r="F15" s="37" t="n">
        <v>1300</v>
      </c>
      <c r="G15" s="36" t="n">
        <v>40</v>
      </c>
      <c r="H15" s="36" t="inlineStr">
        <is>
          <t>commercial</t>
        </is>
      </c>
      <c r="I15" s="36" t="n">
        <v>3</v>
      </c>
      <c r="J15" s="36" t="inlineStr">
        <is>
          <t>/fr/assurance-maladies-graves/</t>
        </is>
      </c>
      <c r="K15" s="25" t="inlineStr">
        <is>
          <t>desjardins, sun life</t>
        </is>
      </c>
      <c r="L15" s="25" t="inlineStr">
        <is>
          <t>Planned: /fr/assurance-maladies-graves/.</t>
        </is>
      </c>
      <c r="M15" s="38" t="inlineStr">
        <is>
          <t>Not started</t>
        </is>
      </c>
      <c r="N15" s="38" t="n"/>
      <c r="O15" s="38" t="n"/>
    </row>
    <row r="16" ht="15" customHeight="1" s="22">
      <c r="A16" s="36" t="inlineStr">
        <is>
          <t>assurance habitation montréal</t>
        </is>
      </c>
      <c r="B16" s="36" t="inlineStr">
        <is>
          <t>City</t>
        </is>
      </c>
      <c r="C16" s="36" t="inlineStr">
        <is>
          <t>Home insurance</t>
        </is>
      </c>
      <c r="D16" s="36" t="inlineStr">
        <is>
          <t>Quebec</t>
        </is>
      </c>
      <c r="E16" s="36" t="inlineStr">
        <is>
          <t>Montreal</t>
        </is>
      </c>
      <c r="F16" s="37" t="n">
        <v>1000</v>
      </c>
      <c r="G16" s="36" t="n">
        <v>50</v>
      </c>
      <c r="H16" s="36" t="inlineStr">
        <is>
          <t>local</t>
        </is>
      </c>
      <c r="I16" s="36" t="n">
        <v>3</v>
      </c>
      <c r="J16" s="36" t="inlineStr">
        <is>
          <t>/fr/assurance-habitation/quebec/montreal/</t>
        </is>
      </c>
      <c r="K16" s="25" t="inlineStr">
        <is>
          <t>sonnet</t>
        </is>
      </c>
      <c r="L16" s="25" t="inlineStr">
        <is>
          <t>Planned: /fr/assurance-habitation/quebec/montreal/.</t>
        </is>
      </c>
      <c r="M16" s="38" t="inlineStr">
        <is>
          <t>Not started</t>
        </is>
      </c>
      <c r="N16" s="38" t="n"/>
      <c r="O16" s="38" t="n"/>
    </row>
    <row r="17" ht="15" customHeight="1" s="22">
      <c r="A17" s="36" t="inlineStr">
        <is>
          <t>assurance invalidité</t>
        </is>
      </c>
      <c r="B17" s="36" t="inlineStr">
        <is>
          <t>Provincial</t>
        </is>
      </c>
      <c r="C17" s="36" t="inlineStr">
        <is>
          <t>Disability insurance</t>
        </is>
      </c>
      <c r="D17" s="36" t="inlineStr">
        <is>
          <t>Quebec</t>
        </is>
      </c>
      <c r="E17" s="36" t="n"/>
      <c r="F17" s="37" t="n">
        <v>1000</v>
      </c>
      <c r="G17" s="36" t="n">
        <v>40</v>
      </c>
      <c r="H17" s="36" t="inlineStr">
        <is>
          <t>commercial</t>
        </is>
      </c>
      <c r="I17" s="36" t="n">
        <v>3</v>
      </c>
      <c r="J17" s="36" t="inlineStr">
        <is>
          <t>/fr/assurance-invalidite/</t>
        </is>
      </c>
      <c r="K17" s="25" t="inlineStr">
        <is>
          <t>desjardins, iA</t>
        </is>
      </c>
      <c r="L17" s="25" t="inlineStr">
        <is>
          <t>Planned: /fr/assurance-invalidite/.</t>
        </is>
      </c>
      <c r="M17" s="38" t="inlineStr">
        <is>
          <t>Not started</t>
        </is>
      </c>
      <c r="N17" s="38" t="n"/>
      <c r="O17" s="38" t="n"/>
    </row>
    <row r="18" ht="15" customHeight="1" s="22">
      <c r="A18" s="36" t="inlineStr">
        <is>
          <t>car insurance north york</t>
        </is>
      </c>
      <c r="B18" s="36" t="inlineStr">
        <is>
          <t>City</t>
        </is>
      </c>
      <c r="C18" s="36" t="inlineStr">
        <is>
          <t>Car insurance</t>
        </is>
      </c>
      <c r="D18" s="36" t="inlineStr">
        <is>
          <t>Ontario</t>
        </is>
      </c>
      <c r="E18" s="36" t="inlineStr">
        <is>
          <t>Toronto</t>
        </is>
      </c>
      <c r="F18" s="37" t="n">
        <v>1000</v>
      </c>
      <c r="G18" s="36" t="n">
        <v>45</v>
      </c>
      <c r="H18" s="36" t="inlineStr">
        <is>
          <t>local</t>
        </is>
      </c>
      <c r="I18" s="36" t="n">
        <v>1</v>
      </c>
      <c r="J18" s="36" t="n"/>
      <c r="K18" s="25" t="inlineStr">
        <is>
          <t>rates.ca (generic title, no city name)</t>
        </is>
      </c>
      <c r="L18" s="25" t="inlineStr">
        <is>
          <t>Planned Toronto sub-area page. Rates.ca's title omits the city: easy to beat.</t>
        </is>
      </c>
      <c r="M18" s="38" t="inlineStr">
        <is>
          <t>Not started</t>
        </is>
      </c>
      <c r="N18" s="38" t="n"/>
      <c r="O18" s="38" t="n"/>
    </row>
    <row r="19" ht="15" customHeight="1" s="22">
      <c r="A19" s="36" t="inlineStr">
        <is>
          <t>gap insurance canada</t>
        </is>
      </c>
      <c r="B19" s="36" t="inlineStr">
        <is>
          <t>Nationwide</t>
        </is>
      </c>
      <c r="C19" s="36" t="inlineStr">
        <is>
          <t>Car insurance</t>
        </is>
      </c>
      <c r="D19" s="36" t="n"/>
      <c r="E19" s="36" t="n"/>
      <c r="F19" s="37" t="n">
        <v>1000</v>
      </c>
      <c r="G19" s="36" t="n">
        <v>40</v>
      </c>
      <c r="H19" s="36" t="inlineStr">
        <is>
          <t>informational</t>
        </is>
      </c>
      <c r="I19" s="36" t="n">
        <v>4</v>
      </c>
      <c r="J19" s="36" t="n"/>
      <c r="K19" s="25" t="inlineStr">
        <is>
          <t>rates.ca, ratehub</t>
        </is>
      </c>
      <c r="L19" s="25" t="inlineStr">
        <is>
          <t>FSRA warned in 2026 about unlicensed GAP sales. Explainer only.</t>
        </is>
      </c>
      <c r="M19" s="38" t="inlineStr">
        <is>
          <t>Not started</t>
        </is>
      </c>
      <c r="N19" s="38" t="n"/>
      <c r="O19" s="38" t="n"/>
    </row>
    <row r="20" ht="15" customHeight="1" s="22">
      <c r="A20" s="36" t="inlineStr">
        <is>
          <t>saaq car insurance</t>
        </is>
      </c>
      <c r="B20" s="36" t="inlineStr">
        <is>
          <t>Provincial</t>
        </is>
      </c>
      <c r="C20" s="36" t="inlineStr">
        <is>
          <t>Car insurance</t>
        </is>
      </c>
      <c r="D20" s="36" t="inlineStr">
        <is>
          <t>Quebec</t>
        </is>
      </c>
      <c r="E20" s="36" t="n"/>
      <c r="F20" s="37" t="n">
        <v>1000</v>
      </c>
      <c r="G20" s="36" t="n">
        <v>40</v>
      </c>
      <c r="H20" s="36" t="inlineStr">
        <is>
          <t>informational</t>
        </is>
      </c>
      <c r="I20" s="36" t="n">
        <v>4</v>
      </c>
      <c r="J20" s="36" t="n"/>
      <c r="K20" s="25" t="inlineStr">
        <is>
          <t>sonnet (3+ posts)</t>
        </is>
      </c>
      <c r="L20" s="25" t="inlineStr">
        <is>
          <t>Quebec is waitlisted until AMF registration and French pages exist.</t>
        </is>
      </c>
      <c r="M20" s="38" t="inlineStr">
        <is>
          <t>Not started</t>
        </is>
      </c>
      <c r="N20" s="38" t="n"/>
      <c r="O20" s="38" t="n"/>
    </row>
    <row r="21" ht="15" customHeight="1" s="22">
      <c r="A21" s="36" t="inlineStr">
        <is>
          <t>assurance auto québec</t>
        </is>
      </c>
      <c r="B21" s="36" t="inlineStr">
        <is>
          <t>City</t>
        </is>
      </c>
      <c r="C21" s="36" t="inlineStr">
        <is>
          <t>Car insurance</t>
        </is>
      </c>
      <c r="D21" s="36" t="inlineStr">
        <is>
          <t>Quebec</t>
        </is>
      </c>
      <c r="E21" s="36" t="inlineStr">
        <is>
          <t>Quebec City</t>
        </is>
      </c>
      <c r="F21" s="37" t="n">
        <v>880</v>
      </c>
      <c r="G21" s="36" t="n">
        <v>50</v>
      </c>
      <c r="H21" s="36" t="inlineStr">
        <is>
          <t>local</t>
        </is>
      </c>
      <c r="I21" s="36" t="n">
        <v>3</v>
      </c>
      <c r="J21" s="36" t="inlineStr">
        <is>
          <t>/fr/assurance-auto/quebec/ville-de-quebec/</t>
        </is>
      </c>
      <c r="K21" s="25" t="inlineStr">
        <is>
          <t>sonnet</t>
        </is>
      </c>
      <c r="L21" s="25" t="inlineStr">
        <is>
          <t>Planned: /fr/assurance-auto/quebec/ville-de-quebec/.</t>
        </is>
      </c>
      <c r="M21" s="38" t="inlineStr">
        <is>
          <t>Not started</t>
        </is>
      </c>
      <c r="N21" s="38" t="n"/>
      <c r="O21" s="38" t="n"/>
    </row>
    <row r="22" ht="15" customHeight="1" s="22">
      <c r="A22" s="36" t="inlineStr">
        <is>
          <t>car insurance etobicoke</t>
        </is>
      </c>
      <c r="B22" s="36" t="inlineStr">
        <is>
          <t>City</t>
        </is>
      </c>
      <c r="C22" s="36" t="inlineStr">
        <is>
          <t>Car insurance</t>
        </is>
      </c>
      <c r="D22" s="36" t="inlineStr">
        <is>
          <t>Ontario</t>
        </is>
      </c>
      <c r="E22" s="36" t="inlineStr">
        <is>
          <t>Toronto</t>
        </is>
      </c>
      <c r="F22" s="37" t="n">
        <v>880</v>
      </c>
      <c r="G22" s="36" t="n">
        <v>45</v>
      </c>
      <c r="H22" s="36" t="inlineStr">
        <is>
          <t>local</t>
        </is>
      </c>
      <c r="I22" s="36" t="n">
        <v>2</v>
      </c>
      <c r="J22" s="36" t="n"/>
      <c r="K22" s="25" t="inlineStr">
        <is>
          <t>rates.ca</t>
        </is>
      </c>
      <c r="L22" s="25" t="inlineStr">
        <is>
          <t>Planned Toronto sub-area page.</t>
        </is>
      </c>
      <c r="M22" s="38" t="inlineStr">
        <is>
          <t>Not started</t>
        </is>
      </c>
      <c r="N22" s="38" t="n"/>
      <c r="O22" s="38" t="n"/>
    </row>
    <row r="23" ht="15" customHeight="1" s="22">
      <c r="A23" s="36" t="inlineStr">
        <is>
          <t>sonnet insurance review</t>
        </is>
      </c>
      <c r="B23" s="36" t="inlineStr">
        <is>
          <t>Nationwide</t>
        </is>
      </c>
      <c r="C23" s="36" t="inlineStr">
        <is>
          <t>Car insurance</t>
        </is>
      </c>
      <c r="D23" s="36" t="n"/>
      <c r="E23" s="36" t="n"/>
      <c r="F23" s="37" t="n">
        <v>880</v>
      </c>
      <c r="G23" s="36" t="n">
        <v>30</v>
      </c>
      <c r="H23" s="36" t="inlineStr">
        <is>
          <t>commercial</t>
        </is>
      </c>
      <c r="I23" s="36" t="n">
        <v>3</v>
      </c>
      <c r="J23" s="36" t="inlineStr">
        <is>
          <t>/reviews/{insurer}/</t>
        </is>
      </c>
      <c r="K23" s="25" t="inlineStr">
        <is>
          <t>youset, policyme, lowestrates, comparewise</t>
        </is>
      </c>
      <c r="L23" s="25" t="inlineStr">
        <is>
          <t>Planned: /reviews/{insurer}/. Brand-review SERPs looked soft.</t>
        </is>
      </c>
      <c r="M23" s="38" t="inlineStr">
        <is>
          <t>Not started</t>
        </is>
      </c>
      <c r="N23" s="38" t="n"/>
      <c r="O23" s="38" t="n"/>
    </row>
    <row r="24" ht="15" customHeight="1" s="22">
      <c r="A24" s="36" t="inlineStr">
        <is>
          <t>children's life insurance</t>
        </is>
      </c>
      <c r="B24" s="36" t="inlineStr">
        <is>
          <t>Nationwide</t>
        </is>
      </c>
      <c r="C24" s="36" t="inlineStr">
        <is>
          <t>Life insurance</t>
        </is>
      </c>
      <c r="D24" s="36" t="n"/>
      <c r="E24" s="36" t="n"/>
      <c r="F24" s="37" t="n">
        <v>720</v>
      </c>
      <c r="G24" s="36" t="n">
        <v>40</v>
      </c>
      <c r="H24" s="36" t="inlineStr">
        <is>
          <t>commercial</t>
        </is>
      </c>
      <c r="I24" s="36" t="n">
        <v>4</v>
      </c>
      <c r="J24" s="36" t="inlineStr">
        <is>
          <t>/life-insurance/children/</t>
        </is>
      </c>
      <c r="K24" s="25" t="inlineStr">
        <is>
          <t>policyadvisor</t>
        </is>
      </c>
      <c r="L24" s="25" t="inlineStr">
        <is>
          <t>Planned: /life-insurance/children/.</t>
        </is>
      </c>
      <c r="M24" s="38" t="inlineStr">
        <is>
          <t>Not started</t>
        </is>
      </c>
      <c r="N24" s="38" t="n"/>
      <c r="O24" s="38" t="n"/>
    </row>
    <row r="25" ht="15" customHeight="1" s="22">
      <c r="A25" s="36" t="inlineStr">
        <is>
          <t>is life insurance taxable in canada</t>
        </is>
      </c>
      <c r="B25" s="36" t="inlineStr">
        <is>
          <t>Nationwide</t>
        </is>
      </c>
      <c r="C25" s="36" t="inlineStr">
        <is>
          <t>Life insurance</t>
        </is>
      </c>
      <c r="D25" s="36" t="n"/>
      <c r="E25" s="36" t="n"/>
      <c r="F25" s="37" t="n">
        <v>720</v>
      </c>
      <c r="G25" s="36" t="n">
        <v>40</v>
      </c>
      <c r="H25" s="36" t="inlineStr">
        <is>
          <t>informational</t>
        </is>
      </c>
      <c r="I25" s="36" t="n">
        <v>3</v>
      </c>
      <c r="J25" s="36" t="n"/>
      <c r="K25" s="25" t="inlineStr">
        <is>
          <t>policyadvisor</t>
        </is>
      </c>
      <c r="L25" s="25" t="inlineStr">
        <is>
          <t>Planned guide.</t>
        </is>
      </c>
      <c r="M25" s="38" t="inlineStr">
        <is>
          <t>Not started</t>
        </is>
      </c>
      <c r="N25" s="38" t="n"/>
      <c r="O25" s="38" t="n"/>
    </row>
    <row r="26" ht="15" customHeight="1" s="22">
      <c r="A26" s="36" t="inlineStr">
        <is>
          <t>why is home insurance going up</t>
        </is>
      </c>
      <c r="B26" s="36" t="inlineStr">
        <is>
          <t>Nationwide</t>
        </is>
      </c>
      <c r="C26" s="36" t="inlineStr">
        <is>
          <t>Home insurance</t>
        </is>
      </c>
      <c r="D26" s="36" t="n"/>
      <c r="E26" s="36" t="n"/>
      <c r="F26" s="37" t="n">
        <v>720</v>
      </c>
      <c r="G26" s="36" t="n">
        <v>30</v>
      </c>
      <c r="H26" s="36" t="inlineStr">
        <is>
          <t>informational</t>
        </is>
      </c>
      <c r="I26" s="36" t="n">
        <v>2</v>
      </c>
      <c r="J26" s="36" t="n"/>
      <c r="K26" s="25" t="inlineStr">
        <is>
          <t>(news)</t>
        </is>
      </c>
      <c r="L26" s="25" t="inlineStr">
        <is>
          <t>Property premiums rose 5.8% year over year in Q2 2026 (Applied, verify). Planned guide.</t>
        </is>
      </c>
      <c r="M26" s="38" t="inlineStr">
        <is>
          <t>Not started</t>
        </is>
      </c>
      <c r="N26" s="38" t="n"/>
      <c r="O26" s="38" t="n"/>
    </row>
    <row r="27" ht="15" customHeight="1" s="22">
      <c r="A27" s="36" t="inlineStr">
        <is>
          <t>intact insurance review</t>
        </is>
      </c>
      <c r="B27" s="36" t="inlineStr">
        <is>
          <t>Nationwide</t>
        </is>
      </c>
      <c r="C27" s="36" t="inlineStr">
        <is>
          <t>Car insurance</t>
        </is>
      </c>
      <c r="D27" s="36" t="n"/>
      <c r="E27" s="36" t="n"/>
      <c r="F27" s="37" t="n">
        <v>590</v>
      </c>
      <c r="G27" s="36" t="n">
        <v>35</v>
      </c>
      <c r="H27" s="36" t="inlineStr">
        <is>
          <t>commercial</t>
        </is>
      </c>
      <c r="I27" s="36" t="n">
        <v>4</v>
      </c>
      <c r="J27" s="36" t="inlineStr">
        <is>
          <t>/reviews/intact/</t>
        </is>
      </c>
      <c r="K27" s="25" t="inlineStr">
        <is>
          <t>ratehub, rates.ca</t>
        </is>
      </c>
      <c r="L27" s="25" t="inlineStr">
        <is>
          <t>Planned: /reviews/intact/ with a published review method.</t>
        </is>
      </c>
      <c r="M27" s="38" t="inlineStr">
        <is>
          <t>Not started</t>
        </is>
      </c>
      <c r="N27" s="38" t="n"/>
      <c r="O27" s="38" t="n"/>
    </row>
    <row r="28" ht="15" customHeight="1" s="22">
      <c r="A28" s="36" t="inlineStr">
        <is>
          <t>usage based insurance canada</t>
        </is>
      </c>
      <c r="B28" s="36" t="inlineStr">
        <is>
          <t>Nationwide</t>
        </is>
      </c>
      <c r="C28" s="36" t="inlineStr">
        <is>
          <t>Car insurance</t>
        </is>
      </c>
      <c r="D28" s="36" t="n"/>
      <c r="E28" s="36" t="n"/>
      <c r="F28" s="37" t="n">
        <v>590</v>
      </c>
      <c r="G28" s="36" t="n">
        <v>35</v>
      </c>
      <c r="H28" s="36" t="inlineStr">
        <is>
          <t>informational</t>
        </is>
      </c>
      <c r="I28" s="36" t="n">
        <v>4</v>
      </c>
      <c r="J28" s="36" t="inlineStr">
        <is>
          <t>/guides/usage-based-car-insurance-canada/</t>
        </is>
      </c>
      <c r="K28" s="25" t="inlineStr">
        <is>
          <t>sonnet shift, ratehub survey</t>
        </is>
      </c>
      <c r="L28" s="25" t="inlineStr">
        <is>
          <t>Planned guide: /guides/usage-based-car-insurance-canada/.</t>
        </is>
      </c>
      <c r="M28" s="38" t="inlineStr">
        <is>
          <t>Not started</t>
        </is>
      </c>
      <c r="N28" s="38" t="n"/>
      <c r="O28" s="38" t="n"/>
    </row>
    <row r="29" ht="15" customHeight="1" s="22">
      <c r="A29" s="36" t="inlineStr">
        <is>
          <t>assurance auto laval</t>
        </is>
      </c>
      <c r="B29" s="36" t="inlineStr">
        <is>
          <t>City</t>
        </is>
      </c>
      <c r="C29" s="36" t="inlineStr">
        <is>
          <t>Car insurance</t>
        </is>
      </c>
      <c r="D29" s="36" t="inlineStr">
        <is>
          <t>Quebec</t>
        </is>
      </c>
      <c r="E29" s="36" t="inlineStr">
        <is>
          <t>Laval</t>
        </is>
      </c>
      <c r="F29" s="37" t="n">
        <v>480</v>
      </c>
      <c r="G29" s="36" t="n">
        <v>45</v>
      </c>
      <c r="H29" s="36" t="inlineStr">
        <is>
          <t>local</t>
        </is>
      </c>
      <c r="I29" s="36" t="n">
        <v>3</v>
      </c>
      <c r="J29" s="36" t="inlineStr">
        <is>
          <t>/fr/assurance-auto/quebec/laval/</t>
        </is>
      </c>
      <c r="K29" s="25" t="inlineStr">
        <is>
          <t>sonnet</t>
        </is>
      </c>
      <c r="L29" s="25" t="inlineStr">
        <is>
          <t>Planned: /fr/assurance-auto/quebec/laval/.</t>
        </is>
      </c>
      <c r="M29" s="38" t="inlineStr">
        <is>
          <t>Not started</t>
        </is>
      </c>
      <c r="N29" s="38" t="n"/>
      <c r="O29" s="38" t="n"/>
    </row>
    <row r="30" ht="15" customHeight="1" s="22">
      <c r="A30" s="36" t="inlineStr">
        <is>
          <t>best critical illness insurance canada</t>
        </is>
      </c>
      <c r="B30" s="36" t="inlineStr">
        <is>
          <t>Nationwide</t>
        </is>
      </c>
      <c r="C30" s="36" t="inlineStr">
        <is>
          <t>Critical illness insurance</t>
        </is>
      </c>
      <c r="D30" s="36" t="n"/>
      <c r="E30" s="36" t="n"/>
      <c r="F30" s="37" t="n">
        <v>480</v>
      </c>
      <c r="G30" s="36" t="n">
        <v>45</v>
      </c>
      <c r="H30" s="36" t="inlineStr">
        <is>
          <t>commercial</t>
        </is>
      </c>
      <c r="I30" s="36" t="n">
        <v>2</v>
      </c>
      <c r="J30" s="36" t="inlineStr">
        <is>
          <t>/critical-illness-insurance/best-companies/</t>
        </is>
      </c>
      <c r="K30" s="25" t="inlineStr">
        <is>
          <t>policyadvisor</t>
        </is>
      </c>
      <c r="L30" s="25" t="inlineStr">
        <is>
          <t>Planned: /critical-illness-insurance/best-companies/ with methodology.</t>
        </is>
      </c>
      <c r="M30" s="38" t="inlineStr">
        <is>
          <t>Not started</t>
        </is>
      </c>
      <c r="N30" s="38" t="n"/>
      <c r="O30" s="38" t="n"/>
    </row>
    <row r="31" ht="15" customHeight="1" s="22">
      <c r="A31" s="36" t="inlineStr">
        <is>
          <t>manulife life insurance review</t>
        </is>
      </c>
      <c r="B31" s="36" t="inlineStr">
        <is>
          <t>Nationwide</t>
        </is>
      </c>
      <c r="C31" s="36" t="inlineStr">
        <is>
          <t>Life insurance</t>
        </is>
      </c>
      <c r="D31" s="36" t="n"/>
      <c r="E31" s="36" t="n"/>
      <c r="F31" s="37" t="n">
        <v>480</v>
      </c>
      <c r="G31" s="36" t="n">
        <v>35</v>
      </c>
      <c r="H31" s="36" t="inlineStr">
        <is>
          <t>commercial</t>
        </is>
      </c>
      <c r="I31" s="36" t="n">
        <v>3</v>
      </c>
      <c r="J31" s="36" t="inlineStr">
        <is>
          <t>/reviews/manulife/</t>
        </is>
      </c>
      <c r="K31" s="25" t="inlineStr">
        <is>
          <t>policyadvisor</t>
        </is>
      </c>
      <c r="L31" s="25" t="inlineStr">
        <is>
          <t>Planned: /reviews/manulife/.</t>
        </is>
      </c>
      <c r="M31" s="38" t="inlineStr">
        <is>
          <t>Not started</t>
        </is>
      </c>
      <c r="N31" s="38" t="n"/>
      <c r="O31" s="38" t="n"/>
    </row>
    <row r="32" ht="15" customHeight="1" s="22">
      <c r="A32" s="36" t="inlineStr">
        <is>
          <t>assurance auto gatineau</t>
        </is>
      </c>
      <c r="B32" s="36" t="inlineStr">
        <is>
          <t>City</t>
        </is>
      </c>
      <c r="C32" s="36" t="inlineStr">
        <is>
          <t>Car insurance</t>
        </is>
      </c>
      <c r="D32" s="36" t="inlineStr">
        <is>
          <t>Quebec</t>
        </is>
      </c>
      <c r="E32" s="36" t="inlineStr">
        <is>
          <t>Gatineau</t>
        </is>
      </c>
      <c r="F32" s="37" t="n">
        <v>390</v>
      </c>
      <c r="G32" s="36" t="n">
        <v>35</v>
      </c>
      <c r="H32" s="36" t="inlineStr">
        <is>
          <t>local</t>
        </is>
      </c>
      <c r="I32" s="36" t="n">
        <v>4</v>
      </c>
      <c r="J32" s="36" t="inlineStr">
        <is>
          <t>/fr/assurance-auto/quebec/gatineau/</t>
        </is>
      </c>
      <c r="K32" s="25" t="inlineStr">
        <is>
          <t>(none seen)</t>
        </is>
      </c>
      <c r="L32" s="25" t="inlineStr">
        <is>
          <t>Planned: /fr/assurance-auto/quebec/gatineau/.</t>
        </is>
      </c>
      <c r="M32" s="38" t="inlineStr">
        <is>
          <t>Not started</t>
        </is>
      </c>
      <c r="N32" s="38" t="n"/>
      <c r="O32" s="38" t="n"/>
    </row>
    <row r="33" ht="15" customHeight="1" s="22">
      <c r="A33" s="36" t="inlineStr">
        <is>
          <t>car insurance rate increase by company ontario</t>
        </is>
      </c>
      <c r="B33" s="36" t="inlineStr">
        <is>
          <t>Nationwide</t>
        </is>
      </c>
      <c r="C33" s="36" t="inlineStr">
        <is>
          <t>Car insurance</t>
        </is>
      </c>
      <c r="D33" s="36" t="n"/>
      <c r="E33" s="36" t="n"/>
      <c r="F33" s="37" t="n">
        <v>390</v>
      </c>
      <c r="G33" s="36" t="n">
        <v>45</v>
      </c>
      <c r="H33" s="36" t="inlineStr">
        <is>
          <t>informational</t>
        </is>
      </c>
      <c r="I33" s="36" t="n">
        <v>4</v>
      </c>
      <c r="J33" s="36" t="n"/>
      <c r="K33" s="25" t="inlineStr">
        <is>
          <t>rates.ca (Ontario rate tracker)</t>
        </is>
      </c>
      <c r="L33" s="25" t="inlineStr">
        <is>
          <t>Rates.ca owns this with a quarterly FSRA-based tracker. Link to FSRA rather than duplicate.</t>
        </is>
      </c>
      <c r="M33" s="38" t="inlineStr">
        <is>
          <t>Not started</t>
        </is>
      </c>
      <c r="N33" s="38" t="n"/>
      <c r="O33" s="38" t="n"/>
    </row>
    <row r="34" ht="15" customHeight="1" s="22">
      <c r="A34" s="36" t="inlineStr">
        <is>
          <t>sun life life insurance review</t>
        </is>
      </c>
      <c r="B34" s="36" t="inlineStr">
        <is>
          <t>Nationwide</t>
        </is>
      </c>
      <c r="C34" s="36" t="inlineStr">
        <is>
          <t>Life insurance</t>
        </is>
      </c>
      <c r="D34" s="36" t="n"/>
      <c r="E34" s="36" t="n"/>
      <c r="F34" s="37" t="n">
        <v>390</v>
      </c>
      <c r="G34" s="36" t="n">
        <v>35</v>
      </c>
      <c r="H34" s="36" t="inlineStr">
        <is>
          <t>commercial</t>
        </is>
      </c>
      <c r="I34" s="36" t="n">
        <v>3</v>
      </c>
      <c r="J34" s="36" t="inlineStr">
        <is>
          <t>/reviews/sun-life/</t>
        </is>
      </c>
      <c r="K34" s="25" t="inlineStr">
        <is>
          <t>policyadvisor</t>
        </is>
      </c>
      <c r="L34" s="25" t="inlineStr">
        <is>
          <t>Planned: /reviews/sun-life/.</t>
        </is>
      </c>
      <c r="M34" s="38" t="inlineStr">
        <is>
          <t>Not started</t>
        </is>
      </c>
      <c r="N34" s="38" t="n"/>
      <c r="O34" s="38" t="n"/>
    </row>
    <row r="35" ht="23.85" customHeight="1" s="22">
      <c r="A35" s="36" t="inlineStr">
        <is>
          <t>sun life vs manulife</t>
        </is>
      </c>
      <c r="B35" s="36" t="inlineStr">
        <is>
          <t>Nationwide</t>
        </is>
      </c>
      <c r="C35" s="36" t="inlineStr">
        <is>
          <t>Life insurance</t>
        </is>
      </c>
      <c r="D35" s="36" t="n"/>
      <c r="E35" s="36" t="n"/>
      <c r="F35" s="37" t="n">
        <v>390</v>
      </c>
      <c r="G35" s="36" t="n">
        <v>45</v>
      </c>
      <c r="H35" s="36" t="inlineStr">
        <is>
          <t>commercial</t>
        </is>
      </c>
      <c r="I35" s="36" t="n">
        <v>4</v>
      </c>
      <c r="J35" s="36" t="n"/>
      <c r="K35" s="25" t="inlineStr">
        <is>
          <t>policyadvisor (15 programmatic term-life head-to-heads)</t>
        </is>
      </c>
      <c r="L35" s="25" t="inlineStr">
        <is>
          <t>PolicyAdvisor already runs 15 carrier-pair pages. Compete on P&amp;C head-to-heads first (no competitor has them).</t>
        </is>
      </c>
      <c r="M35" s="38" t="inlineStr">
        <is>
          <t>Not started</t>
        </is>
      </c>
      <c r="N35" s="38" t="n"/>
      <c r="O35" s="38" t="n"/>
    </row>
    <row r="36" ht="15" customHeight="1" s="22">
      <c r="A36" s="36" t="inlineStr">
        <is>
          <t>assurance habitation laval</t>
        </is>
      </c>
      <c r="B36" s="36" t="inlineStr">
        <is>
          <t>City</t>
        </is>
      </c>
      <c r="C36" s="36" t="inlineStr">
        <is>
          <t>Home insurance</t>
        </is>
      </c>
      <c r="D36" s="36" t="inlineStr">
        <is>
          <t>Quebec</t>
        </is>
      </c>
      <c r="E36" s="36" t="inlineStr">
        <is>
          <t>Laval</t>
        </is>
      </c>
      <c r="F36" s="37" t="n">
        <v>320</v>
      </c>
      <c r="G36" s="36" t="n">
        <v>40</v>
      </c>
      <c r="H36" s="36" t="inlineStr">
        <is>
          <t>local</t>
        </is>
      </c>
      <c r="I36" s="36" t="n">
        <v>4</v>
      </c>
      <c r="J36" s="36" t="inlineStr">
        <is>
          <t>/fr/assurance-habitation/quebec/laval/</t>
        </is>
      </c>
      <c r="K36" s="25" t="inlineStr">
        <is>
          <t>sonnet</t>
        </is>
      </c>
      <c r="L36" s="25" t="inlineStr">
        <is>
          <t>Planned: /fr/assurance-habitation/quebec/laval/.</t>
        </is>
      </c>
      <c r="M36" s="38" t="inlineStr">
        <is>
          <t>Not started</t>
        </is>
      </c>
      <c r="N36" s="38" t="n"/>
      <c r="O36" s="38" t="n"/>
    </row>
    <row r="37" ht="15" customHeight="1" s="22">
      <c r="A37" s="36" t="inlineStr">
        <is>
          <t>coverme insurance review</t>
        </is>
      </c>
      <c r="B37" s="36" t="inlineStr">
        <is>
          <t>Nationwide</t>
        </is>
      </c>
      <c r="C37" s="36" t="inlineStr">
        <is>
          <t>Life insurance</t>
        </is>
      </c>
      <c r="D37" s="36" t="n"/>
      <c r="E37" s="36" t="n"/>
      <c r="F37" s="37" t="n">
        <v>320</v>
      </c>
      <c r="G37" s="36" t="n">
        <v>30</v>
      </c>
      <c r="H37" s="36" t="inlineStr">
        <is>
          <t>commercial</t>
        </is>
      </c>
      <c r="I37" s="36" t="n">
        <v>3</v>
      </c>
      <c r="J37" s="36" t="n"/>
      <c r="K37" s="25" t="inlineStr">
        <is>
          <t>policyadvisor</t>
        </is>
      </c>
      <c r="L37" s="25" t="inlineStr">
        <is>
          <t>Direct-to-consumer "instant" competitor; compare honestly.</t>
        </is>
      </c>
      <c r="M37" s="38" t="inlineStr">
        <is>
          <t>Not started</t>
        </is>
      </c>
      <c r="N37" s="38" t="n"/>
      <c r="O37" s="38" t="n"/>
    </row>
    <row r="38" ht="15" customHeight="1" s="22">
      <c r="A38" s="36" t="inlineStr">
        <is>
          <t>assurance vie montréal</t>
        </is>
      </c>
      <c r="B38" s="36" t="inlineStr">
        <is>
          <t>City</t>
        </is>
      </c>
      <c r="C38" s="36" t="inlineStr">
        <is>
          <t>Life insurance</t>
        </is>
      </c>
      <c r="D38" s="36" t="inlineStr">
        <is>
          <t>Quebec</t>
        </is>
      </c>
      <c r="E38" s="36" t="inlineStr">
        <is>
          <t>Montreal</t>
        </is>
      </c>
      <c r="F38" s="37" t="n">
        <v>260</v>
      </c>
      <c r="G38" s="36" t="n">
        <v>25</v>
      </c>
      <c r="H38" s="36" t="inlineStr">
        <is>
          <t>local</t>
        </is>
      </c>
      <c r="I38" s="36" t="n">
        <v>3</v>
      </c>
      <c r="J38" s="36" t="inlineStr">
        <is>
          <t>/fr/assurance-vie/quebec/montreal/</t>
        </is>
      </c>
      <c r="K38" s="25" t="inlineStr">
        <is>
          <t>(none seen)</t>
        </is>
      </c>
      <c r="L38" s="25" t="inlineStr">
        <is>
          <t>Planned: /fr/assurance-vie/quebec/montreal/.</t>
        </is>
      </c>
      <c r="M38" s="38" t="inlineStr">
        <is>
          <t>Not started</t>
        </is>
      </c>
      <c r="N38" s="38" t="n"/>
      <c r="O38" s="38" t="n"/>
    </row>
    <row r="39" ht="15" customHeight="1" s="22">
      <c r="A39" s="36" t="inlineStr">
        <is>
          <t>mpi optional insurance</t>
        </is>
      </c>
      <c r="B39" s="36" t="inlineStr">
        <is>
          <t>Provincial</t>
        </is>
      </c>
      <c r="C39" s="36" t="inlineStr">
        <is>
          <t>Car insurance</t>
        </is>
      </c>
      <c r="D39" s="36" t="inlineStr">
        <is>
          <t>Manitoba</t>
        </is>
      </c>
      <c r="E39" s="36" t="n"/>
      <c r="F39" s="37" t="n">
        <v>260</v>
      </c>
      <c r="G39" s="36" t="n">
        <v>25</v>
      </c>
      <c r="H39" s="36" t="inlineStr">
        <is>
          <t>informational</t>
        </is>
      </c>
      <c r="I39" s="36" t="n">
        <v>4</v>
      </c>
      <c r="J39" s="36" t="n"/>
      <c r="K39" s="25" t="inlineStr">
        <is>
          <t>MPI</t>
        </is>
      </c>
      <c r="L39" s="25" t="inlineStr">
        <is>
          <t>Planned explainer in the style of the ICBC guide.</t>
        </is>
      </c>
      <c r="M39" s="38" t="inlineStr">
        <is>
          <t>Not started</t>
        </is>
      </c>
      <c r="N39" s="38" t="n"/>
      <c r="O39" s="38" t="n"/>
    </row>
    <row r="40" ht="15" customHeight="1" s="22">
      <c r="A40" s="36" t="inlineStr">
        <is>
          <t>intact vs aviva</t>
        </is>
      </c>
      <c r="B40" s="36" t="inlineStr">
        <is>
          <t>Nationwide</t>
        </is>
      </c>
      <c r="C40" s="36" t="inlineStr">
        <is>
          <t>Car insurance</t>
        </is>
      </c>
      <c r="D40" s="36" t="n"/>
      <c r="E40" s="36" t="n"/>
      <c r="F40" s="37" t="n">
        <v>210</v>
      </c>
      <c r="G40" s="36" t="n">
        <v>20</v>
      </c>
      <c r="H40" s="36" t="inlineStr">
        <is>
          <t>commercial</t>
        </is>
      </c>
      <c r="I40" s="36" t="n">
        <v>3</v>
      </c>
      <c r="J40" s="36" t="inlineStr">
        <is>
          <t>/compare/intact-vs-aviva/</t>
        </is>
      </c>
      <c r="K40" s="25" t="inlineStr">
        <is>
          <t>(none seen)</t>
        </is>
      </c>
      <c r="L40" s="25" t="inlineStr">
        <is>
          <t>Planned: /compare/intact-vs-aviva/ (car and home), with a published comparison method.</t>
        </is>
      </c>
      <c r="M40" s="38" t="inlineStr">
        <is>
          <t>Not started</t>
        </is>
      </c>
      <c r="N40" s="38" t="n"/>
      <c r="O40" s="38" t="n"/>
    </row>
    <row r="41" ht="23.85" customHeight="1" s="22">
      <c r="A41" s="36" t="inlineStr">
        <is>
          <t>nova scotia car insurance rate increase</t>
        </is>
      </c>
      <c r="B41" s="36" t="inlineStr">
        <is>
          <t>Nationwide</t>
        </is>
      </c>
      <c r="C41" s="36" t="inlineStr">
        <is>
          <t>Car insurance</t>
        </is>
      </c>
      <c r="D41" s="36" t="n"/>
      <c r="E41" s="36" t="n"/>
      <c r="F41" s="37" t="n">
        <v>210</v>
      </c>
      <c r="G41" s="36" t="n">
        <v>15</v>
      </c>
      <c r="H41" s="36" t="inlineStr">
        <is>
          <t>informational</t>
        </is>
      </c>
      <c r="I41" s="36" t="n">
        <v>2</v>
      </c>
      <c r="J41" s="36" t="n"/>
      <c r="K41" s="25" t="inlineStr">
        <is>
          <t>(none seen)</t>
        </is>
      </c>
      <c r="L41" s="25" t="inlineStr">
        <is>
          <t>Planned: Atlantic rate-decision tracker (NS UARB, NB Insurance Board, NL PUB, PEI IRAC). No competitor covers Atlantic rate filings; verify each board publishes decisions.</t>
        </is>
      </c>
      <c r="M41" s="38" t="inlineStr">
        <is>
          <t>Not started</t>
        </is>
      </c>
      <c r="N41" s="38" t="n"/>
      <c r="O41" s="38" t="n"/>
    </row>
    <row r="42" ht="15" customHeight="1" s="22">
      <c r="A42" s="36" t="inlineStr">
        <is>
          <t>sgi auto fund optional coverage</t>
        </is>
      </c>
      <c r="B42" s="36" t="inlineStr">
        <is>
          <t>Provincial</t>
        </is>
      </c>
      <c r="C42" s="36" t="inlineStr">
        <is>
          <t>Car insurance</t>
        </is>
      </c>
      <c r="D42" s="36" t="inlineStr">
        <is>
          <t>Saskatchewan</t>
        </is>
      </c>
      <c r="E42" s="36" t="n"/>
      <c r="F42" s="37" t="n">
        <v>210</v>
      </c>
      <c r="G42" s="36" t="n">
        <v>25</v>
      </c>
      <c r="H42" s="36" t="inlineStr">
        <is>
          <t>informational</t>
        </is>
      </c>
      <c r="I42" s="36" t="n">
        <v>4</v>
      </c>
      <c r="J42" s="36" t="n"/>
      <c r="K42" s="25" t="inlineStr">
        <is>
          <t>SGI</t>
        </is>
      </c>
      <c r="L42" s="25" t="inlineStr">
        <is>
          <t>Planned explainer in the style of the ICBC guide.</t>
        </is>
      </c>
      <c r="M42" s="38" t="inlineStr">
        <is>
          <t>Not started</t>
        </is>
      </c>
      <c r="N42" s="38" t="n"/>
      <c r="O42" s="38" t="n"/>
    </row>
    <row r="43" ht="15" customHeight="1" s="22">
      <c r="A43" s="36" t="inlineStr">
        <is>
          <t>td insurance vs intact</t>
        </is>
      </c>
      <c r="B43" s="36" t="inlineStr">
        <is>
          <t>Nationwide</t>
        </is>
      </c>
      <c r="C43" s="36" t="inlineStr">
        <is>
          <t>Car insurance</t>
        </is>
      </c>
      <c r="D43" s="36" t="n"/>
      <c r="E43" s="36" t="n"/>
      <c r="F43" s="37" t="n">
        <v>170</v>
      </c>
      <c r="G43" s="36" t="n">
        <v>20</v>
      </c>
      <c r="H43" s="36" t="inlineStr">
        <is>
          <t>commercial</t>
        </is>
      </c>
      <c r="I43" s="36" t="n">
        <v>3</v>
      </c>
      <c r="J43" s="36" t="inlineStr">
        <is>
          <t>/compare/td-insurance-vs-intact/</t>
        </is>
      </c>
      <c r="K43" s="25" t="inlineStr">
        <is>
          <t>(none seen)</t>
        </is>
      </c>
      <c r="L43" s="25" t="inlineStr">
        <is>
          <t>Planned: /compare/td-insurance-vs-intact/.</t>
        </is>
      </c>
      <c r="M43" s="38" t="inlineStr">
        <is>
          <t>Not started</t>
        </is>
      </c>
      <c r="N43" s="38" t="n"/>
      <c r="O43" s="38" t="n"/>
    </row>
    <row r="44" ht="15" customHeight="1" s="22">
      <c r="A44" s="36" t="inlineStr">
        <is>
          <t>assurance habitation nouveau-brunswick</t>
        </is>
      </c>
      <c r="B44" s="36" t="inlineStr">
        <is>
          <t>Provincial</t>
        </is>
      </c>
      <c r="C44" s="36" t="inlineStr">
        <is>
          <t>Home insurance</t>
        </is>
      </c>
      <c r="D44" s="36" t="inlineStr">
        <is>
          <t>New Brunswick</t>
        </is>
      </c>
      <c r="E44" s="36" t="n"/>
      <c r="F44" s="37" t="n">
        <v>140</v>
      </c>
      <c r="G44" s="36" t="n">
        <v>20</v>
      </c>
      <c r="H44" s="36" t="inlineStr">
        <is>
          <t>commercial</t>
        </is>
      </c>
      <c r="I44" s="36" t="n">
        <v>4</v>
      </c>
      <c r="J44" s="36" t="n"/>
      <c r="K44" s="25" t="inlineStr">
        <is>
          <t>sonnet</t>
        </is>
      </c>
      <c r="L44" s="25" t="inlineStr">
        <is>
          <t>French pages for New Brunswick francophones.</t>
        </is>
      </c>
      <c r="M44" s="38" t="inlineStr">
        <is>
          <t>Not started</t>
        </is>
      </c>
      <c r="N44" s="38" t="n"/>
      <c r="O44" s="38" t="n"/>
    </row>
    <row r="45" ht="15" customHeight="1" s="22">
      <c r="A45" s="36" t="inlineStr">
        <is>
          <t>belairdirect vs td insurance</t>
        </is>
      </c>
      <c r="B45" s="36" t="inlineStr">
        <is>
          <t>Nationwide</t>
        </is>
      </c>
      <c r="C45" s="36" t="inlineStr">
        <is>
          <t>Car insurance</t>
        </is>
      </c>
      <c r="D45" s="36" t="n"/>
      <c r="E45" s="36" t="n"/>
      <c r="F45" s="37" t="n">
        <v>140</v>
      </c>
      <c r="G45" s="36" t="n">
        <v>15</v>
      </c>
      <c r="H45" s="36" t="inlineStr">
        <is>
          <t>commercial</t>
        </is>
      </c>
      <c r="I45" s="36" t="n">
        <v>3</v>
      </c>
      <c r="J45" s="36" t="inlineStr">
        <is>
          <t>/compare/belairdirect-vs-td-insurance/</t>
        </is>
      </c>
      <c r="K45" s="25" t="inlineStr">
        <is>
          <t>(none seen)</t>
        </is>
      </c>
      <c r="L45" s="25" t="inlineStr">
        <is>
          <t>Planned: /compare/belairdirect-vs-td-insurance/.</t>
        </is>
      </c>
      <c r="M45" s="38" t="inlineStr">
        <is>
          <t>Not started</t>
        </is>
      </c>
      <c r="N45" s="38" t="n"/>
      <c r="O45" s="38" t="n"/>
    </row>
    <row r="46" ht="15" customHeight="1" s="22">
      <c r="A46" s="36" t="inlineStr">
        <is>
          <t>new brunswick car insurance rate increase</t>
        </is>
      </c>
      <c r="B46" s="36" t="inlineStr">
        <is>
          <t>Nationwide</t>
        </is>
      </c>
      <c r="C46" s="36" t="inlineStr">
        <is>
          <t>Car insurance</t>
        </is>
      </c>
      <c r="D46" s="36" t="n"/>
      <c r="E46" s="36" t="n"/>
      <c r="F46" s="37" t="n">
        <v>140</v>
      </c>
      <c r="G46" s="36" t="n">
        <v>15</v>
      </c>
      <c r="H46" s="36" t="inlineStr">
        <is>
          <t>informational</t>
        </is>
      </c>
      <c r="I46" s="36" t="n">
        <v>3</v>
      </c>
      <c r="J46" s="36" t="n"/>
      <c r="K46" s="25" t="inlineStr">
        <is>
          <t>(none seen)</t>
        </is>
      </c>
      <c r="L46" s="25" t="inlineStr">
        <is>
          <t>Same Atlantic tracker.</t>
        </is>
      </c>
      <c r="M46" s="38" t="inlineStr">
        <is>
          <t>Not started</t>
        </is>
      </c>
      <c r="N46" s="38" t="n"/>
      <c r="O46" s="38" t="n"/>
    </row>
    <row r="47" ht="15" customHeight="1" s="22">
      <c r="A47" s="36" t="inlineStr">
        <is>
          <t>prepaid funeral vs funeral insurance</t>
        </is>
      </c>
      <c r="B47" s="36" t="inlineStr">
        <is>
          <t>Nationwide</t>
        </is>
      </c>
      <c r="C47" s="36" t="inlineStr">
        <is>
          <t>Life insurance</t>
        </is>
      </c>
      <c r="D47" s="36" t="n"/>
      <c r="E47" s="36" t="n"/>
      <c r="F47" s="37" t="n">
        <v>140</v>
      </c>
      <c r="G47" s="36" t="n">
        <v>15</v>
      </c>
      <c r="H47" s="36" t="inlineStr">
        <is>
          <t>informational</t>
        </is>
      </c>
      <c r="I47" s="36" t="n">
        <v>2</v>
      </c>
      <c r="J47" s="36" t="inlineStr">
        <is>
          <t>/guides/pre-arranged-funeral-vs-funeral-insurance/</t>
        </is>
      </c>
      <c r="K47" s="25" t="inlineStr">
        <is>
          <t>(funeral homes only)</t>
        </is>
      </c>
      <c r="L47" s="25" t="inlineStr">
        <is>
          <t>Planned guide: /guides/pre-arranged-funeral-vs-funeral-insurance/.</t>
        </is>
      </c>
      <c r="M47" s="38" t="inlineStr">
        <is>
          <t>Not started</t>
        </is>
      </c>
      <c r="N47" s="38" t="n"/>
      <c r="O47" s="38" t="n"/>
    </row>
    <row r="48" ht="15" customHeight="1" s="22">
      <c r="A48" s="36" t="inlineStr">
        <is>
          <t>sonnet vs belairdirect</t>
        </is>
      </c>
      <c r="B48" s="36" t="inlineStr">
        <is>
          <t>Nationwide</t>
        </is>
      </c>
      <c r="C48" s="36" t="inlineStr">
        <is>
          <t>Car insurance</t>
        </is>
      </c>
      <c r="D48" s="36" t="n"/>
      <c r="E48" s="36" t="n"/>
      <c r="F48" s="37" t="n">
        <v>90</v>
      </c>
      <c r="G48" s="36" t="n">
        <v>15</v>
      </c>
      <c r="H48" s="36" t="inlineStr">
        <is>
          <t>commercial</t>
        </is>
      </c>
      <c r="I48" s="36" t="n">
        <v>4</v>
      </c>
      <c r="J48" s="36" t="inlineStr">
        <is>
          <t>/compare/sonnet-vs-belairdirect/</t>
        </is>
      </c>
      <c r="K48" s="25" t="inlineStr">
        <is>
          <t>youset (blog)</t>
        </is>
      </c>
      <c r="L48" s="25" t="inlineStr">
        <is>
          <t>Planned: /compare/sonnet-vs-belairdirect/.</t>
        </is>
      </c>
      <c r="M48" s="38" t="inlineStr">
        <is>
          <t>Not started</t>
        </is>
      </c>
      <c r="N48" s="38" t="n"/>
      <c r="O48" s="38" t="n"/>
    </row>
  </sheetData>
  <autoFilter ref="A1:O48"/>
  <dataValidations count="1">
    <dataValidation sqref="M2:M48" showDropDown="0" showInputMessage="0" showErrorMessage="0" allowBlank="1" type="list" errorStyle="stop" operator="between">
      <formula1>"Not started,Writing,Built,On hold"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06C46"/>
    <outlinePr summaryBelow="1" summaryRight="1"/>
    <pageSetUpPr fitToPage="0"/>
  </sheetPr>
  <dimension ref="A1:AG541"/>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5390625" defaultRowHeight="15" zeroHeight="0" outlineLevelRow="0"/>
  <cols>
    <col width="9" customWidth="1" style="21" min="1" max="1"/>
    <col width="11" customWidth="1" style="21" min="2" max="2"/>
    <col width="9" customWidth="1" style="21" min="3" max="3"/>
    <col width="24" customWidth="1" style="21" min="4" max="4"/>
    <col width="18" customWidth="1" style="21" min="5" max="5"/>
    <col width="48" customWidth="1" style="21" min="6" max="6"/>
    <col width="46" customWidth="1" style="21" min="7" max="7"/>
    <col width="30" customWidth="1" style="21" min="8" max="8"/>
    <col width="11" customWidth="1" style="21" min="9" max="10"/>
    <col width="44" customWidth="1" style="21" min="11" max="11"/>
    <col width="18" customWidth="1" style="21" min="12" max="12"/>
    <col width="13" customWidth="1" style="21" min="13" max="13"/>
    <col width="8" customWidth="1" style="21" min="14" max="14"/>
    <col width="42" customWidth="1" style="21" min="15" max="15"/>
    <col width="8" customWidth="1" style="21" min="16" max="16"/>
    <col width="60" customWidth="1" style="21" min="17" max="17"/>
    <col width="9" customWidth="1" style="21" min="18" max="18"/>
    <col width="10" customWidth="1" style="21" min="19" max="19"/>
    <col width="70" customWidth="1" style="21" min="20" max="20"/>
    <col width="60" customWidth="1" style="21" min="21" max="21"/>
    <col width="50" customWidth="1" style="21" min="22" max="23"/>
    <col width="36" customWidth="1" style="21" min="24" max="24"/>
    <col width="26" customWidth="1" style="21" min="25" max="25"/>
    <col width="9" customWidth="1" style="21" min="26" max="26"/>
    <col width="50" customWidth="1" style="21" min="27" max="27"/>
    <col width="70" customWidth="1" style="21" min="28" max="28"/>
    <col width="55" customWidth="1" style="21" min="29" max="29"/>
    <col width="13" customWidth="1" style="21" min="30" max="30"/>
    <col width="14" customWidth="1" style="21" min="31" max="31"/>
    <col width="13" customWidth="1" style="21" min="32" max="33"/>
  </cols>
  <sheetData>
    <row r="1" ht="31.5" customHeight="1" s="22">
      <c r="A1" s="30" t="inlineStr">
        <is>
          <t>Topic ID</t>
        </is>
      </c>
      <c r="B1" s="30" t="inlineStr">
        <is>
          <t>Status</t>
        </is>
      </c>
      <c r="C1" s="30" t="inlineStr">
        <is>
          <t>Priority (1 = first)</t>
        </is>
      </c>
      <c r="D1" s="30" t="inlineStr">
        <is>
          <t>Insurance segment</t>
        </is>
      </c>
      <c r="E1" s="30" t="inlineStr">
        <is>
          <t>Cluster</t>
        </is>
      </c>
      <c r="F1" s="30" t="inlineStr">
        <is>
          <t>Blog title (H1)</t>
        </is>
      </c>
      <c r="G1" s="30" t="inlineStr">
        <is>
          <t>URL</t>
        </is>
      </c>
      <c r="H1" s="30" t="inlineStr">
        <is>
          <t>Focus keyword</t>
        </is>
      </c>
      <c r="I1" s="30" t="inlineStr">
        <is>
          <t>Keyword-map volume / mo</t>
        </is>
      </c>
      <c r="J1" s="30" t="inlineStr">
        <is>
          <t>Volume tier (modelled)</t>
        </is>
      </c>
      <c r="K1" s="30" t="inlineStr">
        <is>
          <t>Secondary keywords</t>
        </is>
      </c>
      <c r="L1" s="30" t="inlineStr">
        <is>
          <t>Geo scope</t>
        </is>
      </c>
      <c r="M1" s="30" t="inlineStr">
        <is>
          <t>Intent</t>
        </is>
      </c>
      <c r="N1" s="30" t="inlineStr">
        <is>
          <t>Funnel stage</t>
        </is>
      </c>
      <c r="O1" s="30" t="inlineStr">
        <is>
          <t>Meta title</t>
        </is>
      </c>
      <c r="P1" s="30" t="inlineStr">
        <is>
          <t>Meta title length</t>
        </is>
      </c>
      <c r="Q1" s="30" t="inlineStr">
        <is>
          <t>Meta description</t>
        </is>
      </c>
      <c r="R1" s="30" t="inlineStr">
        <is>
          <t>Meta description length</t>
        </is>
      </c>
      <c r="S1" s="30" t="inlineStr">
        <is>
          <t>Focus keyword in meta title?</t>
        </is>
      </c>
      <c r="T1" s="30" t="inlineStr">
        <is>
          <t>H2 outline</t>
        </is>
      </c>
      <c r="U1" s="30" t="inlineStr">
        <is>
          <t>FAQ questions (FAQPage schema)</t>
        </is>
      </c>
      <c r="V1" s="30" t="inlineStr">
        <is>
          <t>Value asset (why it gets cited)</t>
        </is>
      </c>
      <c r="W1" s="30" t="inlineStr">
        <is>
          <t>Internal links (must link to)</t>
        </is>
      </c>
      <c r="X1" s="30" t="inlineStr">
        <is>
          <t>Call to action</t>
        </is>
      </c>
      <c r="Y1" s="30" t="inlineStr">
        <is>
          <t>Schema</t>
        </is>
      </c>
      <c r="Z1" s="30" t="inlineStr">
        <is>
          <t>Target words</t>
        </is>
      </c>
      <c r="AA1" s="30" t="inlineStr">
        <is>
          <t>Competitor coverage / gap</t>
        </is>
      </c>
      <c r="AB1" s="30" t="inlineStr">
        <is>
          <t>Optimization instructions</t>
        </is>
      </c>
      <c r="AC1" s="30" t="inlineStr">
        <is>
          <t>Compliance &amp; facts to verify</t>
        </is>
      </c>
      <c r="AD1" s="30" t="inlineStr">
        <is>
          <t>Refresh cadence</t>
        </is>
      </c>
      <c r="AE1" s="30" t="inlineStr">
        <is>
          <t>Writer</t>
        </is>
      </c>
      <c r="AF1" s="30" t="inlineStr">
        <is>
          <t>Target publish date</t>
        </is>
      </c>
      <c r="AG1" s="30" t="inlineStr">
        <is>
          <t>Published date</t>
        </is>
      </c>
    </row>
    <row r="2" ht="35.05" customHeight="1" s="22">
      <c r="A2" s="36">
        <f>"B"&amp;TEXT(ROW()-1,"0000")</f>
        <v/>
      </c>
      <c r="B2" s="38" t="inlineStr">
        <is>
          <t>Published</t>
        </is>
      </c>
      <c r="C2" s="36" t="n">
        <v>1</v>
      </c>
      <c r="D2" s="36" t="inlineStr">
        <is>
          <t>Car insurance</t>
        </is>
      </c>
      <c r="E2" s="36" t="inlineStr">
        <is>
          <t>auto</t>
        </is>
      </c>
      <c r="F2" s="25" t="inlineStr">
        <is>
          <t>Alberta Car Insurance 2026: Rate Cap, Care-First and How to Shop</t>
        </is>
      </c>
      <c r="G2" s="36" t="inlineStr">
        <is>
          <t>https://instasure.ca/guides/alberta-car-insurance-2026-care-first/</t>
        </is>
      </c>
      <c r="H2" s="36" t="inlineStr">
        <is>
          <t>alberta car insurance</t>
        </is>
      </c>
      <c r="I2" s="41">
        <f>IFERROR(INDEX('Nationwide KWs'!$D$2:$D$168,MATCH(H2,'Nationwide KWs'!$A$2:$A$168,0)),IFERROR(INDEX('Provincial KWs'!$E$2:$E$137,MATCH(H2,'Provincial KWs'!$A$2:$A$137,0)),IFERROR(INDEX('City KWs'!$F$2:$F$419,MATCH(H2,'City KWs'!$A$2:$A$419,0)),"")))</f>
        <v/>
      </c>
      <c r="J2" s="36" t="n"/>
      <c r="K2" s="25" t="inlineStr">
        <is>
          <t>alberta car insurance; alberta car insurance 2026; care-first alberta; alberta good driver rate cap 2026; alberta auto insurance reform 2027; will alberta car insurance go down</t>
        </is>
      </c>
      <c r="L2" s="36" t="inlineStr">
        <is>
          <t>Province: Alberta</t>
        </is>
      </c>
      <c r="M2" s="36" t="n"/>
      <c r="N2" s="36" t="n"/>
      <c r="O2" s="25" t="inlineStr">
        <is>
          <t>Alberta Car Insurance 2026: Rate Cap and Care-First</t>
        </is>
      </c>
      <c r="P2" s="36">
        <f>LEN(O2)</f>
        <v/>
      </c>
      <c r="Q2" s="25" t="inlineStr">
        <is>
          <t>Alberta car insurance in 2026: how the 7.5% good-driver rate cap works, what Care-First changes from January 1, 2027, and how to shop your renewal now.</t>
        </is>
      </c>
      <c r="R2" s="36">
        <f>LEN(Q2)</f>
        <v/>
      </c>
      <c r="S2" s="36">
        <f>IF(H2="","",IF(ISNUMBER(SEARCH(SUBSTITUTE(H2,"-"," "),SUBSTITUTE(O2,"-"," "))),"Yes","Check"))</f>
        <v/>
      </c>
      <c r="T2" s="25" t="n"/>
      <c r="U2" s="25" t="inlineStr">
        <is>
          <t>What is the Alberta good driver rate cap for 2026? | When does Care-First start in Alberta? | Will I still be able to sue after a crash in Alberta? | Does the rate cap apply if I switch insurers?</t>
        </is>
      </c>
      <c r="V2" s="25" t="n"/>
      <c r="W2" s="25" t="n"/>
      <c r="X2" s="25" t="n"/>
      <c r="Y2" s="36" t="inlineStr">
        <is>
          <t>Article; FAQPage; BreadcrumbList</t>
        </is>
      </c>
      <c r="Z2" s="37" t="n"/>
      <c r="AA2" s="25" t="n"/>
      <c r="AB2" s="25" t="inlineStr">
        <is>
          <t>Live. Review the date, sources and reviewer each quarter; add internal links to new posts in the same segment.</t>
        </is>
      </c>
      <c r="AC2" s="25" t="inlineStr">
        <is>
          <t>See docs/CONTENT_REVIEW.md section 4.</t>
        </is>
      </c>
      <c r="AD2" s="36" t="inlineStr">
        <is>
          <t>Quarterly</t>
        </is>
      </c>
      <c r="AE2" s="38" t="inlineStr">
        <is>
          <t>Michael Le Chi</t>
        </is>
      </c>
      <c r="AF2" s="38" t="n"/>
      <c r="AG2" s="38" t="inlineStr">
        <is>
          <t>2026-10-03</t>
        </is>
      </c>
    </row>
    <row r="3" ht="35.05" customHeight="1" s="22">
      <c r="A3" s="36">
        <f>"B"&amp;TEXT(ROW()-1,"0000")</f>
        <v/>
      </c>
      <c r="B3" s="38" t="inlineStr">
        <is>
          <t>Published</t>
        </is>
      </c>
      <c r="C3" s="36" t="n">
        <v>1</v>
      </c>
      <c r="D3" s="36" t="inlineStr">
        <is>
          <t>Home insurance</t>
        </is>
      </c>
      <c r="E3" s="36" t="inlineStr">
        <is>
          <t>home</t>
        </is>
      </c>
      <c r="F3" s="25" t="inlineStr">
        <is>
          <t>Calgary Hail Insurance Guide: Home and Car Coverage Explained</t>
        </is>
      </c>
      <c r="G3" s="36" t="inlineStr">
        <is>
          <t>https://instasure.ca/guides/calgary-hail-insurance-guide/</t>
        </is>
      </c>
      <c r="H3" s="36" t="inlineStr">
        <is>
          <t>calgary hail insurance</t>
        </is>
      </c>
      <c r="I3" s="41">
        <f>IFERROR(INDEX('Nationwide KWs'!$D$2:$D$168,MATCH(H3,'Nationwide KWs'!$A$2:$A$168,0)),IFERROR(INDEX('Provincial KWs'!$E$2:$E$137,MATCH(H3,'Provincial KWs'!$A$2:$A$137,0)),IFERROR(INDEX('City KWs'!$F$2:$F$419,MATCH(H3,'City KWs'!$A$2:$A$419,0)),"")))</f>
        <v/>
      </c>
      <c r="J3" s="36" t="n"/>
      <c r="K3" s="25" t="inlineStr">
        <is>
          <t>calgary hail insurance; does car insurance cover hail damage; hail damage home insurance alberta; roof hail claim calgary; impact resistant shingles insurance discount; comprehensive coverage hail</t>
        </is>
      </c>
      <c r="L3" s="36" t="inlineStr">
        <is>
          <t>Province: Alberta</t>
        </is>
      </c>
      <c r="M3" s="36" t="n"/>
      <c r="N3" s="36" t="n"/>
      <c r="O3" s="25" t="inlineStr">
        <is>
          <t>Calgary Hail Insurance Guide: Home and Car Coverage</t>
        </is>
      </c>
      <c r="P3" s="36">
        <f>LEN(O3)</f>
        <v/>
      </c>
      <c r="Q3" s="25" t="inlineStr">
        <is>
          <t>Calgary hail insurance guide: how comprehensive covers hail on your car, how home roof claims and deductibles work, and how to reduce future hail costs.</t>
        </is>
      </c>
      <c r="R3" s="36">
        <f>LEN(Q3)</f>
        <v/>
      </c>
      <c r="S3" s="36">
        <f>IF(H3="","",IF(ISNUMBER(SEARCH(SUBSTITUTE(H3,"-"," "),SUBSTITUTE(O3,"-"," "))),"Yes","Check"))</f>
        <v/>
      </c>
      <c r="T3" s="25" t="n"/>
      <c r="U3" s="25" t="inlineStr">
        <is>
          <t>Does car insurance cover hail damage in Alberta? | Will a hail claim raise my home insurance premium? | Do impact-resistant shingles lower home insurance in Calgary? | Should I claim minor hail damage?</t>
        </is>
      </c>
      <c r="V3" s="25" t="n"/>
      <c r="W3" s="25" t="n"/>
      <c r="X3" s="25" t="n"/>
      <c r="Y3" s="36" t="inlineStr">
        <is>
          <t>Article; FAQPage; BreadcrumbList</t>
        </is>
      </c>
      <c r="Z3" s="37" t="n"/>
      <c r="AA3" s="25" t="n"/>
      <c r="AB3" s="25" t="inlineStr">
        <is>
          <t>Live. Review the date, sources and reviewer each quarter; add internal links to new posts in the same segment.</t>
        </is>
      </c>
      <c r="AC3" s="25" t="inlineStr">
        <is>
          <t>See docs/CONTENT_REVIEW.md section 4.</t>
        </is>
      </c>
      <c r="AD3" s="36" t="inlineStr">
        <is>
          <t>Quarterly</t>
        </is>
      </c>
      <c r="AE3" s="38" t="inlineStr">
        <is>
          <t>Michael Le Chi</t>
        </is>
      </c>
      <c r="AF3" s="38" t="n"/>
      <c r="AG3" s="38" t="inlineStr">
        <is>
          <t>2026-10-03</t>
        </is>
      </c>
    </row>
    <row r="4" ht="35.05" customHeight="1" s="22">
      <c r="A4" s="36">
        <f>"B"&amp;TEXT(ROW()-1,"0000")</f>
        <v/>
      </c>
      <c r="B4" s="38" t="inlineStr">
        <is>
          <t>Published</t>
        </is>
      </c>
      <c r="C4" s="36" t="n">
        <v>1</v>
      </c>
      <c r="D4" s="36" t="inlineStr">
        <is>
          <t>Condo insurance</t>
        </is>
      </c>
      <c r="E4" s="36" t="inlineStr">
        <is>
          <t>home</t>
        </is>
      </c>
      <c r="F4" s="25" t="inlineStr">
        <is>
          <t>Condo Insurance Deductible Assessment, Explained</t>
        </is>
      </c>
      <c r="G4" s="36" t="inlineStr">
        <is>
          <t>https://instasure.ca/guides/condo-insurance-deductible-assessment-explained/</t>
        </is>
      </c>
      <c r="H4" s="36" t="inlineStr">
        <is>
          <t>condo insurance deductible</t>
        </is>
      </c>
      <c r="I4" s="41">
        <f>IFERROR(INDEX('Nationwide KWs'!$D$2:$D$168,MATCH(H4,'Nationwide KWs'!$A$2:$A$168,0)),IFERROR(INDEX('Provincial KWs'!$E$2:$E$137,MATCH(H4,'Provincial KWs'!$A$2:$A$137,0)),IFERROR(INDEX('City KWs'!$F$2:$F$419,MATCH(H4,'City KWs'!$A$2:$A$419,0)),"")))</f>
        <v/>
      </c>
      <c r="J4" s="36" t="n"/>
      <c r="K4" s="25" t="inlineStr">
        <is>
          <t>condo deductible assessment; loss assessment coverage; condo master policy vs unit policy; standard unit by-law Ontario; strata deductible BC; condo improvements coverage</t>
        </is>
      </c>
      <c r="L4" s="36" t="inlineStr">
        <is>
          <t>Province: British Columbia, Ontario</t>
        </is>
      </c>
      <c r="M4" s="36" t="n"/>
      <c r="N4" s="36" t="n"/>
      <c r="O4" s="25" t="inlineStr">
        <is>
          <t>Condo Insurance Deductible Assessment, Explained</t>
        </is>
      </c>
      <c r="P4" s="36">
        <f>LEN(O4)</f>
        <v/>
      </c>
      <c r="Q4" s="25" t="inlineStr">
        <is>
          <t>How a condo insurance deductible assessment works in Ontario and BC: master vs unit policy, the standard unit, loss assessment and how to choose your limits.</t>
        </is>
      </c>
      <c r="R4" s="36">
        <f>LEN(Q4)</f>
        <v/>
      </c>
      <c r="S4" s="36">
        <f>IF(H4="","",IF(ISNUMBER(SEARCH(SUBSTITUTE(H4,"-"," "),SUBSTITUTE(O4,"-"," "))),"Yes","Check"))</f>
        <v/>
      </c>
      <c r="T4" s="25" t="n"/>
      <c r="U4" s="25" t="inlineStr">
        <is>
          <t>What is a condo deductible assessment? | What is the difference between loss assessment and deductible assessment? | How much deductible-assessment coverage do I need? | Does the master policy cover my upgraded kitchen?</t>
        </is>
      </c>
      <c r="V4" s="25" t="n"/>
      <c r="W4" s="25" t="n"/>
      <c r="X4" s="25" t="n"/>
      <c r="Y4" s="36" t="inlineStr">
        <is>
          <t>Article; FAQPage; BreadcrumbList</t>
        </is>
      </c>
      <c r="Z4" s="37" t="n"/>
      <c r="AA4" s="25" t="n"/>
      <c r="AB4" s="25" t="inlineStr">
        <is>
          <t>Live. Review the date, sources and reviewer each quarter; add internal links to new posts in the same segment.</t>
        </is>
      </c>
      <c r="AC4" s="25" t="inlineStr">
        <is>
          <t>See docs/CONTENT_REVIEW.md section 4.</t>
        </is>
      </c>
      <c r="AD4" s="36" t="inlineStr">
        <is>
          <t>Quarterly</t>
        </is>
      </c>
      <c r="AE4" s="38" t="inlineStr">
        <is>
          <t>Michael Le Chi</t>
        </is>
      </c>
      <c r="AF4" s="38" t="n"/>
      <c r="AG4" s="38" t="inlineStr">
        <is>
          <t>2026-10-03</t>
        </is>
      </c>
    </row>
    <row r="5" ht="46.25" customHeight="1" s="22">
      <c r="A5" s="36">
        <f>"B"&amp;TEXT(ROW()-1,"0000")</f>
        <v/>
      </c>
      <c r="B5" s="38" t="inlineStr">
        <is>
          <t>Published</t>
        </is>
      </c>
      <c r="C5" s="36" t="n">
        <v>1</v>
      </c>
      <c r="D5" s="36" t="inlineStr">
        <is>
          <t>Critical illness insurance</t>
        </is>
      </c>
      <c r="E5" s="36" t="inlineStr">
        <is>
          <t>health</t>
        </is>
      </c>
      <c r="F5" s="25" t="inlineStr">
        <is>
          <t>Critical Illness vs Disability Insurance: Which Do You Need?</t>
        </is>
      </c>
      <c r="G5" s="36" t="inlineStr">
        <is>
          <t>https://instasure.ca/guides/critical-illness-vs-disability-insurance/</t>
        </is>
      </c>
      <c r="H5" s="36" t="inlineStr">
        <is>
          <t>critical illness vs disability insurance</t>
        </is>
      </c>
      <c r="I5" s="41">
        <f>IFERROR(INDEX('Nationwide KWs'!$D$2:$D$168,MATCH(H5,'Nationwide KWs'!$A$2:$A$168,0)),IFERROR(INDEX('Provincial KWs'!$E$2:$E$137,MATCH(H5,'Provincial KWs'!$A$2:$A$137,0)),IFERROR(INDEX('City KWs'!$F$2:$F$419,MATCH(H5,'City KWs'!$A$2:$A$419,0)),"")))</f>
        <v/>
      </c>
      <c r="J5" s="36" t="n"/>
      <c r="K5" s="25" t="inlineStr">
        <is>
          <t>critical illness or disability insurance; difference between critical illness and disability insurance; do i need critical illness insurance; disability insurance self employed canada; are critical illness benefits taxable; income protection insurance canada</t>
        </is>
      </c>
      <c r="L5" s="36" t="inlineStr">
        <is>
          <t>Nationwide</t>
        </is>
      </c>
      <c r="M5" s="36" t="n"/>
      <c r="N5" s="36" t="n"/>
      <c r="O5" s="25" t="inlineStr">
        <is>
          <t>Critical Illness vs Disability Insurance in Canada</t>
        </is>
      </c>
      <c r="P5" s="36">
        <f>LEN(O5)</f>
        <v/>
      </c>
      <c r="Q5" s="25" t="inlineStr">
        <is>
          <t>Critical illness vs disability insurance in Canada: lump sum vs monthly income, who needs which, how they work together and how benefits are taxed.</t>
        </is>
      </c>
      <c r="R5" s="36">
        <f>LEN(Q5)</f>
        <v/>
      </c>
      <c r="S5" s="36">
        <f>IF(H5="","",IF(ISNUMBER(SEARCH(SUBSTITUTE(H5,"-"," "),SUBSTITUTE(O5,"-"," "))),"Yes","Check"))</f>
        <v/>
      </c>
      <c r="T5" s="25" t="n"/>
      <c r="U5" s="25" t="inlineStr">
        <is>
          <t>Is critical illness or disability insurance more important? | Does disability insurance cover cancer? | Can I have both critical illness and disability insurance? | Are critical illness benefits taxable in Canada? | Does EI cover a long illness?</t>
        </is>
      </c>
      <c r="V5" s="25" t="n"/>
      <c r="W5" s="25" t="n"/>
      <c r="X5" s="25" t="n"/>
      <c r="Y5" s="36" t="inlineStr">
        <is>
          <t>Article; FAQPage; BreadcrumbList</t>
        </is>
      </c>
      <c r="Z5" s="37" t="n"/>
      <c r="AA5" s="25" t="n"/>
      <c r="AB5" s="25" t="inlineStr">
        <is>
          <t>Live. Review the date, sources and reviewer each quarter; add internal links to new posts in the same segment.</t>
        </is>
      </c>
      <c r="AC5" s="25" t="inlineStr">
        <is>
          <t>See docs/CONTENT_REVIEW.md section 4.</t>
        </is>
      </c>
      <c r="AD5" s="36" t="inlineStr">
        <is>
          <t>Quarterly</t>
        </is>
      </c>
      <c r="AE5" s="38" t="inlineStr">
        <is>
          <t>Michael Le Chi</t>
        </is>
      </c>
      <c r="AF5" s="38" t="n"/>
      <c r="AG5" s="38" t="inlineStr">
        <is>
          <t>2026-10-03</t>
        </is>
      </c>
    </row>
    <row r="6" ht="46.25" customHeight="1" s="22">
      <c r="A6" s="36">
        <f>"B"&amp;TEXT(ROW()-1,"0000")</f>
        <v/>
      </c>
      <c r="B6" s="38" t="inlineStr">
        <is>
          <t>Published</t>
        </is>
      </c>
      <c r="C6" s="36" t="n">
        <v>1</v>
      </c>
      <c r="D6" s="36" t="inlineStr">
        <is>
          <t>Home insurance</t>
        </is>
      </c>
      <c r="E6" s="36" t="inlineStr">
        <is>
          <t>home</t>
        </is>
      </c>
      <c r="F6" s="25" t="inlineStr">
        <is>
          <t>Does Home Insurance Cover Water Damage in Canada?</t>
        </is>
      </c>
      <c r="G6" s="36" t="inlineStr">
        <is>
          <t>https://instasure.ca/guides/does-home-insurance-cover-water-damage-canada/</t>
        </is>
      </c>
      <c r="H6" s="36" t="inlineStr">
        <is>
          <t>does home insurance cover water damage</t>
        </is>
      </c>
      <c r="I6" s="41">
        <f>IFERROR(INDEX('Nationwide KWs'!$D$2:$D$168,MATCH(H6,'Nationwide KWs'!$A$2:$A$168,0)),IFERROR(INDEX('Provincial KWs'!$E$2:$E$137,MATCH(H6,'Provincial KWs'!$A$2:$A$137,0)),IFERROR(INDEX('City KWs'!$F$2:$F$419,MATCH(H6,'City KWs'!$A$2:$A$419,0)),"")))</f>
        <v/>
      </c>
      <c r="J6" s="36" t="n"/>
      <c r="K6" s="25" t="inlineStr">
        <is>
          <t>home insurance water damage; sewer backup coverage; overland flood insurance Canada; above-ground water coverage; service line coverage; national flood insurance program</t>
        </is>
      </c>
      <c r="L6" s="36" t="inlineStr">
        <is>
          <t>Nationwide</t>
        </is>
      </c>
      <c r="M6" s="36" t="n"/>
      <c r="N6" s="36" t="n"/>
      <c r="O6" s="25" t="inlineStr">
        <is>
          <t>Does Home Insurance Cover Water Damage in Canada?</t>
        </is>
      </c>
      <c r="P6" s="36">
        <f>LEN(O6)</f>
        <v/>
      </c>
      <c r="Q6" s="25" t="inlineStr">
        <is>
          <t>Does home insurance cover water damage? Sudden leaks usually are covered, but sewer backup and overland flood need add-ons. What's covered and what to ask.</t>
        </is>
      </c>
      <c r="R6" s="36">
        <f>LEN(Q6)</f>
        <v/>
      </c>
      <c r="S6" s="36">
        <f>IF(H6="","",IF(ISNUMBER(SEARCH(SUBSTITUTE(H6,"-"," "),SUBSTITUTE(O6,"-"," "))),"Yes","Check"))</f>
        <v/>
      </c>
      <c r="T6" s="25" t="n"/>
      <c r="U6" s="25" t="inlineStr">
        <is>
          <t>Is a burst pipe covered by home insurance in Canada? | Is basement flooding covered by home insurance? | Does tenant or condo insurance cover water damage? | What happened to Canada's national flood insurance program? | Will a water damage claim raise my premium?</t>
        </is>
      </c>
      <c r="V6" s="25" t="n"/>
      <c r="W6" s="25" t="n"/>
      <c r="X6" s="25" t="n"/>
      <c r="Y6" s="36" t="inlineStr">
        <is>
          <t>Article; FAQPage; BreadcrumbList</t>
        </is>
      </c>
      <c r="Z6" s="37" t="n"/>
      <c r="AA6" s="25" t="n"/>
      <c r="AB6" s="25" t="inlineStr">
        <is>
          <t>Live. Review the date, sources and reviewer each quarter; add internal links to new posts in the same segment.</t>
        </is>
      </c>
      <c r="AC6" s="25" t="inlineStr">
        <is>
          <t>See docs/CONTENT_REVIEW.md section 4.</t>
        </is>
      </c>
      <c r="AD6" s="36" t="inlineStr">
        <is>
          <t>Quarterly</t>
        </is>
      </c>
      <c r="AE6" s="38" t="inlineStr">
        <is>
          <t>Michael Le Chi</t>
        </is>
      </c>
      <c r="AF6" s="38" t="n"/>
      <c r="AG6" s="38" t="inlineStr">
        <is>
          <t>2026-10-03</t>
        </is>
      </c>
    </row>
    <row r="7" ht="35.05" customHeight="1" s="22">
      <c r="A7" s="36">
        <f>"B"&amp;TEXT(ROW()-1,"0000")</f>
        <v/>
      </c>
      <c r="B7" s="38" t="inlineStr">
        <is>
          <t>Published</t>
        </is>
      </c>
      <c r="C7" s="36" t="n">
        <v>1</v>
      </c>
      <c r="D7" s="36" t="inlineStr">
        <is>
          <t>Car insurance</t>
        </is>
      </c>
      <c r="E7" s="36" t="inlineStr">
        <is>
          <t>auto</t>
        </is>
      </c>
      <c r="F7" s="25" t="inlineStr">
        <is>
          <t>Gig Driver Insurance in Ontario: Uber, Lyft, DoorDash and Skip</t>
        </is>
      </c>
      <c r="G7" s="36" t="inlineStr">
        <is>
          <t>https://instasure.ca/guides/gig-driver-insurance-uber-doordash-ontario/</t>
        </is>
      </c>
      <c r="H7" s="36" t="inlineStr">
        <is>
          <t>gig driver insurance</t>
        </is>
      </c>
      <c r="I7" s="41">
        <f>IFERROR(INDEX('Nationwide KWs'!$D$2:$D$168,MATCH(H7,'Nationwide KWs'!$A$2:$A$168,0)),IFERROR(INDEX('Provincial KWs'!$E$2:$E$137,MATCH(H7,'Provincial KWs'!$A$2:$A$137,0)),IFERROR(INDEX('City KWs'!$F$2:$F$419,MATCH(H7,'City KWs'!$A$2:$A$419,0)),"")))</f>
        <v/>
      </c>
      <c r="J7" s="36" t="n"/>
      <c r="K7" s="25" t="inlineStr">
        <is>
          <t>gig driver insurance; uber insurance ontario; doordash insurance ontario; rideshare insurance ontario; opcf 6a; delivery driver car insurance ontario</t>
        </is>
      </c>
      <c r="L7" s="36" t="inlineStr">
        <is>
          <t>Province: Ontario</t>
        </is>
      </c>
      <c r="M7" s="36" t="n"/>
      <c r="N7" s="36" t="n"/>
      <c r="O7" s="25" t="inlineStr">
        <is>
          <t>Gig Driver Insurance in Ontario: Uber and DoorDash</t>
        </is>
      </c>
      <c r="P7" s="36">
        <f>LEN(O7)</f>
        <v/>
      </c>
      <c r="Q7" s="25" t="inlineStr">
        <is>
          <t>Gig driver insurance in Ontario: how Uber and DoorDash coverage works, where gaps are, when you need OPCF 6A and which accident benefits to keep.</t>
        </is>
      </c>
      <c r="R7" s="36">
        <f>LEN(Q7)</f>
        <v/>
      </c>
      <c r="S7" s="36">
        <f>IF(H7="","",IF(ISNUMBER(SEARCH(SUBSTITUTE(H7,"-"," "),SUBSTITUTE(O7,"-"," "))),"Yes","Check"))</f>
        <v/>
      </c>
      <c r="T7" s="25" t="n"/>
      <c r="U7" s="25" t="inlineStr">
        <is>
          <t>Do I need special insurance to drive for Uber in Ontario? | Does OPCF 6A cover food delivery? | Should gig drivers opt out of income replacement benefits? | What happens if I don't tell my insurer I drive for an app?</t>
        </is>
      </c>
      <c r="V7" s="25" t="n"/>
      <c r="W7" s="25" t="n"/>
      <c r="X7" s="25" t="n"/>
      <c r="Y7" s="36" t="inlineStr">
        <is>
          <t>Article; FAQPage; BreadcrumbList</t>
        </is>
      </c>
      <c r="Z7" s="37" t="n"/>
      <c r="AA7" s="25" t="n"/>
      <c r="AB7" s="25" t="inlineStr">
        <is>
          <t>Live. Review the date, sources and reviewer each quarter; add internal links to new posts in the same segment.</t>
        </is>
      </c>
      <c r="AC7" s="25" t="inlineStr">
        <is>
          <t>See docs/CONTENT_REVIEW.md section 4.</t>
        </is>
      </c>
      <c r="AD7" s="36" t="inlineStr">
        <is>
          <t>Quarterly</t>
        </is>
      </c>
      <c r="AE7" s="38" t="inlineStr">
        <is>
          <t>Michael Le Chi</t>
        </is>
      </c>
      <c r="AF7" s="38" t="n"/>
      <c r="AG7" s="38" t="inlineStr">
        <is>
          <t>2026-10-03</t>
        </is>
      </c>
    </row>
    <row r="8" ht="35.05" customHeight="1" s="22">
      <c r="A8" s="36">
        <f>"B"&amp;TEXT(ROW()-1,"0000")</f>
        <v/>
      </c>
      <c r="B8" s="38" t="inlineStr">
        <is>
          <t>Published</t>
        </is>
      </c>
      <c r="C8" s="36" t="n">
        <v>1</v>
      </c>
      <c r="D8" s="36" t="inlineStr">
        <is>
          <t>Life insurance</t>
        </is>
      </c>
      <c r="E8" s="36" t="inlineStr">
        <is>
          <t>life</t>
        </is>
      </c>
      <c r="F8" s="25" t="inlineStr">
        <is>
          <t>How Much Does Life Insurance Cost in Canada? Prices by Age</t>
        </is>
      </c>
      <c r="G8" s="36" t="inlineStr">
        <is>
          <t>https://instasure.ca/guides/how-much-does-life-insurance-cost-canada/</t>
        </is>
      </c>
      <c r="H8" s="36" t="inlineStr">
        <is>
          <t>how much does life insurance cost</t>
        </is>
      </c>
      <c r="I8" s="41">
        <f>IFERROR(INDEX('Nationwide KWs'!$D$2:$D$168,MATCH(H8,'Nationwide KWs'!$A$2:$A$168,0)),IFERROR(INDEX('Provincial KWs'!$E$2:$E$137,MATCH(H8,'Provincial KWs'!$A$2:$A$137,0)),IFERROR(INDEX('City KWs'!$F$2:$F$419,MATCH(H8,'City KWs'!$A$2:$A$419,0)),"")))</f>
        <v/>
      </c>
      <c r="J8" s="36" t="n"/>
      <c r="K8" s="25" t="inlineStr">
        <is>
          <t>life insurance cost canada; life insurance rates by age; term life insurance cost; 500000 life insurance cost; smoker life insurance rates; cheap life insurance canada</t>
        </is>
      </c>
      <c r="L8" s="36" t="inlineStr">
        <is>
          <t>Nationwide</t>
        </is>
      </c>
      <c r="M8" s="36" t="n"/>
      <c r="N8" s="36" t="n"/>
      <c r="O8" s="25" t="inlineStr">
        <is>
          <t>How Much Does Life Insurance Cost in Canada? (2026)</t>
        </is>
      </c>
      <c r="P8" s="36">
        <f>LEN(O8)</f>
        <v/>
      </c>
      <c r="Q8" s="25" t="inlineStr">
        <is>
          <t>How much does life insurance cost in Canada? See example term life prices by age, smoker vs non-smoker rates, what insurers look at and how to pay less.</t>
        </is>
      </c>
      <c r="R8" s="36">
        <f>LEN(Q8)</f>
        <v/>
      </c>
      <c r="S8" s="36">
        <f>IF(H8="","",IF(ISNUMBER(SEARCH(SUBSTITUTE(H8,"-"," "),SUBSTITUTE(O8,"-"," "))),"Yes","Check"))</f>
        <v/>
      </c>
      <c r="T8" s="25" t="n"/>
      <c r="U8" s="25" t="inlineStr">
        <is>
          <t>How much is $500,000 of life insurance a month in Canada? | Why is life insurance cheaper for women? | Does vaping count as smoking for life insurance? | Is no-medical life insurance more expensive? | Does my life insurance premium go up every year?</t>
        </is>
      </c>
      <c r="V8" s="25" t="n"/>
      <c r="W8" s="25" t="n"/>
      <c r="X8" s="25" t="n"/>
      <c r="Y8" s="36" t="inlineStr">
        <is>
          <t>Article; FAQPage; BreadcrumbList</t>
        </is>
      </c>
      <c r="Z8" s="37" t="n"/>
      <c r="AA8" s="25" t="n"/>
      <c r="AB8" s="25" t="inlineStr">
        <is>
          <t>Live. Review the date, sources and reviewer each quarter; add internal links to new posts in the same segment.</t>
        </is>
      </c>
      <c r="AC8" s="25" t="inlineStr">
        <is>
          <t>See docs/CONTENT_REVIEW.md section 4.</t>
        </is>
      </c>
      <c r="AD8" s="36" t="inlineStr">
        <is>
          <t>Quarterly</t>
        </is>
      </c>
      <c r="AE8" s="38" t="inlineStr">
        <is>
          <t>Michael Le Chi</t>
        </is>
      </c>
      <c r="AF8" s="38" t="n"/>
      <c r="AG8" s="38" t="inlineStr">
        <is>
          <t>2026-10-03</t>
        </is>
      </c>
    </row>
    <row r="9" ht="46.25" customHeight="1" s="22">
      <c r="A9" s="36">
        <f>"B"&amp;TEXT(ROW()-1,"0000")</f>
        <v/>
      </c>
      <c r="B9" s="38" t="inlineStr">
        <is>
          <t>Published</t>
        </is>
      </c>
      <c r="C9" s="36" t="n">
        <v>1</v>
      </c>
      <c r="D9" s="36" t="inlineStr">
        <is>
          <t>Life insurance</t>
        </is>
      </c>
      <c r="E9" s="36" t="inlineStr">
        <is>
          <t>life</t>
        </is>
      </c>
      <c r="F9" s="25" t="inlineStr">
        <is>
          <t>How Much Life Insurance Do I Need in Canada?</t>
        </is>
      </c>
      <c r="G9" s="36" t="inlineStr">
        <is>
          <t>https://instasure.ca/guides/how-much-life-insurance-do-i-need-canada/</t>
        </is>
      </c>
      <c r="H9" s="36" t="inlineStr">
        <is>
          <t>how much life insurance do i need</t>
        </is>
      </c>
      <c r="I9" s="41">
        <f>IFERROR(INDEX('Nationwide KWs'!$D$2:$D$168,MATCH(H9,'Nationwide KWs'!$A$2:$A$168,0)),IFERROR(INDEX('Provincial KWs'!$E$2:$E$137,MATCH(H9,'Provincial KWs'!$A$2:$A$137,0)),IFERROR(INDEX('City KWs'!$F$2:$F$419,MATCH(H9,'City KWs'!$A$2:$A$419,0)),"")))</f>
        <v/>
      </c>
      <c r="J9" s="36" t="n"/>
      <c r="K9" s="25" t="inlineStr">
        <is>
          <t>how much life insurance should i get; life insurance calculator canada; dime method life insurance; life insurance coverage amount; is group life insurance enough; cpp survivor benefits life insurance</t>
        </is>
      </c>
      <c r="L9" s="36" t="inlineStr">
        <is>
          <t>Nationwide</t>
        </is>
      </c>
      <c r="M9" s="36" t="n"/>
      <c r="N9" s="36" t="n"/>
      <c r="O9" s="25" t="inlineStr">
        <is>
          <t>How Much Life Insurance Do I Need? Canada Guide (2026)</t>
        </is>
      </c>
      <c r="P9" s="36">
        <f>LEN(O9)</f>
        <v/>
      </c>
      <c r="Q9" s="25" t="inlineStr">
        <is>
          <t>How much life insurance do I need? Use the DIME method, a worked Canadian example, and your group and CPP benefits to size your coverage in minutes.</t>
        </is>
      </c>
      <c r="R9" s="36">
        <f>LEN(Q9)</f>
        <v/>
      </c>
      <c r="S9" s="36">
        <f>IF(H9="","",IF(ISNUMBER(SEARCH(SUBSTITUTE(H9,"-"," "),SUBSTITUTE(O9,"-"," "))),"Yes","Check"))</f>
        <v/>
      </c>
      <c r="T9" s="25" t="n"/>
      <c r="U9" s="25" t="inlineStr">
        <is>
          <t>Is 10 times my salary enough life insurance? | Should I count my group life insurance from work? | Does a stay-at-home parent need life insurance? | Are life insurance payouts taxable in Canada? | How often should I review my life insurance?</t>
        </is>
      </c>
      <c r="V9" s="25" t="n"/>
      <c r="W9" s="25" t="n"/>
      <c r="X9" s="25" t="n"/>
      <c r="Y9" s="36" t="inlineStr">
        <is>
          <t>Article; FAQPage; BreadcrumbList</t>
        </is>
      </c>
      <c r="Z9" s="37" t="n"/>
      <c r="AA9" s="25" t="n"/>
      <c r="AB9" s="25" t="inlineStr">
        <is>
          <t>Live. Review the date, sources and reviewer each quarter; add internal links to new posts in the same segment.</t>
        </is>
      </c>
      <c r="AC9" s="25" t="inlineStr">
        <is>
          <t>See docs/CONTENT_REVIEW.md section 4.</t>
        </is>
      </c>
      <c r="AD9" s="36" t="inlineStr">
        <is>
          <t>Quarterly</t>
        </is>
      </c>
      <c r="AE9" s="38" t="inlineStr">
        <is>
          <t>Michael Le Chi</t>
        </is>
      </c>
      <c r="AF9" s="38" t="n"/>
      <c r="AG9" s="38" t="inlineStr">
        <is>
          <t>2026-10-03</t>
        </is>
      </c>
    </row>
    <row r="10" ht="35.05" customHeight="1" s="22">
      <c r="A10" s="36">
        <f>"B"&amp;TEXT(ROW()-1,"0000")</f>
        <v/>
      </c>
      <c r="B10" s="38" t="inlineStr">
        <is>
          <t>Published</t>
        </is>
      </c>
      <c r="C10" s="36" t="n">
        <v>1</v>
      </c>
      <c r="D10" s="36" t="inlineStr">
        <is>
          <t>Car insurance</t>
        </is>
      </c>
      <c r="E10" s="36" t="inlineStr">
        <is>
          <t>auto</t>
        </is>
      </c>
      <c r="F10" s="25" t="inlineStr">
        <is>
          <t>ICBC Optional Insurance Explained: What to Buy on Top of Basic</t>
        </is>
      </c>
      <c r="G10" s="36" t="inlineStr">
        <is>
          <t>https://instasure.ca/guides/icbc-optional-insurance-explained/</t>
        </is>
      </c>
      <c r="H10" s="36" t="inlineStr">
        <is>
          <t>icbc optional insurance</t>
        </is>
      </c>
      <c r="I10" s="41">
        <f>IFERROR(INDEX('Nationwide KWs'!$D$2:$D$168,MATCH(H10,'Nationwide KWs'!$A$2:$A$168,0)),IFERROR(INDEX('Provincial KWs'!$E$2:$E$137,MATCH(H10,'Provincial KWs'!$A$2:$A$137,0)),IFERROR(INDEX('City KWs'!$F$2:$F$419,MATCH(H10,'City KWs'!$A$2:$A$419,0)),"")))</f>
        <v/>
      </c>
      <c r="J10" s="36" t="n"/>
      <c r="K10" s="25" t="inlineStr">
        <is>
          <t>icbc optional insurance; icbc basic vs optional; private optional car insurance bc; icbc low kilometre discount; bc car insurance optional coverage; icbc rate freeze 2027</t>
        </is>
      </c>
      <c r="L10" s="36" t="inlineStr">
        <is>
          <t>Province: British Columbia</t>
        </is>
      </c>
      <c r="M10" s="36" t="n"/>
      <c r="N10" s="36" t="n"/>
      <c r="O10" s="25" t="inlineStr">
        <is>
          <t>ICBC Optional Insurance Explained: What to Buy in BC</t>
        </is>
      </c>
      <c r="P10" s="36">
        <f>LEN(O10)</f>
        <v/>
      </c>
      <c r="Q10" s="25" t="inlineStr">
        <is>
          <t>ICBC optional insurance explained: what Basic Autoplan covers, which optional coverage to add, private insurer options and the low-kilometre discount in BC.</t>
        </is>
      </c>
      <c r="R10" s="36">
        <f>LEN(Q10)</f>
        <v/>
      </c>
      <c r="S10" s="36">
        <f>IF(H10="","",IF(ISNUMBER(SEARCH(SUBSTITUTE(H10,"-"," "),SUBSTITUTE(O10,"-"," "))),"Yes","Check"))</f>
        <v/>
      </c>
      <c r="T10" s="25" t="n"/>
      <c r="U10" s="25" t="inlineStr">
        <is>
          <t>Is ICBC optional insurance mandatory? | Can I buy optional car insurance from a private insurer in BC? | Are ICBC rates frozen in 2026? | Who qualifies for the ICBC low-kilometre discount?</t>
        </is>
      </c>
      <c r="V10" s="25" t="n"/>
      <c r="W10" s="25" t="n"/>
      <c r="X10" s="25" t="n"/>
      <c r="Y10" s="36" t="inlineStr">
        <is>
          <t>Article; FAQPage; BreadcrumbList</t>
        </is>
      </c>
      <c r="Z10" s="37" t="n"/>
      <c r="AA10" s="25" t="n"/>
      <c r="AB10" s="25" t="inlineStr">
        <is>
          <t>Live. Review the date, sources and reviewer each quarter; add internal links to new posts in the same segment.</t>
        </is>
      </c>
      <c r="AC10" s="25" t="inlineStr">
        <is>
          <t>See docs/CONTENT_REVIEW.md section 4.</t>
        </is>
      </c>
      <c r="AD10" s="36" t="inlineStr">
        <is>
          <t>Quarterly</t>
        </is>
      </c>
      <c r="AE10" s="38" t="inlineStr">
        <is>
          <t>Michael Le Chi</t>
        </is>
      </c>
      <c r="AF10" s="38" t="n"/>
      <c r="AG10" s="38" t="inlineStr">
        <is>
          <t>2026-10-03</t>
        </is>
      </c>
    </row>
    <row r="11" ht="46.25" customHeight="1" s="22">
      <c r="A11" s="36">
        <f>"B"&amp;TEXT(ROW()-1,"0000")</f>
        <v/>
      </c>
      <c r="B11" s="38" t="inlineStr">
        <is>
          <t>Published</t>
        </is>
      </c>
      <c r="C11" s="36" t="n">
        <v>1</v>
      </c>
      <c r="D11" s="36" t="inlineStr">
        <is>
          <t>Life insurance</t>
        </is>
      </c>
      <c r="E11" s="36" t="inlineStr">
        <is>
          <t>life</t>
        </is>
      </c>
      <c r="F11" s="25" t="inlineStr">
        <is>
          <t>Life Insurance for Newcomers to Canada: PR, Work Permits and Students</t>
        </is>
      </c>
      <c r="G11" s="36" t="inlineStr">
        <is>
          <t>https://instasure.ca/guides/life-insurance-for-newcomers-to-canada/</t>
        </is>
      </c>
      <c r="H11" s="36" t="inlineStr">
        <is>
          <t>life insurance for newcomers</t>
        </is>
      </c>
      <c r="I11" s="41">
        <f>IFERROR(INDEX('Nationwide KWs'!$D$2:$D$168,MATCH(H11,'Nationwide KWs'!$A$2:$A$168,0)),IFERROR(INDEX('Provincial KWs'!$E$2:$E$137,MATCH(H11,'Provincial KWs'!$A$2:$A$137,0)),IFERROR(INDEX('City KWs'!$F$2:$F$419,MATCH(H11,'City KWs'!$A$2:$A$419,0)),"")))</f>
        <v/>
      </c>
      <c r="J11" s="36" t="n"/>
      <c r="K11" s="25" t="inlineStr">
        <is>
          <t>life insurance for newcomers to canada; life insurance work permit canada; life insurance permanent resident canada; life insurance international students canada; life insurance new immigrants canada; super visa parents insurance</t>
        </is>
      </c>
      <c r="L11" s="36" t="inlineStr">
        <is>
          <t>Nationwide</t>
        </is>
      </c>
      <c r="M11" s="36" t="n"/>
      <c r="N11" s="36" t="n"/>
      <c r="O11" s="25" t="inlineStr">
        <is>
          <t>Life Insurance for Newcomers to Canada (2026 Guide)</t>
        </is>
      </c>
      <c r="P11" s="36">
        <f>LEN(O11)</f>
        <v/>
      </c>
      <c r="Q11" s="25" t="inlineStr">
        <is>
          <t>Life insurance for newcomers to Canada: who qualifies on PR, work and study permits, coverage limits, underwriting abroad, group benefits and Super Visa tips.</t>
        </is>
      </c>
      <c r="R11" s="36">
        <f>LEN(Q11)</f>
        <v/>
      </c>
      <c r="S11" s="36">
        <f>IF(H11="","",IF(ISNUMBER(SEARCH(SUBSTITUTE(H11,"-"," "),SUBSTITUTE(O11,"-"," "))),"Yes","Check"))</f>
        <v/>
      </c>
      <c r="T11" s="25" t="n"/>
      <c r="U11" s="25" t="inlineStr">
        <is>
          <t>Can I get life insurance on a work permit in Canada? | How long do I need to live in Canada before buying life insurance? | Can my beneficiary live outside Canada? | Can my parents on a Super Visa get life insurance in Canada? | What happens to my policy if I leave Canada?</t>
        </is>
      </c>
      <c r="V11" s="25" t="n"/>
      <c r="W11" s="25" t="n"/>
      <c r="X11" s="25" t="n"/>
      <c r="Y11" s="36" t="inlineStr">
        <is>
          <t>Article; FAQPage; BreadcrumbList</t>
        </is>
      </c>
      <c r="Z11" s="37" t="n"/>
      <c r="AA11" s="25" t="n"/>
      <c r="AB11" s="25" t="inlineStr">
        <is>
          <t>Live. Review the date, sources and reviewer each quarter; add internal links to new posts in the same segment.</t>
        </is>
      </c>
      <c r="AC11" s="25" t="inlineStr">
        <is>
          <t>See docs/CONTENT_REVIEW.md section 4.</t>
        </is>
      </c>
      <c r="AD11" s="36" t="inlineStr">
        <is>
          <t>Quarterly</t>
        </is>
      </c>
      <c r="AE11" s="38" t="inlineStr">
        <is>
          <t>Michael Le Chi</t>
        </is>
      </c>
      <c r="AF11" s="38" t="n"/>
      <c r="AG11" s="38" t="inlineStr">
        <is>
          <t>2026-10-03</t>
        </is>
      </c>
    </row>
    <row r="12" ht="46.25" customHeight="1" s="22">
      <c r="A12" s="36">
        <f>"B"&amp;TEXT(ROW()-1,"0000")</f>
        <v/>
      </c>
      <c r="B12" s="38" t="inlineStr">
        <is>
          <t>Published</t>
        </is>
      </c>
      <c r="C12" s="36" t="n">
        <v>1</v>
      </c>
      <c r="D12" s="36" t="inlineStr">
        <is>
          <t>Mortgage protection</t>
        </is>
      </c>
      <c r="E12" s="36" t="inlineStr">
        <is>
          <t>life</t>
        </is>
      </c>
      <c r="F12" s="25" t="inlineStr">
        <is>
          <t>Mortgage Life Insurance vs Term Life Insurance: What to Choose in 2026</t>
        </is>
      </c>
      <c r="G12" s="36" t="inlineStr">
        <is>
          <t>https://instasure.ca/guides/mortgage-life-insurance-vs-term-life-insurance/</t>
        </is>
      </c>
      <c r="H12" s="36" t="inlineStr">
        <is>
          <t>mortgage life insurance vs term life insurance</t>
        </is>
      </c>
      <c r="I12" s="41">
        <f>IFERROR(INDEX('Nationwide KWs'!$D$2:$D$168,MATCH(H12,'Nationwide KWs'!$A$2:$A$168,0)),IFERROR(INDEX('Provincial KWs'!$E$2:$E$137,MATCH(H12,'Provincial KWs'!$A$2:$A$137,0)),IFERROR(INDEX('City KWs'!$F$2:$F$419,MATCH(H12,'City KWs'!$A$2:$A$419,0)),"")))</f>
        <v/>
      </c>
      <c r="J12" s="36" t="n"/>
      <c r="K12" s="25" t="inlineStr">
        <is>
          <t>mortgage insurance vs life insurance; bank mortgage life insurance; mortgage protection insurance canada; post-claim underwriting; mortgage renewal 2026 life insurance; is mortgage life insurance mandatory</t>
        </is>
      </c>
      <c r="L12" s="36" t="inlineStr">
        <is>
          <t>Nationwide</t>
        </is>
      </c>
      <c r="M12" s="36" t="n"/>
      <c r="N12" s="36" t="n"/>
      <c r="O12" s="25" t="inlineStr">
        <is>
          <t>Mortgage Life Insurance vs Term Life Insurance (2026)</t>
        </is>
      </c>
      <c r="P12" s="36">
        <f>LEN(O12)</f>
        <v/>
      </c>
      <c r="Q12" s="25" t="inlineStr">
        <is>
          <t>Mortgage life insurance vs term life insurance: how bank creditor coverage, declining benefits and post-claim underwriting compare at your 2026 renewal.</t>
        </is>
      </c>
      <c r="R12" s="36">
        <f>LEN(Q12)</f>
        <v/>
      </c>
      <c r="S12" s="36">
        <f>IF(H12="","",IF(ISNUMBER(SEARCH(SUBSTITUTE(H12,"-"," "),SUBSTITUTE(O12,"-"," "))),"Yes","Check"))</f>
        <v/>
      </c>
      <c r="T12" s="25" t="n"/>
      <c r="U12" s="25" t="inlineStr">
        <is>
          <t>Is mortgage life insurance mandatory in Canada? | Can I cancel my bank's mortgage life insurance? | Does my mortgage life insurance move with me if I switch lenders? | How much term life insurance do I need for my mortgage? | What happens with joint mortgage insurance if both partners die?</t>
        </is>
      </c>
      <c r="V12" s="25" t="n"/>
      <c r="W12" s="25" t="n"/>
      <c r="X12" s="25" t="n"/>
      <c r="Y12" s="36" t="inlineStr">
        <is>
          <t>Article; FAQPage; BreadcrumbList</t>
        </is>
      </c>
      <c r="Z12" s="37" t="n"/>
      <c r="AA12" s="25" t="n"/>
      <c r="AB12" s="25" t="inlineStr">
        <is>
          <t>Live. Review the date, sources and reviewer each quarter; add internal links to new posts in the same segment.</t>
        </is>
      </c>
      <c r="AC12" s="25" t="inlineStr">
        <is>
          <t>See docs/CONTENT_REVIEW.md section 4.</t>
        </is>
      </c>
      <c r="AD12" s="36" t="inlineStr">
        <is>
          <t>Quarterly</t>
        </is>
      </c>
      <c r="AE12" s="38" t="inlineStr">
        <is>
          <t>Michael Le Chi</t>
        </is>
      </c>
      <c r="AF12" s="38" t="n"/>
      <c r="AG12" s="38" t="inlineStr">
        <is>
          <t>2026-10-03</t>
        </is>
      </c>
    </row>
    <row r="13" ht="46.25" customHeight="1" s="22">
      <c r="A13" s="36">
        <f>"B"&amp;TEXT(ROW()-1,"0000")</f>
        <v/>
      </c>
      <c r="B13" s="38" t="inlineStr">
        <is>
          <t>Published</t>
        </is>
      </c>
      <c r="C13" s="36" t="n">
        <v>1</v>
      </c>
      <c r="D13" s="36" t="inlineStr">
        <is>
          <t>Car insurance</t>
        </is>
      </c>
      <c r="E13" s="36" t="inlineStr">
        <is>
          <t>auto</t>
        </is>
      </c>
      <c r="F13" s="25" t="inlineStr">
        <is>
          <t>Ontario Auto Insurance Changes (July 2026): What's Optional Now</t>
        </is>
      </c>
      <c r="G13" s="36" t="inlineStr">
        <is>
          <t>https://instasure.ca/guides/ontario-auto-insurance-changes-july-2026/</t>
        </is>
      </c>
      <c r="H13" s="36" t="inlineStr">
        <is>
          <t>ontario auto insurance changes</t>
        </is>
      </c>
      <c r="I13" s="41">
        <f>IFERROR(INDEX('Nationwide KWs'!$D$2:$D$168,MATCH(H13,'Nationwide KWs'!$A$2:$A$168,0)),IFERROR(INDEX('Provincial KWs'!$E$2:$E$137,MATCH(H13,'Provincial KWs'!$A$2:$A$137,0)),IFERROR(INDEX('City KWs'!$F$2:$F$419,MATCH(H13,'City KWs'!$A$2:$A$419,0)),"")))</f>
        <v/>
      </c>
      <c r="J13" s="36" t="n"/>
      <c r="K13" s="25" t="inlineStr">
        <is>
          <t>ontario auto insurance changes; ontario auto insurance reform 2026; optional accident benefits ontario; income replacement benefit ontario; ontario accident benefits july 2026; should i opt out of income replacement</t>
        </is>
      </c>
      <c r="L13" s="36" t="inlineStr">
        <is>
          <t>Province: Ontario</t>
        </is>
      </c>
      <c r="M13" s="36" t="n"/>
      <c r="N13" s="36" t="n"/>
      <c r="O13" s="25" t="inlineStr">
        <is>
          <t>Ontario Auto Insurance Changes July 2026: What's Optional</t>
        </is>
      </c>
      <c r="P13" s="36">
        <f>LEN(O13)</f>
        <v/>
      </c>
      <c r="Q13" s="25" t="inlineStr">
        <is>
          <t>Ontario auto insurance changes took effect July 1, 2026. See which accident benefits are optional, who should keep income replacement and what to ask.</t>
        </is>
      </c>
      <c r="R13" s="36">
        <f>LEN(Q13)</f>
        <v/>
      </c>
      <c r="S13" s="36">
        <f>IF(H13="","",IF(ISNUMBER(SEARCH(SUBSTITUTE(H13,"-"," "),SUBSTITUTE(O13,"-"," "))),"Yes","Check"))</f>
        <v/>
      </c>
      <c r="T13" s="25" t="n"/>
      <c r="U13" s="25" t="inlineStr">
        <is>
          <t>Are income replacement benefits still mandatory in Ontario? | Did my coverage change automatically on July 1, 2026? | How much do I save by dropping optional accident benefits? | Can I add optional accident benefits back later?</t>
        </is>
      </c>
      <c r="V13" s="25" t="n"/>
      <c r="W13" s="25" t="n"/>
      <c r="X13" s="25" t="n"/>
      <c r="Y13" s="36" t="inlineStr">
        <is>
          <t>Article; FAQPage; BreadcrumbList</t>
        </is>
      </c>
      <c r="Z13" s="37" t="n"/>
      <c r="AA13" s="25" t="n"/>
      <c r="AB13" s="25" t="inlineStr">
        <is>
          <t>Live. Review the date, sources and reviewer each quarter; add internal links to new posts in the same segment.</t>
        </is>
      </c>
      <c r="AC13" s="25" t="inlineStr">
        <is>
          <t>See docs/CONTENT_REVIEW.md section 4.</t>
        </is>
      </c>
      <c r="AD13" s="36" t="inlineStr">
        <is>
          <t>Quarterly</t>
        </is>
      </c>
      <c r="AE13" s="38" t="inlineStr">
        <is>
          <t>Michael Le Chi</t>
        </is>
      </c>
      <c r="AF13" s="38" t="n"/>
      <c r="AG13" s="38" t="inlineStr">
        <is>
          <t>2026-10-03</t>
        </is>
      </c>
    </row>
    <row r="14" ht="35.05" customHeight="1" s="22">
      <c r="A14" s="36">
        <f>"B"&amp;TEXT(ROW()-1,"0000")</f>
        <v/>
      </c>
      <c r="B14" s="38" t="inlineStr">
        <is>
          <t>Published</t>
        </is>
      </c>
      <c r="C14" s="36" t="n">
        <v>1</v>
      </c>
      <c r="D14" s="36" t="inlineStr">
        <is>
          <t>Health &amp; dental insurance</t>
        </is>
      </c>
      <c r="E14" s="36" t="inlineStr">
        <is>
          <t>health</t>
        </is>
      </c>
      <c r="F14" s="25" t="inlineStr">
        <is>
          <t>Private Dental Insurance vs the CDCP: Who Should Buy What?</t>
        </is>
      </c>
      <c r="G14" s="36" t="inlineStr">
        <is>
          <t>https://instasure.ca/guides/private-dental-insurance-vs-cdcp/</t>
        </is>
      </c>
      <c r="H14" s="36" t="inlineStr">
        <is>
          <t>private dental insurance</t>
        </is>
      </c>
      <c r="I14" s="41">
        <f>IFERROR(INDEX('Nationwide KWs'!$D$2:$D$168,MATCH(H14,'Nationwide KWs'!$A$2:$A$168,0)),IFERROR(INDEX('Provincial KWs'!$E$2:$E$137,MATCH(H14,'Provincial KWs'!$A$2:$A$137,0)),IFERROR(INDEX('City KWs'!$F$2:$F$419,MATCH(H14,'City KWs'!$A$2:$A$419,0)),"")))</f>
        <v/>
      </c>
      <c r="J14" s="36" t="n"/>
      <c r="K14" s="25" t="inlineStr">
        <is>
          <t>Canadian Dental Care Plan; CDCP eligibility; CDCP vs private insurance; individual health and dental plan; guaranteed issue dental insurance; dental insurance self-employed</t>
        </is>
      </c>
      <c r="L14" s="36" t="inlineStr">
        <is>
          <t>Nationwide</t>
        </is>
      </c>
      <c r="M14" s="36" t="n"/>
      <c r="N14" s="36" t="n"/>
      <c r="O14" s="25" t="inlineStr">
        <is>
          <t>Private Dental Insurance vs CDCP: Who Should Buy What</t>
        </is>
      </c>
      <c r="P14" s="36">
        <f>LEN(O14)</f>
        <v/>
      </c>
      <c r="Q14" s="25" t="inlineStr">
        <is>
          <t>Private dental insurance vs the Canadian Dental Care Plan: who qualifies for the CDCP, why private coverage can affect eligibility, and who should buy what.</t>
        </is>
      </c>
      <c r="R14" s="36">
        <f>LEN(Q14)</f>
        <v/>
      </c>
      <c r="S14" s="36">
        <f>IF(H14="","",IF(ISNUMBER(SEARCH(SUBSTITUTE(H14,"-"," "),SUBSTITUTE(O14,"-"," "))),"Yes","Check"))</f>
        <v/>
      </c>
      <c r="T14" s="25" t="n"/>
      <c r="U14" s="25" t="inlineStr">
        <is>
          <t>Will buying private dental insurance disqualify me from the CDCP? | Is the CDCP free? | Can I have the CDCP and a health plan without dental? | What is a guaranteed issue health and dental plan? | I just lost my workplace benefits. What should I do?</t>
        </is>
      </c>
      <c r="V14" s="25" t="n"/>
      <c r="W14" s="25" t="n"/>
      <c r="X14" s="25" t="n"/>
      <c r="Y14" s="36" t="inlineStr">
        <is>
          <t>Article; FAQPage; BreadcrumbList</t>
        </is>
      </c>
      <c r="Z14" s="37" t="n"/>
      <c r="AA14" s="25" t="n"/>
      <c r="AB14" s="25" t="inlineStr">
        <is>
          <t>Live. Review the date, sources and reviewer each quarter; add internal links to new posts in the same segment.</t>
        </is>
      </c>
      <c r="AC14" s="25" t="inlineStr">
        <is>
          <t>See docs/CONTENT_REVIEW.md section 4.</t>
        </is>
      </c>
      <c r="AD14" s="36" t="inlineStr">
        <is>
          <t>Quarterly</t>
        </is>
      </c>
      <c r="AE14" s="38" t="inlineStr">
        <is>
          <t>Michael Le Chi</t>
        </is>
      </c>
      <c r="AF14" s="38" t="n"/>
      <c r="AG14" s="38" t="inlineStr">
        <is>
          <t>2026-10-03</t>
        </is>
      </c>
    </row>
    <row r="15" ht="35.05" customHeight="1" s="22">
      <c r="A15" s="36">
        <f>"B"&amp;TEXT(ROW()-1,"0000")</f>
        <v/>
      </c>
      <c r="B15" s="38" t="inlineStr">
        <is>
          <t>Published</t>
        </is>
      </c>
      <c r="C15" s="36" t="n">
        <v>1</v>
      </c>
      <c r="D15" s="36" t="inlineStr">
        <is>
          <t>Business insurance</t>
        </is>
      </c>
      <c r="E15" s="36" t="inlineStr">
        <is>
          <t>business</t>
        </is>
      </c>
      <c r="F15" s="25" t="inlineStr">
        <is>
          <t>How Much Does Small Business Insurance Cost in Canada?</t>
        </is>
      </c>
      <c r="G15" s="36" t="inlineStr">
        <is>
          <t>https://instasure.ca/guides/small-business-insurance-cost-canada/</t>
        </is>
      </c>
      <c r="H15" s="36" t="inlineStr">
        <is>
          <t>small business insurance cost</t>
        </is>
      </c>
      <c r="I15" s="41">
        <f>IFERROR(INDEX('Nationwide KWs'!$D$2:$D$168,MATCH(H15,'Nationwide KWs'!$A$2:$A$168,0)),IFERROR(INDEX('Provincial KWs'!$E$2:$E$137,MATCH(H15,'Provincial KWs'!$A$2:$A$137,0)),IFERROR(INDEX('City KWs'!$F$2:$F$419,MATCH(H15,'City KWs'!$A$2:$A$419,0)),"")))</f>
        <v/>
      </c>
      <c r="J15" s="36" t="n"/>
      <c r="K15" s="25" t="inlineStr">
        <is>
          <t>business insurance cost Canada; commercial general liability cost; errors and omissions insurance cost; contractor insurance cost; business interruption insurance; cyber insurance small business</t>
        </is>
      </c>
      <c r="L15" s="36" t="inlineStr">
        <is>
          <t>Nationwide</t>
        </is>
      </c>
      <c r="M15" s="36" t="n"/>
      <c r="N15" s="36" t="n"/>
      <c r="O15" s="25" t="inlineStr">
        <is>
          <t>Small Business Insurance Cost in Canada: What Drives It</t>
        </is>
      </c>
      <c r="P15" s="36">
        <f>LEN(O15)</f>
        <v/>
      </c>
      <c r="Q15" s="25" t="inlineStr">
        <is>
          <t>Small business insurance cost in Canada depends on your industry, revenue, limits and claims. See illustrative ranges by business type and ways to lower cost.</t>
        </is>
      </c>
      <c r="R15" s="36">
        <f>LEN(Q15)</f>
        <v/>
      </c>
      <c r="S15" s="36">
        <f>IF(H15="","",IF(ISNUMBER(SEARCH(SUBSTITUTE(H15,"-"," "),SUBSTITUTE(O15,"-"," "))),"Yes","Check"))</f>
        <v/>
      </c>
      <c r="T15" s="25" t="n"/>
      <c r="U15" s="25" t="inlineStr">
        <is>
          <t>How much is liability insurance for a small business in Canada? | Is business insurance mandatory in Canada? | Does my home insurance cover my home-based business? | What is the difference between CGL and E&amp;O insurance?</t>
        </is>
      </c>
      <c r="V15" s="25" t="n"/>
      <c r="W15" s="25" t="n"/>
      <c r="X15" s="25" t="n"/>
      <c r="Y15" s="36" t="inlineStr">
        <is>
          <t>Article; FAQPage; BreadcrumbList</t>
        </is>
      </c>
      <c r="Z15" s="37" t="n"/>
      <c r="AA15" s="25" t="n"/>
      <c r="AB15" s="25" t="inlineStr">
        <is>
          <t>Live. Review the date, sources and reviewer each quarter; add internal links to new posts in the same segment.</t>
        </is>
      </c>
      <c r="AC15" s="25" t="inlineStr">
        <is>
          <t>See docs/CONTENT_REVIEW.md section 4.</t>
        </is>
      </c>
      <c r="AD15" s="36" t="inlineStr">
        <is>
          <t>Quarterly</t>
        </is>
      </c>
      <c r="AE15" s="38" t="inlineStr">
        <is>
          <t>Michael Le Chi</t>
        </is>
      </c>
      <c r="AF15" s="38" t="n"/>
      <c r="AG15" s="38" t="inlineStr">
        <is>
          <t>2026-10-03</t>
        </is>
      </c>
    </row>
    <row r="16" ht="46.25" customHeight="1" s="22">
      <c r="A16" s="36">
        <f>"B"&amp;TEXT(ROW()-1,"0000")</f>
        <v/>
      </c>
      <c r="B16" s="38" t="inlineStr">
        <is>
          <t>Published</t>
        </is>
      </c>
      <c r="C16" s="36" t="n">
        <v>1</v>
      </c>
      <c r="D16" s="36" t="inlineStr">
        <is>
          <t>Super Visa &amp; visitors insurance</t>
        </is>
      </c>
      <c r="E16" s="36" t="inlineStr">
        <is>
          <t>travel</t>
        </is>
      </c>
      <c r="F16" s="25" t="inlineStr">
        <is>
          <t>Super Visa Insurance: Requirements and Cost by Age</t>
        </is>
      </c>
      <c r="G16" s="36" t="inlineStr">
        <is>
          <t>https://instasure.ca/guides/super-visa-insurance-requirements-cost/</t>
        </is>
      </c>
      <c r="H16" s="36" t="inlineStr">
        <is>
          <t>super visa insurance requirements</t>
        </is>
      </c>
      <c r="I16" s="41">
        <f>IFERROR(INDEX('Nationwide KWs'!$D$2:$D$168,MATCH(H16,'Nationwide KWs'!$A$2:$A$168,0)),IFERROR(INDEX('Provincial KWs'!$E$2:$E$137,MATCH(H16,'Provincial KWs'!$A$2:$A$137,0)),IFERROR(INDEX('City KWs'!$F$2:$F$419,MATCH(H16,'City KWs'!$A$2:$A$419,0)),"")))</f>
        <v/>
      </c>
      <c r="J16" s="36" t="n"/>
      <c r="K16" s="25" t="inlineStr">
        <is>
          <t>super visa insurance cost; super visa insurance by age; super visa medical insurance; super visa monthly payment; super visa pre-existing conditions; parent and grandparent super visa</t>
        </is>
      </c>
      <c r="L16" s="36" t="inlineStr">
        <is>
          <t>Nationwide</t>
        </is>
      </c>
      <c r="M16" s="36" t="n"/>
      <c r="N16" s="36" t="n"/>
      <c r="O16" s="25" t="inlineStr">
        <is>
          <t>Super Visa Insurance Requirements and Cost by Age</t>
        </is>
      </c>
      <c r="P16" s="36">
        <f>LEN(O16)</f>
        <v/>
      </c>
      <c r="Q16" s="25" t="inlineStr">
        <is>
          <t>Super Visa insurance requirements explained: $100,000 minimum, one-year validity and eligible insurers, plus illustrative costs by age, deductibles and refunds.</t>
        </is>
      </c>
      <c r="R16" s="36">
        <f>LEN(Q16)</f>
        <v/>
      </c>
      <c r="S16" s="36">
        <f>IF(H16="","",IF(ISNUMBER(SEARCH(SUBSTITUTE(H16,"-"," "),SUBSTITUTE(O16,"-"," "))),"Yes","Check"))</f>
        <v/>
      </c>
      <c r="T16" s="25" t="n"/>
      <c r="U16" s="25" t="inlineStr">
        <is>
          <t>What is the minimum Super Visa insurance coverage? | Can I pay for Super Visa insurance monthly? | Do I get a refund if the Super Visa is refused? | Does Super Visa insurance cover pre-existing conditions? | Can my parents buy Super Visa insurance from a company in their home country?</t>
        </is>
      </c>
      <c r="V16" s="25" t="n"/>
      <c r="W16" s="25" t="n"/>
      <c r="X16" s="25" t="n"/>
      <c r="Y16" s="36" t="inlineStr">
        <is>
          <t>Article; FAQPage; BreadcrumbList</t>
        </is>
      </c>
      <c r="Z16" s="37" t="n"/>
      <c r="AA16" s="25" t="n"/>
      <c r="AB16" s="25" t="inlineStr">
        <is>
          <t>Live. Review the date, sources and reviewer each quarter; add internal links to new posts in the same segment.</t>
        </is>
      </c>
      <c r="AC16" s="25" t="inlineStr">
        <is>
          <t>See docs/CONTENT_REVIEW.md section 4.</t>
        </is>
      </c>
      <c r="AD16" s="36" t="inlineStr">
        <is>
          <t>Quarterly</t>
        </is>
      </c>
      <c r="AE16" s="38" t="inlineStr">
        <is>
          <t>Michael Le Chi</t>
        </is>
      </c>
      <c r="AF16" s="38" t="n"/>
      <c r="AG16" s="38" t="inlineStr">
        <is>
          <t>2026-10-03</t>
        </is>
      </c>
    </row>
    <row r="17" ht="35.05" customHeight="1" s="22">
      <c r="A17" s="36">
        <f>"B"&amp;TEXT(ROW()-1,"0000")</f>
        <v/>
      </c>
      <c r="B17" s="38" t="inlineStr">
        <is>
          <t>Published</t>
        </is>
      </c>
      <c r="C17" s="36" t="n">
        <v>1</v>
      </c>
      <c r="D17" s="36" t="inlineStr">
        <is>
          <t>Tenant insurance</t>
        </is>
      </c>
      <c r="E17" s="36" t="inlineStr">
        <is>
          <t>home</t>
        </is>
      </c>
      <c r="F17" s="25" t="inlineStr">
        <is>
          <t>Can a Landlord Require Tenant Insurance in Ontario?</t>
        </is>
      </c>
      <c r="G17" s="36" t="inlineStr">
        <is>
          <t>https://instasure.ca/guides/tenant-insurance-ontario-landlord-require/</t>
        </is>
      </c>
      <c r="H17" s="36" t="inlineStr">
        <is>
          <t>tenant insurance Ontario</t>
        </is>
      </c>
      <c r="I17" s="41">
        <f>IFERROR(INDEX('Nationwide KWs'!$D$2:$D$168,MATCH(H17,'Nationwide KWs'!$A$2:$A$168,0)),IFERROR(INDEX('Provincial KWs'!$E$2:$E$137,MATCH(H17,'Provincial KWs'!$A$2:$A$137,0)),IFERROR(INDEX('City KWs'!$F$2:$F$419,MATCH(H17,'City KWs'!$A$2:$A$419,0)),"")))</f>
        <v/>
      </c>
      <c r="J17" s="36" t="n"/>
      <c r="K17" s="25" t="inlineStr">
        <is>
          <t>can a landlord require tenant insurance; Ontario standard lease insurance; renters insurance Ontario; tenant liability insurance; student tenant insurance; tenant insurance cost Ontario</t>
        </is>
      </c>
      <c r="L17" s="36" t="inlineStr">
        <is>
          <t>Province: Ontario</t>
        </is>
      </c>
      <c r="M17" s="36" t="n"/>
      <c r="N17" s="36" t="n"/>
      <c r="O17" s="25" t="inlineStr">
        <is>
          <t>Tenant Insurance Ontario: Can a Landlord Require It?</t>
        </is>
      </c>
      <c r="P17" s="36">
        <f>LEN(O17)</f>
        <v/>
      </c>
      <c r="Q17" s="25" t="inlineStr">
        <is>
          <t>Tenant insurance Ontario guide: a landlord can require liability coverage through the standard lease. See what it covers, typical costs and tips for students.</t>
        </is>
      </c>
      <c r="R17" s="36">
        <f>LEN(Q17)</f>
        <v/>
      </c>
      <c r="S17" s="36">
        <f>IF(H17="","",IF(ISNUMBER(SEARCH(SUBSTITUTE(H17,"-"," "),SUBSTITUTE(O17,"-"," "))),"Yes","Check"))</f>
        <v/>
      </c>
      <c r="T17" s="25" t="n"/>
      <c r="U17" s="25" t="inlineStr">
        <is>
          <t>Is tenant insurance mandatory in Ontario? | Can my landlord evict me for not having tenant insurance? | Does my landlord's insurance cover my belongings? | Do roommates need separate tenant insurance? | How much liability coverage should a tenant have?</t>
        </is>
      </c>
      <c r="V17" s="25" t="n"/>
      <c r="W17" s="25" t="n"/>
      <c r="X17" s="25" t="n"/>
      <c r="Y17" s="36" t="inlineStr">
        <is>
          <t>Article; FAQPage; BreadcrumbList</t>
        </is>
      </c>
      <c r="Z17" s="37" t="n"/>
      <c r="AA17" s="25" t="n"/>
      <c r="AB17" s="25" t="inlineStr">
        <is>
          <t>Live. Review the date, sources and reviewer each quarter; add internal links to new posts in the same segment.</t>
        </is>
      </c>
      <c r="AC17" s="25" t="inlineStr">
        <is>
          <t>See docs/CONTENT_REVIEW.md section 4.</t>
        </is>
      </c>
      <c r="AD17" s="36" t="inlineStr">
        <is>
          <t>Quarterly</t>
        </is>
      </c>
      <c r="AE17" s="38" t="inlineStr">
        <is>
          <t>Michael Le Chi</t>
        </is>
      </c>
      <c r="AF17" s="38" t="n"/>
      <c r="AG17" s="38" t="inlineStr">
        <is>
          <t>2026-10-03</t>
        </is>
      </c>
    </row>
    <row r="18" ht="35.05" customHeight="1" s="22">
      <c r="A18" s="36">
        <f>"B"&amp;TEXT(ROW()-1,"0000")</f>
        <v/>
      </c>
      <c r="B18" s="38" t="inlineStr">
        <is>
          <t>Published</t>
        </is>
      </c>
      <c r="C18" s="36" t="n">
        <v>1</v>
      </c>
      <c r="D18" s="36" t="inlineStr">
        <is>
          <t>Life insurance</t>
        </is>
      </c>
      <c r="E18" s="36" t="inlineStr">
        <is>
          <t>life</t>
        </is>
      </c>
      <c r="F18" s="25" t="inlineStr">
        <is>
          <t>Term vs Whole Life Insurance in Canada: Which Fits You?</t>
        </is>
      </c>
      <c r="G18" s="36" t="inlineStr">
        <is>
          <t>https://instasure.ca/guides/term-vs-whole-life-insurance-canada/</t>
        </is>
      </c>
      <c r="H18" s="36" t="inlineStr">
        <is>
          <t>term vs whole life insurance</t>
        </is>
      </c>
      <c r="I18" s="41">
        <f>IFERROR(INDEX('Nationwide KWs'!$D$2:$D$168,MATCH(H18,'Nationwide KWs'!$A$2:$A$168,0)),IFERROR(INDEX('Provincial KWs'!$E$2:$E$137,MATCH(H18,'Provincial KWs'!$A$2:$A$137,0)),IFERROR(INDEX('City KWs'!$F$2:$F$419,MATCH(H18,'City KWs'!$A$2:$A$419,0)),"")))</f>
        <v/>
      </c>
      <c r="J18" s="36" t="n"/>
      <c r="K18" s="25" t="inlineStr">
        <is>
          <t>term or whole life insurance; whole life vs term life canada; buy term and invest the difference; term life conversion; life insurance laddering; permanent life insurance canada</t>
        </is>
      </c>
      <c r="L18" s="36" t="inlineStr">
        <is>
          <t>Nationwide</t>
        </is>
      </c>
      <c r="M18" s="36" t="n"/>
      <c r="N18" s="36" t="n"/>
      <c r="O18" s="25" t="inlineStr">
        <is>
          <t>Term vs Whole Life Insurance in Canada (2026)</t>
        </is>
      </c>
      <c r="P18" s="36">
        <f>LEN(O18)</f>
        <v/>
      </c>
      <c r="Q18" s="25" t="inlineStr">
        <is>
          <t>Term vs whole life insurance in Canada: compare cost, cash value and flexibility, see when each fits, and learn how laddering and conversion work.</t>
        </is>
      </c>
      <c r="R18" s="36">
        <f>LEN(Q18)</f>
        <v/>
      </c>
      <c r="S18" s="36">
        <f>IF(H18="","",IF(ISNUMBER(SEARCH(SUBSTITUTE(H18,"-"," "),SUBSTITUTE(O18,"-"," "))),"Yes","Check"))</f>
        <v/>
      </c>
      <c r="T18" s="25" t="n"/>
      <c r="U18" s="25" t="inlineStr">
        <is>
          <t>Is whole life insurance worth it in Canada? | Can I switch from term to whole life later? | What happens when term life insurance expires? | Does term life insurance have a cash value? | Is universal life the same as whole life?</t>
        </is>
      </c>
      <c r="V18" s="25" t="n"/>
      <c r="W18" s="25" t="n"/>
      <c r="X18" s="25" t="n"/>
      <c r="Y18" s="36" t="inlineStr">
        <is>
          <t>Article; FAQPage; BreadcrumbList</t>
        </is>
      </c>
      <c r="Z18" s="37" t="n"/>
      <c r="AA18" s="25" t="n"/>
      <c r="AB18" s="25" t="inlineStr">
        <is>
          <t>Live. Review the date, sources and reviewer each quarter; add internal links to new posts in the same segment.</t>
        </is>
      </c>
      <c r="AC18" s="25" t="inlineStr">
        <is>
          <t>See docs/CONTENT_REVIEW.md section 4.</t>
        </is>
      </c>
      <c r="AD18" s="36" t="inlineStr">
        <is>
          <t>Quarterly</t>
        </is>
      </c>
      <c r="AE18" s="38" t="inlineStr">
        <is>
          <t>Michael Le Chi</t>
        </is>
      </c>
      <c r="AF18" s="38" t="n"/>
      <c r="AG18" s="38" t="inlineStr">
        <is>
          <t>2026-10-03</t>
        </is>
      </c>
    </row>
    <row r="19" ht="35.05" customHeight="1" s="22">
      <c r="A19" s="36">
        <f>"B"&amp;TEXT(ROW()-1,"0000")</f>
        <v/>
      </c>
      <c r="B19" s="38" t="inlineStr">
        <is>
          <t>Published</t>
        </is>
      </c>
      <c r="C19" s="36" t="n">
        <v>1</v>
      </c>
      <c r="D19" s="36" t="inlineStr">
        <is>
          <t>Car insurance</t>
        </is>
      </c>
      <c r="E19" s="36" t="inlineStr">
        <is>
          <t>auto</t>
        </is>
      </c>
      <c r="F19" s="25" t="inlineStr">
        <is>
          <t>Why Is My Car Insurance Going Up in 2026? Causes and 10 Ways to Save</t>
        </is>
      </c>
      <c r="G19" s="36" t="inlineStr">
        <is>
          <t>https://instasure.ca/guides/why-is-my-car-insurance-going-up-2026/</t>
        </is>
      </c>
      <c r="H19" s="36" t="inlineStr">
        <is>
          <t>why is my car insurance going up</t>
        </is>
      </c>
      <c r="I19" s="41">
        <f>IFERROR(INDEX('Nationwide KWs'!$D$2:$D$168,MATCH(H19,'Nationwide KWs'!$A$2:$A$168,0)),IFERROR(INDEX('Provincial KWs'!$E$2:$E$137,MATCH(H19,'Provincial KWs'!$A$2:$A$137,0)),IFERROR(INDEX('City KWs'!$F$2:$F$419,MATCH(H19,'City KWs'!$A$2:$A$419,0)),"")))</f>
        <v/>
      </c>
      <c r="J19" s="36" t="n"/>
      <c r="K19" s="25" t="inlineStr">
        <is>
          <t>why is my car insurance going up; car insurance going up 2026; why did my car insurance increase; car insurance rates canada 2026; how to lower car insurance; car insurance renewal increase</t>
        </is>
      </c>
      <c r="L19" s="36" t="inlineStr">
        <is>
          <t>Nationwide</t>
        </is>
      </c>
      <c r="M19" s="36" t="n"/>
      <c r="N19" s="36" t="n"/>
      <c r="O19" s="25" t="inlineStr">
        <is>
          <t>Why Is My Car Insurance Going Up in 2026?</t>
        </is>
      </c>
      <c r="P19" s="36">
        <f>LEN(O19)</f>
        <v/>
      </c>
      <c r="Q19" s="25" t="inlineStr">
        <is>
          <t>Why is my car insurance going up? Repair costs, theft, claims and weather are pushing 2026 premiums higher. See what's driving it and 10 ways to lower it.</t>
        </is>
      </c>
      <c r="R19" s="36">
        <f>LEN(Q19)</f>
        <v/>
      </c>
      <c r="S19" s="36">
        <f>IF(H19="","",IF(ISNUMBER(SEARCH(SUBSTITUTE(H19,"-"," "),SUBSTITUTE(O19,"-"," "))),"Yes","Check"))</f>
        <v/>
      </c>
      <c r="T19" s="25" t="n"/>
      <c r="U19" s="25" t="inlineStr">
        <is>
          <t>Why did my car insurance go up if I had no claims or tickets? | Is car insurance getting cheaper anywhere in Canada? | Does a hail or theft claim raise my premium? | How often should I compare car insurance quotes?</t>
        </is>
      </c>
      <c r="V19" s="25" t="n"/>
      <c r="W19" s="25" t="n"/>
      <c r="X19" s="25" t="n"/>
      <c r="Y19" s="36" t="inlineStr">
        <is>
          <t>Article; FAQPage; BreadcrumbList</t>
        </is>
      </c>
      <c r="Z19" s="37" t="n"/>
      <c r="AA19" s="25" t="n"/>
      <c r="AB19" s="25" t="inlineStr">
        <is>
          <t>Live. Review the date, sources and reviewer each quarter; add internal links to new posts in the same segment.</t>
        </is>
      </c>
      <c r="AC19" s="25" t="inlineStr">
        <is>
          <t>See docs/CONTENT_REVIEW.md section 4.</t>
        </is>
      </c>
      <c r="AD19" s="36" t="inlineStr">
        <is>
          <t>Quarterly</t>
        </is>
      </c>
      <c r="AE19" s="38" t="inlineStr">
        <is>
          <t>Michael Le Chi</t>
        </is>
      </c>
      <c r="AF19" s="38" t="n"/>
      <c r="AG19" s="38" t="inlineStr">
        <is>
          <t>2026-10-03</t>
        </is>
      </c>
    </row>
    <row r="20" ht="35.05" customHeight="1" s="22">
      <c r="A20" s="36">
        <f>"B"&amp;TEXT(ROW()-1,"0000")</f>
        <v/>
      </c>
      <c r="B20" s="38" t="inlineStr">
        <is>
          <t>Published</t>
        </is>
      </c>
      <c r="C20" s="36" t="n">
        <v>1</v>
      </c>
      <c r="D20" s="36" t="inlineStr">
        <is>
          <t>Life insurance</t>
        </is>
      </c>
      <c r="E20" s="36" t="inlineStr">
        <is>
          <t>Funeral expense</t>
        </is>
      </c>
      <c r="F20" s="25" t="inlineStr">
        <is>
          <t>CPP Death Benefit: How Much It Pays, Who Qualifies and How to Apply</t>
        </is>
      </c>
      <c r="G20" s="36" t="inlineStr">
        <is>
          <t>https://instasure.ca/guides/cpp-death-benefit-and-funeral-costs/</t>
        </is>
      </c>
      <c r="H20" s="36" t="inlineStr">
        <is>
          <t>cpp death benefit</t>
        </is>
      </c>
      <c r="I20" s="41">
        <f>IFERROR(INDEX('Nationwide KWs'!$D$2:$D$168,MATCH(H20,'Nationwide KWs'!$A$2:$A$168,0)),IFERROR(INDEX('Provincial KWs'!$E$2:$E$137,MATCH(H20,'Provincial KWs'!$A$2:$A$137,0)),IFERROR(INDEX('City KWs'!$F$2:$F$419,MATCH(H20,'City KWs'!$A$2:$A$419,0)),"")))</f>
        <v/>
      </c>
      <c r="J20" s="36" t="inlineStr">
        <is>
          <t>High</t>
        </is>
      </c>
      <c r="K20" s="25" t="inlineStr">
        <is>
          <t>cpp death benefit amount; cpp death benefit top-up; how to apply for cpp death benefit; does cpp death benefit cover funeral; funeral costs canada</t>
        </is>
      </c>
      <c r="L20" s="36" t="inlineStr">
        <is>
          <t>Nationwide</t>
        </is>
      </c>
      <c r="M20" s="36" t="inlineStr">
        <is>
          <t>informational</t>
        </is>
      </c>
      <c r="N20" s="36" t="inlineStr">
        <is>
          <t>TOFU</t>
        </is>
      </c>
      <c r="O20" s="25" t="inlineStr">
        <is>
          <t>CPP Death Benefit: Amount, Who Qualifies and How to Apply</t>
        </is>
      </c>
      <c r="P20" s="36">
        <f>LEN(O20)</f>
        <v/>
      </c>
      <c r="Q20" s="25" t="inlineStr">
        <is>
          <t>The CPP death benefit pays $2,500, plus a possible $2,500 top-up. See who qualifies, how to apply and how much of a funeral it covers. Plan the gap today.</t>
        </is>
      </c>
      <c r="R20" s="36">
        <f>LEN(Q20)</f>
        <v/>
      </c>
      <c r="S20" s="36">
        <f>IF(H20="","",IF(ISNUMBER(SEARCH(SUBSTITUTE(H20,"-"," "),SUBSTITUTE(O20,"-"," "))),"Yes","Check"))</f>
        <v/>
      </c>
      <c r="T20" s="25" t="inlineStr">
        <is>
          <t>How much is the CPP death benefit? (direct answer) | Who qualifies: contribution rules | The $2,500 top-up since January 2025 and who gets it | How to apply and who can apply | What the benefit covers of a typical funeral | Closing the gap: savings, funeral insurance or a pre-arranged plan</t>
        </is>
      </c>
      <c r="U20" s="25" t="inlineStr">
        <is>
          <t>Is the CPP death benefit taxable? | How long do I have to apply for the CPP death benefit? | Who receives the CPP death benefit if there is no will? | Does the QPP have a death benefit too?</t>
        </is>
      </c>
      <c r="V20" s="25" t="inlineStr">
        <is>
          <t>A qualification checklist (contribution years, top-up conditions) and a worked example of the funding gap between the benefit and a funeral sized from provincial price lists, with sources.</t>
        </is>
      </c>
      <c r="W20" s="25" t="inlineStr">
        <is>
          <t>/life-insurance/funeral-expense/; /life-insurance/final-expense/; /life-insurance/seniors/; /guides/funeral-costs-canada-by-province/</t>
        </is>
      </c>
      <c r="X20" s="25" t="inlineStr">
        <is>
          <t>Funeral expense estimate, from about $1 a day for the example profile (/life-insurance/funeral-expense/); Request a specialist call: Funeral expense desk</t>
        </is>
      </c>
      <c r="Y20" s="36" t="inlineStr">
        <is>
          <t>Article; FAQPage; BreadcrumbList</t>
        </is>
      </c>
      <c r="Z20" s="37" t="n">
        <v>1600</v>
      </c>
      <c r="AA20" s="25" t="inlineStr">
        <is>
          <t>canada.ca explains eligibility but not how to close the funeral gap; insurer pages mention the benefit in passing. No comparison site has a dedicated CPP death benefit explainer tied to funeral planning.</t>
        </is>
      </c>
      <c r="AB20" s="25" t="inlineStr">
        <is>
          <t>Put "cpp death benefit" in the H1, slug, meta title, first 100 words and first H2; answer in 40–60 words with the amounts and the January 1, 2025 date. Quote canada.ca for every rule. Link the funeral expense page with "funeral insurance". Alt text: "CPP death benefit amounts and top-up rules". Refresh on rule change.</t>
        </is>
      </c>
      <c r="AC20" s="25" t="inlineStr">
        <is>
          <t>Verify the $2,500 basic amount, the $2,500 top-up and its conditions, the taxability and the application deadline on canada.ca before publishing; do not give tax advice beyond what canada.ca and the CRA state.</t>
        </is>
      </c>
      <c r="AD20" s="36" t="inlineStr">
        <is>
          <t>On rule change</t>
        </is>
      </c>
      <c r="AE20" s="38" t="inlineStr">
        <is>
          <t>Michael Le Chi</t>
        </is>
      </c>
      <c r="AF20" s="38" t="n"/>
      <c r="AG20" s="38" t="inlineStr">
        <is>
          <t>2026-10-12</t>
        </is>
      </c>
    </row>
    <row r="21" ht="57.45" customHeight="1" s="22">
      <c r="A21" s="36">
        <f>"B"&amp;TEXT(ROW()-1,"0000")</f>
        <v/>
      </c>
      <c r="B21" s="38" t="inlineStr">
        <is>
          <t>Planned</t>
        </is>
      </c>
      <c r="C21" s="36" t="n">
        <v>1</v>
      </c>
      <c r="D21" s="36" t="inlineStr">
        <is>
          <t>Life insurance</t>
        </is>
      </c>
      <c r="E21" s="36" t="inlineStr">
        <is>
          <t>Funeral expense</t>
        </is>
      </c>
      <c r="F21" s="25" t="inlineStr">
        <is>
          <t>How Does Funeral Insurance Work in Canada? Cover, Cost and Claims Explained</t>
        </is>
      </c>
      <c r="G21" s="36" t="inlineStr">
        <is>
          <t>https://instasure.ca/guides/how-does-funeral-insurance-work-canada/</t>
        </is>
      </c>
      <c r="H21" s="36" t="inlineStr">
        <is>
          <t>how does funeral insurance work</t>
        </is>
      </c>
      <c r="I21" s="41">
        <f>IFERROR(INDEX('Nationwide KWs'!$D$2:$D$168,MATCH(H21,'Nationwide KWs'!$A$2:$A$168,0)),IFERROR(INDEX('Provincial KWs'!$E$2:$E$137,MATCH(H21,'Provincial KWs'!$A$2:$A$137,0)),IFERROR(INDEX('City KWs'!$F$2:$F$419,MATCH(H21,'City KWs'!$A$2:$A$419,0)),"")))</f>
        <v/>
      </c>
      <c r="J21" s="36" t="inlineStr">
        <is>
          <t>Medium</t>
        </is>
      </c>
      <c r="K21" s="25" t="inlineStr">
        <is>
          <t>funeral insurance canada; funeral expense insurance; funeral insurance cost; burial insurance canada; funeral insurance for seniors</t>
        </is>
      </c>
      <c r="L21" s="36" t="inlineStr">
        <is>
          <t>Nationwide</t>
        </is>
      </c>
      <c r="M21" s="36" t="inlineStr">
        <is>
          <t>informational</t>
        </is>
      </c>
      <c r="N21" s="36" t="inlineStr">
        <is>
          <t>TOFU</t>
        </is>
      </c>
      <c r="O21" s="25" t="inlineStr">
        <is>
          <t>How Does Funeral Insurance Work in Canada? Plain Answers</t>
        </is>
      </c>
      <c r="P21" s="36">
        <f>LEN(O21)</f>
        <v/>
      </c>
      <c r="Q21" s="25" t="inlineStr">
        <is>
          <t>How funeral insurance works in Canada: what it pays, who it is for, simplified vs guaranteed issue, what it costs and how a claim is paid. Get an estimate.</t>
        </is>
      </c>
      <c r="R21" s="36">
        <f>LEN(Q21)</f>
        <v/>
      </c>
      <c r="S21" s="36">
        <f>IF(H21="","",IF(ISNUMBER(SEARCH(SUBSTITUTE(H21,"-"," "),SUBSTITUTE(O21,"-"," "))),"Yes","Check"))</f>
        <v/>
      </c>
      <c r="T21" s="25" t="inlineStr">
        <is>
          <t>How does funeral insurance work? (direct answer) | What a funeral expense policy pays for | Simplified issue vs guaranteed issue | What funeral insurance costs by age (labelled Instasure estimates) | How a claim is paid and how fast | When funeral insurance is the wrong tool</t>
        </is>
      </c>
      <c r="U21" s="25" t="inlineStr">
        <is>
          <t>Is funeral insurance the same as life insurance? | How quickly does funeral insurance pay out? | Can I cancel funeral insurance? | Does funeral insurance cover cremation?</t>
        </is>
      </c>
      <c r="V21" s="25" t="inlineStr">
        <is>
          <t>A one-page explainer diagram (buy, pay level premiums, claim, beneficiary pays the funeral home) plus a dated table of Instasure example estimates for $10,000 at ages 50, 60, 70 and 80, labelled with the profile and month.</t>
        </is>
      </c>
      <c r="W21" s="25" t="inlineStr">
        <is>
          <t>/life-insurance/funeral-expense/; /life-insurance/final-expense/; /whole-life-insurance/; /guides/simplified-vs-guaranteed-issue-life-insurance/</t>
        </is>
      </c>
      <c r="X21" s="25" t="inlineStr">
        <is>
          <t>Funeral expense estimate, from about $1 a day for the example profile (/life-insurance/funeral-expense/); Request a specialist call: Funeral expense desk</t>
        </is>
      </c>
      <c r="Y21" s="36" t="inlineStr">
        <is>
          <t>Article; FAQPage; BreadcrumbList</t>
        </is>
      </c>
      <c r="Z21" s="37" t="n">
        <v>1800</v>
      </c>
      <c r="AA21" s="25" t="inlineStr">
        <is>
          <t>PolicyAdvisor and Sun Life publish final expense and funeral pages built around their own products or quote forms; none explains the claim process and waiting periods with dated example prices by age.</t>
        </is>
      </c>
      <c r="AB21" s="25" t="inlineStr">
        <is>
          <t>Put "how does funeral insurance work" in the H1, slug, meta title, first 100 words and first H2, then answer in 40–60 words. Link the funeral expense page with "funeral expense insurance" and the final expense page with "final expense insurance". Example estimates come from the live page or quote engine, labelled with profile and date. Alt text: "How a funeral insurance policy pays the funeral home". Licensed reviewer; refresh semi-annually.</t>
        </is>
      </c>
      <c r="AC21" s="25" t="inlineStr">
        <is>
          <t>Waiting-period and claim-timing statements must say "usually" and be checked against current insurer product guides; prices are Instasure estimates, never averages or quotes; no "best" or "cheapest".</t>
        </is>
      </c>
      <c r="AD21" s="36" t="inlineStr">
        <is>
          <t>Semi-annual</t>
        </is>
      </c>
      <c r="AE21" s="38" t="n"/>
      <c r="AF21" s="38" t="n"/>
      <c r="AG21" s="38" t="n"/>
    </row>
    <row r="22" ht="68.65000000000001" customHeight="1" s="22">
      <c r="A22" s="36">
        <f>"B"&amp;TEXT(ROW()-1,"0000")</f>
        <v/>
      </c>
      <c r="B22" s="38" t="inlineStr">
        <is>
          <t>Planned</t>
        </is>
      </c>
      <c r="C22" s="36" t="n">
        <v>1</v>
      </c>
      <c r="D22" s="36" t="inlineStr">
        <is>
          <t>Life insurance</t>
        </is>
      </c>
      <c r="E22" s="36" t="inlineStr">
        <is>
          <t>Local (city/province)</t>
        </is>
      </c>
      <c r="F22" s="25" t="inlineStr">
        <is>
          <t>Life Insurance for Federal Public Servants in Ottawa: Is the Supplementary Death Benefit Enough?</t>
        </is>
      </c>
      <c r="G22" s="36" t="inlineStr">
        <is>
          <t>https://instasure.ca/guides/ottawa-public-servants-life-insurance-sdb/</t>
        </is>
      </c>
      <c r="H22" s="36" t="inlineStr">
        <is>
          <t>supplementary death benefit public service</t>
        </is>
      </c>
      <c r="I22" s="41">
        <f>IFERROR(INDEX('Nationwide KWs'!$D$2:$D$168,MATCH(H22,'Nationwide KWs'!$A$2:$A$168,0)),IFERROR(INDEX('Provincial KWs'!$E$2:$E$137,MATCH(H22,'Provincial KWs'!$A$2:$A$137,0)),IFERROR(INDEX('City KWs'!$F$2:$F$419,MATCH(H22,'City KWs'!$A$2:$A$419,0)),"")))</f>
        <v/>
      </c>
      <c r="J22" s="36" t="inlineStr">
        <is>
          <t>Low</t>
        </is>
      </c>
      <c r="K22" s="25" t="inlineStr">
        <is>
          <t>life insurance ottawa; federal employee life insurance; public service supplementary death benefit retirement; public service management insurance plan; life insurance for government employees canada</t>
        </is>
      </c>
      <c r="L22" s="36" t="inlineStr">
        <is>
          <t>City: Ottawa, ON</t>
        </is>
      </c>
      <c r="M22" s="36" t="inlineStr">
        <is>
          <t>local</t>
        </is>
      </c>
      <c r="N22" s="36" t="inlineStr">
        <is>
          <t>MOFU</t>
        </is>
      </c>
      <c r="O22" s="25" t="inlineStr">
        <is>
          <t>Public Service Supplementary Death Benefit: Enough?</t>
        </is>
      </c>
      <c r="P22" s="36">
        <f>LEN(O22)</f>
        <v/>
      </c>
      <c r="Q22" s="25" t="inlineStr">
        <is>
          <t>Is the public service Supplementary Death Benefit enough? How SDB works before and after retirement, gaps for Ottawa families and top-ups. Get an estimate.</t>
        </is>
      </c>
      <c r="R22" s="36">
        <f>LEN(Q22)</f>
        <v/>
      </c>
      <c r="S22" s="36">
        <f>IF(H22="","",IF(ISNUMBER(SEARCH(SUBSTITUTE(H22,"-"," "),SUBSTITUTE(O22,"-"," "))),"Yes","Check"))</f>
        <v/>
      </c>
      <c r="T22" s="25" t="inlineStr">
        <is>
          <t>Is the Supplementary Death Benefit enough? | How SDB coverage is calculated | What happens to SDB after you retire or leave | Gaps for families with mortgages and kids | Optional group cover vs personal term | Worked example: an Ottawa public servant at 40 | Talking to an Ontario-licensed advisor</t>
        </is>
      </c>
      <c r="U22" s="25" t="inlineStr">
        <is>
          <t>How much is the Supplementary Death Benefit for federal employees? | Does the SDB continue after retirement? | Do I need extra life insurance as a federal public servant? | Can I keep the SDB if I leave the public service?</t>
        </is>
      </c>
      <c r="V22" s="25" t="inlineStr">
        <is>
          <t>A worked example comparing SDB coverage with a needs-based amount for a 40-year-old Ottawa public servant, plus a table of SDB coverage at ages 45, 65 and 75 calculated from the Government of Canada formula (verified).</t>
        </is>
      </c>
      <c r="W22" s="25" t="inlineStr">
        <is>
          <t>/life-insurance/ontario/ottawa/; /guides/is-group-life-insurance-enough/; /calculators/life-insurance-needs/; /insurance/ontario/ottawa/</t>
        </is>
      </c>
      <c r="X22" s="25" t="inlineStr">
        <is>
          <t>Instant life insurance estimate for Ottawa (/quote/)</t>
        </is>
      </c>
      <c r="Y22" s="36" t="inlineStr">
        <is>
          <t>Article; FAQPage; BreadcrumbList</t>
        </is>
      </c>
      <c r="Z22" s="37" t="n">
        <v>1600</v>
      </c>
      <c r="AA22" s="25" t="inlineStr">
        <is>
          <t>PolicyAdvisor's 'Best Life Insurance in Ottawa (2025)' is a generic city page with a stale year; no competitor seen addresses the federal Supplementary Death Benefit despite Ottawa's public-service workforce.</t>
        </is>
      </c>
      <c r="AB22" s="25" t="inlineStr">
        <is>
          <t>Use the focus keyword in the H1 (as 'Supplementary Death Benefit'), meta title, first 100 words and first H2, with a 40–60 word answer on what SDB pays and where the gap is. Show the SDB-by-age table and the needs comparison as two tables; link /life-insurance/ontario/ottawa/ with 'life insurance in Ottawa' and the group-life guide with 'is group life insurance enough'. Alt text: 'Supplementary Death Benefit coverage vs family need for an Ottawa public servant'. Licensed Ontario reviewer, cite canada.ca pension pages, refresh annually.</t>
        </is>
      </c>
      <c r="AC22" s="25" t="inlineStr">
        <is>
          <t>Verify the SDB formula, reduction schedule and post-retirement rules on canada.ca (Public Service Pension Plan pages) before publishing, and avoid implying any affiliation with the Government of Canada.</t>
        </is>
      </c>
      <c r="AD22" s="36" t="inlineStr">
        <is>
          <t>Annual</t>
        </is>
      </c>
      <c r="AE22" s="38" t="n"/>
      <c r="AF22" s="38" t="n"/>
      <c r="AG22" s="38" t="n"/>
    </row>
    <row r="23" ht="68.65000000000001" customHeight="1" s="22">
      <c r="A23" s="36">
        <f>"B"&amp;TEXT(ROW()-1,"0000")</f>
        <v/>
      </c>
      <c r="B23" s="38" t="inlineStr">
        <is>
          <t>Planned</t>
        </is>
      </c>
      <c r="C23" s="36" t="n">
        <v>1</v>
      </c>
      <c r="D23" s="36" t="inlineStr">
        <is>
          <t>Life insurance</t>
        </is>
      </c>
      <c r="E23" s="36" t="inlineStr">
        <is>
          <t>Local (city/province)</t>
        </is>
      </c>
      <c r="F23" s="25" t="inlineStr">
        <is>
          <t>Life Insurance for Newcomer and Multigenerational Families in Brampton</t>
        </is>
      </c>
      <c r="G23" s="36" t="inlineStr">
        <is>
          <t>https://instasure.ca/guides/brampton-newcomer-family-life-insurance/</t>
        </is>
      </c>
      <c r="H23" s="36" t="inlineStr">
        <is>
          <t>life insurance for newcomers brampton</t>
        </is>
      </c>
      <c r="I23" s="41">
        <f>IFERROR(INDEX('Nationwide KWs'!$D$2:$D$168,MATCH(H23,'Nationwide KWs'!$A$2:$A$168,0)),IFERROR(INDEX('Provincial KWs'!$E$2:$E$137,MATCH(H23,'Provincial KWs'!$A$2:$A$137,0)),IFERROR(INDEX('City KWs'!$F$2:$F$419,MATCH(H23,'City KWs'!$A$2:$A$419,0)),"")))</f>
        <v/>
      </c>
      <c r="J23" s="36" t="inlineStr">
        <is>
          <t>Niche</t>
        </is>
      </c>
      <c r="K23" s="25" t="inlineStr">
        <is>
          <t>life insurance brampton; punjabi life insurance advisor brampton; life insurance work permit brampton; life insurance for parents in brampton; super visa insurance brampton</t>
        </is>
      </c>
      <c r="L23" s="36" t="inlineStr">
        <is>
          <t>City: Brampton, ON</t>
        </is>
      </c>
      <c r="M23" s="36" t="inlineStr">
        <is>
          <t>local</t>
        </is>
      </c>
      <c r="N23" s="36" t="inlineStr">
        <is>
          <t>MOFU</t>
        </is>
      </c>
      <c r="O23" s="25" t="inlineStr">
        <is>
          <t>Life Insurance for Newcomers in Brampton: Family Guide</t>
        </is>
      </c>
      <c r="P23" s="36">
        <f>LEN(O23)</f>
        <v/>
      </c>
      <c r="Q23" s="25" t="inlineStr">
        <is>
          <t>Life insurance for newcomers in Brampton: cover on PR and work permits, multigenerational homes and parents on Super Visas. Ask for help in your language.</t>
        </is>
      </c>
      <c r="R23" s="36">
        <f>LEN(Q23)</f>
        <v/>
      </c>
      <c r="S23" s="36">
        <f>IF(H23="","",IF(ISNUMBER(SEARCH(SUBSTITUTE(H23,"-"," "),SUBSTITUTE(O23,"-"," "))),"Yes","Check"))</f>
        <v/>
      </c>
      <c r="T23" s="25" t="inlineStr">
        <is>
          <t>Life insurance for Brampton newcomer families | Coverage on PR, work permits and PGWP | Protecting a multigenerational household | Parents and grandparents: what can and can't be insured | Policies from India and other home countries | Getting advice in Punjabi, Hindi, Urdu or Gujarati | Example costs for Brampton households</t>
        </is>
      </c>
      <c r="U23" s="25" t="inlineStr">
        <is>
          <t>Can I get life insurance in Brampton on a work permit? | Can I insure my parents who live with me on a Super Visa? | Should I keep my LIC policy from India after moving to Brampton? | Can I get life insurance advice in Punjabi?</t>
        </is>
      </c>
      <c r="V23" s="25" t="inlineStr">
        <is>
          <t>A multigenerational household needs worksheet (earners, dependants, parents, remittances) and a status-by-status eligibility table (PR, work permit, PGWP, student, visitor) verified with insurers.</t>
        </is>
      </c>
      <c r="W23" s="25" t="inlineStr">
        <is>
          <t>/life-insurance/ontario/brampton/; /life-insurance/newcomers/; /guides/life-insurance-for-newcomers-to-canada/; /super-visa-insurance/; /insurance/ontario/brampton/</t>
        </is>
      </c>
      <c r="X23" s="25" t="inlineStr">
        <is>
          <t>Request a specialist call: Newcomer life desk (/life-insurance/newcomers/)</t>
        </is>
      </c>
      <c r="Y23" s="36" t="inlineStr">
        <is>
          <t>Article; FAQPage; BreadcrumbList</t>
        </is>
      </c>
      <c r="Z23" s="37" t="n">
        <v>1700</v>
      </c>
      <c r="AA23" s="25" t="inlineStr">
        <is>
          <t>PolicyAdvisor's 'Best Life Insurance in Brampton (2025)' is a generic city page with a stale year and no multilingual help; the research and STRATEGY flag Brampton as high-intent for newcomer and community-language advice.</t>
        </is>
      </c>
      <c r="AB23" s="25" t="inlineStr">
        <is>
          <t>Use the focus keyword in the H1 (as 'newcomer families in Brampton'), meta title, first 100 words and first H2, with a 40–60 word answer on who qualifies. Show the eligibility table and the household worksheet as the two core assets; link /life-insurance/ontario/brampton/ with 'life insurance in Brampton' and /life-insurance/newcomers/ with 'newcomer life insurance desk'. Alt text: 'Life insurance needs worksheet for a multigenerational Brampton household'. Licensed Ontario reviewer, plan Punjabi and Hindi translations, refresh semi-annually.</t>
        </is>
      </c>
      <c r="AC23" s="25" t="inlineStr">
        <is>
          <t>Language support claims must match advisors actually on the roster ('matched where available'); verify newcomer eligibility limits with insurers and avoid generalising about any community.</t>
        </is>
      </c>
      <c r="AD23" s="36" t="inlineStr">
        <is>
          <t>Semi-annual</t>
        </is>
      </c>
      <c r="AE23" s="38" t="n"/>
      <c r="AF23" s="38" t="n"/>
      <c r="AG23" s="38" t="n"/>
    </row>
    <row r="24" ht="57.45" customHeight="1" s="22">
      <c r="A24" s="36">
        <f>"B"&amp;TEXT(ROW()-1,"0000")</f>
        <v/>
      </c>
      <c r="B24" s="38" t="inlineStr">
        <is>
          <t>Planned</t>
        </is>
      </c>
      <c r="C24" s="36" t="n">
        <v>1</v>
      </c>
      <c r="D24" s="36" t="inlineStr">
        <is>
          <t>Life insurance</t>
        </is>
      </c>
      <c r="E24" s="36" t="inlineStr">
        <is>
          <t>No-medical &amp; instant</t>
        </is>
      </c>
      <c r="F24" s="25" t="inlineStr">
        <is>
          <t>Instant Life Insurance in Canada: How Online Approval Works and How Products Compare</t>
        </is>
      </c>
      <c r="G24" s="36" t="inlineStr">
        <is>
          <t>https://instasure.ca/guides/instant-life-insurance-canada/</t>
        </is>
      </c>
      <c r="H24" s="36" t="inlineStr">
        <is>
          <t>instant life insurance canada</t>
        </is>
      </c>
      <c r="I24" s="41">
        <f>IFERROR(INDEX('Nationwide KWs'!$D$2:$D$168,MATCH(H24,'Nationwide KWs'!$A$2:$A$168,0)),IFERROR(INDEX('Provincial KWs'!$E$2:$E$137,MATCH(H24,'Provincial KWs'!$A$2:$A$137,0)),IFERROR(INDEX('City KWs'!$F$2:$F$419,MATCH(H24,'City KWs'!$A$2:$A$419,0)),"")))</f>
        <v/>
      </c>
      <c r="J24" s="36" t="inlineStr">
        <is>
          <t>Medium</t>
        </is>
      </c>
      <c r="K24" s="25" t="inlineStr">
        <is>
          <t>buy life insurance online; instant approval life insurance; same day life insurance canada; sun life go vs coverme; online term life insurance canada</t>
        </is>
      </c>
      <c r="L24" s="36" t="inlineStr">
        <is>
          <t>Nationwide</t>
        </is>
      </c>
      <c r="M24" s="36" t="inlineStr">
        <is>
          <t>commercial</t>
        </is>
      </c>
      <c r="N24" s="36" t="inlineStr">
        <is>
          <t>BOFU</t>
        </is>
      </c>
      <c r="O24" s="25" t="inlineStr">
        <is>
          <t>Instant Life Insurance in Canada: Online Options Compared</t>
        </is>
      </c>
      <c r="P24" s="36">
        <f>LEN(O24)</f>
        <v/>
      </c>
      <c r="Q24" s="25" t="inlineStr">
        <is>
          <t>Instant life insurance in Canada: compare online products by issue age, maximum cover, health questions and time to cover. Get an instant estimate.</t>
        </is>
      </c>
      <c r="R24" s="36">
        <f>LEN(Q24)</f>
        <v/>
      </c>
      <c r="S24" s="36">
        <f>IF(H24="","",IF(ISNUMBER(SEARCH(SUBSTITUTE(H24,"-"," "),SUBSTITUTE(O24,"-"," "))),"Yes","Check"))</f>
        <v/>
      </c>
      <c r="T24" s="25" t="inlineStr">
        <is>
          <t>Can you really buy life insurance instantly in Canada? | How instant decisions work behind the scenes | Online products compared: issue age, maximums, questions | Sun Life Go vs Manulife CoverMe at a glance | When an instant policy costs more than a fully underwritten one | Provinces where online buying is limited | How to apply online without misstatements</t>
        </is>
      </c>
      <c r="U24" s="25" t="inlineStr">
        <is>
          <t>Can I get life insurance coverage the same day in Canada? | Is buying life insurance online cheaper? | What happens if an online application is referred to underwriting? | Can I buy life insurance online in Quebec?</t>
        </is>
      </c>
      <c r="V24" s="25" t="inlineStr">
        <is>
          <t>A dated comparison table of direct-to-consumer products (Sun Life Go Term, Go Simplified, Go Guaranteed, Manulife CoverMe and others) with issue ages, maximum coverage, number of health questions, refund period and time to coverage, each cell sourced.</t>
        </is>
      </c>
      <c r="W24" s="25" t="inlineStr">
        <is>
          <t>/no-medical-life-insurance/; /term-life-insurance/; /guides/simplified-vs-guaranteed-issue-life-insurance/; /how-we-make-money/</t>
        </is>
      </c>
      <c r="X24" s="25" t="inlineStr">
        <is>
          <t>Instant life insurance estimate (/quote/)</t>
        </is>
      </c>
      <c r="Y24" s="36" t="inlineStr">
        <is>
          <t>Article; FAQPage; BreadcrumbList</t>
        </is>
      </c>
      <c r="Z24" s="37" t="n">
        <v>2200</v>
      </c>
      <c r="AA24" s="25" t="inlineStr">
        <is>
          <t>Sun Life (Go suite) and Manulife (CoverMe) each describe only their own instant products and PolicyAdvisor uses 'Instantly' in its quote title; the research found no neutral page comparing instant products by issue age, maximum, questions and time to coverage.</t>
        </is>
      </c>
      <c r="AB24" s="25" t="inlineStr">
        <is>
          <t>Put 'instant life insurance canada' in the H1, slug, meta title, first 100 words and first H2, and answer in 40–60 words what 'instant' really means. Lead with the product table (dated caption, sources in a footnote) and link /no-medical-life-insurance/ with 'no-medical life insurance' and /how-we-make-money/ with 'how Instasure is paid'. Alt text: 'Table comparing instant online life insurance products in Canada'. Licensed reviewer, cite each insurer's product page, refresh quarterly.</t>
        </is>
      </c>
      <c r="AC24" s="25" t="inlineStr">
        <is>
          <t>Product-vs-product comparison needs a published review method; verify every spec on the insurer's site on the review date, and describe Instasure's tool as an 'instant estimate' unless a product truly binds online in that province.</t>
        </is>
      </c>
      <c r="AD24" s="36" t="inlineStr">
        <is>
          <t>Quarterly</t>
        </is>
      </c>
      <c r="AE24" s="38" t="n"/>
      <c r="AF24" s="38" t="n"/>
      <c r="AG24" s="38" t="n"/>
    </row>
    <row r="25" ht="68.65000000000001" customHeight="1" s="22">
      <c r="A25" s="36">
        <f>"B"&amp;TEXT(ROW()-1,"0000")</f>
        <v/>
      </c>
      <c r="B25" s="38" t="inlineStr">
        <is>
          <t>Planned</t>
        </is>
      </c>
      <c r="C25" s="36" t="n">
        <v>1</v>
      </c>
      <c r="D25" s="36" t="inlineStr">
        <is>
          <t>Life insurance</t>
        </is>
      </c>
      <c r="E25" s="36" t="inlineStr">
        <is>
          <t>No-medical &amp; instant</t>
        </is>
      </c>
      <c r="F25" s="25" t="inlineStr">
        <is>
          <t>No-Medical Life Insurance: Simplified Issue vs Guaranteed Issue vs Accelerated Underwriting</t>
        </is>
      </c>
      <c r="G25" s="36" t="inlineStr">
        <is>
          <t>https://instasure.ca/guides/simplified-vs-guaranteed-issue-life-insurance/</t>
        </is>
      </c>
      <c r="H25" s="36" t="inlineStr">
        <is>
          <t>simplified vs guaranteed issue life insurance</t>
        </is>
      </c>
      <c r="I25" s="41">
        <f>IFERROR(INDEX('Nationwide KWs'!$D$2:$D$168,MATCH(H25,'Nationwide KWs'!$A$2:$A$168,0)),IFERROR(INDEX('Provincial KWs'!$E$2:$E$137,MATCH(H25,'Provincial KWs'!$A$2:$A$137,0)),IFERROR(INDEX('City KWs'!$F$2:$F$419,MATCH(H25,'City KWs'!$A$2:$A$419,0)),"")))</f>
        <v/>
      </c>
      <c r="J25" s="36" t="inlineStr">
        <is>
          <t>Medium</t>
        </is>
      </c>
      <c r="K25" s="25" t="inlineStr">
        <is>
          <t>guaranteed issue life insurance; simplified issue life insurance; accelerated underwriting canada; no medical life insurance; guaranteed life insurance waiting period</t>
        </is>
      </c>
      <c r="L25" s="36" t="inlineStr">
        <is>
          <t>Nationwide</t>
        </is>
      </c>
      <c r="M25" s="36" t="inlineStr">
        <is>
          <t>commercial</t>
        </is>
      </c>
      <c r="N25" s="36" t="inlineStr">
        <is>
          <t>MOFU</t>
        </is>
      </c>
      <c r="O25" s="25" t="inlineStr">
        <is>
          <t>Simplified vs Guaranteed Issue Life Insurance (Canada)</t>
        </is>
      </c>
      <c r="P25" s="36">
        <f>LEN(O25)</f>
        <v/>
      </c>
      <c r="Q25" s="25" t="inlineStr">
        <is>
          <t>Simplified vs guaranteed issue life insurance: compare health questions, waiting periods, limits and cost, plus accelerated underwriting. Get an estimate.</t>
        </is>
      </c>
      <c r="R25" s="36">
        <f>LEN(Q25)</f>
        <v/>
      </c>
      <c r="S25" s="36">
        <f>IF(H25="","",IF(ISNUMBER(SEARCH(SUBSTITUTE(H25,"-"," "),SUBSTITUTE(O25,"-"," "))),"Yes","Check"))</f>
        <v/>
      </c>
      <c r="T25" s="25" t="inlineStr">
        <is>
          <t>Simplified vs guaranteed issue: the short answer | Accelerated underwriting: no exam at regular prices | Simplified issue: a few health questions | Guaranteed issue: no questions, with a waiting period | Coverage limits and cost compared | Which no-medical option you may qualify for | Common mistakes on no-medical applications</t>
        </is>
      </c>
      <c r="U25" s="25" t="inlineStr">
        <is>
          <t>Is guaranteed issue life insurance worth it? | What is the waiting period on guaranteed life insurance? | Can I be declined for simplified issue life insurance? | Is no-medical life insurance more expensive?</t>
        </is>
      </c>
      <c r="V25" s="25" t="inlineStr">
        <is>
          <t>A five-question eligibility decision tree that points readers to accelerated, simplified or guaranteed issue, plus a comparison table of maximum coverage, issue ages, health questions and waiting-period ranges (each verified and dated).</t>
        </is>
      </c>
      <c r="W25" s="25" t="inlineStr">
        <is>
          <t>/no-medical-life-insurance/; /life-insurance/medical-conditions/; /life-insurance/seniors/; /life-insurance/final-expense/; /guides/how-much-does-life-insurance-cost-canada/</t>
        </is>
      </c>
      <c r="X25" s="25" t="inlineStr">
        <is>
          <t>Instant no-medical life estimate (/quote/)</t>
        </is>
      </c>
      <c r="Y25" s="36" t="inlineStr">
        <is>
          <t>Article; FAQPage; BreadcrumbList</t>
        </is>
      </c>
      <c r="Z25" s="37" t="n">
        <v>2000</v>
      </c>
      <c r="AA25" s="25" t="inlineStr">
        <is>
          <t>PolicyAdvisor has 'Simplified vs. Guaranteed Issue Life Insurance' and a separate guaranteed-issue definition, but neither adds accelerated underwriting or a which-one-do-I-qualify-for tool; the research found no competitor eligibility quiz.</t>
        </is>
      </c>
      <c r="AB25" s="25" t="inlineStr">
        <is>
          <t>Use the focus keyword in the H1, slug, meta title, first 100 words and first H2, with a 40–60 word answer contrasting the three routes. Embed the decision tree as an interactive or image-plus-text block and put the comparison table right after it; link /no-medical-life-insurance/ with 'no-medical life insurance quotes' and the medical-conditions desk with 'talk to our medical underwriting desk'. Alt text: 'Decision tree for simplified, guaranteed and accelerated life insurance'. Licensed reviewer, cite insurer product guides, refresh semi-annually.</t>
        </is>
      </c>
      <c r="AC25" s="25" t="inlineStr">
        <is>
          <t>Verify waiting periods, issue ages and maximums against current insurer product guides; say 'guaranteed acceptance' only for true guaranteed-issue products and label all prices as estimates.</t>
        </is>
      </c>
      <c r="AD25" s="36" t="inlineStr">
        <is>
          <t>Semi-annual</t>
        </is>
      </c>
      <c r="AE25" s="38" t="n"/>
      <c r="AF25" s="38" t="n"/>
      <c r="AG25" s="38" t="n"/>
    </row>
    <row r="26" ht="68.65000000000001" customHeight="1" s="22">
      <c r="A26" s="36">
        <f>"B"&amp;TEXT(ROW()-1,"0000")</f>
        <v/>
      </c>
      <c r="B26" s="38" t="inlineStr">
        <is>
          <t>Planned</t>
        </is>
      </c>
      <c r="C26" s="36" t="n">
        <v>1</v>
      </c>
      <c r="D26" s="36" t="inlineStr">
        <is>
          <t>Life insurance</t>
        </is>
      </c>
      <c r="E26" s="36" t="inlineStr">
        <is>
          <t>Tax &amp; estate</t>
        </is>
      </c>
      <c r="F26" s="25" t="inlineStr">
        <is>
          <t>Is Life Insurance Taxable in Canada? Death Benefits, Cash Value and Premiums</t>
        </is>
      </c>
      <c r="G26" s="36" t="inlineStr">
        <is>
          <t>https://instasure.ca/guides/is-life-insurance-taxable-in-canada/</t>
        </is>
      </c>
      <c r="H26" s="36" t="inlineStr">
        <is>
          <t>is life insurance taxable in canada</t>
        </is>
      </c>
      <c r="I26" s="41">
        <f>IFERROR(INDEX('Nationwide KWs'!$D$2:$D$168,MATCH(H26,'Nationwide KWs'!$A$2:$A$168,0)),IFERROR(INDEX('Provincial KWs'!$E$2:$E$137,MATCH(H26,'Provincial KWs'!$A$2:$A$137,0)),IFERROR(INDEX('City KWs'!$F$2:$F$419,MATCH(H26,'City KWs'!$A$2:$A$419,0)),"")))</f>
        <v/>
      </c>
      <c r="J26" s="36" t="inlineStr">
        <is>
          <t>Medium</t>
        </is>
      </c>
      <c r="K26" s="25" t="inlineStr">
        <is>
          <t>are life insurance payouts taxable in canada; is cash surrender value taxable; are life insurance premiums tax deductible; life insurance policy loan tax; corporate life insurance tax</t>
        </is>
      </c>
      <c r="L26" s="36" t="inlineStr">
        <is>
          <t>Nationwide</t>
        </is>
      </c>
      <c r="M26" s="36" t="inlineStr">
        <is>
          <t>informational</t>
        </is>
      </c>
      <c r="N26" s="36" t="inlineStr">
        <is>
          <t>TOFU</t>
        </is>
      </c>
      <c r="O26" s="25" t="inlineStr">
        <is>
          <t>Is Life Insurance Taxable in Canada? Payouts and Premiums</t>
        </is>
      </c>
      <c r="P26" s="36">
        <f>LEN(O26)</f>
        <v/>
      </c>
      <c r="Q26" s="25" t="inlineStr">
        <is>
          <t>Is life insurance taxable in Canada? When death benefits are tax-free, when cash value, loans and surrenders are taxed, and deductions. See the tax table.</t>
        </is>
      </c>
      <c r="R26" s="36">
        <f>LEN(Q26)</f>
        <v/>
      </c>
      <c r="S26" s="36">
        <f>IF(H26="","",IF(ISNUMBER(SEARCH(SUBSTITUTE(H26,"-"," "),SUBSTITUTE(O26,"-"," "))),"Yes","Check"))</f>
        <v/>
      </c>
      <c r="T26" s="25" t="inlineStr">
        <is>
          <t>Is life insurance taxable in Canada? The short answer | Death benefits paid to a named beneficiary | When the payout goes to your estate | Cash value, surrenders and policy loans | Are premiums tax deductible? | Corporate-owned policies | Tax situations table</t>
        </is>
      </c>
      <c r="U26" s="25" t="inlineStr">
        <is>
          <t>Do beneficiaries pay tax on life insurance in Canada? | Is the cash surrender value of a policy taxable? | Can I deduct life insurance premiums on my taxes? | Is interest on a delayed death benefit taxable?</t>
        </is>
      </c>
      <c r="V26" s="25" t="inlineStr">
        <is>
          <t>A tax-situation table (payout to beneficiary, payout to estate, surrender, policy loan, dividends, corporate payout, collateral assignment) with the treatment and the CRA source for each row.</t>
        </is>
      </c>
      <c r="W26" s="25" t="inlineStr">
        <is>
          <t>/life-insurance/; /guides/term-vs-whole-life-insurance-canada/; /guides/does-life-insurance-go-through-probate/; /guides/corporate-owned-life-insurance-canada/</t>
        </is>
      </c>
      <c r="X26" s="25" t="inlineStr">
        <is>
          <t>Instant life insurance estimate (/quote/)</t>
        </is>
      </c>
      <c r="Y26" s="36" t="inlineStr">
        <is>
          <t>Article; FAQPage; BreadcrumbList</t>
        </is>
      </c>
      <c r="Z26" s="37" t="n">
        <v>1800</v>
      </c>
      <c r="AA26" s="25" t="inlineStr">
        <is>
          <t>PolicyAdvisor's 'Is Life Insurance Taxable in Canada?' is the main competitor page; it does not give a row-by-row tax table with CRA citations.</t>
        </is>
      </c>
      <c r="AB26" s="25" t="inlineStr">
        <is>
          <t>Use the exact focus keyword as the H1 question, in the slug, meta title, first 100 words and first H2, and answer in 40–60 words (death benefits to a named beneficiary are generally tax-free). Put the tax-situation table directly after the answer with a CRA source column; link the probate guide with 'does life insurance go through probate' and the corporate guide with 'corporate-owned life insurance'. Alt text: 'Table of when life insurance is and is not taxable in Canada'. Licensed reviewer plus CPA review, refresh on federal budget changes.</t>
        </is>
      </c>
      <c r="AC26" s="25" t="inlineStr">
        <is>
          <t>Cite CRA (Income Tax Act s.148 and the relevant folios) for every tax statement and have a tax professional review; refresh whenever a federal budget changes policy taxation.</t>
        </is>
      </c>
      <c r="AD26" s="36" t="inlineStr">
        <is>
          <t>On rule change</t>
        </is>
      </c>
      <c r="AE26" s="38" t="n"/>
      <c r="AF26" s="38" t="n"/>
      <c r="AG26" s="38" t="n"/>
    </row>
    <row r="27" ht="57.45" customHeight="1" s="22">
      <c r="A27" s="36">
        <f>"B"&amp;TEXT(ROW()-1,"0000")</f>
        <v/>
      </c>
      <c r="B27" s="38" t="inlineStr">
        <is>
          <t>Planned</t>
        </is>
      </c>
      <c r="C27" s="36" t="n">
        <v>1</v>
      </c>
      <c r="D27" s="36" t="inlineStr">
        <is>
          <t>Life insurance</t>
        </is>
      </c>
      <c r="E27" s="36" t="inlineStr">
        <is>
          <t>Underwriting</t>
        </is>
      </c>
      <c r="F27" s="25" t="inlineStr">
        <is>
          <t>Declined for Life Insurance? Why It Happens and What to Do Next in Canada</t>
        </is>
      </c>
      <c r="G27" s="36" t="inlineStr">
        <is>
          <t>https://instasure.ca/guides/declined-for-life-insurance-what-next/</t>
        </is>
      </c>
      <c r="H27" s="36" t="inlineStr">
        <is>
          <t>declined for life insurance</t>
        </is>
      </c>
      <c r="I27" s="41">
        <f>IFERROR(INDEX('Nationwide KWs'!$D$2:$D$168,MATCH(H27,'Nationwide KWs'!$A$2:$A$168,0)),IFERROR(INDEX('Provincial KWs'!$E$2:$E$137,MATCH(H27,'Provincial KWs'!$A$2:$A$137,0)),IFERROR(INDEX('City KWs'!$F$2:$F$419,MATCH(H27,'City KWs'!$A$2:$A$419,0)),"")))</f>
        <v/>
      </c>
      <c r="J27" s="36" t="inlineStr">
        <is>
          <t>Low</t>
        </is>
      </c>
      <c r="K27" s="25" t="inlineStr">
        <is>
          <t>denied life insurance canada; life insurance postponed; rated life insurance policy; reapply after life insurance decline; anonymous pre-underwriting</t>
        </is>
      </c>
      <c r="L27" s="36" t="inlineStr">
        <is>
          <t>Nationwide</t>
        </is>
      </c>
      <c r="M27" s="36" t="inlineStr">
        <is>
          <t>commercial</t>
        </is>
      </c>
      <c r="N27" s="36" t="inlineStr">
        <is>
          <t>BOFU</t>
        </is>
      </c>
      <c r="O27" s="25" t="inlineStr">
        <is>
          <t>Declined for Life Insurance? What to Do Next (Canada)</t>
        </is>
      </c>
      <c r="P27" s="36">
        <f>LEN(O27)</f>
        <v/>
      </c>
      <c r="Q27" s="25" t="inlineStr">
        <is>
          <t>Declined for life insurance? Learn why applications are declined, rated or postponed, how to get the reason, and how to reapply or find cover elsewhere.</t>
        </is>
      </c>
      <c r="R27" s="36">
        <f>LEN(Q27)</f>
        <v/>
      </c>
      <c r="S27" s="36">
        <f>IF(H27="","",IF(ISNUMBER(SEARCH(SUBSTITUTE(H27,"-"," "),SUBSTITUTE(O27,"-"," "))),"Yes","Check"))</f>
        <v/>
      </c>
      <c r="T27" s="25" t="inlineStr">
        <is>
          <t>What to do if you are declined for life insurance | Declined, postponed or rated: what each means | How to find out why | Does a decline follow you? The MIB explained | Reapplying with another insurer | Simplified and guaranteed issue as a fallback | Anonymous pre-underwriting before you apply</t>
        </is>
      </c>
      <c r="U27" s="25" t="inlineStr">
        <is>
          <t>Can I get the reason my life insurance was declined? | Will one decline stop other insurers from approving me? | How long should I wait before reapplying? | What is anonymous pre-underwriting?</t>
        </is>
      </c>
      <c r="V27" s="25" t="inlineStr">
        <is>
          <t>A step-by-step recovery plan (get the reason, request records, fix errors, shop with a desk advisor, fallback options) and a decision tree from decline reason to next step.</t>
        </is>
      </c>
      <c r="W27" s="25" t="inlineStr">
        <is>
          <t>/life-insurance/medical-conditions/; /no-medical-life-insurance/; /guides/simplified-vs-guaranteed-issue-life-insurance/; /guides/life-insurance-medical-exam-application/</t>
        </is>
      </c>
      <c r="X27" s="25" t="inlineStr">
        <is>
          <t>Request a specialist call: Medical underwriting desk (/life-insurance/medical-conditions/)</t>
        </is>
      </c>
      <c r="Y27" s="36" t="inlineStr">
        <is>
          <t>Article; FAQPage; BreadcrumbList; HowTo</t>
        </is>
      </c>
      <c r="Z27" s="37" t="n">
        <v>1600</v>
      </c>
      <c r="AA27" s="25" t="inlineStr">
        <is>
          <t>No competitor coverage seen; STRATEGY notes that competitors treat medical conditions as a page with a quote form and none offers anonymous pre-underwriting.</t>
        </is>
      </c>
      <c r="AB27" s="25" t="inlineStr">
        <is>
          <t>Use 'declined for life insurance' in the H1, meta title, first 100 words and first H2, with a 40–60 word answer that a decline is rarely the end. Mark up the recovery plan as HowTo steps and show the decision tree as an image plus list; link the medical underwriting desk with 'ask for an anonymous pre-underwriting review' and /no-medical-life-insurance/ with 'no-medical life insurance'. Alt text: 'Decision tree after a life insurance decline'. Desk-reviewed, cite MIB, refresh annually.</t>
        </is>
      </c>
      <c r="AC27" s="25" t="inlineStr">
        <is>
          <t>Have the desk advisor confirm that anonymous pre-underwriting enquiries leave no decline on record (CONTENT_REVIEW 4a) and verify MIB practices before publishing.</t>
        </is>
      </c>
      <c r="AD27" s="36" t="inlineStr">
        <is>
          <t>Annual</t>
        </is>
      </c>
      <c r="AE27" s="38" t="n"/>
      <c r="AF27" s="38" t="n"/>
      <c r="AG27" s="38" t="n"/>
    </row>
    <row r="28" ht="57.45" customHeight="1" s="22">
      <c r="A28" s="36">
        <f>"B"&amp;TEXT(ROW()-1,"0000")</f>
        <v/>
      </c>
      <c r="B28" s="38" t="inlineStr">
        <is>
          <t>Planned</t>
        </is>
      </c>
      <c r="C28" s="36" t="n">
        <v>2</v>
      </c>
      <c r="D28" s="36" t="inlineStr">
        <is>
          <t>Life insurance</t>
        </is>
      </c>
      <c r="E28" s="36" t="inlineStr">
        <is>
          <t>Business owners</t>
        </is>
      </c>
      <c r="F28" s="25" t="inlineStr">
        <is>
          <t>Funding a Buy-Sell Agreement With Life Insurance: A Guide for Canadian Business Owners</t>
        </is>
      </c>
      <c r="G28" s="36" t="inlineStr">
        <is>
          <t>https://instasure.ca/guides/buy-sell-agreement-life-insurance-canada/</t>
        </is>
      </c>
      <c r="H28" s="36" t="inlineStr">
        <is>
          <t>buy sell agreement life insurance</t>
        </is>
      </c>
      <c r="I28" s="41">
        <f>IFERROR(INDEX('Nationwide KWs'!$D$2:$D$168,MATCH(H28,'Nationwide KWs'!$A$2:$A$168,0)),IFERROR(INDEX('Provincial KWs'!$E$2:$E$137,MATCH(H28,'Provincial KWs'!$A$2:$A$137,0)),IFERROR(INDEX('City KWs'!$F$2:$F$419,MATCH(H28,'City KWs'!$A$2:$A$419,0)),"")))</f>
        <v/>
      </c>
      <c r="J28" s="36" t="inlineStr">
        <is>
          <t>Niche</t>
        </is>
      </c>
      <c r="K28" s="25" t="inlineStr">
        <is>
          <t>shareholder agreement life insurance; cross-purchase vs corporate redemption; key person insurance; capital dividend account life insurance; business partner life insurance</t>
        </is>
      </c>
      <c r="L28" s="36" t="inlineStr">
        <is>
          <t>Nationwide</t>
        </is>
      </c>
      <c r="M28" s="36" t="inlineStr">
        <is>
          <t>commercial</t>
        </is>
      </c>
      <c r="N28" s="36" t="inlineStr">
        <is>
          <t>MOFU</t>
        </is>
      </c>
      <c r="O28" s="25" t="inlineStr">
        <is>
          <t>Buy-Sell Agreement Life Insurance: Owner's Guide (Canada)</t>
        </is>
      </c>
      <c r="P28" s="36">
        <f>LEN(O28)</f>
        <v/>
      </c>
      <c r="Q28" s="25" t="inlineStr">
        <is>
          <t>How buy-sell agreement life insurance works in Canada: cross-purchase vs corporate-owned, the capital dividend account, valuation and cost. Ask an advisor.</t>
        </is>
      </c>
      <c r="R28" s="36">
        <f>LEN(Q28)</f>
        <v/>
      </c>
      <c r="S28" s="36">
        <f>IF(H28="","",IF(ISNUMBER(SEARCH(SUBSTITUTE(H28,"-"," "),SUBSTITUTE(O28,"-"," "))),"Yes","Check"))</f>
        <v/>
      </c>
      <c r="T28" s="25" t="inlineStr">
        <is>
          <t>What is buy-sell agreement life insurance? | Why partners fund buyouts with insurance | Cross-purchase vs corporate-owned structures | The capital dividend account explained | Valuing the business and sizing coverage | Disability and critical illness buyouts | Setup checklist with your lawyer and accountant</t>
        </is>
      </c>
      <c r="U28" s="25" t="inlineStr">
        <is>
          <t>Who should own buy-sell life insurance, the partners or the company? | How much buy-sell coverage do we need? | Is the payout tax-free to the corporation? | What happens to the policy if a partner leaves?</t>
        </is>
      </c>
      <c r="V28" s="25" t="inlineStr">
        <is>
          <t>A structure comparison table (cross-purchase, promissory note, corporate redemption, hybrid) with tax notes, plus a worked two-partner example sizing coverage to a stated valuation.</t>
        </is>
      </c>
      <c r="W28" s="25" t="inlineStr">
        <is>
          <t>/business-insurance/key-person/; /life-insurance/; /guides/corporate-owned-life-insurance-canada/; /group-benefits/</t>
        </is>
      </c>
      <c r="X28" s="25" t="inlineStr">
        <is>
          <t>Talk to a licensed advisor about business cover (/business-insurance/key-person/)</t>
        </is>
      </c>
      <c r="Y28" s="36" t="inlineStr">
        <is>
          <t>Article; FAQPage; BreadcrumbList</t>
        </is>
      </c>
      <c r="Z28" s="37" t="n">
        <v>2000</v>
      </c>
      <c r="AA28" s="25" t="inlineStr">
        <is>
          <t>PolicyAdvisor covers 'What Is Key Person Insurance?', 'Corporate-owned life insurance in Canada' and insurance-tracking shares, but the research found no dedicated guide to funding a buy-sell agreement.</t>
        </is>
      </c>
      <c r="AB28" s="25" t="inlineStr">
        <is>
          <t>Put the focus keyword in the H1, slug, meta title, first 100 words and first H2, then answer in 40–60 words what the policy does at a partner's death. Lead with the structure comparison table and a worked two-partner example; link /business-insurance/key-person/ with 'key person and buy-sell insurance' and the corporate-owned guide with 'corporate-owned life insurance'. Alt text: 'How a buy-sell life insurance payout funds a partner buyout'. Licensed reviewer plus a CPA review, cite CRA folios, refresh on tax rule changes.</t>
        </is>
      </c>
      <c r="AC28" s="25" t="inlineStr">
        <is>
          <t>Verify tax treatment (capital dividend account credit, adjusted cost basis) with CRA sources and a tax professional; state clearly that structuring needs legal and accounting advice.</t>
        </is>
      </c>
      <c r="AD28" s="36" t="inlineStr">
        <is>
          <t>On rule change</t>
        </is>
      </c>
      <c r="AE28" s="38" t="n"/>
      <c r="AF28" s="38" t="n"/>
      <c r="AG28" s="38" t="n"/>
    </row>
    <row r="29" ht="57.45" customHeight="1" s="22">
      <c r="A29" s="36">
        <f>"B"&amp;TEXT(ROW()-1,"0000")</f>
        <v/>
      </c>
      <c r="B29" s="38" t="inlineStr">
        <is>
          <t>Planned</t>
        </is>
      </c>
      <c r="C29" s="36" t="n">
        <v>2</v>
      </c>
      <c r="D29" s="36" t="inlineStr">
        <is>
          <t>Life insurance</t>
        </is>
      </c>
      <c r="E29" s="36" t="inlineStr">
        <is>
          <t>Claims</t>
        </is>
      </c>
      <c r="F29" s="25" t="inlineStr">
        <is>
          <t>How to Make a Life Insurance Claim in Canada: Steps, Documents and Timelines</t>
        </is>
      </c>
      <c r="G29" s="36" t="inlineStr">
        <is>
          <t>https://instasure.ca/guides/how-to-make-a-life-insurance-claim-canada/</t>
        </is>
      </c>
      <c r="H29" s="36" t="inlineStr">
        <is>
          <t>how to claim life insurance canada</t>
        </is>
      </c>
      <c r="I29" s="41">
        <f>IFERROR(INDEX('Nationwide KWs'!$D$2:$D$168,MATCH(H29,'Nationwide KWs'!$A$2:$A$168,0)),IFERROR(INDEX('Provincial KWs'!$E$2:$E$137,MATCH(H29,'Provincial KWs'!$A$2:$A$137,0)),IFERROR(INDEX('City KWs'!$F$2:$F$419,MATCH(H29,'City KWs'!$A$2:$A$419,0)),"")))</f>
        <v/>
      </c>
      <c r="J29" s="36" t="inlineStr">
        <is>
          <t>Low</t>
        </is>
      </c>
      <c r="K29" s="25" t="inlineStr">
        <is>
          <t>life insurance claim process; how long does a life insurance payout take; life insurance claim documents; why life insurance claims are denied; life insurance contestability period</t>
        </is>
      </c>
      <c r="L29" s="36" t="inlineStr">
        <is>
          <t>Nationwide</t>
        </is>
      </c>
      <c r="M29" s="36" t="inlineStr">
        <is>
          <t>informational</t>
        </is>
      </c>
      <c r="N29" s="36" t="inlineStr">
        <is>
          <t>TOFU</t>
        </is>
      </c>
      <c r="O29" s="25" t="inlineStr">
        <is>
          <t>How to Claim Life Insurance in Canada: Step by Step</t>
        </is>
      </c>
      <c r="P29" s="36">
        <f>LEN(O29)</f>
        <v/>
      </c>
      <c r="Q29" s="25" t="inlineStr">
        <is>
          <t>How to claim life insurance in Canada: who to call, documents insurers need, payout timelines and why claims get delayed or denied. Use our checklist.</t>
        </is>
      </c>
      <c r="R29" s="36">
        <f>LEN(Q29)</f>
        <v/>
      </c>
      <c r="S29" s="36">
        <f>IF(H29="","",IF(ISNUMBER(SEARCH(SUBSTITUTE(H29,"-"," "),SUBSTITUTE(O29,"-"," "))),"Yes","Check"))</f>
        <v/>
      </c>
      <c r="T29" s="25" t="inlineStr">
        <is>
          <t>How to make a life insurance claim | Step 1: find the policy and contact the insurer | Step 2: gather the documents | Step 3: submit the claim forms | How long payouts usually take | Why claims are delayed or denied: the two-year contestability rule | What to do if a claim is denied</t>
        </is>
      </c>
      <c r="U29" s="25" t="inlineStr">
        <is>
          <t>How long does a life insurance payout take in Canada? | What documents do I need to claim life insurance? | Can a life insurance claim be denied after two years? | Who do I complain to if my claim is denied?</t>
        </is>
      </c>
      <c r="V29" s="25" t="inlineStr">
        <is>
          <t>A printable claim checklist (documents by situation: death in Canada, death abroad, accidental death) and a timeline graphic from notification to payout, with OLHI escalation steps.</t>
        </is>
      </c>
      <c r="W29" s="25" t="inlineStr">
        <is>
          <t>/life-insurance/; /guides/find-a-lost-life-insurance-policy-canada/; /guides/life-insurance-beneficiary-canada/; /guides/category/claims-rules/</t>
        </is>
      </c>
      <c r="X29" s="25" t="inlineStr">
        <is>
          <t>Book a policy review with a licensed advisor (/advisors/)</t>
        </is>
      </c>
      <c r="Y29" s="36" t="inlineStr">
        <is>
          <t>Article; FAQPage; BreadcrumbList; HowTo</t>
        </is>
      </c>
      <c r="Z29" s="37" t="n">
        <v>1700</v>
      </c>
      <c r="AA29" s="25" t="inlineStr">
        <is>
          <t>No competitor coverage seen in the research; Sun Life cites claims-paid statistics as a trust signal, but no aggregator page walks beneficiaries through a claim.</t>
        </is>
      </c>
      <c r="AB29" s="25" t="inlineStr">
        <is>
          <t>Use 'how to claim life insurance' plus 'Canada' in the H1, slug, meta title, first 100 words and first H2, with a 40–60 word summary of the steps. Mark the steps up as HowTo and offer the checklist as a printable PDF and HTML list; link the lost-policy guide with 'find a policy you didn't know about' and the claims category with 'more claims guides'. Alt text: 'Life insurance claim timeline from notification to payout'. Licensed reviewer, cite provincial insurance acts and OLHI, refresh annually.</t>
        </is>
      </c>
      <c r="AC29" s="25" t="inlineStr">
        <is>
          <t>Verify contestability and suicide-clause periods in the provincial insurance acts, any claims-paid statistics against the insurer's own publication, and OLHI's current complaint process.</t>
        </is>
      </c>
      <c r="AD29" s="36" t="inlineStr">
        <is>
          <t>Annual</t>
        </is>
      </c>
      <c r="AE29" s="38" t="n"/>
      <c r="AF29" s="38" t="n"/>
      <c r="AG29" s="38" t="n"/>
    </row>
    <row r="30" ht="57.45" customHeight="1" s="22">
      <c r="A30" s="36">
        <f>"B"&amp;TEXT(ROW()-1,"0000")</f>
        <v/>
      </c>
      <c r="B30" s="38" t="inlineStr">
        <is>
          <t>Planned</t>
        </is>
      </c>
      <c r="C30" s="36" t="n">
        <v>2</v>
      </c>
      <c r="D30" s="36" t="inlineStr">
        <is>
          <t>Life insurance</t>
        </is>
      </c>
      <c r="E30" s="36" t="inlineStr">
        <is>
          <t>Comparisons</t>
        </is>
      </c>
      <c r="F30" s="25" t="inlineStr">
        <is>
          <t>Life Insurance Broker vs Agent vs Bank vs Online: Where Should You Buy?</t>
        </is>
      </c>
      <c r="G30" s="36" t="inlineStr">
        <is>
          <t>https://instasure.ca/guides/life-insurance-broker-vs-agent-vs-bank/</t>
        </is>
      </c>
      <c r="H30" s="36" t="inlineStr">
        <is>
          <t>life insurance broker vs agent</t>
        </is>
      </c>
      <c r="I30" s="41">
        <f>IFERROR(INDEX('Nationwide KWs'!$D$2:$D$168,MATCH(H30,'Nationwide KWs'!$A$2:$A$168,0)),IFERROR(INDEX('Provincial KWs'!$E$2:$E$137,MATCH(H30,'Provincial KWs'!$A$2:$A$137,0)),IFERROR(INDEX('City KWs'!$F$2:$F$419,MATCH(H30,'City KWs'!$A$2:$A$419,0)),"")))</f>
        <v/>
      </c>
      <c r="J30" s="36" t="inlineStr">
        <is>
          <t>Low</t>
        </is>
      </c>
      <c r="K30" s="25" t="inlineStr">
        <is>
          <t>independent life insurance broker canada; captive agent vs broker; buying life insurance from your bank; buy life insurance online vs advisor; how are life insurance advisors paid</t>
        </is>
      </c>
      <c r="L30" s="36" t="inlineStr">
        <is>
          <t>Nationwide</t>
        </is>
      </c>
      <c r="M30" s="36" t="inlineStr">
        <is>
          <t>commercial</t>
        </is>
      </c>
      <c r="N30" s="36" t="inlineStr">
        <is>
          <t>MOFU</t>
        </is>
      </c>
      <c r="O30" s="25" t="inlineStr">
        <is>
          <t>Life Insurance Broker vs Agent vs Bank: Where to Buy</t>
        </is>
      </c>
      <c r="P30" s="36">
        <f>LEN(O30)</f>
        <v/>
      </c>
      <c r="Q30" s="25" t="inlineStr">
        <is>
          <t>Life insurance broker vs agent vs bank vs online: compare choice, advice, cost and how each is paid, so you know who works for you. See how we are paid.</t>
        </is>
      </c>
      <c r="R30" s="36">
        <f>LEN(Q30)</f>
        <v/>
      </c>
      <c r="S30" s="36">
        <f>IF(H30="","",IF(ISNUMBER(SEARCH(SUBSTITUTE(H30,"-"," "),SUBSTITUTE(O30,"-"," "))),"Yes","Check"))</f>
        <v/>
      </c>
      <c r="T30" s="25" t="inlineStr">
        <is>
          <t>Broker, agent, bank or online: the short answer | Independent brokers and advisors | Captive agents | Bank and creditor channels | Direct online insurers | How each is paid: commissions and disclosure | Questions to ask before you buy</t>
        </is>
      </c>
      <c r="U30" s="25" t="inlineStr">
        <is>
          <t>Is it cheaper to buy life insurance directly from an insurer? | How are life insurance brokers paid in Canada? | Can a bank advisor sell me any insurer's policy? | Do I pay more if I use a broker?</t>
        </is>
      </c>
      <c r="V30" s="25" t="inlineStr">
        <is>
          <t>A channel comparison table (insurer choice, advice, underwriting help, cost, payment model, after-sale service) and a seven-question checklist to ask any seller.</t>
        </is>
      </c>
      <c r="W30" s="25" t="inlineStr">
        <is>
          <t>/how-we-make-money/; /advisors/; /licensing/; /guides/instant-life-insurance-canada/; /life-insurance/</t>
        </is>
      </c>
      <c r="X30" s="25" t="inlineStr">
        <is>
          <t>Instant life insurance estimate (/quote/)</t>
        </is>
      </c>
      <c r="Y30" s="36" t="inlineStr">
        <is>
          <t>Article; FAQPage; BreadcrumbList</t>
        </is>
      </c>
      <c r="Z30" s="37" t="n">
        <v>1500</v>
      </c>
      <c r="AA30" s="25" t="inlineStr">
        <is>
          <t>PolicyAdvisor explains only its own process ('The PolicyAdvisor Process'); no competitor seen compares broker, captive agent, bank and direct channels neutrally.</t>
        </is>
      </c>
      <c r="AB30" s="25" t="inlineStr">
        <is>
          <t>Use the focus keyword in the H1, slug stem, meta title, first 100 words and first H2, with a neutral 40–60 word answer. Lead with the channel table and close with the checklist; link /how-we-make-money/ with 'how Instasure is paid' and the instant-products guide with 'buying online'. Alt text: 'Comparison of buying life insurance from a broker, agent, bank or online'. Licensed reviewer, cite FSRA and CCIR fair-treatment guidance, refresh annually.</t>
        </is>
      </c>
      <c r="AC30" s="25" t="inlineStr">
        <is>
          <t>Say 'licensed advisor', not 'broker', unless the entity is a registered brokerage; disclose Instasure's compensation accurately and avoid disparaging other channels (FSRA UDAP and advertising rules).</t>
        </is>
      </c>
      <c r="AD30" s="36" t="inlineStr">
        <is>
          <t>Annual</t>
        </is>
      </c>
      <c r="AE30" s="38" t="n"/>
      <c r="AF30" s="38" t="n"/>
      <c r="AG30" s="38" t="n"/>
    </row>
    <row r="31" ht="57.45" customHeight="1" s="22">
      <c r="A31" s="36">
        <f>"B"&amp;TEXT(ROW()-1,"0000")</f>
        <v/>
      </c>
      <c r="B31" s="38" t="inlineStr">
        <is>
          <t>Planned</t>
        </is>
      </c>
      <c r="C31" s="36" t="n">
        <v>2</v>
      </c>
      <c r="D31" s="36" t="inlineStr">
        <is>
          <t>Life insurance</t>
        </is>
      </c>
      <c r="E31" s="36" t="inlineStr">
        <is>
          <t>Cost &amp; pricing</t>
        </is>
      </c>
      <c r="F31" s="25" t="inlineStr">
        <is>
          <t>How Much Does Life Insurance Cost at 40 in Canada?</t>
        </is>
      </c>
      <c r="G31" s="36" t="inlineStr">
        <is>
          <t>https://instasure.ca/guides/life-insurance-cost-at-40-canada/</t>
        </is>
      </c>
      <c r="H31" s="36" t="inlineStr">
        <is>
          <t>life insurance cost for 40 year old</t>
        </is>
      </c>
      <c r="I31" s="41">
        <f>IFERROR(INDEX('Nationwide KWs'!$D$2:$D$168,MATCH(H31,'Nationwide KWs'!$A$2:$A$168,0)),IFERROR(INDEX('Provincial KWs'!$E$2:$E$137,MATCH(H31,'Provincial KWs'!$A$2:$A$137,0)),IFERROR(INDEX('City KWs'!$F$2:$F$419,MATCH(H31,'City KWs'!$A$2:$A$419,0)),"")))</f>
        <v/>
      </c>
      <c r="J31" s="36" t="inlineStr">
        <is>
          <t>Low</t>
        </is>
      </c>
      <c r="K31" s="25" t="inlineStr">
        <is>
          <t>life insurance at 40; term life insurance rates age 40; 500000 life insurance cost at 40; is 40 too old for life insurance</t>
        </is>
      </c>
      <c r="L31" s="36" t="inlineStr">
        <is>
          <t>Nationwide</t>
        </is>
      </c>
      <c r="M31" s="36" t="inlineStr">
        <is>
          <t>commercial</t>
        </is>
      </c>
      <c r="N31" s="36" t="inlineStr">
        <is>
          <t>MOFU</t>
        </is>
      </c>
      <c r="O31" s="25" t="inlineStr">
        <is>
          <t>Life Insurance Cost for a 40-Year-Old in Canada</t>
        </is>
      </c>
      <c r="P31" s="36">
        <f>LEN(O31)</f>
        <v/>
      </c>
      <c r="Q31" s="25" t="inlineStr">
        <is>
          <t>Life insurance cost for a 40-year-old in Canada: example rates by sex, amount, term and smoker status, and why waiting costs more. Get an estimate.</t>
        </is>
      </c>
      <c r="R31" s="36">
        <f>LEN(Q31)</f>
        <v/>
      </c>
      <c r="S31" s="36">
        <f>IF(H31="","",IF(ISNUMBER(SEARCH(SUBSTITUTE(H31,"-"," "),SUBSTITUTE(O31,"-"," "))),"Yes","Check"))</f>
        <v/>
      </c>
      <c r="T31" s="25" t="inlineStr">
        <is>
          <t>How much does life insurance cost at 40? | Example rates by amount and term length | Smoker vs non-smoker at 40 | Why waiting until 45 costs more | How much coverage people need at 40 | Ways to lower the price at 40</t>
        </is>
      </c>
      <c r="U31" s="25" t="inlineStr">
        <is>
          <t>Is 40 too old to buy life insurance? | How much is $500,000 of term life at 40? | Is 20-year term a good fit at 40? | Do I need a medical exam at 40?</t>
        </is>
      </c>
      <c r="V31" s="25" t="inlineStr">
        <is>
          <t>A dated rate table for age 40 (female/male × $250K/$500K/$1M × 10/20-year term × smoker/non-smoker) from the Instasure model, plus a 'cost of waiting' chart comparing 40 with 45.</t>
        </is>
      </c>
      <c r="W31" s="25" t="inlineStr">
        <is>
          <t>/term-life-insurance/; /guides/how-much-does-life-insurance-cost-canada/; /guides/how-much-life-insurance-do-i-need-canada/; /insights/rate-index/</t>
        </is>
      </c>
      <c r="X31" s="25" t="inlineStr">
        <is>
          <t>Instant life insurance estimate (/quote/)</t>
        </is>
      </c>
      <c r="Y31" s="36" t="inlineStr">
        <is>
          <t>Article; FAQPage; BreadcrumbList</t>
        </is>
      </c>
      <c r="Z31" s="37" t="n">
        <v>1400</v>
      </c>
      <c r="AA31" s="25" t="inlineStr">
        <is>
          <t>PolicyAdvisor runs 'Life Insurance Cost For a 40 Year Old'; it shows no smoker split or cost-of-waiting comparison, and its life pages carry mixed year stamps.</t>
        </is>
      </c>
      <c r="AB31" s="25" t="inlineStr">
        <is>
          <t>Use the focus keyword in the H1, meta title, first 100 words and first H2, and open with a 40–60 word answer quoting one dated example range. Make the rate table the first visual with a caption giving profile and 'as of' month; link the main cost guide with 'life insurance cost by age' and /insights/rate-index/ with 'Instasure Rate Index'. Alt text: 'Example term life rates at age 40 by coverage amount'. Licensed reviewer, refresh quarterly from the Rate Index.</t>
        </is>
      </c>
      <c r="AC31" s="25" t="inlineStr">
        <is>
          <t>All figures are Instasure model estimates with the stated profile and 'as of' date; replace with Rate Index medians once each cell meets the minimum sample, and avoid 'cheapest' wording.</t>
        </is>
      </c>
      <c r="AD31" s="36" t="inlineStr">
        <is>
          <t>Quarterly</t>
        </is>
      </c>
      <c r="AE31" s="38" t="n"/>
      <c r="AF31" s="38" t="n"/>
      <c r="AG31" s="38" t="n"/>
    </row>
    <row r="32" ht="57.45" customHeight="1" s="22">
      <c r="A32" s="36">
        <f>"B"&amp;TEXT(ROW()-1,"0000")</f>
        <v/>
      </c>
      <c r="B32" s="38" t="inlineStr">
        <is>
          <t>Planned</t>
        </is>
      </c>
      <c r="C32" s="36" t="n">
        <v>2</v>
      </c>
      <c r="D32" s="36" t="inlineStr">
        <is>
          <t>Life insurance</t>
        </is>
      </c>
      <c r="E32" s="36" t="inlineStr">
        <is>
          <t>Cost &amp; pricing</t>
        </is>
      </c>
      <c r="F32" s="25" t="inlineStr">
        <is>
          <t>How Much Does Life Insurance Cost at 50 in Canada?</t>
        </is>
      </c>
      <c r="G32" s="36" t="inlineStr">
        <is>
          <t>https://instasure.ca/guides/life-insurance-cost-at-50-canada/</t>
        </is>
      </c>
      <c r="H32" s="36" t="inlineStr">
        <is>
          <t>life insurance cost for 50 year old</t>
        </is>
      </c>
      <c r="I32" s="41">
        <f>IFERROR(INDEX('Nationwide KWs'!$D$2:$D$168,MATCH(H32,'Nationwide KWs'!$A$2:$A$168,0)),IFERROR(INDEX('Provincial KWs'!$E$2:$E$137,MATCH(H32,'Provincial KWs'!$A$2:$A$137,0)),IFERROR(INDEX('City KWs'!$F$2:$F$419,MATCH(H32,'City KWs'!$A$2:$A$419,0)),"")))</f>
        <v/>
      </c>
      <c r="J32" s="36" t="inlineStr">
        <is>
          <t>Low</t>
        </is>
      </c>
      <c r="K32" s="25" t="inlineStr">
        <is>
          <t>life insurance at 50; term life insurance over 50; no medical life insurance at 50; 10 year term at 50</t>
        </is>
      </c>
      <c r="L32" s="36" t="inlineStr">
        <is>
          <t>Nationwide</t>
        </is>
      </c>
      <c r="M32" s="36" t="inlineStr">
        <is>
          <t>commercial</t>
        </is>
      </c>
      <c r="N32" s="36" t="inlineStr">
        <is>
          <t>MOFU</t>
        </is>
      </c>
      <c r="O32" s="25" t="inlineStr">
        <is>
          <t>Life Insurance Cost for a 50-Year-Old in Canada</t>
        </is>
      </c>
      <c r="P32" s="36">
        <f>LEN(O32)</f>
        <v/>
      </c>
      <c r="Q32" s="25" t="inlineStr">
        <is>
          <t>Life insurance cost for a 50-year-old in Canada: example rates by amount and term, no-medical options and cover with a mortgage. Get an instant estimate.</t>
        </is>
      </c>
      <c r="R32" s="36">
        <f>LEN(Q32)</f>
        <v/>
      </c>
      <c r="S32" s="36">
        <f>IF(H32="","",IF(ISNUMBER(SEARCH(SUBSTITUTE(H32,"-"," "),SUBSTITUTE(O32,"-"," "))),"Yes","Check"))</f>
        <v/>
      </c>
      <c r="T32" s="25" t="inlineStr">
        <is>
          <t>How much does life insurance cost at 50? | Example rates by amount and term | Fully underwritten vs no-medical at 50 | Health factors that matter most after 50 | Term vs permanent at 50 | How much coverage people need at 50</t>
        </is>
      </c>
      <c r="U32" s="25" t="inlineStr">
        <is>
          <t>Can I get 20-year term life insurance at 50? | Is no-medical life insurance worth it at 50? | How much does $250,000 of life insurance cost at 50? | Should I buy permanent life insurance at 50?</t>
        </is>
      </c>
      <c r="V32" s="25" t="inlineStr">
        <is>
          <t>A dated age-50 rate table (sex × amount × term × smoker status) and a side-by-side of fully underwritten vs simplified-issue estimates for the same profile.</t>
        </is>
      </c>
      <c r="W32" s="25" t="inlineStr">
        <is>
          <t>/term-life-insurance/; /no-medical-life-insurance/; /guides/how-much-does-life-insurance-cost-canada/; /guides/simplified-vs-guaranteed-issue-life-insurance/</t>
        </is>
      </c>
      <c r="X32" s="25" t="inlineStr">
        <is>
          <t>Instant life insurance estimate (/quote/)</t>
        </is>
      </c>
      <c r="Y32" s="36" t="inlineStr">
        <is>
          <t>Article; FAQPage; BreadcrumbList</t>
        </is>
      </c>
      <c r="Z32" s="37" t="n">
        <v>1400</v>
      </c>
      <c r="AA32" s="25" t="inlineStr">
        <is>
          <t>PolicyAdvisor's 'How much does life insurance cost for a 50-year old?' gives prices but does not compare fully underwritten and no-medical prices for the same person.</t>
        </is>
      </c>
      <c r="AB32" s="25" t="inlineStr">
        <is>
          <t>Use the focus keyword in the H1, meta title, first 100 words and first H2, with a 40–60 word answer quoting one dated example range. Put the underwritten vs simplified comparison in a two-column table; link /no-medical-life-insurance/ with 'no-medical options at 50' and the simplified-vs-guaranteed guide with 'simplified vs guaranteed issue'. Alt text: 'Example life insurance rates at age 50, underwritten vs no-medical'. Licensed reviewer, refresh quarterly.</t>
        </is>
      </c>
      <c r="AC32" s="25" t="inlineStr">
        <is>
          <t>Label every figure as an Instasure model estimate with profile and 'as of' date; verify simplified-issue maximums for age 50 against insurer guides.</t>
        </is>
      </c>
      <c r="AD32" s="36" t="inlineStr">
        <is>
          <t>Quarterly</t>
        </is>
      </c>
      <c r="AE32" s="38" t="n"/>
      <c r="AF32" s="38" t="n"/>
      <c r="AG32" s="38" t="n"/>
    </row>
    <row r="33" ht="68.65000000000001" customHeight="1" s="22">
      <c r="A33" s="36">
        <f>"B"&amp;TEXT(ROW()-1,"0000")</f>
        <v/>
      </c>
      <c r="B33" s="38" t="inlineStr">
        <is>
          <t>Planned</t>
        </is>
      </c>
      <c r="C33" s="36" t="n">
        <v>2</v>
      </c>
      <c r="D33" s="36" t="inlineStr">
        <is>
          <t>Life insurance</t>
        </is>
      </c>
      <c r="E33" s="36" t="inlineStr">
        <is>
          <t>Cost &amp; pricing</t>
        </is>
      </c>
      <c r="F33" s="25" t="inlineStr">
        <is>
          <t>How Much Does a $1 Million Life Insurance Policy Cost in Canada?</t>
        </is>
      </c>
      <c r="G33" s="36" t="inlineStr">
        <is>
          <t>https://instasure.ca/guides/1-million-life-insurance-policy-cost/</t>
        </is>
      </c>
      <c r="H33" s="36" t="inlineStr">
        <is>
          <t>1 million life insurance cost</t>
        </is>
      </c>
      <c r="I33" s="41">
        <f>IFERROR(INDEX('Nationwide KWs'!$D$2:$D$168,MATCH(H33,'Nationwide KWs'!$A$2:$A$168,0)),IFERROR(INDEX('Provincial KWs'!$E$2:$E$137,MATCH(H33,'Provincial KWs'!$A$2:$A$137,0)),IFERROR(INDEX('City KWs'!$F$2:$F$419,MATCH(H33,'City KWs'!$A$2:$A$419,0)),"")))</f>
        <v/>
      </c>
      <c r="J33" s="36" t="inlineStr">
        <is>
          <t>Low</t>
        </is>
      </c>
      <c r="K33" s="25" t="inlineStr">
        <is>
          <t>million dollar life insurance policy; 2 million life insurance cost; do i need 1 million life insurance; 500000 life insurance cost</t>
        </is>
      </c>
      <c r="L33" s="36" t="inlineStr">
        <is>
          <t>Nationwide</t>
        </is>
      </c>
      <c r="M33" s="36" t="inlineStr">
        <is>
          <t>commercial</t>
        </is>
      </c>
      <c r="N33" s="36" t="inlineStr">
        <is>
          <t>MOFU</t>
        </is>
      </c>
      <c r="O33" s="25" t="inlineStr">
        <is>
          <t>$1 Million Life Insurance Cost in Canada by Age</t>
        </is>
      </c>
      <c r="P33" s="36">
        <f>LEN(O33)</f>
        <v/>
      </c>
      <c r="Q33" s="25" t="inlineStr">
        <is>
          <t>$1 million life insurance cost in Canada by age, sex and term, who needs that much cover and how underwriting changes. Get an instant estimate.</t>
        </is>
      </c>
      <c r="R33" s="36">
        <f>LEN(Q33)</f>
        <v/>
      </c>
      <c r="S33" s="36">
        <f>IF(H33="","",IF(ISNUMBER(SEARCH(SUBSTITUTE(H33,"-"," "),SUBSTITUTE(O33,"-"," "))),"Yes","Check"))</f>
        <v/>
      </c>
      <c r="T33" s="25" t="inlineStr">
        <is>
          <t>How much does $1 million of life insurance cost? | Example prices by age and term | Who needs $1 million or more | Why per-thousand pricing favours larger policies | Extra underwriting for high amounts | $500,000 vs $1 million vs $2 million</t>
        </is>
      </c>
      <c r="U33" s="25" t="inlineStr">
        <is>
          <t>Is $1 million of life insurance too much? | Can I get $1 million of life insurance without a medical exam? | What income do I need to qualify for $1 million? | Is it cheaper to buy two $500,000 policies?</t>
        </is>
      </c>
      <c r="V33" s="25" t="inlineStr">
        <is>
          <t>A dated price grid for $500K, $1M and $2M at ages 25–55 from the Instasure model, and a financial-justification table of typical income multiples insurers use by age (verified with underwriting guides).</t>
        </is>
      </c>
      <c r="W33" s="25" t="inlineStr">
        <is>
          <t>/term-life-insurance/; /guides/how-much-does-life-insurance-cost-canada/; /calculators/life-insurance-needs/; /guides/life-insurance-laddering-canada/</t>
        </is>
      </c>
      <c r="X33" s="25" t="inlineStr">
        <is>
          <t>Instant life insurance estimate (/quote/)</t>
        </is>
      </c>
      <c r="Y33" s="36" t="inlineStr">
        <is>
          <t>Article; FAQPage; BreadcrumbList</t>
        </is>
      </c>
      <c r="Z33" s="37" t="n">
        <v>1500</v>
      </c>
      <c r="AA33" s="25" t="inlineStr">
        <is>
          <t>PolicyAdvisor has 'How much does a million-dollar life insurance policy cost?' and 'Average Cost of $500,000 Life Insurance Policy'; neither explains financial underwriting limits or compares $500K, $1M and $2M on one grid.</t>
        </is>
      </c>
      <c r="AB33" s="25" t="inlineStr">
        <is>
          <t>Put '1 million life insurance cost' in the H1, slug, meta title, first 100 words and first H2, and answer in 40–60 words with one dated example. Present the price grid as a table (ages as rows, amounts as columns); link the needs calculator with 'check whether you need $1 million' and the laddering guide with 'split coverage into a ladder'; alt text: 'Price grid for $500,000, $1 million and $2 million term life by age'. Licensed reviewer, refresh quarterly. The keyword map currently points '1 million life insurance cost' at the cost guide; repoint it here and keep the cost guide's amount section short with a link.</t>
        </is>
      </c>
      <c r="AC33" s="25" t="inlineStr">
        <is>
          <t>Label prices as model estimates; verify income-multiple guidelines with insurer underwriting manuals before publishing any ratio.</t>
        </is>
      </c>
      <c r="AD33" s="36" t="inlineStr">
        <is>
          <t>Quarterly</t>
        </is>
      </c>
      <c r="AE33" s="38" t="n"/>
      <c r="AF33" s="38" t="n"/>
      <c r="AG33" s="38" t="n"/>
    </row>
    <row r="34" ht="57.45" customHeight="1" s="22">
      <c r="A34" s="36">
        <f>"B"&amp;TEXT(ROW()-1,"0000")</f>
        <v/>
      </c>
      <c r="B34" s="38" t="inlineStr">
        <is>
          <t>Planned</t>
        </is>
      </c>
      <c r="C34" s="36" t="n">
        <v>2</v>
      </c>
      <c r="D34" s="36" t="inlineStr">
        <is>
          <t>Life insurance</t>
        </is>
      </c>
      <c r="E34" s="36" t="inlineStr">
        <is>
          <t>Coverage explained</t>
        </is>
      </c>
      <c r="F34" s="25" t="inlineStr">
        <is>
          <t>10, 20 or 30-Year Term Life Insurance: How to Choose the Right Length</t>
        </is>
      </c>
      <c r="G34" s="36" t="inlineStr">
        <is>
          <t>https://instasure.ca/guides/10-20-30-year-term-life-insurance/</t>
        </is>
      </c>
      <c r="H34" s="36" t="inlineStr">
        <is>
          <t>20 year term life insurance</t>
        </is>
      </c>
      <c r="I34" s="41">
        <f>IFERROR(INDEX('Nationwide KWs'!$D$2:$D$168,MATCH(H34,'Nationwide KWs'!$A$2:$A$168,0)),IFERROR(INDEX('Provincial KWs'!$E$2:$E$137,MATCH(H34,'Provincial KWs'!$A$2:$A$137,0)),IFERROR(INDEX('City KWs'!$F$2:$F$419,MATCH(H34,'City KWs'!$A$2:$A$419,0)),"")))</f>
        <v/>
      </c>
      <c r="J34" s="36" t="inlineStr">
        <is>
          <t>Low</t>
        </is>
      </c>
      <c r="K34" s="25" t="inlineStr">
        <is>
          <t>10 year term life insurance; 30 year term life insurance; how long should term life insurance be; term length for mortgage; which term length should i choose</t>
        </is>
      </c>
      <c r="L34" s="36" t="inlineStr">
        <is>
          <t>Nationwide</t>
        </is>
      </c>
      <c r="M34" s="36" t="inlineStr">
        <is>
          <t>commercial</t>
        </is>
      </c>
      <c r="N34" s="36" t="inlineStr">
        <is>
          <t>MOFU</t>
        </is>
      </c>
      <c r="O34" s="25" t="inlineStr">
        <is>
          <t>20 Year Term Life Insurance vs 10 and 30-Year Terms</t>
        </is>
      </c>
      <c r="P34" s="36">
        <f>LEN(O34)</f>
        <v/>
      </c>
      <c r="Q34" s="25" t="inlineStr">
        <is>
          <t>Is 20 year term life insurance right for you, or would 10 or 30 years fit better? Match the term to your mortgage and kids. Get an instant estimate.</t>
        </is>
      </c>
      <c r="R34" s="36">
        <f>LEN(Q34)</f>
        <v/>
      </c>
      <c r="S34" s="36">
        <f>IF(H34="","",IF(ISNUMBER(SEARCH(SUBSTITUTE(H34,"-"," "),SUBSTITUTE(O34,"-"," "))),"Yes","Check"))</f>
        <v/>
      </c>
      <c r="T34" s="25" t="inlineStr">
        <is>
          <t>Which term length should you choose? | 10-year term: short needs and renewals | 20-year term: kids and most mortgages | 30-year term: young families and new buyers | How price changes with term length | Laddering two terms instead of one | Term length decision table</t>
        </is>
      </c>
      <c r="U34" s="25" t="inlineStr">
        <is>
          <t>Is 20-year or 30-year term life insurance better value? | Can I renew a 10-year term life policy? | Should my term match my mortgage amortization? | Can I shorten my term later?</t>
        </is>
      </c>
      <c r="V34" s="25" t="inlineStr">
        <is>
          <t>A decision table matching term length to life-stage triggers (youngest child's age, mortgage years left, planned retirement date) plus a price-by-term comparison for one example profile from the Instasure model.</t>
        </is>
      </c>
      <c r="W34" s="25" t="inlineStr">
        <is>
          <t>/term-life-insurance/; /guides/how-much-does-life-insurance-cost-canada/; /calculators/life-insurance-needs/; /guides/life-insurance-laddering-canada/</t>
        </is>
      </c>
      <c r="X34" s="25" t="inlineStr">
        <is>
          <t>Instant term life estimate (/quote/)</t>
        </is>
      </c>
      <c r="Y34" s="36" t="inlineStr">
        <is>
          <t>Article; FAQPage; BreadcrumbList</t>
        </is>
      </c>
      <c r="Z34" s="37" t="n">
        <v>1600</v>
      </c>
      <c r="AA34" s="25" t="inlineStr">
        <is>
          <t>Sun Life's 'What is 20-Year Term Life Insurance?' covers only its own product and PolicyAdvisor has no term-length chooser; no competitor seen compares 10, 20 and 30-year terms against life-stage triggers in one table.</t>
        </is>
      </c>
      <c r="AB34" s="25" t="inlineStr">
        <is>
          <t>Place '20 year term life insurance' in the H1, meta title, first 100 words and the 20-year H2, and answer 'which length' in 40–60 words under the first H2. Make the decision table scannable (rows = life stage, columns = 10/20/30) and link /term-life-insurance/ with 'compare term life quotes' and the laddering guide with 'ladder two term policies'. Alt text: 'Decision table for choosing a 10, 20 or 30-year term'. Licensed reviewer, cite insurer product guides, refresh annually.</t>
        </is>
      </c>
      <c r="AC34" s="25" t="inlineStr">
        <is>
          <t>Show price differences only as dated model estimates for a stated profile; verify which insurers offer 25- and 30-year terms and their maximum issue ages before stating them.</t>
        </is>
      </c>
      <c r="AD34" s="36" t="inlineStr">
        <is>
          <t>Annual</t>
        </is>
      </c>
      <c r="AE34" s="38" t="n"/>
      <c r="AF34" s="38" t="n"/>
      <c r="AG34" s="38" t="n"/>
    </row>
    <row r="35" ht="57.45" customHeight="1" s="22">
      <c r="A35" s="36">
        <f>"B"&amp;TEXT(ROW()-1,"0000")</f>
        <v/>
      </c>
      <c r="B35" s="38" t="inlineStr">
        <is>
          <t>Planned</t>
        </is>
      </c>
      <c r="C35" s="36" t="n">
        <v>2</v>
      </c>
      <c r="D35" s="36" t="inlineStr">
        <is>
          <t>Life insurance</t>
        </is>
      </c>
      <c r="E35" s="36" t="inlineStr">
        <is>
          <t>Coverage explained</t>
        </is>
      </c>
      <c r="F35" s="25" t="inlineStr">
        <is>
          <t>Is Group Life Insurance Enough? Work Coverage, Top-Ups and What Happens When You Leave</t>
        </is>
      </c>
      <c r="G35" s="36" t="inlineStr">
        <is>
          <t>https://instasure.ca/guides/is-group-life-insurance-enough/</t>
        </is>
      </c>
      <c r="H35" s="36" t="inlineStr">
        <is>
          <t>is group life insurance enough</t>
        </is>
      </c>
      <c r="I35" s="41">
        <f>IFERROR(INDEX('Nationwide KWs'!$D$2:$D$168,MATCH(H35,'Nationwide KWs'!$A$2:$A$168,0)),IFERROR(INDEX('Provincial KWs'!$E$2:$E$137,MATCH(H35,'Provincial KWs'!$A$2:$A$137,0)),IFERROR(INDEX('City KWs'!$F$2:$F$419,MATCH(H35,'City KWs'!$A$2:$A$419,0)),"")))</f>
        <v/>
      </c>
      <c r="J35" s="36" t="inlineStr">
        <is>
          <t>Low</t>
        </is>
      </c>
      <c r="K35" s="25" t="inlineStr">
        <is>
          <t>group life insurance vs individual; group life insurance conversion; life insurance when you leave your job; optional group life top up; employer life insurance canada</t>
        </is>
      </c>
      <c r="L35" s="36" t="inlineStr">
        <is>
          <t>Nationwide</t>
        </is>
      </c>
      <c r="M35" s="36" t="inlineStr">
        <is>
          <t>commercial</t>
        </is>
      </c>
      <c r="N35" s="36" t="inlineStr">
        <is>
          <t>MOFU</t>
        </is>
      </c>
      <c r="O35" s="25" t="inlineStr">
        <is>
          <t>Is Group Life Insurance Enough? Work Cover vs Your Own</t>
        </is>
      </c>
      <c r="P35" s="36">
        <f>LEN(O35)</f>
        <v/>
      </c>
      <c r="Q35" s="25" t="inlineStr">
        <is>
          <t>Is group life insurance enough? See what work cover pays, why it ends when you leave, how conversion works and when your own policy fills the gap. Compare.</t>
        </is>
      </c>
      <c r="R35" s="36">
        <f>LEN(Q35)</f>
        <v/>
      </c>
      <c r="S35" s="36">
        <f>IF(H35="","",IF(ISNUMBER(SEARCH(SUBSTITUTE(H35,"-"," "),SUBSTITUTE(O35,"-"," "))),"Yes","Check"))</f>
        <v/>
      </c>
      <c r="T35" s="25" t="inlineStr">
        <is>
          <t>Is group life insurance enough on its own? | What a typical group plan pays | Optional top-ups: pros and cons | What happens to group life when you leave or are laid off | The conversion privilege and its limits | Group vs individual coverage compared | How to size a personal policy around group cover</t>
        </is>
      </c>
      <c r="U35" s="25" t="inlineStr">
        <is>
          <t>How much life insurance does an employer usually provide? | Can I keep my group life insurance if I quit? | Is optional group life cheaper than individual term? | Does group life insurance cover me after retirement?</t>
        </is>
      </c>
      <c r="V35" s="25" t="inlineStr">
        <is>
          <t>A group-vs-individual comparison table and a worked layoff scenario showing coverage before and after a job loss, with a conversion-window checklist (deadline verified per plan).</t>
        </is>
      </c>
      <c r="W35" s="25" t="inlineStr">
        <is>
          <t>/life-insurance/; /term-life-insurance/; /group-benefits/; /guides/how-much-life-insurance-do-i-need-canada/; /calculators/life-insurance-needs/</t>
        </is>
      </c>
      <c r="X35" s="25" t="inlineStr">
        <is>
          <t>Life insurance needs calculator (/calculators/life-insurance-needs/)</t>
        </is>
      </c>
      <c r="Y35" s="36" t="inlineStr">
        <is>
          <t>Article; FAQPage; BreadcrumbList</t>
        </is>
      </c>
      <c r="Z35" s="37" t="n">
        <v>1700</v>
      </c>
      <c r="AA35" s="25" t="inlineStr">
        <is>
          <t>PolicyAdvisor's 'Group Life Insurance in Canada' targets employers buying benefits, not employees; no competitor seen explains conversion after a layoff or how to size a personal policy around group cover.</t>
        </is>
      </c>
      <c r="AB35" s="25" t="inlineStr">
        <is>
          <t>Use 'is group life insurance enough' in the H1, slug, meta title, first 100 words and first H2, then answer in 40–60 words. Show the layoff scenario as a before/after table and the conversion steps as a numbered list; link the needs calculator with 'calculate how much coverage you need' and /term-life-insurance/ with 'personal term life insurance'. Alt text: 'Coverage gap after leaving a job with group life insurance'. Licensed reviewer, cite sample group booklets and CLHIA, refresh annually.</t>
        </is>
      </c>
      <c r="AC35" s="25" t="inlineStr">
        <is>
          <t>Conversion windows and top-up rules vary by group contract; describe a typical window and tell readers to check their booklet, and do not state salary multiples as fact without a source.</t>
        </is>
      </c>
      <c r="AD35" s="36" t="inlineStr">
        <is>
          <t>Annual</t>
        </is>
      </c>
      <c r="AE35" s="38" t="n"/>
      <c r="AF35" s="38" t="n"/>
      <c r="AG35" s="38" t="n"/>
    </row>
    <row r="36" ht="57.45" customHeight="1" s="22">
      <c r="A36" s="36">
        <f>"B"&amp;TEXT(ROW()-1,"0000")</f>
        <v/>
      </c>
      <c r="B36" s="38" t="inlineStr">
        <is>
          <t>Planned</t>
        </is>
      </c>
      <c r="C36" s="36" t="n">
        <v>2</v>
      </c>
      <c r="D36" s="36" t="inlineStr">
        <is>
          <t>Life insurance</t>
        </is>
      </c>
      <c r="E36" s="36" t="inlineStr">
        <is>
          <t>Coverage explained</t>
        </is>
      </c>
      <c r="F36" s="25" t="inlineStr">
        <is>
          <t>Types of Life Insurance in Canada: Term, Whole, Universal and No-Medical Explained</t>
        </is>
      </c>
      <c r="G36" s="36" t="inlineStr">
        <is>
          <t>https://instasure.ca/guides/types-of-life-insurance-canada/</t>
        </is>
      </c>
      <c r="H36" s="36" t="inlineStr">
        <is>
          <t>types of life insurance canada</t>
        </is>
      </c>
      <c r="I36" s="41">
        <f>IFERROR(INDEX('Nationwide KWs'!$D$2:$D$168,MATCH(H36,'Nationwide KWs'!$A$2:$A$168,0)),IFERROR(INDEX('Provincial KWs'!$E$2:$E$137,MATCH(H36,'Provincial KWs'!$A$2:$A$137,0)),IFERROR(INDEX('City KWs'!$F$2:$F$419,MATCH(H36,'City KWs'!$A$2:$A$419,0)),"")))</f>
        <v/>
      </c>
      <c r="J36" s="36" t="inlineStr">
        <is>
          <t>Medium</t>
        </is>
      </c>
      <c r="K36" s="25" t="inlineStr">
        <is>
          <t>different types of life insurance; term vs permanent life insurance; term to 100 life insurance; what is permanent life insurance; no medical life insurance</t>
        </is>
      </c>
      <c r="L36" s="36" t="inlineStr">
        <is>
          <t>Nationwide</t>
        </is>
      </c>
      <c r="M36" s="36" t="inlineStr">
        <is>
          <t>informational</t>
        </is>
      </c>
      <c r="N36" s="36" t="inlineStr">
        <is>
          <t>TOFU</t>
        </is>
      </c>
      <c r="O36" s="25" t="inlineStr">
        <is>
          <t>Types of Life Insurance in Canada: Every Option Explained</t>
        </is>
      </c>
      <c r="P36" s="36">
        <f>LEN(O36)</f>
        <v/>
      </c>
      <c r="Q36" s="25" t="inlineStr">
        <is>
          <t>Compare the types of life insurance in Canada: term, term to 100, whole, universal and no-medical, who each suits and how cost differs. Get an estimate.</t>
        </is>
      </c>
      <c r="R36" s="36">
        <f>LEN(Q36)</f>
        <v/>
      </c>
      <c r="S36" s="36">
        <f>IF(H36="","",IF(ISNUMBER(SEARCH(SUBSTITUTE(H36,"-"," "),SUBSTITUTE(O36,"-"," "))),"Yes","Check"))</f>
        <v/>
      </c>
      <c r="T36" s="25" t="inlineStr">
        <is>
          <t>What are the main types of life insurance in Canada? | Term life insurance: 10, 20, 30 years and term to 100 | Permanent life insurance: whole and universal | No-medical options: simplified and guaranteed issue | Group and creditor life insurance | Side-by-side comparison table | How to choose the right type</t>
        </is>
      </c>
      <c r="U36" s="25" t="inlineStr">
        <is>
          <t>What is the most common type of life insurance in Canada? | Is term to 100 the same as whole life? | Which types of life insurance build cash value? | Can I combine term and permanent life insurance?</t>
        </is>
      </c>
      <c r="V36" s="25" t="inlineStr">
        <is>
          <t>A one-screen comparison table of seven policy types (term 10/20/30, term to 100, participating whole, universal, simplified issue, guaranteed issue, group) with columns for duration, cash value, premium pattern, medical underwriting and typical use, plus a five-question decision tree.</t>
        </is>
      </c>
      <c r="W36" s="25" t="inlineStr">
        <is>
          <t>/life-insurance/; /term-life-insurance/; /whole-life-insurance/; /no-medical-life-insurance/; /guides/term-vs-whole-life-insurance-canada/</t>
        </is>
      </c>
      <c r="X36" s="25" t="inlineStr">
        <is>
          <t>Instant life insurance estimate (/quote/)</t>
        </is>
      </c>
      <c r="Y36" s="36" t="inlineStr">
        <is>
          <t>Article; FAQPage; BreadcrumbList</t>
        </is>
      </c>
      <c r="Z36" s="37" t="n">
        <v>2200</v>
      </c>
      <c r="AA36" s="25" t="inlineStr">
        <is>
          <t>PolicyAdvisor ('What Are The Different Types of Life Insurance In Canada?'), Sun Life ('What are the Different Types of Life Insurance?') and Ratehub ('Types of Life Insurance in Canada') all cover this; none puts no-medical, group and creditor cover in one comparison table, and PolicyAdvisor splits term to 100 into a separate thin post.</t>
        </is>
      </c>
      <c r="AB36" s="25" t="inlineStr">
        <is>
          <t>Use 'types of life insurance canada' in the H1, slug, meta title, first 100 words and first H2, then answer in 40–60 words listing the main types. Make the comparison table the centrepiece with labelled rows and columns so AI answers can quote it, and link each type with descriptive anchors ('term life insurance', 'no-medical life insurance'). Alt text: 'Chart comparing term, whole, universal and no-medical life insurance in Canada'. Add a 'Reviewed by' line from a licensed life advisor, cite CLHIA and FCAC consumer pages and review annually.</t>
        </is>
      </c>
      <c r="AC36" s="25" t="inlineStr">
        <is>
          <t>Verify product features (term to 100 availability, conversion ages, guaranteed-issue waiting periods) against current insurer product guides; describe typical features, not guarantees, and do not rank one type as 'best'.</t>
        </is>
      </c>
      <c r="AD36" s="36" t="inlineStr">
        <is>
          <t>Annual</t>
        </is>
      </c>
      <c r="AE36" s="38" t="n"/>
      <c r="AF36" s="38" t="n"/>
      <c r="AG36" s="38" t="n"/>
    </row>
    <row r="37" ht="57.45" customHeight="1" s="22">
      <c r="A37" s="36">
        <f>"B"&amp;TEXT(ROW()-1,"0000")</f>
        <v/>
      </c>
      <c r="B37" s="38" t="inlineStr">
        <is>
          <t>Planned</t>
        </is>
      </c>
      <c r="C37" s="36" t="n">
        <v>2</v>
      </c>
      <c r="D37" s="36" t="inlineStr">
        <is>
          <t>Life insurance</t>
        </is>
      </c>
      <c r="E37" s="36" t="inlineStr">
        <is>
          <t>Coverage explained</t>
        </is>
      </c>
      <c r="F37" s="25" t="inlineStr">
        <is>
          <t>What Is Term Life Insurance and How Does It Work in Canada?</t>
        </is>
      </c>
      <c r="G37" s="36" t="inlineStr">
        <is>
          <t>https://instasure.ca/guides/what-is-term-life-insurance-canada/</t>
        </is>
      </c>
      <c r="H37" s="36" t="inlineStr">
        <is>
          <t>what is term life insurance</t>
        </is>
      </c>
      <c r="I37" s="41">
        <f>IFERROR(INDEX('Nationwide KWs'!$D$2:$D$168,MATCH(H37,'Nationwide KWs'!$A$2:$A$168,0)),IFERROR(INDEX('Provincial KWs'!$E$2:$E$137,MATCH(H37,'Provincial KWs'!$A$2:$A$137,0)),IFERROR(INDEX('City KWs'!$F$2:$F$419,MATCH(H37,'City KWs'!$A$2:$A$419,0)),"")))</f>
        <v/>
      </c>
      <c r="J37" s="36" t="inlineStr">
        <is>
          <t>Medium</t>
        </is>
      </c>
      <c r="K37" s="25" t="inlineStr">
        <is>
          <t>how does term life insurance work; term life insurance canada; level term premiums; term life insurance explained; does term life insurance have cash value</t>
        </is>
      </c>
      <c r="L37" s="36" t="inlineStr">
        <is>
          <t>Nationwide</t>
        </is>
      </c>
      <c r="M37" s="36" t="inlineStr">
        <is>
          <t>informational</t>
        </is>
      </c>
      <c r="N37" s="36" t="inlineStr">
        <is>
          <t>TOFU</t>
        </is>
      </c>
      <c r="O37" s="25" t="inlineStr">
        <is>
          <t>What Is Term Life Insurance? How It Works in Canada</t>
        </is>
      </c>
      <c r="P37" s="36">
        <f>LEN(O37)</f>
        <v/>
      </c>
      <c r="Q37" s="25" t="inlineStr">
        <is>
          <t>What is term life insurance? Learn how level premiums, term lengths, renewal and conversion work in Canada, with a worked example. Get an instant estimate.</t>
        </is>
      </c>
      <c r="R37" s="36">
        <f>LEN(Q37)</f>
        <v/>
      </c>
      <c r="S37" s="36">
        <f>IF(H37="","",IF(ISNUMBER(SEARCH(SUBSTITUTE(H37,"-"," "),SUBSTITUTE(O37,"-"," "))),"Yes","Check"))</f>
        <v/>
      </c>
      <c r="T37" s="25" t="inlineStr">
        <is>
          <t>What is term life insurance? | How level premiums and term lengths work | What happens at the end of the term | Term life vs permanent life at a glance | Who term life insurance suits | A worked example: a 35-year-old with a mortgage | How to buy term life insurance in Canada</t>
        </is>
      </c>
      <c r="U37" s="25" t="inlineStr">
        <is>
          <t>Does term life insurance pay out if I outlive it? | Can I cancel term life insurance at any time? | Is a term life insurance payout taxable? | Can I get term life insurance without a medical exam?</t>
        </is>
      </c>
      <c r="V37" s="25" t="inlineStr">
        <is>
          <t>A worked timeline for one 35-year-old buying 20-year term: premium schedule from the Instasure model, the renewal-rate jump at year 21 and the conversion deadline, shown as a labelled chart and table (estimates, dated).</t>
        </is>
      </c>
      <c r="W37" s="25" t="inlineStr">
        <is>
          <t>/term-life-insurance/; /guides/how-much-does-life-insurance-cost-canada/; /guides/term-vs-whole-life-insurance-canada/; /calculators/life-insurance-needs/</t>
        </is>
      </c>
      <c r="X37" s="25" t="inlineStr">
        <is>
          <t>Instant term life estimate (/quote/)</t>
        </is>
      </c>
      <c r="Y37" s="36" t="inlineStr">
        <is>
          <t>Article; FAQPage; BreadcrumbList</t>
        </is>
      </c>
      <c r="Z37" s="37" t="n">
        <v>1500</v>
      </c>
      <c r="AA37" s="25" t="inlineStr">
        <is>
          <t>PolicyAdvisor's 'What Is Term Life Insurance And How Does It Work? (2025)' carries a stale year and Sun Life's page sells only its own term products; neither shows a full premium, renewal and conversion timeline for one example buyer.</t>
        </is>
      </c>
      <c r="AB37" s="25" t="inlineStr">
        <is>
          <t>Put 'what is term life insurance' in the H1, slug stem, meta title, first 100 words and first H2, with a 40–60 word definition directly below it. Show the worked timeline as a table plus chart with an 'as of' date; link /term-life-insurance/ with the anchor 'term life insurance quotes' and the cost guide with 'term life insurance cost by age'. Alt text: 'Timeline of a 20-year term life policy from purchase to renewal'. Licensed reviewer byline, cite CLHIA and insurer contracts, refresh annually.</t>
        </is>
      </c>
      <c r="AC37" s="25" t="inlineStr">
        <is>
          <t>Label all premiums as Instasure model estimates with the profile and 'as of' month; verify typical renewal and conversion rules against at least three insurer contracts before stating ages.</t>
        </is>
      </c>
      <c r="AD37" s="36" t="inlineStr">
        <is>
          <t>Annual</t>
        </is>
      </c>
      <c r="AE37" s="38" t="n"/>
      <c r="AF37" s="38" t="n"/>
      <c r="AG37" s="38" t="n"/>
    </row>
    <row r="38" ht="57.45" customHeight="1" s="22">
      <c r="A38" s="36">
        <f>"B"&amp;TEXT(ROW()-1,"0000")</f>
        <v/>
      </c>
      <c r="B38" s="38" t="inlineStr">
        <is>
          <t>Planned</t>
        </is>
      </c>
      <c r="C38" s="36" t="n">
        <v>2</v>
      </c>
      <c r="D38" s="36" t="inlineStr">
        <is>
          <t>Life insurance</t>
        </is>
      </c>
      <c r="E38" s="36" t="inlineStr">
        <is>
          <t>Data &amp; research</t>
        </is>
      </c>
      <c r="F38" s="25" t="inlineStr">
        <is>
          <t>Does Your Province Change Your Life Insurance Price? A Province-by-Province Look</t>
        </is>
      </c>
      <c r="G38" s="36" t="inlineStr">
        <is>
          <t>https://instasure.ca/guides/life-insurance-rates-by-province/</t>
        </is>
      </c>
      <c r="H38" s="36" t="inlineStr">
        <is>
          <t>life insurance rates by province</t>
        </is>
      </c>
      <c r="I38" s="41">
        <f>IFERROR(INDEX('Nationwide KWs'!$D$2:$D$168,MATCH(H38,'Nationwide KWs'!$A$2:$A$168,0)),IFERROR(INDEX('Provincial KWs'!$E$2:$E$137,MATCH(H38,'Provincial KWs'!$A$2:$A$137,0)),IFERROR(INDEX('City KWs'!$F$2:$F$419,MATCH(H38,'City KWs'!$A$2:$A$419,0)),"")))</f>
        <v/>
      </c>
      <c r="J38" s="36" t="inlineStr">
        <is>
          <t>Low</t>
        </is>
      </c>
      <c r="K38" s="25" t="inlineStr">
        <is>
          <t>life insurance cost ontario; life insurance cost alberta; provincial premium tax life insurance; is life insurance cheaper in quebec; life insurance price by postal code</t>
        </is>
      </c>
      <c r="L38" s="36" t="inlineStr">
        <is>
          <t>Nationwide</t>
        </is>
      </c>
      <c r="M38" s="36" t="inlineStr">
        <is>
          <t>informational</t>
        </is>
      </c>
      <c r="N38" s="36" t="inlineStr">
        <is>
          <t>TOFU</t>
        </is>
      </c>
      <c r="O38" s="25" t="inlineStr">
        <is>
          <t>Life Insurance Rates by Province: Does Location Matter?</t>
        </is>
      </c>
      <c r="P38" s="36">
        <f>LEN(O38)</f>
        <v/>
      </c>
      <c r="Q38" s="25" t="inlineStr">
        <is>
          <t>Life insurance rates by province: see how premium taxes, insurer availability and access to advice differ across Canada, in dated tables. Get an estimate.</t>
        </is>
      </c>
      <c r="R38" s="36">
        <f>LEN(Q38)</f>
        <v/>
      </c>
      <c r="S38" s="36">
        <f>IF(H38="","",IF(ISNUMBER(SEARCH(SUBSTITUTE(H38,"-"," "),SUBSTITUTE(O38,"-"," "))),"Yes","Check"))</f>
        <v/>
      </c>
      <c r="T38" s="25" t="inlineStr">
        <is>
          <t>Does where you live affect life insurance rates? | Why life insurance isn't priced by postal code | Provincial premium taxes compared | Insurer and product availability by province | Access to licensed advice outside ON, BC, AB and MB | Example estimates for the same person in each province</t>
        </is>
      </c>
      <c r="U38" s="25" t="inlineStr">
        <is>
          <t>Is life insurance cheaper in some provinces? | Does moving provinces change my existing premium? | Why can't some online brokers sell in my province? | Do the territories have different life insurance options?</t>
        </is>
      </c>
      <c r="V38" s="25" t="inlineStr">
        <is>
          <t>A 13-row province and territory table: premium tax on life insurance (verified per province), regulator, licensing body, whether PolicyAdvisor is licensed there, and the Instasure model estimate for one standard profile, dated.</t>
        </is>
      </c>
      <c r="W38" s="25" t="inlineStr">
        <is>
          <t>/life-insurance/; /insurance/; /insights/rate-index/; /licensing/; /guides/how-much-does-life-insurance-cost-canada/</t>
        </is>
      </c>
      <c r="X38" s="25" t="inlineStr">
        <is>
          <t>Instant life insurance estimate (/quote/)</t>
        </is>
      </c>
      <c r="Y38" s="36" t="inlineStr">
        <is>
          <t>Article; Dataset; FAQPage; BreadcrumbList</t>
        </is>
      </c>
      <c r="Z38" s="37" t="n">
        <v>1800</v>
      </c>
      <c r="AA38" s="25" t="inlineStr">
        <is>
          <t>No competitor coverage seen: Ratehub's 10 life province pages are thin with no rate tables, PolicyAdvisor covers only ON, BC, AB and MB, and carriers publish no geo pages.</t>
        </is>
      </c>
      <c r="AB38" s="25" t="inlineStr">
        <is>
          <t>Put 'life insurance rates by province' in the H1, slug, meta title, first 100 words and first H2, and answer in 40–60 words that price follows the person, not the postal code. Make the 13-row table the centrepiece with a CSV download; link each province row to its /life-insurance/{province}/ page with the anchor 'life insurance in {Province}' and link /insights/rate-index/ with 'Instasure Rate Index'. Alt text: 'Map of Canada with life insurance premium tax by province'. Licensed reviewer, cite provincial finance ministries, refresh annually.</t>
        </is>
      </c>
      <c r="AC38" s="25" t="inlineStr">
        <is>
          <t>Verify each provincial premium tax rate against the provincial finance ministry; state that individual quotes depend on the person, and claim 'licensed in' only for provinces where an advisor is actually licensed.</t>
        </is>
      </c>
      <c r="AD38" s="36" t="inlineStr">
        <is>
          <t>Annual</t>
        </is>
      </c>
      <c r="AE38" s="38" t="n"/>
      <c r="AF38" s="38" t="n"/>
      <c r="AG38" s="38" t="n"/>
    </row>
    <row r="39" ht="57.45" customHeight="1" s="22">
      <c r="A39" s="36">
        <f>"B"&amp;TEXT(ROW()-1,"0000")</f>
        <v/>
      </c>
      <c r="B39" s="38" t="inlineStr">
        <is>
          <t>Planned</t>
        </is>
      </c>
      <c r="C39" s="36" t="n">
        <v>2</v>
      </c>
      <c r="D39" s="36" t="inlineStr">
        <is>
          <t>Life insurance</t>
        </is>
      </c>
      <c r="E39" s="36" t="inlineStr">
        <is>
          <t>Data &amp; research</t>
        </is>
      </c>
      <c r="F39" s="25" t="inlineStr">
        <is>
          <t>How Much Does a Funeral Cost in Canada? Province-by-Province Costs and How to Cover Them</t>
        </is>
      </c>
      <c r="G39" s="36" t="inlineStr">
        <is>
          <t>https://instasure.ca/guides/funeral-costs-canada-by-province/</t>
        </is>
      </c>
      <c r="H39" s="36" t="inlineStr">
        <is>
          <t>funeral costs canada</t>
        </is>
      </c>
      <c r="I39" s="41">
        <f>IFERROR(INDEX('Nationwide KWs'!$D$2:$D$168,MATCH(H39,'Nationwide KWs'!$A$2:$A$168,0)),IFERROR(INDEX('Provincial KWs'!$E$2:$E$137,MATCH(H39,'Provincial KWs'!$A$2:$A$137,0)),IFERROR(INDEX('City KWs'!$F$2:$F$419,MATCH(H39,'City KWs'!$A$2:$A$419,0)),"")))</f>
        <v/>
      </c>
      <c r="J39" s="36" t="inlineStr">
        <is>
          <t>Medium</t>
        </is>
      </c>
      <c r="K39" s="25" t="inlineStr">
        <is>
          <t>cost of a funeral in canada; average funeral cost canada; cremation cost canada; funeral insurance canada; cpp death benefit</t>
        </is>
      </c>
      <c r="L39" s="36" t="inlineStr">
        <is>
          <t>Nationwide</t>
        </is>
      </c>
      <c r="M39" s="36" t="inlineStr">
        <is>
          <t>informational</t>
        </is>
      </c>
      <c r="N39" s="36" t="inlineStr">
        <is>
          <t>TOFU</t>
        </is>
      </c>
      <c r="O39" s="25" t="inlineStr">
        <is>
          <t>Funeral Costs in Canada by Province and How to Pay Them</t>
        </is>
      </c>
      <c r="P39" s="36">
        <f>LEN(O39)</f>
        <v/>
      </c>
      <c r="Q39" s="25" t="inlineStr">
        <is>
          <t>Funeral costs in Canada by province: burial vs cremation, typical line items, the CPP death benefit and final expense insurance options. Plan ahead today.</t>
        </is>
      </c>
      <c r="R39" s="36">
        <f>LEN(Q39)</f>
        <v/>
      </c>
      <c r="S39" s="36">
        <f>IF(H39="","",IF(ISNUMBER(SEARCH(SUBSTITUTE(H39,"-"," "),SUBSTITUTE(O39,"-"," "))),"Yes","Check"))</f>
        <v/>
      </c>
      <c r="T39" s="25" t="inlineStr">
        <is>
          <t>How much does a funeral cost in Canada? | Burial vs cremation costs | Province-by-province cost table | What government benefits cover | Prepaid funeral plans vs final expense insurance | How much final expense coverage to buy</t>
        </is>
      </c>
      <c r="U39" s="25" t="inlineStr">
        <is>
          <t>What is the lowest-cost funeral option in Canada? | Does the CPP death benefit cover a funeral? | Is final expense insurance better than a prepaid funeral plan? | Who pays for a funeral if there is no money in the estate?</t>
        </is>
      </c>
      <c r="V39" s="25" t="inlineStr">
        <is>
          <t>A province-by-province table of typical burial and cremation cost ranges compiled from provincial funeral regulators and published funeral-home price lists (sourced and dated), plus a funding-gap worksheet.</t>
        </is>
      </c>
      <c r="W39" s="25" t="inlineStr">
        <is>
          <t>/life-insurance/funeral-expense/; /life-insurance/final-expense/; /life-insurance/seniors/; /guides/simplified-vs-guaranteed-issue-life-insurance/</t>
        </is>
      </c>
      <c r="X39" s="25" t="inlineStr">
        <is>
          <t>Funeral expense estimate, from about $1 a day for the example profile (/life-insurance/funeral-expense/); Request a specialist call: Funeral expense desk</t>
        </is>
      </c>
      <c r="Y39" s="36" t="inlineStr">
        <is>
          <t>Article; FAQPage; BreadcrumbList</t>
        </is>
      </c>
      <c r="Z39" s="37" t="n">
        <v>2000</v>
      </c>
      <c r="AA39" s="25" t="inlineStr">
        <is>
          <t>PolicyAdvisor has 'Is Final Expenses Insurance Worth It?' and 'Final expense life insurance for Canadian seniors' but no provincial cost data; the research flagged a funeral-cost-by-province tool as a gap no competitor fills.</t>
        </is>
      </c>
      <c r="AB39" s="25" t="inlineStr">
        <is>
          <t>Put 'funeral costs canada' in the H1, meta title, first 100 words and first H2, and answer in 40–60 words with a sourced national range. Make the province table sortable with a source column, then link /life-insurance/final-expense/ with 'final expense insurance' and /life-insurance/seniors/ with 'life insurance for seniors'. Alt text: 'Map of typical funeral costs by Canadian province'. Licensed reviewer, cite provincial funeral regulators and canada.ca for the CPP death benefit, refresh annually.</t>
        </is>
      </c>
      <c r="AC39" s="25" t="inlineStr">
        <is>
          <t>Every cost range needs a cited, dated source (for example the Bereavement Authority of Ontario or published price lists); verify the CPP death benefit amount on canada.ca and label ranges as typical, not quotes.</t>
        </is>
      </c>
      <c r="AD39" s="36" t="inlineStr">
        <is>
          <t>Annual</t>
        </is>
      </c>
      <c r="AE39" s="38" t="n"/>
      <c r="AF39" s="38" t="n"/>
      <c r="AG39" s="38" t="n"/>
    </row>
    <row r="40" ht="35.05" customHeight="1" s="22">
      <c r="A40" s="36">
        <f>"B"&amp;TEXT(ROW()-1,"0000")</f>
        <v/>
      </c>
      <c r="B40" s="38" t="inlineStr">
        <is>
          <t>Planned</t>
        </is>
      </c>
      <c r="C40" s="36" t="n">
        <v>2</v>
      </c>
      <c r="D40" s="36" t="inlineStr">
        <is>
          <t>Life insurance</t>
        </is>
      </c>
      <c r="E40" s="36" t="inlineStr">
        <is>
          <t>Funeral expense</t>
        </is>
      </c>
      <c r="F40" s="25" t="inlineStr">
        <is>
          <t>Funeral Insurance Waiting Periods: How the Two-Year Rule Works</t>
        </is>
      </c>
      <c r="G40" s="36" t="inlineStr">
        <is>
          <t>https://instasure.ca/guides/funeral-insurance-waiting-period/</t>
        </is>
      </c>
      <c r="H40" s="36" t="inlineStr">
        <is>
          <t>funeral insurance waiting period</t>
        </is>
      </c>
      <c r="I40" s="41">
        <f>IFERROR(INDEX('Nationwide KWs'!$D$2:$D$168,MATCH(H40,'Nationwide KWs'!$A$2:$A$168,0)),IFERROR(INDEX('Provincial KWs'!$E$2:$E$137,MATCH(H40,'Provincial KWs'!$A$2:$A$137,0)),IFERROR(INDEX('City KWs'!$F$2:$F$419,MATCH(H40,'City KWs'!$A$2:$A$419,0)),"")))</f>
        <v/>
      </c>
      <c r="J40" s="36" t="inlineStr">
        <is>
          <t>Niche</t>
        </is>
      </c>
      <c r="K40" s="25" t="inlineStr">
        <is>
          <t>guaranteed issue waiting period; graded death benefit; funeral insurance two year rule; accidental death funeral insurance</t>
        </is>
      </c>
      <c r="L40" s="36" t="inlineStr">
        <is>
          <t>Nationwide</t>
        </is>
      </c>
      <c r="M40" s="36" t="inlineStr">
        <is>
          <t>informational</t>
        </is>
      </c>
      <c r="N40" s="36" t="inlineStr">
        <is>
          <t>MOFU</t>
        </is>
      </c>
      <c r="O40" s="25" t="inlineStr">
        <is>
          <t>Funeral Insurance Waiting Periods: The Two-Year Rule</t>
        </is>
      </c>
      <c r="P40" s="36">
        <f>LEN(O40)</f>
        <v/>
      </c>
      <c r="Q40" s="25" t="inlineStr">
        <is>
          <t>How waiting periods work in funeral insurance: graded benefits, premium refunds, accidental death and how to avoid the two-year limit. Read before you buy.</t>
        </is>
      </c>
      <c r="R40" s="36">
        <f>LEN(Q40)</f>
        <v/>
      </c>
      <c r="S40" s="36">
        <f>IF(H40="","",IF(ISNUMBER(SEARCH(SUBSTITUTE(H40,"-"," "),SUBSTITUTE(O40,"-"," "))),"Yes","Check"))</f>
        <v/>
      </c>
      <c r="T40" s="25" t="inlineStr">
        <is>
          <t>What is a funeral insurance waiting period? (direct answer) | How graded and limited benefits work | What is paid if death happens in year one or two | Accidental death during the waiting period | How to avoid a waiting period | Questions to ask the insurer</t>
        </is>
      </c>
      <c r="U40" s="25" t="inlineStr">
        <is>
          <t>Does all funeral insurance have a waiting period? | What happens if I die during the waiting period? | Is accidental death covered from day one? | Can I switch to a policy without a waiting period?</t>
        </is>
      </c>
      <c r="V40" s="25" t="inlineStr">
        <is>
          <t>A year-by-year table showing what a typical graded or limited-benefit policy pays (refund of premiums, with or without interest, or the full benefit) versus a simplified-issue policy, flagged as typical structures to verify.</t>
        </is>
      </c>
      <c r="W40" s="25" t="inlineStr">
        <is>
          <t>/life-insurance/funeral-expense/; /no-medical-life-insurance/; /guides/simplified-vs-guaranteed-issue-life-insurance/; /life-insurance/final-expense/</t>
        </is>
      </c>
      <c r="X40" s="25" t="inlineStr">
        <is>
          <t>Funeral expense estimate, from about $1 a day for the example profile (/life-insurance/funeral-expense/); Request a specialist call: Funeral expense desk</t>
        </is>
      </c>
      <c r="Y40" s="36" t="inlineStr">
        <is>
          <t>Article; FAQPage; BreadcrumbList</t>
        </is>
      </c>
      <c r="Z40" s="37" t="n">
        <v>1300</v>
      </c>
      <c r="AA40" s="25" t="inlineStr">
        <is>
          <t>Insurers bury the graded benefit in policy summaries; comparison sites mention it in one line. No dedicated explainer seen.</t>
        </is>
      </c>
      <c r="AB40" s="25" t="inlineStr">
        <is>
          <t>Focus keyword in H1, slug, meta title, first 100 words and first H2; answer in 40–60 words. Use the year-by-year table as the snippet target. Link the funeral expense page with "funeral expense insurance". Refresh annually.</t>
        </is>
      </c>
      <c r="AC40" s="25" t="inlineStr">
        <is>
          <t>Benefit structures differ by insurer; describe them as typical and verify against current product guides; no promises about claims.</t>
        </is>
      </c>
      <c r="AD40" s="36" t="inlineStr">
        <is>
          <t>Annual</t>
        </is>
      </c>
      <c r="AE40" s="38" t="n"/>
      <c r="AF40" s="38" t="n"/>
      <c r="AG40" s="38" t="n"/>
    </row>
    <row r="41" ht="35.05" customHeight="1" s="22">
      <c r="A41" s="36">
        <f>"B"&amp;TEXT(ROW()-1,"0000")</f>
        <v/>
      </c>
      <c r="B41" s="38" t="inlineStr">
        <is>
          <t>Planned</t>
        </is>
      </c>
      <c r="C41" s="36" t="n">
        <v>2</v>
      </c>
      <c r="D41" s="36" t="inlineStr">
        <is>
          <t>Life insurance</t>
        </is>
      </c>
      <c r="E41" s="36" t="inlineStr">
        <is>
          <t>Funeral expense</t>
        </is>
      </c>
      <c r="F41" s="25" t="inlineStr">
        <is>
          <t>Funeral Insurance With No Medical Exam: How to Qualify and What It Costs</t>
        </is>
      </c>
      <c r="G41" s="36" t="inlineStr">
        <is>
          <t>https://instasure.ca/guides/funeral-insurance-no-medical-exam/</t>
        </is>
      </c>
      <c r="H41" s="36" t="inlineStr">
        <is>
          <t>funeral insurance no medical</t>
        </is>
      </c>
      <c r="I41" s="41">
        <f>IFERROR(INDEX('Nationwide KWs'!$D$2:$D$168,MATCH(H41,'Nationwide KWs'!$A$2:$A$168,0)),IFERROR(INDEX('Provincial KWs'!$E$2:$E$137,MATCH(H41,'Provincial KWs'!$A$2:$A$137,0)),IFERROR(INDEX('City KWs'!$F$2:$F$419,MATCH(H41,'City KWs'!$A$2:$A$419,0)),"")))</f>
        <v/>
      </c>
      <c r="J41" s="36" t="inlineStr">
        <is>
          <t>Low</t>
        </is>
      </c>
      <c r="K41" s="25" t="inlineStr">
        <is>
          <t>no medical funeral insurance; simplified issue funeral insurance; guaranteed acceptance funeral insurance; funeral insurance with health conditions</t>
        </is>
      </c>
      <c r="L41" s="36" t="inlineStr">
        <is>
          <t>Nationwide</t>
        </is>
      </c>
      <c r="M41" s="36" t="inlineStr">
        <is>
          <t>commercial</t>
        </is>
      </c>
      <c r="N41" s="36" t="inlineStr">
        <is>
          <t>BOFU</t>
        </is>
      </c>
      <c r="O41" s="25" t="inlineStr">
        <is>
          <t>Funeral Insurance With No Medical Exam: How to Qualify</t>
        </is>
      </c>
      <c r="P41" s="36">
        <f>LEN(O41)</f>
        <v/>
      </c>
      <c r="Q41" s="25" t="inlineStr">
        <is>
          <t>Funeral insurance with no medical exam: how simplified-issue questions work, when guaranteed acceptance is the fallback and the cost. Check your options.</t>
        </is>
      </c>
      <c r="R41" s="36">
        <f>LEN(Q41)</f>
        <v/>
      </c>
      <c r="S41" s="36">
        <f>IF(H41="","",IF(ISNUMBER(SEARCH(SUBSTITUTE(H41,"-"," "),SUBSTITUTE(O41,"-"," "))),"Yes","Check"))</f>
        <v/>
      </c>
      <c r="T41" s="25" t="inlineStr">
        <is>
          <t>Can you get funeral insurance with no medical exam? (direct answer) | The health questions simplified-issue plans ask | When guaranteed acceptance is the right fallback | Health conditions and funeral insurance | Cost difference (labelled estimates) | How the Funeral expense desk helps</t>
        </is>
      </c>
      <c r="U41" s="25" t="inlineStr">
        <is>
          <t>What health questions do funeral insurance applications ask? | Can I get funeral insurance with diabetes or heart disease? | Is guaranteed acceptance funeral insurance more expensive? | What if I answer a health question wrong?</t>
        </is>
      </c>
      <c r="V41" s="25" t="inlineStr">
        <is>
          <t>A sample of typical simplified-issue question types (described, not copied from an insurer) and a cost comparison of simplified vs guaranteed issue from the quote engine tiers, labelled.</t>
        </is>
      </c>
      <c r="W41" s="25" t="inlineStr">
        <is>
          <t>/life-insurance/funeral-expense/; /no-medical-life-insurance/; /life-insurance/medical-conditions/; /guides/funeral-insurance-waiting-period/</t>
        </is>
      </c>
      <c r="X41" s="25" t="inlineStr">
        <is>
          <t>Funeral expense estimate, from about $1 a day for the example profile (/life-insurance/funeral-expense/); Request a specialist call: Funeral expense desk</t>
        </is>
      </c>
      <c r="Y41" s="36" t="inlineStr">
        <is>
          <t>Article; FAQPage; BreadcrumbList</t>
        </is>
      </c>
      <c r="Z41" s="37" t="n">
        <v>1400</v>
      </c>
      <c r="AA41" s="25" t="inlineStr">
        <is>
          <t>Sun Life and Manulife sell their own no-medical products; comparison sites cover no-medical life generally but not funeral-sized policies with health conditions.</t>
        </is>
      </c>
      <c r="AB41" s="25" t="inlineStr">
        <is>
          <t>Focus keyword in H1, slug, meta title, first 100 words and first H2; answer in 40–60 words. Link the medical conditions desk with "life insurance with medical conditions". Refresh semi-annually.</t>
        </is>
      </c>
      <c r="AC41" s="25" t="inlineStr">
        <is>
          <t>Do not reproduce insurer questionnaires; describe question types. Stress truthful answers (misrepresentation voids claims). Estimates labelled.</t>
        </is>
      </c>
      <c r="AD41" s="36" t="inlineStr">
        <is>
          <t>Semi-annual</t>
        </is>
      </c>
      <c r="AE41" s="38" t="n"/>
      <c r="AF41" s="38" t="n"/>
      <c r="AG41" s="38" t="n"/>
    </row>
    <row r="42" ht="35.05" customHeight="1" s="22">
      <c r="A42" s="36">
        <f>"B"&amp;TEXT(ROW()-1,"0000")</f>
        <v/>
      </c>
      <c r="B42" s="38" t="inlineStr">
        <is>
          <t>Planned</t>
        </is>
      </c>
      <c r="C42" s="36" t="n">
        <v>2</v>
      </c>
      <c r="D42" s="36" t="inlineStr">
        <is>
          <t>Life insurance</t>
        </is>
      </c>
      <c r="E42" s="36" t="inlineStr">
        <is>
          <t>Funeral expense</t>
        </is>
      </c>
      <c r="F42" s="25" t="inlineStr">
        <is>
          <t>Funeral Insurance for Seniors: What You Can Buy at 60, 70 and 80</t>
        </is>
      </c>
      <c r="G42" s="36" t="inlineStr">
        <is>
          <t>https://instasure.ca/guides/funeral-insurance-for-seniors-canada/</t>
        </is>
      </c>
      <c r="H42" s="36" t="inlineStr">
        <is>
          <t>funeral insurance for seniors</t>
        </is>
      </c>
      <c r="I42" s="41">
        <f>IFERROR(INDEX('Nationwide KWs'!$D$2:$D$168,MATCH(H42,'Nationwide KWs'!$A$2:$A$168,0)),IFERROR(INDEX('Provincial KWs'!$E$2:$E$137,MATCH(H42,'Provincial KWs'!$A$2:$A$137,0)),IFERROR(INDEX('City KWs'!$F$2:$F$419,MATCH(H42,'City KWs'!$A$2:$A$419,0)),"")))</f>
        <v/>
      </c>
      <c r="J42" s="36" t="inlineStr">
        <is>
          <t>Low</t>
        </is>
      </c>
      <c r="K42" s="25" t="inlineStr">
        <is>
          <t>funeral insurance over 70; funeral insurance over 80; burial insurance for seniors; life insurance for seniors over 75</t>
        </is>
      </c>
      <c r="L42" s="36" t="inlineStr">
        <is>
          <t>Nationwide</t>
        </is>
      </c>
      <c r="M42" s="36" t="inlineStr">
        <is>
          <t>commercial</t>
        </is>
      </c>
      <c r="N42" s="36" t="inlineStr">
        <is>
          <t>MOFU</t>
        </is>
      </c>
      <c r="O42" s="25" t="inlineStr">
        <is>
          <t>Funeral Insurance for Seniors in Canada: Options by Age</t>
        </is>
      </c>
      <c r="P42" s="36">
        <f>LEN(O42)</f>
        <v/>
      </c>
      <c r="Q42" s="25" t="inlineStr">
        <is>
          <t>Funeral insurance for seniors at 60, 70 and 80: issue ages, simplified vs guaranteed issue, labelled cost estimates and what to check before you buy.</t>
        </is>
      </c>
      <c r="R42" s="36">
        <f>LEN(Q42)</f>
        <v/>
      </c>
      <c r="S42" s="36">
        <f>IF(H42="","",IF(ISNUMBER(SEARCH(SUBSTITUTE(H42,"-"," "),SUBSTITUTE(O42,"-"," "))),"Yes","Check"))</f>
        <v/>
      </c>
      <c r="T42" s="25" t="inlineStr">
        <is>
          <t>Can seniors still buy funeral insurance? (direct answer) | Options at 60, 70 and 80 | Simplified vs guaranteed issue for older buyers | Estimated monthly cost by age (labelled) | Replacing group life that ended at retirement | Questions to ask before you sign</t>
        </is>
      </c>
      <c r="U42" s="25" t="inlineStr">
        <is>
          <t>Can I get funeral insurance at 80? | Is there an age limit for funeral insurance? | Do seniors need a medical exam for funeral insurance? | Should I buy funeral insurance or save the money?</t>
        </is>
      </c>
      <c r="V42" s="25" t="inlineStr">
        <is>
          <t>A dated table of Instasure example estimates for $10,000 and $15,000 at ages 60, 65, 70, 75 and 80 (female and male non-smokers), labelled with profile and month, plus a pre-purchase checklist.</t>
        </is>
      </c>
      <c r="W42" s="25" t="inlineStr">
        <is>
          <t>/life-insurance/funeral-expense/; /life-insurance/seniors/; /life-insurance/final-expense/; /no-medical-life-insurance/</t>
        </is>
      </c>
      <c r="X42" s="25" t="inlineStr">
        <is>
          <t>Funeral expense estimate, from about $1 a day for the example profile (/life-insurance/funeral-expense/); Request a specialist call: Funeral expense desk</t>
        </is>
      </c>
      <c r="Y42" s="36" t="inlineStr">
        <is>
          <t>Article; FAQPage; BreadcrumbList</t>
        </is>
      </c>
      <c r="Z42" s="37" t="n">
        <v>1700</v>
      </c>
      <c r="AA42" s="25" t="inlineStr">
        <is>
          <t>PolicyAdvisor covers final expense for seniors without dated age tables; Sun Life sells its own guaranteed product. Nobody shows options by age band with labelled prices.</t>
        </is>
      </c>
      <c r="AB42" s="25" t="inlineStr">
        <is>
          <t>Focus keyword in H1, slug, meta title, first 100 words and first H2; 40–60 word answer. Pull estimates from the quote engine (plan: funeral) and label them. Link the seniors page with "life insurance for seniors". Alt text: "Funeral insurance estimates for seniors by age". Refresh quarterly with the model review.</t>
        </is>
      </c>
      <c r="AC42" s="25" t="inlineStr">
        <is>
          <t>Issue ages vary by insurer: say "usually" and verify with current product guides; label every price as an Instasure estimate with profile and date.</t>
        </is>
      </c>
      <c r="AD42" s="36" t="inlineStr">
        <is>
          <t>Quarterly</t>
        </is>
      </c>
      <c r="AE42" s="38" t="n"/>
      <c r="AF42" s="38" t="n"/>
      <c r="AG42" s="38" t="n"/>
    </row>
    <row r="43" ht="35.05" customHeight="1" s="22">
      <c r="A43" s="36">
        <f>"B"&amp;TEXT(ROW()-1,"0000")</f>
        <v/>
      </c>
      <c r="B43" s="38" t="inlineStr">
        <is>
          <t>Planned</t>
        </is>
      </c>
      <c r="C43" s="36" t="n">
        <v>2</v>
      </c>
      <c r="D43" s="36" t="inlineStr">
        <is>
          <t>Life insurance</t>
        </is>
      </c>
      <c r="E43" s="36" t="inlineStr">
        <is>
          <t>Funeral expense</t>
        </is>
      </c>
      <c r="F43" s="25" t="inlineStr">
        <is>
          <t>How Much Funeral Insurance Do I Need? A Five-Minute Worksheet</t>
        </is>
      </c>
      <c r="G43" s="36" t="inlineStr">
        <is>
          <t>https://instasure.ca/guides/how-much-funeral-insurance-do-i-need/</t>
        </is>
      </c>
      <c r="H43" s="36" t="inlineStr">
        <is>
          <t>how much funeral insurance do i need</t>
        </is>
      </c>
      <c r="I43" s="41">
        <f>IFERROR(INDEX('Nationwide KWs'!$D$2:$D$168,MATCH(H43,'Nationwide KWs'!$A$2:$A$168,0)),IFERROR(INDEX('Provincial KWs'!$E$2:$E$137,MATCH(H43,'Provincial KWs'!$A$2:$A$137,0)),IFERROR(INDEX('City KWs'!$F$2:$F$419,MATCH(H43,'City KWs'!$A$2:$A$419,0)),"")))</f>
        <v/>
      </c>
      <c r="J43" s="36" t="inlineStr">
        <is>
          <t>Low</t>
        </is>
      </c>
      <c r="K43" s="25" t="inlineStr">
        <is>
          <t>how much life insurance for funeral; funeral expense coverage amount; funeral costs canada; cpp death benefit</t>
        </is>
      </c>
      <c r="L43" s="36" t="inlineStr">
        <is>
          <t>Nationwide</t>
        </is>
      </c>
      <c r="M43" s="36" t="inlineStr">
        <is>
          <t>informational</t>
        </is>
      </c>
      <c r="N43" s="36" t="inlineStr">
        <is>
          <t>MOFU</t>
        </is>
      </c>
      <c r="O43" s="25" t="inlineStr">
        <is>
          <t>How Much Funeral Insurance Do I Need? Simple Worksheet</t>
        </is>
      </c>
      <c r="P43" s="36">
        <f>LEN(O43)</f>
        <v/>
      </c>
      <c r="Q43" s="25" t="inlineStr">
        <is>
          <t>Work out how much funeral insurance you need: funeral choices, final bills, the CPP death benefit and savings, in a five-minute worksheet. Size it right.</t>
        </is>
      </c>
      <c r="R43" s="36">
        <f>LEN(Q43)</f>
        <v/>
      </c>
      <c r="S43" s="36">
        <f>IF(H43="","",IF(ISNUMBER(SEARCH(SUBSTITUTE(H43,"-"," "),SUBSTITUTE(O43,"-"," "))),"Yes","Check"))</f>
        <v/>
      </c>
      <c r="T43" s="25" t="inlineStr">
        <is>
          <t>How much funeral insurance do you need? (direct answer) | Step 1: price the funeral you want | Step 2: add final bills and estate costs | Step 3: subtract the CPP death benefit and savings | Step 4: allow for inflation | Worked examples for a burial and a cremation</t>
        </is>
      </c>
      <c r="U43" s="25" t="inlineStr">
        <is>
          <t>Is $10,000 enough funeral insurance? | Should funeral insurance include estate fees? | Does inflation matter for funeral insurance? | Can I increase my funeral coverage later?</t>
        </is>
      </c>
      <c r="V43" s="25" t="inlineStr">
        <is>
          <t>A printable worksheet with labelled lines and two worked examples (burial and cremation) using cited provincial price-list ranges.</t>
        </is>
      </c>
      <c r="W43" s="25" t="inlineStr">
        <is>
          <t>/life-insurance/funeral-expense/; /calculators/life-insurance-needs/; /guides/funeral-costs-canada-by-province/; /guides/cpp-death-benefit-and-funeral-costs/</t>
        </is>
      </c>
      <c r="X43" s="25" t="inlineStr">
        <is>
          <t>Funeral expense estimate, from about $1 a day for the example profile (/life-insurance/funeral-expense/); Request a specialist call: Funeral expense desk</t>
        </is>
      </c>
      <c r="Y43" s="36" t="inlineStr">
        <is>
          <t>Article; FAQPage; BreadcrumbList</t>
        </is>
      </c>
      <c r="Z43" s="37" t="n">
        <v>1400</v>
      </c>
      <c r="AA43" s="25" t="inlineStr">
        <is>
          <t>Competitors give a generic "$10,000 to $25,000" range; none offers a worksheet that subtracts the CPP death benefit.</t>
        </is>
      </c>
      <c r="AB43" s="25" t="inlineStr">
        <is>
          <t>Focus keyword in H1, slug, meta title, first 100 words and first H2; answer in 40–60 words. Make the worksheet the centrepiece (HTML table plus a printable version). Link the needs calculator with "life insurance needs calculator". Refresh annually.</t>
        </is>
      </c>
      <c r="AC43" s="25" t="inlineStr">
        <is>
          <t>Every cost figure needs a dated primary source (provincial regulator or published price list); worked examples are illustrations, not quotes.</t>
        </is>
      </c>
      <c r="AD43" s="36" t="inlineStr">
        <is>
          <t>Annual</t>
        </is>
      </c>
      <c r="AE43" s="38" t="n"/>
      <c r="AF43" s="38" t="n"/>
      <c r="AG43" s="38" t="n"/>
    </row>
    <row r="44" ht="35.05" customHeight="1" s="22">
      <c r="A44" s="36">
        <f>"B"&amp;TEXT(ROW()-1,"0000")</f>
        <v/>
      </c>
      <c r="B44" s="38" t="inlineStr">
        <is>
          <t>Planned</t>
        </is>
      </c>
      <c r="C44" s="36" t="n">
        <v>2</v>
      </c>
      <c r="D44" s="36" t="inlineStr">
        <is>
          <t>Life insurance</t>
        </is>
      </c>
      <c r="E44" s="36" t="inlineStr">
        <is>
          <t>Funeral expense</t>
        </is>
      </c>
      <c r="F44" s="25" t="inlineStr">
        <is>
          <t>Is Funeral Insurance Worth It? Premiums Paid vs the Payout, With Worked Examples</t>
        </is>
      </c>
      <c r="G44" s="36" t="inlineStr">
        <is>
          <t>https://instasure.ca/guides/is-funeral-insurance-worth-it/</t>
        </is>
      </c>
      <c r="H44" s="36" t="inlineStr">
        <is>
          <t>is funeral insurance worth it</t>
        </is>
      </c>
      <c r="I44" s="41">
        <f>IFERROR(INDEX('Nationwide KWs'!$D$2:$D$168,MATCH(H44,'Nationwide KWs'!$A$2:$A$168,0)),IFERROR(INDEX('Provincial KWs'!$E$2:$E$137,MATCH(H44,'Provincial KWs'!$A$2:$A$137,0)),IFERROR(INDEX('City KWs'!$F$2:$F$419,MATCH(H44,'City KWs'!$A$2:$A$419,0)),"")))</f>
        <v/>
      </c>
      <c r="J44" s="36" t="inlineStr">
        <is>
          <t>Low</t>
        </is>
      </c>
      <c r="K44" s="25" t="inlineStr">
        <is>
          <t>funeral insurance pros and cons; funeral insurance vs savings; funeral insurance break even; is final expense insurance worth it</t>
        </is>
      </c>
      <c r="L44" s="36" t="inlineStr">
        <is>
          <t>Nationwide</t>
        </is>
      </c>
      <c r="M44" s="36" t="inlineStr">
        <is>
          <t>commercial</t>
        </is>
      </c>
      <c r="N44" s="36" t="inlineStr">
        <is>
          <t>MOFU</t>
        </is>
      </c>
      <c r="O44" s="25" t="inlineStr">
        <is>
          <t>Is Funeral Insurance Worth It? Costs vs Payout Explained</t>
        </is>
      </c>
      <c r="P44" s="36">
        <f>LEN(O44)</f>
        <v/>
      </c>
      <c r="Q44" s="25" t="inlineStr">
        <is>
          <t>Is funeral insurance worth it? Compare total premiums with the payout at different ages, when it makes sense, when saving is better, and what to ask first.</t>
        </is>
      </c>
      <c r="R44" s="36">
        <f>LEN(Q44)</f>
        <v/>
      </c>
      <c r="S44" s="36">
        <f>IF(H44="","",IF(ISNUMBER(SEARCH(SUBSTITUTE(H44,"-"," "),SUBSTITUTE(O44,"-"," "))),"Yes","Check"))</f>
        <v/>
      </c>
      <c r="T44" s="25" t="inlineStr">
        <is>
          <t>Is funeral insurance worth it? (direct answer) | When funeral insurance makes sense | When saving or a TFSA may be better | Break-even examples by age (labelled estimates) | Alternatives: term life, existing policies, pre-arranged plans | A checklist before you buy</t>
        </is>
      </c>
      <c r="U44" s="25" t="inlineStr">
        <is>
          <t>At what age is funeral insurance not worth it? | Is it better to save for a funeral? | Can I use an existing life policy for funeral costs? | What happens if I stop paying?</t>
        </is>
      </c>
      <c r="V44" s="25" t="inlineStr">
        <is>
          <t>A break-even table: years of premiums until total paid equals the benefit, for Instasure example estimates at ages 50, 60, 70 and 80, labelled with profile and month.</t>
        </is>
      </c>
      <c r="W44" s="25" t="inlineStr">
        <is>
          <t>/life-insurance/funeral-expense/; /life-insurance/final-expense/; /whole-life-insurance/; /guides/how-much-does-life-insurance-cost-canada/</t>
        </is>
      </c>
      <c r="X44" s="25" t="inlineStr">
        <is>
          <t>Funeral expense estimate, from about $1 a day for the example profile (/life-insurance/funeral-expense/); Request a specialist call: Funeral expense desk</t>
        </is>
      </c>
      <c r="Y44" s="36" t="inlineStr">
        <is>
          <t>Article; FAQPage; BreadcrumbList</t>
        </is>
      </c>
      <c r="Z44" s="37" t="n">
        <v>1600</v>
      </c>
      <c r="AA44" s="25" t="inlineStr">
        <is>
          <t>PolicyAdvisor asks "Is Final Expenses Insurance Worth It?" without break-even numbers; nobody shows the premium-versus-payout math by age.</t>
        </is>
      </c>
      <c r="AB44" s="25" t="inlineStr">
        <is>
          <t>Focus keyword in H1, slug, meta title, first 100 words and first H2; answer in 40–60 words with a balanced view. Michael's take should cover planning trade-offs (TFSA, estate liquidity) without endorsing a product. Refresh quarterly with the model review.</t>
        </is>
      </c>
      <c r="AC44" s="25" t="inlineStr">
        <is>
          <t>Break-even math uses labelled Instasure estimates, not quotes; no tax advice beyond general statements; keep the conclusion situational.</t>
        </is>
      </c>
      <c r="AD44" s="36" t="inlineStr">
        <is>
          <t>Quarterly</t>
        </is>
      </c>
      <c r="AE44" s="38" t="n"/>
      <c r="AF44" s="38" t="n"/>
      <c r="AG44" s="38" t="n"/>
    </row>
    <row r="45" ht="35.05" customHeight="1" s="22">
      <c r="A45" s="36">
        <f>"B"&amp;TEXT(ROW()-1,"0000")</f>
        <v/>
      </c>
      <c r="B45" s="38" t="inlineStr">
        <is>
          <t>Planned</t>
        </is>
      </c>
      <c r="C45" s="36" t="n">
        <v>2</v>
      </c>
      <c r="D45" s="36" t="inlineStr">
        <is>
          <t>Life insurance</t>
        </is>
      </c>
      <c r="E45" s="36" t="inlineStr">
        <is>
          <t>Funeral expense</t>
        </is>
      </c>
      <c r="F45" s="25" t="inlineStr">
        <is>
          <t>Pre-Arranged Funeral Plan vs Funeral Insurance: Which Is Better for Your Family?</t>
        </is>
      </c>
      <c r="G45" s="36" t="inlineStr">
        <is>
          <t>https://instasure.ca/guides/pre-arranged-funeral-vs-funeral-insurance/</t>
        </is>
      </c>
      <c r="H45" s="36" t="inlineStr">
        <is>
          <t>prepaid funeral vs funeral insurance</t>
        </is>
      </c>
      <c r="I45" s="41">
        <f>IFERROR(INDEX('Nationwide KWs'!$D$2:$D$168,MATCH(H45,'Nationwide KWs'!$A$2:$A$168,0)),IFERROR(INDEX('Provincial KWs'!$E$2:$E$137,MATCH(H45,'Provincial KWs'!$A$2:$A$137,0)),IFERROR(INDEX('City KWs'!$F$2:$F$419,MATCH(H45,'City KWs'!$A$2:$A$419,0)),"")))</f>
        <v/>
      </c>
      <c r="J45" s="36" t="inlineStr">
        <is>
          <t>Low</t>
        </is>
      </c>
      <c r="K45" s="25" t="inlineStr">
        <is>
          <t>pre-arranged funeral plan; prepaid funeral canada; funeral insurance vs prepaid funeral; are prepaid funerals worth it</t>
        </is>
      </c>
      <c r="L45" s="36" t="inlineStr">
        <is>
          <t>Nationwide</t>
        </is>
      </c>
      <c r="M45" s="36" t="inlineStr">
        <is>
          <t>commercial</t>
        </is>
      </c>
      <c r="N45" s="36" t="inlineStr">
        <is>
          <t>MOFU</t>
        </is>
      </c>
      <c r="O45" s="25" t="inlineStr">
        <is>
          <t>Pre-Arranged Funeral vs Funeral Insurance: Key Differences</t>
        </is>
      </c>
      <c r="P45" s="36">
        <f>LEN(O45)</f>
        <v/>
      </c>
      <c r="Q45" s="25" t="inlineStr">
        <is>
          <t>Pre-arranged funeral plans and funeral insurance compared: what each pays, price locks, refunds, portability and provincial rules. Choose with confidence.</t>
        </is>
      </c>
      <c r="R45" s="36">
        <f>LEN(Q45)</f>
        <v/>
      </c>
      <c r="S45" s="36">
        <f>IF(H45="","",IF(ISNUMBER(SEARCH(SUBSTITUTE(H45,"-"," "),SUBSTITUTE(O45,"-"," "))),"Yes","Check"))</f>
        <v/>
      </c>
      <c r="T45" s="25" t="inlineStr">
        <is>
          <t>Pre-arranged funeral or funeral insurance: the short answer | How a pre-arranged funeral contract works | How funeral insurance works | Side-by-side comparison: price, portability, refunds, what happens if you move | Provincial rules for pre-arranged contracts | Combining both</t>
        </is>
      </c>
      <c r="U45" s="25" t="inlineStr">
        <is>
          <t>Can I cancel a pre-arranged funeral contract? | What happens to a prepaid funeral if I move provinces? | Is funeral insurance cheaper than a prepaid funeral? | Who regulates prepaid funerals in Ontario?</t>
        </is>
      </c>
      <c r="V45" s="25" t="inlineStr">
        <is>
          <t>A comparison table with eight labelled rows (who you pay, what is locked, refunds, moving, inflation, use of money, regulator, taxes) and a decision tree.</t>
        </is>
      </c>
      <c r="W45" s="25" t="inlineStr">
        <is>
          <t>/life-insurance/funeral-expense/; /life-insurance/final-expense/; /guides/funeral-costs-canada-by-province/; /guides/cpp-death-benefit-and-funeral-costs/</t>
        </is>
      </c>
      <c r="X45" s="25" t="inlineStr">
        <is>
          <t>Funeral expense estimate, from about $1 a day for the example profile (/life-insurance/funeral-expense/); Request a specialist call: Funeral expense desk</t>
        </is>
      </c>
      <c r="Y45" s="36" t="inlineStr">
        <is>
          <t>Article; FAQPage; BreadcrumbList</t>
        </is>
      </c>
      <c r="Z45" s="37" t="n">
        <v>1700</v>
      </c>
      <c r="AA45" s="25" t="inlineStr">
        <is>
          <t>Funeral homes promote pre-arranged plans and insurers promote policies; no comparison site sets the two side by side with provincial rules.</t>
        </is>
      </c>
      <c r="AB45" s="25" t="inlineStr">
        <is>
          <t>Put the focus keyword in the H1, meta title, first 100 words and first H2; answer in 40–60 words. Name the provincial regulator for pre-arranged contracts where verified (Bereavement Authority of Ontario in Ontario). Alt text: "Pre-arranged funeral plan compared with funeral insurance". Refresh annually.</t>
        </is>
      </c>
      <c r="AC45" s="25" t="inlineStr">
        <is>
          <t>Verify cancellation, refund and trust rules per province with the regulator before stating them; keep the comparison neutral and avoid "better" claims in copy beyond situational guidance.</t>
        </is>
      </c>
      <c r="AD45" s="36" t="inlineStr">
        <is>
          <t>Annual</t>
        </is>
      </c>
      <c r="AE45" s="38" t="n"/>
      <c r="AF45" s="38" t="n"/>
      <c r="AG45" s="38" t="n"/>
    </row>
    <row r="46" ht="57.45" customHeight="1" s="22">
      <c r="A46" s="36">
        <f>"B"&amp;TEXT(ROW()-1,"0000")</f>
        <v/>
      </c>
      <c r="B46" s="38" t="inlineStr">
        <is>
          <t>Planned</t>
        </is>
      </c>
      <c r="C46" s="36" t="n">
        <v>2</v>
      </c>
      <c r="D46" s="36" t="inlineStr">
        <is>
          <t>Life insurance</t>
        </is>
      </c>
      <c r="E46" s="36" t="inlineStr">
        <is>
          <t>Local (city/province)</t>
        </is>
      </c>
      <c r="F46" s="25" t="inlineStr">
        <is>
          <t>How Much Life Insurance Do Toronto Families Need? Sizing Coverage for GTA Costs</t>
        </is>
      </c>
      <c r="G46" s="36" t="inlineStr">
        <is>
          <t>https://instasure.ca/guides/how-much-life-insurance-toronto-families/</t>
        </is>
      </c>
      <c r="H46" s="36" t="inlineStr">
        <is>
          <t>how much life insurance do i need toronto</t>
        </is>
      </c>
      <c r="I46" s="41">
        <f>IFERROR(INDEX('Nationwide KWs'!$D$2:$D$168,MATCH(H46,'Nationwide KWs'!$A$2:$A$168,0)),IFERROR(INDEX('Provincial KWs'!$E$2:$E$137,MATCH(H46,'Provincial KWs'!$A$2:$A$137,0)),IFERROR(INDEX('City KWs'!$F$2:$F$419,MATCH(H46,'City KWs'!$A$2:$A$419,0)),"")))</f>
        <v/>
      </c>
      <c r="J46" s="36" t="inlineStr">
        <is>
          <t>Niche</t>
        </is>
      </c>
      <c r="K46" s="25" t="inlineStr">
        <is>
          <t>life insurance toronto; life insurance cost toronto; term life insurance toronto; life insurance for toronto homeowners; childcare costs toronto life insurance</t>
        </is>
      </c>
      <c r="L46" s="36" t="inlineStr">
        <is>
          <t>City: Toronto, ON</t>
        </is>
      </c>
      <c r="M46" s="36" t="inlineStr">
        <is>
          <t>local</t>
        </is>
      </c>
      <c r="N46" s="36" t="inlineStr">
        <is>
          <t>MOFU</t>
        </is>
      </c>
      <c r="O46" s="25" t="inlineStr">
        <is>
          <t>How Much Life Insurance Do I Need in Toronto? GTA Guide</t>
        </is>
      </c>
      <c r="P46" s="36">
        <f>LEN(O46)</f>
        <v/>
      </c>
      <c r="Q46" s="25" t="inlineStr">
        <is>
          <t>How much life insurance do I need in Toronto? A GTA worked example using local home prices, childcare and living costs. Run the needs calculator.</t>
        </is>
      </c>
      <c r="R46" s="36">
        <f>LEN(Q46)</f>
        <v/>
      </c>
      <c r="S46" s="36">
        <f>IF(H46="","",IF(ISNUMBER(SEARCH(SUBSTITUTE(H46,"-"," "),SUBSTITUTE(O46,"-"," "))),"Yes","Check"))</f>
        <v/>
      </c>
      <c r="T46" s="25" t="inlineStr">
        <is>
          <t>How much life insurance do Toronto families need? | Why GTA costs push coverage higher | Worked example: a Toronto family with a condo or semi | Mortgage, childcare and income replacement in the GTA | Group benefits at Toronto employers | Local cost examples by age | Talking to an Ontario-licensed advisor</t>
        </is>
      </c>
      <c r="U46" s="25" t="inlineStr">
        <is>
          <t>How much life insurance does the average Toronto family need? | Does living in Toronto make life insurance more expensive? | Is my employer's group life enough in Toronto? | Can I meet a life insurance advisor in person in Toronto?</t>
        </is>
      </c>
      <c r="V46" s="25" t="inlineStr">
        <is>
          <t>A Toronto-specific DIME worked example using cited TRREB benchmark prices and City of Toronto child-care fees (dated), with the coverage total compared against a national-average household.</t>
        </is>
      </c>
      <c r="W46" s="25" t="inlineStr">
        <is>
          <t>/life-insurance/ontario/toronto/; /calculators/life-insurance-needs/; /guides/how-much-life-insurance-do-i-need-canada/; /insurance/ontario/toronto/; /mortgage-life-insurance/ontario/</t>
        </is>
      </c>
      <c r="X46" s="25" t="inlineStr">
        <is>
          <t>Instant life insurance estimate for Toronto (/quote/)</t>
        </is>
      </c>
      <c r="Y46" s="36" t="inlineStr">
        <is>
          <t>Article; FAQPage; BreadcrumbList</t>
        </is>
      </c>
      <c r="Z46" s="37" t="n">
        <v>1600</v>
      </c>
      <c r="AA46" s="25" t="inlineStr">
        <is>
          <t>PolicyAdvisor's 'Best Life Insurance in Toronto (2025)' carries a stale year and Ratehub's Toronto life page is thin; neither sizes coverage with local housing and childcare costs.</t>
        </is>
      </c>
      <c r="AB46" s="25" t="inlineStr">
        <is>
          <t>Use the focus keyword in the H1 (as 'Toronto families'), meta title, first 100 words and first H2, and answer in 40–60 words with the worked-example total. Do not target 'life insurance toronto' (the money page owns it); link /life-insurance/ontario/toronto/ with that anchor and the needs calculator with 'run your own numbers'. Alt text: 'Worked example of life insurance needs for a Toronto family'. Licensed Ontario reviewer, cite TRREB and the City of Toronto, refresh semi-annually.</t>
        </is>
      </c>
      <c r="AC46" s="25" t="inlineStr">
        <is>
          <t>Cite TRREB and City of Toronto child-care figures with dates; say that premiums are priced on the person, not the postal code, and keep 'licensed in Ontario' claims true.</t>
        </is>
      </c>
      <c r="AD46" s="36" t="inlineStr">
        <is>
          <t>Semi-annual</t>
        </is>
      </c>
      <c r="AE46" s="38" t="n"/>
      <c r="AF46" s="38" t="n"/>
      <c r="AG46" s="38" t="n"/>
    </row>
    <row r="47" ht="68.65000000000001" customHeight="1" s="22">
      <c r="A47" s="36">
        <f>"B"&amp;TEXT(ROW()-1,"0000")</f>
        <v/>
      </c>
      <c r="B47" s="38" t="inlineStr">
        <is>
          <t>Planned</t>
        </is>
      </c>
      <c r="C47" s="36" t="n">
        <v>2</v>
      </c>
      <c r="D47" s="36" t="inlineStr">
        <is>
          <t>Life insurance</t>
        </is>
      </c>
      <c r="E47" s="36" t="inlineStr">
        <is>
          <t>Local (city/province)</t>
        </is>
      </c>
      <c r="F47" s="25" t="inlineStr">
        <is>
          <t>Life Insurance for Chinese-Canadian Families in Vancouver, Richmond and Burnaby</t>
        </is>
      </c>
      <c r="G47" s="36" t="inlineStr">
        <is>
          <t>https://instasure.ca/guides/vancouver-chinese-canadian-life-insurance/</t>
        </is>
      </c>
      <c r="H47" s="36" t="inlineStr">
        <is>
          <t>chinese speaking life insurance advisor vancouver</t>
        </is>
      </c>
      <c r="I47" s="41">
        <f>IFERROR(INDEX('Nationwide KWs'!$D$2:$D$168,MATCH(H47,'Nationwide KWs'!$A$2:$A$168,0)),IFERROR(INDEX('Provincial KWs'!$E$2:$E$137,MATCH(H47,'Provincial KWs'!$A$2:$A$137,0)),IFERROR(INDEX('City KWs'!$F$2:$F$419,MATCH(H47,'City KWs'!$A$2:$A$419,0)),"")))</f>
        <v/>
      </c>
      <c r="J47" s="36" t="inlineStr">
        <is>
          <t>Niche</t>
        </is>
      </c>
      <c r="K47" s="25" t="inlineStr">
        <is>
          <t>life insurance vancouver; mandarin life insurance advisor; cantonese insurance advisor richmond bc; life insurance for new immigrants bc; hong kong life insurance policy canada</t>
        </is>
      </c>
      <c r="L47" s="36" t="inlineStr">
        <is>
          <t>City: Vancouver, BC</t>
        </is>
      </c>
      <c r="M47" s="36" t="inlineStr">
        <is>
          <t>local</t>
        </is>
      </c>
      <c r="N47" s="36" t="inlineStr">
        <is>
          <t>MOFU</t>
        </is>
      </c>
      <c r="O47" s="25" t="inlineStr">
        <is>
          <t>Chinese-Speaking Life Insurance Advisor in Vancouver</t>
        </is>
      </c>
      <c r="P47" s="36">
        <f>LEN(O47)</f>
        <v/>
      </c>
      <c r="Q47" s="25" t="inlineStr">
        <is>
          <t>Looking for a Chinese-speaking life insurance advisor in Vancouver? Keeping Hong Kong policies, estate goals and high home values. Ask our newcomer desk.</t>
        </is>
      </c>
      <c r="R47" s="36">
        <f>LEN(Q47)</f>
        <v/>
      </c>
      <c r="S47" s="36">
        <f>IF(H47="","",IF(ISNUMBER(SEARCH(SUBSTITUTE(H47,"-"," "),SUBSTITUTE(O47,"-"," "))),"Yes","Check"))</f>
        <v/>
      </c>
      <c r="T47" s="25" t="inlineStr">
        <is>
          <t>Life insurance for Chinese-Canadian families in Metro Vancouver | Keeping a policy from Hong Kong, Taiwan or mainland China | Coverage for high home values and family loans | Estate and inheritance goals in BC | Insuring parents and split-household families | Getting advice in Mandarin or Cantonese | Example costs for BC households</t>
        </is>
      </c>
      <c r="U47" s="25" t="inlineStr">
        <is>
          <t>Should I keep my Hong Kong life insurance after moving to Vancouver? | Can I get life insurance advice in Mandarin or Cantonese in BC? | Does BC charge probate fees on life insurance? | Can a family member overseas be my beneficiary?</t>
        </is>
      </c>
      <c r="V47" s="25" t="inlineStr">
        <is>
          <t>A keep-or-replace checklist for an overseas policy (currency, claims process, tax, insurer licensing in Canada) and a BC probate fee example tied to beneficiary choice.</t>
        </is>
      </c>
      <c r="W47" s="25" t="inlineStr">
        <is>
          <t>/life-insurance/british-columbia/vancouver/; /life-insurance/newcomers/; /guides/life-insurance-for-newcomers-to-canada/; /guides/does-life-insurance-go-through-probate/; /insurance/british-columbia/vancouver/</t>
        </is>
      </c>
      <c r="X47" s="25" t="inlineStr">
        <is>
          <t>Request a specialist call: Newcomer life desk (/life-insurance/newcomers/)</t>
        </is>
      </c>
      <c r="Y47" s="36" t="inlineStr">
        <is>
          <t>Article; FAQPage; BreadcrumbList</t>
        </is>
      </c>
      <c r="Z47" s="37" t="n">
        <v>1700</v>
      </c>
      <c r="AA47" s="25" t="inlineStr">
        <is>
          <t>PolicyAdvisor's 'Best Life Insurance in Vancouver (2024)' carries a stale year and Sun Life has one Chinese-language life page but no local advice; no competitor seen covers overseas policies for Vancouver families.</t>
        </is>
      </c>
      <c r="AB47" s="25" t="inlineStr">
        <is>
          <t>Use the focus keyword in the meta title and first H2 (as 'Chinese-speaking advice'), with Vancouver in the H1 and first 100 words, and answer in 40–60 words. Put the keep-or-replace checklist first and the probate example second; link /life-insurance/british-columbia/vancouver/ with 'life insurance in Vancouver' and the probate guide with 'BC probate fees'. Alt text: 'Checklist for keeping or replacing a Hong Kong life insurance policy in Canada'. Licensed BC reviewer, plan Simplified and Traditional Chinese versions, refresh semi-annually.</t>
        </is>
      </c>
      <c r="AC47" s="25" t="inlineStr">
        <is>
          <t>Language claims must match the advisor roster; verify BC probate fee rules on the BC government site, avoid stereotypes, and leave advice on foreign policies to a licensed advisor.</t>
        </is>
      </c>
      <c r="AD47" s="36" t="inlineStr">
        <is>
          <t>Semi-annual</t>
        </is>
      </c>
      <c r="AE47" s="38" t="n"/>
      <c r="AF47" s="38" t="n"/>
      <c r="AG47" s="38" t="n"/>
    </row>
    <row r="48" ht="57.45" customHeight="1" s="22">
      <c r="A48" s="36">
        <f>"B"&amp;TEXT(ROW()-1,"0000")</f>
        <v/>
      </c>
      <c r="B48" s="38" t="inlineStr">
        <is>
          <t>Planned</t>
        </is>
      </c>
      <c r="C48" s="36" t="n">
        <v>2</v>
      </c>
      <c r="D48" s="36" t="inlineStr">
        <is>
          <t>Life insurance</t>
        </is>
      </c>
      <c r="E48" s="36" t="inlineStr">
        <is>
          <t>Local (city/province)</t>
        </is>
      </c>
      <c r="F48" s="25" t="inlineStr">
        <is>
          <t>Life Insurance for Filipino-Canadian Families in Winnipeg</t>
        </is>
      </c>
      <c r="G48" s="36" t="inlineStr">
        <is>
          <t>https://instasure.ca/guides/winnipeg-filipino-canadian-life-insurance/</t>
        </is>
      </c>
      <c r="H48" s="36" t="inlineStr">
        <is>
          <t>life insurance winnipeg filipino</t>
        </is>
      </c>
      <c r="I48" s="41">
        <f>IFERROR(INDEX('Nationwide KWs'!$D$2:$D$168,MATCH(H48,'Nationwide KWs'!$A$2:$A$168,0)),IFERROR(INDEX('Provincial KWs'!$E$2:$E$137,MATCH(H48,'Provincial KWs'!$A$2:$A$137,0)),IFERROR(INDEX('City KWs'!$F$2:$F$419,MATCH(H48,'City KWs'!$A$2:$A$419,0)),"")))</f>
        <v/>
      </c>
      <c r="J48" s="36" t="inlineStr">
        <is>
          <t>Niche</t>
        </is>
      </c>
      <c r="K48" s="25" t="inlineStr">
        <is>
          <t>life insurance winnipeg; tagalog insurance advisor winnipeg; life insurance for caregivers canada; life insurance supporting family in philippines; manitoba life insurance advisor</t>
        </is>
      </c>
      <c r="L48" s="36" t="inlineStr">
        <is>
          <t>City: Winnipeg, MB</t>
        </is>
      </c>
      <c r="M48" s="36" t="inlineStr">
        <is>
          <t>local</t>
        </is>
      </c>
      <c r="N48" s="36" t="inlineStr">
        <is>
          <t>MOFU</t>
        </is>
      </c>
      <c r="O48" s="25" t="inlineStr">
        <is>
          <t>Life Insurance for Filipino Families in Winnipeg</t>
        </is>
      </c>
      <c r="P48" s="36">
        <f>LEN(O48)</f>
        <v/>
      </c>
      <c r="Q48" s="25" t="inlineStr">
        <is>
          <t>Life insurance for Filipino families in Winnipeg: supporting family in the Philippines, caregivers, new PRs and overseas beneficiaries. Get Tagalog help.</t>
        </is>
      </c>
      <c r="R48" s="36">
        <f>LEN(Q48)</f>
        <v/>
      </c>
      <c r="S48" s="36">
        <f>IF(H48="","",IF(ISNUMBER(SEARCH(SUBSTITUTE(H48,"-"," "),SUBSTITUTE(O48,"-"," "))),"Yes","Check"))</f>
        <v/>
      </c>
      <c r="T48" s="25" t="inlineStr">
        <is>
          <t>Life insurance for Filipino-Canadian families in Winnipeg | Coverage for new PRs, caregivers and work permits | Supporting family in the Philippines | Naming a beneficiary abroad | Keeping or replacing a Philippine policy | Getting advice in Tagalog | Example costs for Manitoba households</t>
        </is>
      </c>
      <c r="U48" s="25" t="inlineStr">
        <is>
          <t>Can I name my parents in the Philippines as beneficiaries? | Can caregivers on a work permit get life insurance in Manitoba? | How much life insurance do I need if I send money home? | Can I get life insurance advice in Tagalog in Winnipeg?</t>
        </is>
      </c>
      <c r="V48" s="25" t="inlineStr">
        <is>
          <t>A remittance-aware needs worksheet (money sent home counted as a dependant need) and a beneficiary-abroad claim checklist.</t>
        </is>
      </c>
      <c r="W48" s="25" t="inlineStr">
        <is>
          <t>/life-insurance/manitoba/winnipeg/; /life-insurance/newcomers/; /guides/life-insurance-for-newcomers-to-canada/; /guides/does-life-insurance-cover-you-abroad/; /insurance/manitoba/winnipeg/</t>
        </is>
      </c>
      <c r="X48" s="25" t="inlineStr">
        <is>
          <t>Request a specialist call: Newcomer life desk (/life-insurance/newcomers/)</t>
        </is>
      </c>
      <c r="Y48" s="36" t="inlineStr">
        <is>
          <t>Article; FAQPage; BreadcrumbList</t>
        </is>
      </c>
      <c r="Z48" s="37" t="n">
        <v>1500</v>
      </c>
      <c r="AA48" s="25" t="inlineStr">
        <is>
          <t>Ratehub's Winnipeg life page is thin and PolicyAdvisor mentions Winnipeg only in its Manitoba advisor-page copy; no competitor seen serves Filipino-Canadian families or Tagalog speakers.</t>
        </is>
      </c>
      <c r="AB48" s="25" t="inlineStr">
        <is>
          <t>Use the focus keyword in the H1 (as 'Filipino-Canadian families in Winnipeg'), meta title, first 100 words and first H2, with a 40–60 word answer on eligibility and overseas beneficiaries. Make the remittance worksheet the core asset; link /life-insurance/manitoba/winnipeg/ with 'life insurance in Winnipeg' and the abroad guide with 'claims from overseas'. Alt text: 'Needs worksheet including money sent to family in the Philippines'. Licensed Manitoba reviewer, plan a Tagalog version, refresh semi-annually.</t>
        </is>
      </c>
      <c r="AC48" s="25" t="inlineStr">
        <is>
          <t>Cite StatCan census figures for Winnipeg's Filipino community if used; language claims must match the advisor roster, and avoid generalisations.</t>
        </is>
      </c>
      <c r="AD48" s="36" t="inlineStr">
        <is>
          <t>Semi-annual</t>
        </is>
      </c>
      <c r="AE48" s="38" t="n"/>
      <c r="AF48" s="38" t="n"/>
      <c r="AG48" s="38" t="n"/>
    </row>
    <row r="49" ht="57.45" customHeight="1" s="22">
      <c r="A49" s="36">
        <f>"B"&amp;TEXT(ROW()-1,"0000")</f>
        <v/>
      </c>
      <c r="B49" s="38" t="inlineStr">
        <is>
          <t>Planned</t>
        </is>
      </c>
      <c r="C49" s="36" t="n">
        <v>2</v>
      </c>
      <c r="D49" s="36" t="inlineStr">
        <is>
          <t>Life insurance</t>
        </is>
      </c>
      <c r="E49" s="36" t="inlineStr">
        <is>
          <t>Local (city/province)</t>
        </is>
      </c>
      <c r="F49" s="25" t="inlineStr">
        <is>
          <t>Life Insurance for Military Families in Halifax: SISIP vs Private Term Coverage</t>
        </is>
      </c>
      <c r="G49" s="36" t="inlineStr">
        <is>
          <t>https://instasure.ca/guides/halifax-military-life-insurance-sisip/</t>
        </is>
      </c>
      <c r="H49" s="36" t="inlineStr">
        <is>
          <t>sisip life insurance</t>
        </is>
      </c>
      <c r="I49" s="41">
        <f>IFERROR(INDEX('Nationwide KWs'!$D$2:$D$168,MATCH(H49,'Nationwide KWs'!$A$2:$A$168,0)),IFERROR(INDEX('Provincial KWs'!$E$2:$E$137,MATCH(H49,'Provincial KWs'!$A$2:$A$137,0)),IFERROR(INDEX('City KWs'!$F$2:$F$419,MATCH(H49,'City KWs'!$A$2:$A$419,0)),"")))</f>
        <v/>
      </c>
      <c r="J49" s="36" t="inlineStr">
        <is>
          <t>Niche</t>
        </is>
      </c>
      <c r="K49" s="25" t="inlineStr">
        <is>
          <t>life insurance halifax; canadian armed forces life insurance; sisip vs private term; life insurance after leaving the military; life insurance nova scotia</t>
        </is>
      </c>
      <c r="L49" s="36" t="inlineStr">
        <is>
          <t>City: Halifax, NS</t>
        </is>
      </c>
      <c r="M49" s="36" t="inlineStr">
        <is>
          <t>local</t>
        </is>
      </c>
      <c r="N49" s="36" t="inlineStr">
        <is>
          <t>MOFU</t>
        </is>
      </c>
      <c r="O49" s="25" t="inlineStr">
        <is>
          <t>SISIP Life Insurance vs Private Term: Halifax Guide</t>
        </is>
      </c>
      <c r="P49" s="36">
        <f>LEN(O49)</f>
        <v/>
      </c>
      <c r="Q49" s="25" t="inlineStr">
        <is>
          <t>SISIP life insurance vs private term for Canadian Armed Forces families in Halifax: cost, what happens at release and spousal cover. Compare your options.</t>
        </is>
      </c>
      <c r="R49" s="36">
        <f>LEN(Q49)</f>
        <v/>
      </c>
      <c r="S49" s="36">
        <f>IF(H49="","",IF(ISNUMBER(SEARCH(SUBSTITUTE(H49,"-"," "),SUBSTITUTE(O49,"-"," "))),"Yes","Check"))</f>
        <v/>
      </c>
      <c r="T49" s="25" t="inlineStr">
        <is>
          <t>SISIP life insurance vs private term: the short answer | How SISIP term life works | What happens to coverage when you release | Covering a spouse or partner | Private term: when it adds value | Nova Scotia advice outside the big online brokers | Example costs for Halifax families</t>
        </is>
      </c>
      <c r="U49" s="25" t="inlineStr">
        <is>
          <t>Is SISIP life insurance enough for my family? | Can I keep SISIP life insurance after I leave the CAF? | Can my spouse get SISIP coverage? | Do private insurers charge more for military members?</t>
        </is>
      </c>
      <c r="V49" s="25" t="inlineStr">
        <is>
          <t>A SISIP vs private term comparison table (eligibility, conversion at release, war and deployment clauses, spousal cover) verified against SISIP Financial materials, plus a release-date checklist.</t>
        </is>
      </c>
      <c r="W49" s="25" t="inlineStr">
        <is>
          <t>/life-insurance/nova-scotia/halifax/; /life-insurance/nova-scotia/; /term-life-insurance/nova-scotia/; /insurance/nova-scotia/halifax/</t>
        </is>
      </c>
      <c r="X49" s="25" t="inlineStr">
        <is>
          <t>Instant life insurance estimate for Halifax (/quote/)</t>
        </is>
      </c>
      <c r="Y49" s="36" t="inlineStr">
        <is>
          <t>Article; FAQPage; BreadcrumbList</t>
        </is>
      </c>
      <c r="Z49" s="37" t="n">
        <v>1500</v>
      </c>
      <c r="AA49" s="25" t="inlineStr">
        <is>
          <t>No competitor coverage seen: PolicyAdvisor is not licensed in Nova Scotia, Ratehub's Halifax content in the research is car-only, and nobody compares SISIP with private term.</t>
        </is>
      </c>
      <c r="AB49" s="25" t="inlineStr">
        <is>
          <t>Use 'SISIP life insurance' in the H1, meta title, first 100 words and first H2, with a 40–60 word answer on when private term adds value. Put the comparison table near the top and the release checklist as a list; link /life-insurance/nova-scotia/halifax/ with 'life insurance in Halifax' and /term-life-insurance/nova-scotia/ with 'term life insurance in Nova Scotia'. Alt text: 'SISIP term life compared with private term life'. Licensed Nova Scotia reviewer, cite SISIP Financial, refresh annually.</t>
        </is>
      </c>
      <c r="AC49" s="25" t="inlineStr">
        <is>
          <t>Verify SISIP product details and release rules with SISIP Financial's own materials; do not imply affiliation with DND, the CAF or SISIP, and check war-exclusion wording in private policies.</t>
        </is>
      </c>
      <c r="AD49" s="36" t="inlineStr">
        <is>
          <t>Annual</t>
        </is>
      </c>
      <c r="AE49" s="38" t="n"/>
      <c r="AF49" s="38" t="n"/>
      <c r="AG49" s="38" t="n"/>
    </row>
    <row r="50" ht="68.65000000000001" customHeight="1" s="22">
      <c r="A50" s="36">
        <f>"B"&amp;TEXT(ROW()-1,"0000")</f>
        <v/>
      </c>
      <c r="B50" s="38" t="inlineStr">
        <is>
          <t>Planned</t>
        </is>
      </c>
      <c r="C50" s="36" t="n">
        <v>2</v>
      </c>
      <c r="D50" s="36" t="inlineStr">
        <is>
          <t>Life insurance</t>
        </is>
      </c>
      <c r="E50" s="36" t="inlineStr">
        <is>
          <t>Local (city/province)</t>
        </is>
      </c>
      <c r="F50" s="25" t="inlineStr">
        <is>
          <t>Life Insurance for Oil Sands and Rotational Workers Based in Edmonton</t>
        </is>
      </c>
      <c r="G50" s="36" t="inlineStr">
        <is>
          <t>https://instasure.ca/guides/edmonton-rotational-workers-life-insurance/</t>
        </is>
      </c>
      <c r="H50" s="36" t="inlineStr">
        <is>
          <t>life insurance for oil and gas workers</t>
        </is>
      </c>
      <c r="I50" s="41">
        <f>IFERROR(INDEX('Nationwide KWs'!$D$2:$D$168,MATCH(H50,'Nationwide KWs'!$A$2:$A$168,0)),IFERROR(INDEX('Provincial KWs'!$E$2:$E$137,MATCH(H50,'Provincial KWs'!$A$2:$A$137,0)),IFERROR(INDEX('City KWs'!$F$2:$F$419,MATCH(H50,'City KWs'!$A$2:$A$419,0)),"")))</f>
        <v/>
      </c>
      <c r="J50" s="36" t="inlineStr">
        <is>
          <t>Niche</t>
        </is>
      </c>
      <c r="K50" s="25" t="inlineStr">
        <is>
          <t>life insurance edmonton; life insurance fort mcmurray; life insurance for camp workers; heavy equipment operator life insurance; life insurance variable income alberta</t>
        </is>
      </c>
      <c r="L50" s="36" t="inlineStr">
        <is>
          <t>City: Edmonton, AB</t>
        </is>
      </c>
      <c r="M50" s="36" t="inlineStr">
        <is>
          <t>local</t>
        </is>
      </c>
      <c r="N50" s="36" t="inlineStr">
        <is>
          <t>MOFU</t>
        </is>
      </c>
      <c r="O50" s="25" t="inlineStr">
        <is>
          <t>Life Insurance for Oil and Gas Workers in Edmonton</t>
        </is>
      </c>
      <c r="P50" s="36">
        <f>LEN(O50)</f>
        <v/>
      </c>
      <c r="Q50" s="25" t="inlineStr">
        <is>
          <t>Life insurance for oil and gas workers in Edmonton: how rotational and camp jobs are rated, variable pay and gaps between contracts. Get an estimate.</t>
        </is>
      </c>
      <c r="R50" s="36">
        <f>LEN(Q50)</f>
        <v/>
      </c>
      <c r="S50" s="36">
        <f>IF(H50="","",IF(ISNUMBER(SEARCH(SUBSTITUTE(H50,"-"," "),SUBSTITUTE(O50,"-"," "))),"Yes","Check"))</f>
        <v/>
      </c>
      <c r="T50" s="25" t="inlineStr">
        <is>
          <t>Do oil and gas jobs affect life insurance? | How insurers rate energy-sector occupations | Fly-in, fly-out and camp work | Protecting high, variable income | Coverage gaps between contracts and layoffs | Pairing life with disability cover | Example costs for Edmonton workers</t>
        </is>
      </c>
      <c r="U50" s="25" t="inlineStr">
        <is>
          <t>Do oil sands workers pay more for life insurance? | Does my employer's group life cover me at camp? | Can I get life insurance between contracts? | Is charter or helicopter travel to site covered?</t>
        </is>
      </c>
      <c r="V50" s="25" t="inlineStr">
        <is>
          <t>An energy-sector occupation table (office, field, heavy equipment, remote and offshore) with typical underwriting treatment, plus a contract-gap coverage plan, desk-reviewed.</t>
        </is>
      </c>
      <c r="W50" s="25" t="inlineStr">
        <is>
          <t>/life-insurance/alberta/edmonton/; /guides/life-insurance-high-risk-occupations-hobbies/; /disability-insurance/alberta/; /insurance/alberta/edmonton/</t>
        </is>
      </c>
      <c r="X50" s="25" t="inlineStr">
        <is>
          <t>Instant life insurance estimate for Edmonton (/quote/)</t>
        </is>
      </c>
      <c r="Y50" s="36" t="inlineStr">
        <is>
          <t>Article; FAQPage; BreadcrumbList</t>
        </is>
      </c>
      <c r="Z50" s="37" t="n">
        <v>1500</v>
      </c>
      <c r="AA50" s="25" t="inlineStr">
        <is>
          <t>PolicyAdvisor's Edmonton life page carries a stale year and Ratehub's is thin; no competitor seen addresses energy-sector or rotational workers.</t>
        </is>
      </c>
      <c r="AB50" s="25" t="inlineStr">
        <is>
          <t>Use the focus keyword in the H1 (as 'oil sands and rotational workers'), meta title, first 100 words and first H2, with a 40–60 word answer that most energy jobs are insurable at standard or modest extra rates. Put the occupation table first and the contract-gap plan second; link /life-insurance/alberta/edmonton/ with 'life insurance in Edmonton' and the high-risk jobs guide with 'high-risk occupations'. Alt text: 'How insurers rate oil and gas jobs for life insurance'. Licensed Alberta reviewer, cite insurer underwriting guides, refresh semi-annually.</t>
        </is>
      </c>
      <c r="AC50" s="25" t="inlineStr">
        <is>
          <t>Occupational ratings are insurer-specific; label them as typical, verify with underwriting guides, and avoid implying every energy job is rated.</t>
        </is>
      </c>
      <c r="AD50" s="36" t="inlineStr">
        <is>
          <t>Semi-annual</t>
        </is>
      </c>
      <c r="AE50" s="38" t="n"/>
      <c r="AF50" s="38" t="n"/>
      <c r="AG50" s="38" t="n"/>
    </row>
    <row r="51" ht="68.65000000000001" customHeight="1" s="22">
      <c r="A51" s="36">
        <f>"B"&amp;TEXT(ROW()-1,"0000")</f>
        <v/>
      </c>
      <c r="B51" s="38" t="inlineStr">
        <is>
          <t>Planned</t>
        </is>
      </c>
      <c r="C51" s="36" t="n">
        <v>2</v>
      </c>
      <c r="D51" s="36" t="inlineStr">
        <is>
          <t>Life insurance</t>
        </is>
      </c>
      <c r="E51" s="36" t="inlineStr">
        <is>
          <t>Local (city/province)</t>
        </is>
      </c>
      <c r="F51" s="25" t="inlineStr">
        <is>
          <t>Life Insurance for Saskatchewan Farm Families: Succession, Debt and Keeping the Land</t>
        </is>
      </c>
      <c r="G51" s="36" t="inlineStr">
        <is>
          <t>https://instasure.ca/guides/saskatchewan-farm-family-life-insurance/</t>
        </is>
      </c>
      <c r="H51" s="36" t="inlineStr">
        <is>
          <t>life insurance for farmers saskatchewan</t>
        </is>
      </c>
      <c r="I51" s="41">
        <f>IFERROR(INDEX('Nationwide KWs'!$D$2:$D$168,MATCH(H51,'Nationwide KWs'!$A$2:$A$168,0)),IFERROR(INDEX('Provincial KWs'!$E$2:$E$137,MATCH(H51,'Provincial KWs'!$A$2:$A$137,0)),IFERROR(INDEX('City KWs'!$F$2:$F$419,MATCH(H51,'City KWs'!$A$2:$A$419,0)),"")))</f>
        <v/>
      </c>
      <c r="J51" s="36" t="inlineStr">
        <is>
          <t>Niche</t>
        </is>
      </c>
      <c r="K51" s="25" t="inlineStr">
        <is>
          <t>life insurance saskatchewan; farm succession life insurance; life insurance regina; life insurance saskatoon; farm debt life insurance canada</t>
        </is>
      </c>
      <c r="L51" s="36" t="inlineStr">
        <is>
          <t>Province: Saskatchewan</t>
        </is>
      </c>
      <c r="M51" s="36" t="inlineStr">
        <is>
          <t>local</t>
        </is>
      </c>
      <c r="N51" s="36" t="inlineStr">
        <is>
          <t>MOFU</t>
        </is>
      </c>
      <c r="O51" s="25" t="inlineStr">
        <is>
          <t>Life Insurance for Farmers in Saskatchewan: Succession</t>
        </is>
      </c>
      <c r="P51" s="36">
        <f>LEN(O51)</f>
        <v/>
      </c>
      <c r="Q51" s="25" t="inlineStr">
        <is>
          <t>Life insurance for farmers in Saskatchewan: funding succession, covering farm debt and fair inheritances for off-farm kids. Talk to a licensed advisor.</t>
        </is>
      </c>
      <c r="R51" s="36">
        <f>LEN(Q51)</f>
        <v/>
      </c>
      <c r="S51" s="36">
        <f>IF(H51="","",IF(ISNUMBER(SEARCH(SUBSTITUTE(H51,"-"," "),SUBSTITUTE(O51,"-"," "))),"Yes","Check"))</f>
        <v/>
      </c>
      <c r="T51" s="25" t="inlineStr">
        <is>
          <t>Why farm families use life insurance | Covering farm debt and operating loans | Funding succession and buyouts between siblings | Fair inheritances for off-farm children | Capital gains on farmland at death | Finding licensed advice in Regina, Saskatoon and rural Saskatchewan | Example costs for Saskatchewan farmers</t>
        </is>
      </c>
      <c r="U51" s="25" t="inlineStr">
        <is>
          <t>How much life insurance does a farm family need? | Can life insurance pay capital gains tax on farmland? | Should the farm corporation own the policy? | Are farm accidents covered by life insurance?</t>
        </is>
      </c>
      <c r="V51" s="25" t="inlineStr">
        <is>
          <t>A farm succession worked example (land value, debt, two on-farm and one off-farm child) sizing coverage to equalise inheritances, with CRA farm-property rules cited.</t>
        </is>
      </c>
      <c r="W51" s="25" t="inlineStr">
        <is>
          <t>/life-insurance/saskatchewan/; /life-insurance/saskatchewan/regina/; /life-insurance/saskatchewan/saskatoon/; /guides/life-insurance-estate-planning-canada/; /insurance/saskatchewan/</t>
        </is>
      </c>
      <c r="X51" s="25" t="inlineStr">
        <is>
          <t>Instant life insurance estimate for Saskatchewan (/quote/)</t>
        </is>
      </c>
      <c r="Y51" s="36" t="inlineStr">
        <is>
          <t>Article; FAQPage; BreadcrumbList</t>
        </is>
      </c>
      <c r="Z51" s="37" t="n">
        <v>1800</v>
      </c>
      <c r="AA51" s="25" t="inlineStr">
        <is>
          <t>No competitor coverage seen: PolicyAdvisor is not licensed in Saskatchewan and the research found no Saskatchewan life pages from any competitor.</t>
        </is>
      </c>
      <c r="AB51" s="25" t="inlineStr">
        <is>
          <t>Use the focus keyword in the H1 (as 'Saskatchewan farm families'), meta title, first 100 words and first H2, with a 40–60 word answer on the three farm uses (debt, succession, equalisation). Make the succession example a step table with stated assumptions; link /life-insurance/saskatchewan/ with 'life insurance in Saskatchewan' and the estate guide with 'capital gains at death'. Alt text: 'Worked example of life insurance equalising a Saskatchewan farm inheritance'. Licensed Saskatchewan reviewer plus CPA review, cite CRA, refresh annually.</t>
        </is>
      </c>
      <c r="AC51" s="25" t="inlineStr">
        <is>
          <t>Verify farm-property capital gains rules and the lifetime capital gains exemption with CRA; succession advice needs legal and accounting review; confirm a Saskatchewan-licensed advisor is on the roster.</t>
        </is>
      </c>
      <c r="AD51" s="36" t="inlineStr">
        <is>
          <t>Annual</t>
        </is>
      </c>
      <c r="AE51" s="38" t="n"/>
      <c r="AF51" s="38" t="n"/>
      <c r="AG51" s="38" t="n"/>
    </row>
    <row r="52" ht="57.45" customHeight="1" s="22">
      <c r="A52" s="36">
        <f>"B"&amp;TEXT(ROW()-1,"0000")</f>
        <v/>
      </c>
      <c r="B52" s="38" t="inlineStr">
        <is>
          <t>Planned</t>
        </is>
      </c>
      <c r="C52" s="36" t="n">
        <v>2</v>
      </c>
      <c r="D52" s="36" t="inlineStr">
        <is>
          <t>Life insurance</t>
        </is>
      </c>
      <c r="E52" s="36" t="inlineStr">
        <is>
          <t>Local (city/province)</t>
        </is>
      </c>
      <c r="F52" s="25" t="inlineStr">
        <is>
          <t>Life Insurance in New Brunswick, PEI and Newfoundland and Labrador: Getting Local Advice</t>
        </is>
      </c>
      <c r="G52" s="36" t="inlineStr">
        <is>
          <t>https://instasure.ca/guides/atlantic-canada-life-insurance-nb-pei-nl/</t>
        </is>
      </c>
      <c r="H52" s="36" t="inlineStr">
        <is>
          <t>life insurance new brunswick</t>
        </is>
      </c>
      <c r="I52" s="41">
        <f>IFERROR(INDEX('Nationwide KWs'!$D$2:$D$168,MATCH(H52,'Nationwide KWs'!$A$2:$A$168,0)),IFERROR(INDEX('Provincial KWs'!$E$2:$E$137,MATCH(H52,'Provincial KWs'!$A$2:$A$137,0)),IFERROR(INDEX('City KWs'!$F$2:$F$419,MATCH(H52,'City KWs'!$A$2:$A$419,0)),"")))</f>
        <v/>
      </c>
      <c r="J52" s="36" t="inlineStr">
        <is>
          <t>Niche</t>
        </is>
      </c>
      <c r="K52" s="25" t="inlineStr">
        <is>
          <t>life insurance newfoundland; life insurance pei; life insurance moncton; life insurance st johns; life insurance for fishermen</t>
        </is>
      </c>
      <c r="L52" s="36" t="inlineStr">
        <is>
          <t>Province: New Brunswick</t>
        </is>
      </c>
      <c r="M52" s="36" t="inlineStr">
        <is>
          <t>local</t>
        </is>
      </c>
      <c r="N52" s="36" t="inlineStr">
        <is>
          <t>MOFU</t>
        </is>
      </c>
      <c r="O52" s="25" t="inlineStr">
        <is>
          <t>Life Insurance in New Brunswick, PEI and Newfoundland</t>
        </is>
      </c>
      <c r="P52" s="36">
        <f>LEN(O52)</f>
        <v/>
      </c>
      <c r="Q52" s="25" t="inlineStr">
        <is>
          <t>Life insurance in New Brunswick, PEI and Newfoundland and Labrador: local regulators, bilingual advice and fishing or offshore work. Get an estimate.</t>
        </is>
      </c>
      <c r="R52" s="36">
        <f>LEN(Q52)</f>
        <v/>
      </c>
      <c r="S52" s="36">
        <f>IF(H52="","",IF(ISNUMBER(SEARCH(SUBSTITUTE(H52,"-"," "),SUBSTITUTE(O52,"-"," "))),"Yes","Check"))</f>
        <v/>
      </c>
      <c r="T52" s="25" t="inlineStr">
        <is>
          <t>Buying life insurance in Atlantic Canada | Why some online brokers can't serve NB, PEI and NL | Regulators and consumer protection in each province | Fishing, offshore and seasonal work | Bilingual advice in New Brunswick | Example costs by age in Atlantic Canada</t>
        </is>
      </c>
      <c r="U52" s="25" t="inlineStr">
        <is>
          <t>Can I buy life insurance online in New Brunswick? | Do fishermen pay more for life insurance? | Who regulates life insurance in Newfoundland and Labrador? | Can I get life insurance advice in French in New Brunswick?</t>
        </is>
      </c>
      <c r="V52" s="25" t="inlineStr">
        <is>
          <t>A three-province table (regulator, licence search, French service, cities served) plus an occupation note on fishing and offshore work, dated.</t>
        </is>
      </c>
      <c r="W52" s="25" t="inlineStr">
        <is>
          <t>/life-insurance/new-brunswick/; /life-insurance/prince-edward-island/; /life-insurance/newfoundland-and-labrador/; /life-insurance/new-brunswick/moncton/; /life-insurance/newfoundland-and-labrador/st-johns/</t>
        </is>
      </c>
      <c r="X52" s="25" t="inlineStr">
        <is>
          <t>Instant life insurance estimate (/quote/)</t>
        </is>
      </c>
      <c r="Y52" s="36" t="inlineStr">
        <is>
          <t>Article; FAQPage; BreadcrumbList</t>
        </is>
      </c>
      <c r="Z52" s="37" t="n">
        <v>1600</v>
      </c>
      <c r="AA52" s="25" t="inlineStr">
        <is>
          <t>No competitor coverage seen: PolicyAdvisor is not licensed in these provinces and Ratehub's Atlantic life province pages are thin with no rate tables.</t>
        </is>
      </c>
      <c r="AB52" s="25" t="inlineStr">
        <is>
          <t>Use 'life insurance New Brunswick' in the H1, meta title, first 100 words and first H2, and name PEI and Newfoundland and Labrador in the same answer paragraph (40–60 words). Present the three-province table first; link each province page with 'life insurance in {Province}' and the Moncton and St. John's pages from the city mentions; alt text: 'Life insurance regulators and advice options in NB, PEI and NL'. Licensed Atlantic reviewer, cite FCNB, the PEI Superintendent and Service NL, refresh annually.</t>
        </is>
      </c>
      <c r="AC52" s="25" t="inlineStr">
        <is>
          <t>Verify the regulators (FCNB, PEI Superintendent of Insurance, Service NL) and French-service availability; claim local advisors only where they are actually licensed.</t>
        </is>
      </c>
      <c r="AD52" s="36" t="inlineStr">
        <is>
          <t>Annual</t>
        </is>
      </c>
      <c r="AE52" s="38" t="n"/>
      <c r="AF52" s="38" t="n"/>
      <c r="AG52" s="38" t="n"/>
    </row>
    <row r="53" ht="68.65000000000001" customHeight="1" s="22">
      <c r="A53" s="36">
        <f>"B"&amp;TEXT(ROW()-1,"0000")</f>
        <v/>
      </c>
      <c r="B53" s="38" t="inlineStr">
        <is>
          <t>Planned</t>
        </is>
      </c>
      <c r="C53" s="36" t="n">
        <v>2</v>
      </c>
      <c r="D53" s="36" t="inlineStr">
        <is>
          <t>Life insurance</t>
        </is>
      </c>
      <c r="E53" s="36" t="inlineStr">
        <is>
          <t>Local (city/province)</t>
        </is>
      </c>
      <c r="F53" s="25" t="inlineStr">
        <is>
          <t>Moving to Calgary? What Happens to Your Life Insurance When You Change Provinces</t>
        </is>
      </c>
      <c r="G53" s="36" t="inlineStr">
        <is>
          <t>https://instasure.ca/guides/moving-to-calgary-life-insurance-change-province/</t>
        </is>
      </c>
      <c r="H53" s="36" t="inlineStr">
        <is>
          <t>does life insurance transfer between provinces</t>
        </is>
      </c>
      <c r="I53" s="41">
        <f>IFERROR(INDEX('Nationwide KWs'!$D$2:$D$168,MATCH(H53,'Nationwide KWs'!$A$2:$A$168,0)),IFERROR(INDEX('Provincial KWs'!$E$2:$E$137,MATCH(H53,'Provincial KWs'!$A$2:$A$137,0)),IFERROR(INDEX('City KWs'!$F$2:$F$419,MATCH(H53,'City KWs'!$A$2:$A$419,0)),"")))</f>
        <v/>
      </c>
      <c r="J53" s="36" t="inlineStr">
        <is>
          <t>Niche</t>
        </is>
      </c>
      <c r="K53" s="25" t="inlineStr">
        <is>
          <t>life insurance calgary; moving to alberta life insurance; group life insurance new job alberta; change address life insurance; alberta life insurance advisor</t>
        </is>
      </c>
      <c r="L53" s="36" t="inlineStr">
        <is>
          <t>City: Calgary, AB</t>
        </is>
      </c>
      <c r="M53" s="36" t="inlineStr">
        <is>
          <t>local</t>
        </is>
      </c>
      <c r="N53" s="36" t="inlineStr">
        <is>
          <t>MOFU</t>
        </is>
      </c>
      <c r="O53" s="25" t="inlineStr">
        <is>
          <t>Does Life Insurance Transfer Between Provinces?</t>
        </is>
      </c>
      <c r="P53" s="36">
        <f>LEN(O53)</f>
        <v/>
      </c>
      <c r="Q53" s="25" t="inlineStr">
        <is>
          <t>Does life insurance transfer between provinces? What a move to Calgary means for personal and group policies, beneficiaries and advisors. Get an estimate.</t>
        </is>
      </c>
      <c r="R53" s="36">
        <f>LEN(Q53)</f>
        <v/>
      </c>
      <c r="S53" s="36">
        <f>IF(H53="","",IF(ISNUMBER(SEARCH(SUBSTITUTE(H53,"-"," "),SUBSTITUTE(O53,"-"," "))),"Yes","Check"))</f>
        <v/>
      </c>
      <c r="T53" s="25" t="inlineStr">
        <is>
          <t>Does your life insurance move with you to Alberta? | Individual policies: what stays the same | Group life: the new-job gap | Updating address, beneficiary and advisor | Alberta rules and licensing to know | New Calgary mortgage, new coverage need | A moving checklist</t>
        </is>
      </c>
      <c r="U53" s="25" t="inlineStr">
        <is>
          <t>Do I need a new life insurance policy if I move to Alberta? | Will my premium change if I move provinces? | Can my Ontario advisor still serve me in Calgary? | Is there a waiting period on group life at a new job?</t>
        </is>
      </c>
      <c r="V53" s="25" t="inlineStr">
        <is>
          <t>A province-move checklist (insurer notice, beneficiary review, group coverage gap, advisor licensing) and a worked example of the group-life gap during a job change.</t>
        </is>
      </c>
      <c r="W53" s="25" t="inlineStr">
        <is>
          <t>/life-insurance/alberta/calgary/; /guides/is-group-life-insurance-enough/; /mortgage-life-insurance/alberta/; /insurance/alberta/calgary/</t>
        </is>
      </c>
      <c r="X53" s="25" t="inlineStr">
        <is>
          <t>Instant life insurance estimate for Calgary (/quote/)</t>
        </is>
      </c>
      <c r="Y53" s="36" t="inlineStr">
        <is>
          <t>Article; FAQPage; BreadcrumbList</t>
        </is>
      </c>
      <c r="Z53" s="37" t="n">
        <v>1400</v>
      </c>
      <c r="AA53" s="25" t="inlineStr">
        <is>
          <t>PolicyAdvisor lists a Calgary life page that returns 404 and Ratehub's Calgary life page is thin; no competitor seen covers interprovincial moves despite strong migration to Alberta.</t>
        </is>
      </c>
      <c r="AB53" s="25" t="inlineStr">
        <is>
          <t>Use the focus keyword in the H1 (as 'change provinces'), meta title, first 100 words and first H2, with a 40–60 word answer (individual policies usually move with you; group cover does not). Present the moving checklist as a numbered list and the job-change gap as a timeline; link /life-insurance/alberta/calgary/ with 'life insurance in Calgary' and /mortgage-life-insurance/alberta/ with 'mortgage protection in Alberta'. Alt text: 'Checklist for life insurance when moving to Calgary'. Licensed Alberta reviewer, cite Statistics Canada migration data, refresh semi-annually.</t>
        </is>
      </c>
      <c r="AC53" s="25" t="inlineStr">
        <is>
          <t>Cite Statistics Canada interprovincial migration figures with dates if used; verify Alberta licensing rules and that any advisor named is licensed in Alberta.</t>
        </is>
      </c>
      <c r="AD53" s="36" t="inlineStr">
        <is>
          <t>Semi-annual</t>
        </is>
      </c>
      <c r="AE53" s="38" t="n"/>
      <c r="AF53" s="38" t="n"/>
      <c r="AG53" s="38" t="n"/>
    </row>
    <row r="54" ht="57.45" customHeight="1" s="22">
      <c r="A54" s="36">
        <f>"B"&amp;TEXT(ROW()-1,"0000")</f>
        <v/>
      </c>
      <c r="B54" s="38" t="inlineStr">
        <is>
          <t>Planned</t>
        </is>
      </c>
      <c r="C54" s="36" t="n">
        <v>2</v>
      </c>
      <c r="D54" s="36" t="inlineStr">
        <is>
          <t>Life insurance</t>
        </is>
      </c>
      <c r="E54" s="36" t="inlineStr">
        <is>
          <t>Medical conditions</t>
        </is>
      </c>
      <c r="F54" s="25" t="inlineStr">
        <is>
          <t>Life Insurance After Cancer in Canada: Waiting Periods, Remission and Your Options</t>
        </is>
      </c>
      <c r="G54" s="36" t="inlineStr">
        <is>
          <t>https://instasure.ca/guides/life-insurance-after-cancer-canada/</t>
        </is>
      </c>
      <c r="H54" s="36" t="inlineStr">
        <is>
          <t>life insurance after cancer</t>
        </is>
      </c>
      <c r="I54" s="41">
        <f>IFERROR(INDEX('Nationwide KWs'!$D$2:$D$168,MATCH(H54,'Nationwide KWs'!$A$2:$A$168,0)),IFERROR(INDEX('Provincial KWs'!$E$2:$E$137,MATCH(H54,'Provincial KWs'!$A$2:$A$137,0)),IFERROR(INDEX('City KWs'!$F$2:$F$419,MATCH(H54,'City KWs'!$A$2:$A$419,0)),"")))</f>
        <v/>
      </c>
      <c r="J54" s="36" t="inlineStr">
        <is>
          <t>Low</t>
        </is>
      </c>
      <c r="K54" s="25" t="inlineStr">
        <is>
          <t>life insurance for cancer survivors canada; life insurance in remission; breast cancer life insurance; guaranteed issue after cancer; life insurance postponement cancer</t>
        </is>
      </c>
      <c r="L54" s="36" t="inlineStr">
        <is>
          <t>Nationwide</t>
        </is>
      </c>
      <c r="M54" s="36" t="inlineStr">
        <is>
          <t>commercial</t>
        </is>
      </c>
      <c r="N54" s="36" t="inlineStr">
        <is>
          <t>MOFU</t>
        </is>
      </c>
      <c r="O54" s="25" t="inlineStr">
        <is>
          <t>Life Insurance After Cancer in Canada: Options by Stage</t>
        </is>
      </c>
      <c r="P54" s="36">
        <f>LEN(O54)</f>
        <v/>
      </c>
      <c r="Q54" s="25" t="inlineStr">
        <is>
          <t>Life insurance after cancer in Canada: how type, stage and time in remission affect approval, typical waiting periods and options now. Talk to our desk.</t>
        </is>
      </c>
      <c r="R54" s="36">
        <f>LEN(Q54)</f>
        <v/>
      </c>
      <c r="S54" s="36">
        <f>IF(H54="","",IF(ISNUMBER(SEARCH(SUBSTITUTE(H54,"-"," "),SUBSTITUTE(O54,"-"," "))),"Yes","Check"))</f>
        <v/>
      </c>
      <c r="T54" s="25" t="inlineStr">
        <is>
          <t>Can cancer survivors get life insurance? | Why type, stage and treatment date matter | Typical postponement periods | Fully underwritten options after remission | Simplified and guaranteed issue in the meantime | Records to gather before you apply</t>
        </is>
      </c>
      <c r="U54" s="25" t="inlineStr">
        <is>
          <t>How long after cancer can I get life insurance? | Can I get life insurance during cancer treatment? | Does skin cancer affect life insurance? | Will my existing policy pay if I had cancer before buying?</t>
        </is>
      </c>
      <c r="V54" s="25" t="inlineStr">
        <is>
          <t>A cancer-type table (skin, breast, prostate, thyroid, colon, blood cancers) with typical postponement periods and post-remission outcomes, reviewed by the medical underwriting desk, plus a bridge-coverage plan.</t>
        </is>
      </c>
      <c r="W54" s="25" t="inlineStr">
        <is>
          <t>/life-insurance/medical-conditions/; /no-medical-life-insurance/; /guides/simplified-vs-guaranteed-issue-life-insurance/; /guides/declined-for-life-insurance-what-next/</t>
        </is>
      </c>
      <c r="X54" s="25" t="inlineStr">
        <is>
          <t>Request a specialist call: Medical underwriting desk (/life-insurance/medical-conditions/)</t>
        </is>
      </c>
      <c r="Y54" s="36" t="inlineStr">
        <is>
          <t>Article; FAQPage; BreadcrumbList</t>
        </is>
      </c>
      <c r="Z54" s="37" t="n">
        <v>1800</v>
      </c>
      <c r="AA54" s="25" t="inlineStr">
        <is>
          <t>No competitor coverage seen; the research lists cancer survivors among condition pages no competitor surfaced.</t>
        </is>
      </c>
      <c r="AB54" s="25" t="inlineStr">
        <is>
          <t>Use 'life insurance after cancer' in the H1, slug, meta title, first 100 words and first H2, with a compassionate 40–60 word answer. Make the cancer-type table the core asset and add a 'bridge coverage' box; link the medical underwriting desk with 'speak to our underwriting desk' and the simplified-vs-guaranteed guide with 'no-medical options while you wait'. Alt text: 'Typical waiting periods for life insurance after common cancers'. Desk-reviewed, cite the Canadian Cancer Society, refresh annually.</t>
        </is>
      </c>
      <c r="AC54" s="25" t="inlineStr">
        <is>
          <t>Periods vary widely by insurer and case; label them as typical, have the desk review, use the Canadian Cancer Society for clinical terms and never imply guaranteed approval.</t>
        </is>
      </c>
      <c r="AD54" s="36" t="inlineStr">
        <is>
          <t>Annual</t>
        </is>
      </c>
      <c r="AE54" s="38" t="n"/>
      <c r="AF54" s="38" t="n"/>
      <c r="AG54" s="38" t="n"/>
    </row>
    <row r="55" ht="57.45" customHeight="1" s="22">
      <c r="A55" s="36">
        <f>"B"&amp;TEXT(ROW()-1,"0000")</f>
        <v/>
      </c>
      <c r="B55" s="38" t="inlineStr">
        <is>
          <t>Planned</t>
        </is>
      </c>
      <c r="C55" s="36" t="n">
        <v>2</v>
      </c>
      <c r="D55" s="36" t="inlineStr">
        <is>
          <t>Life insurance</t>
        </is>
      </c>
      <c r="E55" s="36" t="inlineStr">
        <is>
          <t>Medical conditions</t>
        </is>
      </c>
      <c r="F55" s="25" t="inlineStr">
        <is>
          <t>Life Insurance With Depression or Anxiety in Canada: How Mental Health Is Underwritten</t>
        </is>
      </c>
      <c r="G55" s="36" t="inlineStr">
        <is>
          <t>https://instasure.ca/guides/life-insurance-depression-anxiety-canada/</t>
        </is>
      </c>
      <c r="H55" s="36" t="inlineStr">
        <is>
          <t>life insurance with depression</t>
        </is>
      </c>
      <c r="I55" s="41">
        <f>IFERROR(INDEX('Nationwide KWs'!$D$2:$D$168,MATCH(H55,'Nationwide KWs'!$A$2:$A$168,0)),IFERROR(INDEX('Provincial KWs'!$E$2:$E$137,MATCH(H55,'Provincial KWs'!$A$2:$A$137,0)),IFERROR(INDEX('City KWs'!$F$2:$F$419,MATCH(H55,'City KWs'!$A$2:$A$419,0)),"")))</f>
        <v/>
      </c>
      <c r="J55" s="36" t="inlineStr">
        <is>
          <t>Niche</t>
        </is>
      </c>
      <c r="K55" s="25" t="inlineStr">
        <is>
          <t>life insurance with anxiety canada; mental health life insurance; antidepressants life insurance; adhd life insurance; does therapy affect life insurance</t>
        </is>
      </c>
      <c r="L55" s="36" t="inlineStr">
        <is>
          <t>Nationwide</t>
        </is>
      </c>
      <c r="M55" s="36" t="inlineStr">
        <is>
          <t>commercial</t>
        </is>
      </c>
      <c r="N55" s="36" t="inlineStr">
        <is>
          <t>MOFU</t>
        </is>
      </c>
      <c r="O55" s="25" t="inlineStr">
        <is>
          <t>Life Insurance With Depression or Anxiety in Canada</t>
        </is>
      </c>
      <c r="P55" s="36">
        <f>LEN(O55)</f>
        <v/>
      </c>
      <c r="Q55" s="25" t="inlineStr">
        <is>
          <t>Life insurance with depression or anxiety in Canada: how diagnosis, treatment, stability and time off work affect approval and price. Talk to our desk.</t>
        </is>
      </c>
      <c r="R55" s="36">
        <f>LEN(Q55)</f>
        <v/>
      </c>
      <c r="S55" s="36">
        <f>IF(H55="","",IF(ISNUMBER(SEARCH(SUBSTITUTE(H55,"-"," "),SUBSTITUTE(O55,"-"," "))),"Yes","Check"))</f>
        <v/>
      </c>
      <c r="T55" s="25" t="inlineStr">
        <is>
          <t>Can you get life insurance with depression or anxiety? | What underwriters ask about mental health | Mild, moderate and severe: how ratings differ | Medication and therapy: do they count against you? | Time off work and disability claims | Applying with confidence: disclosure tips</t>
        </is>
      </c>
      <c r="U55" s="25" t="inlineStr">
        <is>
          <t>Does seeing a therapist affect life insurance? | Can I get life insurance if I take antidepressants? | Will a past suicide attempt mean a decline? | Does ADHD affect life insurance in Canada?</t>
        </is>
      </c>
      <c r="V55" s="25" t="inlineStr">
        <is>
          <t>A severity-and-stability table showing typical outcomes and the questionnaire items insurers use, reviewed by the medical underwriting desk, with a support-resources box (9-8-8 suicide crisis line).</t>
        </is>
      </c>
      <c r="W55" s="25" t="inlineStr">
        <is>
          <t>/life-insurance/medical-conditions/; /guides/declined-for-life-insurance-what-next/; /no-medical-life-insurance/; /disability-insurance/</t>
        </is>
      </c>
      <c r="X55" s="25" t="inlineStr">
        <is>
          <t>Request a specialist call: Medical underwriting desk (/life-insurance/medical-conditions/)</t>
        </is>
      </c>
      <c r="Y55" s="36" t="inlineStr">
        <is>
          <t>Article; FAQPage; BreadcrumbList</t>
        </is>
      </c>
      <c r="Z55" s="37" t="n">
        <v>1600</v>
      </c>
      <c r="AA55" s="25" t="inlineStr">
        <is>
          <t>No competitor coverage seen; the research lists depression and anxiety among condition pages no competitor surfaced.</t>
        </is>
      </c>
      <c r="AB55" s="25" t="inlineStr">
        <is>
          <t>Use 'life insurance with depression' in the H1, meta title, first 100 words and first H2, with a reassuring 40–60 word answer that treated, stable conditions are often insurable. Put the severity table mid-page and the resources box above the fold; link the medical underwriting desk with 'confidential review' and the declined guide with 'if you have been declined'. Alt text: 'How insurers assess mental health history on life insurance applications'. Desk-reviewed, cite CAMH or CMHA, refresh annually.</t>
        </is>
      </c>
      <c r="AC55" s="25" t="inlineStr">
        <is>
          <t>Sensitive topic: follow safe-messaging guidance, include the 9-8-8 crisis line, avoid stigmatising language and have the desk advisor review; outcomes are illustrative.</t>
        </is>
      </c>
      <c r="AD55" s="36" t="inlineStr">
        <is>
          <t>Annual</t>
        </is>
      </c>
      <c r="AE55" s="38" t="n"/>
      <c r="AF55" s="38" t="n"/>
      <c r="AG55" s="38" t="n"/>
    </row>
    <row r="56" ht="79.84999999999999" customHeight="1" s="22">
      <c r="A56" s="36">
        <f>"B"&amp;TEXT(ROW()-1,"0000")</f>
        <v/>
      </c>
      <c r="B56" s="38" t="inlineStr">
        <is>
          <t>Planned</t>
        </is>
      </c>
      <c r="C56" s="36" t="n">
        <v>2</v>
      </c>
      <c r="D56" s="36" t="inlineStr">
        <is>
          <t>Life insurance</t>
        </is>
      </c>
      <c r="E56" s="36" t="inlineStr">
        <is>
          <t>Medical conditions</t>
        </is>
      </c>
      <c r="F56" s="25" t="inlineStr">
        <is>
          <t>Life Insurance With Diabetes in Canada: Type 1, Type 2 and What Underwriters Look For</t>
        </is>
      </c>
      <c r="G56" s="36" t="inlineStr">
        <is>
          <t>https://instasure.ca/guides/life-insurance-with-diabetes-canada/</t>
        </is>
      </c>
      <c r="H56" s="36" t="inlineStr">
        <is>
          <t>life insurance for diabetics</t>
        </is>
      </c>
      <c r="I56" s="41">
        <f>IFERROR(INDEX('Nationwide KWs'!$D$2:$D$168,MATCH(H56,'Nationwide KWs'!$A$2:$A$168,0)),IFERROR(INDEX('Provincial KWs'!$E$2:$E$137,MATCH(H56,'Provincial KWs'!$A$2:$A$137,0)),IFERROR(INDEX('City KWs'!$F$2:$F$419,MATCH(H56,'City KWs'!$A$2:$A$419,0)),"")))</f>
        <v/>
      </c>
      <c r="J56" s="36" t="inlineStr">
        <is>
          <t>Low</t>
        </is>
      </c>
      <c r="K56" s="25" t="inlineStr">
        <is>
          <t>life insurance type 2 diabetes canada; life insurance type 1 diabetes; a1c life insurance; gestational diabetes life insurance; no medical life insurance diabetes</t>
        </is>
      </c>
      <c r="L56" s="36" t="inlineStr">
        <is>
          <t>Nationwide</t>
        </is>
      </c>
      <c r="M56" s="36" t="inlineStr">
        <is>
          <t>commercial</t>
        </is>
      </c>
      <c r="N56" s="36" t="inlineStr">
        <is>
          <t>MOFU</t>
        </is>
      </c>
      <c r="O56" s="25" t="inlineStr">
        <is>
          <t>Life Insurance for Diabetics in Canada: Type 1 and 2</t>
        </is>
      </c>
      <c r="P56" s="36">
        <f>LEN(O56)</f>
        <v/>
      </c>
      <c r="Q56" s="25" t="inlineStr">
        <is>
          <t>Life insurance for diabetics in Canada: how A1C, age at diagnosis, medication and complications affect approval for type 1 and 2. Talk to our desk.</t>
        </is>
      </c>
      <c r="R56" s="36">
        <f>LEN(Q56)</f>
        <v/>
      </c>
      <c r="S56" s="36">
        <f>IF(H56="","",IF(ISNUMBER(SEARCH(SUBSTITUTE(H56,"-"," "),SUBSTITUTE(O56,"-"," "))),"Yes","Check"))</f>
        <v/>
      </c>
      <c r="T56" s="25" t="inlineStr">
        <is>
          <t>Can diabetics get life insurance in Canada? | Type 1 vs type 2 underwriting | A1C, age at diagnosis and control | Complications that change the outcome | Prediabetes and gestational diabetes | Fully underwritten vs no-medical options | How to prepare your application</t>
        </is>
      </c>
      <c r="U56" s="25" t="inlineStr">
        <is>
          <t>What A1C do insurers want for life insurance? | Can I get term life insurance with type 1 diabetes? | Does prediabetes raise life insurance rates? | Is no-medical life insurance a good option for diabetics?</t>
        </is>
      </c>
      <c r="V56" s="25" t="inlineStr">
        <is>
          <t>An underwriting factor matrix for diabetes (type, diagnosis age, A1C band, complications) showing likely outcome ranges, reviewed by the medical underwriting desk, plus a document checklist.</t>
        </is>
      </c>
      <c r="W56" s="25" t="inlineStr">
        <is>
          <t>/life-insurance/medical-conditions/; /no-medical-life-insurance/; /guides/simplified-vs-guaranteed-issue-life-insurance/; /critical-illness-insurance/</t>
        </is>
      </c>
      <c r="X56" s="25" t="inlineStr">
        <is>
          <t>Request a specialist call: Medical underwriting desk (/life-insurance/medical-conditions/)</t>
        </is>
      </c>
      <c r="Y56" s="36" t="inlineStr">
        <is>
          <t>Article; FAQPage; BreadcrumbList</t>
        </is>
      </c>
      <c r="Z56" s="37" t="n">
        <v>1800</v>
      </c>
      <c r="AA56" s="25" t="inlineStr">
        <is>
          <t>PolicyAdvisor's 'Best Life Insurance for Diabetics in Canada' is a 'best' list; no competitor seen shows an A1C and age-at-diagnosis factor matrix.</t>
        </is>
      </c>
      <c r="AB56" s="25" t="inlineStr">
        <is>
          <t>Use 'life insurance for diabetics' in the H1 (as 'with diabetes'), meta title, first 100 words and first H2, with a 40–60 word answer that most well-controlled diabetics can qualify. Make the factor matrix the core table and add the document checklist; link the medical underwriting desk with 'confidential review with our underwriting desk' and the no-medical guide with 'simplified issue options'; alt text: 'Factors underwriters weigh for diabetes: type, A1C, diagnosis age'. Desk-reviewed, cite Diabetes Canada, refresh annually. The keyword map currently assigns this query to /life-insurance/medical-conditions/; repoint it here (or to the planned per-condition hub) and link back to the desk page.</t>
        </is>
      </c>
      <c r="AC56" s="25" t="inlineStr">
        <is>
          <t>Outcome ranges are illustrative: verify against insurer underwriting manuals, have the desk advisor review, use Diabetes Canada for clinical terms and never promise approval.</t>
        </is>
      </c>
      <c r="AD56" s="36" t="inlineStr">
        <is>
          <t>Annual</t>
        </is>
      </c>
      <c r="AE56" s="38" t="n"/>
      <c r="AF56" s="38" t="n"/>
      <c r="AG56" s="38" t="n"/>
    </row>
    <row r="57" ht="79.84999999999999" customHeight="1" s="22">
      <c r="A57" s="36">
        <f>"B"&amp;TEXT(ROW()-1,"0000")</f>
        <v/>
      </c>
      <c r="B57" s="38" t="inlineStr">
        <is>
          <t>Planned</t>
        </is>
      </c>
      <c r="C57" s="36" t="n">
        <v>2</v>
      </c>
      <c r="D57" s="36" t="inlineStr">
        <is>
          <t>Life insurance</t>
        </is>
      </c>
      <c r="E57" s="36" t="inlineStr">
        <is>
          <t>Medical conditions</t>
        </is>
      </c>
      <c r="F57" s="25" t="inlineStr">
        <is>
          <t>Life Insurance for Smokers and Vapers in Canada: Rates, Cannabis Rules and Switching to Non-Smoker</t>
        </is>
      </c>
      <c r="G57" s="36" t="inlineStr">
        <is>
          <t>https://instasure.ca/guides/life-insurance-for-smokers-vapers-canada/</t>
        </is>
      </c>
      <c r="H57" s="36" t="inlineStr">
        <is>
          <t>life insurance for smokers</t>
        </is>
      </c>
      <c r="I57" s="41">
        <f>IFERROR(INDEX('Nationwide KWs'!$D$2:$D$168,MATCH(H57,'Nationwide KWs'!$A$2:$A$168,0)),IFERROR(INDEX('Provincial KWs'!$E$2:$E$137,MATCH(H57,'Provincial KWs'!$A$2:$A$137,0)),IFERROR(INDEX('City KWs'!$F$2:$F$419,MATCH(H57,'City KWs'!$A$2:$A$419,0)),"")))</f>
        <v/>
      </c>
      <c r="J57" s="36" t="inlineStr">
        <is>
          <t>Low</t>
        </is>
      </c>
      <c r="K57" s="25" t="inlineStr">
        <is>
          <t>does vaping count as smoking life insurance; cannabis life insurance canada; nicotine gum life insurance; non smoker rates after quitting; cigar smoker life insurance</t>
        </is>
      </c>
      <c r="L57" s="36" t="inlineStr">
        <is>
          <t>Nationwide</t>
        </is>
      </c>
      <c r="M57" s="36" t="inlineStr">
        <is>
          <t>commercial</t>
        </is>
      </c>
      <c r="N57" s="36" t="inlineStr">
        <is>
          <t>MOFU</t>
        </is>
      </c>
      <c r="O57" s="25" t="inlineStr">
        <is>
          <t>Life Insurance for Smokers and Vapers in Canada</t>
        </is>
      </c>
      <c r="P57" s="36">
        <f>LEN(O57)</f>
        <v/>
      </c>
      <c r="Q57" s="25" t="inlineStr">
        <is>
          <t>Life insurance for smokers in Canada: how vaping, cannabis and nicotine gum are rated, the price gap and how to requalify after quitting. Ask our desk.</t>
        </is>
      </c>
      <c r="R57" s="36">
        <f>LEN(Q57)</f>
        <v/>
      </c>
      <c r="S57" s="36">
        <f>IF(H57="","",IF(ISNUMBER(SEARCH(SUBSTITUTE(H57,"-"," "),SUBSTITUTE(O57,"-"," "))),"Yes","Check"))</f>
        <v/>
      </c>
      <c r="T57" s="25" t="inlineStr">
        <is>
          <t>How insurers define a smoker | The smoker vs non-smoker price gap | Vaping, nicotine gum and patches | Cannabis: smoked, vaped and edibles | Occasional cigars and pipes | Quitting: when you can get non-smoker rates | Why honesty on nicotine questions matters</t>
        </is>
      </c>
      <c r="U57" s="25" t="inlineStr">
        <is>
          <t>Does vaping count as smoking for life insurance? | How long after quitting can I get non-smoker rates? | Does cannabis use make me a smoker for life insurance? | Will insurers test for nicotine?</t>
        </is>
      </c>
      <c r="V57" s="25" t="inlineStr">
        <is>
          <t>A nicotine and cannabis rating table (cigarettes, vape, gum or patch, cigars, cannabis by method) with typical insurer treatment, plus a smoker vs non-smoker price table by age from the Instasure model.</t>
        </is>
      </c>
      <c r="W57" s="25" t="inlineStr">
        <is>
          <t>/life-insurance/medical-conditions/; /guides/how-much-does-life-insurance-cost-canada/; /guides/life-insurance-rating-classes-canada/; /term-life-insurance/</t>
        </is>
      </c>
      <c r="X57" s="25" t="inlineStr">
        <is>
          <t>Request a specialist call: Medical underwriting desk (/life-insurance/medical-conditions/)</t>
        </is>
      </c>
      <c r="Y57" s="36" t="inlineStr">
        <is>
          <t>Article; FAQPage; BreadcrumbList</t>
        </is>
      </c>
      <c r="Z57" s="37" t="n">
        <v>1700</v>
      </c>
      <c r="AA57" s="25" t="inlineStr">
        <is>
          <t>PolicyAdvisor splits this into 'Best Life Insurance for Smokers in Canada' and 'How Nicotine Gum Affects Your Life Insurance Rates', and Ratehub has a smoker page; none sets cannabis rules by consumption method next to nicotine rules.</t>
        </is>
      </c>
      <c r="AB57" s="25" t="inlineStr">
        <is>
          <t>Use 'life insurance for smokers' in the H1, slug stem, meta title, first 100 words and first H2, with a 40–60 word answer defining a smoker for underwriting. Put the rating table first and the price table second, both dated; link the medical underwriting desk with 'ask our underwriting desk' and the cost guide with 'smoker vs non-smoker rates'; alt text: 'How insurers rate cigarettes, vaping, nicotine gum and cannabis'. Licensed reviewer, cite Health Canada and insurer guides, refresh annually. The keyword map currently assigns this query to /life-insurance/medical-conditions/; repoint it here (or to the planned per-condition hub) and link back to the desk page.</t>
        </is>
      </c>
      <c r="AC57" s="25" t="inlineStr">
        <is>
          <t>Treatment varies by insurer: verify current cannabis and cigar rules with at least three insurers, label price gaps as model estimates and avoid 'best' wording.</t>
        </is>
      </c>
      <c r="AD57" s="36" t="inlineStr">
        <is>
          <t>Annual</t>
        </is>
      </c>
      <c r="AE57" s="38" t="n"/>
      <c r="AF57" s="38" t="n"/>
      <c r="AG57" s="38" t="n"/>
    </row>
    <row r="58" ht="46.25" customHeight="1" s="22">
      <c r="A58" s="36">
        <f>"B"&amp;TEXT(ROW()-1,"0000")</f>
        <v/>
      </c>
      <c r="B58" s="38" t="inlineStr">
        <is>
          <t>Planned</t>
        </is>
      </c>
      <c r="C58" s="36" t="n">
        <v>2</v>
      </c>
      <c r="D58" s="36" t="inlineStr">
        <is>
          <t>Life insurance</t>
        </is>
      </c>
      <c r="E58" s="36" t="inlineStr">
        <is>
          <t>Personas</t>
        </is>
      </c>
      <c r="F58" s="25" t="inlineStr">
        <is>
          <t>Is Life Insurance Worth It in Canada? When You Need It and When You Don't</t>
        </is>
      </c>
      <c r="G58" s="36" t="inlineStr">
        <is>
          <t>https://instasure.ca/guides/is-life-insurance-worth-it-canada/</t>
        </is>
      </c>
      <c r="H58" s="36" t="inlineStr">
        <is>
          <t>is life insurance worth it</t>
        </is>
      </c>
      <c r="I58" s="41">
        <f>IFERROR(INDEX('Nationwide KWs'!$D$2:$D$168,MATCH(H58,'Nationwide KWs'!$A$2:$A$168,0)),IFERROR(INDEX('Provincial KWs'!$E$2:$E$137,MATCH(H58,'Provincial KWs'!$A$2:$A$137,0)),IFERROR(INDEX('City KWs'!$F$2:$F$419,MATCH(H58,'City KWs'!$A$2:$A$419,0)),"")))</f>
        <v/>
      </c>
      <c r="J58" s="36" t="inlineStr">
        <is>
          <t>Medium</t>
        </is>
      </c>
      <c r="K58" s="25" t="inlineStr">
        <is>
          <t>do i need life insurance; who needs life insurance; life insurance for single people; should i cancel life insurance to save money; do i need life insurance if i have no kids</t>
        </is>
      </c>
      <c r="L58" s="36" t="inlineStr">
        <is>
          <t>Nationwide</t>
        </is>
      </c>
      <c r="M58" s="36" t="inlineStr">
        <is>
          <t>informational</t>
        </is>
      </c>
      <c r="N58" s="36" t="inlineStr">
        <is>
          <t>TOFU</t>
        </is>
      </c>
      <c r="O58" s="25" t="inlineStr">
        <is>
          <t>Is Life Insurance Worth It in Canada? A Plain Answer</t>
        </is>
      </c>
      <c r="P58" s="36">
        <f>LEN(O58)</f>
        <v/>
      </c>
      <c r="Q58" s="25" t="inlineStr">
        <is>
          <t>Is life insurance worth it? See who in Canada needs it, who can skip it, what cutting coverage really saves and a two-minute test. Run the calculator.</t>
        </is>
      </c>
      <c r="R58" s="36">
        <f>LEN(Q58)</f>
        <v/>
      </c>
      <c r="S58" s="36">
        <f>IF(H58="","",IF(ISNUMBER(SEARCH(SUBSTITUTE(H58,"-"," "),SUBSTITUTE(O58,"-"," "))),"Yes","Check"))</f>
        <v/>
      </c>
      <c r="T58" s="25" t="inlineStr">
        <is>
          <t>Is life insurance worth it? The short answer | Who usually needs life insurance | Who may not need it | Cutting coverage to save money: what to check first | Lower-cost ways to keep protection | A two-minute self-test</t>
        </is>
      </c>
      <c r="U58" s="25" t="inlineStr">
        <is>
          <t>Do I need life insurance if I'm single with no kids? | Is life insurance worth it after the mortgage is paid? | Is it smarter to invest instead of buying life insurance? | Should retirees keep life insurance?</t>
        </is>
      </c>
      <c r="V58" s="25" t="inlineStr">
        <is>
          <t>A six-question self-test that scores need (dependants, debts, income reliance, estate goals) with result bands, plus a 'before you cancel' checklist tied to 2026 reports of Canadians cutting insurance.</t>
        </is>
      </c>
      <c r="W58" s="25" t="inlineStr">
        <is>
          <t>/life-insurance/; /calculators/life-insurance-needs/; /guides/how-much-life-insurance-do-i-need-canada/; /guides/term-vs-whole-life-insurance-canada/</t>
        </is>
      </c>
      <c r="X58" s="25" t="inlineStr">
        <is>
          <t>Life insurance needs calculator (/calculators/life-insurance-needs/)</t>
        </is>
      </c>
      <c r="Y58" s="36" t="inlineStr">
        <is>
          <t>Article; FAQPage; BreadcrumbList</t>
        </is>
      </c>
      <c r="Z58" s="37" t="n">
        <v>1500</v>
      </c>
      <c r="AA58" s="25" t="inlineStr">
        <is>
          <t>PolicyAdvisor ('Is Life Insurance Worth It? Find Out Now') and Rates.ca ('do i need life insurance canadian') cover the question; neither addresses the 2026 trend of households cutting coverage to save money.</t>
        </is>
      </c>
      <c r="AB58" s="25" t="inlineStr">
        <is>
          <t>Use 'is life insurance worth it' in the H1, meta title, first 100 words and first H2, and give a balanced 40–60 word answer. Build the self-test as an interactive block with a text fallback; link the needs calculator with 'calculate your coverage gap' and the term vs whole guide with 'term or whole life'. Alt text: 'Self-test to decide whether life insurance is worth it'. Licensed reviewer, cite the 2026 consumer surveys, refresh annually.</t>
        </is>
      </c>
      <c r="AC58" s="25" t="inlineStr">
        <is>
          <t>Cite the 2026 belt-tightening reports (Insurance Business, Wealth Professional) back to the primary survey; avoid scare tactics and keep individual recommendations for a licensed advisor.</t>
        </is>
      </c>
      <c r="AD58" s="36" t="inlineStr">
        <is>
          <t>Annual</t>
        </is>
      </c>
      <c r="AE58" s="38" t="n"/>
      <c r="AF58" s="38" t="n"/>
      <c r="AG58" s="38" t="n"/>
    </row>
    <row r="59" ht="57.45" customHeight="1" s="22">
      <c r="A59" s="36">
        <f>"B"&amp;TEXT(ROW()-1,"0000")</f>
        <v/>
      </c>
      <c r="B59" s="38" t="inlineStr">
        <is>
          <t>Planned</t>
        </is>
      </c>
      <c r="C59" s="36" t="n">
        <v>2</v>
      </c>
      <c r="D59" s="36" t="inlineStr">
        <is>
          <t>Life insurance</t>
        </is>
      </c>
      <c r="E59" s="36" t="inlineStr">
        <is>
          <t>Personas</t>
        </is>
      </c>
      <c r="F59" s="25" t="inlineStr">
        <is>
          <t>Life Insurance Age Limits in Canada: Your Options at 65, 70, 75 and 80</t>
        </is>
      </c>
      <c r="G59" s="36" t="inlineStr">
        <is>
          <t>https://instasure.ca/guides/life-insurance-age-limit-canada/</t>
        </is>
      </c>
      <c r="H59" s="36" t="inlineStr">
        <is>
          <t>life insurance age limit canada</t>
        </is>
      </c>
      <c r="I59" s="41">
        <f>IFERROR(INDEX('Nationwide KWs'!$D$2:$D$168,MATCH(H59,'Nationwide KWs'!$A$2:$A$168,0)),IFERROR(INDEX('Provincial KWs'!$E$2:$E$137,MATCH(H59,'Provincial KWs'!$A$2:$A$137,0)),IFERROR(INDEX('City KWs'!$F$2:$F$419,MATCH(H59,'City KWs'!$A$2:$A$419,0)),"")))</f>
        <v/>
      </c>
      <c r="J59" s="36" t="inlineStr">
        <is>
          <t>Low</t>
        </is>
      </c>
      <c r="K59" s="25" t="inlineStr">
        <is>
          <t>life insurance over 70; life insurance over 75; life insurance for seniors over 80; can you get life insurance at 85; maximum age for term life insurance</t>
        </is>
      </c>
      <c r="L59" s="36" t="inlineStr">
        <is>
          <t>Nationwide</t>
        </is>
      </c>
      <c r="M59" s="36" t="inlineStr">
        <is>
          <t>commercial</t>
        </is>
      </c>
      <c r="N59" s="36" t="inlineStr">
        <is>
          <t>MOFU</t>
        </is>
      </c>
      <c r="O59" s="25" t="inlineStr">
        <is>
          <t>Life Insurance Age Limit in Canada: Options by Age</t>
        </is>
      </c>
      <c r="P59" s="36">
        <f>LEN(O59)</f>
        <v/>
      </c>
      <c r="Q59" s="25" t="inlineStr">
        <is>
          <t>Is there a life insurance age limit in Canada? What you can still buy at 65, 70, 75 and 80, from term to guaranteed issue. Ask a licensed advisor.</t>
        </is>
      </c>
      <c r="R59" s="36">
        <f>LEN(Q59)</f>
        <v/>
      </c>
      <c r="S59" s="36">
        <f>IF(H59="","",IF(ISNUMBER(SEARCH(SUBSTITUTE(H59,"-"," "),SUBSTITUTE(O59,"-"," "))),"Yes","Check"))</f>
        <v/>
      </c>
      <c r="T59" s="25" t="inlineStr">
        <is>
          <t>Is there an age limit for life insurance in Canada? | Options at 65 | Options at 70 | Options at 75 | Options at 80 and over | Term vs permanent vs guaranteed issue for seniors | Issue-age table by product type</t>
        </is>
      </c>
      <c r="U59" s="25" t="inlineStr">
        <is>
          <t>Can I buy term life insurance at 70? | What is the oldest age to get life insurance in Canada? | Is guaranteed issue the only option after 80? | Do seniors need a medical exam for life insurance?</t>
        </is>
      </c>
      <c r="V59" s="25" t="inlineStr">
        <is>
          <t>An issue-age table by product type (term 10/20, term to 100, whole life, simplified issue, guaranteed issue, final expense) with typical maximum issue ages and coverage caps, each verified against insurer guides and dated.</t>
        </is>
      </c>
      <c r="W59" s="25" t="inlineStr">
        <is>
          <t>/life-insurance/seniors/; /life-insurance/final-expense/; /no-medical-life-insurance/; /guides/simplified-vs-guaranteed-issue-life-insurance/</t>
        </is>
      </c>
      <c r="X59" s="25" t="inlineStr">
        <is>
          <t>Instant seniors life insurance estimate (/quote/)</t>
        </is>
      </c>
      <c r="Y59" s="36" t="inlineStr">
        <is>
          <t>Article; FAQPage; BreadcrumbList</t>
        </is>
      </c>
      <c r="Z59" s="37" t="n">
        <v>1600</v>
      </c>
      <c r="AA59" s="25" t="inlineStr">
        <is>
          <t>PolicyAdvisor's 'Age Limit for Life Insurance in Canada [2024]' carries a stale year and Sun Life's seniors page covers only its own products; no competitor seen gives an age-by-age option grid.</t>
        </is>
      </c>
      <c r="AB59" s="25" t="inlineStr">
        <is>
          <t>Use 'life insurance age limit canada' in the H1, slug, meta title, first 100 words and first H2, with a 40–60 word answer naming the usual cut-off ages. Put the issue-age table directly after the answer and use one H2 per age band; link /life-insurance/seniors/ with 'life insurance for seniors' and /life-insurance/final-expense/ with 'final expense insurance'. Alt text: 'Life insurance options available at ages 65, 70, 75 and 80'. Licensed reviewer, cite insurer product guides, refresh semi-annually.</t>
        </is>
      </c>
      <c r="AC59" s="25" t="inlineStr">
        <is>
          <t>Verify every issue age and maximum on the review date (the Sun Life Go Guaranteed 30–74 issue age comes from the research and must be rechecked); use 'guaranteed acceptance' only for guaranteed-issue products.</t>
        </is>
      </c>
      <c r="AD59" s="36" t="inlineStr">
        <is>
          <t>Semi-annual</t>
        </is>
      </c>
      <c r="AE59" s="38" t="n"/>
      <c r="AF59" s="38" t="n"/>
      <c r="AG59" s="38" t="n"/>
    </row>
    <row r="60" ht="57.45" customHeight="1" s="22">
      <c r="A60" s="36">
        <f>"B"&amp;TEXT(ROW()-1,"0000")</f>
        <v/>
      </c>
      <c r="B60" s="38" t="inlineStr">
        <is>
          <t>Planned</t>
        </is>
      </c>
      <c r="C60" s="36" t="n">
        <v>2</v>
      </c>
      <c r="D60" s="36" t="inlineStr">
        <is>
          <t>Life insurance</t>
        </is>
      </c>
      <c r="E60" s="36" t="inlineStr">
        <is>
          <t>Personas</t>
        </is>
      </c>
      <c r="F60" s="25" t="inlineStr">
        <is>
          <t>Life Insurance for New Parents in Canada: How Much, What Type and When to Buy</t>
        </is>
      </c>
      <c r="G60" s="36" t="inlineStr">
        <is>
          <t>https://instasure.ca/guides/life-insurance-for-new-parents-canada/</t>
        </is>
      </c>
      <c r="H60" s="36" t="inlineStr">
        <is>
          <t>life insurance for new parents</t>
        </is>
      </c>
      <c r="I60" s="41">
        <f>IFERROR(INDEX('Nationwide KWs'!$D$2:$D$168,MATCH(H60,'Nationwide KWs'!$A$2:$A$168,0)),IFERROR(INDEX('Provincial KWs'!$E$2:$E$137,MATCH(H60,'Provincial KWs'!$A$2:$A$137,0)),IFERROR(INDEX('City KWs'!$F$2:$F$419,MATCH(H60,'City KWs'!$A$2:$A$419,0)),"")))</f>
        <v/>
      </c>
      <c r="J60" s="36" t="inlineStr">
        <is>
          <t>Low</t>
        </is>
      </c>
      <c r="K60" s="25" t="inlineStr">
        <is>
          <t>life insurance for young parents; life insurance after having a baby; life insurance for stay at home parent; how much life insurance with kids; life insurance during parental leave</t>
        </is>
      </c>
      <c r="L60" s="36" t="inlineStr">
        <is>
          <t>Nationwide</t>
        </is>
      </c>
      <c r="M60" s="36" t="inlineStr">
        <is>
          <t>commercial</t>
        </is>
      </c>
      <c r="N60" s="36" t="inlineStr">
        <is>
          <t>MOFU</t>
        </is>
      </c>
      <c r="O60" s="25" t="inlineStr">
        <is>
          <t>Life Insurance for New Parents in Canada: A Clear Plan</t>
        </is>
      </c>
      <c r="P60" s="36">
        <f>LEN(O60)</f>
        <v/>
      </c>
      <c r="Q60" s="25" t="inlineStr">
        <is>
          <t>Life insurance for new parents: how much cover a growing family needs, insuring a stay-at-home parent and buying on parental leave. Run the calculator.</t>
        </is>
      </c>
      <c r="R60" s="36">
        <f>LEN(Q60)</f>
        <v/>
      </c>
      <c r="S60" s="36">
        <f>IF(H60="","",IF(ISNUMBER(SEARCH(SUBSTITUTE(H60,"-"," "),SUBSTITUTE(O60,"-"," "))),"Yes","Check"))</f>
        <v/>
      </c>
      <c r="T60" s="25" t="inlineStr">
        <is>
          <t>Do new parents need life insurance? | How much coverage a new family needs | Insuring a stay-at-home parent | Buying while on parental leave | Term, child riders and children's policies | A new-parent checklist: will, guardian, beneficiary</t>
        </is>
      </c>
      <c r="U60" s="25" t="inlineStr">
        <is>
          <t>When should new parents buy life insurance? | Can I get life insurance while on maternity or parental leave? | How much life insurance does a stay-at-home parent need? | Should I name my baby as a beneficiary?</t>
        </is>
      </c>
      <c r="V60" s="25" t="inlineStr">
        <is>
          <t>A worked example for a family with a newborn (income replacement, childcare replacement cost, mortgage) and a one-page new-parent checklist covering will, guardian, beneficiary and coverage.</t>
        </is>
      </c>
      <c r="W60" s="25" t="inlineStr">
        <is>
          <t>/life-insurance/; /term-life-insurance/; /calculators/life-insurance-needs/; /life-insurance/children/; /guides/life-insurance-beneficiary-canada/</t>
        </is>
      </c>
      <c r="X60" s="25" t="inlineStr">
        <is>
          <t>Life insurance needs calculator (/calculators/life-insurance-needs/)</t>
        </is>
      </c>
      <c r="Y60" s="36" t="inlineStr">
        <is>
          <t>Article; FAQPage; BreadcrumbList</t>
        </is>
      </c>
      <c r="Z60" s="37" t="n">
        <v>1700</v>
      </c>
      <c r="AA60" s="25" t="inlineStr">
        <is>
          <t>PolicyAdvisor's 'Life Insurance For New and Young Parents' covers the basics; no competitor seen addresses buying during parental leave or valuing a stay-at-home parent's childcare replacement cost.</t>
        </is>
      </c>
      <c r="AB60" s="25" t="inlineStr">
        <is>
          <t>Use 'life insurance for new parents' in the H1, slug, meta title, first 100 words and first H2, with a 40–60 word answer on why and how much. Present the worked example as a table and the checklist as a downloadable list; link the needs calculator with 'calculate your family's coverage' and the beneficiary guide with 'naming a minor as beneficiary'. Alt text: 'New-parent life insurance checklist with will, guardian and beneficiary'. Licensed reviewer, cite StatCan and provincial childcare program pages, refresh annually.</t>
        </is>
      </c>
      <c r="AC60" s="25" t="inlineStr">
        <is>
          <t>Childcare cost figures need a dated public source (StatCan or provincial child-care program pages); frame type and amount as factors to discuss with a licensed advisor, not as advice.</t>
        </is>
      </c>
      <c r="AD60" s="36" t="inlineStr">
        <is>
          <t>Annual</t>
        </is>
      </c>
      <c r="AE60" s="38" t="n"/>
      <c r="AF60" s="38" t="n"/>
      <c r="AG60" s="38" t="n"/>
    </row>
    <row r="61" ht="57.45" customHeight="1" s="22">
      <c r="A61" s="36">
        <f>"B"&amp;TEXT(ROW()-1,"0000")</f>
        <v/>
      </c>
      <c r="B61" s="38" t="inlineStr">
        <is>
          <t>Planned</t>
        </is>
      </c>
      <c r="C61" s="36" t="n">
        <v>2</v>
      </c>
      <c r="D61" s="36" t="inlineStr">
        <is>
          <t>Life insurance</t>
        </is>
      </c>
      <c r="E61" s="36" t="inlineStr">
        <is>
          <t>Personas</t>
        </is>
      </c>
      <c r="F61" s="25" t="inlineStr">
        <is>
          <t>Life Insurance for Self-Employed Canadians: Coverage Without Group Benefits</t>
        </is>
      </c>
      <c r="G61" s="36" t="inlineStr">
        <is>
          <t>https://instasure.ca/guides/life-insurance-for-self-employed-canada/</t>
        </is>
      </c>
      <c r="H61" s="36" t="inlineStr">
        <is>
          <t>life insurance for self employed</t>
        </is>
      </c>
      <c r="I61" s="41">
        <f>IFERROR(INDEX('Nationwide KWs'!$D$2:$D$168,MATCH(H61,'Nationwide KWs'!$A$2:$A$168,0)),IFERROR(INDEX('Provincial KWs'!$E$2:$E$137,MATCH(H61,'Provincial KWs'!$A$2:$A$137,0)),IFERROR(INDEX('City KWs'!$F$2:$F$419,MATCH(H61,'City KWs'!$A$2:$A$419,0)),"")))</f>
        <v/>
      </c>
      <c r="J61" s="36" t="inlineStr">
        <is>
          <t>Low</t>
        </is>
      </c>
      <c r="K61" s="25" t="inlineStr">
        <is>
          <t>life insurance for contractors canada; life insurance for gig workers; proving income for life insurance; life insurance for freelancers; is life insurance tax deductible self employed</t>
        </is>
      </c>
      <c r="L61" s="36" t="inlineStr">
        <is>
          <t>Nationwide</t>
        </is>
      </c>
      <c r="M61" s="36" t="inlineStr">
        <is>
          <t>commercial</t>
        </is>
      </c>
      <c r="N61" s="36" t="inlineStr">
        <is>
          <t>MOFU</t>
        </is>
      </c>
      <c r="O61" s="25" t="inlineStr">
        <is>
          <t>Life Insurance for Self-Employed Canadians (No Group Plan)</t>
        </is>
      </c>
      <c r="P61" s="36">
        <f>LEN(O61)</f>
        <v/>
      </c>
      <c r="Q61" s="25" t="inlineStr">
        <is>
          <t>Life insurance for self-employed Canadians: how much to buy without group benefits, proving variable income and who should own it. Talk to our desk.</t>
        </is>
      </c>
      <c r="R61" s="36">
        <f>LEN(Q61)</f>
        <v/>
      </c>
      <c r="S61" s="36">
        <f>IF(H61="","",IF(ISNUMBER(SEARCH(SUBSTITUTE(H61,"-"," "),SUBSTITUTE(O61,"-"," "))),"Yes","Check"))</f>
        <v/>
      </c>
      <c r="T61" s="25" t="inlineStr">
        <is>
          <t>Why self-employed people need their own life insurance | How much coverage without group benefits | Proving variable income to insurers | Personal vs corporate ownership | Pairing life with disability cover | A self-employed coverage checklist</t>
        </is>
      </c>
      <c r="U61" s="25" t="inlineStr">
        <is>
          <t>Is life insurance tax deductible for self-employed people in Canada? | How do insurers verify self-employed income? | Should my corporation own my life insurance? | Do gig workers get any life insurance through apps?</t>
        </is>
      </c>
      <c r="V61" s="25" t="inlineStr">
        <is>
          <t>An income-proof checklist (T1 Generals, notices of assessment, financial statements) by business type and a worked example comparing a sole proprietor with an incorporated contractor.</t>
        </is>
      </c>
      <c r="W61" s="25" t="inlineStr">
        <is>
          <t>/life-insurance/; /term-life-insurance/; /disability-insurance/self-employed/; /business-insurance/key-person/; /guides/corporate-owned-life-insurance-canada/</t>
        </is>
      </c>
      <c r="X61" s="25" t="inlineStr">
        <is>
          <t>Request a specialist call: Self-employed income protection desk (/disability-insurance/self-employed/)</t>
        </is>
      </c>
      <c r="Y61" s="36" t="inlineStr">
        <is>
          <t>Article; FAQPage; BreadcrumbList</t>
        </is>
      </c>
      <c r="Z61" s="37" t="n">
        <v>1600</v>
      </c>
      <c r="AA61" s="25" t="inlineStr">
        <is>
          <t>PolicyAdvisor has 'Life Insurance for Business Owners Canada (2025)' and a magazine post on coverage for entrepreneurs; neither covers income-proof documents or gig workers who get no cover through apps.</t>
        </is>
      </c>
      <c r="AB61" s="25" t="inlineStr">
        <is>
          <t>Use 'life insurance for self employed' in the H1, meta title, first 100 words and first H2, with a 40–60 word answer on why group-free workers need their own cover. Put the income-proof checklist in a table by business type; link /disability-insurance/self-employed/ with 'disability insurance for the self-employed' and the corporate-owned guide with 'corporate-owned life insurance'. Alt text: 'Documents insurers ask self-employed applicants for'. Licensed reviewer, cite CRA, refresh annually.</t>
        </is>
      </c>
      <c r="AC61" s="25" t="inlineStr">
        <is>
          <t>Check tax-deductibility statements against CRA guidance (personal policies are generally not deductible); verify gig-platform coverage terms before naming any app.</t>
        </is>
      </c>
      <c r="AD61" s="36" t="inlineStr">
        <is>
          <t>Annual</t>
        </is>
      </c>
      <c r="AE61" s="38" t="n"/>
      <c r="AF61" s="38" t="n"/>
      <c r="AG61" s="38" t="n"/>
    </row>
    <row r="62" ht="57.45" customHeight="1" s="22">
      <c r="A62" s="36">
        <f>"B"&amp;TEXT(ROW()-1,"0000")</f>
        <v/>
      </c>
      <c r="B62" s="38" t="inlineStr">
        <is>
          <t>Planned</t>
        </is>
      </c>
      <c r="C62" s="36" t="n">
        <v>2</v>
      </c>
      <c r="D62" s="36" t="inlineStr">
        <is>
          <t>Life insurance</t>
        </is>
      </c>
      <c r="E62" s="36" t="inlineStr">
        <is>
          <t>Policy changes</t>
        </is>
      </c>
      <c r="F62" s="25" t="inlineStr">
        <is>
          <t>What Happens When Term Life Insurance Expires? Renewal, Conversion and Your Options</t>
        </is>
      </c>
      <c r="G62" s="36" t="inlineStr">
        <is>
          <t>https://instasure.ca/guides/what-happens-when-term-life-insurance-expires/</t>
        </is>
      </c>
      <c r="H62" s="36" t="inlineStr">
        <is>
          <t>what happens when term life insurance expires</t>
        </is>
      </c>
      <c r="I62" s="41">
        <f>IFERROR(INDEX('Nationwide KWs'!$D$2:$D$168,MATCH(H62,'Nationwide KWs'!$A$2:$A$168,0)),IFERROR(INDEX('Provincial KWs'!$E$2:$E$137,MATCH(H62,'Provincial KWs'!$A$2:$A$137,0)),IFERROR(INDEX('City KWs'!$F$2:$F$419,MATCH(H62,'City KWs'!$A$2:$A$419,0)),"")))</f>
        <v/>
      </c>
      <c r="J62" s="36" t="inlineStr">
        <is>
          <t>Low</t>
        </is>
      </c>
      <c r="K62" s="25" t="inlineStr">
        <is>
          <t>term life insurance renewal; convert term life to whole life; term conversion deadline; renewable term life insurance canada; annual renewable term</t>
        </is>
      </c>
      <c r="L62" s="36" t="inlineStr">
        <is>
          <t>Nationwide</t>
        </is>
      </c>
      <c r="M62" s="36" t="inlineStr">
        <is>
          <t>informational</t>
        </is>
      </c>
      <c r="N62" s="36" t="inlineStr">
        <is>
          <t>MOFU</t>
        </is>
      </c>
      <c r="O62" s="25" t="inlineStr">
        <is>
          <t>What Happens When Term Life Insurance Expires?</t>
        </is>
      </c>
      <c r="P62" s="36">
        <f>LEN(O62)</f>
        <v/>
      </c>
      <c r="Q62" s="25" t="inlineStr">
        <is>
          <t>What happens when term life insurance expires? Compare renewing, converting to permanent cover or reapplying, and deadlines to check. Talk to an advisor.</t>
        </is>
      </c>
      <c r="R62" s="36">
        <f>LEN(Q62)</f>
        <v/>
      </c>
      <c r="S62" s="36">
        <f>IF(H62="","",IF(ISNUMBER(SEARCH(SUBSTITUTE(H62,"-"," "),SUBSTITUTE(O62,"-"," "))),"Yes","Check"))</f>
        <v/>
      </c>
      <c r="T62" s="25" t="inlineStr">
        <is>
          <t>What happens when your term ends? | Automatic renewal and how renewal rates work | Converting term to permanent without medical questions | Reapplying for a new policy | Letting coverage lapse | A checklist for the five years before expiry | Renewal vs conversion vs new policy compared</t>
        </is>
      </c>
      <c r="U62" s="25" t="inlineStr">
        <is>
          <t>Does term life insurance renew automatically in Canada? | How much do premiums rise at renewal? | What is the deadline to convert term life insurance? | Can I get a new policy if my health has changed?</t>
        </is>
      </c>
      <c r="V62" s="25" t="inlineStr">
        <is>
          <t>A five-year pre-expiry checklist and a three-way comparison (renew, convert, reapply) with a worked example of renewal vs new-policy cost for a 55-year-old from the Instasure model.</t>
        </is>
      </c>
      <c r="W62" s="25" t="inlineStr">
        <is>
          <t>/term-life-insurance/; /whole-life-insurance/; /guides/term-vs-whole-life-insurance-canada/; /life-insurance/medical-conditions/</t>
        </is>
      </c>
      <c r="X62" s="25" t="inlineStr">
        <is>
          <t>Book a policy review with a licensed advisor (/advisors/)</t>
        </is>
      </c>
      <c r="Y62" s="36" t="inlineStr">
        <is>
          <t>Article; FAQPage; BreadcrumbList</t>
        </is>
      </c>
      <c r="Z62" s="37" t="n">
        <v>1500</v>
      </c>
      <c r="AA62" s="25" t="inlineStr">
        <is>
          <t>PolicyAdvisor covers 'Annual Renewable Term Life Insurance (ART)' as a definition only; nobody seen gives an expiry checklist or compares renewing with reapplying for the same person.</t>
        </is>
      </c>
      <c r="AB62" s="25" t="inlineStr">
        <is>
          <t>Use the focus keyword in the H1, slug, meta title, first 100 words and first H2, and answer in 40–60 words (renew, convert or reapply). Present the three-way comparison as a table and the checklist as a numbered list; link /whole-life-insurance/ with 'convert to permanent life insurance' and the medical-conditions desk with 'if your health has changed'. Alt text: 'Options when a term life policy expires: renew, convert or reapply'. Licensed reviewer, cite sample insurer contracts, refresh annually.</t>
        </is>
      </c>
      <c r="AC62" s="25" t="inlineStr">
        <is>
          <t>Conversion deadlines and renewal guarantees vary by contract; verify example ages against insurer product guides and tell readers to check their own policy schedule.</t>
        </is>
      </c>
      <c r="AD62" s="36" t="inlineStr">
        <is>
          <t>Annual</t>
        </is>
      </c>
      <c r="AE62" s="38" t="n"/>
      <c r="AF62" s="38" t="n"/>
      <c r="AG62" s="38" t="n"/>
    </row>
    <row r="63" ht="57.45" customHeight="1" s="22">
      <c r="A63" s="36">
        <f>"B"&amp;TEXT(ROW()-1,"0000")</f>
        <v/>
      </c>
      <c r="B63" s="38" t="inlineStr">
        <is>
          <t>Planned</t>
        </is>
      </c>
      <c r="C63" s="36" t="n">
        <v>2</v>
      </c>
      <c r="D63" s="36" t="inlineStr">
        <is>
          <t>Life insurance</t>
        </is>
      </c>
      <c r="E63" s="36" t="inlineStr">
        <is>
          <t>Regulation</t>
        </is>
      </c>
      <c r="F63" s="25" t="inlineStr">
        <is>
          <t>How to Check a Life Insurance Advisor's Licence in Every Province and Territory</t>
        </is>
      </c>
      <c r="G63" s="36" t="inlineStr">
        <is>
          <t>https://instasure.ca/guides/check-life-insurance-advisor-licence/</t>
        </is>
      </c>
      <c r="H63" s="36" t="inlineStr">
        <is>
          <t>check insurance agent licence</t>
        </is>
      </c>
      <c r="I63" s="41">
        <f>IFERROR(INDEX('Nationwide KWs'!$D$2:$D$168,MATCH(H63,'Nationwide KWs'!$A$2:$A$168,0)),IFERROR(INDEX('Provincial KWs'!$E$2:$E$137,MATCH(H63,'Provincial KWs'!$A$2:$A$137,0)),IFERROR(INDEX('City KWs'!$F$2:$F$419,MATCH(H63,'City KWs'!$A$2:$A$419,0)),"")))</f>
        <v/>
      </c>
      <c r="J63" s="36" t="inlineStr">
        <is>
          <t>Niche</t>
        </is>
      </c>
      <c r="K63" s="25" t="inlineStr">
        <is>
          <t>life insurance advisor licence lookup; llqp licence; fsra licence search; insurance council of bc licence lookup; amf register; life insurance regulator canada</t>
        </is>
      </c>
      <c r="L63" s="36" t="inlineStr">
        <is>
          <t>Nationwide</t>
        </is>
      </c>
      <c r="M63" s="36" t="inlineStr">
        <is>
          <t>informational</t>
        </is>
      </c>
      <c r="N63" s="36" t="inlineStr">
        <is>
          <t>MOFU</t>
        </is>
      </c>
      <c r="O63" s="25" t="inlineStr">
        <is>
          <t>Check an Insurance Agent Licence: Every Province Listed</t>
        </is>
      </c>
      <c r="P63" s="36">
        <f>LEN(O63)</f>
        <v/>
      </c>
      <c r="Q63" s="25" t="inlineStr">
        <is>
          <t>How to check an insurance agent licence in every province: the regulator, its search tool, what the LLQP means and red flags. Meet our licensed advisors.</t>
        </is>
      </c>
      <c r="R63" s="36">
        <f>LEN(Q63)</f>
        <v/>
      </c>
      <c r="S63" s="36">
        <f>IF(H63="","",IF(ISNUMBER(SEARCH(SUBSTITUTE(H63,"-"," "),SUBSTITUTE(O63,"-"," "))),"Yes","Check"))</f>
        <v/>
      </c>
      <c r="T63" s="25" t="inlineStr">
        <is>
          <t>How to check a life insurance advisor's licence | Who licenses life advisors in each province | What the LLQP licence means | Errors and omissions insurance and MGA ties | Red flags: unlicensed sellers and pressure tactics | Where to complain</t>
        </is>
      </c>
      <c r="U63" s="25" t="inlineStr">
        <is>
          <t>How do I know if a life insurance agent is licensed? | What is the LLQP? | Can an advisor licensed in Ontario sell to me in Nova Scotia? | Who do I complain to about a life insurance advisor?</t>
        </is>
      </c>
      <c r="V63" s="25" t="inlineStr">
        <is>
          <t>A 13-row table with each province and territory's licensing body, public licence search link and complaint route, checked and dated.</t>
        </is>
      </c>
      <c r="W63" s="25" t="inlineStr">
        <is>
          <t>/licensing/; /advisors/; /how-we-make-money/; /editorial-guidelines/</t>
        </is>
      </c>
      <c r="X63" s="25" t="inlineStr">
        <is>
          <t>Meet our licensed advisors (/advisors/)</t>
        </is>
      </c>
      <c r="Y63" s="36" t="inlineStr">
        <is>
          <t>Article; FAQPage; BreadcrumbList; HowTo</t>
        </is>
      </c>
      <c r="Z63" s="37" t="n">
        <v>1500</v>
      </c>
      <c r="AA63" s="25" t="inlineStr">
        <is>
          <t>No competitor coverage seen; the research notes that no competitor links regulator registers (FSRA, Insurance Council of BC, Alberta Insurance Council, AMF).</t>
        </is>
      </c>
      <c r="AB63" s="25" t="inlineStr">
        <is>
          <t>Use the focus keyword in the H1 (as 'advisor's licence'), meta title, first 100 words and first H2, with a 40–60 word answer pointing to the provincial search tools. Make the 13-row regulator table the core asset with live links; link /licensing/ with 'Instasure's licences' and /advisors/ with 'our licensed advisors'. Alt text: 'Table of Canadian insurance regulators and licence search tools'. Licensed reviewer, cite each regulator, refresh when rules change.</t>
        </is>
      </c>
      <c r="AC63" s="25" t="inlineStr">
        <is>
          <t>Verify every regulator name and search link (FSRA, Insurance Council of BC, Alberta Insurance Council, Insurance Council of Manitoba, Insurance Councils of Saskatchewan, AMF, FCNB, NS, PEI, NL and territorial superintendents) at publication; Instasure's own licence details must be real before this goes live.</t>
        </is>
      </c>
      <c r="AD63" s="36" t="inlineStr">
        <is>
          <t>On rule change</t>
        </is>
      </c>
      <c r="AE63" s="38" t="n"/>
      <c r="AF63" s="38" t="n"/>
      <c r="AG63" s="38" t="n"/>
    </row>
    <row r="64" ht="57.45" customHeight="1" s="22">
      <c r="A64" s="36">
        <f>"B"&amp;TEXT(ROW()-1,"0000")</f>
        <v/>
      </c>
      <c r="B64" s="38" t="inlineStr">
        <is>
          <t>Planned</t>
        </is>
      </c>
      <c r="C64" s="36" t="n">
        <v>2</v>
      </c>
      <c r="D64" s="36" t="inlineStr">
        <is>
          <t>Life insurance</t>
        </is>
      </c>
      <c r="E64" s="36" t="inlineStr">
        <is>
          <t>Tax &amp; estate</t>
        </is>
      </c>
      <c r="F64" s="25" t="inlineStr">
        <is>
          <t>Does Life Insurance Go Through Probate? Probate Fees by Province and How to Avoid Them</t>
        </is>
      </c>
      <c r="G64" s="36" t="inlineStr">
        <is>
          <t>https://instasure.ca/guides/does-life-insurance-go-through-probate/</t>
        </is>
      </c>
      <c r="H64" s="36" t="inlineStr">
        <is>
          <t>does life insurance go through probate</t>
        </is>
      </c>
      <c r="I64" s="41">
        <f>IFERROR(INDEX('Nationwide KWs'!$D$2:$D$168,MATCH(H64,'Nationwide KWs'!$A$2:$A$168,0)),IFERROR(INDEX('Provincial KWs'!$E$2:$E$137,MATCH(H64,'Provincial KWs'!$A$2:$A$137,0)),IFERROR(INDEX('City KWs'!$F$2:$F$419,MATCH(H64,'City KWs'!$A$2:$A$419,0)),"")))</f>
        <v/>
      </c>
      <c r="J64" s="36" t="inlineStr">
        <is>
          <t>Low</t>
        </is>
      </c>
      <c r="K64" s="25" t="inlineStr">
        <is>
          <t>probate fees by province; estate administration tax ontario life insurance; bc probate fees life insurance; life insurance outside the estate; creditor protection life insurance</t>
        </is>
      </c>
      <c r="L64" s="36" t="inlineStr">
        <is>
          <t>Nationwide</t>
        </is>
      </c>
      <c r="M64" s="36" t="inlineStr">
        <is>
          <t>informational</t>
        </is>
      </c>
      <c r="N64" s="36" t="inlineStr">
        <is>
          <t>TOFU</t>
        </is>
      </c>
      <c r="O64" s="25" t="inlineStr">
        <is>
          <t>Does Life Insurance Go Through Probate in Canada?</t>
        </is>
      </c>
      <c r="P64" s="36">
        <f>LEN(O64)</f>
        <v/>
      </c>
      <c r="Q64" s="25" t="inlineStr">
        <is>
          <t>Does life insurance go through probate? See when a payout skips the estate, probate fees in each province and how beneficiary choices protect your family.</t>
        </is>
      </c>
      <c r="R64" s="36">
        <f>LEN(Q64)</f>
        <v/>
      </c>
      <c r="S64" s="36">
        <f>IF(H64="","",IF(ISNUMBER(SEARCH(SUBSTITUTE(H64,"-"," "),SUBSTITUTE(O64,"-"," "))),"Yes","Check"))</f>
        <v/>
      </c>
      <c r="T64" s="25" t="inlineStr">
        <is>
          <t>Does life insurance go through probate? The short answer | When a payout becomes part of the estate | Probate fees by province | Creditor protection for named beneficiaries | Using life insurance to pay probate and taxes | Common mistakes that pull a payout into the estate</t>
        </is>
      </c>
      <c r="U64" s="25" t="inlineStr">
        <is>
          <t>Is life insurance part of an estate in Canada? | How much are probate fees in Ontario and BC? | Can creditors claim life insurance proceeds? | Do I need a will if I have life insurance?</t>
        </is>
      </c>
      <c r="V64" s="25" t="inlineStr">
        <is>
          <t>A 13-row province and territory probate fee table (rate, thresholds, cap, source link, date checked) and a worked example of fees avoided on a $500,000 payout by naming a beneficiary.</t>
        </is>
      </c>
      <c r="W64" s="25" t="inlineStr">
        <is>
          <t>/life-insurance/; /guides/life-insurance-beneficiary-canada/; /guides/life-insurance-estate-planning-canada/; /whole-life-insurance/</t>
        </is>
      </c>
      <c r="X64" s="25" t="inlineStr">
        <is>
          <t>Book a policy review with a licensed advisor (/advisors/)</t>
        </is>
      </c>
      <c r="Y64" s="36" t="inlineStr">
        <is>
          <t>Article; FAQPage; BreadcrumbList</t>
        </is>
      </c>
      <c r="Z64" s="37" t="n">
        <v>1800</v>
      </c>
      <c r="AA64" s="25" t="inlineStr">
        <is>
          <t>No competitor coverage seen; the research found no insurer or broker page with a province-by-province probate fee table.</t>
        </is>
      </c>
      <c r="AB64" s="25" t="inlineStr">
        <is>
          <t>Use the exact focus keyword as the H1 question, in the slug, meta title, first 100 words and first H2, and answer in 40–60 words (a named beneficiary usually keeps the payout out of probate). Make the probate table the centrepiece with a 'last checked' date per row; link the beneficiary guide with 'how to choose a beneficiary' and the estate guide with 'life insurance for estate planning'. Alt text: 'Probate fees by Canadian province and territory'. Licensed reviewer plus estate-lawyer review, refresh annually.</t>
        </is>
      </c>
      <c r="AC64" s="25" t="inlineStr">
        <is>
          <t>Verify every probate rate on the province's official site (for example Ontario's Estate Administration Tax and BC's Probate Fee Act) on the publish date; recommend a lawyer for estate structuring.</t>
        </is>
      </c>
      <c r="AD64" s="36" t="inlineStr">
        <is>
          <t>Annual</t>
        </is>
      </c>
      <c r="AE64" s="38" t="n"/>
      <c r="AF64" s="38" t="n"/>
      <c r="AG64" s="38" t="n"/>
    </row>
    <row r="65" ht="57.45" customHeight="1" s="22">
      <c r="A65" s="36">
        <f>"B"&amp;TEXT(ROW()-1,"0000")</f>
        <v/>
      </c>
      <c r="B65" s="38" t="inlineStr">
        <is>
          <t>Planned</t>
        </is>
      </c>
      <c r="C65" s="36" t="n">
        <v>2</v>
      </c>
      <c r="D65" s="36" t="inlineStr">
        <is>
          <t>Life insurance</t>
        </is>
      </c>
      <c r="E65" s="36" t="inlineStr">
        <is>
          <t>Tax &amp; estate</t>
        </is>
      </c>
      <c r="F65" s="25" t="inlineStr">
        <is>
          <t>How to Choose a Life Insurance Beneficiary in Canada: Spouses, Children, Estates and Trusts</t>
        </is>
      </c>
      <c r="G65" s="36" t="inlineStr">
        <is>
          <t>https://instasure.ca/guides/life-insurance-beneficiary-canada/</t>
        </is>
      </c>
      <c r="H65" s="36" t="inlineStr">
        <is>
          <t>life insurance beneficiary canada</t>
        </is>
      </c>
      <c r="I65" s="41">
        <f>IFERROR(INDEX('Nationwide KWs'!$D$2:$D$168,MATCH(H65,'Nationwide KWs'!$A$2:$A$168,0)),IFERROR(INDEX('Provincial KWs'!$E$2:$E$137,MATCH(H65,'Provincial KWs'!$A$2:$A$137,0)),IFERROR(INDEX('City KWs'!$F$2:$F$419,MATCH(H65,'City KWs'!$A$2:$A$419,0)),"")))</f>
        <v/>
      </c>
      <c r="J65" s="36" t="inlineStr">
        <is>
          <t>Low</t>
        </is>
      </c>
      <c r="K65" s="25" t="inlineStr">
        <is>
          <t>revocable vs irrevocable beneficiary; minor child beneficiary life insurance; contingent beneficiary; naming estate as beneficiary; insurance trust canada</t>
        </is>
      </c>
      <c r="L65" s="36" t="inlineStr">
        <is>
          <t>Nationwide</t>
        </is>
      </c>
      <c r="M65" s="36" t="inlineStr">
        <is>
          <t>informational</t>
        </is>
      </c>
      <c r="N65" s="36" t="inlineStr">
        <is>
          <t>MOFU</t>
        </is>
      </c>
      <c r="O65" s="25" t="inlineStr">
        <is>
          <t>Choosing a Life Insurance Beneficiary in Canada</t>
        </is>
      </c>
      <c r="P65" s="36">
        <f>LEN(O65)</f>
        <v/>
      </c>
      <c r="Q65" s="25" t="inlineStr">
        <is>
          <t>How to name a life insurance beneficiary in Canada: revocable vs irrevocable, minors, contingent beneficiaries, estates, trusts and Quebec. Book a review.</t>
        </is>
      </c>
      <c r="R65" s="36">
        <f>LEN(Q65)</f>
        <v/>
      </c>
      <c r="S65" s="36">
        <f>IF(H65="","",IF(ISNUMBER(SEARCH(SUBSTITUTE(H65,"-"," "),SUBSTITUTE(O65,"-"," "))),"Yes","Check"))</f>
        <v/>
      </c>
      <c r="T65" s="25" t="inlineStr">
        <is>
          <t>Who can be a life insurance beneficiary? | Revocable vs irrevocable beneficiaries | Naming minor children: trustees and trusts | Contingent and multiple beneficiaries | Naming your estate: pros and cons | Quebec's different rules | How to change a beneficiary</t>
        </is>
      </c>
      <c r="U65" s="25" t="inlineStr">
        <is>
          <t>Can I name my child as a life insurance beneficiary in Canada? | What happens if my beneficiary dies before me? | Should I name my estate as beneficiary? | Can I change my beneficiary without telling them?</t>
        </is>
      </c>
      <c r="V65" s="25" t="inlineStr">
        <is>
          <t>A beneficiary-designation decision tree and a table comparing options (spouse, minor child with trustee, insurance trust, estate, charity) by payout speed, probate, creditor protection and control.</t>
        </is>
      </c>
      <c r="W65" s="25" t="inlineStr">
        <is>
          <t>/life-insurance/; /guides/does-life-insurance-go-through-probate/; /guides/is-life-insurance-taxable-in-canada/; /life-insurance/children/; /guides/quebec-life-insurance-beneficiary-rules/</t>
        </is>
      </c>
      <c r="X65" s="25" t="inlineStr">
        <is>
          <t>Book a policy review with a licensed advisor (/advisors/)</t>
        </is>
      </c>
      <c r="Y65" s="36" t="inlineStr">
        <is>
          <t>Article; FAQPage; BreadcrumbList</t>
        </is>
      </c>
      <c r="Z65" s="37" t="n">
        <v>1900</v>
      </c>
      <c r="AA65" s="25" t="inlineStr">
        <is>
          <t>No dedicated beneficiary guide was seen in the research; competitors mention beneficiaries only inside product and tax pages.</t>
        </is>
      </c>
      <c r="AB65" s="25" t="inlineStr">
        <is>
          <t>Use 'life insurance beneficiary' plus 'Canada' in the H1, slug, meta title, first 100 words and first H2, with a 40–60 word answer on who can be named. Show the comparison table and decision tree near the top; link the probate guide with 'keep the payout out of probate' and the Quebec rules guide from the Quebec H2. Alt text: 'Decision tree for choosing a life insurance beneficiary'. Licensed reviewer plus lawyer review, cite provincial insurance acts and the Civil Code of Québec, refresh annually.</t>
        </is>
      </c>
      <c r="AC65" s="25" t="inlineStr">
        <is>
          <t>Beneficiary and minor-trustee rules come from provincial insurance acts and the Quebec Civil Code; have a lawyer review province statements and avoid legal-advice wording.</t>
        </is>
      </c>
      <c r="AD65" s="36" t="inlineStr">
        <is>
          <t>Annual</t>
        </is>
      </c>
      <c r="AE65" s="38" t="n"/>
      <c r="AF65" s="38" t="n"/>
      <c r="AG65" s="38" t="n"/>
    </row>
    <row r="66" ht="57.45" customHeight="1" s="22">
      <c r="A66" s="36">
        <f>"B"&amp;TEXT(ROW()-1,"0000")</f>
        <v/>
      </c>
      <c r="B66" s="38" t="inlineStr">
        <is>
          <t>Planned</t>
        </is>
      </c>
      <c r="C66" s="36" t="n">
        <v>2</v>
      </c>
      <c r="D66" s="36" t="inlineStr">
        <is>
          <t>Life insurance</t>
        </is>
      </c>
      <c r="E66" s="36" t="inlineStr">
        <is>
          <t>Tax &amp; estate</t>
        </is>
      </c>
      <c r="F66" s="25" t="inlineStr">
        <is>
          <t>Using Life Insurance for Estate Planning in Canada: Capital Gains at Death, Cottages and Legacies</t>
        </is>
      </c>
      <c r="G66" s="36" t="inlineStr">
        <is>
          <t>https://instasure.ca/guides/life-insurance-estate-planning-canada/</t>
        </is>
      </c>
      <c r="H66" s="36" t="inlineStr">
        <is>
          <t>life insurance for estate planning canada</t>
        </is>
      </c>
      <c r="I66" s="41">
        <f>IFERROR(INDEX('Nationwide KWs'!$D$2:$D$168,MATCH(H66,'Nationwide KWs'!$A$2:$A$168,0)),IFERROR(INDEX('Provincial KWs'!$E$2:$E$137,MATCH(H66,'Provincial KWs'!$A$2:$A$137,0)),IFERROR(INDEX('City KWs'!$F$2:$F$419,MATCH(H66,'City KWs'!$A$2:$A$419,0)),"")))</f>
        <v/>
      </c>
      <c r="J66" s="36" t="inlineStr">
        <is>
          <t>Low</t>
        </is>
      </c>
      <c r="K66" s="25" t="inlineStr">
        <is>
          <t>deemed disposition at death canada; capital gains tax on cottage at death; joint last to die estate taxes; life insurance for inheritance; leaving a legacy with life insurance</t>
        </is>
      </c>
      <c r="L66" s="36" t="inlineStr">
        <is>
          <t>Nationwide</t>
        </is>
      </c>
      <c r="M66" s="36" t="inlineStr">
        <is>
          <t>commercial</t>
        </is>
      </c>
      <c r="N66" s="36" t="inlineStr">
        <is>
          <t>MOFU</t>
        </is>
      </c>
      <c r="O66" s="25" t="inlineStr">
        <is>
          <t>Life Insurance for Estate Planning in Canada: A Guide</t>
        </is>
      </c>
      <c r="P66" s="36">
        <f>LEN(O66)</f>
        <v/>
      </c>
      <c r="Q66" s="25" t="inlineStr">
        <is>
          <t>Life insurance for estate planning in Canada: covering tax at death, keeping the family cottage, equal inheritances and joint last-to-die. Ask an advisor.</t>
        </is>
      </c>
      <c r="R66" s="36">
        <f>LEN(Q66)</f>
        <v/>
      </c>
      <c r="S66" s="36">
        <f>IF(H66="","",IF(ISNUMBER(SEARCH(SUBSTITUTE(H66,"-"," "),SUBSTITUTE(O66,"-"," "))),"Yes","Check"))</f>
        <v/>
      </c>
      <c r="T66" s="25" t="inlineStr">
        <is>
          <t>How life insurance helps with estate planning | Deemed disposition: the tax bill at death | Keeping the family cottage | Equalising inheritances between children | Joint last-to-die policies for couples | Charitable gifts with life insurance | Worked example: a cottage-owning couple</t>
        </is>
      </c>
      <c r="U66" s="25" t="inlineStr">
        <is>
          <t>Do you pay capital gains tax on a cottage when you die in Canada? | How much life insurance do I need to cover estate taxes? | Is joint last-to-die cheaper than two policies? | Can life insurance be used for a charitable gift?</t>
        </is>
      </c>
      <c r="V66" s="25" t="inlineStr">
        <is>
          <t>A worked example estimating the deemed-disposition tax on a cottage and a RRIF for a couple, then sizing a joint last-to-die policy to cover it (assumptions and CRA sources stated).</t>
        </is>
      </c>
      <c r="W66" s="25" t="inlineStr">
        <is>
          <t>/whole-life-insurance/; /life-insurance/joint/; /life-insurance/universal-life/; /guides/does-life-insurance-go-through-probate/; /guides/is-life-insurance-taxable-in-canada/</t>
        </is>
      </c>
      <c r="X66" s="25" t="inlineStr">
        <is>
          <t>Talk to a licensed advisor about permanent cover (/whole-life-insurance/)</t>
        </is>
      </c>
      <c r="Y66" s="36" t="inlineStr">
        <is>
          <t>Article; FAQPage; BreadcrumbList</t>
        </is>
      </c>
      <c r="Z66" s="37" t="n">
        <v>2000</v>
      </c>
      <c r="AA66" s="25" t="inlineStr">
        <is>
          <t>PolicyAdvisor ('Canadian Deemed Disposition Tax: Estate Planning &amp; Whole Life', 'Capital gains tax changes in Canada: Explained (2025)') and a Ratehub blog cover parts of this; none walks through a cottage example with a sized policy.</t>
        </is>
      </c>
      <c r="AB66" s="25" t="inlineStr">
        <is>
          <t>Use the focus keyword in the H1, meta title, first 100 words and first H2, with a 40–60 word answer on how a payout funds taxes at death. Present the cottage worked example as a step table with stated assumptions; link /life-insurance/joint/ with 'joint last-to-die life insurance' and the probate guide with 'probate fees by province'. Alt text: 'Worked example of capital gains tax on a family cottage at death'. Licensed reviewer plus CPA review, cite CRA, refresh on budget changes.</t>
        </is>
      </c>
      <c r="AC66" s="25" t="inlineStr">
        <is>
          <t>Verify capital gains inclusion rates and RRIF rules against current CRA guidance and the latest federal budget; label tax estimates as illustrative and recommend professional tax advice.</t>
        </is>
      </c>
      <c r="AD66" s="36" t="inlineStr">
        <is>
          <t>On rule change</t>
        </is>
      </c>
      <c r="AE66" s="38" t="n"/>
      <c r="AF66" s="38" t="n"/>
      <c r="AG66" s="38" t="n"/>
    </row>
    <row r="67" ht="57.45" customHeight="1" s="22">
      <c r="A67" s="36">
        <f>"B"&amp;TEXT(ROW()-1,"0000")</f>
        <v/>
      </c>
      <c r="B67" s="38" t="inlineStr">
        <is>
          <t>Planned</t>
        </is>
      </c>
      <c r="C67" s="36" t="n">
        <v>2</v>
      </c>
      <c r="D67" s="36" t="inlineStr">
        <is>
          <t>Life insurance</t>
        </is>
      </c>
      <c r="E67" s="36" t="inlineStr">
        <is>
          <t>Underwriting</t>
        </is>
      </c>
      <c r="F67" s="25" t="inlineStr">
        <is>
          <t>Life Insurance Medical Exams and Applications: What Insurers Ask and How to Prepare</t>
        </is>
      </c>
      <c r="G67" s="36" t="inlineStr">
        <is>
          <t>https://instasure.ca/guides/life-insurance-medical-exam-application/</t>
        </is>
      </c>
      <c r="H67" s="36" t="inlineStr">
        <is>
          <t>life insurance medical exam</t>
        </is>
      </c>
      <c r="I67" s="41">
        <f>IFERROR(INDEX('Nationwide KWs'!$D$2:$D$168,MATCH(H67,'Nationwide KWs'!$A$2:$A$168,0)),IFERROR(INDEX('Provincial KWs'!$E$2:$E$137,MATCH(H67,'Provincial KWs'!$A$2:$A$137,0)),IFERROR(INDEX('City KWs'!$F$2:$F$419,MATCH(H67,'City KWs'!$A$2:$A$419,0)),"")))</f>
        <v/>
      </c>
      <c r="J67" s="36" t="inlineStr">
        <is>
          <t>Low</t>
        </is>
      </c>
      <c r="K67" s="25" t="inlineStr">
        <is>
          <t>what is asked on a life insurance application; paramedical exam; mib life insurance; attending physician statement; life insurance blood test</t>
        </is>
      </c>
      <c r="L67" s="36" t="inlineStr">
        <is>
          <t>Nationwide</t>
        </is>
      </c>
      <c r="M67" s="36" t="inlineStr">
        <is>
          <t>informational</t>
        </is>
      </c>
      <c r="N67" s="36" t="inlineStr">
        <is>
          <t>MOFU</t>
        </is>
      </c>
      <c r="O67" s="25" t="inlineStr">
        <is>
          <t>Life Insurance Medical Exam: What to Expect in Canada</t>
        </is>
      </c>
      <c r="P67" s="36">
        <f>LEN(O67)</f>
        <v/>
      </c>
      <c r="Q67" s="25" t="inlineStr">
        <is>
          <t>What happens at a life insurance medical exam in Canada, what the application asks and how MIB and doctor reports work. Use our exam-day checklist.</t>
        </is>
      </c>
      <c r="R67" s="36">
        <f>LEN(Q67)</f>
        <v/>
      </c>
      <c r="S67" s="36">
        <f>IF(H67="","",IF(ISNUMBER(SEARCH(SUBSTITUTE(H67,"-"," "),SUBSTITUTE(O67,"-"," "))),"Yes","Check"))</f>
        <v/>
      </c>
      <c r="T67" s="25" t="inlineStr">
        <is>
          <t>Do you need a medical exam for life insurance? | What the application asks | What happens at a paramedical exam | Blood, urine and other tests | Doctor reports and the MIB | How long underwriting takes | A preparation checklist for exam day</t>
        </is>
      </c>
      <c r="U67" s="25" t="inlineStr">
        <is>
          <t>Who pays for a life insurance medical exam? | Can I eat before a life insurance blood test? | What is the MIB and can I see my file? | How long does life insurance underwriting take in Canada?</t>
        </is>
      </c>
      <c r="V67" s="25" t="inlineStr">
        <is>
          <t>An exam-day preparation checklist and an underwriting timeline graphic (application to approval) with typical step durations, plus the question categories found on a standard application.</t>
        </is>
      </c>
      <c r="W67" s="25" t="inlineStr">
        <is>
          <t>/life-insurance/; /no-medical-life-insurance/; /life-insurance/medical-conditions/; /guides/life-insurance-rating-classes-canada/</t>
        </is>
      </c>
      <c r="X67" s="25" t="inlineStr">
        <is>
          <t>Request a specialist call: Medical underwriting desk (/life-insurance/medical-conditions/)</t>
        </is>
      </c>
      <c r="Y67" s="36" t="inlineStr">
        <is>
          <t>Article; FAQPage; BreadcrumbList</t>
        </is>
      </c>
      <c r="Z67" s="37" t="n">
        <v>1700</v>
      </c>
      <c r="AA67" s="25" t="inlineStr">
        <is>
          <t>PolicyAdvisor's 'What is asked on a life insurance application and how to prepare?' covers the form only; no competitor seen explains the paramedical exam, MIB file access and the underwriting timeline together.</t>
        </is>
      </c>
      <c r="AB67" s="25" t="inlineStr">
        <is>
          <t>Use 'life insurance medical exam' in the H1, slug stem, meta title, first 100 words and first H2, with a 40–60 word answer on when exams are required. Show the timeline as a graphic with a text equivalent and the checklist as a list; link /no-medical-life-insurance/ with 'life insurance without a medical exam' and the rating-classes guide with 'how rating classes are set'. Alt text: 'Life insurance underwriting timeline from application to approval'. Licensed reviewer, cite MIB and insurer underwriting guides, refresh annually.</t>
        </is>
      </c>
      <c r="AC67" s="25" t="inlineStr">
        <is>
          <t>Verify MIB's consumer file-request process for Canada and typical exam thresholds by age and amount; note that health information needs express consent under PIPEDA.</t>
        </is>
      </c>
      <c r="AD67" s="36" t="inlineStr">
        <is>
          <t>Annual</t>
        </is>
      </c>
      <c r="AE67" s="38" t="n"/>
      <c r="AF67" s="38" t="n"/>
      <c r="AG67" s="38" t="n"/>
    </row>
    <row r="68" ht="57.45" customHeight="1" s="22">
      <c r="A68" s="36">
        <f>"B"&amp;TEXT(ROW()-1,"0000")</f>
        <v/>
      </c>
      <c r="B68" s="38" t="inlineStr">
        <is>
          <t>Planned</t>
        </is>
      </c>
      <c r="C68" s="36" t="n">
        <v>2</v>
      </c>
      <c r="D68" s="36" t="inlineStr">
        <is>
          <t>Life insurance</t>
        </is>
      </c>
      <c r="E68" s="36" t="inlineStr">
        <is>
          <t>Underwriting</t>
        </is>
      </c>
      <c r="F68" s="25" t="inlineStr">
        <is>
          <t>Life Insurance Rating Classes Explained: Preferred, Standard and Rated</t>
        </is>
      </c>
      <c r="G68" s="36" t="inlineStr">
        <is>
          <t>https://instasure.ca/guides/life-insurance-rating-classes-canada/</t>
        </is>
      </c>
      <c r="H68" s="36" t="inlineStr">
        <is>
          <t>life insurance rating classes</t>
        </is>
      </c>
      <c r="I68" s="41">
        <f>IFERROR(INDEX('Nationwide KWs'!$D$2:$D$168,MATCH(H68,'Nationwide KWs'!$A$2:$A$168,0)),IFERROR(INDEX('Provincial KWs'!$E$2:$E$137,MATCH(H68,'Provincial KWs'!$A$2:$A$137,0)),IFERROR(INDEX('City KWs'!$F$2:$F$419,MATCH(H68,'City KWs'!$A$2:$A$419,0)),"")))</f>
        <v/>
      </c>
      <c r="J68" s="36" t="inlineStr">
        <is>
          <t>Niche</t>
        </is>
      </c>
      <c r="K68" s="25" t="inlineStr">
        <is>
          <t>preferred plus life insurance; life insurance underwriting classes; table rating life insurance; life insurance build chart bmi; life insurance for overweight people</t>
        </is>
      </c>
      <c r="L68" s="36" t="inlineStr">
        <is>
          <t>Nationwide</t>
        </is>
      </c>
      <c r="M68" s="36" t="inlineStr">
        <is>
          <t>informational</t>
        </is>
      </c>
      <c r="N68" s="36" t="inlineStr">
        <is>
          <t>MOFU</t>
        </is>
      </c>
      <c r="O68" s="25" t="inlineStr">
        <is>
          <t>Life Insurance Rating Classes: Preferred to Rated</t>
        </is>
      </c>
      <c r="P68" s="36">
        <f>LEN(O68)</f>
        <v/>
      </c>
      <c r="Q68" s="25" t="inlineStr">
        <is>
          <t>How life insurance rating classes work in Canada: preferred plus to table ratings, the health and BMI factors used and how to appeal. Ask our desk.</t>
        </is>
      </c>
      <c r="R68" s="36">
        <f>LEN(Q68)</f>
        <v/>
      </c>
      <c r="S68" s="36">
        <f>IF(H68="","",IF(ISNUMBER(SEARCH(SUBSTITUTE(H68,"-"," "),SUBSTITUTE(O68,"-"," "))),"Yes","Check"))</f>
        <v/>
      </c>
      <c r="T68" s="25" t="inlineStr">
        <is>
          <t>What are life insurance rating classes? | Preferred plus, preferred and standard | Table ratings and flat extras | Height, weight and BMI build charts | Family history, blood pressure and cholesterol | How to ask for a reconsideration | Rating class price impact table</t>
        </is>
      </c>
      <c r="U68" s="25" t="inlineStr">
        <is>
          <t>What is the top rating class for life insurance? | Can my rating class improve later? | Does BMI affect life insurance rates in Canada? | What does a table 2 rating mean?</t>
        </is>
      </c>
      <c r="V68" s="25" t="inlineStr">
        <is>
          <t>A rating-class price impact table for one profile (preferred plus through table 4) from the Instasure model and an illustrative explanation of build-chart bands (no insurer's proprietary chart reproduced).</t>
        </is>
      </c>
      <c r="W68" s="25" t="inlineStr">
        <is>
          <t>/life-insurance/medical-conditions/; /guides/how-much-does-life-insurance-cost-canada/; /guides/life-insurance-medical-exam-application/; /life-insurance/</t>
        </is>
      </c>
      <c r="X68" s="25" t="inlineStr">
        <is>
          <t>Request a specialist call: Medical underwriting desk (/life-insurance/medical-conditions/)</t>
        </is>
      </c>
      <c r="Y68" s="36" t="inlineStr">
        <is>
          <t>Article; FAQPage; BreadcrumbList</t>
        </is>
      </c>
      <c r="Z68" s="37" t="n">
        <v>1500</v>
      </c>
      <c r="AA68" s="25" t="inlineStr">
        <is>
          <t>PolicyAdvisor covers weight in 'Can I get life insurance if I'm overweight?', but no competitor seen explains preferred classes, table ratings and flat extras together or how to request a reconsideration.</t>
        </is>
      </c>
      <c r="AB68" s="25" t="inlineStr">
        <is>
          <t>Use 'life insurance rating classes' in the H1, slug, meta title, first 100 words and first H2, then define the classes in 40–60 words. Show the price impact table near the top and use one H2 per factor; link the medical-conditions desk with 'get a confidential pre-underwriting opinion' and the exam guide with 'what happens at the medical exam'. Alt text: 'How rating classes change a life insurance premium'. Licensed reviewer, cite insurer underwriting guides, refresh annually.</t>
        </is>
      </c>
      <c r="AC68" s="25" t="inlineStr">
        <is>
          <t>Class names and criteria are insurer-specific; present them as typical, do not reproduce proprietary build charts, and label price multiples as model estimates.</t>
        </is>
      </c>
      <c r="AD68" s="36" t="inlineStr">
        <is>
          <t>Annual</t>
        </is>
      </c>
      <c r="AE68" s="38" t="n"/>
      <c r="AF68" s="38" t="n"/>
      <c r="AG68" s="38" t="n"/>
    </row>
    <row r="69" ht="57.45" customHeight="1" s="22">
      <c r="A69" s="36">
        <f>"B"&amp;TEXT(ROW()-1,"0000")</f>
        <v/>
      </c>
      <c r="B69" s="38" t="inlineStr">
        <is>
          <t>Planned</t>
        </is>
      </c>
      <c r="C69" s="36" t="n">
        <v>3</v>
      </c>
      <c r="D69" s="36" t="inlineStr">
        <is>
          <t>Life insurance</t>
        </is>
      </c>
      <c r="E69" s="36" t="inlineStr">
        <is>
          <t>Business owners</t>
        </is>
      </c>
      <c r="F69" s="25" t="inlineStr">
        <is>
          <t>Corporate-Owned Life Insurance in Canada: How It Works for Incorporated Professionals</t>
        </is>
      </c>
      <c r="G69" s="36" t="inlineStr">
        <is>
          <t>https://instasure.ca/guides/corporate-owned-life-insurance-canada/</t>
        </is>
      </c>
      <c r="H69" s="36" t="inlineStr">
        <is>
          <t>corporate owned life insurance canada</t>
        </is>
      </c>
      <c r="I69" s="41">
        <f>IFERROR(INDEX('Nationwide KWs'!$D$2:$D$168,MATCH(H69,'Nationwide KWs'!$A$2:$A$168,0)),IFERROR(INDEX('Provincial KWs'!$E$2:$E$137,MATCH(H69,'Provincial KWs'!$A$2:$A$137,0)),IFERROR(INDEX('City KWs'!$F$2:$F$419,MATCH(H69,'City KWs'!$A$2:$A$419,0)),"")))</f>
        <v/>
      </c>
      <c r="J69" s="36" t="inlineStr">
        <is>
          <t>Niche</t>
        </is>
      </c>
      <c r="K69" s="25" t="inlineStr">
        <is>
          <t>life insurance for doctors canada; life insurance through a holding company; capital dividend account; whole life for business owners; life insurance for incorporated professionals</t>
        </is>
      </c>
      <c r="L69" s="36" t="inlineStr">
        <is>
          <t>Nationwide</t>
        </is>
      </c>
      <c r="M69" s="36" t="inlineStr">
        <is>
          <t>commercial</t>
        </is>
      </c>
      <c r="N69" s="36" t="inlineStr">
        <is>
          <t>MOFU</t>
        </is>
      </c>
      <c r="O69" s="25" t="inlineStr">
        <is>
          <t>Corporate-Owned Life Insurance in Canada, Explained</t>
        </is>
      </c>
      <c r="P69" s="36">
        <f>LEN(O69)</f>
        <v/>
      </c>
      <c r="Q69" s="25" t="inlineStr">
        <is>
          <t>How corporate owned life insurance works in Canada for incorporated doctors, dentists and owners: CDA payouts, premiums and risks. Talk to an advisor.</t>
        </is>
      </c>
      <c r="R69" s="36">
        <f>LEN(Q69)</f>
        <v/>
      </c>
      <c r="S69" s="36">
        <f>IF(H69="","",IF(ISNUMBER(SEARCH(SUBSTITUTE(H69,"-"," "),SUBSTITUTE(O69,"-"," "))),"Yes","Check"))</f>
        <v/>
      </c>
      <c r="T69" s="25" t="inlineStr">
        <is>
          <t>What is corporate-owned life insurance? | Why incorporated professionals use it | How the capital dividend account works | Paying premiums with corporate dollars | Holding company vs operating company ownership | Risks and pitfalls | Who it suits and who should skip it</t>
        </is>
      </c>
      <c r="U69" s="25" t="inlineStr">
        <is>
          <t>Is corporate-owned life insurance a taxable benefit? | Can a professional corporation own life insurance in every province? | Is corporate whole life better than personal term? | What happens to the policy if I sell my practice?</t>
        </is>
      </c>
      <c r="V69" s="25" t="inlineStr">
        <is>
          <t>A worked comparison of paying the same premium personally vs through a corporation (pre-tax dollars needed, CDA credit at death) with assumptions stated, plus a pros and cons table by profession.</t>
        </is>
      </c>
      <c r="W69" s="25" t="inlineStr">
        <is>
          <t>/whole-life-insurance/; /business-insurance/key-person/; /guides/buy-sell-agreement-life-insurance-canada/; /guides/is-life-insurance-taxable-in-canada/</t>
        </is>
      </c>
      <c r="X69" s="25" t="inlineStr">
        <is>
          <t>Talk to a licensed advisor about permanent cover (/whole-life-insurance/)</t>
        </is>
      </c>
      <c r="Y69" s="36" t="inlineStr">
        <is>
          <t>Article; FAQPage; BreadcrumbList</t>
        </is>
      </c>
      <c r="Z69" s="37" t="n">
        <v>1900</v>
      </c>
      <c r="AA69" s="25" t="inlineStr">
        <is>
          <t>PolicyAdvisor has 'Corporate-owned life insurance in Canada', 'Best life insurance for doctors and physicians' and 'Whole Life Insurance for High Income Earners in Canada (2025)' as separate pages; none walks through a worked after-tax comparison.</t>
        </is>
      </c>
      <c r="AB69" s="25" t="inlineStr">
        <is>
          <t>Use the focus keyword in the H1, slug, meta title, first 100 words and first H2, with a 40–60 word definition. Present the personal vs corporate comparison as a two-column table with stated tax assumptions; link /whole-life-insurance/ with 'whole life insurance' and the buy-sell guide with 'funding a buy-sell agreement'. Alt text: 'Paying life insurance premiums personally vs through a corporation'. Licensed reviewer plus CPA review, cite CRA, refresh on budget changes.</t>
        </is>
      </c>
      <c r="AC69" s="25" t="inlineStr">
        <is>
          <t>Check tax rates and CDA rules against CRA and have a tax professional review; professional-corporation rules vary by province and regulatory college, so verify before stating them.</t>
        </is>
      </c>
      <c r="AD69" s="36" t="inlineStr">
        <is>
          <t>On rule change</t>
        </is>
      </c>
      <c r="AE69" s="38" t="n"/>
      <c r="AF69" s="38" t="n"/>
      <c r="AG69" s="38" t="n"/>
    </row>
    <row r="70" ht="57.45" customHeight="1" s="22">
      <c r="A70" s="36">
        <f>"B"&amp;TEXT(ROW()-1,"0000")</f>
        <v/>
      </c>
      <c r="B70" s="38" t="inlineStr">
        <is>
          <t>Planned</t>
        </is>
      </c>
      <c r="C70" s="36" t="n">
        <v>3</v>
      </c>
      <c r="D70" s="36" t="inlineStr">
        <is>
          <t>Life insurance</t>
        </is>
      </c>
      <c r="E70" s="36" t="inlineStr">
        <is>
          <t>Claims</t>
        </is>
      </c>
      <c r="F70" s="25" t="inlineStr">
        <is>
          <t>How to Find a Life Insurance Policy for Someone Who Has Died in Canada</t>
        </is>
      </c>
      <c r="G70" s="36" t="inlineStr">
        <is>
          <t>https://instasure.ca/guides/find-a-lost-life-insurance-policy-canada/</t>
        </is>
      </c>
      <c r="H70" s="36" t="inlineStr">
        <is>
          <t>find life insurance policy of deceased</t>
        </is>
      </c>
      <c r="I70" s="41">
        <f>IFERROR(INDEX('Nationwide KWs'!$D$2:$D$168,MATCH(H70,'Nationwide KWs'!$A$2:$A$168,0)),IFERROR(INDEX('Provincial KWs'!$E$2:$E$137,MATCH(H70,'Provincial KWs'!$A$2:$A$137,0)),IFERROR(INDEX('City KWs'!$F$2:$F$419,MATCH(H70,'City KWs'!$A$2:$A$419,0)),"")))</f>
        <v/>
      </c>
      <c r="J70" s="36" t="inlineStr">
        <is>
          <t>Low</t>
        </is>
      </c>
      <c r="K70" s="25" t="inlineStr">
        <is>
          <t>lost life insurance policy canada; how to find out if someone had life insurance; unclaimed life insurance canada; group life insurance after death of employee; old life insurance policy search</t>
        </is>
      </c>
      <c r="L70" s="36" t="inlineStr">
        <is>
          <t>Nationwide</t>
        </is>
      </c>
      <c r="M70" s="36" t="inlineStr">
        <is>
          <t>informational</t>
        </is>
      </c>
      <c r="N70" s="36" t="inlineStr">
        <is>
          <t>TOFU</t>
        </is>
      </c>
      <c r="O70" s="25" t="inlineStr">
        <is>
          <t>How to Find a Life Insurance Policy of a Deceased Person</t>
        </is>
      </c>
      <c r="P70" s="36">
        <f>LEN(O70)</f>
        <v/>
      </c>
      <c r="Q70" s="25" t="inlineStr">
        <is>
          <t>How to find a life insurance policy of a deceased parent or spouse in Canada: where to search, who to call and creditor cover to check. Use our checklist.</t>
        </is>
      </c>
      <c r="R70" s="36">
        <f>LEN(Q70)</f>
        <v/>
      </c>
      <c r="S70" s="36">
        <f>IF(H70="","",IF(ISNUMBER(SEARCH(SUBSTITUTE(H70,"-"," "),SUBSTITUTE(O70,"-"," "))),"Yes","Check"))</f>
        <v/>
      </c>
      <c r="T70" s="25" t="inlineStr">
        <is>
          <t>How to find out if someone had life insurance | Search their papers, bank records and email | Check employer, union and association group plans | Check mortgage, loan and credit card creditor insurance | Contact insurers and industry search services | Unclaimed balances and demutualization shares | What to do once you find a policy</t>
        </is>
      </c>
      <c r="U70" s="25" t="inlineStr">
        <is>
          <t>Is there a national life insurance registry in Canada? | How do I find out if my parent had life insurance? | Can I claim an old policy if premiums stopped? | Do banks have to tell me about mortgage life insurance?</t>
        </is>
      </c>
      <c r="V70" s="25" t="inlineStr">
        <is>
          <t>A search checklist of ten places to look (bank statements, employer HR, unions, credit cards, mortgage lender, financial advisor, tax returns, mail, safety deposit box, Bank of Canada unclaimed balances) with a contact-script template.</t>
        </is>
      </c>
      <c r="W70" s="25" t="inlineStr">
        <is>
          <t>/guides/how-to-make-a-life-insurance-claim-canada/; /life-insurance/; /mortgage-life-insurance/; /guides/category/claims-rules/</t>
        </is>
      </c>
      <c r="X70" s="25" t="inlineStr">
        <is>
          <t>Book a policy review with a licensed advisor (/advisors/)</t>
        </is>
      </c>
      <c r="Y70" s="36" t="inlineStr">
        <is>
          <t>Article; FAQPage; BreadcrumbList; HowTo</t>
        </is>
      </c>
      <c r="Z70" s="37" t="n">
        <v>1500</v>
      </c>
      <c r="AA70" s="25" t="inlineStr">
        <is>
          <t>No competitor coverage seen.</t>
        </is>
      </c>
      <c r="AB70" s="25" t="inlineStr">
        <is>
          <t>Use the focus keyword in the H1 (as 'someone who has died'), meta title, first 100 words and first H2, with a 40–60 word answer listing where to start. Mark the ten-place search as HowTo steps and include the contact script as a copyable block; link the claim guide with 'how to make a life insurance claim' and /mortgage-life-insurance/ with 'mortgage life insurance'. Alt text: 'Checklist of places to search for a lost life insurance policy'. Licensed reviewer, cite CLHIA, OLHI and the Bank of Canada, refresh annually.</t>
        </is>
      </c>
      <c r="AC70" s="25" t="inlineStr">
        <is>
          <t>Verify whether CLHIA or OLHI currently offer a policy-search service and its process, and how the Bank of Canada unclaimed-balances search works; do not imply a national registry exists unless confirmed.</t>
        </is>
      </c>
      <c r="AD70" s="36" t="inlineStr">
        <is>
          <t>Annual</t>
        </is>
      </c>
      <c r="AE70" s="38" t="n"/>
      <c r="AF70" s="38" t="n"/>
      <c r="AG70" s="38" t="n"/>
    </row>
    <row r="71" ht="68.65000000000001" customHeight="1" s="22">
      <c r="A71" s="36">
        <f>"B"&amp;TEXT(ROW()-1,"0000")</f>
        <v/>
      </c>
      <c r="B71" s="38" t="inlineStr">
        <is>
          <t>Planned</t>
        </is>
      </c>
      <c r="C71" s="36" t="n">
        <v>3</v>
      </c>
      <c r="D71" s="36" t="inlineStr">
        <is>
          <t>Life insurance</t>
        </is>
      </c>
      <c r="E71" s="36" t="inlineStr">
        <is>
          <t>Comparisons</t>
        </is>
      </c>
      <c r="F71" s="25" t="inlineStr">
        <is>
          <t>Best Life Insurance Companies in Canada: Ranked by a Published Method</t>
        </is>
      </c>
      <c r="G71" s="36" t="inlineStr">
        <is>
          <t>https://instasure.ca/guides/best-life-insurance-companies-canada/</t>
        </is>
      </c>
      <c r="H71" s="36" t="inlineStr">
        <is>
          <t>best life insurance companies canada</t>
        </is>
      </c>
      <c r="I71" s="41">
        <f>IFERROR(INDEX('Nationwide KWs'!$D$2:$D$168,MATCH(H71,'Nationwide KWs'!$A$2:$A$168,0)),IFERROR(INDEX('Provincial KWs'!$E$2:$E$137,MATCH(H71,'Provincial KWs'!$A$2:$A$137,0)),IFERROR(INDEX('City KWs'!$F$2:$F$419,MATCH(H71,'City KWs'!$A$2:$A$419,0)),"")))</f>
        <v/>
      </c>
      <c r="J71" s="36" t="inlineStr">
        <is>
          <t>High</t>
        </is>
      </c>
      <c r="K71" s="25" t="inlineStr">
        <is>
          <t>top life insurance companies canada; largest life insurance companies canada; life insurance company ratings canada; am best ratings canadian insurers; life insurer financial strength</t>
        </is>
      </c>
      <c r="L71" s="36" t="inlineStr">
        <is>
          <t>Nationwide</t>
        </is>
      </c>
      <c r="M71" s="36" t="inlineStr">
        <is>
          <t>commercial</t>
        </is>
      </c>
      <c r="N71" s="36" t="inlineStr">
        <is>
          <t>MOFU</t>
        </is>
      </c>
      <c r="O71" s="25" t="inlineStr">
        <is>
          <t>Best Life Insurance Companies in Canada: Our Method</t>
        </is>
      </c>
      <c r="P71" s="36">
        <f>LEN(O71)</f>
        <v/>
      </c>
      <c r="Q71" s="25" t="inlineStr">
        <is>
          <t>Best life insurance companies in Canada, ranked by a published method: financial strength, product range, underwriting, price and service. See the scores.</t>
        </is>
      </c>
      <c r="R71" s="36">
        <f>LEN(Q71)</f>
        <v/>
      </c>
      <c r="S71" s="36">
        <f>IF(H71="","",IF(ISNUMBER(SEARCH(SUBSTITUTE(H71,"-"," "),SUBSTITUTE(O71,"-"," "))),"Yes","Check"))</f>
        <v/>
      </c>
      <c r="T71" s="25" t="inlineStr">
        <is>
          <t>How we rank life insurance companies | Ranking results by category | Financial strength ratings compared | Term life product range and conversion rights | Underwriting flexibility and no-medical options | Price competitiveness from sampled quotes | How to choose an insurer for your situation</t>
        </is>
      </c>
      <c r="U71" s="25" t="inlineStr">
        <is>
          <t>Which life insurance companies are the largest in Canada? | Are smaller life insurers safe? | How often is this ranking updated? | Does Instasure get paid by the insurers it ranks?</t>
        </is>
      </c>
      <c r="V71" s="25" t="inlineStr">
        <is>
          <t>A scored table of major Canadian life insurers using a published, weighted method (financial strength ratings, product features, underwriting, sampled quotes, complaint data), with the scoring sheet downloadable.</t>
        </is>
      </c>
      <c r="W71" s="25" t="inlineStr">
        <is>
          <t>/life-insurance/; /editorial-guidelines/; /how-we-make-money/; /guides/sun-life-life-insurance-review/; /guides/manulife-life-insurance-review/</t>
        </is>
      </c>
      <c r="X71" s="25" t="inlineStr">
        <is>
          <t>Compare insurers with a licensed advisor (/quote/)</t>
        </is>
      </c>
      <c r="Y71" s="36" t="inlineStr">
        <is>
          <t>Article; FAQPage; BreadcrumbList</t>
        </is>
      </c>
      <c r="Z71" s="37" t="n">
        <v>3000</v>
      </c>
      <c r="AA71" s="25" t="inlineStr">
        <is>
          <t>PolicyAdvisor ('The Best Life Insurance In Canada', 'Best Term Life Insurance Companies in Canada (2026)'), wealthnorth, HelloSafe and lowestrateshub run 'best' lists; the research found none publishing a weighted scoring method or its data.</t>
        </is>
      </c>
      <c r="AB71" s="25" t="inlineStr">
        <is>
          <t>Use the focus keyword in the H1, meta title, first 100 words and first H2, and open with the method summary in 40–60 words before any ranking. Put the scored table high on the page with category winners, link /editorial-guidelines/ with 'our rating methodology' and each review with '{Insurer} review'; alt text: 'Scorecard of Canadian life insurers by category'. Licensed reviewer, cite AM Best, DBRS and S&amp;P ratings and OLHI data, refresh semi-annually. If the planned /life-insurance/best-companies/ page ships, publish this there (or keep this guide as its methodology explainer) so the two do not compete.</t>
        </is>
      </c>
      <c r="AC71" s="25" t="inlineStr">
        <is>
          <t>Do not publish until the ranking methodology is live on /editorial-guidelines/ and any compensation ties are disclosed; verify every rating on the review date (Competition Act, FSRA UDAP).</t>
        </is>
      </c>
      <c r="AD71" s="36" t="inlineStr">
        <is>
          <t>Semi-annual</t>
        </is>
      </c>
      <c r="AE71" s="38" t="n"/>
      <c r="AF71" s="38" t="n"/>
      <c r="AG71" s="38" t="n"/>
    </row>
    <row r="72" ht="46.25" customHeight="1" s="22">
      <c r="A72" s="36">
        <f>"B"&amp;TEXT(ROW()-1,"0000")</f>
        <v/>
      </c>
      <c r="B72" s="38" t="inlineStr">
        <is>
          <t>Planned</t>
        </is>
      </c>
      <c r="C72" s="36" t="n">
        <v>3</v>
      </c>
      <c r="D72" s="36" t="inlineStr">
        <is>
          <t>Life insurance</t>
        </is>
      </c>
      <c r="E72" s="36" t="inlineStr">
        <is>
          <t>Comparisons</t>
        </is>
      </c>
      <c r="F72" s="25" t="inlineStr">
        <is>
          <t>Joint Life Insurance vs Two Separate Policies: What Couples Should Choose</t>
        </is>
      </c>
      <c r="G72" s="36" t="inlineStr">
        <is>
          <t>https://instasure.ca/guides/joint-life-insurance-vs-two-policies/</t>
        </is>
      </c>
      <c r="H72" s="36" t="inlineStr">
        <is>
          <t>joint life insurance vs two separate policies</t>
        </is>
      </c>
      <c r="I72" s="41">
        <f>IFERROR(INDEX('Nationwide KWs'!$D$2:$D$168,MATCH(H72,'Nationwide KWs'!$A$2:$A$168,0)),IFERROR(INDEX('Provincial KWs'!$E$2:$E$137,MATCH(H72,'Provincial KWs'!$A$2:$A$137,0)),IFERROR(INDEX('City KWs'!$F$2:$F$419,MATCH(H72,'City KWs'!$A$2:$A$419,0)),"")))</f>
        <v/>
      </c>
      <c r="J72" s="36" t="inlineStr">
        <is>
          <t>Low</t>
        </is>
      </c>
      <c r="K72" s="25" t="inlineStr">
        <is>
          <t>joint life insurance; first to die life insurance; joint last to die life insurance; life insurance for couples canada; joint life insurance divorce</t>
        </is>
      </c>
      <c r="L72" s="36" t="inlineStr">
        <is>
          <t>Nationwide</t>
        </is>
      </c>
      <c r="M72" s="36" t="inlineStr">
        <is>
          <t>commercial</t>
        </is>
      </c>
      <c r="N72" s="36" t="inlineStr">
        <is>
          <t>MOFU</t>
        </is>
      </c>
      <c r="O72" s="25" t="inlineStr">
        <is>
          <t>Joint Life Insurance vs Two Separate Policies (Canada)</t>
        </is>
      </c>
      <c r="P72" s="36">
        <f>LEN(O72)</f>
        <v/>
      </c>
      <c r="Q72" s="25" t="inlineStr">
        <is>
          <t>Joint life insurance vs two separate policies: compare first-to-die, last-to-die and individual cover on cost, payouts and separation risk. See what fits.</t>
        </is>
      </c>
      <c r="R72" s="36">
        <f>LEN(Q72)</f>
        <v/>
      </c>
      <c r="S72" s="36">
        <f>IF(H72="","",IF(ISNUMBER(SEARCH(SUBSTITUTE(H72,"-"," "),SUBSTITUTE(O72,"-"," "))),"Yes","Check"))</f>
        <v/>
      </c>
      <c r="T72" s="25" t="inlineStr">
        <is>
          <t>Joint or separate policies: the short answer | First-to-die joint life explained | Joint last-to-die for estate taxes | Two individual policies: double payouts and flexibility | Cost comparison for one couple | What happens if you separate | Decision guide for couples</t>
        </is>
      </c>
      <c r="U72" s="25" t="inlineStr">
        <is>
          <t>Is joint life insurance cheaper than two policies? | What happens to joint life insurance after a divorce? | Does joint first-to-die pay out twice? | When does last-to-die life insurance make sense?</t>
        </is>
      </c>
      <c r="V72" s="25" t="inlineStr">
        <is>
          <t>A cost-and-payout comparison for one example couple (joint first-to-die vs two term policies vs joint last-to-die) from the Instasure model, plus a separation scenario table.</t>
        </is>
      </c>
      <c r="W72" s="25" t="inlineStr">
        <is>
          <t>/life-insurance/joint/; /term-life-insurance/; /guides/mortgage-life-insurance-vs-term-life-insurance/; /guides/joint-mortgage-life-insurance/</t>
        </is>
      </c>
      <c r="X72" s="25" t="inlineStr">
        <is>
          <t>Instant life insurance estimate (/quote/)</t>
        </is>
      </c>
      <c r="Y72" s="36" t="inlineStr">
        <is>
          <t>Article; FAQPage; BreadcrumbList</t>
        </is>
      </c>
      <c r="Z72" s="37" t="n">
        <v>1600</v>
      </c>
      <c r="AA72" s="25" t="inlineStr">
        <is>
          <t>Sun Life's 'Joint Life Insurance' page sells its own product, PolicyAdvisor's 'Best life insurance for couples in Canada (2026 guide)' is a 'best' list and Ratehub has a short joint-life blog; none models the separation scenario.</t>
        </is>
      </c>
      <c r="AB72" s="25" t="inlineStr">
        <is>
          <t>Use the focus keyword in the H1, slug stem, meta title, first 100 words and first H2, and give a 40–60 word answer. Lead with the cost-and-payout table and follow with the separation table; link /life-insurance/joint/ with 'joint life insurance' and the joint mortgage guide with 'joint mortgage life insurance'. Alt text: 'Payouts under joint first-to-die vs two separate policies'. Licensed reviewer, refresh annually.</t>
        </is>
      </c>
      <c r="AC72" s="25" t="inlineStr">
        <is>
          <t>Label costs as model estimates; verify split and separation options per insurer, and avoid 'best' wording.</t>
        </is>
      </c>
      <c r="AD72" s="36" t="inlineStr">
        <is>
          <t>Annual</t>
        </is>
      </c>
      <c r="AE72" s="38" t="n"/>
      <c r="AF72" s="38" t="n"/>
      <c r="AG72" s="38" t="n"/>
    </row>
    <row r="73" ht="57.45" customHeight="1" s="22">
      <c r="A73" s="36">
        <f>"B"&amp;TEXT(ROW()-1,"0000")</f>
        <v/>
      </c>
      <c r="B73" s="38" t="inlineStr">
        <is>
          <t>Planned</t>
        </is>
      </c>
      <c r="C73" s="36" t="n">
        <v>3</v>
      </c>
      <c r="D73" s="36" t="inlineStr">
        <is>
          <t>Life insurance</t>
        </is>
      </c>
      <c r="E73" s="36" t="inlineStr">
        <is>
          <t>Comparisons</t>
        </is>
      </c>
      <c r="F73" s="25" t="inlineStr">
        <is>
          <t>Whole Life vs Universal Life Insurance: How They Differ in Canada</t>
        </is>
      </c>
      <c r="G73" s="36" t="inlineStr">
        <is>
          <t>https://instasure.ca/guides/whole-life-vs-universal-life-insurance/</t>
        </is>
      </c>
      <c r="H73" s="36" t="inlineStr">
        <is>
          <t>whole life vs universal life insurance</t>
        </is>
      </c>
      <c r="I73" s="41">
        <f>IFERROR(INDEX('Nationwide KWs'!$D$2:$D$168,MATCH(H73,'Nationwide KWs'!$A$2:$A$168,0)),IFERROR(INDEX('Provincial KWs'!$E$2:$E$137,MATCH(H73,'Provincial KWs'!$A$2:$A$137,0)),IFERROR(INDEX('City KWs'!$F$2:$F$419,MATCH(H73,'City KWs'!$A$2:$A$419,0)),"")))</f>
        <v/>
      </c>
      <c r="J73" s="36" t="inlineStr">
        <is>
          <t>Low</t>
        </is>
      </c>
      <c r="K73" s="25" t="inlineStr">
        <is>
          <t>how does universal life insurance work; universal life insurance canada; universal life insurance pros and cons; level vs yrt cost of insurance; is universal life insurance worth it</t>
        </is>
      </c>
      <c r="L73" s="36" t="inlineStr">
        <is>
          <t>Nationwide</t>
        </is>
      </c>
      <c r="M73" s="36" t="inlineStr">
        <is>
          <t>commercial</t>
        </is>
      </c>
      <c r="N73" s="36" t="inlineStr">
        <is>
          <t>MOFU</t>
        </is>
      </c>
      <c r="O73" s="25" t="inlineStr">
        <is>
          <t>Whole Life vs Universal Life Insurance in Canada</t>
        </is>
      </c>
      <c r="P73" s="36">
        <f>LEN(O73)</f>
        <v/>
      </c>
      <c r="Q73" s="25" t="inlineStr">
        <is>
          <t>Whole life vs universal life insurance: compare guarantees, investment accounts, cost of insurance and tax-sheltered growth in Canada. Ask an advisor.</t>
        </is>
      </c>
      <c r="R73" s="36">
        <f>LEN(Q73)</f>
        <v/>
      </c>
      <c r="S73" s="36">
        <f>IF(H73="","",IF(ISNUMBER(SEARCH(SUBSTITUTE(H73,"-"," "),SUBSTITUTE(O73,"-"," "))),"Yes","Check"))</f>
        <v/>
      </c>
      <c r="T73" s="25" t="inlineStr">
        <is>
          <t>Whole life vs universal life: the short answer | How universal life insurance works | Level vs YRT cost of insurance | Guarantees and risks compared | Tax-sheltered growth and exempt-policy limits | Who each suits | Comparison table</t>
        </is>
      </c>
      <c r="U73" s="25" t="inlineStr">
        <is>
          <t>Can a universal life policy lapse? | Which is cheaper, whole life or universal life? | Can I switch from universal life to whole life? | Does universal life insurance build cash value?</t>
        </is>
      </c>
      <c r="V73" s="25" t="inlineStr">
        <is>
          <t>A side-by-side table (premium flexibility, guarantees, cash value, investment risk, cost-of-insurance type, typical fit) and a worked example showing how a UL policy can lapse when returns fall short.</t>
        </is>
      </c>
      <c r="W73" s="25" t="inlineStr">
        <is>
          <t>/life-insurance/universal-life/; /whole-life-insurance/; /guides/term-vs-whole-life-insurance-canada/; /guides/participating-whole-life-insurance-cash-value/</t>
        </is>
      </c>
      <c r="X73" s="25" t="inlineStr">
        <is>
          <t>Talk to a licensed advisor about permanent cover (/life-insurance/universal-life/)</t>
        </is>
      </c>
      <c r="Y73" s="36" t="inlineStr">
        <is>
          <t>Article; FAQPage; BreadcrumbList</t>
        </is>
      </c>
      <c r="Z73" s="37" t="n">
        <v>1900</v>
      </c>
      <c r="AA73" s="25" t="inlineStr">
        <is>
          <t>Sun Life publishes 'Whole Life vs. Universal Life Insurance: What's the Difference?' (own products only) and PolicyAdvisor has a universal life explainer under two titles; none shows a lapse scenario or the YRT vs level trade-off with numbers.</t>
        </is>
      </c>
      <c r="AB73" s="25" t="inlineStr">
        <is>
          <t>Use the focus keyword in the H1, slug, meta title, first 100 words and first H2, and give a 40–60 word verdict under it. Put the comparison table near the top and the lapse scenario as a chart; link /life-insurance/universal-life/ with 'universal life insurance' and /whole-life-insurance/ with 'whole life insurance quotes'. Alt text: 'Universal life account value falling below cost of insurance in a low-return scenario'. Licensed reviewer, cite CRA exempt-policy guidance, refresh annually.</t>
        </is>
      </c>
      <c r="AC73" s="25" t="inlineStr">
        <is>
          <t>Label all investment returns as hypothetical; verify exempt-policy rules with CRA sources and do not present UL as a substitute for ordinary investing.</t>
        </is>
      </c>
      <c r="AD73" s="36" t="inlineStr">
        <is>
          <t>Annual</t>
        </is>
      </c>
      <c r="AE73" s="38" t="n"/>
      <c r="AF73" s="38" t="n"/>
      <c r="AG73" s="38" t="n"/>
    </row>
    <row r="74" ht="46.25" customHeight="1" s="22">
      <c r="A74" s="36">
        <f>"B"&amp;TEXT(ROW()-1,"0000")</f>
        <v/>
      </c>
      <c r="B74" s="38" t="inlineStr">
        <is>
          <t>Planned</t>
        </is>
      </c>
      <c r="C74" s="36" t="n">
        <v>3</v>
      </c>
      <c r="D74" s="36" t="inlineStr">
        <is>
          <t>Life insurance</t>
        </is>
      </c>
      <c r="E74" s="36" t="inlineStr">
        <is>
          <t>Cost &amp; pricing</t>
        </is>
      </c>
      <c r="F74" s="25" t="inlineStr">
        <is>
          <t>How Much Does Whole Life Insurance Cost in Canada?</t>
        </is>
      </c>
      <c r="G74" s="36" t="inlineStr">
        <is>
          <t>https://instasure.ca/guides/whole-life-insurance-cost-canada/</t>
        </is>
      </c>
      <c r="H74" s="36" t="inlineStr">
        <is>
          <t>whole life insurance cost</t>
        </is>
      </c>
      <c r="I74" s="41">
        <f>IFERROR(INDEX('Nationwide KWs'!$D$2:$D$168,MATCH(H74,'Nationwide KWs'!$A$2:$A$168,0)),IFERROR(INDEX('Provincial KWs'!$E$2:$E$137,MATCH(H74,'Provincial KWs'!$A$2:$A$137,0)),IFERROR(INDEX('City KWs'!$F$2:$F$419,MATCH(H74,'City KWs'!$A$2:$A$419,0)),"")))</f>
        <v/>
      </c>
      <c r="J74" s="36" t="inlineStr">
        <is>
          <t>Medium</t>
        </is>
      </c>
      <c r="K74" s="25" t="inlineStr">
        <is>
          <t>whole life insurance rates canada; limited pay whole life insurance; 20 pay whole life cost; whole life insurance cost by age; non-participating whole life cost</t>
        </is>
      </c>
      <c r="L74" s="36" t="inlineStr">
        <is>
          <t>Nationwide</t>
        </is>
      </c>
      <c r="M74" s="36" t="inlineStr">
        <is>
          <t>commercial</t>
        </is>
      </c>
      <c r="N74" s="36" t="inlineStr">
        <is>
          <t>MOFU</t>
        </is>
      </c>
      <c r="O74" s="25" t="inlineStr">
        <is>
          <t>Whole Life Insurance Cost in Canada: Example Premiums</t>
        </is>
      </c>
      <c r="P74" s="36">
        <f>LEN(O74)</f>
        <v/>
      </c>
      <c r="Q74" s="25" t="inlineStr">
        <is>
          <t>Whole life insurance cost in Canada by age and payment period (lifetime, 20-pay, 10-pay), par vs non-par, and when it fits. Get a licensed review.</t>
        </is>
      </c>
      <c r="R74" s="36">
        <f>LEN(Q74)</f>
        <v/>
      </c>
      <c r="S74" s="36">
        <f>IF(H74="","",IF(ISNUMBER(SEARCH(SUBSTITUTE(H74,"-"," "),SUBSTITUTE(O74,"-"," "))),"Yes","Check"))</f>
        <v/>
      </c>
      <c r="T74" s="25" t="inlineStr">
        <is>
          <t>How much does whole life insurance cost? | Example premiums by age and coverage | Lifetime pay vs 20-pay vs 10-pay | Participating vs non-participating cost | Whole life vs term: the price gap | Ways to make permanent cover affordable</t>
        </is>
      </c>
      <c r="U74" s="25" t="inlineStr">
        <is>
          <t>Why is whole life insurance so expensive? | Is limited-pay whole life worth it? | How much is a $100,000 whole life policy? | Can I lower my whole life premium later?</t>
        </is>
      </c>
      <c r="V74" s="25" t="inlineStr">
        <is>
          <t>A dated example-premium table for $100K and $250K whole life at ages 30, 45 and 60 across lifetime, 20-pay and 10-pay options from the Instasure model.</t>
        </is>
      </c>
      <c r="W74" s="25" t="inlineStr">
        <is>
          <t>/whole-life-insurance/; /guides/term-vs-whole-life-insurance-canada/; /guides/participating-whole-life-insurance-cash-value/; /life-insurance/final-expense/</t>
        </is>
      </c>
      <c r="X74" s="25" t="inlineStr">
        <is>
          <t>Instant life insurance estimate (/quote/)</t>
        </is>
      </c>
      <c r="Y74" s="36" t="inlineStr">
        <is>
          <t>Article; FAQPage; BreadcrumbList</t>
        </is>
      </c>
      <c r="Z74" s="37" t="n">
        <v>1500</v>
      </c>
      <c r="AA74" s="25" t="inlineStr">
        <is>
          <t>Sun Life publishes 'Whole Life Insurance Rates In Canada' for its own products, and PolicyAdvisor has 'Cheapest whole life insurance options in Canada (2026)' plus a limited-pay 'best' list; none sets lifetime, 20-pay and 10-pay prices side by side for one profile.</t>
        </is>
      </c>
      <c r="AB74" s="25" t="inlineStr">
        <is>
          <t>Put 'whole life insurance cost' in the H1, slug, meta title, first 100 words and first H2, and open with a 40–60 word answer quoting one dated example. Lead with the payment-period table; link /whole-life-insurance/ with 'whole life insurance quotes' and the term vs whole guide with 'term vs whole life'. Alt text: 'Whole life premiums by age for lifetime, 20-pay and 10-pay'. Licensed reviewer, refresh quarterly.</t>
        </is>
      </c>
      <c r="AC74" s="25" t="inlineStr">
        <is>
          <t>Label premiums as estimates with profile and date; avoid 'cheapest' wording and verify limited-pay availability against insurer guides.</t>
        </is>
      </c>
      <c r="AD74" s="36" t="inlineStr">
        <is>
          <t>Quarterly</t>
        </is>
      </c>
      <c r="AE74" s="38" t="n"/>
      <c r="AF74" s="38" t="n"/>
      <c r="AG74" s="38" t="n"/>
    </row>
    <row r="75" ht="46.25" customHeight="1" s="22">
      <c r="A75" s="36">
        <f>"B"&amp;TEXT(ROW()-1,"0000")</f>
        <v/>
      </c>
      <c r="B75" s="38" t="inlineStr">
        <is>
          <t>Planned</t>
        </is>
      </c>
      <c r="C75" s="36" t="n">
        <v>3</v>
      </c>
      <c r="D75" s="36" t="inlineStr">
        <is>
          <t>Life insurance</t>
        </is>
      </c>
      <c r="E75" s="36" t="inlineStr">
        <is>
          <t>Cost &amp; pricing</t>
        </is>
      </c>
      <c r="F75" s="25" t="inlineStr">
        <is>
          <t>Life Insurance Laddering: How to Stack Term Policies and Pay Less</t>
        </is>
      </c>
      <c r="G75" s="36" t="inlineStr">
        <is>
          <t>https://instasure.ca/guides/life-insurance-laddering-canada/</t>
        </is>
      </c>
      <c r="H75" s="36" t="inlineStr">
        <is>
          <t>life insurance laddering</t>
        </is>
      </c>
      <c r="I75" s="41">
        <f>IFERROR(INDEX('Nationwide KWs'!$D$2:$D$168,MATCH(H75,'Nationwide KWs'!$A$2:$A$168,0)),IFERROR(INDEX('Provincial KWs'!$E$2:$E$137,MATCH(H75,'Provincial KWs'!$A$2:$A$137,0)),IFERROR(INDEX('City KWs'!$F$2:$F$419,MATCH(H75,'City KWs'!$A$2:$A$419,0)),"")))</f>
        <v/>
      </c>
      <c r="J75" s="36" t="inlineStr">
        <is>
          <t>Niche</t>
        </is>
      </c>
      <c r="K75" s="25" t="inlineStr">
        <is>
          <t>laddering term life insurance; multiple life insurance policies; layering life insurance; can you have two life insurance policies; ladder strategy mortgage and kids</t>
        </is>
      </c>
      <c r="L75" s="36" t="inlineStr">
        <is>
          <t>Nationwide</t>
        </is>
      </c>
      <c r="M75" s="36" t="inlineStr">
        <is>
          <t>informational</t>
        </is>
      </c>
      <c r="N75" s="36" t="inlineStr">
        <is>
          <t>MOFU</t>
        </is>
      </c>
      <c r="O75" s="25" t="inlineStr">
        <is>
          <t>Life Insurance Laddering: Stack Term Policies in Canada</t>
        </is>
      </c>
      <c r="P75" s="36">
        <f>LEN(O75)</f>
        <v/>
      </c>
      <c r="Q75" s="25" t="inlineStr">
        <is>
          <t>Life insurance laddering explained: combine two or three term policies so coverage falls as debts shrink. See a worked Canadian example and the savings.</t>
        </is>
      </c>
      <c r="R75" s="36">
        <f>LEN(Q75)</f>
        <v/>
      </c>
      <c r="S75" s="36">
        <f>IF(H75="","",IF(ISNUMBER(SEARCH(SUBSTITUTE(H75,"-"," "),SUBSTITUTE(O75,"-"," "))),"Yes","Check"))</f>
        <v/>
      </c>
      <c r="T75" s="25" t="inlineStr">
        <is>
          <t>What is life insurance laddering? | How a two- or three-policy ladder works | A worked example: mortgage, kids and income | Laddering vs one large policy: cost compared | Downsides: fees, underwriting and complexity | Is laddering right for you?</t>
        </is>
      </c>
      <c r="U75" s="25" t="inlineStr">
        <is>
          <t>Can I have more than one life insurance policy in Canada? | Does laddering really save money? | Do I need a medical exam for each policy in a ladder? | Can I ladder policies from different insurers?</t>
        </is>
      </c>
      <c r="V75" s="25" t="inlineStr">
        <is>
          <t>A worked ladder for a 35-year-old couple ($1M as $500K 30-year + $250K 20-year + $250K 10-year) with total premiums compared against one policy from the Instasure model, shown as a stacked coverage chart.</t>
        </is>
      </c>
      <c r="W75" s="25" t="inlineStr">
        <is>
          <t>/term-life-insurance/; /calculators/life-insurance-needs/; /guides/10-20-30-year-term-life-insurance/; /guides/how-much-does-life-insurance-cost-canada/</t>
        </is>
      </c>
      <c r="X75" s="25" t="inlineStr">
        <is>
          <t>Life insurance needs calculator (/calculators/life-insurance-needs/)</t>
        </is>
      </c>
      <c r="Y75" s="36" t="inlineStr">
        <is>
          <t>Article; FAQPage; BreadcrumbList</t>
        </is>
      </c>
      <c r="Z75" s="37" t="n">
        <v>1400</v>
      </c>
      <c r="AA75" s="25" t="inlineStr">
        <is>
          <t>The existing cost guide mentions laddering in one line and no competitor in the research has a dedicated laddering post with a worked premium comparison.</t>
        </is>
      </c>
      <c r="AB75" s="25" t="inlineStr">
        <is>
          <t>Use 'life insurance laddering' in the H1, slug, meta title, first 100 words and first H2, and define it in 40–60 words. Make the stacked coverage chart and total-cost table the core; link the needs calculator with 'size each rung of your ladder' and the term-length guide with '10, 20 or 30-year terms'. Alt text: 'Stacked chart of three term policies ending at different times'. Licensed reviewer, refresh annually.</t>
        </is>
      </c>
      <c r="AC75" s="25" t="inlineStr">
        <is>
          <t>Show savings only as model estimates; note per-policy fees and that each policy is underwritten separately.</t>
        </is>
      </c>
      <c r="AD75" s="36" t="inlineStr">
        <is>
          <t>Annual</t>
        </is>
      </c>
      <c r="AE75" s="38" t="n"/>
      <c r="AF75" s="38" t="n"/>
      <c r="AG75" s="38" t="n"/>
    </row>
    <row r="76" ht="57.45" customHeight="1" s="22">
      <c r="A76" s="36">
        <f>"B"&amp;TEXT(ROW()-1,"0000")</f>
        <v/>
      </c>
      <c r="B76" s="38" t="inlineStr">
        <is>
          <t>Planned</t>
        </is>
      </c>
      <c r="C76" s="36" t="n">
        <v>3</v>
      </c>
      <c r="D76" s="36" t="inlineStr">
        <is>
          <t>Life insurance</t>
        </is>
      </c>
      <c r="E76" s="36" t="inlineStr">
        <is>
          <t>Coverage explained</t>
        </is>
      </c>
      <c r="F76" s="25" t="inlineStr">
        <is>
          <t>Life Insurance Riders in Canada: Which Add-Ons Are Worth Paying For?</t>
        </is>
      </c>
      <c r="G76" s="36" t="inlineStr">
        <is>
          <t>https://instasure.ca/guides/life-insurance-riders-canada/</t>
        </is>
      </c>
      <c r="H76" s="36" t="inlineStr">
        <is>
          <t>life insurance riders</t>
        </is>
      </c>
      <c r="I76" s="41">
        <f>IFERROR(INDEX('Nationwide KWs'!$D$2:$D$168,MATCH(H76,'Nationwide KWs'!$A$2:$A$168,0)),IFERROR(INDEX('Provincial KWs'!$E$2:$E$137,MATCH(H76,'Provincial KWs'!$A$2:$A$137,0)),IFERROR(INDEX('City KWs'!$F$2:$F$419,MATCH(H76,'City KWs'!$A$2:$A$419,0)),"")))</f>
        <v/>
      </c>
      <c r="J76" s="36" t="inlineStr">
        <is>
          <t>Low</t>
        </is>
      </c>
      <c r="K76" s="25" t="inlineStr">
        <is>
          <t>waiver of premium rider; child term rider; guaranteed insurability rider; critical illness rider vs standalone; accidental death benefit rider</t>
        </is>
      </c>
      <c r="L76" s="36" t="inlineStr">
        <is>
          <t>Nationwide</t>
        </is>
      </c>
      <c r="M76" s="36" t="inlineStr">
        <is>
          <t>commercial</t>
        </is>
      </c>
      <c r="N76" s="36" t="inlineStr">
        <is>
          <t>MOFU</t>
        </is>
      </c>
      <c r="O76" s="25" t="inlineStr">
        <is>
          <t>Life Insurance Riders in Canada: What Each Add-On Does</t>
        </is>
      </c>
      <c r="P76" s="36">
        <f>LEN(O76)</f>
        <v/>
      </c>
      <c r="Q76" s="25" t="inlineStr">
        <is>
          <t>Life insurance riders explained: waiver of premium, child term, guaranteed insurability, critical illness and accidental death. See which are worth it.</t>
        </is>
      </c>
      <c r="R76" s="36">
        <f>LEN(Q76)</f>
        <v/>
      </c>
      <c r="S76" s="36">
        <f>IF(H76="","",IF(ISNUMBER(SEARCH(SUBSTITUTE(H76,"-"," "),SUBSTITUTE(O76,"-"," "))),"Yes","Check"))</f>
        <v/>
      </c>
      <c r="T76" s="25" t="inlineStr">
        <is>
          <t>What are life insurance riders? | Waiver of premium | Child term rider | Guaranteed insurability rider | Critical illness rider vs a standalone policy | Accidental death benefit | Rider cost and value checklist</t>
        </is>
      </c>
      <c r="U76" s="25" t="inlineStr">
        <is>
          <t>Is a waiver of premium rider worth it? | Can I add a rider after my policy starts? | Does a child term rider cover all my children? | Is a critical illness rider the same as critical illness insurance?</t>
        </is>
      </c>
      <c r="V76" s="25" t="inlineStr">
        <is>
          <t>A rider checklist table showing what each rider pays, typical eligibility, who it suits, red flags and a 'skip it if' column.</t>
        </is>
      </c>
      <c r="W76" s="25" t="inlineStr">
        <is>
          <t>/life-insurance/; /term-life-insurance/; /critical-illness-insurance/; /life-insurance/children/; /guides/critical-illness-vs-disability-insurance/</t>
        </is>
      </c>
      <c r="X76" s="25" t="inlineStr">
        <is>
          <t>Instant life insurance estimate (/quote/)</t>
        </is>
      </c>
      <c r="Y76" s="36" t="inlineStr">
        <is>
          <t>Article; FAQPage; BreadcrumbList</t>
        </is>
      </c>
      <c r="Z76" s="37" t="n">
        <v>1600</v>
      </c>
      <c r="AA76" s="25" t="inlineStr">
        <is>
          <t>PolicyAdvisor's 'How life insurance riders work' sits under a guaranteed-insurability URL and its CI rider comparison lives in the CI silo; no competitor seen gives a 'skip it if' checklist across all common riders.</t>
        </is>
      </c>
      <c r="AB76" s="25" t="inlineStr">
        <is>
          <t>Put 'life insurance riders' in the H1, slug, meta title, first 100 words and first H2, with a 40–60 word answer naming the common riders. Use one H2 per rider and close with the checklist table; link /critical-illness-insurance/ with 'standalone critical illness insurance' and /life-insurance/children/ with 'children's life insurance'. Alt text: 'Checklist of common life insurance riders and when to skip them'. Licensed reviewer, cite insurer product guides, refresh annually.</t>
        </is>
      </c>
      <c r="AC76" s="25" t="inlineStr">
        <is>
          <t>Rider names, eligibility ages and definitions differ by insurer; describe them as typical and verify against at least three product guides.</t>
        </is>
      </c>
      <c r="AD76" s="36" t="inlineStr">
        <is>
          <t>Annual</t>
        </is>
      </c>
      <c r="AE76" s="38" t="n"/>
      <c r="AF76" s="38" t="n"/>
      <c r="AG76" s="38" t="n"/>
    </row>
    <row r="77" ht="57.45" customHeight="1" s="22">
      <c r="A77" s="36">
        <f>"B"&amp;TEXT(ROW()-1,"0000")</f>
        <v/>
      </c>
      <c r="B77" s="38" t="inlineStr">
        <is>
          <t>Planned</t>
        </is>
      </c>
      <c r="C77" s="36" t="n">
        <v>3</v>
      </c>
      <c r="D77" s="36" t="inlineStr">
        <is>
          <t>Life insurance</t>
        </is>
      </c>
      <c r="E77" s="36" t="inlineStr">
        <is>
          <t>Coverage explained</t>
        </is>
      </c>
      <c r="F77" s="25" t="inlineStr">
        <is>
          <t>Participating Whole Life Insurance: Dividends, Cash Value and Surrender Value Explained</t>
        </is>
      </c>
      <c r="G77" s="36" t="inlineStr">
        <is>
          <t>https://instasure.ca/guides/participating-whole-life-insurance-cash-value/</t>
        </is>
      </c>
      <c r="H77" s="36" t="inlineStr">
        <is>
          <t>participating whole life insurance</t>
        </is>
      </c>
      <c r="I77" s="41">
        <f>IFERROR(INDEX('Nationwide KWs'!$D$2:$D$168,MATCH(H77,'Nationwide KWs'!$A$2:$A$168,0)),IFERROR(INDEX('Provincial KWs'!$E$2:$E$137,MATCH(H77,'Provincial KWs'!$A$2:$A$137,0)),IFERROR(INDEX('City KWs'!$F$2:$F$419,MATCH(H77,'City KWs'!$A$2:$A$419,0)),"")))</f>
        <v/>
      </c>
      <c r="J77" s="36" t="inlineStr">
        <is>
          <t>Low</t>
        </is>
      </c>
      <c r="K77" s="25" t="inlineStr">
        <is>
          <t>cash value life insurance canada; cash surrender value; whole life dividends; paid-up additions; par vs non-par whole life</t>
        </is>
      </c>
      <c r="L77" s="36" t="inlineStr">
        <is>
          <t>Nationwide</t>
        </is>
      </c>
      <c r="M77" s="36" t="inlineStr">
        <is>
          <t>informational</t>
        </is>
      </c>
      <c r="N77" s="36" t="inlineStr">
        <is>
          <t>MOFU</t>
        </is>
      </c>
      <c r="O77" s="25" t="inlineStr">
        <is>
          <t>Participating Whole Life Insurance and Cash Value</t>
        </is>
      </c>
      <c r="P77" s="36">
        <f>LEN(O77)</f>
        <v/>
      </c>
      <c r="Q77" s="25" t="inlineStr">
        <is>
          <t>How participating whole life insurance works in Canada: dividends, cash value and surrender value, with a sample illustration explained. Ask an advisor.</t>
        </is>
      </c>
      <c r="R77" s="36">
        <f>LEN(Q77)</f>
        <v/>
      </c>
      <c r="S77" s="36">
        <f>IF(H77="","",IF(ISNUMBER(SEARCH(SUBSTITUTE(H77,"-"," "),SUBSTITUTE(O77,"-"," "))),"Yes","Check"))</f>
        <v/>
      </c>
      <c r="T77" s="25" t="inlineStr">
        <is>
          <t>What is participating whole life insurance? | How dividends and dividend scales work | Cash value vs cash surrender value | Dividend options: paid-up additions, cash or premium reduction | Par vs non-par whole life | Reading a policy illustration line by line | When participating whole life fits</t>
        </is>
      </c>
      <c r="U77" s="25" t="inlineStr">
        <is>
          <t>Are whole life dividends guaranteed? | Can I borrow against the cash value of my policy? | Is the cash surrender value taxable? | What happens if the insurer cuts its dividend scale?</t>
        </is>
      </c>
      <c r="V77" s="25" t="inlineStr">
        <is>
          <t>An annotated sample policy illustration (guaranteed vs non-guaranteed columns) with plain-language callouts, plus a glossary box of participating-policy terms.</t>
        </is>
      </c>
      <c r="W77" s="25" t="inlineStr">
        <is>
          <t>/whole-life-insurance/; /guides/term-vs-whole-life-insurance-canada/; /life-insurance/universal-life/; /glossary/</t>
        </is>
      </c>
      <c r="X77" s="25" t="inlineStr">
        <is>
          <t>Talk to a licensed advisor about permanent cover (/whole-life-insurance/)</t>
        </is>
      </c>
      <c r="Y77" s="36" t="inlineStr">
        <is>
          <t>Article; FAQPage; BreadcrumbList</t>
        </is>
      </c>
      <c r="Z77" s="37" t="n">
        <v>1800</v>
      </c>
      <c r="AA77" s="25" t="inlineStr">
        <is>
          <t>PolicyAdvisor splits this across 'What is cash value life insurance in Canada?' and 'What is Cash Surrender Value In Life Insurance?', and Ratehub has a short participating-life pros and cons blog; none annotates an illustration line by line.</t>
        </is>
      </c>
      <c r="AB77" s="25" t="inlineStr">
        <is>
          <t>Put 'participating whole life insurance' in the H1, slug, meta title, first 100 words and first H2, with a 40–60 word definition below it. Build the annotated illustration as an image plus an accessible HTML table, and link /whole-life-insurance/ with 'whole life insurance quotes' and /glossary/ with 'life insurance glossary'. Alt text: 'Annotated participating whole life policy illustration with guaranteed and non-guaranteed values'. Licensed reviewer, cite insurer dividend-scale announcements and CRA, refresh annually.</t>
        </is>
      </c>
      <c r="AC77" s="25" t="inlineStr">
        <is>
          <t>Dividends are not guaranteed: every example must show guaranteed and non-guaranteed values separately and cite dividend-scale history from insurer publications; check tax statements against CRA.</t>
        </is>
      </c>
      <c r="AD77" s="36" t="inlineStr">
        <is>
          <t>Annual</t>
        </is>
      </c>
      <c r="AE77" s="38" t="n"/>
      <c r="AF77" s="38" t="n"/>
      <c r="AG77" s="38" t="n"/>
    </row>
    <row r="78" ht="35.05" customHeight="1" s="22">
      <c r="A78" s="36">
        <f>"B"&amp;TEXT(ROW()-1,"0000")</f>
        <v/>
      </c>
      <c r="B78" s="38" t="inlineStr">
        <is>
          <t>Planned</t>
        </is>
      </c>
      <c r="C78" s="36" t="n">
        <v>3</v>
      </c>
      <c r="D78" s="36" t="inlineStr">
        <is>
          <t>Life insurance</t>
        </is>
      </c>
      <c r="E78" s="36" t="inlineStr">
        <is>
          <t>Funeral expense</t>
        </is>
      </c>
      <c r="F78" s="25" t="inlineStr">
        <is>
          <t>Burial Insurance in Canada: What It Is and How It Differs From the U.S. Term</t>
        </is>
      </c>
      <c r="G78" s="36" t="inlineStr">
        <is>
          <t>https://instasure.ca/guides/burial-insurance-canada/</t>
        </is>
      </c>
      <c r="H78" s="36" t="inlineStr">
        <is>
          <t>burial insurance canada</t>
        </is>
      </c>
      <c r="I78" s="41">
        <f>IFERROR(INDEX('Nationwide KWs'!$D$2:$D$168,MATCH(H78,'Nationwide KWs'!$A$2:$A$168,0)),IFERROR(INDEX('Provincial KWs'!$E$2:$E$137,MATCH(H78,'Provincial KWs'!$A$2:$A$137,0)),IFERROR(INDEX('City KWs'!$F$2:$F$419,MATCH(H78,'City KWs'!$A$2:$A$419,0)),"")))</f>
        <v/>
      </c>
      <c r="J78" s="36" t="inlineStr">
        <is>
          <t>Low</t>
        </is>
      </c>
      <c r="K78" s="25" t="inlineStr">
        <is>
          <t>burial insurance; cremation insurance canada; funeral insurance canada; final expense insurance canada</t>
        </is>
      </c>
      <c r="L78" s="36" t="inlineStr">
        <is>
          <t>Nationwide</t>
        </is>
      </c>
      <c r="M78" s="36" t="inlineStr">
        <is>
          <t>informational</t>
        </is>
      </c>
      <c r="N78" s="36" t="inlineStr">
        <is>
          <t>TOFU</t>
        </is>
      </c>
      <c r="O78" s="25" t="inlineStr">
        <is>
          <t>Burial Insurance in Canada: What It Is and What It Covers</t>
        </is>
      </c>
      <c r="P78" s="36">
        <f>LEN(O78)</f>
        <v/>
      </c>
      <c r="Q78" s="25" t="inlineStr">
        <is>
          <t>Burial insurance in Canada explained: what Canadians actually buy, how it covers burial or cremation, what it costs and how to compare. Read more.</t>
        </is>
      </c>
      <c r="R78" s="36">
        <f>LEN(Q78)</f>
        <v/>
      </c>
      <c r="S78" s="36">
        <f>IF(H78="","",IF(ISNUMBER(SEARCH(SUBSTITUTE(H78,"-"," "),SUBSTITUTE(O78,"-"," "))),"Yes","Check"))</f>
        <v/>
      </c>
      <c r="T78" s="25" t="inlineStr">
        <is>
          <t>What is burial insurance in Canada? (direct answer) | Burial insurance vs funeral and final expense insurance | Burial or cremation: what the payout covers | Cost by age (labelled estimates) | How to compare policies</t>
        </is>
      </c>
      <c r="U78" s="25" t="inlineStr">
        <is>
          <t>Is burial insurance sold in Canada? | Does burial insurance cover cremation? | How much is burial insurance a month? | Is burial insurance the same as final expense insurance?</t>
        </is>
      </c>
      <c r="V78" s="25" t="inlineStr">
        <is>
          <t>A terminology table mapping U.S. terms (burial, final expense, preneed) to the Canadian products and regulators.</t>
        </is>
      </c>
      <c r="W78" s="25" t="inlineStr">
        <is>
          <t>/life-insurance/funeral-expense/; /life-insurance/final-expense/; /guides/funeral-costs-canada-by-province/</t>
        </is>
      </c>
      <c r="X78" s="25" t="inlineStr">
        <is>
          <t>Funeral expense estimate, from about $1 a day for the example profile (/life-insurance/funeral-expense/); Request a specialist call: Funeral expense desk</t>
        </is>
      </c>
      <c r="Y78" s="36" t="inlineStr">
        <is>
          <t>Article; FAQPage; BreadcrumbList</t>
        </is>
      </c>
      <c r="Z78" s="37" t="n">
        <v>1200</v>
      </c>
      <c r="AA78" s="25" t="inlineStr">
        <is>
          <t>Results for this query are dominated by U.S. pages and Canadian broker blogs; no Canadian comparison site has a dedicated page.</t>
        </is>
      </c>
      <c r="AB78" s="25" t="inlineStr">
        <is>
          <t>Focus keyword in H1, slug, meta title, first 100 words and first H2; answer in 40–60 words. Use the terminology table for AI answers. Link the funeral expense page with "funeral insurance in Canada". Refresh annually.</t>
        </is>
      </c>
      <c r="AC78" s="25" t="inlineStr">
        <is>
          <t>Avoid U.S. rules and prices; label any price as an Instasure estimate with profile and date.</t>
        </is>
      </c>
      <c r="AD78" s="36" t="inlineStr">
        <is>
          <t>Annual</t>
        </is>
      </c>
      <c r="AE78" s="38" t="n"/>
      <c r="AF78" s="38" t="n"/>
      <c r="AG78" s="38" t="n"/>
    </row>
    <row r="79" ht="35.05" customHeight="1" s="22">
      <c r="A79" s="36">
        <f>"B"&amp;TEXT(ROW()-1,"0000")</f>
        <v/>
      </c>
      <c r="B79" s="38" t="inlineStr">
        <is>
          <t>Planned</t>
        </is>
      </c>
      <c r="C79" s="36" t="n">
        <v>3</v>
      </c>
      <c r="D79" s="36" t="inlineStr">
        <is>
          <t>Life insurance</t>
        </is>
      </c>
      <c r="E79" s="36" t="inlineStr">
        <is>
          <t>Funeral expense</t>
        </is>
      </c>
      <c r="F79" s="25" t="inlineStr">
        <is>
          <t>Funeral Costs in Ontario: Burial, Cremation and What the Rules Require</t>
        </is>
      </c>
      <c r="G79" s="36" t="inlineStr">
        <is>
          <t>https://instasure.ca/guides/funeral-costs-ontario/</t>
        </is>
      </c>
      <c r="H79" s="36" t="inlineStr">
        <is>
          <t>funeral costs ontario</t>
        </is>
      </c>
      <c r="I79" s="41">
        <f>IFERROR(INDEX('Nationwide KWs'!$D$2:$D$168,MATCH(H79,'Nationwide KWs'!$A$2:$A$168,0)),IFERROR(INDEX('Provincial KWs'!$E$2:$E$137,MATCH(H79,'Provincial KWs'!$A$2:$A$137,0)),IFERROR(INDEX('City KWs'!$F$2:$F$419,MATCH(H79,'City KWs'!$A$2:$A$419,0)),"")))</f>
        <v/>
      </c>
      <c r="J79" s="36" t="inlineStr">
        <is>
          <t>Low</t>
        </is>
      </c>
      <c r="K79" s="25" t="inlineStr">
        <is>
          <t>cremation cost ontario; burial cost ontario; bereavement authority of ontario price list; funeral insurance ontario</t>
        </is>
      </c>
      <c r="L79" s="36" t="inlineStr">
        <is>
          <t>Province: Ontario</t>
        </is>
      </c>
      <c r="M79" s="36" t="inlineStr">
        <is>
          <t>informational</t>
        </is>
      </c>
      <c r="N79" s="36" t="inlineStr">
        <is>
          <t>TOFU</t>
        </is>
      </c>
      <c r="O79" s="25" t="inlineStr">
        <is>
          <t>Funeral Costs in Ontario: Burial, Cremation and the Rules</t>
        </is>
      </c>
      <c r="P79" s="36">
        <f>LEN(O79)</f>
        <v/>
      </c>
      <c r="Q79" s="25" t="inlineStr">
        <is>
          <t>Funeral costs in Ontario: burial and cremation line items, price-list rules from the Bereavement Authority of Ontario and ways to pay. Plan ahead.</t>
        </is>
      </c>
      <c r="R79" s="36">
        <f>LEN(Q79)</f>
        <v/>
      </c>
      <c r="S79" s="36">
        <f>IF(H79="","",IF(ISNUMBER(SEARCH(SUBSTITUTE(H79,"-"," "),SUBSTITUTE(O79,"-"," "))),"Yes","Check"))</f>
        <v/>
      </c>
      <c r="T79" s="25" t="inlineStr">
        <is>
          <t>How much does a funeral cost in Ontario? (direct answer) | Burial vs cremation line items | Price lists and consumer protection rules in Ontario | The CPP death benefit and Ontario programs | Paying for it: savings, pre-arranged contracts or funeral insurance | Toronto and GTA considerations</t>
        </is>
      </c>
      <c r="U79" s="25" t="inlineStr">
        <is>
          <t>Do Ontario funeral homes have to publish prices? | What is the cheapest funeral option in Ontario? | Who regulates funeral homes in Ontario? | Can I buy funeral insurance in Ontario without a medical exam?</t>
        </is>
      </c>
      <c r="V79" s="25" t="inlineStr">
        <is>
          <t>A line-item cost table for a typical burial and a cremation in Ontario compiled from published funeral-home price lists (sourced and dated), plus the consumer-rights checklist.</t>
        </is>
      </c>
      <c r="W79" s="25" t="inlineStr">
        <is>
          <t>/life-insurance/funeral-expense/; /life-insurance/ontario/; /guides/pre-arranged-funeral-vs-funeral-insurance/; /guides/funeral-costs-canada-by-province/</t>
        </is>
      </c>
      <c r="X79" s="25" t="inlineStr">
        <is>
          <t>Funeral expense estimate, from about $1 a day for the example profile (/life-insurance/funeral-expense/); Request a specialist call: Funeral expense desk</t>
        </is>
      </c>
      <c r="Y79" s="36" t="inlineStr">
        <is>
          <t>Article; FAQPage; BreadcrumbList</t>
        </is>
      </c>
      <c r="Z79" s="37" t="n">
        <v>1500</v>
      </c>
      <c r="AA79" s="25" t="inlineStr">
        <is>
          <t>Funeral homes publish their own prices; no insurance or comparison site turns Ontario price-list rules into a consumer guide.</t>
        </is>
      </c>
      <c r="AB79" s="25" t="inlineStr">
        <is>
          <t>Focus keyword in H1, slug, meta title, first 100 words and first H2; answer in 40–60 words with a sourced range. Link the Ontario life page with "life insurance in Ontario". Refresh annually.</t>
        </is>
      </c>
      <c r="AC79" s="25" t="inlineStr">
        <is>
          <t>Confirm the Bereavement Authority of Ontario rules and every cost with a dated source; label ranges as typical, not quotes.</t>
        </is>
      </c>
      <c r="AD79" s="36" t="inlineStr">
        <is>
          <t>Annual</t>
        </is>
      </c>
      <c r="AE79" s="38" t="n"/>
      <c r="AF79" s="38" t="n"/>
      <c r="AG79" s="38" t="n"/>
    </row>
    <row r="80" ht="35.05" customHeight="1" s="22">
      <c r="A80" s="36">
        <f>"B"&amp;TEXT(ROW()-1,"0000")</f>
        <v/>
      </c>
      <c r="B80" s="38" t="inlineStr">
        <is>
          <t>Planned</t>
        </is>
      </c>
      <c r="C80" s="36" t="n">
        <v>3</v>
      </c>
      <c r="D80" s="36" t="inlineStr">
        <is>
          <t>Life insurance</t>
        </is>
      </c>
      <c r="E80" s="36" t="inlineStr">
        <is>
          <t>Funeral expense</t>
        </is>
      </c>
      <c r="F80" s="25" t="inlineStr">
        <is>
          <t>Repatriating a Loved One: Costs, Rules and the Insurance That Covers It</t>
        </is>
      </c>
      <c r="G80" s="36" t="inlineStr">
        <is>
          <t>https://instasure.ca/guides/repatriation-of-remains-insurance-canada/</t>
        </is>
      </c>
      <c r="H80" s="36" t="inlineStr">
        <is>
          <t>repatriation of remains insurance</t>
        </is>
      </c>
      <c r="I80" s="41">
        <f>IFERROR(INDEX('Nationwide KWs'!$D$2:$D$168,MATCH(H80,'Nationwide KWs'!$A$2:$A$168,0)),IFERROR(INDEX('Provincial KWs'!$E$2:$E$137,MATCH(H80,'Provincial KWs'!$A$2:$A$137,0)),IFERROR(INDEX('City KWs'!$F$2:$F$419,MATCH(H80,'City KWs'!$A$2:$A$419,0)),"")))</f>
        <v/>
      </c>
      <c r="J80" s="36" t="inlineStr">
        <is>
          <t>Niche</t>
        </is>
      </c>
      <c r="K80" s="25" t="inlineStr">
        <is>
          <t>repatriation of remains canada cost; sending body back home from canada; funeral insurance for newcomers; travel insurance repatriation</t>
        </is>
      </c>
      <c r="L80" s="36" t="inlineStr">
        <is>
          <t>Nationwide</t>
        </is>
      </c>
      <c r="M80" s="36" t="inlineStr">
        <is>
          <t>informational</t>
        </is>
      </c>
      <c r="N80" s="36" t="inlineStr">
        <is>
          <t>MOFU</t>
        </is>
      </c>
      <c r="O80" s="25" t="inlineStr">
        <is>
          <t>Repatriation of Remains Insurance: Costs and Coverage</t>
        </is>
      </c>
      <c r="P80" s="36">
        <f>LEN(O80)</f>
        <v/>
      </c>
      <c r="Q80" s="25" t="inlineStr">
        <is>
          <t>Repatriating a loved one from Canada: typical steps, documents, how funeral insurance and travel or Super Visa insurance can help, and what to check first.</t>
        </is>
      </c>
      <c r="R80" s="36">
        <f>LEN(Q80)</f>
        <v/>
      </c>
      <c r="S80" s="36">
        <f>IF(H80="","",IF(ISNUMBER(SEARCH(SUBSTITUTE(H80,"-"," "),SUBSTITUTE(O80,"-"," "))),"Yes","Check"))</f>
        <v/>
      </c>
      <c r="T80" s="25" t="inlineStr">
        <is>
          <t>Does insurance cover repatriation of remains? (direct answer) | Steps and documents to send remains home from Canada | What drives the cost | Funeral insurance vs travel and Super Visa repatriation benefits | Planning for parents visiting on a Super Visa | Questions to ask a funeral home</t>
        </is>
      </c>
      <c r="U80" s="25" t="inlineStr">
        <is>
          <t>How much does it cost to send a body home from Canada? | Does Super Visa insurance cover repatriation? | Can funeral insurance pay for repatriation? | Which documents are needed to repatriate remains?</t>
        </is>
      </c>
      <c r="V80" s="25" t="inlineStr">
        <is>
          <t>A step-by-step checklist (documents, consulate, funeral home, airline) and a coverage table comparing funeral insurance, travel insurance and Super Visa insurance repatriation benefits.</t>
        </is>
      </c>
      <c r="W80" s="25" t="inlineStr">
        <is>
          <t>/life-insurance/funeral-expense/; /life-insurance/newcomers/; /super-visa-insurance/; /travel-insurance/visitors-to-canada/</t>
        </is>
      </c>
      <c r="X80" s="25" t="inlineStr">
        <is>
          <t>Funeral expense estimate, from about $1 a day for the example profile (/life-insurance/funeral-expense/); Request a specialist call: Funeral expense desk</t>
        </is>
      </c>
      <c r="Y80" s="36" t="inlineStr">
        <is>
          <t>Article; FAQPage; BreadcrumbList</t>
        </is>
      </c>
      <c r="Z80" s="37" t="n">
        <v>1500</v>
      </c>
      <c r="AA80" s="25" t="inlineStr">
        <is>
          <t>No comparison site covers repatriation for newcomer families; it is a real need in the communities the Super Visa and newcomer desks serve.</t>
        </is>
      </c>
      <c r="AB80" s="25" t="inlineStr">
        <is>
          <t>Focus keyword in H1, slug, meta title, first 100 words and first H2; answer in 40–60 words. Link the newcomer life desk with "life insurance for newcomers". Offer translations later (Punjabi, Hindi, Mandarin, Tagalog). Refresh annually.</t>
        </is>
      </c>
      <c r="AC80" s="25" t="inlineStr">
        <is>
          <t>Document rules vary by destination country; cite Global Affairs Canada and consulate sources only; travel and Super Visa repatriation limits vary by policy and must be checked in the wording.</t>
        </is>
      </c>
      <c r="AD80" s="36" t="inlineStr">
        <is>
          <t>Annual</t>
        </is>
      </c>
      <c r="AE80" s="38" t="n"/>
      <c r="AF80" s="38" t="n"/>
      <c r="AG80" s="38" t="n"/>
    </row>
    <row r="81" ht="35.05" customHeight="1" s="22">
      <c r="A81" s="36">
        <f>"B"&amp;TEXT(ROW()-1,"0000")</f>
        <v/>
      </c>
      <c r="B81" s="38" t="inlineStr">
        <is>
          <t>Planned</t>
        </is>
      </c>
      <c r="C81" s="36" t="n">
        <v>3</v>
      </c>
      <c r="D81" s="36" t="inlineStr">
        <is>
          <t>Life insurance</t>
        </is>
      </c>
      <c r="E81" s="36" t="inlineStr">
        <is>
          <t>Funeral expense</t>
        </is>
      </c>
      <c r="F81" s="25" t="inlineStr">
        <is>
          <t>Who Pays for a Funeral in Canada When There Is No Money in the Estate?</t>
        </is>
      </c>
      <c r="G81" s="36" t="inlineStr">
        <is>
          <t>https://instasure.ca/guides/who-pays-for-funeral-no-money-canada/</t>
        </is>
      </c>
      <c r="H81" s="36" t="inlineStr">
        <is>
          <t>who pays for a funeral if there is no money</t>
        </is>
      </c>
      <c r="I81" s="41">
        <f>IFERROR(INDEX('Nationwide KWs'!$D$2:$D$168,MATCH(H81,'Nationwide KWs'!$A$2:$A$168,0)),IFERROR(INDEX('Provincial KWs'!$E$2:$E$137,MATCH(H81,'Provincial KWs'!$A$2:$A$137,0)),IFERROR(INDEX('City KWs'!$F$2:$F$419,MATCH(H81,'City KWs'!$A$2:$A$419,0)),"")))</f>
        <v/>
      </c>
      <c r="J81" s="36" t="inlineStr">
        <is>
          <t>Low</t>
        </is>
      </c>
      <c r="K81" s="25" t="inlineStr">
        <is>
          <t>funeral assistance canada; social assistance funeral costs; government help with funeral costs; cpp death benefit</t>
        </is>
      </c>
      <c r="L81" s="36" t="inlineStr">
        <is>
          <t>Nationwide</t>
        </is>
      </c>
      <c r="M81" s="36" t="inlineStr">
        <is>
          <t>informational</t>
        </is>
      </c>
      <c r="N81" s="36" t="inlineStr">
        <is>
          <t>TOFU</t>
        </is>
      </c>
      <c r="O81" s="25" t="inlineStr">
        <is>
          <t>Who Pays for a Funeral in Canada if There Is No Money?</t>
        </is>
      </c>
      <c r="P81" s="36">
        <f>LEN(O81)</f>
        <v/>
      </c>
      <c r="Q81" s="25" t="inlineStr">
        <is>
          <t>Who pays for a funeral in Canada when the estate has no money: family duties, provincial and city funeral assistance and the CPP death benefit. Read more.</t>
        </is>
      </c>
      <c r="R81" s="36">
        <f>LEN(Q81)</f>
        <v/>
      </c>
      <c r="S81" s="36">
        <f>IF(H81="","",IF(ISNUMBER(SEARCH(SUBSTITUTE(H81,"-"," "),SUBSTITUTE(O81,"-"," "))),"Yes","Check"))</f>
        <v/>
      </c>
      <c r="T81" s="25" t="inlineStr">
        <is>
          <t>Who pays for a funeral when there is no money? (direct answer) | What the estate pays first | Provincial and municipal funeral assistance | Veterans and First Nations programs | The CPP death benefit | Planning ahead so family isn't left with the bill</t>
        </is>
      </c>
      <c r="U81" s="25" t="inlineStr">
        <is>
          <t>Are children legally responsible for a parent's funeral in Canada? | Does the government pay for funerals? | How do I apply for funeral assistance? | What is the cheapest funeral option in Canada?</t>
        </is>
      </c>
      <c r="V81" s="25" t="inlineStr">
        <is>
          <t>A province-by-province table of the program that funds funerals for people with no estate (social assistance or municipal programs), with links to each primary source.</t>
        </is>
      </c>
      <c r="W81" s="25" t="inlineStr">
        <is>
          <t>/life-insurance/funeral-expense/; /guides/cpp-death-benefit-and-funeral-costs/; /guides/funeral-costs-canada-by-province/; /life-insurance/final-expense/</t>
        </is>
      </c>
      <c r="X81" s="25" t="inlineStr">
        <is>
          <t>Funeral expense estimate, from about $1 a day for the example profile (/life-insurance/funeral-expense/); Request a specialist call: Funeral expense desk</t>
        </is>
      </c>
      <c r="Y81" s="36" t="inlineStr">
        <is>
          <t>Article; FAQPage; BreadcrumbList</t>
        </is>
      </c>
      <c r="Z81" s="37" t="n">
        <v>1600</v>
      </c>
      <c r="AA81" s="25" t="inlineStr">
        <is>
          <t>No comparison site or insurer covers this; answers are scattered across provincial and municipal pages.</t>
        </is>
      </c>
      <c r="AB81" s="25" t="inlineStr">
        <is>
          <t>Focus keyword in H1, meta title, first 100 words and first H2; answer in 40–60 words. The province table is the value asset; cite each program page. Refresh annually.</t>
        </is>
      </c>
      <c r="AC81" s="25" t="inlineStr">
        <is>
          <t>Program names, eligibility and amounts change by province and municipality; verify each on the government page and leave out any that cannot be confirmed. No legal advice on family obligations.</t>
        </is>
      </c>
      <c r="AD81" s="36" t="inlineStr">
        <is>
          <t>Annual</t>
        </is>
      </c>
      <c r="AE81" s="38" t="n"/>
      <c r="AF81" s="38" t="n"/>
      <c r="AG81" s="38" t="n"/>
    </row>
    <row r="82" ht="57.45" customHeight="1" s="22">
      <c r="A82" s="36">
        <f>"B"&amp;TEXT(ROW()-1,"0000")</f>
        <v/>
      </c>
      <c r="B82" s="38" t="inlineStr">
        <is>
          <t>Planned</t>
        </is>
      </c>
      <c r="C82" s="36" t="n">
        <v>3</v>
      </c>
      <c r="D82" s="36" t="inlineStr">
        <is>
          <t>Life insurance</t>
        </is>
      </c>
      <c r="E82" s="36" t="inlineStr">
        <is>
          <t>Insurer reviews</t>
        </is>
      </c>
      <c r="F82" s="25" t="inlineStr">
        <is>
          <t>Manulife Life Insurance Review: Term, Vitality, CoverMe and Permanent Plans</t>
        </is>
      </c>
      <c r="G82" s="36" t="inlineStr">
        <is>
          <t>https://instasure.ca/guides/manulife-life-insurance-review/</t>
        </is>
      </c>
      <c r="H82" s="36" t="inlineStr">
        <is>
          <t>manulife life insurance review</t>
        </is>
      </c>
      <c r="I82" s="41">
        <f>IFERROR(INDEX('Nationwide KWs'!$D$2:$D$168,MATCH(H82,'Nationwide KWs'!$A$2:$A$168,0)),IFERROR(INDEX('Provincial KWs'!$E$2:$E$137,MATCH(H82,'Provincial KWs'!$A$2:$A$137,0)),IFERROR(INDEX('City KWs'!$F$2:$F$419,MATCH(H82,'City KWs'!$A$2:$A$419,0)),"")))</f>
        <v/>
      </c>
      <c r="J82" s="36" t="inlineStr">
        <is>
          <t>Low</t>
        </is>
      </c>
      <c r="K82" s="25" t="inlineStr">
        <is>
          <t>coverme insurance review; manulife vitality review; manulife family term; manulife whole life insurance; manulife life insurance cost</t>
        </is>
      </c>
      <c r="L82" s="36" t="inlineStr">
        <is>
          <t>Nationwide</t>
        </is>
      </c>
      <c r="M82" s="36" t="inlineStr">
        <is>
          <t>commercial</t>
        </is>
      </c>
      <c r="N82" s="36" t="inlineStr">
        <is>
          <t>MOFU</t>
        </is>
      </c>
      <c r="O82" s="25" t="inlineStr">
        <is>
          <t>Manulife Life Insurance Review: CoverMe, Vitality, Term</t>
        </is>
      </c>
      <c r="P82" s="36">
        <f>LEN(O82)</f>
        <v/>
      </c>
      <c r="Q82" s="25" t="inlineStr">
        <is>
          <t>Our Manulife life insurance review: Family Term, Vitality rewards, CoverMe and permanent plans, with pros, cons and a method score. Compare insurers.</t>
        </is>
      </c>
      <c r="R82" s="36">
        <f>LEN(Q82)</f>
        <v/>
      </c>
      <c r="S82" s="36">
        <f>IF(H82="","",IF(ISNUMBER(SEARCH(SUBSTITUTE(H82,"-"," "),SUBSTITUTE(O82,"-"," "))),"Yes","Check"))</f>
        <v/>
      </c>
      <c r="T82" s="25" t="inlineStr">
        <is>
          <t>Manulife life insurance review: summary verdict | Term life and Family Term | Manulife Vitality: how the rewards work | CoverMe online life insurance | Permanent life products | Underwriting, claims and financial strength | Who Manulife suits and alternatives</t>
        </is>
      </c>
      <c r="U82" s="25" t="inlineStr">
        <is>
          <t>Is Manulife CoverMe a good option? | How does Manulife Vitality affect my premium? | Is CoverMe the same as Manulife? | Can I convert a Manulife term policy?</t>
        </is>
      </c>
      <c r="V82" s="25" t="inlineStr">
        <is>
          <t>A scored review card plus a CoverMe vs advisor-sold Manulife term comparison table (issue ages, maximums, health questions, conversion), each spec dated and sourced.</t>
        </is>
      </c>
      <c r="W82" s="25" t="inlineStr">
        <is>
          <t>/life-insurance/; /guides/best-life-insurance-companies-canada/; /guides/instant-life-insurance-canada/; /editorial-guidelines/</t>
        </is>
      </c>
      <c r="X82" s="25" t="inlineStr">
        <is>
          <t>Compare insurers with a licensed advisor (/quote/)</t>
        </is>
      </c>
      <c r="Y82" s="36" t="inlineStr">
        <is>
          <t>Article; Review; FAQPage; BreadcrumbList</t>
        </is>
      </c>
      <c r="Z82" s="37" t="n">
        <v>2000</v>
      </c>
      <c r="AA82" s="25" t="inlineStr">
        <is>
          <t>PolicyAdvisor runs separate Manulife term, Vitality, CoverMe, whole life and mortgage protection reviews; no single review compares CoverMe with advisor-sold Manulife term for the same buyer.</t>
        </is>
      </c>
      <c r="AB82" s="25" t="inlineStr">
        <is>
          <t>Use the focus keyword in the H1, slug, meta title, first 100 words and first H2, with a 40–60 word verdict. Put the review card first and the CoverMe comparison table in its own H2; link the rankings with 'how Manulife ranks' and the instant-products guide with 'online life insurance compared'; alt text: 'Manulife life insurance review scorecard'. Licensed reviewer, cite Manulife's product pages, refresh semi-annually. Publish at the planned /reviews/manulife/ path if the reviews section ships first; otherwise as a guide that later redirects.</t>
        </is>
      </c>
      <c r="AC82" s="25" t="inlineStr">
        <is>
          <t>Needs the published review method; verify Vitality program terms and CoverMe specs on Manulife's site on the review date, and disclose any commercial relationship.</t>
        </is>
      </c>
      <c r="AD82" s="36" t="inlineStr">
        <is>
          <t>Semi-annual</t>
        </is>
      </c>
      <c r="AE82" s="38" t="n"/>
      <c r="AF82" s="38" t="n"/>
      <c r="AG82" s="38" t="n"/>
    </row>
    <row r="83" ht="68.65000000000001" customHeight="1" s="22">
      <c r="A83" s="36">
        <f>"B"&amp;TEXT(ROW()-1,"0000")</f>
        <v/>
      </c>
      <c r="B83" s="38" t="inlineStr">
        <is>
          <t>Planned</t>
        </is>
      </c>
      <c r="C83" s="36" t="n">
        <v>3</v>
      </c>
      <c r="D83" s="36" t="inlineStr">
        <is>
          <t>Life insurance</t>
        </is>
      </c>
      <c r="E83" s="36" t="inlineStr">
        <is>
          <t>Insurer reviews</t>
        </is>
      </c>
      <c r="F83" s="25" t="inlineStr">
        <is>
          <t>Sun Life Life Insurance Review: Term, Permanent and Sun Life Go Products</t>
        </is>
      </c>
      <c r="G83" s="36" t="inlineStr">
        <is>
          <t>https://instasure.ca/guides/sun-life-life-insurance-review/</t>
        </is>
      </c>
      <c r="H83" s="36" t="inlineStr">
        <is>
          <t>sun life life insurance review</t>
        </is>
      </c>
      <c r="I83" s="41">
        <f>IFERROR(INDEX('Nationwide KWs'!$D$2:$D$168,MATCH(H83,'Nationwide KWs'!$A$2:$A$168,0)),IFERROR(INDEX('Provincial KWs'!$E$2:$E$137,MATCH(H83,'Provincial KWs'!$A$2:$A$137,0)),IFERROR(INDEX('City KWs'!$F$2:$F$419,MATCH(H83,'City KWs'!$A$2:$A$419,0)),"")))</f>
        <v/>
      </c>
      <c r="J83" s="36" t="inlineStr">
        <is>
          <t>Low</t>
        </is>
      </c>
      <c r="K83" s="25" t="inlineStr">
        <is>
          <t>sun life term life insurance; sun life go review; sun life whole life insurance; sun life life insurance cost; sun life vs manulife</t>
        </is>
      </c>
      <c r="L83" s="36" t="inlineStr">
        <is>
          <t>Nationwide</t>
        </is>
      </c>
      <c r="M83" s="36" t="inlineStr">
        <is>
          <t>commercial</t>
        </is>
      </c>
      <c r="N83" s="36" t="inlineStr">
        <is>
          <t>MOFU</t>
        </is>
      </c>
      <c r="O83" s="25" t="inlineStr">
        <is>
          <t>Sun Life Life Insurance Review: Products, Pros and Cons</t>
        </is>
      </c>
      <c r="P83" s="36">
        <f>LEN(O83)</f>
        <v/>
      </c>
      <c r="Q83" s="25" t="inlineStr">
        <is>
          <t>Our Sun Life life insurance review: term, permanent and Sun Life Go products, underwriting and conversion rights, scored by our method. Compare insurers.</t>
        </is>
      </c>
      <c r="R83" s="36">
        <f>LEN(Q83)</f>
        <v/>
      </c>
      <c r="S83" s="36">
        <f>IF(H83="","",IF(ISNUMBER(SEARCH(SUBSTITUTE(H83,"-"," "),SUBSTITUTE(O83,"-"," "))),"Yes","Check"))</f>
        <v/>
      </c>
      <c r="T83" s="25" t="inlineStr">
        <is>
          <t>Sun Life life insurance review: summary verdict | Term life products | Permanent life products | Sun Life Go online products | Underwriting and no-medical options | Claims and financial strength | Who Sun Life suits and alternatives</t>
        </is>
      </c>
      <c r="U83" s="25" t="inlineStr">
        <is>
          <t>Is Sun Life a good life insurance company? | What is Sun Life Go? | Can I convert a Sun Life term policy? | How does Sun Life compare with Manulife?</t>
        </is>
      </c>
      <c r="V83" s="25" t="inlineStr">
        <is>
          <t>A scored review card using the published method plus a product spec table (issue ages, terms, maximums, conversion age) verified against Sun Life's product pages on the review date.</t>
        </is>
      </c>
      <c r="W83" s="25" t="inlineStr">
        <is>
          <t>/life-insurance/; /guides/best-life-insurance-companies-canada/; /guides/instant-life-insurance-canada/; /editorial-guidelines/</t>
        </is>
      </c>
      <c r="X83" s="25" t="inlineStr">
        <is>
          <t>Compare insurers with a licensed advisor (/quote/)</t>
        </is>
      </c>
      <c r="Y83" s="36" t="inlineStr">
        <is>
          <t>Article; Review; FAQPage; BreadcrumbList</t>
        </is>
      </c>
      <c r="Z83" s="37" t="n">
        <v>2000</v>
      </c>
      <c r="AA83" s="25" t="inlineStr">
        <is>
          <t>PolicyAdvisor covers Sun Life in pieces ('Sun Life Evolve Term insurance explained', 'Sun Life Critical Illness Insurance Review', 'Sun Life Term Life Insurance Cost in Canada') and runs a Sun Life-branded landing page; no single method-scored review was seen.</t>
        </is>
      </c>
      <c r="AB83" s="25" t="inlineStr">
        <is>
          <t>Use the focus keyword in the H1, slug, meta title, first 100 words and first H2, with a 40–60 word verdict. Put the review card and spec table above the fold with a 'reviewed on' date; link the rankings with 'how Sun Life ranks' and the instant-products guide with 'Sun Life Go vs other online options'; alt text: 'Sun Life life insurance review scorecard'. Licensed reviewer, cite Sun Life's product pages, refresh semi-annually. Publish at the planned /reviews/sun-life/ path if the reviews section ships first; otherwise as a guide that later redirects.</t>
        </is>
      </c>
      <c r="AC83" s="25" t="inlineStr">
        <is>
          <t>Needs the published review method; verify product specs and the claims statistic (more than 27,000 claims, over 99% approved, about $1.7B in 2025) from Sun Life's own publication, and disclose any commercial relationship.</t>
        </is>
      </c>
      <c r="AD83" s="36" t="inlineStr">
        <is>
          <t>Semi-annual</t>
        </is>
      </c>
      <c r="AE83" s="38" t="n"/>
      <c r="AF83" s="38" t="n"/>
      <c r="AG83" s="38" t="n"/>
    </row>
    <row r="84" ht="57.45" customHeight="1" s="22">
      <c r="A84" s="36">
        <f>"B"&amp;TEXT(ROW()-1,"0000")</f>
        <v/>
      </c>
      <c r="B84" s="38" t="inlineStr">
        <is>
          <t>Planned</t>
        </is>
      </c>
      <c r="C84" s="36" t="n">
        <v>3</v>
      </c>
      <c r="D84" s="36" t="inlineStr">
        <is>
          <t>Life insurance</t>
        </is>
      </c>
      <c r="E84" s="36" t="inlineStr">
        <is>
          <t>Medical conditions</t>
        </is>
      </c>
      <c r="F84" s="25" t="inlineStr">
        <is>
          <t>Life Insurance After a Heart Attack or With Heart Disease in Canada</t>
        </is>
      </c>
      <c r="G84" s="36" t="inlineStr">
        <is>
          <t>https://instasure.ca/guides/life-insurance-after-heart-attack-canada/</t>
        </is>
      </c>
      <c r="H84" s="36" t="inlineStr">
        <is>
          <t>life insurance after heart attack</t>
        </is>
      </c>
      <c r="I84" s="41">
        <f>IFERROR(INDEX('Nationwide KWs'!$D$2:$D$168,MATCH(H84,'Nationwide KWs'!$A$2:$A$168,0)),IFERROR(INDEX('Provincial KWs'!$E$2:$E$137,MATCH(H84,'Provincial KWs'!$A$2:$A$137,0)),IFERROR(INDEX('City KWs'!$F$2:$F$419,MATCH(H84,'City KWs'!$A$2:$A$419,0)),"")))</f>
        <v/>
      </c>
      <c r="J84" s="36" t="inlineStr">
        <is>
          <t>Niche</t>
        </is>
      </c>
      <c r="K84" s="25" t="inlineStr">
        <is>
          <t>life insurance heart disease canada; life insurance after stent; life insurance after bypass surgery; atrial fibrillation life insurance; heart condition no medical life insurance</t>
        </is>
      </c>
      <c r="L84" s="36" t="inlineStr">
        <is>
          <t>Nationwide</t>
        </is>
      </c>
      <c r="M84" s="36" t="inlineStr">
        <is>
          <t>commercial</t>
        </is>
      </c>
      <c r="N84" s="36" t="inlineStr">
        <is>
          <t>MOFU</t>
        </is>
      </c>
      <c r="O84" s="25" t="inlineStr">
        <is>
          <t>Life Insurance After a Heart Attack in Canada: Options</t>
        </is>
      </c>
      <c r="P84" s="36">
        <f>LEN(O84)</f>
        <v/>
      </c>
      <c r="Q84" s="25" t="inlineStr">
        <is>
          <t>Life insurance after a heart attack in Canada: how recovery time, heart function, stents and lifestyle change your options. Get a confidential review.</t>
        </is>
      </c>
      <c r="R84" s="36">
        <f>LEN(Q84)</f>
        <v/>
      </c>
      <c r="S84" s="36">
        <f>IF(H84="","",IF(ISNUMBER(SEARCH(SUBSTITUTE(H84,"-"," "),SUBSTITUTE(O84,"-"," "))),"Yes","Check"))</f>
        <v/>
      </c>
      <c r="T84" s="25" t="inlineStr">
        <is>
          <t>Can you get life insurance after a heart attack? | How long insurers wait after a cardiac event | Tests and reports underwriters request | Stents, bypass and atrial fibrillation | How lifestyle changes help your rating | No-medical options while you recover</t>
        </is>
      </c>
      <c r="U84" s="25" t="inlineStr">
        <is>
          <t>How long after a heart attack can I get life insurance? | Will my existing life insurance pay if I die of a heart attack? | Does atrial fibrillation affect life insurance? | Can I get term life insurance after a stent?</t>
        </is>
      </c>
      <c r="V84" s="25" t="inlineStr">
        <is>
          <t>A cardiac-event timeline (0–6 months, 6–12 months, 1–2 years, 2+ years) with typical options at each stage, plus a list of cardiology reports to request, desk-reviewed.</t>
        </is>
      </c>
      <c r="W84" s="25" t="inlineStr">
        <is>
          <t>/life-insurance/medical-conditions/; /no-medical-life-insurance/; /critical-illness-insurance/; /guides/simplified-vs-guaranteed-issue-life-insurance/</t>
        </is>
      </c>
      <c r="X84" s="25" t="inlineStr">
        <is>
          <t>Request a specialist call: Medical underwriting desk (/life-insurance/medical-conditions/)</t>
        </is>
      </c>
      <c r="Y84" s="36" t="inlineStr">
        <is>
          <t>Article; FAQPage; BreadcrumbList</t>
        </is>
      </c>
      <c r="Z84" s="37" t="n">
        <v>1500</v>
      </c>
      <c r="AA84" s="25" t="inlineStr">
        <is>
          <t>PolicyAdvisor's 'Does Life Insurance Cover Heart Attack?' answers whether a policy pays out; it does not explain buying cover after a cardiac event, which no competitor seen covers.</t>
        </is>
      </c>
      <c r="AB84" s="25" t="inlineStr">
        <is>
          <t>Use the focus keyword in the H1, slug stem, meta title, first 100 words and first H2, with a 40–60 word answer on typical waiting periods. Show the timeline as a graphic with a text table and list the reports to request; link the medical underwriting desk with 'confidential underwriting review' and /critical-illness-insurance/ with 'critical illness insurance'. Alt text: 'Timeline of life insurance options after a heart attack'. Desk-reviewed, cite Heart &amp; Stroke, refresh annually.</t>
        </is>
      </c>
      <c r="AC84" s="25" t="inlineStr">
        <is>
          <t>Timelines are typical and vary by insurer; use Heart &amp; Stroke for clinical terms, have the desk review, and make sure 'confidential review' matches how the desk actually handles enquiries.</t>
        </is>
      </c>
      <c r="AD84" s="36" t="inlineStr">
        <is>
          <t>Annual</t>
        </is>
      </c>
      <c r="AE84" s="38" t="n"/>
      <c r="AF84" s="38" t="n"/>
      <c r="AG84" s="38" t="n"/>
    </row>
    <row r="85" ht="57.45" customHeight="1" s="22">
      <c r="A85" s="36">
        <f>"B"&amp;TEXT(ROW()-1,"0000")</f>
        <v/>
      </c>
      <c r="B85" s="38" t="inlineStr">
        <is>
          <t>Planned</t>
        </is>
      </c>
      <c r="C85" s="36" t="n">
        <v>3</v>
      </c>
      <c r="D85" s="36" t="inlineStr">
        <is>
          <t>Life insurance</t>
        </is>
      </c>
      <c r="E85" s="36" t="inlineStr">
        <is>
          <t>Medical conditions</t>
        </is>
      </c>
      <c r="F85" s="25" t="inlineStr">
        <is>
          <t>Life Insurance With High Blood Pressure or High Cholesterol in Canada</t>
        </is>
      </c>
      <c r="G85" s="36" t="inlineStr">
        <is>
          <t>https://instasure.ca/guides/life-insurance-high-blood-pressure-cholesterol/</t>
        </is>
      </c>
      <c r="H85" s="36" t="inlineStr">
        <is>
          <t>life insurance with high blood pressure</t>
        </is>
      </c>
      <c r="I85" s="41">
        <f>IFERROR(INDEX('Nationwide KWs'!$D$2:$D$168,MATCH(H85,'Nationwide KWs'!$A$2:$A$168,0)),IFERROR(INDEX('Provincial KWs'!$E$2:$E$137,MATCH(H85,'Provincial KWs'!$A$2:$A$137,0)),IFERROR(INDEX('City KWs'!$F$2:$F$419,MATCH(H85,'City KWs'!$A$2:$A$419,0)),"")))</f>
        <v/>
      </c>
      <c r="J85" s="36" t="inlineStr">
        <is>
          <t>Niche</t>
        </is>
      </c>
      <c r="K85" s="25" t="inlineStr">
        <is>
          <t>life insurance high cholesterol canada; hypertension life insurance rates; blood pressure reading life insurance exam; statins life insurance; preferred rates with medication</t>
        </is>
      </c>
      <c r="L85" s="36" t="inlineStr">
        <is>
          <t>Nationwide</t>
        </is>
      </c>
      <c r="M85" s="36" t="inlineStr">
        <is>
          <t>commercial</t>
        </is>
      </c>
      <c r="N85" s="36" t="inlineStr">
        <is>
          <t>MOFU</t>
        </is>
      </c>
      <c r="O85" s="25" t="inlineStr">
        <is>
          <t>Life Insurance With High Blood Pressure in Canada</t>
        </is>
      </c>
      <c r="P85" s="36">
        <f>LEN(O85)</f>
        <v/>
      </c>
      <c r="Q85" s="25" t="inlineStr">
        <is>
          <t>Life insurance with high blood pressure or cholesterol in Canada: how readings, medication and control affect your rating. Get a confidential review.</t>
        </is>
      </c>
      <c r="R85" s="36">
        <f>LEN(Q85)</f>
        <v/>
      </c>
      <c r="S85" s="36">
        <f>IF(H85="","",IF(ISNUMBER(SEARCH(SUBSTITUTE(H85,"-"," "),SUBSTITUTE(O85,"-"," "))),"Yes","Check"))</f>
        <v/>
      </c>
      <c r="T85" s="25" t="inlineStr">
        <is>
          <t>Can you get life insurance with high blood pressure? | How insurers read blood pressure | Cholesterol ratios and statins | Controlled vs uncontrolled conditions | Exam-day tips for accurate readings | Rating outcomes you can expect</t>
        </is>
      </c>
      <c r="U85" s="25" t="inlineStr">
        <is>
          <t>Can I get preferred rates if I take blood pressure medication? | What blood pressure is too high for life insurance? | Does high cholesterol affect life insurance in Canada? | Can I retake a high reading at my exam?</t>
        </is>
      </c>
      <c r="V85" s="25" t="inlineStr">
        <is>
          <t>A reading-band table (blood pressure and cholesterol-ratio bands vs typical rating outcome), labelled illustrative and desk-reviewed, plus an exam-day checklist.</t>
        </is>
      </c>
      <c r="W85" s="25" t="inlineStr">
        <is>
          <t>/life-insurance/medical-conditions/; /guides/life-insurance-rating-classes-canada/; /guides/life-insurance-medical-exam-application/; /term-life-insurance/</t>
        </is>
      </c>
      <c r="X85" s="25" t="inlineStr">
        <is>
          <t>Request a specialist call: Medical underwriting desk (/life-insurance/medical-conditions/)</t>
        </is>
      </c>
      <c r="Y85" s="36" t="inlineStr">
        <is>
          <t>Article; FAQPage; BreadcrumbList</t>
        </is>
      </c>
      <c r="Z85" s="37" t="n">
        <v>1400</v>
      </c>
      <c r="AA85" s="25" t="inlineStr">
        <is>
          <t>No competitor coverage seen; the research lists high blood pressure and cholesterol among condition pages no competitor surfaced.</t>
        </is>
      </c>
      <c r="AB85" s="25" t="inlineStr">
        <is>
          <t>Put the focus keyword in the H1, slug stem, meta title, first 100 words and first H2, with a 40–60 word answer that controlled hypertension is usually insurable. Show the reading-band table with an 'illustrative' caption and the exam-day tips as a list; link the rating-classes guide with 'how rating classes work' and the exam guide with 'what happens at the medical exam'. Alt text: 'Blood pressure bands and typical life insurance outcomes'. Desk-reviewed, cite Hypertension Canada and Heart &amp; Stroke, refresh annually.</t>
        </is>
      </c>
      <c r="AC85" s="25" t="inlineStr">
        <is>
          <t>Bands are illustrative and insurer-specific; use Hypertension Canada and Heart &amp; Stroke for clinical definitions and have the desk advisor review before publishing.</t>
        </is>
      </c>
      <c r="AD85" s="36" t="inlineStr">
        <is>
          <t>Annual</t>
        </is>
      </c>
      <c r="AE85" s="38" t="n"/>
      <c r="AF85" s="38" t="n"/>
      <c r="AG85" s="38" t="n"/>
    </row>
    <row r="86" ht="68.65000000000001" customHeight="1" s="22">
      <c r="A86" s="36">
        <f>"B"&amp;TEXT(ROW()-1,"0000")</f>
        <v/>
      </c>
      <c r="B86" s="38" t="inlineStr">
        <is>
          <t>Planned</t>
        </is>
      </c>
      <c r="C86" s="36" t="n">
        <v>3</v>
      </c>
      <c r="D86" s="36" t="inlineStr">
        <is>
          <t>Life insurance</t>
        </is>
      </c>
      <c r="E86" s="36" t="inlineStr">
        <is>
          <t>Newcomers</t>
        </is>
      </c>
      <c r="F86" s="25" t="inlineStr">
        <is>
          <t>Does Life Insurance Cover You Abroad? Travel, Living Overseas and Underwriting Rules</t>
        </is>
      </c>
      <c r="G86" s="36" t="inlineStr">
        <is>
          <t>https://instasure.ca/guides/does-life-insurance-cover-you-abroad/</t>
        </is>
      </c>
      <c r="H86" s="36" t="inlineStr">
        <is>
          <t>does life insurance cover death abroad</t>
        </is>
      </c>
      <c r="I86" s="41">
        <f>IFERROR(INDEX('Nationwide KWs'!$D$2:$D$168,MATCH(H86,'Nationwide KWs'!$A$2:$A$168,0)),IFERROR(INDEX('Provincial KWs'!$E$2:$E$137,MATCH(H86,'Provincial KWs'!$A$2:$A$137,0)),IFERROR(INDEX('City KWs'!$F$2:$F$419,MATCH(H86,'City KWs'!$A$2:$A$419,0)),"")))</f>
        <v/>
      </c>
      <c r="J86" s="36" t="inlineStr">
        <is>
          <t>Niche</t>
        </is>
      </c>
      <c r="K86" s="25" t="inlineStr">
        <is>
          <t>life insurance foreign travel questionnaire; life insurance moving abroad; life insurance travel to india; life insurance travel advisory countries; does life insurance pay if you die overseas</t>
        </is>
      </c>
      <c r="L86" s="36" t="inlineStr">
        <is>
          <t>Nationwide</t>
        </is>
      </c>
      <c r="M86" s="36" t="inlineStr">
        <is>
          <t>informational</t>
        </is>
      </c>
      <c r="N86" s="36" t="inlineStr">
        <is>
          <t>MOFU</t>
        </is>
      </c>
      <c r="O86" s="25" t="inlineStr">
        <is>
          <t>Does Life Insurance Cover Death Abroad? Canadian Rules</t>
        </is>
      </c>
      <c r="P86" s="36">
        <f>LEN(O86)</f>
        <v/>
      </c>
      <c r="Q86" s="25" t="inlineStr">
        <is>
          <t>Does life insurance cover death abroad? How insurers treat trips home, long stays and travel advisories, and moving away. Ask our newcomer team.</t>
        </is>
      </c>
      <c r="R86" s="36">
        <f>LEN(Q86)</f>
        <v/>
      </c>
      <c r="S86" s="36">
        <f>IF(H86="","",IF(ISNUMBER(SEARCH(SUBSTITUTE(H86,"-"," "),SUBSTITUTE(O86,"-"," "))),"Yes","Check"))</f>
        <v/>
      </c>
      <c r="T86" s="25" t="inlineStr">
        <is>
          <t>Does life insurance pay if you die outside Canada? | Travel questions on the application | Long trips home and extended stays | Travel advisories and postponements | Moving abroad after you buy | Claims from overseas: documents and delays</t>
        </is>
      </c>
      <c r="U86" s="25" t="inlineStr">
        <is>
          <t>Will planned travel delay my life insurance application? | Does my policy stay in force if I move abroad? | How does my family claim if I die overseas? | Do travel advisories affect existing policies?</t>
        </is>
      </c>
      <c r="V86" s="25" t="inlineStr">
        <is>
          <t>A travel-underwriting checklist for newcomers planning trips home and a claims-from-abroad document list (death certificate translation, authentication steps) verified with insurers.</t>
        </is>
      </c>
      <c r="W86" s="25" t="inlineStr">
        <is>
          <t>/life-insurance/newcomers/; /guides/life-insurance-for-newcomers-to-canada/; /life-insurance/; /travel-insurance/</t>
        </is>
      </c>
      <c r="X86" s="25" t="inlineStr">
        <is>
          <t>Request a specialist call: Newcomer life desk (/life-insurance/newcomers/)</t>
        </is>
      </c>
      <c r="Y86" s="36" t="inlineStr">
        <is>
          <t>Article; FAQPage; BreadcrumbList</t>
        </is>
      </c>
      <c r="Z86" s="37" t="n">
        <v>1500</v>
      </c>
      <c r="AA86" s="25" t="inlineStr">
        <is>
          <t>Sun Life publishes foreign travel guidelines only on its advisor portal (Suncentral); no consumer-facing competitor page explains travel underwriting or overseas claims.</t>
        </is>
      </c>
      <c r="AB86" s="25" t="inlineStr">
        <is>
          <t>Put the focus keyword in the H1, meta title, first 100 words and first H2, and answer in 40–60 words (most policies pay worldwide; applications are where travel matters). Use a checklist block for travel questions and a document table for overseas claims; link /life-insurance/newcomers/ with 'newcomer life insurance desk' and the newcomer guide with 'life insurance for newcomers'. Alt text: 'Checklist for life insurance applicants planning travel abroad'. Licensed reviewer, cite insurer guidelines and Global Affairs Canada, refresh semi-annually.</t>
        </is>
      </c>
      <c r="AC86" s="25" t="inlineStr">
        <is>
          <t>Travel rules are insurer-specific and follow Global Affairs Canada advisories; verify with insurers and never describe a country as 'uninsurable'.</t>
        </is>
      </c>
      <c r="AD86" s="36" t="inlineStr">
        <is>
          <t>Semi-annual</t>
        </is>
      </c>
      <c r="AE86" s="38" t="n"/>
      <c r="AF86" s="38" t="n"/>
      <c r="AG86" s="38" t="n"/>
    </row>
    <row r="87" ht="57.45" customHeight="1" s="22">
      <c r="A87" s="36">
        <f>"B"&amp;TEXT(ROW()-1,"0000")</f>
        <v/>
      </c>
      <c r="B87" s="38" t="inlineStr">
        <is>
          <t>Planned</t>
        </is>
      </c>
      <c r="C87" s="36" t="n">
        <v>3</v>
      </c>
      <c r="D87" s="36" t="inlineStr">
        <is>
          <t>Life insurance</t>
        </is>
      </c>
      <c r="E87" s="36" t="inlineStr">
        <is>
          <t>Personas</t>
        </is>
      </c>
      <c r="F87" s="25" t="inlineStr">
        <is>
          <t>Can You Buy Life Insurance on Your Parents or Someone Else in Canada?</t>
        </is>
      </c>
      <c r="G87" s="36" t="inlineStr">
        <is>
          <t>https://instasure.ca/guides/buy-life-insurance-on-parents-canada/</t>
        </is>
      </c>
      <c r="H87" s="36" t="inlineStr">
        <is>
          <t>buy life insurance on parents</t>
        </is>
      </c>
      <c r="I87" s="41">
        <f>IFERROR(INDEX('Nationwide KWs'!$D$2:$D$168,MATCH(H87,'Nationwide KWs'!$A$2:$A$168,0)),IFERROR(INDEX('Provincial KWs'!$E$2:$E$137,MATCH(H87,'Provincial KWs'!$A$2:$A$137,0)),IFERROR(INDEX('City KWs'!$F$2:$F$419,MATCH(H87,'City KWs'!$A$2:$A$419,0)),"")))</f>
        <v/>
      </c>
      <c r="J87" s="36" t="inlineStr">
        <is>
          <t>Low</t>
        </is>
      </c>
      <c r="K87" s="25" t="inlineStr">
        <is>
          <t>buy life insurance for someone else; insurable interest canada; life insurance on elderly parents; who can own a life insurance policy; consent life insurance canada</t>
        </is>
      </c>
      <c r="L87" s="36" t="inlineStr">
        <is>
          <t>Nationwide</t>
        </is>
      </c>
      <c r="M87" s="36" t="inlineStr">
        <is>
          <t>informational</t>
        </is>
      </c>
      <c r="N87" s="36" t="inlineStr">
        <is>
          <t>MOFU</t>
        </is>
      </c>
      <c r="O87" s="25" t="inlineStr">
        <is>
          <t>Can You Buy Life Insurance on Your Parents in Canada?</t>
        </is>
      </c>
      <c r="P87" s="36">
        <f>LEN(O87)</f>
        <v/>
      </c>
      <c r="Q87" s="25" t="inlineStr">
        <is>
          <t>Can you buy life insurance on your parents in Canada? Learn insurable interest and consent rules, who can own a policy and options. Get a seniors estimate.</t>
        </is>
      </c>
      <c r="R87" s="36">
        <f>LEN(Q87)</f>
        <v/>
      </c>
      <c r="S87" s="36">
        <f>IF(H87="","",IF(ISNUMBER(SEARCH(SUBSTITUTE(H87,"-"," "),SUBSTITUTE(O87,"-"," "))),"Yes","Check"))</f>
        <v/>
      </c>
      <c r="T87" s="25" t="inlineStr">
        <is>
          <t>Can you buy life insurance on someone else? | Insurable interest and consent rules | Owner, insured, payer and beneficiary explained | Buying a policy on ageing parents | Final expense and guaranteed issue options | Tax on ownership transfers</t>
        </is>
      </c>
      <c r="U87" s="25" t="inlineStr">
        <is>
          <t>Do my parents need to consent to a life insurance policy? | Can I buy life insurance on a sibling or business partner? | Who pays tax if ownership of a policy is transferred? | Can I buy life insurance for parents living abroad?</t>
        </is>
      </c>
      <c r="V87" s="25" t="inlineStr">
        <is>
          <t>A role diagram (owner, life insured, payer, beneficiary) with four real-world setups and a who-can-insure-whom table based on provincial insurance acts.</t>
        </is>
      </c>
      <c r="W87" s="25" t="inlineStr">
        <is>
          <t>/life-insurance/seniors/; /life-insurance/final-expense/; /guides/life-insurance-age-limit-canada/; /guides/life-insurance-beneficiary-canada/</t>
        </is>
      </c>
      <c r="X87" s="25" t="inlineStr">
        <is>
          <t>Instant seniors life insurance estimate (/quote/)</t>
        </is>
      </c>
      <c r="Y87" s="36" t="inlineStr">
        <is>
          <t>Article; FAQPage; BreadcrumbList</t>
        </is>
      </c>
      <c r="Z87" s="37" t="n">
        <v>1300</v>
      </c>
      <c r="AA87" s="25" t="inlineStr">
        <is>
          <t>PolicyAdvisor ('Can You Buy Life Insurance For Someone Else?') and Rates.ca ('Should You Take A Life Insurance Policy Out On Your Parents?') cover the question; neither shows owner, insured and payer setups or the transfer tax angle.</t>
        </is>
      </c>
      <c r="AB87" s="25" t="inlineStr">
        <is>
          <t>Use the focus keyword in the H1 (as 'on your parents'), slug, meta title, first 100 words and first H2, with a 40–60 word answer on consent and insurable interest. Put the role diagram near the top with a text equivalent; link /life-insurance/seniors/ with 'life insurance for seniors' and the age-limit guide with 'life insurance age limits'. Alt text: 'Diagram of owner, insured, payer and beneficiary roles'. Licensed reviewer, cite the provincial insurance acts and CRA, refresh annually.</t>
        </is>
      </c>
      <c r="AC87" s="25" t="inlineStr">
        <is>
          <t>Verify insurable-interest and consent provisions in the provincial insurance acts (for example Ontario's Insurance Act) and CRA transfer rules; never suggest insuring someone without their consent.</t>
        </is>
      </c>
      <c r="AD87" s="36" t="inlineStr">
        <is>
          <t>Annual</t>
        </is>
      </c>
      <c r="AE87" s="38" t="n"/>
      <c r="AF87" s="38" t="n"/>
      <c r="AG87" s="38" t="n"/>
    </row>
    <row r="88" ht="57.45" customHeight="1" s="22">
      <c r="A88" s="36">
        <f>"B"&amp;TEXT(ROW()-1,"0000")</f>
        <v/>
      </c>
      <c r="B88" s="38" t="inlineStr">
        <is>
          <t>Planned</t>
        </is>
      </c>
      <c r="C88" s="36" t="n">
        <v>3</v>
      </c>
      <c r="D88" s="36" t="inlineStr">
        <is>
          <t>Life insurance</t>
        </is>
      </c>
      <c r="E88" s="36" t="inlineStr">
        <is>
          <t>Personas</t>
        </is>
      </c>
      <c r="F88" s="25" t="inlineStr">
        <is>
          <t>Is Children's Life Insurance Worth It? Pros, Cons and Alternatives in Canada</t>
        </is>
      </c>
      <c r="G88" s="36" t="inlineStr">
        <is>
          <t>https://instasure.ca/guides/is-childrens-life-insurance-worth-it/</t>
        </is>
      </c>
      <c r="H88" s="36" t="inlineStr">
        <is>
          <t>is children's life insurance worth it</t>
        </is>
      </c>
      <c r="I88" s="41">
        <f>IFERROR(INDEX('Nationwide KWs'!$D$2:$D$168,MATCH(H88,'Nationwide KWs'!$A$2:$A$168,0)),IFERROR(INDEX('Provincial KWs'!$E$2:$E$137,MATCH(H88,'Provincial KWs'!$A$2:$A$137,0)),IFERROR(INDEX('City KWs'!$F$2:$F$419,MATCH(H88,'City KWs'!$A$2:$A$419,0)),"")))</f>
        <v/>
      </c>
      <c r="J88" s="36" t="inlineStr">
        <is>
          <t>Medium</t>
        </is>
      </c>
      <c r="K88" s="25" t="inlineStr">
        <is>
          <t>children's life insurance; life insurance for kids canada; child term rider; whole life for children; grandparent buying life insurance for grandchild</t>
        </is>
      </c>
      <c r="L88" s="36" t="inlineStr">
        <is>
          <t>Nationwide</t>
        </is>
      </c>
      <c r="M88" s="36" t="inlineStr">
        <is>
          <t>commercial</t>
        </is>
      </c>
      <c r="N88" s="36" t="inlineStr">
        <is>
          <t>MOFU</t>
        </is>
      </c>
      <c r="O88" s="25" t="inlineStr">
        <is>
          <t>Is Children's Life Insurance Worth It? Pros and Cons</t>
        </is>
      </c>
      <c r="P88" s="36">
        <f>LEN(O88)</f>
        <v/>
      </c>
      <c r="Q88" s="25" t="inlineStr">
        <is>
          <t>Is children's life insurance worth it? Weigh insurability, cash value and cost against a child rider or an RESP, with a verdict by family. Ask an advisor.</t>
        </is>
      </c>
      <c r="R88" s="36">
        <f>LEN(Q88)</f>
        <v/>
      </c>
      <c r="S88" s="36">
        <f>IF(H88="","",IF(ISNUMBER(SEARCH(SUBSTITUTE(H88,"-"," "),SUBSTITUTE(O88,"-"," "))),"Yes","Check"))</f>
        <v/>
      </c>
      <c r="T88" s="25" t="inlineStr">
        <is>
          <t>Is children's life insurance worth it? The short answer | What children's life insurance covers | The case for: insurability and cash value | The case against: cost and opportunity cost | Child riders and RESPs as alternatives | Grandparents buying a policy | Verdict by family situation</t>
        </is>
      </c>
      <c r="U88" s="25" t="inlineStr">
        <is>
          <t>How much does life insurance for a child cost in Canada? | Can grandparents buy life insurance on a grandchild? | Is a child term rider enough? | Who owns a child's life insurance policy?</t>
        </is>
      </c>
      <c r="V88" s="25" t="inlineStr">
        <is>
          <t>A 25-year comparison of three approaches for one child (whole life policy, child term rider, investing the same premium in an RESP or TFSA), with assumptions stated and labelled hypothetical.</t>
        </is>
      </c>
      <c r="W88" s="25" t="inlineStr">
        <is>
          <t>/life-insurance/children/; /whole-life-insurance/; /guides/life-insurance-riders-canada/; /guides/participating-whole-life-insurance-cash-value/</t>
        </is>
      </c>
      <c r="X88" s="25" t="inlineStr">
        <is>
          <t>Talk to a licensed advisor (/life-insurance/children/)</t>
        </is>
      </c>
      <c r="Y88" s="36" t="inlineStr">
        <is>
          <t>Article; FAQPage; BreadcrumbList</t>
        </is>
      </c>
      <c r="Z88" s="37" t="n">
        <v>1600</v>
      </c>
      <c r="AA88" s="25" t="inlineStr">
        <is>
          <t>PolicyAdvisor's 'Pros and Cons of Children's Life Insurance in Canada' and Sun Life's children's CI page exist, but neither compares a child policy with a rider or an RESP over the same period.</t>
        </is>
      </c>
      <c r="AB88" s="25" t="inlineStr">
        <is>
          <t>Use the focus keyword in the H1, slug stem, meta title, first 100 words and first H2, with a 40–60 word verdict. Show the 25-year comparison as a table and line chart with stated assumptions; link /life-insurance/children/ with 'children's life insurance' and the riders guide with 'child term rider'. Alt text: 'Comparing a child's whole life policy with a rider and an RESP over 25 years'. Licensed reviewer, cite CRA on policy transfers, refresh annually.</t>
        </is>
      </c>
      <c r="AC88" s="25" t="inlineStr">
        <is>
          <t>Investment comparisons are hypothetical and must state assumed returns; verify ownership-transfer tax rules with CRA and do not present a policy as an education savings vehicle.</t>
        </is>
      </c>
      <c r="AD88" s="36" t="inlineStr">
        <is>
          <t>Annual</t>
        </is>
      </c>
      <c r="AE88" s="38" t="n"/>
      <c r="AF88" s="38" t="n"/>
      <c r="AG88" s="38" t="n"/>
    </row>
    <row r="89" ht="57.45" customHeight="1" s="22">
      <c r="A89" s="36">
        <f>"B"&amp;TEXT(ROW()-1,"0000")</f>
        <v/>
      </c>
      <c r="B89" s="38" t="inlineStr">
        <is>
          <t>Planned</t>
        </is>
      </c>
      <c r="C89" s="36" t="n">
        <v>3</v>
      </c>
      <c r="D89" s="36" t="inlineStr">
        <is>
          <t>Life insurance</t>
        </is>
      </c>
      <c r="E89" s="36" t="inlineStr">
        <is>
          <t>Personas</t>
        </is>
      </c>
      <c r="F89" s="25" t="inlineStr">
        <is>
          <t>Life Insurance After Separation or Divorce in Canada: Support Orders, Beneficiaries and Ownership</t>
        </is>
      </c>
      <c r="G89" s="36" t="inlineStr">
        <is>
          <t>https://instasure.ca/guides/life-insurance-divorce-separation-canada/</t>
        </is>
      </c>
      <c r="H89" s="36" t="inlineStr">
        <is>
          <t>life insurance divorce canada</t>
        </is>
      </c>
      <c r="I89" s="41">
        <f>IFERROR(INDEX('Nationwide KWs'!$D$2:$D$168,MATCH(H89,'Nationwide KWs'!$A$2:$A$168,0)),IFERROR(INDEX('Provincial KWs'!$E$2:$E$137,MATCH(H89,'Provincial KWs'!$A$2:$A$137,0)),IFERROR(INDEX('City KWs'!$F$2:$F$419,MATCH(H89,'City KWs'!$A$2:$A$419,0)),"")))</f>
        <v/>
      </c>
      <c r="J89" s="36" t="inlineStr">
        <is>
          <t>Niche</t>
        </is>
      </c>
      <c r="K89" s="25" t="inlineStr">
        <is>
          <t>life insurance child support canada; spousal support life insurance; change beneficiary after divorce; irrevocable beneficiary divorce; life insurance blended family</t>
        </is>
      </c>
      <c r="L89" s="36" t="inlineStr">
        <is>
          <t>Nationwide</t>
        </is>
      </c>
      <c r="M89" s="36" t="inlineStr">
        <is>
          <t>informational</t>
        </is>
      </c>
      <c r="N89" s="36" t="inlineStr">
        <is>
          <t>MOFU</t>
        </is>
      </c>
      <c r="O89" s="25" t="inlineStr">
        <is>
          <t>Life Insurance and Divorce in Canada: What Changes</t>
        </is>
      </c>
      <c r="P89" s="36">
        <f>LEN(O89)</f>
        <v/>
      </c>
      <c r="Q89" s="25" t="inlineStr">
        <is>
          <t>Life insurance after divorce in Canada: securing support orders, changing or locking beneficiaries, ownership and blended families. Get a fresh estimate.</t>
        </is>
      </c>
      <c r="R89" s="36">
        <f>LEN(Q89)</f>
        <v/>
      </c>
      <c r="S89" s="36">
        <f>IF(H89="","",IF(ISNUMBER(SEARCH(SUBSTITUTE(H89,"-"," "),SUBSTITUTE(O89,"-"," "))),"Yes","Check"))</f>
        <v/>
      </c>
      <c r="T89" s="25" t="inlineStr">
        <is>
          <t>What happens to life insurance after separation? | Life insurance to secure child and spousal support | Changing beneficiaries and irrevocable designations | Who owns the policy and why it matters | Joint policies after a split | Blended families: protecting new and former partners | A separation checklist</t>
        </is>
      </c>
      <c r="U89" s="25" t="inlineStr">
        <is>
          <t>Can a court order me to keep life insurance in Canada? | Does divorce automatically remove my ex as beneficiary? | Can my ex cancel a policy that covers me? | How much life insurance should secure child support?</t>
        </is>
      </c>
      <c r="V89" s="25" t="inlineStr">
        <is>
          <t>A separation checklist plus a table of how beneficiary designations behave after divorce in common-law provinces vs Quebec (lawyer-reviewed), and a support-coverage sizing example.</t>
        </is>
      </c>
      <c r="W89" s="25" t="inlineStr">
        <is>
          <t>/life-insurance/; /term-life-insurance/; /life-insurance/joint/; /guides/life-insurance-beneficiary-canada/; /guides/joint-life-insurance-vs-two-policies/</t>
        </is>
      </c>
      <c r="X89" s="25" t="inlineStr">
        <is>
          <t>Instant life insurance estimate (/quote/)</t>
        </is>
      </c>
      <c r="Y89" s="36" t="inlineStr">
        <is>
          <t>Article; FAQPage; BreadcrumbList</t>
        </is>
      </c>
      <c r="Z89" s="37" t="n">
        <v>1800</v>
      </c>
      <c r="AA89" s="25" t="inlineStr">
        <is>
          <t>No competitor coverage seen.</t>
        </is>
      </c>
      <c r="AB89" s="25" t="inlineStr">
        <is>
          <t>Use 'life insurance divorce canada' in the H1 (as 'divorce in Canada'), slug, meta title, first 100 words and first H2, with a 40–60 word answer. Put the checklist in a numbered list and the beneficiary table near the middle; link the beneficiary guide with 'irrevocable beneficiary rules' and /life-insurance/joint/ with 'joint life insurance'. Alt text: 'Checklist for updating life insurance after separation'. Licensed reviewer plus family-lawyer review, cite the Divorce Act and provincial statutes, refresh annually.</t>
        </is>
      </c>
      <c r="AC89" s="25" t="inlineStr">
        <is>
          <t>Family-law rules differ by province (federal Divorce Act support provisions plus provincial statutes); have a family lawyer review and avoid wording that reads as legal advice.</t>
        </is>
      </c>
      <c r="AD89" s="36" t="inlineStr">
        <is>
          <t>Annual</t>
        </is>
      </c>
      <c r="AE89" s="38" t="n"/>
      <c r="AF89" s="38" t="n"/>
      <c r="AG89" s="38" t="n"/>
    </row>
    <row r="90" ht="57.45" customHeight="1" s="22">
      <c r="A90" s="36">
        <f>"B"&amp;TEXT(ROW()-1,"0000")</f>
        <v/>
      </c>
      <c r="B90" s="38" t="inlineStr">
        <is>
          <t>Planned</t>
        </is>
      </c>
      <c r="C90" s="36" t="n">
        <v>3</v>
      </c>
      <c r="D90" s="36" t="inlineStr">
        <is>
          <t>Life insurance</t>
        </is>
      </c>
      <c r="E90" s="36" t="inlineStr">
        <is>
          <t>Policy changes</t>
        </is>
      </c>
      <c r="F90" s="25" t="inlineStr">
        <is>
          <t>How to Cancel, Reduce or Pause Life Insurance in Canada: Grace Periods, Lapses and Refunds</t>
        </is>
      </c>
      <c r="G90" s="36" t="inlineStr">
        <is>
          <t>https://instasure.ca/guides/how-to-cancel-life-insurance-policy/</t>
        </is>
      </c>
      <c r="H90" s="36" t="inlineStr">
        <is>
          <t>cancel life insurance policy</t>
        </is>
      </c>
      <c r="I90" s="41">
        <f>IFERROR(INDEX('Nationwide KWs'!$D$2:$D$168,MATCH(H90,'Nationwide KWs'!$A$2:$A$168,0)),IFERROR(INDEX('Provincial KWs'!$E$2:$E$137,MATCH(H90,'Provincial KWs'!$A$2:$A$137,0)),IFERROR(INDEX('City KWs'!$F$2:$F$419,MATCH(H90,'City KWs'!$A$2:$A$419,0)),"")))</f>
        <v/>
      </c>
      <c r="J90" s="36" t="inlineStr">
        <is>
          <t>Low</t>
        </is>
      </c>
      <c r="K90" s="25" t="inlineStr">
        <is>
          <t>life insurance grace period; reinstate lapsed life insurance; reduce life insurance coverage; life insurance free look period; cash value when cancelling whole life</t>
        </is>
      </c>
      <c r="L90" s="36" t="inlineStr">
        <is>
          <t>Nationwide</t>
        </is>
      </c>
      <c r="M90" s="36" t="inlineStr">
        <is>
          <t>informational</t>
        </is>
      </c>
      <c r="N90" s="36" t="inlineStr">
        <is>
          <t>MOFU</t>
        </is>
      </c>
      <c r="O90" s="25" t="inlineStr">
        <is>
          <t>How to Cancel a Life Insurance Policy in Canada</t>
        </is>
      </c>
      <c r="P90" s="36">
        <f>LEN(O90)</f>
        <v/>
      </c>
      <c r="Q90" s="25" t="inlineStr">
        <is>
          <t>How to cancel a life insurance policy in Canada, or reduce it instead: grace periods, reinstating a lapse and free-look refunds. Book a policy review.</t>
        </is>
      </c>
      <c r="R90" s="36">
        <f>LEN(Q90)</f>
        <v/>
      </c>
      <c r="S90" s="36">
        <f>IF(H90="","",IF(ISNUMBER(SEARCH(SUBSTITUTE(H90,"-"," "),SUBSTITUTE(O90,"-"," "))),"Yes","Check"))</f>
        <v/>
      </c>
      <c r="T90" s="25" t="inlineStr">
        <is>
          <t>How to cancel life insurance | The free-look period for new policies | Missed a payment: grace periods and lapse | Reinstating a lapsed policy | Alternatives: reduce cover, drop riders, convert | What you get back from term vs whole life</t>
        </is>
      </c>
      <c r="U90" s="25" t="inlineStr">
        <is>
          <t>Can I cancel my life insurance at any time? | How long is the grace period for life insurance in Canada? | Can I reinstate a lapsed life insurance policy? | Do I get money back if I cancel whole life insurance?</t>
        </is>
      </c>
      <c r="V90" s="25" t="inlineStr">
        <is>
          <t>A 'before you cancel' decision tree and a table comparing cancel, reduce, convert and reinstate (cost, health questions, what you keep).</t>
        </is>
      </c>
      <c r="W90" s="25" t="inlineStr">
        <is>
          <t>/life-insurance/; /guides/is-life-insurance-worth-it-canada/; /guides/replacing-life-insurance-policy-canada/; /guides/participating-whole-life-insurance-cash-value/</t>
        </is>
      </c>
      <c r="X90" s="25" t="inlineStr">
        <is>
          <t>Book a policy review with a licensed advisor (/advisors/)</t>
        </is>
      </c>
      <c r="Y90" s="36" t="inlineStr">
        <is>
          <t>Article; FAQPage; BreadcrumbList; HowTo</t>
        </is>
      </c>
      <c r="Z90" s="37" t="n">
        <v>1400</v>
      </c>
      <c r="AA90" s="25" t="inlineStr">
        <is>
          <t>No competitor coverage seen.</t>
        </is>
      </c>
      <c r="AB90" s="25" t="inlineStr">
        <is>
          <t>Use 'cancel a life insurance policy' in the H1, slug stem, meta title, first 100 words and first H2, with a 40–60 word answer (you can usually cancel any time; check alternatives first). Put the decision tree near the top and the four-option table after it; link the worth-it guide with 'is life insurance worth keeping' and the replacement guide with 'switch without a gap'. Alt text: 'Decision tree before cancelling life insurance'. Licensed reviewer, cite provincial insurance acts, refresh annually.</t>
        </is>
      </c>
      <c r="AC90" s="25" t="inlineStr">
        <is>
          <t>Verify the typical free-look (often 10 days) and grace-period (often 30 or 31 days) terms in the provincial insurance acts and sample contracts before stating them, and tell readers to check their own contract.</t>
        </is>
      </c>
      <c r="AD90" s="36" t="inlineStr">
        <is>
          <t>Annual</t>
        </is>
      </c>
      <c r="AE90" s="38" t="n"/>
      <c r="AF90" s="38" t="n"/>
      <c r="AG90" s="38" t="n"/>
    </row>
    <row r="91" ht="57.45" customHeight="1" s="22">
      <c r="A91" s="36">
        <f>"B"&amp;TEXT(ROW()-1,"0000")</f>
        <v/>
      </c>
      <c r="B91" s="38" t="inlineStr">
        <is>
          <t>Planned</t>
        </is>
      </c>
      <c r="C91" s="36" t="n">
        <v>3</v>
      </c>
      <c r="D91" s="36" t="inlineStr">
        <is>
          <t>Life insurance</t>
        </is>
      </c>
      <c r="E91" s="36" t="inlineStr">
        <is>
          <t>Policy changes</t>
        </is>
      </c>
      <c r="F91" s="25" t="inlineStr">
        <is>
          <t>Replacing or Switching a Life Insurance Policy in Canada: When It Makes Sense and How to Do It Safely</t>
        </is>
      </c>
      <c r="G91" s="36" t="inlineStr">
        <is>
          <t>https://instasure.ca/guides/replacing-life-insurance-policy-canada/</t>
        </is>
      </c>
      <c r="H91" s="36" t="inlineStr">
        <is>
          <t>replacing life insurance policy</t>
        </is>
      </c>
      <c r="I91" s="41">
        <f>IFERROR(INDEX('Nationwide KWs'!$D$2:$D$168,MATCH(H91,'Nationwide KWs'!$A$2:$A$168,0)),IFERROR(INDEX('Provincial KWs'!$E$2:$E$137,MATCH(H91,'Provincial KWs'!$A$2:$A$137,0)),IFERROR(INDEX('City KWs'!$F$2:$F$419,MATCH(H91,'City KWs'!$A$2:$A$419,0)),"")))</f>
        <v/>
      </c>
      <c r="J91" s="36" t="inlineStr">
        <is>
          <t>Niche</t>
        </is>
      </c>
      <c r="K91" s="25" t="inlineStr">
        <is>
          <t>switch life insurance companies; life insurance replacement disclosure; new contestability period; cancel old life insurance before new; lower life insurance premium by switching</t>
        </is>
      </c>
      <c r="L91" s="36" t="inlineStr">
        <is>
          <t>Nationwide</t>
        </is>
      </c>
      <c r="M91" s="36" t="inlineStr">
        <is>
          <t>commercial</t>
        </is>
      </c>
      <c r="N91" s="36" t="inlineStr">
        <is>
          <t>MOFU</t>
        </is>
      </c>
      <c r="O91" s="25" t="inlineStr">
        <is>
          <t>Replacing a Life Insurance Policy in Canada: Do It Safely</t>
        </is>
      </c>
      <c r="P91" s="36">
        <f>LEN(O91)</f>
        <v/>
      </c>
      <c r="Q91" s="25" t="inlineStr">
        <is>
          <t>Thinking of replacing a life insurance policy? Learn when switching saves money, the disclosure your advisor must give you and why you never cancel first.</t>
        </is>
      </c>
      <c r="R91" s="36">
        <f>LEN(Q91)</f>
        <v/>
      </c>
      <c r="S91" s="36">
        <f>IF(H91="","",IF(ISNUMBER(SEARCH(SUBSTITUTE(H91,"-"," "),SUBSTITUTE(O91,"-"," "))),"Yes","Check"))</f>
        <v/>
      </c>
      <c r="T91" s="25" t="inlineStr">
        <is>
          <t>Should you replace your life insurance policy? | When switching can save money | When replacing is a mistake | Replacement disclosure: what your advisor must explain | A new contestability period starts | Step by step: switching without a gap</t>
        </is>
      </c>
      <c r="U91" s="25" t="inlineStr">
        <is>
          <t>Can I switch life insurance companies at any time? | Do I lose anything by replacing an old policy? | What is a life insurance replacement disclosure? | Should I cancel my old policy before the new one is approved?</t>
        </is>
      </c>
      <c r="V91" s="25" t="inlineStr">
        <is>
          <t>A replacement comparison worksheet (old vs new: premium, guarantees, conversion rights, cash value, contestability, riders) and a no-gap switching sequence.</t>
        </is>
      </c>
      <c r="W91" s="25" t="inlineStr">
        <is>
          <t>/term-life-insurance/; /guides/what-happens-when-term-life-insurance-expires/; /guides/how-to-cancel-life-insurance-policy/; /advisors/</t>
        </is>
      </c>
      <c r="X91" s="25" t="inlineStr">
        <is>
          <t>Book a policy review with a licensed advisor (/advisors/)</t>
        </is>
      </c>
      <c r="Y91" s="36" t="inlineStr">
        <is>
          <t>Article; FAQPage; BreadcrumbList; HowTo</t>
        </is>
      </c>
      <c r="Z91" s="37" t="n">
        <v>1500</v>
      </c>
      <c r="AA91" s="25" t="inlineStr">
        <is>
          <t>No competitor coverage seen.</t>
        </is>
      </c>
      <c r="AB91" s="25" t="inlineStr">
        <is>
          <t>Use 'replacing a life insurance policy' in the H1, slug stem, meta title, first 100 words and first H2, with a 40–60 word answer on when it can make sense. Offer the worksheet as a downloadable table and mark the switching sequence as HowTo; link the cancel guide with 'how to cancel safely' and /advisors/ with 'licensed advisors'. Alt text: 'Worksheet comparing an old and a new life insurance policy'. Licensed reviewer, cite CLHIA guidance and provincial forms, refresh when rules change.</t>
        </is>
      </c>
      <c r="AC91" s="25" t="inlineStr">
        <is>
          <t>Verify each province's replacement disclosure requirements (CLHIA guideline, provincial forms, the AMF replacement notice in Quebec) and avoid encouraging switches; any replacement must be suitability-based.</t>
        </is>
      </c>
      <c r="AD91" s="36" t="inlineStr">
        <is>
          <t>On rule change</t>
        </is>
      </c>
      <c r="AE91" s="38" t="n"/>
      <c r="AF91" s="38" t="n"/>
      <c r="AG91" s="38" t="n"/>
    </row>
    <row r="92" ht="57.45" customHeight="1" s="22">
      <c r="A92" s="36">
        <f>"B"&amp;TEXT(ROW()-1,"0000")</f>
        <v/>
      </c>
      <c r="B92" s="38" t="inlineStr">
        <is>
          <t>Planned</t>
        </is>
      </c>
      <c r="C92" s="36" t="n">
        <v>3</v>
      </c>
      <c r="D92" s="36" t="inlineStr">
        <is>
          <t>Life insurance</t>
        </is>
      </c>
      <c r="E92" s="36" t="inlineStr">
        <is>
          <t>Underwriting</t>
        </is>
      </c>
      <c r="F92" s="25" t="inlineStr">
        <is>
          <t>Life Insurance After an Impaired Driving Charge or Licence Suspension in Canada</t>
        </is>
      </c>
      <c r="G92" s="36" t="inlineStr">
        <is>
          <t>https://instasure.ca/guides/life-insurance-after-impaired-driving-dui/</t>
        </is>
      </c>
      <c r="H92" s="36" t="inlineStr">
        <is>
          <t>life insurance after dui</t>
        </is>
      </c>
      <c r="I92" s="41">
        <f>IFERROR(INDEX('Nationwide KWs'!$D$2:$D$168,MATCH(H92,'Nationwide KWs'!$A$2:$A$168,0)),IFERROR(INDEX('Provincial KWs'!$E$2:$E$137,MATCH(H92,'Provincial KWs'!$A$2:$A$137,0)),IFERROR(INDEX('City KWs'!$F$2:$F$419,MATCH(H92,'City KWs'!$A$2:$A$419,0)),"")))</f>
        <v/>
      </c>
      <c r="J92" s="36" t="inlineStr">
        <is>
          <t>Niche</t>
        </is>
      </c>
      <c r="K92" s="25" t="inlineStr">
        <is>
          <t>life insurance impaired driving canada; driving record life insurance; licence suspension life insurance; alcohol history life insurance; life insurance after speeding tickets</t>
        </is>
      </c>
      <c r="L92" s="36" t="inlineStr">
        <is>
          <t>Nationwide</t>
        </is>
      </c>
      <c r="M92" s="36" t="inlineStr">
        <is>
          <t>commercial</t>
        </is>
      </c>
      <c r="N92" s="36" t="inlineStr">
        <is>
          <t>MOFU</t>
        </is>
      </c>
      <c r="O92" s="25" t="inlineStr">
        <is>
          <t>Life Insurance After a DUI in Canada: What to Expect</t>
        </is>
      </c>
      <c r="P92" s="36">
        <f>LEN(O92)</f>
        <v/>
      </c>
      <c r="Q92" s="25" t="inlineStr">
        <is>
          <t>Life insurance after a DUI in Canada: how impaired driving charges affect lookback periods, alcohol questions and ratings, and when to reapply. Get help.</t>
        </is>
      </c>
      <c r="R92" s="36">
        <f>LEN(Q92)</f>
        <v/>
      </c>
      <c r="S92" s="36">
        <f>IF(H92="","",IF(ISNUMBER(SEARCH(SUBSTITUTE(H92,"-"," "),SUBSTITUTE(O92,"-"," "))),"Yes","Check"))</f>
        <v/>
      </c>
      <c r="T92" s="25" t="inlineStr">
        <is>
          <t>Does a DUI affect life insurance? | Why insurers check driving records | Lookback periods and typical outcomes | Alcohol use questions and treatment history | Speeding tickets and licence suspensions | When and how to reapply</t>
        </is>
      </c>
      <c r="U92" s="25" t="inlineStr">
        <is>
          <t>How long does a DUI affect life insurance in Canada? | Do life insurers check my driving record? | Can I get life insurance with a suspended licence? | Will multiple speeding tickets raise my life insurance rate?</t>
        </is>
      </c>
      <c r="V92" s="25" t="inlineStr">
        <is>
          <t>A driving-record outcome table (one minor ticket up to multiple impaired convictions) with typical lookback periods, desk-reviewed, plus a cross-link box to the high-risk auto desk.</t>
        </is>
      </c>
      <c r="W92" s="25" t="inlineStr">
        <is>
          <t>/life-insurance/medical-conditions/; /car-insurance/high-risk-drivers/; /guides/life-insurance-rating-classes-canada/; /guides/declined-for-life-insurance-what-next/</t>
        </is>
      </c>
      <c r="X92" s="25" t="inlineStr">
        <is>
          <t>Request a specialist call: Medical underwriting desk (/life-insurance/medical-conditions/)</t>
        </is>
      </c>
      <c r="Y92" s="36" t="inlineStr">
        <is>
          <t>Article; FAQPage; BreadcrumbList</t>
        </is>
      </c>
      <c r="Z92" s="37" t="n">
        <v>1300</v>
      </c>
      <c r="AA92" s="25" t="inlineStr">
        <is>
          <t>No competitor coverage seen; the research lists DUI and alcohol history among underwriting topics no competitor surfaced.</t>
        </is>
      </c>
      <c r="AB92" s="25" t="inlineStr">
        <is>
          <t>Use 'life insurance after dui' in the H1 (with 'impaired driving'), meta title, first 100 words and first H2, with a 40–60 word answer on lookback periods. Put the outcome table first and the reapply steps as a list; link /car-insurance/high-risk-drivers/ with 'high-risk car insurance' and the declined guide with 'what to do if you are declined'. Alt text: 'How driving convictions affect life insurance ratings over time'. Desk-reviewed, cite the Criminal Code definitions, refresh annually.</t>
        </is>
      </c>
      <c r="AC92" s="25" t="inlineStr">
        <is>
          <t>Lookback periods are insurer-specific; label them as typical, use 'impaired driving' as defined in the Criminal Code and avoid moral judgement.</t>
        </is>
      </c>
      <c r="AD92" s="36" t="inlineStr">
        <is>
          <t>Annual</t>
        </is>
      </c>
      <c r="AE92" s="38" t="n"/>
      <c r="AF92" s="38" t="n"/>
      <c r="AG92" s="38" t="n"/>
    </row>
    <row r="93" ht="57.45" customHeight="1" s="22">
      <c r="A93" s="36">
        <f>"B"&amp;TEXT(ROW()-1,"0000")</f>
        <v/>
      </c>
      <c r="B93" s="38" t="inlineStr">
        <is>
          <t>Planned</t>
        </is>
      </c>
      <c r="C93" s="36" t="n">
        <v>3</v>
      </c>
      <c r="D93" s="36" t="inlineStr">
        <is>
          <t>Life insurance</t>
        </is>
      </c>
      <c r="E93" s="36" t="inlineStr">
        <is>
          <t>Underwriting</t>
        </is>
      </c>
      <c r="F93" s="25" t="inlineStr">
        <is>
          <t>Life Insurance for High-Risk Jobs and Hobbies: Truckers, Trades, Pilots and Divers</t>
        </is>
      </c>
      <c r="G93" s="36" t="inlineStr">
        <is>
          <t>https://instasure.ca/guides/life-insurance-high-risk-occupations-hobbies/</t>
        </is>
      </c>
      <c r="H93" s="36" t="inlineStr">
        <is>
          <t>life insurance high risk occupation</t>
        </is>
      </c>
      <c r="I93" s="41">
        <f>IFERROR(INDEX('Nationwide KWs'!$D$2:$D$168,MATCH(H93,'Nationwide KWs'!$A$2:$A$168,0)),IFERROR(INDEX('Provincial KWs'!$E$2:$E$137,MATCH(H93,'Provincial KWs'!$A$2:$A$137,0)),IFERROR(INDEX('City KWs'!$F$2:$F$419,MATCH(H93,'City KWs'!$A$2:$A$419,0)),"")))</f>
        <v/>
      </c>
      <c r="J93" s="36" t="inlineStr">
        <is>
          <t>Niche</t>
        </is>
      </c>
      <c r="K93" s="25" t="inlineStr">
        <is>
          <t>life insurance for truck drivers canada; life insurance for construction workers; life insurance for pilots; life insurance scuba diving; dangerous hobbies life insurance</t>
        </is>
      </c>
      <c r="L93" s="36" t="inlineStr">
        <is>
          <t>Nationwide</t>
        </is>
      </c>
      <c r="M93" s="36" t="inlineStr">
        <is>
          <t>commercial</t>
        </is>
      </c>
      <c r="N93" s="36" t="inlineStr">
        <is>
          <t>MOFU</t>
        </is>
      </c>
      <c r="O93" s="25" t="inlineStr">
        <is>
          <t>Life Insurance for a High-Risk Occupation or Hobby</t>
        </is>
      </c>
      <c r="P93" s="36">
        <f>LEN(O93)</f>
        <v/>
      </c>
      <c r="Q93" s="25" t="inlineStr">
        <is>
          <t>Life insurance for a high-risk occupation or hobby in Canada: flat extras, exclusions and job classes for truckers, trades, pilots and divers. Ask us.</t>
        </is>
      </c>
      <c r="R93" s="36">
        <f>LEN(Q93)</f>
        <v/>
      </c>
      <c r="S93" s="36">
        <f>IF(H93="","",IF(ISNUMBER(SEARCH(SUBSTITUTE(H93,"-"," "),SUBSTITUTE(O93,"-"," "))),"Yes","Check"))</f>
        <v/>
      </c>
      <c r="T93" s="25" t="inlineStr">
        <is>
          <t>Can you get life insurance with a high-risk job? | How insurers rate occupations | Flat extras vs exclusions | Truck drivers and long-haul work | Construction, trades and heavy equipment | Pilots and aviation | Scuba, skydiving, climbing and motorsport</t>
        </is>
      </c>
      <c r="U93" s="25" t="inlineStr">
        <is>
          <t>Do truck drivers pay more for life insurance? | Will my policy pay if I die doing a risky hobby? | Should I disclose a hobby I rarely do? | Can I get no-medical life insurance with a dangerous job?</t>
        </is>
      </c>
      <c r="V93" s="25" t="inlineStr">
        <is>
          <t>An occupation and hobby table showing typical underwriting outcomes (standard, flat extra, exclusion, decline) and the questionnaire each triggers, verified against insurer underwriting guides.</t>
        </is>
      </c>
      <c r="W93" s="25" t="inlineStr">
        <is>
          <t>/life-insurance/medical-conditions/; /life-insurance/; /guides/life-insurance-rating-classes-canada/; /no-medical-life-insurance/</t>
        </is>
      </c>
      <c r="X93" s="25" t="inlineStr">
        <is>
          <t>Request a specialist call: Medical underwriting desk (/life-insurance/medical-conditions/)</t>
        </is>
      </c>
      <c r="Y93" s="36" t="inlineStr">
        <is>
          <t>Article; FAQPage; BreadcrumbList</t>
        </is>
      </c>
      <c r="Z93" s="37" t="n">
        <v>1700</v>
      </c>
      <c r="AA93" s="25" t="inlineStr">
        <is>
          <t>The research found no competitor page on hazardous occupations or hobbies; PolicyAdvisor's segment pages cover doctors and business owners only.</t>
        </is>
      </c>
      <c r="AB93" s="25" t="inlineStr">
        <is>
          <t>Use the focus keyword in the H1 (as 'high-risk jobs'), meta title, first 100 words and first H2, with a 40–60 word answer on flat extras and exclusions. Make the occupation and hobby table the core asset and give each group its own H2; link the medical underwriting desk with 'talk to a specialist about your job' and the rating-classes guide with 'how flat extras work'. Alt text: 'Typical life insurance outcomes for high-risk jobs and hobbies'. Licensed reviewer, cite insurer underwriting guides, refresh annually.</t>
        </is>
      </c>
      <c r="AC93" s="25" t="inlineStr">
        <is>
          <t>Outcomes are insurer-specific; label them as typical, verify against current underwriting guides and stress full disclosure because misrepresentation can void a claim.</t>
        </is>
      </c>
      <c r="AD93" s="36" t="inlineStr">
        <is>
          <t>Annual</t>
        </is>
      </c>
      <c r="AE93" s="38" t="n"/>
      <c r="AF93" s="38" t="n"/>
      <c r="AG93" s="38" t="n"/>
    </row>
    <row r="94" ht="57.45" customHeight="1" s="22">
      <c r="A94" s="36">
        <f>"B"&amp;TEXT(ROW()-1,"0000")</f>
        <v/>
      </c>
      <c r="B94" s="38" t="inlineStr">
        <is>
          <t>Planned</t>
        </is>
      </c>
      <c r="C94" s="36" t="n">
        <v>4</v>
      </c>
      <c r="D94" s="36" t="inlineStr">
        <is>
          <t>Life insurance</t>
        </is>
      </c>
      <c r="E94" s="36" t="inlineStr">
        <is>
          <t>Local (city/province)</t>
        </is>
      </c>
      <c r="F94" s="25" t="inlineStr">
        <is>
          <t>Life Insurance in Yukon, the Northwest Territories and Nunavut: Remote Underwriting Explained</t>
        </is>
      </c>
      <c r="G94" s="36" t="inlineStr">
        <is>
          <t>https://instasure.ca/guides/life-insurance-yukon-nwt-nunavut/</t>
        </is>
      </c>
      <c r="H94" s="36" t="inlineStr">
        <is>
          <t>life insurance yukon</t>
        </is>
      </c>
      <c r="I94" s="41">
        <f>IFERROR(INDEX('Nationwide KWs'!$D$2:$D$168,MATCH(H94,'Nationwide KWs'!$A$2:$A$168,0)),IFERROR(INDEX('Provincial KWs'!$E$2:$E$137,MATCH(H94,'Provincial KWs'!$A$2:$A$137,0)),IFERROR(INDEX('City KWs'!$F$2:$F$419,MATCH(H94,'City KWs'!$A$2:$A$419,0)),"")))</f>
        <v/>
      </c>
      <c r="J94" s="36" t="inlineStr">
        <is>
          <t>Niche</t>
        </is>
      </c>
      <c r="K94" s="25" t="inlineStr">
        <is>
          <t>life insurance northwest territories; life insurance nunavut; life insurance whitehorse; life insurance yellowknife; no medical life insurance remote</t>
        </is>
      </c>
      <c r="L94" s="36" t="inlineStr">
        <is>
          <t>Province: Yukon</t>
        </is>
      </c>
      <c r="M94" s="36" t="inlineStr">
        <is>
          <t>informational</t>
        </is>
      </c>
      <c r="N94" s="36" t="inlineStr">
        <is>
          <t>TOFU</t>
        </is>
      </c>
      <c r="O94" s="25" t="inlineStr">
        <is>
          <t>Life Insurance in Yukon, NWT and Nunavut: How It Works</t>
        </is>
      </c>
      <c r="P94" s="36">
        <f>LEN(O94)</f>
        <v/>
      </c>
      <c r="Q94" s="25" t="inlineStr">
        <is>
          <t>Life insurance in Yukon, the NWT and Nunavut: remote medical exams, when no-medical cover helps, northern work risks and regulators. Join the waitlist.</t>
        </is>
      </c>
      <c r="R94" s="36">
        <f>LEN(Q94)</f>
        <v/>
      </c>
      <c r="S94" s="36">
        <f>IF(H94="","",IF(ISNUMBER(SEARCH(SUBSTITUTE(H94,"-"," "),SUBSTITUTE(O94,"-"," "))),"Yes","Check"))</f>
        <v/>
      </c>
      <c r="T94" s="25" t="inlineStr">
        <is>
          <t>Can you buy life insurance in the territories? | Medical exams when you live far from a clinic | When no-medical life insurance makes sense | Northern occupations and travel | Regulators in each territory | Getting help from the south</t>
        </is>
      </c>
      <c r="U94" s="25" t="inlineStr">
        <is>
          <t>Can I get a life insurance medical exam in Nunavut? | Is no-medical life insurance a good option in the North? | Who regulates insurance in Yukon? | Do bush-plane flights affect life insurance?</t>
        </is>
      </c>
      <c r="V94" s="25" t="inlineStr">
        <is>
          <t>A territory table (regulator, paramedical access, likely underwriting route) and a remote-applicant checklist.</t>
        </is>
      </c>
      <c r="W94" s="25" t="inlineStr">
        <is>
          <t>/life-insurance/yukon/; /life-insurance/northwest-territories/; /life-insurance/nunavut/; /no-medical-life-insurance/</t>
        </is>
      </c>
      <c r="X94" s="25" t="inlineStr">
        <is>
          <t>Join the waitlist for the territories (/life-insurance/yukon/)</t>
        </is>
      </c>
      <c r="Y94" s="36" t="inlineStr">
        <is>
          <t>Article; FAQPage; BreadcrumbList</t>
        </is>
      </c>
      <c r="Z94" s="37" t="n">
        <v>1200</v>
      </c>
      <c r="AA94" s="25" t="inlineStr">
        <is>
          <t>No competitor coverage seen: none of the competitors researched has territory life pages.</t>
        </is>
      </c>
      <c r="AB94" s="25" t="inlineStr">
        <is>
          <t>Use 'life insurance Yukon' in the H1, meta title, first 100 words and first H2, naming the NWT and Nunavut in the same 40–60 word answer. Put the territory table first and the remote-applicant checklist second; link each territory page with 'life insurance in {Territory}' and /no-medical-life-insurance/ with 'no-medical life insurance'. Alt text: 'Map of Yukon, NWT and Nunavut with life insurance exam access'. Licensed reviewer, cite territorial superintendents, refresh annually.</t>
        </is>
      </c>
      <c r="AC94" s="25" t="inlineStr">
        <is>
          <t>Instasure waitlists the territories: no lead capture or 'licensed in' wording until advisors are licensed there; verify each superintendent and paramedical availability.</t>
        </is>
      </c>
      <c r="AD94" s="36" t="inlineStr">
        <is>
          <t>Annual</t>
        </is>
      </c>
      <c r="AE94" s="38" t="n"/>
      <c r="AF94" s="38" t="n"/>
      <c r="AG94" s="38" t="n"/>
    </row>
    <row r="95" ht="57.45" customHeight="1" s="22">
      <c r="A95" s="36">
        <f>"B"&amp;TEXT(ROW()-1,"0000")</f>
        <v/>
      </c>
      <c r="B95" s="38" t="inlineStr">
        <is>
          <t>Planned</t>
        </is>
      </c>
      <c r="C95" s="36" t="n">
        <v>4</v>
      </c>
      <c r="D95" s="36" t="inlineStr">
        <is>
          <t>Life insurance</t>
        </is>
      </c>
      <c r="E95" s="36" t="inlineStr">
        <is>
          <t>Regulation</t>
        </is>
      </c>
      <c r="F95" s="25" t="inlineStr">
        <is>
          <t>Life Insurance in Quebec: How Beneficiary and Spouse Rules Differ From the Rest of Canada</t>
        </is>
      </c>
      <c r="G95" s="36" t="inlineStr">
        <is>
          <t>https://instasure.ca/guides/quebec-life-insurance-beneficiary-rules/</t>
        </is>
      </c>
      <c r="H95" s="36" t="inlineStr">
        <is>
          <t>quebec life insurance beneficiary rules</t>
        </is>
      </c>
      <c r="I95" s="41">
        <f>IFERROR(INDEX('Nationwide KWs'!$D$2:$D$168,MATCH(H95,'Nationwide KWs'!$A$2:$A$168,0)),IFERROR(INDEX('Provincial KWs'!$E$2:$E$137,MATCH(H95,'Provincial KWs'!$A$2:$A$137,0)),IFERROR(INDEX('City KWs'!$F$2:$F$419,MATCH(H95,'City KWs'!$A$2:$A$419,0)),"")))</f>
        <v/>
      </c>
      <c r="J95" s="36" t="inlineStr">
        <is>
          <t>Niche</t>
        </is>
      </c>
      <c r="K95" s="25" t="inlineStr">
        <is>
          <t>life insurance quebec; irrevocable beneficiary spouse quebec; civil code life insurance quebec; life insurance montreal; amf life insurance</t>
        </is>
      </c>
      <c r="L95" s="36" t="inlineStr">
        <is>
          <t>Province: Quebec</t>
        </is>
      </c>
      <c r="M95" s="36" t="inlineStr">
        <is>
          <t>informational</t>
        </is>
      </c>
      <c r="N95" s="36" t="inlineStr">
        <is>
          <t>TOFU</t>
        </is>
      </c>
      <c r="O95" s="25" t="inlineStr">
        <is>
          <t>Quebec Life Insurance Beneficiary Rules, in English</t>
        </is>
      </c>
      <c r="P95" s="36">
        <f>LEN(O95)</f>
        <v/>
      </c>
      <c r="Q95" s="25" t="inlineStr">
        <is>
          <t>Quebec life insurance beneficiary rules in English: why a married spouse is irrevocable by default, protected beneficiaries and AMF rights. Learn more.</t>
        </is>
      </c>
      <c r="R95" s="36">
        <f>LEN(Q95)</f>
        <v/>
      </c>
      <c r="S95" s="36">
        <f>IF(H95="","",IF(ISNUMBER(SEARCH(SUBSTITUTE(H95,"-"," "),SUBSTITUTE(O95,"-"," "))),"Yes","Check"))</f>
        <v/>
      </c>
      <c r="T95" s="25" t="inlineStr">
        <is>
          <t>How Quebec beneficiary rules differ | Married and civil-union spouses: irrevocable by default | Protected beneficiaries and seizure protection | Changing a designation in Quebec | AMF oversight and consumer rights | Moving to or from Quebec with a policy</t>
        </is>
      </c>
      <c r="U95" s="25" t="inlineStr">
        <is>
          <t>Is my spouse automatically an irrevocable beneficiary in Quebec? | Can I change my beneficiary without my spouse's consent in Quebec? | Who regulates life insurance in Quebec? | Does my Ontario policy follow Quebec rules if I move?</t>
        </is>
      </c>
      <c r="V95" s="25" t="inlineStr">
        <is>
          <t>A Quebec vs common-law provinces comparison table of beneficiary rules, with Civil Code article references verified by a Quebec lawyer.</t>
        </is>
      </c>
      <c r="W95" s="25" t="inlineStr">
        <is>
          <t>/life-insurance/quebec/; /life-insurance/quebec/montreal/; /guides/life-insurance-beneficiary-canada/; /licensing/</t>
        </is>
      </c>
      <c r="X95" s="25" t="inlineStr">
        <is>
          <t>Join the Quebec waitlist (/life-insurance/quebec/)</t>
        </is>
      </c>
      <c r="Y95" s="36" t="inlineStr">
        <is>
          <t>Article; FAQPage; BreadcrumbList</t>
        </is>
      </c>
      <c r="Z95" s="37" t="n">
        <v>1300</v>
      </c>
      <c r="AA95" s="25" t="inlineStr">
        <is>
          <t>No competitor coverage seen in English: PolicyAdvisor is not licensed in Quebec and no competitor Quebec life page was found.</t>
        </is>
      </c>
      <c r="AB95" s="25" t="inlineStr">
        <is>
          <t>Use the focus keyword in the H1 (as 'Quebec ... beneficiary rules'), meta title, first 100 words and first H2, with a 40–60 word answer on the irrevocable-spouse default. Make the comparison table the core asset; link /life-insurance/quebec/ with 'life insurance in Quebec' and the national beneficiary guide with 'beneficiary rules in other provinces'. Alt text: 'Quebec beneficiary rules compared with other provinces'. Quebec lawyer review, cite the Civil Code of Québec and the AMF, refresh when rules change.</t>
        </is>
      </c>
      <c r="AC95" s="25" t="inlineStr">
        <is>
          <t>Information only, with no solicitation, until AMF registration; verify Civil Code of Québec articles (such as art. 2449) with a Quebec lawyer and keep Quebec leads on the waitlist.</t>
        </is>
      </c>
      <c r="AD95" s="36" t="inlineStr">
        <is>
          <t>On rule change</t>
        </is>
      </c>
      <c r="AE95" s="38" t="n"/>
      <c r="AF95" s="38" t="n"/>
      <c r="AG95" s="38" t="n"/>
    </row>
    <row r="96" ht="57.45" customHeight="1" s="22">
      <c r="A96" s="36">
        <f>"B"&amp;TEXT(ROW()-1,"0000")</f>
        <v/>
      </c>
      <c r="B96" s="38" t="inlineStr">
        <is>
          <t>Published</t>
        </is>
      </c>
      <c r="C96" s="36" t="n">
        <v>1</v>
      </c>
      <c r="D96" s="36" t="inlineStr">
        <is>
          <t>Mortgage protection</t>
        </is>
      </c>
      <c r="E96" s="36" t="inlineStr">
        <is>
          <t>Cost &amp; pricing</t>
        </is>
      </c>
      <c r="F96" s="25" t="inlineStr">
        <is>
          <t>How Much Does Mortgage Life Insurance Cost in Canada? How Lender Premiums Are Calculated</t>
        </is>
      </c>
      <c r="G96" s="36" t="inlineStr">
        <is>
          <t>https://instasure.ca/guides/mortgage-life-insurance-cost-canada/</t>
        </is>
      </c>
      <c r="H96" s="36" t="inlineStr">
        <is>
          <t>mortgage life insurance cost</t>
        </is>
      </c>
      <c r="I96" s="41">
        <f>IFERROR(INDEX('Nationwide KWs'!$D$2:$D$168,MATCH(H96,'Nationwide KWs'!$A$2:$A$168,0)),IFERROR(INDEX('Provincial KWs'!$E$2:$E$137,MATCH(H96,'Provincial KWs'!$A$2:$A$137,0)),IFERROR(INDEX('City KWs'!$F$2:$F$419,MATCH(H96,'City KWs'!$A$2:$A$419,0)),"")))</f>
        <v/>
      </c>
      <c r="J96" s="36" t="inlineStr">
        <is>
          <t>Low</t>
        </is>
      </c>
      <c r="K96" s="25" t="inlineStr">
        <is>
          <t>why is mortgage insurance so expensive; mortgage protection insurance rates; bank mortgage insurance premium calculation; mortgage life insurance cost by age; mortgage life insurance vs term cost</t>
        </is>
      </c>
      <c r="L96" s="36" t="inlineStr">
        <is>
          <t>Nationwide</t>
        </is>
      </c>
      <c r="M96" s="36" t="inlineStr">
        <is>
          <t>commercial</t>
        </is>
      </c>
      <c r="N96" s="36" t="inlineStr">
        <is>
          <t>MOFU</t>
        </is>
      </c>
      <c r="O96" s="25" t="inlineStr">
        <is>
          <t>Mortgage Life Insurance Cost in Canada: How It's Priced</t>
        </is>
      </c>
      <c r="P96" s="36">
        <f>LEN(O96)</f>
        <v/>
      </c>
      <c r="Q96" s="25" t="inlineStr">
        <is>
          <t>Mortgage life insurance cost in Canada: how lenders price by age band and balance, why it can exceed term life, and a worked example. Run the calculator.</t>
        </is>
      </c>
      <c r="R96" s="36">
        <f>LEN(Q96)</f>
        <v/>
      </c>
      <c r="S96" s="36">
        <f>IF(H96="","",IF(ISNUMBER(SEARCH(SUBSTITUTE(H96,"-"," "),SUBSTITUTE(O96,"-"," "))),"Yes","Check"))</f>
        <v/>
      </c>
      <c r="T96" s="25" t="inlineStr">
        <is>
          <t>How much does mortgage life insurance cost? | How lenders calculate premiums | Age bands and premium jumps at renewal | Single vs joint coverage pricing | Lender premium vs term life: worked example | Taxes on creditor premiums | How to compare your own numbers</t>
        </is>
      </c>
      <c r="U96" s="25" t="inlineStr">
        <is>
          <t>Why is mortgage life insurance so expensive? | Does my mortgage insurance premium go down as I pay off the loan? | Is joint mortgage life insurance cheaper? | Is sales tax charged on mortgage life insurance?</t>
        </is>
      </c>
      <c r="V96" s="25" t="inlineStr">
        <is>
          <t>A worked example using published lender rate-per-$1,000 tables (sourced and dated) for three ages and balances, compared with Instasure model term estimates, plus the calculator embed.</t>
        </is>
      </c>
      <c r="W96" s="25" t="inlineStr">
        <is>
          <t>/mortgage-life-insurance/; /calculators/mortgage-protection/; /guides/mortgage-life-insurance-vs-term-life-insurance/; /guides/how-much-does-life-insurance-cost-canada/</t>
        </is>
      </c>
      <c r="X96" s="25" t="inlineStr">
        <is>
          <t>Mortgage protection calculator (/calculators/mortgage-protection/)</t>
        </is>
      </c>
      <c r="Y96" s="36" t="inlineStr">
        <is>
          <t>Article; FAQPage; BreadcrumbList</t>
        </is>
      </c>
      <c r="Z96" s="37" t="n">
        <v>1600</v>
      </c>
      <c r="AA96" s="25" t="inlineStr">
        <is>
          <t>PolicyAdvisor's 'Why Is Mortgage Insurance So Expensive?' explains the idea; no competitor seen shows lender rate tables against term estimates, and the research found no competitor mortgage protection calculator.</t>
        </is>
      </c>
      <c r="AB96" s="25" t="inlineStr">
        <is>
          <t>Use 'mortgage life insurance cost' in the H1, slug, meta title, first 100 words and first H2, and answer in 40–60 words how lender pricing works. Put the worked-example table and the calculator embed together; link /calculators/mortgage-protection/ with 'mortgage protection calculator' and the life cost guide with 'term life insurance cost by age'. Alt text: 'Lender mortgage insurance premiums compared with term life by age'. Licensed reviewer, cite lender rate sheets, refresh quarterly.</t>
        </is>
      </c>
      <c r="AC96" s="25" t="inlineStr">
        <is>
          <t>Use only publicly published lender rate sheets with dates, label term figures as model estimates, and verify provincial sales tax on creditor premiums (for example Ontario and Quebec) before stating it.</t>
        </is>
      </c>
      <c r="AD96" s="36" t="inlineStr">
        <is>
          <t>Quarterly</t>
        </is>
      </c>
      <c r="AE96" s="38" t="inlineStr">
        <is>
          <t>Michael Le Chi</t>
        </is>
      </c>
      <c r="AF96" s="38" t="n"/>
      <c r="AG96" s="38" t="inlineStr">
        <is>
          <t>2026-10-12</t>
        </is>
      </c>
    </row>
    <row r="97" ht="68.65000000000001" customHeight="1" s="22">
      <c r="A97" s="36">
        <f>"B"&amp;TEXT(ROW()-1,"0000")</f>
        <v/>
      </c>
      <c r="B97" s="38" t="inlineStr">
        <is>
          <t>Planned</t>
        </is>
      </c>
      <c r="C97" s="36" t="n">
        <v>1</v>
      </c>
      <c r="D97" s="36" t="inlineStr">
        <is>
          <t>Mortgage protection</t>
        </is>
      </c>
      <c r="E97" s="36" t="inlineStr">
        <is>
          <t>Coverage explained</t>
        </is>
      </c>
      <c r="F97" s="25" t="inlineStr">
        <is>
          <t>Mortgage Default Insurance vs Mortgage Life Insurance: Is Either Mandatory in Canada?</t>
        </is>
      </c>
      <c r="G97" s="36" t="inlineStr">
        <is>
          <t>https://instasure.ca/guides/mortgage-default-insurance-vs-mortgage-life-insurance/</t>
        </is>
      </c>
      <c r="H97" s="36" t="inlineStr">
        <is>
          <t>cmhc insurance vs mortgage life insurance</t>
        </is>
      </c>
      <c r="I97" s="41">
        <f>IFERROR(INDEX('Nationwide KWs'!$D$2:$D$168,MATCH(H97,'Nationwide KWs'!$A$2:$A$168,0)),IFERROR(INDEX('Provincial KWs'!$E$2:$E$137,MATCH(H97,'Provincial KWs'!$A$2:$A$137,0)),IFERROR(INDEX('City KWs'!$F$2:$F$419,MATCH(H97,'City KWs'!$A$2:$A$419,0)),"")))</f>
        <v/>
      </c>
      <c r="J97" s="36" t="inlineStr">
        <is>
          <t>Low</t>
        </is>
      </c>
      <c r="K97" s="25" t="inlineStr">
        <is>
          <t>is mortgage life insurance mandatory; mortgage default insurance canada; is mortgage insurance required in canada; does cmhc insurance pay if i die; mortgage protection insurance explained</t>
        </is>
      </c>
      <c r="L97" s="36" t="inlineStr">
        <is>
          <t>Nationwide</t>
        </is>
      </c>
      <c r="M97" s="36" t="inlineStr">
        <is>
          <t>informational</t>
        </is>
      </c>
      <c r="N97" s="36" t="inlineStr">
        <is>
          <t>TOFU</t>
        </is>
      </c>
      <c r="O97" s="25" t="inlineStr">
        <is>
          <t>CMHC Insurance vs Mortgage Life Insurance Explained</t>
        </is>
      </c>
      <c r="P97" s="36">
        <f>LEN(O97)</f>
        <v/>
      </c>
      <c r="Q97" s="25" t="inlineStr">
        <is>
          <t>CMHC insurance vs mortgage life insurance: one protects your lender, the other your family, and life cover is optional. See what to ask your lender.</t>
        </is>
      </c>
      <c r="R97" s="36">
        <f>LEN(Q97)</f>
        <v/>
      </c>
      <c r="S97" s="36">
        <f>IF(H97="","",IF(ISNUMBER(SEARCH(SUBSTITUTE(H97,"-"," "),SUBSTITUTE(O97,"-"," "))),"Yes","Check"))</f>
        <v/>
      </c>
      <c r="T97" s="25" t="inlineStr">
        <is>
          <t>Is mortgage life insurance mandatory? The short answer | Mortgage default insurance (CMHC, Sagen, Canada Guaranty) | Mortgage life insurance from your lender | Who each one protects | What your lender can and cannot require | Questions to ask at signing</t>
        </is>
      </c>
      <c r="U97" s="25" t="inlineStr">
        <is>
          <t>Does CMHC insurance pay off my mortgage if I die? | Can my bank require me to buy mortgage life insurance? | Is mortgage protection insurance the same as mortgage insurance? | Do I need mortgage insurance with 20% down?</t>
        </is>
      </c>
      <c r="V97" s="25" t="inlineStr">
        <is>
          <t>A two-column comparison graphic (default insurance vs life cover: who pays, who benefits, when it pays, required or optional) and a signing-day question card.</t>
        </is>
      </c>
      <c r="W97" s="25" t="inlineStr">
        <is>
          <t>/mortgage-life-insurance/; /guides/mortgage-life-insurance-vs-term-life-insurance/; /calculators/mortgage-protection/; /glossary/</t>
        </is>
      </c>
      <c r="X97" s="25" t="inlineStr">
        <is>
          <t>Mortgage protection calculator (/calculators/mortgage-protection/)</t>
        </is>
      </c>
      <c r="Y97" s="36" t="inlineStr">
        <is>
          <t>Article; FAQPage; BreadcrumbList</t>
        </is>
      </c>
      <c r="Z97" s="37" t="n">
        <v>1300</v>
      </c>
      <c r="AA97" s="25" t="inlineStr">
        <is>
          <t>Ratehub ('Is mortgage life insurance mandatory in Canada?') and PolicyAdvisor ('Is Life Insurance Mandatory To Get A Mortgage In Canada?') answer the question; neither sets default insurance and life cover side by side with the three default insurers named.</t>
        </is>
      </c>
      <c r="AB97" s="25" t="inlineStr">
        <is>
          <t>Use 'CMHC insurance vs mortgage life insurance' in the meta title, first 100 words and the second H2, and answer 'is mortgage life insurance mandatory?' in 40–60 words under the first H2 (the existing comparison guide also lists that query, so this page owns the default-insurance angle). Put the comparison graphic directly under the answer with a text table equivalent; link /mortgage-life-insurance/ with 'mortgage life insurance' and /glossary/ with 'mortgage insurance terms'. Alt text: 'Mortgage default insurance compared with mortgage life insurance'. Licensed reviewer, cite CMHC and FCAC, refresh annually.</t>
        </is>
      </c>
      <c r="AC97" s="25" t="inlineStr">
        <is>
          <t>Verify default-insurance thresholds and insurer names against CMHC and FCAC, and the Bank Act rules on optional products and coercive tied selling, before stating what lenders can require.</t>
        </is>
      </c>
      <c r="AD97" s="36" t="inlineStr">
        <is>
          <t>Annual</t>
        </is>
      </c>
      <c r="AE97" s="38" t="n"/>
      <c r="AF97" s="38" t="n"/>
      <c r="AG97" s="38" t="n"/>
    </row>
    <row r="98" ht="79.84999999999999" customHeight="1" s="22">
      <c r="A98" s="36">
        <f>"B"&amp;TEXT(ROW()-1,"0000")</f>
        <v/>
      </c>
      <c r="B98" s="38" t="inlineStr">
        <is>
          <t>Planned</t>
        </is>
      </c>
      <c r="C98" s="36" t="n">
        <v>1</v>
      </c>
      <c r="D98" s="36" t="inlineStr">
        <is>
          <t>Mortgage protection</t>
        </is>
      </c>
      <c r="E98" s="36" t="inlineStr">
        <is>
          <t>Renewal &amp; switching</t>
        </is>
      </c>
      <c r="F98" s="25" t="inlineStr">
        <is>
          <t>Mortgage Renewal and Your Life Insurance: What to Do When You Renew or Switch Lenders</t>
        </is>
      </c>
      <c r="G98" s="36" t="inlineStr">
        <is>
          <t>https://instasure.ca/guides/mortgage-renewal-life-insurance-switch-lenders/</t>
        </is>
      </c>
      <c r="H98" s="36" t="inlineStr">
        <is>
          <t>mortgage renewal life insurance</t>
        </is>
      </c>
      <c r="I98" s="41">
        <f>IFERROR(INDEX('Nationwide KWs'!$D$2:$D$168,MATCH(H98,'Nationwide KWs'!$A$2:$A$168,0)),IFERROR(INDEX('Provincial KWs'!$E$2:$E$137,MATCH(H98,'Provincial KWs'!$A$2:$A$137,0)),IFERROR(INDEX('City KWs'!$F$2:$F$419,MATCH(H98,'City KWs'!$A$2:$A$419,0)),"")))</f>
        <v/>
      </c>
      <c r="J98" s="36" t="inlineStr">
        <is>
          <t>Low</t>
        </is>
      </c>
      <c r="K98" s="25" t="inlineStr">
        <is>
          <t>do i need new mortgage insurance when i switch lenders; mortgage life insurance switching lenders; mortgage renewal 2026; mortgage renewal checklist insurance; transfer mortgage insurance to new lender</t>
        </is>
      </c>
      <c r="L98" s="36" t="inlineStr">
        <is>
          <t>Nationwide</t>
        </is>
      </c>
      <c r="M98" s="36" t="inlineStr">
        <is>
          <t>commercial</t>
        </is>
      </c>
      <c r="N98" s="36" t="inlineStr">
        <is>
          <t>MOFU</t>
        </is>
      </c>
      <c r="O98" s="25" t="inlineStr">
        <is>
          <t>Mortgage Renewal Life Insurance: Switching Lenders Guide</t>
        </is>
      </c>
      <c r="P98" s="36">
        <f>LEN(O98)</f>
        <v/>
      </c>
      <c r="Q98" s="25" t="inlineStr">
        <is>
          <t>Mortgage renewal life insurance: what happens to lender cover when you renew or switch, new health questions at your age and a checklist. Ask our desk.</t>
        </is>
      </c>
      <c r="R98" s="36">
        <f>LEN(Q98)</f>
        <v/>
      </c>
      <c r="S98" s="36">
        <f>IF(H98="","",IF(ISNUMBER(SEARCH(SUBSTITUTE(H98,"-"," "),SUBSTITUTE(O98,"-"," "))),"Yes","Check"))</f>
        <v/>
      </c>
      <c r="T98" s="25" t="inlineStr">
        <is>
          <t>What happens to mortgage life insurance at renewal? | Renewing with the same lender | Switching lenders: why coverage usually ends | Reapplying at an older age and in different health | Renewal as the moment to compare term life | A 30-day renewal checklist | Run your numbers before you sign</t>
        </is>
      </c>
      <c r="U98" s="25" t="inlineStr">
        <is>
          <t>Does my mortgage life insurance continue when I renew? | Do I need new mortgage insurance if I switch lenders? | Will my premium change at renewal? | Should I buy term life before switching lenders?</t>
        </is>
      </c>
      <c r="V98" s="25" t="inlineStr">
        <is>
          <t>A 30-day renewal checklist and a worked example for a 2026 renewer (balance, age, lender re-application vs a personal term policy) run through the mortgage protection calculator, citing CMHC renewal-volume data.</t>
        </is>
      </c>
      <c r="W98" s="25" t="inlineStr">
        <is>
          <t>/mortgage-life-insurance/; /calculators/mortgage-protection/; /guides/mortgage-life-insurance-vs-term-life-insurance/; /term-life-insurance/</t>
        </is>
      </c>
      <c r="X98" s="25" t="inlineStr">
        <is>
          <t>Request a specialist call: Mortgage renewal protection desk (/mortgage-life-insurance/)</t>
        </is>
      </c>
      <c r="Y98" s="36" t="inlineStr">
        <is>
          <t>Article; FAQPage; BreadcrumbList; HowTo</t>
        </is>
      </c>
      <c r="Z98" s="37" t="n">
        <v>1700</v>
      </c>
      <c r="AA98" s="25" t="inlineStr">
        <is>
          <t>Ratehub, PolicyAdvisor, PolicyMe and money.ca compare mortgage and term life in general; the research found none tied to the 2026–2027 renewal wave or to switching lenders specifically.</t>
        </is>
      </c>
      <c r="AB98" s="25" t="inlineStr">
        <is>
          <t>Use 'mortgage renewal life insurance' in the H1 (as 'mortgage renewal and your life insurance'), slug, meta title, first 100 words and first H2, with a 40–60 word answer on what changes when you switch. Mark the 30-day checklist as HowTo and embed the calculator result; link /calculators/mortgage-protection/ with 'compare lender cover and term life' and the existing comparison guide with 'mortgage life insurance vs term life'; alt text: 'Checklist for protecting your mortgage at renewal'. Licensed reviewer, cite CMHC and FCAC, refresh quarterly through the renewal wave. Keep the lender-vs-term comparison to one short section and link the existing comparison guide for depth, so the two pages don't compete.</t>
        </is>
      </c>
      <c r="AC98" s="25" t="inlineStr">
        <is>
          <t>Verify the renewal-volume figures (about 1.15M in 2026 and 940K in 2027, CMHC via MPA) against CMHC before citing, and check lender rules on coverage at renewal against each lender's certificate.</t>
        </is>
      </c>
      <c r="AD98" s="36" t="inlineStr">
        <is>
          <t>Quarterly</t>
        </is>
      </c>
      <c r="AE98" s="38" t="n"/>
      <c r="AF98" s="38" t="n"/>
      <c r="AG98" s="38" t="n"/>
    </row>
    <row r="99" ht="57.45" customHeight="1" s="22">
      <c r="A99" s="36">
        <f>"B"&amp;TEXT(ROW()-1,"0000")</f>
        <v/>
      </c>
      <c r="B99" s="38" t="inlineStr">
        <is>
          <t>Planned</t>
        </is>
      </c>
      <c r="C99" s="36" t="n">
        <v>2</v>
      </c>
      <c r="D99" s="36" t="inlineStr">
        <is>
          <t>Mortgage protection</t>
        </is>
      </c>
      <c r="E99" s="36" t="inlineStr">
        <is>
          <t>Coverage explained</t>
        </is>
      </c>
      <c r="F99" s="25" t="inlineStr">
        <is>
          <t>HELOC and Line of Credit Insurance: Is Creditor Coverage Worth It?</t>
        </is>
      </c>
      <c r="G99" s="36" t="inlineStr">
        <is>
          <t>https://instasure.ca/guides/heloc-line-of-credit-insurance/</t>
        </is>
      </c>
      <c r="H99" s="36" t="inlineStr">
        <is>
          <t>line of credit insurance</t>
        </is>
      </c>
      <c r="I99" s="41">
        <f>IFERROR(INDEX('Nationwide KWs'!$D$2:$D$168,MATCH(H99,'Nationwide KWs'!$A$2:$A$168,0)),IFERROR(INDEX('Provincial KWs'!$E$2:$E$137,MATCH(H99,'Provincial KWs'!$A$2:$A$137,0)),IFERROR(INDEX('City KWs'!$F$2:$F$419,MATCH(H99,'City KWs'!$A$2:$A$419,0)),"")))</f>
        <v/>
      </c>
      <c r="J99" s="36" t="inlineStr">
        <is>
          <t>Low</t>
        </is>
      </c>
      <c r="K99" s="25" t="inlineStr">
        <is>
          <t>heloc insurance; creditor insurance canada; what is creditor insurance; credit card balance insurance; loan protection insurance worth it</t>
        </is>
      </c>
      <c r="L99" s="36" t="inlineStr">
        <is>
          <t>Nationwide</t>
        </is>
      </c>
      <c r="M99" s="36" t="inlineStr">
        <is>
          <t>commercial</t>
        </is>
      </c>
      <c r="N99" s="36" t="inlineStr">
        <is>
          <t>MOFU</t>
        </is>
      </c>
      <c r="O99" s="25" t="inlineStr">
        <is>
          <t>Line of Credit Insurance and HELOC Cover: Worth It?</t>
        </is>
      </c>
      <c r="P99" s="36">
        <f>LEN(O99)</f>
        <v/>
      </c>
      <c r="Q99" s="25" t="inlineStr">
        <is>
          <t>Is line of credit insurance worth it? How creditor cover on HELOCs, lines of credit and loans works, what it costs and its limits. Compare alternatives.</t>
        </is>
      </c>
      <c r="R99" s="36">
        <f>LEN(Q99)</f>
        <v/>
      </c>
      <c r="S99" s="36">
        <f>IF(H99="","",IF(ISNUMBER(SEARCH(SUBSTITUTE(H99,"-"," "),SUBSTITUTE(O99,"-"," "))),"Yes","Check"))</f>
        <v/>
      </c>
      <c r="T99" s="25" t="inlineStr">
        <is>
          <t>What is creditor insurance on a line of credit? | How HELOC insurance is priced on your balance | Readvanceable mortgages: two insurance layers | Limits: post-claim underwriting and maximums | Credit card and car loan balance insurance | Personal term and disability as alternatives</t>
        </is>
      </c>
      <c r="U99" s="25" t="inlineStr">
        <is>
          <t>Is HELOC insurance worth it? | Does line of credit insurance cover the full limit or only the balance? | Can I cancel creditor insurance on my line of credit? | Does my mortgage insurance cover my HELOC?</t>
        </is>
      </c>
      <c r="V99" s="25" t="inlineStr">
        <is>
          <t>A creditor-insurance map for a readvanceable mortgage (mortgage portion, HELOC portion, credit cards) with a worked cost example from published lender rates.</t>
        </is>
      </c>
      <c r="W99" s="25" t="inlineStr">
        <is>
          <t>/mortgage-life-insurance/; /term-life-insurance/; /disability-insurance/; /guides/mortgage-life-insurance-vs-term-life-insurance/</t>
        </is>
      </c>
      <c r="X99" s="25" t="inlineStr">
        <is>
          <t>Request a specialist call: Mortgage renewal protection desk (/mortgage-life-insurance/)</t>
        </is>
      </c>
      <c r="Y99" s="36" t="inlineStr">
        <is>
          <t>Article; FAQPage; BreadcrumbList</t>
        </is>
      </c>
      <c r="Z99" s="37" t="n">
        <v>1400</v>
      </c>
      <c r="AA99" s="25" t="inlineStr">
        <is>
          <t>No competitor coverage seen; the research found no aggregator or broker page on HELOC or line-of-credit creditor insurance.</t>
        </is>
      </c>
      <c r="AB99" s="25" t="inlineStr">
        <is>
          <t>Use 'line of credit insurance' in the H1, meta title, first 100 words and first H2, with a 40–60 word answer defining creditor insurance on a balance. Show the readvanceable-mortgage map as a diagram with a text table; link /term-life-insurance/ with 'personal term life' and /disability-insurance/ with 'disability insurance'. Alt text: 'Diagram of creditor insurance layers on a readvanceable mortgage'. Licensed reviewer, cite FCAC creditor insurance guidance, refresh annually.</t>
        </is>
      </c>
      <c r="AC99" s="25" t="inlineStr">
        <is>
          <t>Verify how lenders price HELOC creditor insurance (on the balance) from published certificates and FCAC guidance; do not imply all creditor insurance is poor value.</t>
        </is>
      </c>
      <c r="AD99" s="36" t="inlineStr">
        <is>
          <t>Annual</t>
        </is>
      </c>
      <c r="AE99" s="38" t="n"/>
      <c r="AF99" s="38" t="n"/>
      <c r="AG99" s="38" t="n"/>
    </row>
    <row r="100" ht="46.25" customHeight="1" s="22">
      <c r="A100" s="36">
        <f>"B"&amp;TEXT(ROW()-1,"0000")</f>
        <v/>
      </c>
      <c r="B100" s="38" t="inlineStr">
        <is>
          <t>Planned</t>
        </is>
      </c>
      <c r="C100" s="36" t="n">
        <v>2</v>
      </c>
      <c r="D100" s="36" t="inlineStr">
        <is>
          <t>Mortgage protection</t>
        </is>
      </c>
      <c r="E100" s="36" t="inlineStr">
        <is>
          <t>Coverage explained</t>
        </is>
      </c>
      <c r="F100" s="25" t="inlineStr">
        <is>
          <t>Joint Mortgage Life Insurance: What Couples Need to Know Before They Sign</t>
        </is>
      </c>
      <c r="G100" s="36" t="inlineStr">
        <is>
          <t>https://instasure.ca/guides/joint-mortgage-life-insurance/</t>
        </is>
      </c>
      <c r="H100" s="36" t="inlineStr">
        <is>
          <t>joint mortgage life insurance</t>
        </is>
      </c>
      <c r="I100" s="41">
        <f>IFERROR(INDEX('Nationwide KWs'!$D$2:$D$168,MATCH(H100,'Nationwide KWs'!$A$2:$A$168,0)),IFERROR(INDEX('Provincial KWs'!$E$2:$E$137,MATCH(H100,'Provincial KWs'!$A$2:$A$137,0)),IFERROR(INDEX('City KWs'!$F$2:$F$419,MATCH(H100,'City KWs'!$A$2:$A$419,0)),"")))</f>
        <v/>
      </c>
      <c r="J100" s="36" t="inlineStr">
        <is>
          <t>Niche</t>
        </is>
      </c>
      <c r="K100" s="25" t="inlineStr">
        <is>
          <t>joint mortgage insurance pays once; mortgage insurance for couples; mortgage life insurance after divorce; two term policies vs joint mortgage insurance; co-borrower mortgage insurance</t>
        </is>
      </c>
      <c r="L100" s="36" t="inlineStr">
        <is>
          <t>Nationwide</t>
        </is>
      </c>
      <c r="M100" s="36" t="inlineStr">
        <is>
          <t>commercial</t>
        </is>
      </c>
      <c r="N100" s="36" t="inlineStr">
        <is>
          <t>MOFU</t>
        </is>
      </c>
      <c r="O100" s="25" t="inlineStr">
        <is>
          <t>Joint Mortgage Life Insurance: A Guide for Couples</t>
        </is>
      </c>
      <c r="P100" s="36">
        <f>LEN(O100)</f>
        <v/>
      </c>
      <c r="Q100" s="25" t="inlineStr">
        <is>
          <t>Joint mortgage life insurance pays only once. See what happens after a separation or refinance, and how two term policies compare. Run the calculator.</t>
        </is>
      </c>
      <c r="R100" s="36">
        <f>LEN(Q100)</f>
        <v/>
      </c>
      <c r="S100" s="36">
        <f>IF(H100="","",IF(ISNUMBER(SEARCH(SUBSTITUTE(H100,"-"," "),SUBSTITUTE(O100,"-"," "))),"Yes","Check"))</f>
        <v/>
      </c>
      <c r="T100" s="25" t="inlineStr">
        <is>
          <t>How joint mortgage life insurance works | It pays once: what that means for the survivor | Joint lender cover vs two individual term policies | Separation, divorce and refinancing | Co-borrowers who aren't spouses | Couple decision checklist</t>
        </is>
      </c>
      <c r="U100" s="25" t="inlineStr">
        <is>
          <t>Does joint mortgage insurance pay out twice if both partners die? | What happens to joint mortgage insurance if we separate? | Can unmarried co-owners get joint mortgage insurance? | Is joint mortgage insurance cheaper than two policies?</t>
        </is>
      </c>
      <c r="V100" s="25" t="inlineStr">
        <is>
          <t>A scenario table (one partner dies, both die, separation, refinance, switching lenders) showing outcomes under joint lender cover vs two term policies.</t>
        </is>
      </c>
      <c r="W100" s="25" t="inlineStr">
        <is>
          <t>/mortgage-life-insurance/; /life-insurance/joint/; /guides/joint-life-insurance-vs-two-policies/; /calculators/mortgage-protection/</t>
        </is>
      </c>
      <c r="X100" s="25" t="inlineStr">
        <is>
          <t>Mortgage protection calculator (/calculators/mortgage-protection/)</t>
        </is>
      </c>
      <c r="Y100" s="36" t="inlineStr">
        <is>
          <t>Article; FAQPage; BreadcrumbList</t>
        </is>
      </c>
      <c r="Z100" s="37" t="n">
        <v>1300</v>
      </c>
      <c r="AA100" s="25" t="inlineStr">
        <is>
          <t>PolicyAdvisor and Ratehub mention joint cover inside their mortgage-vs-life articles; no competitor seen has a dedicated joint mortgage insurance scenario guide.</t>
        </is>
      </c>
      <c r="AB100" s="25" t="inlineStr">
        <is>
          <t>Use 'joint mortgage life insurance' in the H1, slug, meta title, first 100 words and first H2, with a 40–60 word answer that it pays once. Make the scenario table the core asset; link /life-insurance/joint/ with 'joint life insurance' and the joint vs two policies guide with 'two separate policies'. Alt text: 'Scenario table for joint mortgage insurance vs two term policies'. Licensed reviewer, cite lender certificates, refresh annually.</t>
        </is>
      </c>
      <c r="AC100" s="25" t="inlineStr">
        <is>
          <t>Verify joint-coverage payout and separation rules in lender certificates, and label any cost comparison as an estimate.</t>
        </is>
      </c>
      <c r="AD100" s="36" t="inlineStr">
        <is>
          <t>Annual</t>
        </is>
      </c>
      <c r="AE100" s="38" t="n"/>
      <c r="AF100" s="38" t="n"/>
      <c r="AG100" s="38" t="n"/>
    </row>
    <row r="101" ht="57.45" customHeight="1" s="22">
      <c r="A101" s="36">
        <f>"B"&amp;TEXT(ROW()-1,"0000")</f>
        <v/>
      </c>
      <c r="B101" s="38" t="inlineStr">
        <is>
          <t>Planned</t>
        </is>
      </c>
      <c r="C101" s="36" t="n">
        <v>2</v>
      </c>
      <c r="D101" s="36" t="inlineStr">
        <is>
          <t>Mortgage protection</t>
        </is>
      </c>
      <c r="E101" s="36" t="inlineStr">
        <is>
          <t>How-to</t>
        </is>
      </c>
      <c r="F101" s="25" t="inlineStr">
        <is>
          <t>How to Cancel Your Bank's Mortgage Life Insurance (Without Leaving a Gap)</t>
        </is>
      </c>
      <c r="G101" s="36" t="inlineStr">
        <is>
          <t>https://instasure.ca/guides/how-to-cancel-mortgage-life-insurance/</t>
        </is>
      </c>
      <c r="H101" s="36" t="inlineStr">
        <is>
          <t>cancel mortgage life insurance</t>
        </is>
      </c>
      <c r="I101" s="41">
        <f>IFERROR(INDEX('Nationwide KWs'!$D$2:$D$168,MATCH(H101,'Nationwide KWs'!$A$2:$A$168,0)),IFERROR(INDEX('Provincial KWs'!$E$2:$E$137,MATCH(H101,'Provincial KWs'!$A$2:$A$137,0)),IFERROR(INDEX('City KWs'!$F$2:$F$419,MATCH(H101,'City KWs'!$A$2:$A$419,0)),"")))</f>
        <v/>
      </c>
      <c r="J101" s="36" t="inlineStr">
        <is>
          <t>Low</t>
        </is>
      </c>
      <c r="K101" s="25" t="inlineStr">
        <is>
          <t>how to cancel bank mortgage insurance; mortgage protection cancellation; mortgage insurance refund; replace mortgage insurance with term life; creditor insurance cancellation rights</t>
        </is>
      </c>
      <c r="L101" s="36" t="inlineStr">
        <is>
          <t>Nationwide</t>
        </is>
      </c>
      <c r="M101" s="36" t="inlineStr">
        <is>
          <t>transactional</t>
        </is>
      </c>
      <c r="N101" s="36" t="inlineStr">
        <is>
          <t>BOFU</t>
        </is>
      </c>
      <c r="O101" s="25" t="inlineStr">
        <is>
          <t>How to Cancel Mortgage Life Insurance Without a Gap</t>
        </is>
      </c>
      <c r="P101" s="36">
        <f>LEN(O101)</f>
        <v/>
      </c>
      <c r="Q101" s="25" t="inlineStr">
        <is>
          <t>How to cancel mortgage life insurance from your bank, step by step: get new cover approved first, cancel in writing and check for a refund. Get help.</t>
        </is>
      </c>
      <c r="R101" s="36">
        <f>LEN(Q101)</f>
        <v/>
      </c>
      <c r="S101" s="36">
        <f>IF(H101="","",IF(ISNUMBER(SEARCH(SUBSTITUTE(H101,"-"," "),SUBSTITUTE(O101,"-"," "))),"Yes","Check"))</f>
        <v/>
      </c>
      <c r="T101" s="25" t="inlineStr">
        <is>
          <t>Can you cancel mortgage life insurance? | Step 1: get replacement coverage approved and in force | Step 2: find your certificate and lender contact | Step 3: cancel in writing and keep proof | Refunds and cancellation windows | When keeping lender coverage makes sense</t>
        </is>
      </c>
      <c r="U101" s="25" t="inlineStr">
        <is>
          <t>Can I cancel my mortgage life insurance at any time? | Will I get a refund if I cancel mortgage insurance? | Does cancelling affect my mortgage terms? | What if I'm declined for term life after cancelling?</t>
        </is>
      </c>
      <c r="V101" s="25" t="inlineStr">
        <is>
          <t>A cancellation letter template, a contact table for the major banks' creditor insurance departments (verified) and a no-gap sequence diagram.</t>
        </is>
      </c>
      <c r="W101" s="25" t="inlineStr">
        <is>
          <t>/mortgage-life-insurance/; /term-life-insurance/; /guides/mortgage-life-insurance-vs-term-life-insurance/; /calculators/mortgage-protection/</t>
        </is>
      </c>
      <c r="X101" s="25" t="inlineStr">
        <is>
          <t>Request a specialist call: Mortgage renewal protection desk (/mortgage-life-insurance/)</t>
        </is>
      </c>
      <c r="Y101" s="36" t="inlineStr">
        <is>
          <t>Article; FAQPage; BreadcrumbList; HowTo</t>
        </is>
      </c>
      <c r="Z101" s="37" t="n">
        <v>1300</v>
      </c>
      <c r="AA101" s="25" t="inlineStr">
        <is>
          <t>No competitor coverage seen; the comparison guides (Ratehub, PolicyAdvisor and our own) mention switching, but none gives lender contacts or a cancellation template.</t>
        </is>
      </c>
      <c r="AB101" s="25" t="inlineStr">
        <is>
          <t>Use 'cancel mortgage life insurance' in the H1, slug, meta title, first 100 words and first H2, with a 40–60 word answer that stresses replacing cover first. Mark the three steps as HowTo and offer the letter template as a copyable block; link /term-life-insurance/ with 'personal term life insurance' and the comparison guide with 'mortgage insurance vs term life'. Alt text: 'Steps to replace bank mortgage insurance without a coverage gap'. Licensed reviewer, cite FCAC, refresh semi-annually.</t>
        </is>
      </c>
      <c r="AC101" s="25" t="inlineStr">
        <is>
          <t>Verify each lender's cancellation process and refund window and FCAC rules on cancelling optional products; never advise cancelling before replacement cover is in force.</t>
        </is>
      </c>
      <c r="AD101" s="36" t="inlineStr">
        <is>
          <t>Semi-annual</t>
        </is>
      </c>
      <c r="AE101" s="38" t="n"/>
      <c r="AF101" s="38" t="n"/>
      <c r="AG101" s="38" t="n"/>
    </row>
    <row r="102" ht="57.45" customHeight="1" s="22">
      <c r="A102" s="36">
        <f>"B"&amp;TEXT(ROW()-1,"0000")</f>
        <v/>
      </c>
      <c r="B102" s="38" t="inlineStr">
        <is>
          <t>Planned</t>
        </is>
      </c>
      <c r="C102" s="36" t="n">
        <v>2</v>
      </c>
      <c r="D102" s="36" t="inlineStr">
        <is>
          <t>Mortgage protection</t>
        </is>
      </c>
      <c r="E102" s="36" t="inlineStr">
        <is>
          <t>Local (city/province)</t>
        </is>
      </c>
      <c r="F102" s="25" t="inlineStr">
        <is>
          <t>Mortgage Life Insurance in Calgary and Edmonton: An Alberta Renewal Guide</t>
        </is>
      </c>
      <c r="G102" s="36" t="inlineStr">
        <is>
          <t>https://instasure.ca/guides/calgary-edmonton-mortgage-life-insurance/</t>
        </is>
      </c>
      <c r="H102" s="36" t="inlineStr">
        <is>
          <t>mortgage life insurance alberta</t>
        </is>
      </c>
      <c r="I102" s="41">
        <f>IFERROR(INDEX('Nationwide KWs'!$D$2:$D$168,MATCH(H102,'Nationwide KWs'!$A$2:$A$168,0)),IFERROR(INDEX('Provincial KWs'!$E$2:$E$137,MATCH(H102,'Provincial KWs'!$A$2:$A$137,0)),IFERROR(INDEX('City KWs'!$F$2:$F$419,MATCH(H102,'City KWs'!$A$2:$A$419,0)),"")))</f>
        <v/>
      </c>
      <c r="J102" s="36" t="inlineStr">
        <is>
          <t>Niche</t>
        </is>
      </c>
      <c r="K102" s="25" t="inlineStr">
        <is>
          <t>mortgage life insurance calgary; mortgage life insurance edmonton; alberta mortgage renewal; mortgage protection alberta; term life for alberta homeowners</t>
        </is>
      </c>
      <c r="L102" s="36" t="inlineStr">
        <is>
          <t>Province: Alberta</t>
        </is>
      </c>
      <c r="M102" s="36" t="inlineStr">
        <is>
          <t>local</t>
        </is>
      </c>
      <c r="N102" s="36" t="inlineStr">
        <is>
          <t>MOFU</t>
        </is>
      </c>
      <c r="O102" s="25" t="inlineStr">
        <is>
          <t>Mortgage Life Insurance Alberta: Calgary and Edmonton</t>
        </is>
      </c>
      <c r="P102" s="36">
        <f>LEN(O102)</f>
        <v/>
      </c>
      <c r="Q102" s="25" t="inlineStr">
        <is>
          <t>Mortgage life insurance in Alberta: lender cover vs term life for Calgary and Edmonton homeowners, newcomers from other provinces and renewals. Compare.</t>
        </is>
      </c>
      <c r="R102" s="36">
        <f>LEN(Q102)</f>
        <v/>
      </c>
      <c r="S102" s="36">
        <f>IF(H102="","",IF(ISNUMBER(SEARCH(SUBSTITUTE(H102,"-"," "),SUBSTITUTE(O102,"-"," "))),"Yes","Check"))</f>
        <v/>
      </c>
      <c r="T102" s="25" t="inlineStr">
        <is>
          <t>Mortgage protection for Alberta homeowners | Calgary and Edmonton worked examples | Moved from another province? Your coverage may not follow | Renewing in Alberta | Pairing mortgage cover with disability protection | Talking to an Alberta-licensed advisor</t>
        </is>
      </c>
      <c r="U102" s="25" t="inlineStr">
        <is>
          <t>Is mortgage life insurance mandatory in Alberta? | I moved to Calgary: does my old mortgage insurance still apply? | How much term life do Edmonton homeowners usually need? | Who regulates insurance advisors in Alberta?</t>
        </is>
      </c>
      <c r="V102" s="25" t="inlineStr">
        <is>
          <t>Calgary and Edmonton worked examples using CREB and REALTORS Association of Edmonton benchmark prices (dated), comparing lender premiums with term estimates.</t>
        </is>
      </c>
      <c r="W102" s="25" t="inlineStr">
        <is>
          <t>/mortgage-life-insurance/alberta/; /life-insurance/alberta/calgary/; /life-insurance/alberta/edmonton/; /calculators/mortgage-protection/; /guides/moving-to-calgary-life-insurance-change-province/</t>
        </is>
      </c>
      <c r="X102" s="25" t="inlineStr">
        <is>
          <t>Request a specialist call: Mortgage renewal protection desk (/mortgage-life-insurance/)</t>
        </is>
      </c>
      <c r="Y102" s="36" t="inlineStr">
        <is>
          <t>Article; FAQPage; BreadcrumbList</t>
        </is>
      </c>
      <c r="Z102" s="37" t="n">
        <v>1400</v>
      </c>
      <c r="AA102" s="25" t="inlineStr">
        <is>
          <t>No competitor coverage seen: there are no mortgage life pages for Alberta cities, and PolicyAdvisor's Calgary life URL returns 404.</t>
        </is>
      </c>
      <c r="AB102" s="25" t="inlineStr">
        <is>
          <t>Use 'mortgage life insurance Alberta' in the H1 (with Calgary and Edmonton), slug stem, meta title, first 100 words and first H2, with a 40–60 word answer. Present both city examples in one comparison table; link /mortgage-life-insurance/alberta/ with 'mortgage life insurance in Alberta' and the moving guide with 'moving to Calgary'. Alt text: 'Mortgage protection examples for Calgary and Edmonton homeowners'. Licensed Alberta reviewer, cite CREB and the Edmonton board, refresh semi-annually.</t>
        </is>
      </c>
      <c r="AC102" s="25" t="inlineStr">
        <is>
          <t>Cite local board benchmark prices with dates, verify Alberta Insurance Council licensing statements and label estimates.</t>
        </is>
      </c>
      <c r="AD102" s="36" t="inlineStr">
        <is>
          <t>Semi-annual</t>
        </is>
      </c>
      <c r="AE102" s="38" t="n"/>
      <c r="AF102" s="38" t="n"/>
      <c r="AG102" s="38" t="n"/>
    </row>
    <row r="103" ht="57.45" customHeight="1" s="22">
      <c r="A103" s="36">
        <f>"B"&amp;TEXT(ROW()-1,"0000")</f>
        <v/>
      </c>
      <c r="B103" s="38" t="inlineStr">
        <is>
          <t>Planned</t>
        </is>
      </c>
      <c r="C103" s="36" t="n">
        <v>2</v>
      </c>
      <c r="D103" s="36" t="inlineStr">
        <is>
          <t>Mortgage protection</t>
        </is>
      </c>
      <c r="E103" s="36" t="inlineStr">
        <is>
          <t>Local (city/province)</t>
        </is>
      </c>
      <c r="F103" s="25" t="inlineStr">
        <is>
          <t>Mortgage Life Insurance in Toronto: Protecting a GTA Mortgage at Renewal</t>
        </is>
      </c>
      <c r="G103" s="36" t="inlineStr">
        <is>
          <t>https://instasure.ca/guides/toronto-mortgage-life-insurance-renewal/</t>
        </is>
      </c>
      <c r="H103" s="36" t="inlineStr">
        <is>
          <t>mortgage life insurance toronto</t>
        </is>
      </c>
      <c r="I103" s="41">
        <f>IFERROR(INDEX('Nationwide KWs'!$D$2:$D$168,MATCH(H103,'Nationwide KWs'!$A$2:$A$168,0)),IFERROR(INDEX('Provincial KWs'!$E$2:$E$137,MATCH(H103,'Provincial KWs'!$A$2:$A$137,0)),IFERROR(INDEX('City KWs'!$F$2:$F$419,MATCH(H103,'City KWs'!$A$2:$A$419,0)),"")))</f>
        <v/>
      </c>
      <c r="J103" s="36" t="inlineStr">
        <is>
          <t>Niche</t>
        </is>
      </c>
      <c r="K103" s="25" t="inlineStr">
        <is>
          <t>mortgage protection insurance toronto; mortgage life insurance ontario; toronto mortgage renewal 2026; term life for toronto condo; gta mortgage protection</t>
        </is>
      </c>
      <c r="L103" s="36" t="inlineStr">
        <is>
          <t>City: Toronto, ON</t>
        </is>
      </c>
      <c r="M103" s="36" t="inlineStr">
        <is>
          <t>local</t>
        </is>
      </c>
      <c r="N103" s="36" t="inlineStr">
        <is>
          <t>MOFU</t>
        </is>
      </c>
      <c r="O103" s="25" t="inlineStr">
        <is>
          <t>Mortgage Life Insurance Toronto: GTA Renewal Guide</t>
        </is>
      </c>
      <c r="P103" s="36">
        <f>LEN(O103)</f>
        <v/>
      </c>
      <c r="Q103" s="25" t="inlineStr">
        <is>
          <t>Mortgage life insurance in Toronto: what GTA-size balances mean for lender premiums vs term life, with condo and freehold examples. Ask our renewal desk.</t>
        </is>
      </c>
      <c r="R103" s="36">
        <f>LEN(Q103)</f>
        <v/>
      </c>
      <c r="S103" s="36">
        <f>IF(H103="","",IF(ISNUMBER(SEARCH(SUBSTITUTE(H103,"-"," "),SUBSTITUTE(O103,"-"," "))),"Yes","Check"))</f>
        <v/>
      </c>
      <c r="T103" s="25" t="inlineStr">
        <is>
          <t>Mortgage life insurance for Toronto homeowners | Why GTA balances change the math | Condo vs freehold worked examples | Renewing or switching lenders in Toronto | Ontario rules and consumer protection | Talking to an Ontario-licensed advisor</t>
        </is>
      </c>
      <c r="U103" s="25" t="inlineStr">
        <is>
          <t>Is mortgage life insurance worth it for a Toronto condo? | How much term life covers a typical Toronto mortgage? | Do Ontario lenders have to offer mortgage insurance? | Can I keep my coverage if I move within the GTA?</t>
        </is>
      </c>
      <c r="V103" s="25" t="inlineStr">
        <is>
          <t>Two worked examples (a Toronto condo and a semi-detached home at TRREB benchmark-based balances, dated) comparing lender premiums with term estimates over five years.</t>
        </is>
      </c>
      <c r="W103" s="25" t="inlineStr">
        <is>
          <t>/mortgage-life-insurance/ontario/; /life-insurance/ontario/toronto/; /calculators/mortgage-protection/; /guides/mortgage-renewal-life-insurance-switch-lenders/; /insurance/ontario/toronto/</t>
        </is>
      </c>
      <c r="X103" s="25" t="inlineStr">
        <is>
          <t>Request a specialist call: Mortgage renewal protection desk (/mortgage-life-insurance/)</t>
        </is>
      </c>
      <c r="Y103" s="36" t="inlineStr">
        <is>
          <t>Article; FAQPage; BreadcrumbList</t>
        </is>
      </c>
      <c r="Z103" s="37" t="n">
        <v>1500</v>
      </c>
      <c r="AA103" s="25" t="inlineStr">
        <is>
          <t>No competitor coverage seen: the research found no mortgage life insurance city page from Ratehub, PolicyAdvisor or Rates.ca.</t>
        </is>
      </c>
      <c r="AB103" s="25" t="inlineStr">
        <is>
          <t>Use 'mortgage life insurance Toronto' in the H1, slug, meta title, first 100 words and first H2, with a 40–60 word answer using the condo example. Present the two worked examples side by side; link /mortgage-life-insurance/ontario/ with 'mortgage life insurance in Ontario' and the renewal guide with 'switching lenders at renewal'. Alt text: 'Lender mortgage insurance vs term life for a Toronto condo'. Licensed Ontario reviewer, cite TRREB, refresh semi-annually.</t>
        </is>
      </c>
      <c r="AC103" s="25" t="inlineStr">
        <is>
          <t>Cite TRREB benchmark prices with dates, label premium comparisons as estimates and keep 'Ontario-licensed' claims matched to the roster.</t>
        </is>
      </c>
      <c r="AD103" s="36" t="inlineStr">
        <is>
          <t>Semi-annual</t>
        </is>
      </c>
      <c r="AE103" s="38" t="n"/>
      <c r="AF103" s="38" t="n"/>
      <c r="AG103" s="38" t="n"/>
    </row>
    <row r="104" ht="68.65000000000001" customHeight="1" s="22">
      <c r="A104" s="36">
        <f>"B"&amp;TEXT(ROW()-1,"0000")</f>
        <v/>
      </c>
      <c r="B104" s="38" t="inlineStr">
        <is>
          <t>Planned</t>
        </is>
      </c>
      <c r="C104" s="36" t="n">
        <v>2</v>
      </c>
      <c r="D104" s="36" t="inlineStr">
        <is>
          <t>Mortgage protection</t>
        </is>
      </c>
      <c r="E104" s="36" t="inlineStr">
        <is>
          <t>Local (city/province)</t>
        </is>
      </c>
      <c r="F104" s="25" t="inlineStr">
        <is>
          <t>Mortgage Protection in Vancouver: Covering Large BC Mortgages Without Overpaying</t>
        </is>
      </c>
      <c r="G104" s="36" t="inlineStr">
        <is>
          <t>https://instasure.ca/guides/vancouver-mortgage-protection-insurance/</t>
        </is>
      </c>
      <c r="H104" s="36" t="inlineStr">
        <is>
          <t>mortgage life insurance vancouver</t>
        </is>
      </c>
      <c r="I104" s="41">
        <f>IFERROR(INDEX('Nationwide KWs'!$D$2:$D$168,MATCH(H104,'Nationwide KWs'!$A$2:$A$168,0)),IFERROR(INDEX('Provincial KWs'!$E$2:$E$137,MATCH(H104,'Provincial KWs'!$A$2:$A$137,0)),IFERROR(INDEX('City KWs'!$F$2:$F$419,MATCH(H104,'City KWs'!$A$2:$A$419,0)),"")))</f>
        <v/>
      </c>
      <c r="J104" s="36" t="inlineStr">
        <is>
          <t>Niche</t>
        </is>
      </c>
      <c r="K104" s="25" t="inlineStr">
        <is>
          <t>mortgage life insurance bc; mortgage protection insurance bc; vancouver mortgage renewal; term life for a large mortgage; mortgage insurance over 1 million</t>
        </is>
      </c>
      <c r="L104" s="36" t="inlineStr">
        <is>
          <t>City: Vancouver, BC</t>
        </is>
      </c>
      <c r="M104" s="36" t="inlineStr">
        <is>
          <t>local</t>
        </is>
      </c>
      <c r="N104" s="36" t="inlineStr">
        <is>
          <t>MOFU</t>
        </is>
      </c>
      <c r="O104" s="25" t="inlineStr">
        <is>
          <t>Mortgage Life Insurance Vancouver: Large BC Mortgages</t>
        </is>
      </c>
      <c r="P104" s="36">
        <f>LEN(O104)</f>
        <v/>
      </c>
      <c r="Q104" s="25" t="inlineStr">
        <is>
          <t>Mortgage life insurance in Vancouver: lender caps on large balances, term life for $1 million-plus mortgages and co-owners. Ask a BC-licensed advisor.</t>
        </is>
      </c>
      <c r="R104" s="36">
        <f>LEN(Q104)</f>
        <v/>
      </c>
      <c r="S104" s="36">
        <f>IF(H104="","",IF(ISNUMBER(SEARCH(SUBSTITUTE(H104,"-"," "),SUBSTITUTE(O104,"-"," "))),"Yes","Check"))</f>
        <v/>
      </c>
      <c r="T104" s="25" t="inlineStr">
        <is>
          <t>Mortgage protection for Vancouver homeowners | Lender coverage caps on large balances | Term life for $1 million-plus mortgages | Multiple owners and family co-signers | Renewal in BC: what to check | Talking to a BC-licensed advisor</t>
        </is>
      </c>
      <c r="U104" s="25" t="inlineStr">
        <is>
          <t>Is there a maximum on bank mortgage life insurance in BC? | How much term life do I need for a $1 million mortgage? | Can parents who co-sign be insured? | Does BC regulate mortgage life insurance differently?</t>
        </is>
      </c>
      <c r="V104" s="25" t="inlineStr">
        <is>
          <t>A worked example for a $1.1M Vancouver mortgage (lender cap vs a term ladder) and a table of typical lender maximums verified from certificates.</t>
        </is>
      </c>
      <c r="W104" s="25" t="inlineStr">
        <is>
          <t>/mortgage-life-insurance/british-columbia/; /life-insurance/british-columbia/vancouver/; /calculators/mortgage-protection/; /guides/life-insurance-laddering-canada/; /insurance/british-columbia/vancouver/</t>
        </is>
      </c>
      <c r="X104" s="25" t="inlineStr">
        <is>
          <t>Request a specialist call: Mortgage renewal protection desk (/mortgage-life-insurance/)</t>
        </is>
      </c>
      <c r="Y104" s="36" t="inlineStr">
        <is>
          <t>Article; FAQPage; BreadcrumbList</t>
        </is>
      </c>
      <c r="Z104" s="37" t="n">
        <v>1400</v>
      </c>
      <c r="AA104" s="25" t="inlineStr">
        <is>
          <t>No competitor coverage seen: no mortgage life city pages were found for BC, and PolicyAdvisor's Vancouver life page still says 2024.</t>
        </is>
      </c>
      <c r="AB104" s="25" t="inlineStr">
        <is>
          <t>Use 'mortgage life insurance Vancouver' in the H1 (as 'mortgage protection in Vancouver' plus the keyword in the first H2), meta title and first 100 words, with a 40–60 word answer on lender caps. Show the $1.1M example as a table plus ladder chart; link /mortgage-life-insurance/british-columbia/ with 'mortgage life insurance in BC' and the laddering guide with 'ladder term policies'. Alt text: 'Covering a large Vancouver mortgage with a term ladder'. Licensed BC reviewer, cite Greater Vancouver Realtors data, refresh semi-annually.</t>
        </is>
      </c>
      <c r="AC104" s="25" t="inlineStr">
        <is>
          <t>Verify lender coverage maximums from current certificates, cite Greater Vancouver Realtors benchmark data with dates and label all estimates.</t>
        </is>
      </c>
      <c r="AD104" s="36" t="inlineStr">
        <is>
          <t>Semi-annual</t>
        </is>
      </c>
      <c r="AE104" s="38" t="n"/>
      <c r="AF104" s="38" t="n"/>
      <c r="AG104" s="38" t="n"/>
    </row>
    <row r="105" ht="57.45" customHeight="1" s="22">
      <c r="A105" s="36">
        <f>"B"&amp;TEXT(ROW()-1,"0000")</f>
        <v/>
      </c>
      <c r="B105" s="38" t="inlineStr">
        <is>
          <t>Planned</t>
        </is>
      </c>
      <c r="C105" s="36" t="n">
        <v>2</v>
      </c>
      <c r="D105" s="36" t="inlineStr">
        <is>
          <t>Mortgage protection</t>
        </is>
      </c>
      <c r="E105" s="36" t="inlineStr">
        <is>
          <t>Medical underwriting</t>
        </is>
      </c>
      <c r="F105" s="25" t="inlineStr">
        <is>
          <t>Mortgage Life Insurance With a Health Condition: Is Lender Coverage Easier to Get?</t>
        </is>
      </c>
      <c r="G105" s="36" t="inlineStr">
        <is>
          <t>https://instasure.ca/guides/mortgage-life-insurance-health-conditions/</t>
        </is>
      </c>
      <c r="H105" s="36" t="inlineStr">
        <is>
          <t>mortgage life insurance pre existing conditions</t>
        </is>
      </c>
      <c r="I105" s="41">
        <f>IFERROR(INDEX('Nationwide KWs'!$D$2:$D$168,MATCH(H105,'Nationwide KWs'!$A$2:$A$168,0)),IFERROR(INDEX('Provincial KWs'!$E$2:$E$137,MATCH(H105,'Provincial KWs'!$A$2:$A$137,0)),IFERROR(INDEX('City KWs'!$F$2:$F$419,MATCH(H105,'City KWs'!$A$2:$A$419,0)),"")))</f>
        <v/>
      </c>
      <c r="J105" s="36" t="inlineStr">
        <is>
          <t>Niche</t>
        </is>
      </c>
      <c r="K105" s="25" t="inlineStr">
        <is>
          <t>mortgage insurance with health problems; post-claim underwriting mortgage insurance; mortgage protection no medical; mortgage insurance declined; guaranteed issue mortgage protection</t>
        </is>
      </c>
      <c r="L105" s="36" t="inlineStr">
        <is>
          <t>Nationwide</t>
        </is>
      </c>
      <c r="M105" s="36" t="inlineStr">
        <is>
          <t>commercial</t>
        </is>
      </c>
      <c r="N105" s="36" t="inlineStr">
        <is>
          <t>MOFU</t>
        </is>
      </c>
      <c r="O105" s="25" t="inlineStr">
        <is>
          <t>Mortgage Life Insurance With Pre-Existing Conditions</t>
        </is>
      </c>
      <c r="P105" s="36">
        <f>LEN(O105)</f>
        <v/>
      </c>
      <c r="Q105" s="25" t="inlineStr">
        <is>
          <t>Mortgage life insurance with pre-existing conditions: why easy approval at the bank can mean a denied claim, and safer options. Talk to our desk.</t>
        </is>
      </c>
      <c r="R105" s="36">
        <f>LEN(Q105)</f>
        <v/>
      </c>
      <c r="S105" s="36">
        <f>IF(H105="","",IF(ISNUMBER(SEARCH(SUBSTITUTE(H105,"-"," "),SUBSTITUTE(O105,"-"," "))),"Yes","Check"))</f>
        <v/>
      </c>
      <c r="T105" s="25" t="inlineStr">
        <is>
          <t>Can you get mortgage life insurance with a health condition? | Why lender approval can feel easy | Post-claim underwriting and denied claims | Fully underwritten term with a rating | Simplified and guaranteed issue alternatives | How the medical underwriting desk can help</t>
        </is>
      </c>
      <c r="U105" s="25" t="inlineStr">
        <is>
          <t>Can I get mortgage insurance if I have diabetes or heart disease? | What happens if I didn't disclose a condition to my lender? | Is no-medical mortgage protection available? | Will a rated term policy cost more than lender coverage?</t>
        </is>
      </c>
      <c r="V105" s="25" t="inlineStr">
        <is>
          <t>A side-by-side of three routes for a 50-year-old with type 2 diabetes and a $400,000 balance (lender cover, rated term, simplified issue), with claim-risk notes and model estimates.</t>
        </is>
      </c>
      <c r="W105" s="25" t="inlineStr">
        <is>
          <t>/mortgage-life-insurance/; /life-insurance/medical-conditions/; /guides/simplified-vs-guaranteed-issue-life-insurance/; /guides/life-insurance-with-diabetes-canada/</t>
        </is>
      </c>
      <c r="X105" s="25" t="inlineStr">
        <is>
          <t>Request a specialist call: Medical underwriting desk (/life-insurance/medical-conditions/)</t>
        </is>
      </c>
      <c r="Y105" s="36" t="inlineStr">
        <is>
          <t>Article; FAQPage; BreadcrumbList</t>
        </is>
      </c>
      <c r="Z105" s="37" t="n">
        <v>1500</v>
      </c>
      <c r="AA105" s="25" t="inlineStr">
        <is>
          <t>No competitor coverage seen; competitors mention post-claim underwriting in general but none addresses borrowers with health conditions.</t>
        </is>
      </c>
      <c r="AB105" s="25" t="inlineStr">
        <is>
          <t>Use the focus keyword in the meta title, first 100 words and first H2 (as 'pre-existing conditions'), with a 40–60 word answer on the post-claim risk. Present the three-route comparison as a table with a risk column; link the medical underwriting desk with 'confidential underwriting review' and the diabetes guide with 'life insurance with diabetes'. Alt text: 'Three ways to protect a mortgage with a health condition'. Desk-reviewed, cite lender certificates and FCAC, refresh annually.</t>
        </is>
      </c>
      <c r="AC105" s="25" t="inlineStr">
        <is>
          <t>Describe post-claim underwriting accurately (not every lender plan uses it) and verify with lender certificates; outcomes are illustrative and need desk review.</t>
        </is>
      </c>
      <c r="AD105" s="36" t="inlineStr">
        <is>
          <t>Annual</t>
        </is>
      </c>
      <c r="AE105" s="38" t="n"/>
      <c r="AF105" s="38" t="n"/>
      <c r="AG105" s="38" t="n"/>
    </row>
    <row r="106" ht="57.45" customHeight="1" s="22">
      <c r="A106" s="36">
        <f>"B"&amp;TEXT(ROW()-1,"0000")</f>
        <v/>
      </c>
      <c r="B106" s="38" t="inlineStr">
        <is>
          <t>Planned</t>
        </is>
      </c>
      <c r="C106" s="36" t="n">
        <v>2</v>
      </c>
      <c r="D106" s="36" t="inlineStr">
        <is>
          <t>Mortgage protection</t>
        </is>
      </c>
      <c r="E106" s="36" t="inlineStr">
        <is>
          <t>Personas</t>
        </is>
      </c>
      <c r="F106" s="25" t="inlineStr">
        <is>
          <t>Mortgage Protection for First-Time Home Buyers: What to Decide Before Closing Day</t>
        </is>
      </c>
      <c r="G106" s="36" t="inlineStr">
        <is>
          <t>https://instasure.ca/guides/mortgage-protection-first-time-home-buyers/</t>
        </is>
      </c>
      <c r="H106" s="36" t="inlineStr">
        <is>
          <t>mortgage protection for first time home buyers</t>
        </is>
      </c>
      <c r="I106" s="41">
        <f>IFERROR(INDEX('Nationwide KWs'!$D$2:$D$168,MATCH(H106,'Nationwide KWs'!$A$2:$A$168,0)),IFERROR(INDEX('Provincial KWs'!$E$2:$E$137,MATCH(H106,'Provincial KWs'!$A$2:$A$137,0)),IFERROR(INDEX('City KWs'!$F$2:$F$419,MATCH(H106,'City KWs'!$A$2:$A$419,0)),"")))</f>
        <v/>
      </c>
      <c r="J106" s="36" t="inlineStr">
        <is>
          <t>Low</t>
        </is>
      </c>
      <c r="K106" s="25" t="inlineStr">
        <is>
          <t>first time home buyer life insurance; should i get mortgage insurance from my bank; life insurance when buying a house; closing day insurance checklist canada; fhsa and life insurance</t>
        </is>
      </c>
      <c r="L106" s="36" t="inlineStr">
        <is>
          <t>Nationwide</t>
        </is>
      </c>
      <c r="M106" s="36" t="inlineStr">
        <is>
          <t>commercial</t>
        </is>
      </c>
      <c r="N106" s="36" t="inlineStr">
        <is>
          <t>MOFU</t>
        </is>
      </c>
      <c r="O106" s="25" t="inlineStr">
        <is>
          <t>Mortgage Protection for First-Time Home Buyers</t>
        </is>
      </c>
      <c r="P106" s="36">
        <f>LEN(O106)</f>
        <v/>
      </c>
      <c r="Q106" s="25" t="inlineStr">
        <is>
          <t>Mortgage protection for first time home buyers: what your lender will offer, why you can say no and how term life compares. Get the closing-day checklist.</t>
        </is>
      </c>
      <c r="R106" s="36">
        <f>LEN(Q106)</f>
        <v/>
      </c>
      <c r="S106" s="36">
        <f>IF(H106="","",IF(ISNUMBER(SEARCH(SUBSTITUTE(H106,"-"," "),SUBSTITUTE(O106,"-"," "))),"Yes","Check"))</f>
        <v/>
      </c>
      <c r="T106" s="25" t="inlineStr">
        <is>
          <t>Do first-time buyers need mortgage protection? | What your lender will offer at signing | Why you can decline and decide later | Term life vs lender cover for new buyers | Home, title and life insurance: the closing checklist | Budgeting protection into your first-year costs</t>
        </is>
      </c>
      <c r="U106" s="25" t="inlineStr">
        <is>
          <t>Do I have to buy mortgage insurance from my bank as a first-time buyer? | When should I buy life insurance when buying a house? | Is CMHC insurance the same as mortgage protection? | How much life insurance do first-time buyers need?</t>
        </is>
      </c>
      <c r="V106" s="25" t="inlineStr">
        <is>
          <t>A closing-day protection checklist (proof of home insurance, title insurance, mortgage protection decision, beneficiary update) and a first-year cost worksheet.</t>
        </is>
      </c>
      <c r="W106" s="25" t="inlineStr">
        <is>
          <t>/mortgage-life-insurance/; /home-insurance/; /calculators/mortgage-protection/; /guides/mortgage-default-insurance-vs-mortgage-life-insurance/</t>
        </is>
      </c>
      <c r="X106" s="25" t="inlineStr">
        <is>
          <t>Mortgage protection calculator (/calculators/mortgage-protection/)</t>
        </is>
      </c>
      <c r="Y106" s="36" t="inlineStr">
        <is>
          <t>Article; FAQPage; BreadcrumbList</t>
        </is>
      </c>
      <c r="Z106" s="37" t="n">
        <v>1400</v>
      </c>
      <c r="AA106" s="25" t="inlineStr">
        <is>
          <t>No competitor coverage seen; the first-time-buyer content in the research (Ratehub's mortgage side) does not cover protection decisions at closing.</t>
        </is>
      </c>
      <c r="AB106" s="25" t="inlineStr">
        <is>
          <t>Use the focus keyword in the H1, slug, meta title, first 100 words and first H2, with a 40–60 word answer that you can decline lender cover and compare. Offer the closing checklist as a printable list and the worksheet as a table; link /home-insurance/ with 'home insurance quotes' and the default-insurance guide with 'CMHC insurance vs mortgage life insurance'. Alt text: 'Closing-day insurance checklist for first-time buyers'. Licensed reviewer, cite CMHC, CRA (FHSA) and FCAC, refresh annually.</t>
        </is>
      </c>
      <c r="AC106" s="25" t="inlineStr">
        <is>
          <t>Verify FHSA and default-insurance facts with CRA and CMHC, and confirm the FCAC and Bank Act rules on optional products before saying lenders cannot make cover a condition.</t>
        </is>
      </c>
      <c r="AD106" s="36" t="inlineStr">
        <is>
          <t>Annual</t>
        </is>
      </c>
      <c r="AE106" s="38" t="n"/>
      <c r="AF106" s="38" t="n"/>
      <c r="AG106" s="38" t="n"/>
    </row>
    <row r="107" ht="46.25" customHeight="1" s="22">
      <c r="A107" s="36">
        <f>"B"&amp;TEXT(ROW()-1,"0000")</f>
        <v/>
      </c>
      <c r="B107" s="38" t="inlineStr">
        <is>
          <t>Planned</t>
        </is>
      </c>
      <c r="C107" s="36" t="n">
        <v>3</v>
      </c>
      <c r="D107" s="36" t="inlineStr">
        <is>
          <t>Mortgage protection</t>
        </is>
      </c>
      <c r="E107" s="36" t="inlineStr">
        <is>
          <t>Comparisons</t>
        </is>
      </c>
      <c r="F107" s="25" t="inlineStr">
        <is>
          <t>Decreasing Term vs Level Term Life Insurance for Your Mortgage</t>
        </is>
      </c>
      <c r="G107" s="36" t="inlineStr">
        <is>
          <t>https://instasure.ca/guides/decreasing-term-vs-level-term-life-insurance/</t>
        </is>
      </c>
      <c r="H107" s="36" t="inlineStr">
        <is>
          <t>decreasing term life insurance</t>
        </is>
      </c>
      <c r="I107" s="41">
        <f>IFERROR(INDEX('Nationwide KWs'!$D$2:$D$168,MATCH(H107,'Nationwide KWs'!$A$2:$A$168,0)),IFERROR(INDEX('Provincial KWs'!$E$2:$E$137,MATCH(H107,'Provincial KWs'!$A$2:$A$137,0)),IFERROR(INDEX('City KWs'!$F$2:$F$419,MATCH(H107,'City KWs'!$A$2:$A$419,0)),"")))</f>
        <v/>
      </c>
      <c r="J107" s="36" t="inlineStr">
        <is>
          <t>Niche</t>
        </is>
      </c>
      <c r="K107" s="25" t="inlineStr">
        <is>
          <t>decreasing term life insurance canada; level term for mortgage; mortgage term life insurance; does term life decrease with mortgage; reducing term insurance</t>
        </is>
      </c>
      <c r="L107" s="36" t="inlineStr">
        <is>
          <t>Nationwide</t>
        </is>
      </c>
      <c r="M107" s="36" t="inlineStr">
        <is>
          <t>informational</t>
        </is>
      </c>
      <c r="N107" s="36" t="inlineStr">
        <is>
          <t>MOFU</t>
        </is>
      </c>
      <c r="O107" s="25" t="inlineStr">
        <is>
          <t>Decreasing Term Life Insurance vs Level Term (Canada)</t>
        </is>
      </c>
      <c r="P107" s="36">
        <f>LEN(O107)</f>
        <v/>
      </c>
      <c r="Q107" s="25" t="inlineStr">
        <is>
          <t>Decreasing term life insurance vs level term for your mortgage: how each benefit changes, cost gaps and availability in Canada. Run the calculator.</t>
        </is>
      </c>
      <c r="R107" s="36">
        <f>LEN(Q107)</f>
        <v/>
      </c>
      <c r="S107" s="36">
        <f>IF(H107="","",IF(ISNUMBER(SEARCH(SUBSTITUTE(H107,"-"," "),SUBSTITUTE(O107,"-"," "))),"Yes","Check"))</f>
        <v/>
      </c>
      <c r="T107" s="25" t="inlineStr">
        <is>
          <t>Decreasing vs level term: the short answer | How decreasing term life insurance works | Level term and why most Canadians choose it | Cost comparison over a 25-year mortgage | Where lender insurance fits | Which to choose</t>
        </is>
      </c>
      <c r="U107" s="25" t="inlineStr">
        <is>
          <t>Is decreasing term life insurance available in Canada? | Is decreasing term cheaper than level term? | Does lender mortgage insurance work like decreasing term? | Can I reduce a level term policy later?</t>
        </is>
      </c>
      <c r="V107" s="25" t="inlineStr">
        <is>
          <t>A benefit-over-time chart (decreasing term, level term, lender balance-based cover) for one $500,000 mortgage, with model cost estimates.</t>
        </is>
      </c>
      <c r="W107" s="25" t="inlineStr">
        <is>
          <t>/term-life-insurance/; /mortgage-life-insurance/; /calculators/mortgage-protection/; /guides/mortgage-life-insurance-vs-term-life-insurance/</t>
        </is>
      </c>
      <c r="X107" s="25" t="inlineStr">
        <is>
          <t>Mortgage protection calculator (/calculators/mortgage-protection/)</t>
        </is>
      </c>
      <c r="Y107" s="36" t="inlineStr">
        <is>
          <t>Article; FAQPage; BreadcrumbList</t>
        </is>
      </c>
      <c r="Z107" s="37" t="n">
        <v>1200</v>
      </c>
      <c r="AA107" s="25" t="inlineStr">
        <is>
          <t>No competitor coverage seen.</t>
        </is>
      </c>
      <c r="AB107" s="25" t="inlineStr">
        <is>
          <t>Use 'decreasing term life insurance' in the H1, slug stem, meta title, first 100 words and first H2, with a 40–60 word definition and verdict. Make the benefit-over-time chart the hero visual with a data table; link /term-life-insurance/ with 'level term life insurance' and the calculator with 'compare your mortgage options'. Alt text: 'Benefit over time for decreasing term, level term and lender cover'. Licensed reviewer, refresh annually.</t>
        </is>
      </c>
      <c r="AC107" s="25" t="inlineStr">
        <is>
          <t>Verify which Canadian insurers currently offer decreasing term products and label costs as model estimates.</t>
        </is>
      </c>
      <c r="AD107" s="36" t="inlineStr">
        <is>
          <t>Annual</t>
        </is>
      </c>
      <c r="AE107" s="38" t="n"/>
      <c r="AF107" s="38" t="n"/>
      <c r="AG107" s="38" t="n"/>
    </row>
    <row r="108" ht="46.25" customHeight="1" s="22">
      <c r="A108" s="36">
        <f>"B"&amp;TEXT(ROW()-1,"0000")</f>
        <v/>
      </c>
      <c r="B108" s="38" t="inlineStr">
        <is>
          <t>Planned</t>
        </is>
      </c>
      <c r="C108" s="36" t="n">
        <v>3</v>
      </c>
      <c r="D108" s="36" t="inlineStr">
        <is>
          <t>Mortgage protection</t>
        </is>
      </c>
      <c r="E108" s="36" t="inlineStr">
        <is>
          <t>Comparisons</t>
        </is>
      </c>
      <c r="F108" s="25" t="inlineStr">
        <is>
          <t>Mortgage Protection Insurance Providers in Canada Compared: Lenders and Insurers</t>
        </is>
      </c>
      <c r="G108" s="36" t="inlineStr">
        <is>
          <t>https://instasure.ca/guides/mortgage-protection-insurance-providers-canada/</t>
        </is>
      </c>
      <c r="H108" s="36" t="inlineStr">
        <is>
          <t>mortgage protection insurance companies canada</t>
        </is>
      </c>
      <c r="I108" s="41">
        <f>IFERROR(INDEX('Nationwide KWs'!$D$2:$D$168,MATCH(H108,'Nationwide KWs'!$A$2:$A$168,0)),IFERROR(INDEX('Provincial KWs'!$E$2:$E$137,MATCH(H108,'Provincial KWs'!$A$2:$A$137,0)),IFERROR(INDEX('City KWs'!$F$2:$F$419,MATCH(H108,'City KWs'!$A$2:$A$419,0)),"")))</f>
        <v/>
      </c>
      <c r="J108" s="36" t="inlineStr">
        <is>
          <t>Low</t>
        </is>
      </c>
      <c r="K108" s="25" t="inlineStr">
        <is>
          <t>best mortgage protection insurance canada; manulife mortgage protection plan review; bank mortgage insurance comparison; mortgage life insurance providers canada; mortgage protection insurance reviews</t>
        </is>
      </c>
      <c r="L108" s="36" t="inlineStr">
        <is>
          <t>Nationwide</t>
        </is>
      </c>
      <c r="M108" s="36" t="inlineStr">
        <is>
          <t>commercial</t>
        </is>
      </c>
      <c r="N108" s="36" t="inlineStr">
        <is>
          <t>BOFU</t>
        </is>
      </c>
      <c r="O108" s="25" t="inlineStr">
        <is>
          <t>Mortgage Protection Insurance Companies in Canada</t>
        </is>
      </c>
      <c r="P108" s="36">
        <f>LEN(O108)</f>
        <v/>
      </c>
      <c r="Q108" s="25" t="inlineStr">
        <is>
          <t>Mortgage protection insurance companies in Canada compared: bank plans, insurer plans and personal term, scored on cost and portability. See the scores.</t>
        </is>
      </c>
      <c r="R108" s="36">
        <f>LEN(Q108)</f>
        <v/>
      </c>
      <c r="S108" s="36">
        <f>IF(H108="","",IF(ISNUMBER(SEARCH(SUBSTITUTE(H108,"-"," "),SUBSTITUTE(O108,"-"," "))),"Yes","Check"))</f>
        <v/>
      </c>
      <c r="T108" s="25" t="inlineStr">
        <is>
          <t>How we compare mortgage protection providers | Big-bank creditor insurance plans | Insurer-backed mortgage protection plans | Personal term life from major insurers | Comparison table: cost, portability, underwriting | Which type suits which borrower</t>
        </is>
      </c>
      <c r="U108" s="25" t="inlineStr">
        <is>
          <t>Which banks offer mortgage life insurance in Canada? | Is the Manulife Mortgage Protection Plan the same as bank insurance? | Can I buy mortgage protection from a company other than my lender? | How do I compare mortgage protection quotes?</t>
        </is>
      </c>
      <c r="V108" s="25" t="inlineStr">
        <is>
          <t>A scored comparison table of bank creditor plans, insurer mortgage protection plans and personal term across cost (worked example), portability, underwriting timing and benefit pattern, using a published method.</t>
        </is>
      </c>
      <c r="W108" s="25" t="inlineStr">
        <is>
          <t>/mortgage-life-insurance/; /calculators/mortgage-protection/; /editorial-guidelines/; /guides/mortgage-life-insurance-vs-term-life-insurance/</t>
        </is>
      </c>
      <c r="X108" s="25" t="inlineStr">
        <is>
          <t>Request a specialist call: Mortgage renewal protection desk (/mortgage-life-insurance/)</t>
        </is>
      </c>
      <c r="Y108" s="36" t="inlineStr">
        <is>
          <t>Article; FAQPage; BreadcrumbList</t>
        </is>
      </c>
      <c r="Z108" s="37" t="n">
        <v>2200</v>
      </c>
      <c r="AA108" s="25" t="inlineStr">
        <is>
          <t>PolicyAdvisor runs 'Top Mortgage Protection Insurance Companies in Canada (2026)' and 'Manulife Mortgage Protection Plan Insurance Review (2026)', and PolicyMe has a 'best' guide; none publishes a scoring method.</t>
        </is>
      </c>
      <c r="AB108" s="25" t="inlineStr">
        <is>
          <t>Use the focus keyword in the H1 (as 'providers'), meta title, first 100 words and first H2, and open with the method in 40–60 words. Put the scored table high on the page; link /editorial-guidelines/ with 'our review method' and the calculator with 'run your own comparison'. Alt text: 'Scored comparison of mortgage protection options in Canada'. Licensed reviewer, cite each provider's certificate, refresh semi-annually.</t>
        </is>
      </c>
      <c r="AC108" s="25" t="inlineStr">
        <is>
          <t>Needs a published review method before publication; verify each plan's terms on the provider's site on the review date and do not use 'best' unless the method supports it.</t>
        </is>
      </c>
      <c r="AD108" s="36" t="inlineStr">
        <is>
          <t>Semi-annual</t>
        </is>
      </c>
      <c r="AE108" s="38" t="n"/>
      <c r="AF108" s="38" t="n"/>
      <c r="AG108" s="38" t="n"/>
    </row>
    <row r="109" ht="57.45" customHeight="1" s="22">
      <c r="A109" s="36">
        <f>"B"&amp;TEXT(ROW()-1,"0000")</f>
        <v/>
      </c>
      <c r="B109" s="38" t="inlineStr">
        <is>
          <t>Planned</t>
        </is>
      </c>
      <c r="C109" s="36" t="n">
        <v>3</v>
      </c>
      <c r="D109" s="36" t="inlineStr">
        <is>
          <t>Mortgage protection</t>
        </is>
      </c>
      <c r="E109" s="36" t="inlineStr">
        <is>
          <t>Coverage explained</t>
        </is>
      </c>
      <c r="F109" s="25" t="inlineStr">
        <is>
          <t>Mortgage Critical Illness Insurance: Lender Add-On vs Your Own Coverage</t>
        </is>
      </c>
      <c r="G109" s="36" t="inlineStr">
        <is>
          <t>https://instasure.ca/guides/mortgage-disability-critical-illness-insurance/</t>
        </is>
      </c>
      <c r="H109" s="36" t="inlineStr">
        <is>
          <t>mortgage critical illness insurance</t>
        </is>
      </c>
      <c r="I109" s="41">
        <f>IFERROR(INDEX('Nationwide KWs'!$D$2:$D$168,MATCH(H109,'Nationwide KWs'!$A$2:$A$168,0)),IFERROR(INDEX('Provincial KWs'!$E$2:$E$137,MATCH(H109,'Provincial KWs'!$A$2:$A$137,0)),IFERROR(INDEX('City KWs'!$F$2:$F$419,MATCH(H109,'City KWs'!$A$2:$A$419,0)),"")))</f>
        <v/>
      </c>
      <c r="J109" s="36" t="inlineStr">
        <is>
          <t>Niche</t>
        </is>
      </c>
      <c r="K109" s="25" t="inlineStr">
        <is>
          <t>mortgage disability and critical illness insurance; lender critical illness insurance; critical illness insurance for mortgage; mortgage protection critical illness</t>
        </is>
      </c>
      <c r="L109" s="36" t="inlineStr">
        <is>
          <t>Nationwide</t>
        </is>
      </c>
      <c r="M109" s="36" t="inlineStr">
        <is>
          <t>commercial</t>
        </is>
      </c>
      <c r="N109" s="36" t="inlineStr">
        <is>
          <t>MOFU</t>
        </is>
      </c>
      <c r="O109" s="25" t="inlineStr">
        <is>
          <t>Mortgage Critical Illness Insurance vs Your Own Coverage</t>
        </is>
      </c>
      <c r="P109" s="36">
        <f>LEN(O109)</f>
        <v/>
      </c>
      <c r="Q109" s="25" t="inlineStr">
        <is>
          <t>Mortgage critical illness insurance from your lender vs a personal policy: what each pays, who it pays, and when to switch at renewal. Compare options.</t>
        </is>
      </c>
      <c r="R109" s="36">
        <f>LEN(Q109)</f>
        <v/>
      </c>
      <c r="S109" s="36">
        <f>IF(H109="","",IF(ISNUMBER(SEARCH(SUBSTITUTE(H109,"-"," "),SUBSTITUTE(O109,"-"," "))),"Yes","Check"))</f>
        <v/>
      </c>
      <c r="T109" s="25" t="inlineStr">
        <is>
          <t>What is mortgage disability insurance? | How lender disability cover pays | Benefit limits, waiting periods and exclusions | Mortgage critical illness insurance | Personal disability and CI policies compared | Which combination fits your household</t>
        </is>
      </c>
      <c r="U109" s="25" t="inlineStr">
        <is>
          <t>Does mortgage disability insurance pay the whole mortgage? | How long does lender disability insurance pay? | Is mortgage critical illness insurance worth it? | Does mortgage insurance cover job loss?</t>
        </is>
      </c>
      <c r="V109" s="25" t="inlineStr">
        <is>
          <t>A comparison table of lender disability and CI add-ons vs personal DI and CI (who receives benefits, monthly caps, benefit period, definitions, portability), with lender terms sourced.</t>
        </is>
      </c>
      <c r="W109" s="25" t="inlineStr">
        <is>
          <t>/mortgage-life-insurance/; /disability-insurance/; /critical-illness-insurance/; /guides/critical-illness-vs-disability-insurance/</t>
        </is>
      </c>
      <c r="X109" s="25" t="inlineStr">
        <is>
          <t>Request a specialist call: Mortgage renewal protection desk (/mortgage-life-insurance/)</t>
        </is>
      </c>
      <c r="Y109" s="36" t="inlineStr">
        <is>
          <t>Article; FAQPage; BreadcrumbList</t>
        </is>
      </c>
      <c r="Z109" s="37" t="n">
        <v>1500</v>
      </c>
      <c r="AA109" s="25" t="inlineStr">
        <is>
          <t>No competitor coverage seen; PolicyAdvisor's DI and CI silos do not address lender add-ons and its mortgage silo covers life only.</t>
        </is>
      </c>
      <c r="AB109" s="25" t="inlineStr">
        <is>
          <t>Use 'mortgage disability insurance' in the H1, slug, meta title, first 100 words and first H2, with a 40–60 word answer on what it pays and for how long. Make the lender vs personal table the core asset; link /disability-insurance/ with 'personal disability insurance' and the CI vs DI guide with 'critical illness vs disability insurance'. Alt text: 'Lender mortgage disability cover compared with personal disability insurance'. Licensed reviewer, cite lender certificates, refresh annually.</t>
        </is>
      </c>
      <c r="AC109" s="25" t="inlineStr">
        <is>
          <t>Verify lender benefit caps and periods from current certificates, do not imply job-loss cover is standard, and label any costs as estimates.</t>
        </is>
      </c>
      <c r="AD109" s="36" t="inlineStr">
        <is>
          <t>Annual</t>
        </is>
      </c>
      <c r="AE109" s="38" t="n"/>
      <c r="AF109" s="38" t="n"/>
      <c r="AG109" s="38" t="n"/>
    </row>
    <row r="110" ht="57.45" customHeight="1" s="22">
      <c r="A110" s="36">
        <f>"B"&amp;TEXT(ROW()-1,"0000")</f>
        <v/>
      </c>
      <c r="B110" s="38" t="inlineStr">
        <is>
          <t>Planned</t>
        </is>
      </c>
      <c r="C110" s="36" t="n">
        <v>3</v>
      </c>
      <c r="D110" s="36" t="inlineStr">
        <is>
          <t>Mortgage protection</t>
        </is>
      </c>
      <c r="E110" s="36" t="inlineStr">
        <is>
          <t>Local (city/province)</t>
        </is>
      </c>
      <c r="F110" s="25" t="inlineStr">
        <is>
          <t>Mortgage Life Insurance in Mississauga and Peel: A Guide for Condo and Townhouse Owners</t>
        </is>
      </c>
      <c r="G110" s="36" t="inlineStr">
        <is>
          <t>https://instasure.ca/guides/mississauga-mortgage-life-insurance/</t>
        </is>
      </c>
      <c r="H110" s="36" t="inlineStr">
        <is>
          <t>mortgage life insurance mississauga</t>
        </is>
      </c>
      <c r="I110" s="41">
        <f>IFERROR(INDEX('Nationwide KWs'!$D$2:$D$168,MATCH(H110,'Nationwide KWs'!$A$2:$A$168,0)),IFERROR(INDEX('Provincial KWs'!$E$2:$E$137,MATCH(H110,'Provincial KWs'!$A$2:$A$137,0)),IFERROR(INDEX('City KWs'!$F$2:$F$419,MATCH(H110,'City KWs'!$A$2:$A$419,0)),"")))</f>
        <v/>
      </c>
      <c r="J110" s="36" t="inlineStr">
        <is>
          <t>Niche</t>
        </is>
      </c>
      <c r="K110" s="25" t="inlineStr">
        <is>
          <t>mortgage protection mississauga; mortgage life insurance brampton; peel region mortgage renewal; condo mortgage insurance ontario; life insurance mississauga</t>
        </is>
      </c>
      <c r="L110" s="36" t="inlineStr">
        <is>
          <t>City: Mississauga, ON</t>
        </is>
      </c>
      <c r="M110" s="36" t="inlineStr">
        <is>
          <t>local</t>
        </is>
      </c>
      <c r="N110" s="36" t="inlineStr">
        <is>
          <t>MOFU</t>
        </is>
      </c>
      <c r="O110" s="25" t="inlineStr">
        <is>
          <t>Mortgage Life Insurance Mississauga: Peel Owners' Guide</t>
        </is>
      </c>
      <c r="P110" s="36">
        <f>LEN(O110)</f>
        <v/>
      </c>
      <c r="Q110" s="25" t="inlineStr">
        <is>
          <t>Mortgage life insurance in Mississauga and Peel: condo and townhouse examples, co-owners, renewal choices and Ontario advisors. Book a specialist call.</t>
        </is>
      </c>
      <c r="R110" s="36">
        <f>LEN(Q110)</f>
        <v/>
      </c>
      <c r="S110" s="36">
        <f>IF(H110="","",IF(ISNUMBER(SEARCH(SUBSTITUTE(H110,"-"," "),SUBSTITUTE(O110,"-"," "))),"Yes","Check"))</f>
        <v/>
      </c>
      <c r="T110" s="25" t="inlineStr">
        <is>
          <t>Mortgage protection for Mississauga and Peel homeowners | Condo and townhouse worked examples | Multigenerational and co-owned homes | Renewal choices for Peel borrowers | Getting advice in your language | Talking to an Ontario-licensed advisor</t>
        </is>
      </c>
      <c r="U110" s="25" t="inlineStr">
        <is>
          <t>Is bank mortgage insurance worth it for a Mississauga condo? | How do we insure a home co-owned with parents? | What happens to my mortgage insurance if I switch lenders at renewal? | Can I get advice in Urdu, Arabic or Tagalog?</t>
        </is>
      </c>
      <c r="V110" s="25" t="inlineStr">
        <is>
          <t>Mississauga condo and townhouse worked examples (benchmark-based balances, dated) plus a co-ownership coverage table for multigenerational households.</t>
        </is>
      </c>
      <c r="W110" s="25" t="inlineStr">
        <is>
          <t>/mortgage-life-insurance/ontario/; /life-insurance/ontario/mississauga/; /calculators/mortgage-protection/; /guides/joint-mortgage-life-insurance/; /insurance/ontario/mississauga/</t>
        </is>
      </c>
      <c r="X110" s="25" t="inlineStr">
        <is>
          <t>Request a specialist call: Mortgage renewal protection desk (/mortgage-life-insurance/)</t>
        </is>
      </c>
      <c r="Y110" s="36" t="inlineStr">
        <is>
          <t>Article; FAQPage; BreadcrumbList</t>
        </is>
      </c>
      <c r="Z110" s="37" t="n">
        <v>1400</v>
      </c>
      <c r="AA110" s="25" t="inlineStr">
        <is>
          <t>No competitor coverage seen: PolicyAdvisor's 'Best Life Insurance in Mississauga (2025)' is a generic life page and no mortgage protection city pages were found.</t>
        </is>
      </c>
      <c r="AB110" s="25" t="inlineStr">
        <is>
          <t>Use 'mortgage life insurance Mississauga' in the H1, slug, meta title, first 100 words and first H2, with a 40–60 word answer using the condo example. Put the two worked examples and the co-ownership table mid-page; link /mortgage-life-insurance/ontario/ with 'mortgage life insurance in Ontario' and the joint guide with 'joint mortgage life insurance'. Alt text: 'Mortgage protection examples for a Mississauga condo and townhouse'. Licensed Ontario reviewer, cite TRREB data for Peel, refresh semi-annually.</t>
        </is>
      </c>
      <c r="AC110" s="25" t="inlineStr">
        <is>
          <t>Cite benchmark prices with dates, label estimates, and make language-support claims only where advisors on the roster speak those languages.</t>
        </is>
      </c>
      <c r="AD110" s="36" t="inlineStr">
        <is>
          <t>Semi-annual</t>
        </is>
      </c>
      <c r="AE110" s="38" t="n"/>
      <c r="AF110" s="38" t="n"/>
      <c r="AG110" s="38" t="n"/>
    </row>
    <row r="111" ht="57.45" customHeight="1" s="22">
      <c r="A111" s="36">
        <f>"B"&amp;TEXT(ROW()-1,"0000")</f>
        <v/>
      </c>
      <c r="B111" s="38" t="inlineStr">
        <is>
          <t>Planned</t>
        </is>
      </c>
      <c r="C111" s="36" t="n">
        <v>3</v>
      </c>
      <c r="D111" s="36" t="inlineStr">
        <is>
          <t>Mortgage protection</t>
        </is>
      </c>
      <c r="E111" s="36" t="inlineStr">
        <is>
          <t>Local (city/province)</t>
        </is>
      </c>
      <c r="F111" s="25" t="inlineStr">
        <is>
          <t>Mortgage Protection for Hamilton Home Buyers: Options for GTA Move-Out Families</t>
        </is>
      </c>
      <c r="G111" s="36" t="inlineStr">
        <is>
          <t>https://instasure.ca/guides/hamilton-mortgage-protection-insurance/</t>
        </is>
      </c>
      <c r="H111" s="36" t="inlineStr">
        <is>
          <t>mortgage life insurance hamilton</t>
        </is>
      </c>
      <c r="I111" s="41">
        <f>IFERROR(INDEX('Nationwide KWs'!$D$2:$D$168,MATCH(H111,'Nationwide KWs'!$A$2:$A$168,0)),IFERROR(INDEX('Provincial KWs'!$E$2:$E$137,MATCH(H111,'Provincial KWs'!$A$2:$A$137,0)),IFERROR(INDEX('City KWs'!$F$2:$F$419,MATCH(H111,'City KWs'!$A$2:$A$419,0)),"")))</f>
        <v/>
      </c>
      <c r="J111" s="36" t="inlineStr">
        <is>
          <t>Niche</t>
        </is>
      </c>
      <c r="K111" s="25" t="inlineStr">
        <is>
          <t>mortgage protection hamilton; life insurance hamilton; hamilton first time home buyer; mortgage insurance niagara; term life for hamilton homeowners</t>
        </is>
      </c>
      <c r="L111" s="36" t="inlineStr">
        <is>
          <t>City: Hamilton, ON</t>
        </is>
      </c>
      <c r="M111" s="36" t="inlineStr">
        <is>
          <t>local</t>
        </is>
      </c>
      <c r="N111" s="36" t="inlineStr">
        <is>
          <t>MOFU</t>
        </is>
      </c>
      <c r="O111" s="25" t="inlineStr">
        <is>
          <t>Mortgage Life Insurance Hamilton: Buyer's Protection Guide</t>
        </is>
      </c>
      <c r="P111" s="36">
        <f>LEN(O111)</f>
        <v/>
      </c>
      <c r="Q111" s="25" t="inlineStr">
        <is>
          <t>Mortgage life insurance in Hamilton for buyers moving from Toronto: a first-time buyer example, commuting-income risk and local advice. Run the calculator.</t>
        </is>
      </c>
      <c r="R111" s="36">
        <f>LEN(Q111)</f>
        <v/>
      </c>
      <c r="S111" s="36">
        <f>IF(H111="","",IF(ISNUMBER(SEARCH(SUBSTITUTE(H111,"-"," "),SUBSTITUTE(O111,"-"," "))),"Yes","Check"))</f>
        <v/>
      </c>
      <c r="T111" s="25" t="inlineStr">
        <is>
          <t>Mortgage protection for Hamilton homeowners | Moving from Toronto: new mortgage, new coverage | First-time buyer worked example | Commuter income and disability risk | Renewal choices for Hamilton borrowers | Talking to an Ontario-licensed advisor</t>
        </is>
      </c>
      <c r="U111" s="25" t="inlineStr">
        <is>
          <t>Do I need new life insurance after buying in Hamilton? | Is lender mortgage insurance worth it for a first home in Hamilton? | How much term life covers a typical Hamilton mortgage? | Can my Toronto advisor still help me in Hamilton?</t>
        </is>
      </c>
      <c r="V111" s="25" t="inlineStr">
        <is>
          <t>A Hamilton first-time buyer worked example (local benchmark-based balance, dated) comparing lender cover, term life and a term-plus-disability package.</t>
        </is>
      </c>
      <c r="W111" s="25" t="inlineStr">
        <is>
          <t>/mortgage-life-insurance/ontario/; /life-insurance/ontario/hamilton/; /calculators/mortgage-protection/; /guides/mortgage-protection-first-time-home-buyers/; /insurance/ontario/hamilton/</t>
        </is>
      </c>
      <c r="X111" s="25" t="inlineStr">
        <is>
          <t>Mortgage protection calculator (/calculators/mortgage-protection/)</t>
        </is>
      </c>
      <c r="Y111" s="36" t="inlineStr">
        <is>
          <t>Article; FAQPage; BreadcrumbList</t>
        </is>
      </c>
      <c r="Z111" s="37" t="n">
        <v>1300</v>
      </c>
      <c r="AA111" s="25" t="inlineStr">
        <is>
          <t>No competitor coverage seen: PolicyAdvisor's 'Best Life Insurance in Hamilton(2025)' has a stale year and a title typo, and no mortgage protection city page exists for Hamilton.</t>
        </is>
      </c>
      <c r="AB111" s="25" t="inlineStr">
        <is>
          <t>Use 'mortgage life insurance Hamilton' in the meta title, first 100 words and first H2, with the H1 framed for move-out buyers, and answer in 40–60 words. Show the three-option comparison as a table; link /mortgage-life-insurance/ontario/ with 'mortgage life insurance in Ontario' and the first-time buyer guide with 'first-time buyer checklist'. Alt text: 'Mortgage protection options for a first home in Hamilton'. Licensed Ontario reviewer, cite the local real estate board, refresh semi-annually.</t>
        </is>
      </c>
      <c r="AC111" s="25" t="inlineStr">
        <is>
          <t>Cite the local real estate board's benchmark prices with dates (verify the board's current name), label estimates and keep 'licensed' claims accurate.</t>
        </is>
      </c>
      <c r="AD111" s="36" t="inlineStr">
        <is>
          <t>Semi-annual</t>
        </is>
      </c>
      <c r="AE111" s="38" t="n"/>
      <c r="AF111" s="38" t="n"/>
      <c r="AG111" s="38" t="n"/>
    </row>
    <row r="112" ht="57.45" customHeight="1" s="22">
      <c r="A112" s="36">
        <f>"B"&amp;TEXT(ROW()-1,"0000")</f>
        <v/>
      </c>
      <c r="B112" s="38" t="inlineStr">
        <is>
          <t>Planned</t>
        </is>
      </c>
      <c r="C112" s="36" t="n">
        <v>3</v>
      </c>
      <c r="D112" s="36" t="inlineStr">
        <is>
          <t>Mortgage protection</t>
        </is>
      </c>
      <c r="E112" s="36" t="inlineStr">
        <is>
          <t>Personas</t>
        </is>
      </c>
      <c r="F112" s="25" t="inlineStr">
        <is>
          <t>Life Insurance for Rental Property Mortgages: Protecting a Landlord's Portfolio</t>
        </is>
      </c>
      <c r="G112" s="36" t="inlineStr">
        <is>
          <t>https://instasure.ca/guides/life-insurance-rental-property-mortgage/</t>
        </is>
      </c>
      <c r="H112" s="36" t="inlineStr">
        <is>
          <t>life insurance for rental property mortgage</t>
        </is>
      </c>
      <c r="I112" s="41">
        <f>IFERROR(INDEX('Nationwide KWs'!$D$2:$D$168,MATCH(H112,'Nationwide KWs'!$A$2:$A$168,0)),IFERROR(INDEX('Provincial KWs'!$E$2:$E$137,MATCH(H112,'Provincial KWs'!$A$2:$A$137,0)),IFERROR(INDEX('City KWs'!$F$2:$F$419,MATCH(H112,'City KWs'!$A$2:$A$419,0)),"")))</f>
        <v/>
      </c>
      <c r="J112" s="36" t="inlineStr">
        <is>
          <t>Niche</t>
        </is>
      </c>
      <c r="K112" s="25" t="inlineStr">
        <is>
          <t>mortgage insurance investment property; landlord life insurance; corporate owned rental property life insurance; life insurance for real estate investors canada; capital gains rental property at death</t>
        </is>
      </c>
      <c r="L112" s="36" t="inlineStr">
        <is>
          <t>Nationwide</t>
        </is>
      </c>
      <c r="M112" s="36" t="inlineStr">
        <is>
          <t>commercial</t>
        </is>
      </c>
      <c r="N112" s="36" t="inlineStr">
        <is>
          <t>MOFU</t>
        </is>
      </c>
      <c r="O112" s="25" t="inlineStr">
        <is>
          <t>Life Insurance for a Rental Property Mortgage (Canada)</t>
        </is>
      </c>
      <c r="P112" s="36">
        <f>LEN(O112)</f>
        <v/>
      </c>
      <c r="Q112" s="25" t="inlineStr">
        <is>
          <t>Life insurance for a rental property mortgage: whether lender cover applies, sizing term cover for a portfolio and taxes at death. Talk to an advisor.</t>
        </is>
      </c>
      <c r="R112" s="36">
        <f>LEN(Q112)</f>
        <v/>
      </c>
      <c r="S112" s="36">
        <f>IF(H112="","",IF(ISNUMBER(SEARCH(SUBSTITUTE(H112,"-"," "),SUBSTITUTE(O112,"-"," "))),"Yes","Check"))</f>
        <v/>
      </c>
      <c r="T112" s="25" t="inlineStr">
        <is>
          <t>Do landlords need life insurance on rental mortgages? | Lender creditor cover on investment properties | Sizing term life for a rental portfolio | Capital gains and recapture on rentals at death | Personal vs corporate ownership | Protecting your heirs and your tenants' continuity</t>
        </is>
      </c>
      <c r="U112" s="25" t="inlineStr">
        <is>
          <t>Can I get mortgage life insurance on a rental property? | Should my holding company own life insurance for my rentals? | Who pays capital gains on a rental property when I die? | Does landlord insurance include life cover?</t>
        </is>
      </c>
      <c r="V112" s="25" t="inlineStr">
        <is>
          <t>A worked example for a two-property investor (balances, recaptured depreciation and capital gains at death) sizing a term-plus-permanent mix, with assumptions stated.</t>
        </is>
      </c>
      <c r="W112" s="25" t="inlineStr">
        <is>
          <t>/mortgage-life-insurance/; /landlord-insurance/; /guides/life-insurance-estate-planning-canada/; /guides/corporate-owned-life-insurance-canada/</t>
        </is>
      </c>
      <c r="X112" s="25" t="inlineStr">
        <is>
          <t>Talk to a licensed advisor about mortgage protection (/mortgage-life-insurance/)</t>
        </is>
      </c>
      <c r="Y112" s="36" t="inlineStr">
        <is>
          <t>Article; FAQPage; BreadcrumbList</t>
        </is>
      </c>
      <c r="Z112" s="37" t="n">
        <v>1500</v>
      </c>
      <c r="AA112" s="25" t="inlineStr">
        <is>
          <t>No competitor coverage seen.</t>
        </is>
      </c>
      <c r="AB112" s="25" t="inlineStr">
        <is>
          <t>Use the focus keyword in the H1 (as 'rental property mortgages'), meta title, first 100 words and first H2, with a 40–60 word answer. Present the two-property example as a step table; link /landlord-insurance/ with 'landlord insurance' and the corporate-owned guide with 'corporate-owned life insurance'. Alt text: 'Worked example of life insurance needs for a two-property landlord'. Licensed reviewer plus CPA review, cite CRA, refresh annually.</t>
        </is>
      </c>
      <c r="AC112" s="25" t="inlineStr">
        <is>
          <t>Verify lender eligibility rules for investment properties and CRA rules on recapture and capital gains; tax figures are illustrative and need professional review.</t>
        </is>
      </c>
      <c r="AD112" s="36" t="inlineStr">
        <is>
          <t>Annual</t>
        </is>
      </c>
      <c r="AE112" s="38" t="n"/>
      <c r="AF112" s="38" t="n"/>
      <c r="AG112" s="38" t="n"/>
    </row>
    <row r="113" ht="57.45" customHeight="1" s="22">
      <c r="A113" s="36">
        <f>"B"&amp;TEXT(ROW()-1,"0000")</f>
        <v/>
      </c>
      <c r="B113" s="38" t="inlineStr">
        <is>
          <t>Planned</t>
        </is>
      </c>
      <c r="C113" s="36" t="n">
        <v>1</v>
      </c>
      <c r="D113" s="36" t="inlineStr">
        <is>
          <t>Critical illness insurance</t>
        </is>
      </c>
      <c r="E113" s="36" t="inlineStr">
        <is>
          <t>Cost &amp; pricing</t>
        </is>
      </c>
      <c r="F113" s="25" t="inlineStr">
        <is>
          <t>How Much Does Critical Illness Insurance Cost in Canada? Prices by Age</t>
        </is>
      </c>
      <c r="G113" s="36" t="inlineStr">
        <is>
          <t>https://instasure.ca/guides/critical-illness-insurance-cost-canada/</t>
        </is>
      </c>
      <c r="H113" s="36" t="inlineStr">
        <is>
          <t>critical illness insurance cost</t>
        </is>
      </c>
      <c r="I113" s="41">
        <f>IFERROR(INDEX('Nationwide KWs'!$D$2:$D$168,MATCH(H113,'Nationwide KWs'!$A$2:$A$168,0)),IFERROR(INDEX('Provincial KWs'!$E$2:$E$137,MATCH(H113,'Provincial KWs'!$A$2:$A$137,0)),IFERROR(INDEX('City KWs'!$F$2:$F$419,MATCH(H113,'City KWs'!$A$2:$A$419,0)),"")))</f>
        <v/>
      </c>
      <c r="J113" s="36" t="inlineStr">
        <is>
          <t>Medium</t>
        </is>
      </c>
      <c r="K113" s="25" t="inlineStr">
        <is>
          <t>critical illness insurance cost by age; how much is critical illness insurance; critical illness insurance rates canada; $100,000 critical illness insurance cost; critical illness insurance price for smokers</t>
        </is>
      </c>
      <c r="L113" s="36" t="inlineStr">
        <is>
          <t>Nationwide</t>
        </is>
      </c>
      <c r="M113" s="36" t="inlineStr">
        <is>
          <t>commercial</t>
        </is>
      </c>
      <c r="N113" s="36" t="inlineStr">
        <is>
          <t>MOFU</t>
        </is>
      </c>
      <c r="O113" s="25" t="inlineStr">
        <is>
          <t>Critical Illness Insurance Cost in Canada by Age</t>
        </is>
      </c>
      <c r="P113" s="36">
        <f>LEN(O113)</f>
        <v/>
      </c>
      <c r="Q113" s="25" t="inlineStr">
        <is>
          <t>See modelled critical illness insurance cost by age, sex, smoking status and coverage amount, what moves the price and how to lower it. Get an estimate.</t>
        </is>
      </c>
      <c r="R113" s="36">
        <f>LEN(Q113)</f>
        <v/>
      </c>
      <c r="S113" s="36">
        <f>IF(H113="","",IF(ISNUMBER(SEARCH(SUBSTITUTE(H113,"-"," "),SUBSTITUTE(O113,"-"," "))),"Yes","Check"))</f>
        <v/>
      </c>
      <c r="T113" s="25" t="inlineStr">
        <is>
          <t>How much critical illness insurance costs (quick answer) | Example monthly premiums by age and coverage amount | What drives the price: age, smoking, term and conditions covered | Term 10 vs term 75 vs term 100 cost compared | What return of premium adds to the cost | How to lower your critical illness premium | Is the cost worth it for you?</t>
        </is>
      </c>
      <c r="U113" s="25" t="inlineStr">
        <is>
          <t>How much is $100,000 of critical illness insurance in Canada? | Does critical illness insurance get more expensive as I age? | Is critical illness cheaper as a rider on life insurance? | Do smokers pay more for critical illness insurance?</t>
        </is>
      </c>
      <c r="V113" s="25" t="inlineStr">
        <is>
          <t>Dated example-premium table (ages 25 to 60 × female/male × non-smoker/smoker × $50K/$100K/$250K) from the Instasure estimate model, labelled 'as of {month year}', plus a term-length cost comparison and the instant-estimate widget embed.</t>
        </is>
      </c>
      <c r="W113" s="25" t="inlineStr">
        <is>
          <t>/critical-illness-insurance/; /guides/critical-illness-vs-disability-insurance/; /guides/critical-illness-return-of-premium-explained/; /guides/how-much-critical-illness-insurance-do-i-need/</t>
        </is>
      </c>
      <c r="X113" s="25" t="inlineStr">
        <is>
          <t>Instant critical illness estimate (/critical-illness-insurance/)</t>
        </is>
      </c>
      <c r="Y113" s="36" t="inlineStr">
        <is>
          <t>Article; FAQPage; BreadcrumbList</t>
        </is>
      </c>
      <c r="Z113" s="37" t="n">
        <v>1800</v>
      </c>
      <c r="AA113" s="25" t="inlineStr">
        <is>
          <t>PolicyAdvisor (cost guide still titled '(2025)', plus a standalone CI calculator), Ratehub (age table) and PolicyMe cover CI cost; none shows smoker vs non-smoker by term length in one dated table with a stated profile.</t>
        </is>
      </c>
      <c r="AB113" s="25" t="inlineStr">
        <is>
          <t>Put 'critical illness insurance cost' in the H1, slug, meta title, first 100 words and the first H2, then answer in 40 to 60 words with an example range for a stated profile labelled as an estimate. Include the age × coverage table and a term comparison table, and anchor 'instant critical illness estimate' to /critical-illness-insurance/. Alt text idea: 'Critical illness insurance cost by age table, Canada'. Show a licensed life and A&amp;S reviewer and refresh the table quarterly from the estimate model.</t>
        </is>
      </c>
      <c r="AC113" s="25" t="inlineStr">
        <is>
          <t>Every premium is a modelled estimate for a stated profile and date and must be checked against real carrier quotes before publishing; no 'cheapest' or 'from $X' wording and no named-carrier prices without a quote date.</t>
        </is>
      </c>
      <c r="AD113" s="36" t="inlineStr">
        <is>
          <t>Quarterly</t>
        </is>
      </c>
      <c r="AE113" s="38" t="n"/>
      <c r="AF113" s="38" t="n"/>
      <c r="AG113" s="38" t="n"/>
    </row>
    <row r="114" ht="57.45" customHeight="1" s="22">
      <c r="A114" s="36">
        <f>"B"&amp;TEXT(ROW()-1,"0000")</f>
        <v/>
      </c>
      <c r="B114" s="38" t="inlineStr">
        <is>
          <t>Planned</t>
        </is>
      </c>
      <c r="C114" s="36" t="n">
        <v>1</v>
      </c>
      <c r="D114" s="36" t="inlineStr">
        <is>
          <t>Critical illness insurance</t>
        </is>
      </c>
      <c r="E114" s="36" t="inlineStr">
        <is>
          <t>Coverage explained</t>
        </is>
      </c>
      <c r="F114" s="25" t="inlineStr">
        <is>
          <t>What Does Critical Illness Insurance Cover? The Conditions List Explained</t>
        </is>
      </c>
      <c r="G114" s="36" t="inlineStr">
        <is>
          <t>https://instasure.ca/guides/what-does-critical-illness-insurance-cover/</t>
        </is>
      </c>
      <c r="H114" s="36" t="inlineStr">
        <is>
          <t>what does critical illness insurance cover</t>
        </is>
      </c>
      <c r="I114" s="41">
        <f>IFERROR(INDEX('Nationwide KWs'!$D$2:$D$168,MATCH(H114,'Nationwide KWs'!$A$2:$A$168,0)),IFERROR(INDEX('Provincial KWs'!$E$2:$E$137,MATCH(H114,'Provincial KWs'!$A$2:$A$137,0)),IFERROR(INDEX('City KWs'!$F$2:$F$419,MATCH(H114,'City KWs'!$A$2:$A$419,0)),"")))</f>
        <v/>
      </c>
      <c r="J114" s="36" t="inlineStr">
        <is>
          <t>Medium</t>
        </is>
      </c>
      <c r="K114" s="25" t="inlineStr">
        <is>
          <t>critical illness insurance covered conditions; critical illness conditions list canada; partial payment critical illness; early stage cancer critical illness; CLHIA critical illness benchmark definitions</t>
        </is>
      </c>
      <c r="L114" s="36" t="inlineStr">
        <is>
          <t>Nationwide</t>
        </is>
      </c>
      <c r="M114" s="36" t="inlineStr">
        <is>
          <t>informational</t>
        </is>
      </c>
      <c r="N114" s="36" t="inlineStr">
        <is>
          <t>TOFU</t>
        </is>
      </c>
      <c r="O114" s="25" t="inlineStr">
        <is>
          <t>What Does Critical Illness Insurance Cover in Canada?</t>
        </is>
      </c>
      <c r="P114" s="36">
        <f>LEN(O114)</f>
        <v/>
      </c>
      <c r="Q114" s="25" t="inlineStr">
        <is>
          <t>A plain-language list of the conditions critical illness insurance covers in Canada, which pay in full or in part, and exclusions to check before you buy.</t>
        </is>
      </c>
      <c r="R114" s="36">
        <f>LEN(Q114)</f>
        <v/>
      </c>
      <c r="S114" s="36">
        <f>IF(H114="","",IF(ISNUMBER(SEARCH(SUBSTITUTE(H114,"-"," "),SUBSTITUTE(O114,"-"," "))),"Yes","Check"))</f>
        <v/>
      </c>
      <c r="T114" s="25" t="inlineStr">
        <is>
          <t>What critical illness insurance covers (quick answer) | The core conditions: cancer, heart attack and stroke | The full list of commonly covered conditions | Partial payments for early-stage conditions | Standard definitions and why the wording matters | Common exclusions and the moratorium period | How to compare two policies' condition lists</t>
        </is>
      </c>
      <c r="U114" s="25" t="inlineStr">
        <is>
          <t>How many conditions does critical illness insurance cover? | Is early-stage cancer covered by critical illness insurance? | Does critical illness insurance cover mental illness? | What is not covered by critical illness insurance?</t>
        </is>
      </c>
      <c r="V114" s="25" t="inlineStr">
        <is>
          <t>Condition-by-condition table (about 25 commonly covered conditions) showing typical full vs partial payout and a plain-English summary of each standard definition, sourced to the CLHIA benchmark definitions and dated.</t>
        </is>
      </c>
      <c r="W114" s="25" t="inlineStr">
        <is>
          <t>/critical-illness-insurance/; /guides/critical-illness-insurance-cancer-coverage/; /guides/why-critical-illness-claims-are-denied/; /glossary/</t>
        </is>
      </c>
      <c r="X114" s="25" t="inlineStr">
        <is>
          <t>Instant critical illness estimate (/critical-illness-insurance/)</t>
        </is>
      </c>
      <c r="Y114" s="36" t="inlineStr">
        <is>
          <t>Article; FAQPage; BreadcrumbList</t>
        </is>
      </c>
      <c r="Z114" s="37" t="n">
        <v>2000</v>
      </c>
      <c r="AA114" s="25" t="inlineStr">
        <is>
          <t>Sun Life lists its own plan's conditions (26 full and 8 partial per search snippets) and PolicyAdvisor covers CI through carrier reviews; no neutral cross-insurer conditions table with definitions was seen.</t>
        </is>
      </c>
      <c r="AB114" s="25" t="inlineStr">
        <is>
          <t>Use the focus keyword in the H1, slug, meta, first 100 words and first H2, and open with a 40 to 60 word answer naming cancer, heart attack and stroke plus the typical number of conditions. Build a sortable table (condition, full or partial, definition summary) and link 'how cancer coverage works' to the cancer guide. Cite the CLHIA benchmark definitions and insurer contract wording, show a licensed reviewer and review annually.</t>
        </is>
      </c>
      <c r="AC114" s="25" t="inlineStr">
        <is>
          <t>Verify the condition list and counts against the current CLHIA benchmark definitions and at least three insurers' contracts; do not imply every policy covers every listed condition.</t>
        </is>
      </c>
      <c r="AD114" s="36" t="inlineStr">
        <is>
          <t>Annual</t>
        </is>
      </c>
      <c r="AE114" s="38" t="n"/>
      <c r="AF114" s="38" t="n"/>
      <c r="AG114" s="38" t="n"/>
    </row>
    <row r="115" ht="46.25" customHeight="1" s="22">
      <c r="A115" s="36">
        <f>"B"&amp;TEXT(ROW()-1,"0000")</f>
        <v/>
      </c>
      <c r="B115" s="38" t="inlineStr">
        <is>
          <t>Planned</t>
        </is>
      </c>
      <c r="C115" s="36" t="n">
        <v>1</v>
      </c>
      <c r="D115" s="36" t="inlineStr">
        <is>
          <t>Critical illness insurance</t>
        </is>
      </c>
      <c r="E115" s="36" t="inlineStr">
        <is>
          <t>Underwriting</t>
        </is>
      </c>
      <c r="F115" s="25" t="inlineStr">
        <is>
          <t>Critical Illness Insurance With a Pre-Existing Condition or Family History</t>
        </is>
      </c>
      <c r="G115" s="36" t="inlineStr">
        <is>
          <t>https://instasure.ca/guides/critical-illness-insurance-pre-existing-conditions/</t>
        </is>
      </c>
      <c r="H115" s="36" t="inlineStr">
        <is>
          <t>critical illness insurance pre existing conditions</t>
        </is>
      </c>
      <c r="I115" s="41">
        <f>IFERROR(INDEX('Nationwide KWs'!$D$2:$D$168,MATCH(H115,'Nationwide KWs'!$A$2:$A$168,0)),IFERROR(INDEX('Provincial KWs'!$E$2:$E$137,MATCH(H115,'Provincial KWs'!$A$2:$A$137,0)),IFERROR(INDEX('City KWs'!$F$2:$F$419,MATCH(H115,'City KWs'!$A$2:$A$419,0)),"")))</f>
        <v/>
      </c>
      <c r="J115" s="36" t="inlineStr">
        <is>
          <t>Low</t>
        </is>
      </c>
      <c r="K115" s="25" t="inlineStr">
        <is>
          <t>critical illness insurance family history; critical illness insurance with diabetes; critical illness insurance high blood pressure; critical illness exclusion rider; critical illness after cancer</t>
        </is>
      </c>
      <c r="L115" s="36" t="inlineStr">
        <is>
          <t>Nationwide</t>
        </is>
      </c>
      <c r="M115" s="36" t="inlineStr">
        <is>
          <t>commercial</t>
        </is>
      </c>
      <c r="N115" s="36" t="inlineStr">
        <is>
          <t>MOFU</t>
        </is>
      </c>
      <c r="O115" s="25" t="inlineStr">
        <is>
          <t>Critical Illness Insurance With Pre-Existing Conditions</t>
        </is>
      </c>
      <c r="P115" s="36">
        <f>LEN(O115)</f>
        <v/>
      </c>
      <c r="Q115" s="25" t="inlineStr">
        <is>
          <t>Can you get critical illness insurance with a pre-existing condition or family history? See likely outcomes for 10 conditions and your no-medical options.</t>
        </is>
      </c>
      <c r="R115" s="36">
        <f>LEN(Q115)</f>
        <v/>
      </c>
      <c r="S115" s="36">
        <f>IF(H115="","",IF(ISNUMBER(SEARCH(SUBSTITUTE(H115,"-"," "),SUBSTITUTE(O115,"-"," "))),"Yes","Check"))</f>
        <v/>
      </c>
      <c r="T115" s="25" t="inlineStr">
        <is>
          <t>Can you get critical illness insurance with a pre-existing condition? (quick answer) | How insurers underwrite family history | Common conditions: diabetes, high blood pressure, high cholesterol, past cancer | Exclusion riders and rated premiums | Simplified-issue and no-medical options | Anonymous pre-underwriting before you apply | What to disclose and why it matters at claim time</t>
        </is>
      </c>
      <c r="U115" s="25" t="inlineStr">
        <is>
          <t>Will a family history of cancer stop me getting critical illness insurance? | Can I get critical illness insurance with type 2 diabetes? | What is an exclusion rider? | Does a no-medical critical illness policy cover pre-existing conditions?</t>
        </is>
      </c>
      <c r="V115" s="25" t="inlineStr">
        <is>
          <t>Condition-by-condition underwriting outlook table (likely standard, rated, exclusion, decline or simplified-issue only) for 10 common conditions, reviewed by the Medical underwriting desk advisor.</t>
        </is>
      </c>
      <c r="W115" s="25" t="inlineStr">
        <is>
          <t>/critical-illness-insurance/; /life-insurance/medical-conditions/; /guides/no-medical-critical-illness-insurance/; /guides/why-critical-illness-claims-are-denied/</t>
        </is>
      </c>
      <c r="X115" s="25" t="inlineStr">
        <is>
          <t>Request a specialist call: Medical underwriting desk (/life-insurance/medical-conditions/)</t>
        </is>
      </c>
      <c r="Y115" s="36" t="inlineStr">
        <is>
          <t>Article; FAQPage; BreadcrumbList</t>
        </is>
      </c>
      <c r="Z115" s="37" t="n">
        <v>1800</v>
      </c>
      <c r="AA115" s="25" t="inlineStr">
        <is>
          <t>PolicyAdvisor covers medical conditions for life insurance (diabetes, heart attack, overweight, smokers) but not for critical illness; the research lists condition-specific CI underwriting as a gap.</t>
        </is>
      </c>
      <c r="AB115" s="25" t="inlineStr">
        <is>
          <t>Focus keyword in the H1, slug, meta title, first 100 words and first H2; the 40 to 60 word answer should say 'often yes, with exclusions or ratings' and point to the desk. Put the outlook table high on the page and place the desk call-back block after it; anchor 'anonymous pre-underwriting' to /life-insurance/medical-conditions/. Reviewed by the desk advisor; review annually.</t>
        </is>
      </c>
      <c r="AC115" s="25" t="inlineStr">
        <is>
          <t>Frame underwriting outcomes as typical, not guaranteed, and have the desk advisor confirm them; verify that anonymous pre-underwriting enquiries leave no MIB record before saying so.</t>
        </is>
      </c>
      <c r="AD115" s="36" t="inlineStr">
        <is>
          <t>Annual</t>
        </is>
      </c>
      <c r="AE115" s="38" t="n"/>
      <c r="AF115" s="38" t="n"/>
      <c r="AG115" s="38" t="n"/>
    </row>
    <row r="116" ht="46.25" customHeight="1" s="22">
      <c r="A116" s="36">
        <f>"B"&amp;TEXT(ROW()-1,"0000")</f>
        <v/>
      </c>
      <c r="B116" s="38" t="inlineStr">
        <is>
          <t>Planned</t>
        </is>
      </c>
      <c r="C116" s="36" t="n">
        <v>2</v>
      </c>
      <c r="D116" s="36" t="inlineStr">
        <is>
          <t>Critical illness insurance</t>
        </is>
      </c>
      <c r="E116" s="36" t="inlineStr">
        <is>
          <t>Comparisons</t>
        </is>
      </c>
      <c r="F116" s="25" t="inlineStr">
        <is>
          <t>No-Medical and Instant Critical Illness Insurance: Online Options Compared</t>
        </is>
      </c>
      <c r="G116" s="36" t="inlineStr">
        <is>
          <t>https://instasure.ca/guides/no-medical-critical-illness-insurance/</t>
        </is>
      </c>
      <c r="H116" s="36" t="inlineStr">
        <is>
          <t>no medical critical illness insurance</t>
        </is>
      </c>
      <c r="I116" s="41">
        <f>IFERROR(INDEX('Nationwide KWs'!$D$2:$D$168,MATCH(H116,'Nationwide KWs'!$A$2:$A$168,0)),IFERROR(INDEX('Provincial KWs'!$E$2:$E$137,MATCH(H116,'Provincial KWs'!$A$2:$A$137,0)),IFERROR(INDEX('City KWs'!$F$2:$F$419,MATCH(H116,'City KWs'!$A$2:$A$419,0)),"")))</f>
        <v/>
      </c>
      <c r="J116" s="36" t="inlineStr">
        <is>
          <t>Low</t>
        </is>
      </c>
      <c r="K116" s="25" t="inlineStr">
        <is>
          <t>instant critical illness insurance; buy critical illness insurance online canada; simplified issue critical illness; Sun Life Express Critical Illness; Manulife CoverMe critical illness</t>
        </is>
      </c>
      <c r="L116" s="36" t="inlineStr">
        <is>
          <t>Nationwide</t>
        </is>
      </c>
      <c r="M116" s="36" t="inlineStr">
        <is>
          <t>commercial</t>
        </is>
      </c>
      <c r="N116" s="36" t="inlineStr">
        <is>
          <t>BOFU</t>
        </is>
      </c>
      <c r="O116" s="25" t="inlineStr">
        <is>
          <t>No-Medical Critical Illness Insurance: Online Options</t>
        </is>
      </c>
      <c r="P116" s="36">
        <f>LEN(O116)</f>
        <v/>
      </c>
      <c r="Q116" s="25" t="inlineStr">
        <is>
          <t>Compare no-medical and instant critical illness insurance sold online: issue ages, coverage caps, health questions and time to coverage. See trade-offs.</t>
        </is>
      </c>
      <c r="R116" s="36">
        <f>LEN(Q116)</f>
        <v/>
      </c>
      <c r="S116" s="36">
        <f>IF(H116="","",IF(ISNUMBER(SEARCH(SUBSTITUTE(H116,"-"," "),SUBSTITUTE(O116,"-"," "))),"Yes","Check"))</f>
        <v/>
      </c>
      <c r="T116" s="25" t="inlineStr">
        <is>
          <t>Can you buy critical illness insurance without a medical? (quick answer) | Simplified issue vs guaranteed issue vs fully underwritten | What online critical illness products offer: limits, conditions, terms | Comparison table: issue ages, maximum coverage, health questions, time to coverage | The trade-offs: fewer conditions and higher cost | When a fully underwritten policy is worth the wait | How to apply online or with an advisor</t>
        </is>
      </c>
      <c r="U116" s="25" t="inlineStr">
        <is>
          <t>Can I get critical illness insurance instantly online? | How much critical illness coverage can I buy without a medical exam? | Does no-medical critical illness cover pre-existing conditions? | Is online critical illness insurance more expensive?</t>
        </is>
      </c>
      <c r="V116" s="25" t="inlineStr">
        <is>
          <t>Neutral comparison table of direct-to-consumer CI products by issue age, maximum benefit, number of health questions, conditions covered and time to coverage, with a published comparison method and a 'checked on' date.</t>
        </is>
      </c>
      <c r="W116" s="25" t="inlineStr">
        <is>
          <t>/critical-illness-insurance/; /no-medical-life-insurance/; /guides/critical-illness-insurance-pre-existing-conditions/; /editorial-guidelines/</t>
        </is>
      </c>
      <c r="X116" s="25" t="inlineStr">
        <is>
          <t>Instant critical illness estimate (/critical-illness-insurance/)</t>
        </is>
      </c>
      <c r="Y116" s="36" t="inlineStr">
        <is>
          <t>Article; FAQPage; BreadcrumbList</t>
        </is>
      </c>
      <c r="Z116" s="37" t="n">
        <v>1800</v>
      </c>
      <c r="AA116" s="25" t="inlineStr">
        <is>
          <t>Sun Life (Express CI) and Manulife (CoverMe CI) sell only their own instant products, and PolicyAdvisor reviews CoverMe CI; no neutral cross-product comparison was seen (research gap 5.3).</t>
        </is>
      </c>
      <c r="AB116" s="25" t="inlineStr">
        <is>
          <t>Focus keyword in the H1, slug, meta title, first 100 words and first H2; the 40 to 60 word answer should state typical online coverage caps and the trade-off. Lead with the comparison table and link the method to /editorial-guidelines/; anchor 'no-medical life insurance' to its money page. Licensed reviewer; re-check product details every quarter.</t>
        </is>
      </c>
      <c r="AC116" s="25" t="inlineStr">
        <is>
          <t>Named-product details (Express CI $25K/$50K limits, CoverMe CI term and cap) come from search snippets and must be verified on insurer pages; publish the comparison method and avoid 'best' wording.</t>
        </is>
      </c>
      <c r="AD116" s="36" t="inlineStr">
        <is>
          <t>Quarterly</t>
        </is>
      </c>
      <c r="AE116" s="38" t="n"/>
      <c r="AF116" s="38" t="n"/>
      <c r="AG116" s="38" t="n"/>
    </row>
    <row r="117" ht="46.25" customHeight="1" s="22">
      <c r="A117" s="36">
        <f>"B"&amp;TEXT(ROW()-1,"0000")</f>
        <v/>
      </c>
      <c r="B117" s="38" t="inlineStr">
        <is>
          <t>Planned</t>
        </is>
      </c>
      <c r="C117" s="36" t="n">
        <v>2</v>
      </c>
      <c r="D117" s="36" t="inlineStr">
        <is>
          <t>Critical illness insurance</t>
        </is>
      </c>
      <c r="E117" s="36" t="inlineStr">
        <is>
          <t>Coverage explained</t>
        </is>
      </c>
      <c r="F117" s="25" t="inlineStr">
        <is>
          <t>Critical Illness Insurance and Cancer: Early-Stage Payouts, Moratoriums and Recurrence</t>
        </is>
      </c>
      <c r="G117" s="36" t="inlineStr">
        <is>
          <t>https://instasure.ca/guides/critical-illness-insurance-cancer-coverage/</t>
        </is>
      </c>
      <c r="H117" s="36" t="inlineStr">
        <is>
          <t>critical illness insurance cancer</t>
        </is>
      </c>
      <c r="I117" s="41">
        <f>IFERROR(INDEX('Nationwide KWs'!$D$2:$D$168,MATCH(H117,'Nationwide KWs'!$A$2:$A$168,0)),IFERROR(INDEX('Provincial KWs'!$E$2:$E$137,MATCH(H117,'Provincial KWs'!$A$2:$A$137,0)),IFERROR(INDEX('City KWs'!$F$2:$F$419,MATCH(H117,'City KWs'!$A$2:$A$419,0)),"")))</f>
        <v/>
      </c>
      <c r="J117" s="36" t="inlineStr">
        <is>
          <t>Low</t>
        </is>
      </c>
      <c r="K117" s="25" t="inlineStr">
        <is>
          <t>cancer insurance canada; does critical illness cover cancer; early stage cancer partial payout; cancer moratorium critical illness; cancer recurrence critical illness claim</t>
        </is>
      </c>
      <c r="L117" s="36" t="inlineStr">
        <is>
          <t>Nationwide</t>
        </is>
      </c>
      <c r="M117" s="36" t="inlineStr">
        <is>
          <t>commercial</t>
        </is>
      </c>
      <c r="N117" s="36" t="inlineStr">
        <is>
          <t>MOFU</t>
        </is>
      </c>
      <c r="O117" s="25" t="inlineStr">
        <is>
          <t>Critical Illness Insurance for Cancer: What It Pays</t>
        </is>
      </c>
      <c r="P117" s="36">
        <f>LEN(O117)</f>
        <v/>
      </c>
      <c r="Q117" s="25" t="inlineStr">
        <is>
          <t>How critical illness insurance treats cancer: life-threatening vs early-stage definitions, partial payouts, the moratorium and recurrence. Check first.</t>
        </is>
      </c>
      <c r="R117" s="36">
        <f>LEN(Q117)</f>
        <v/>
      </c>
      <c r="S117" s="36">
        <f>IF(H117="","",IF(ISNUMBER(SEARCH(SUBSTITUTE(H117,"-"," "),SUBSTITUTE(O117,"-"," "))),"Yes","Check"))</f>
        <v/>
      </c>
      <c r="T117" s="25" t="inlineStr">
        <is>
          <t>Does critical illness insurance cover cancer? (quick answer) | Life-threatening cancer vs early-stage cancer definitions | Partial payouts: which early cancers qualify | The moratorium period after you buy | Recurrence, second cancers and multiple-claim plans | Cancer-only insurance vs full critical illness | What the payout helps with during treatment</t>
        </is>
      </c>
      <c r="U117" s="25" t="inlineStr">
        <is>
          <t>Does critical illness insurance cover all cancers? | What is the cancer moratorium period? | Can I buy critical illness insurance after cancer? | Is cancer-only insurance cheaper than critical illness insurance?</t>
        </is>
      </c>
      <c r="V117" s="25" t="inlineStr">
        <is>
          <t>Table of cancer definitions (life-threatening, early-stage partial, excluded) with plain-English examples, and a timeline showing how the moratorium and survival period interact after purchase.</t>
        </is>
      </c>
      <c r="W117" s="25" t="inlineStr">
        <is>
          <t>/critical-illness-insurance/; /guides/cancer-drug-coverage-by-province/; /guides/what-does-critical-illness-insurance-cover/; /life-insurance/medical-conditions/</t>
        </is>
      </c>
      <c r="X117" s="25" t="inlineStr">
        <is>
          <t>Instant critical illness estimate (/critical-illness-insurance/)</t>
        </is>
      </c>
      <c r="Y117" s="36" t="inlineStr">
        <is>
          <t>Article; FAQPage; BreadcrumbList</t>
        </is>
      </c>
      <c r="Z117" s="37" t="n">
        <v>1700</v>
      </c>
      <c r="AA117" s="25" t="inlineStr">
        <is>
          <t>The research lists 'CI for cancer' as a content-depth gap; PolicyAdvisor and Sun Life cover CI generally, but no dedicated cancer-definition explainer surfaced.</t>
        </is>
      </c>
      <c r="AB117" s="25" t="inlineStr">
        <is>
          <t>Use the focus keyword in the H1, slug, meta title, first 100 words and first H2, and answer in 40 to 60 words that most policies pay on life-threatening cancer with partial payouts for some early cancers. Include the definitions table and moratorium timeline; anchor 'cancer drug costs by province' to the province guide. Cite CLHIA definitions and the Canadian Cancer Society, show a licensed reviewer, review annually.</t>
        </is>
      </c>
      <c r="AC117" s="25" t="inlineStr">
        <is>
          <t>Verify moratorium length and partial-payout conditions against CLHIA benchmark definitions and insurer contracts; any cancer statistic must come from the Canadian Cancer Society and be dated.</t>
        </is>
      </c>
      <c r="AD117" s="36" t="inlineStr">
        <is>
          <t>Annual</t>
        </is>
      </c>
      <c r="AE117" s="38" t="n"/>
      <c r="AF117" s="38" t="n"/>
      <c r="AG117" s="38" t="n"/>
    </row>
    <row r="118" ht="46.25" customHeight="1" s="22">
      <c r="A118" s="36">
        <f>"B"&amp;TEXT(ROW()-1,"0000")</f>
        <v/>
      </c>
      <c r="B118" s="38" t="inlineStr">
        <is>
          <t>Planned</t>
        </is>
      </c>
      <c r="C118" s="36" t="n">
        <v>2</v>
      </c>
      <c r="D118" s="36" t="inlineStr">
        <is>
          <t>Critical illness insurance</t>
        </is>
      </c>
      <c r="E118" s="36" t="inlineStr">
        <is>
          <t>Coverage explained</t>
        </is>
      </c>
      <c r="F118" s="25" t="inlineStr">
        <is>
          <t>Critical Illness Return of Premium: How It Works and What It Costs</t>
        </is>
      </c>
      <c r="G118" s="36" t="inlineStr">
        <is>
          <t>https://instasure.ca/guides/critical-illness-return-of-premium-explained/</t>
        </is>
      </c>
      <c r="H118" s="36" t="inlineStr">
        <is>
          <t>return of premium critical illness insurance</t>
        </is>
      </c>
      <c r="I118" s="41">
        <f>IFERROR(INDEX('Nationwide KWs'!$D$2:$D$168,MATCH(H118,'Nationwide KWs'!$A$2:$A$168,0)),IFERROR(INDEX('Provincial KWs'!$E$2:$E$137,MATCH(H118,'Provincial KWs'!$A$2:$A$137,0)),IFERROR(INDEX('City KWs'!$F$2:$F$419,MATCH(H118,'City KWs'!$A$2:$A$419,0)),"")))</f>
        <v/>
      </c>
      <c r="J118" s="36" t="inlineStr">
        <is>
          <t>Low</t>
        </is>
      </c>
      <c r="K118" s="25" t="inlineStr">
        <is>
          <t>critical illness return of premium on death; return of premium on expiry; return of premium on cancellation; is return of premium worth it; is a critical illness premium refund taxable</t>
        </is>
      </c>
      <c r="L118" s="36" t="inlineStr">
        <is>
          <t>Nationwide</t>
        </is>
      </c>
      <c r="M118" s="36" t="inlineStr">
        <is>
          <t>informational</t>
        </is>
      </c>
      <c r="N118" s="36" t="inlineStr">
        <is>
          <t>MOFU</t>
        </is>
      </c>
      <c r="O118" s="25" t="inlineStr">
        <is>
          <t>Return of Premium Critical Illness Insurance Explained</t>
        </is>
      </c>
      <c r="P118" s="36">
        <f>LEN(O118)</f>
        <v/>
      </c>
      <c r="Q118" s="25" t="inlineStr">
        <is>
          <t>How return of premium works on critical illness insurance: on death, expiry or cancellation, vesting rules, the extra cost and when it pays off.</t>
        </is>
      </c>
      <c r="R118" s="36">
        <f>LEN(Q118)</f>
        <v/>
      </c>
      <c r="S118" s="36">
        <f>IF(H118="","",IF(ISNUMBER(SEARCH(SUBSTITUTE(H118,"-"," "),SUBSTITUTE(O118,"-"," "))),"Yes","Check"))</f>
        <v/>
      </c>
      <c r="T118" s="25" t="inlineStr">
        <is>
          <t>How return of premium works (quick answer) | The three types: on death, on expiry and on cancellation | Vesting schedules and waiting periods | What return of premium adds to your premium | Worked example: the break-even math | Tax treatment of a premium refund | Who should and shouldn't buy it</t>
        </is>
      </c>
      <c r="U118" s="25" t="inlineStr">
        <is>
          <t>Do you get your money back on critical illness insurance? | Is return of premium on critical illness worth it? | Is a critical illness premium refund taxable? | What happens to return of premium if I make a partial claim?</t>
        </is>
      </c>
      <c r="V118" s="25" t="inlineStr">
        <is>
          <t>Worked break-even example comparing a base policy with the same policy plus return of premium on expiry, showing cumulative premiums, the refund and the opportunity cost of investing the difference instead.</t>
        </is>
      </c>
      <c r="W118" s="25" t="inlineStr">
        <is>
          <t>/critical-illness-insurance/; /guides/critical-illness-insurance-cost-canada/; /guides/is-critical-illness-insurance-taxable/</t>
        </is>
      </c>
      <c r="X118" s="25" t="inlineStr">
        <is>
          <t>Instant critical illness estimate (/critical-illness-insurance/)</t>
        </is>
      </c>
      <c r="Y118" s="36" t="inlineStr">
        <is>
          <t>Article; FAQPage; BreadcrumbList</t>
        </is>
      </c>
      <c r="Z118" s="37" t="n">
        <v>1500</v>
      </c>
      <c r="AA118" s="25" t="inlineStr">
        <is>
          <t>The money page lists return of premium as an option and PolicyAdvisor's carrier reviews mention ROP riders; no standalone break-even explainer was seen (the research lists 'return of premium on CI' as a content-depth gap).</t>
        </is>
      </c>
      <c r="AB118" s="25" t="inlineStr">
        <is>
          <t>Lead with the focus keyword in the H1, slug, meta title and first 100 words, and answer in 40 to 60 words what is refunded and when. Present the three ROP types in a table and the break-even example as a year-by-year table with a chart (alt: 'Return of premium break-even chart'). Licensed reviewer plus an accountant note on tax; review annually.</t>
        </is>
      </c>
      <c r="AC118" s="25" t="inlineStr">
        <is>
          <t>Verify vesting rules, eligibility after partial claims and refund percentages against current insurer contracts; check the tax treatment of ROP refunds against CRA guidance and label it general information.</t>
        </is>
      </c>
      <c r="AD118" s="36" t="inlineStr">
        <is>
          <t>Annual</t>
        </is>
      </c>
      <c r="AE118" s="38" t="n"/>
      <c r="AF118" s="38" t="n"/>
      <c r="AG118" s="38" t="n"/>
    </row>
    <row r="119" ht="46.25" customHeight="1" s="22">
      <c r="A119" s="36">
        <f>"B"&amp;TEXT(ROW()-1,"0000")</f>
        <v/>
      </c>
      <c r="B119" s="38" t="inlineStr">
        <is>
          <t>Planned</t>
        </is>
      </c>
      <c r="C119" s="36" t="n">
        <v>2</v>
      </c>
      <c r="D119" s="36" t="inlineStr">
        <is>
          <t>Critical illness insurance</t>
        </is>
      </c>
      <c r="E119" s="36" t="inlineStr">
        <is>
          <t>Decision guides</t>
        </is>
      </c>
      <c r="F119" s="25" t="inlineStr">
        <is>
          <t>Is Critical Illness Insurance Worth It in Canada? A Decision Guide</t>
        </is>
      </c>
      <c r="G119" s="36" t="inlineStr">
        <is>
          <t>https://instasure.ca/guides/is-critical-illness-insurance-worth-it/</t>
        </is>
      </c>
      <c r="H119" s="36" t="inlineStr">
        <is>
          <t>is critical illness insurance worth it</t>
        </is>
      </c>
      <c r="I119" s="41">
        <f>IFERROR(INDEX('Nationwide KWs'!$D$2:$D$168,MATCH(H119,'Nationwide KWs'!$A$2:$A$168,0)),IFERROR(INDEX('Provincial KWs'!$E$2:$E$137,MATCH(H119,'Provincial KWs'!$A$2:$A$137,0)),IFERROR(INDEX('City KWs'!$F$2:$F$419,MATCH(H119,'City KWs'!$A$2:$A$419,0)),"")))</f>
        <v/>
      </c>
      <c r="J119" s="36" t="inlineStr">
        <is>
          <t>Medium</t>
        </is>
      </c>
      <c r="K119" s="25" t="inlineStr">
        <is>
          <t>should i get critical illness insurance; critical illness insurance pros and cons; do i need critical illness insurance; critical illness insurance with group benefits; critical illness insurance canada reddit</t>
        </is>
      </c>
      <c r="L119" s="36" t="inlineStr">
        <is>
          <t>Nationwide</t>
        </is>
      </c>
      <c r="M119" s="36" t="inlineStr">
        <is>
          <t>informational</t>
        </is>
      </c>
      <c r="N119" s="36" t="inlineStr">
        <is>
          <t>MOFU</t>
        </is>
      </c>
      <c r="O119" s="25" t="inlineStr">
        <is>
          <t>Is Critical Illness Insurance Worth It? Canada Guide</t>
        </is>
      </c>
      <c r="P119" s="36">
        <f>LEN(O119)</f>
        <v/>
      </c>
      <c r="Q119" s="25" t="inlineStr">
        <is>
          <t>Decide if critical illness insurance is worth it for you: who benefits most, what provincial plans leave you to pay, plus a five-question decision tree.</t>
        </is>
      </c>
      <c r="R119" s="36">
        <f>LEN(Q119)</f>
        <v/>
      </c>
      <c r="S119" s="36">
        <f>IF(H119="","",IF(ISNUMBER(SEARCH(SUBSTITUTE(H119,"-"," "),SUBSTITUTE(O119,"-"," "))),"Yes","Check"))</f>
        <v/>
      </c>
      <c r="T119" s="25" t="inlineStr">
        <is>
          <t>Is critical illness insurance worth it? (short answer) | What a serious illness costs that provincial health plans don't pay | Who benefits most from critical illness coverage | When critical illness insurance is not worth it | Critical illness vs emergency savings: a worked example | A five-question decision tree | How to buy only the coverage you need</t>
        </is>
      </c>
      <c r="U119" s="25" t="inlineStr">
        <is>
          <t>Is critical illness insurance a waste of money? | Do I need critical illness insurance if I have group benefits? | What are the downsides of critical illness insurance? | Is critical illness insurance worth it for a 30-year-old?</t>
        </is>
      </c>
      <c r="V119" s="25" t="inlineStr">
        <is>
          <t>A five-question decision tree plus a worked example comparing a lump-sum benefit with six months of lost income and uncovered costs for a stated two-income household.</t>
        </is>
      </c>
      <c r="W119" s="25" t="inlineStr">
        <is>
          <t>/critical-illness-insurance/; /guides/critical-illness-vs-disability-insurance/; /guides/cancer-drug-coverage-by-province/; /guides/critical-illness-insurance-cost-canada/</t>
        </is>
      </c>
      <c r="X119" s="25" t="inlineStr">
        <is>
          <t>Instant critical illness estimate (/critical-illness-insurance/)</t>
        </is>
      </c>
      <c r="Y119" s="36" t="inlineStr">
        <is>
          <t>Article; FAQPage; BreadcrumbList</t>
        </is>
      </c>
      <c r="Z119" s="37" t="n">
        <v>1600</v>
      </c>
      <c r="AA119" s="25" t="inlineStr">
        <is>
          <t>The Instasure money-page FAQ and Sun Life answer this briefly, and PolicyAdvisor touches it inside its CI vs DI content; no competitor offers a decision tree or a worked household example.</t>
        </is>
      </c>
      <c r="AB119" s="25" t="inlineStr">
        <is>
          <t>Focus keyword in the H1, slug, meta title, first 100 words and the first H2; the 40 to 60 word answer should say who it suits and who can skip it. Render the decision tree as an accessible list plus an image (alt: 'Critical illness insurance decision tree'), and anchor 'compare critical illness and disability' to the existing CI vs DI guide. Cite the Canadian Cancer Society and Heart &amp; Stroke for any incidence figure and review annually.</t>
        </is>
      </c>
      <c r="AC119" s="25" t="inlineStr">
        <is>
          <t>Do not overstate survival or claim statistics; any diagnosis-rate figure must cite the Canadian Cancer Society or Heart &amp; Stroke and be dated. Avoid fear-based wording and 'guaranteed' language.</t>
        </is>
      </c>
      <c r="AD119" s="36" t="inlineStr">
        <is>
          <t>Annual</t>
        </is>
      </c>
      <c r="AE119" s="38" t="n"/>
      <c r="AF119" s="38" t="n"/>
      <c r="AG119" s="38" t="n"/>
    </row>
    <row r="120" ht="46.25" customHeight="1" s="22">
      <c r="A120" s="36">
        <f>"B"&amp;TEXT(ROW()-1,"0000")</f>
        <v/>
      </c>
      <c r="B120" s="38" t="inlineStr">
        <is>
          <t>Planned</t>
        </is>
      </c>
      <c r="C120" s="36" t="n">
        <v>2</v>
      </c>
      <c r="D120" s="36" t="inlineStr">
        <is>
          <t>Critical illness insurance</t>
        </is>
      </c>
      <c r="E120" s="36" t="inlineStr">
        <is>
          <t>Local (province)</t>
        </is>
      </c>
      <c r="F120" s="25" t="inlineStr">
        <is>
          <t>Cancer Drug Coverage by Province: The Costs Health Plans Don't Pay</t>
        </is>
      </c>
      <c r="G120" s="36" t="inlineStr">
        <is>
          <t>https://instasure.ca/guides/cancer-drug-coverage-by-province/</t>
        </is>
      </c>
      <c r="H120" s="36" t="inlineStr">
        <is>
          <t>cancer drug coverage by province</t>
        </is>
      </c>
      <c r="I120" s="41">
        <f>IFERROR(INDEX('Nationwide KWs'!$D$2:$D$168,MATCH(H120,'Nationwide KWs'!$A$2:$A$168,0)),IFERROR(INDEX('Provincial KWs'!$E$2:$E$137,MATCH(H120,'Provincial KWs'!$A$2:$A$137,0)),IFERROR(INDEX('City KWs'!$F$2:$F$419,MATCH(H120,'City KWs'!$A$2:$A$419,0)),"")))</f>
        <v/>
      </c>
      <c r="J120" s="36" t="inlineStr">
        <is>
          <t>Low</t>
        </is>
      </c>
      <c r="K120" s="25" t="inlineStr">
        <is>
          <t>take home cancer drugs coverage; does ohip cover cancer drugs; out of pocket cost of cancer canada; oral chemotherapy coverage canada; cancer care costs by province</t>
        </is>
      </c>
      <c r="L120" s="36" t="inlineStr">
        <is>
          <t>Nationwide</t>
        </is>
      </c>
      <c r="M120" s="36" t="inlineStr">
        <is>
          <t>informational</t>
        </is>
      </c>
      <c r="N120" s="36" t="inlineStr">
        <is>
          <t>TOFU</t>
        </is>
      </c>
      <c r="O120" s="25" t="inlineStr">
        <is>
          <t>Cancer Drug Coverage by Province: Costs You Pay</t>
        </is>
      </c>
      <c r="P120" s="36">
        <f>LEN(O120)</f>
        <v/>
      </c>
      <c r="Q120" s="25" t="inlineStr">
        <is>
          <t>Cancer drug coverage by province: who pays for take-home cancer drugs, who leaves you the bill, and the travel and lost-income costs plans don't cover.</t>
        </is>
      </c>
      <c r="R120" s="36">
        <f>LEN(Q120)</f>
        <v/>
      </c>
      <c r="S120" s="36">
        <f>IF(H120="","",IF(ISNUMBER(SEARCH(SUBSTITUTE(H120,"-"," "),SUBSTITUTE(O120,"-"," "))),"Yes","Check"))</f>
        <v/>
      </c>
      <c r="T120" s="25" t="inlineStr">
        <is>
          <t>Who pays for cancer drugs in Canada? (quick answer) | Hospital vs take-home cancer drugs | Province-by-province coverage table | Other costs: travel, parking, lost income and home care | How private drug plans and critical illness fill the gap | Financial help programs to ask your cancer centre about</t>
        </is>
      </c>
      <c r="U120" s="25" t="inlineStr">
        <is>
          <t>Does OHIP cover oral chemotherapy drugs? | Which provinces cover take-home cancer drugs? | How much does cancer treatment cost out of pocket in Canada? | Does private health insurance cover cancer drugs?</t>
        </is>
      </c>
      <c r="V120" s="25" t="inlineStr">
        <is>
          <t>Province-by-province table (10 provinces and 3 territories) of who pays for take-home cancer drugs, the program responsible (provincial cancer agency or drug plan) and the deductible rule, each cell linked to the provincial source and dated.</t>
        </is>
      </c>
      <c r="W120" s="25" t="inlineStr">
        <is>
          <t>/critical-illness-insurance/; /health-dental-insurance/; /guides/prescription-drug-coverage-by-province/; /guides/critical-illness-insurance-cancer-coverage/</t>
        </is>
      </c>
      <c r="X120" s="25" t="inlineStr">
        <is>
          <t>Instant critical illness estimate (/critical-illness-insurance/)</t>
        </is>
      </c>
      <c r="Y120" s="36" t="inlineStr">
        <is>
          <t>Article; FAQPage; BreadcrumbList</t>
        </is>
      </c>
      <c r="Z120" s="37" t="n">
        <v>2000</v>
      </c>
      <c r="AA120" s="25" t="inlineStr">
        <is>
          <t>No competitor coverage seen; insurer and aggregator CI pages mention uncovered costs only in general terms.</t>
        </is>
      </c>
      <c r="AB120" s="25" t="inlineStr">
        <is>
          <t>Focus keyword in the H1, slug, meta title, first 100 words and the table H2; answer in 40 to 60 words that hospital drugs are covered everywhere but take-home drug rules differ by province. Make the 13-row table the centrepiece with source links in each row, and anchor 'critical illness insurance' to the money page only after the table. Cite provincial ministries and cancer agencies, licensed reviewer, annual review.</t>
        </is>
      </c>
      <c r="AC120" s="25" t="inlineStr">
        <is>
          <t>Each province's rule must be verified against the provincial health ministry or cancer agency and dated; no out-of-pocket dollar averages unless from a cited study (for example the Canadian Cancer Society).</t>
        </is>
      </c>
      <c r="AD120" s="36" t="inlineStr">
        <is>
          <t>Annual</t>
        </is>
      </c>
      <c r="AE120" s="38" t="n"/>
      <c r="AF120" s="38" t="n"/>
      <c r="AG120" s="38" t="n"/>
    </row>
    <row r="121" ht="46.25" customHeight="1" s="22">
      <c r="A121" s="36">
        <f>"B"&amp;TEXT(ROW()-1,"0000")</f>
        <v/>
      </c>
      <c r="B121" s="38" t="inlineStr">
        <is>
          <t>Planned</t>
        </is>
      </c>
      <c r="C121" s="36" t="n">
        <v>2</v>
      </c>
      <c r="D121" s="36" t="inlineStr">
        <is>
          <t>Critical illness insurance</t>
        </is>
      </c>
      <c r="E121" s="36" t="inlineStr">
        <is>
          <t>Personas</t>
        </is>
      </c>
      <c r="F121" s="25" t="inlineStr">
        <is>
          <t>Critical Illness Insurance for Business Owners and Incorporated Professionals</t>
        </is>
      </c>
      <c r="G121" s="36" t="inlineStr">
        <is>
          <t>https://instasure.ca/guides/critical-illness-insurance-for-business-owners/</t>
        </is>
      </c>
      <c r="H121" s="36" t="inlineStr">
        <is>
          <t>critical illness insurance for business owners</t>
        </is>
      </c>
      <c r="I121" s="41">
        <f>IFERROR(INDEX('Nationwide KWs'!$D$2:$D$168,MATCH(H121,'Nationwide KWs'!$A$2:$A$168,0)),IFERROR(INDEX('Provincial KWs'!$E$2:$E$137,MATCH(H121,'Provincial KWs'!$A$2:$A$137,0)),IFERROR(INDEX('City KWs'!$F$2:$F$419,MATCH(H121,'City KWs'!$A$2:$A$419,0)),"")))</f>
        <v/>
      </c>
      <c r="J121" s="36" t="inlineStr">
        <is>
          <t>Low</t>
        </is>
      </c>
      <c r="K121" s="25" t="inlineStr">
        <is>
          <t>corporate owned critical illness insurance; key person critical illness insurance; critical illness buy sell agreement; shareholder critical illness insurance; critical illness insurance for self employed</t>
        </is>
      </c>
      <c r="L121" s="36" t="inlineStr">
        <is>
          <t>Nationwide</t>
        </is>
      </c>
      <c r="M121" s="36" t="inlineStr">
        <is>
          <t>commercial</t>
        </is>
      </c>
      <c r="N121" s="36" t="inlineStr">
        <is>
          <t>MOFU</t>
        </is>
      </c>
      <c r="O121" s="25" t="inlineStr">
        <is>
          <t>Critical Illness Insurance for Business Owners</t>
        </is>
      </c>
      <c r="P121" s="36">
        <f>LEN(O121)</f>
        <v/>
      </c>
      <c r="Q121" s="25" t="inlineStr">
        <is>
          <t>How business owners use critical illness insurance: personal vs corporate ownership, key person cover, buy-sell funding and return of premium. Plan it.</t>
        </is>
      </c>
      <c r="R121" s="36">
        <f>LEN(Q121)</f>
        <v/>
      </c>
      <c r="S121" s="36">
        <f>IF(H121="","",IF(ISNUMBER(SEARCH(SUBSTITUTE(H121,"-"," "),SUBSTITUTE(O121,"-"," "))),"Yes","Check"))</f>
        <v/>
      </c>
      <c r="T121" s="25" t="inlineStr">
        <is>
          <t>Why business owners buy critical illness insurance (quick answer) | Personal vs corporate ownership | Key person critical illness coverage | Funding a buy-sell agreement after a serious illness | Return of premium as a corporate strategy | Pairing with disability and business overhead coverage | How much coverage a small business needs</t>
        </is>
      </c>
      <c r="U121" s="25" t="inlineStr">
        <is>
          <t>Can my corporation own a critical illness policy on me? | What is key person critical illness insurance? | Can critical illness insurance fund a buy-sell agreement? | Should a sole proprietor buy critical illness insurance personally?</t>
        </is>
      </c>
      <c r="V121" s="25" t="inlineStr">
        <is>
          <t>Ownership decision table (personal, corporate, split) with the general tax result and use case, plus a worked example for a two-partner firm funding a buy-out after one partner's diagnosis.</t>
        </is>
      </c>
      <c r="W121" s="25" t="inlineStr">
        <is>
          <t>/critical-illness-insurance/; /business-insurance/key-person/; /disability-insurance/self-employed/; /guides/business-overhead-expense-insurance/</t>
        </is>
      </c>
      <c r="X121" s="25" t="inlineStr">
        <is>
          <t>Request a specialist call: Self-employed income protection desk (/disability-insurance/self-employed/)</t>
        </is>
      </c>
      <c r="Y121" s="36" t="inlineStr">
        <is>
          <t>Article; FAQPage; BreadcrumbList</t>
        </is>
      </c>
      <c r="Z121" s="37" t="n">
        <v>1700</v>
      </c>
      <c r="AA121" s="25" t="inlineStr">
        <is>
          <t>PolicyAdvisor covers life insurance for business owners and key person life insurance; no CI-specific business-owner guide surfaced.</t>
        </is>
      </c>
      <c r="AB121" s="25" t="inlineStr">
        <is>
          <t>Focus keyword in the H1, slug, meta title, first 100 words and one H2; open with a 40 to 60 word answer on the three business uses. Include the ownership table and partner example; anchor 'key person insurance' to /business-insurance/key-person/ and 'business overhead expense' to the BOE guide. Licensed reviewer plus accountant note; review annually.</t>
        </is>
      </c>
      <c r="AC121" s="25" t="inlineStr">
        <is>
          <t>Tax and shareholder-benefit statements need accountant review and CRA references; don't present corporate return of premium as a tax strategy without professional sign-off.</t>
        </is>
      </c>
      <c r="AD121" s="36" t="inlineStr">
        <is>
          <t>Annual</t>
        </is>
      </c>
      <c r="AE121" s="38" t="n"/>
      <c r="AF121" s="38" t="n"/>
      <c r="AG121" s="38" t="n"/>
    </row>
    <row r="122" ht="46.25" customHeight="1" s="22">
      <c r="A122" s="36">
        <f>"B"&amp;TEXT(ROW()-1,"0000")</f>
        <v/>
      </c>
      <c r="B122" s="38" t="inlineStr">
        <is>
          <t>Planned</t>
        </is>
      </c>
      <c r="C122" s="36" t="n">
        <v>2</v>
      </c>
      <c r="D122" s="36" t="inlineStr">
        <is>
          <t>Critical illness insurance</t>
        </is>
      </c>
      <c r="E122" s="36" t="inlineStr">
        <is>
          <t>Planning &amp; needs</t>
        </is>
      </c>
      <c r="F122" s="25" t="inlineStr">
        <is>
          <t>How Much Critical Illness Insurance Do I Need?</t>
        </is>
      </c>
      <c r="G122" s="36" t="inlineStr">
        <is>
          <t>https://instasure.ca/guides/how-much-critical-illness-insurance-do-i-need/</t>
        </is>
      </c>
      <c r="H122" s="36" t="inlineStr">
        <is>
          <t>how much critical illness insurance do i need</t>
        </is>
      </c>
      <c r="I122" s="41">
        <f>IFERROR(INDEX('Nationwide KWs'!$D$2:$D$168,MATCH(H122,'Nationwide KWs'!$A$2:$A$168,0)),IFERROR(INDEX('Provincial KWs'!$E$2:$E$137,MATCH(H122,'Provincial KWs'!$A$2:$A$137,0)),IFERROR(INDEX('City KWs'!$F$2:$F$419,MATCH(H122,'City KWs'!$A$2:$A$419,0)),"")))</f>
        <v/>
      </c>
      <c r="J122" s="36" t="inlineStr">
        <is>
          <t>Low</t>
        </is>
      </c>
      <c r="K122" s="25" t="inlineStr">
        <is>
          <t>critical illness insurance calculator; critical illness coverage amount; critical illness insurance term length; term 10 vs term 100 critical illness; how much critical illness cover canada</t>
        </is>
      </c>
      <c r="L122" s="36" t="inlineStr">
        <is>
          <t>Nationwide</t>
        </is>
      </c>
      <c r="M122" s="36" t="inlineStr">
        <is>
          <t>informational</t>
        </is>
      </c>
      <c r="N122" s="36" t="inlineStr">
        <is>
          <t>MOFU</t>
        </is>
      </c>
      <c r="O122" s="25" t="inlineStr">
        <is>
          <t>How Much Critical Illness Insurance Do I Need?</t>
        </is>
      </c>
      <c r="P122" s="36">
        <f>LEN(O122)</f>
        <v/>
      </c>
      <c r="Q122" s="25" t="inlineStr">
        <is>
          <t>Work out how much critical illness insurance you need with a three-step sizing method, term-length guidance and a worked family example. Get an estimate.</t>
        </is>
      </c>
      <c r="R122" s="36">
        <f>LEN(Q122)</f>
        <v/>
      </c>
      <c r="S122" s="36">
        <f>IF(H122="","",IF(ISNUMBER(SEARCH(SUBSTITUTE(H122,"-"," "),SUBSTITUTE(O122,"-"," "))),"Yes","Check"))</f>
        <v/>
      </c>
      <c r="T122" s="25" t="inlineStr">
        <is>
          <t>How much critical illness coverage you need (quick answer) | Step 1: Months of income to replace | Step 2: Costs provincial plans don't pay | Step 3: Debts and childcare during recovery | Choosing a term: 10, 20, to 65, to 75 or to 100 | A worked example for a two-income family | Coordinating with disability and group coverage</t>
        </is>
      </c>
      <c r="U122" s="25" t="inlineStr">
        <is>
          <t>Is $50,000 enough critical illness insurance? | Should critical illness coverage equal my annual salary? | How long should my critical illness term be? | Does group critical illness coverage count toward what I need?</t>
        </is>
      </c>
      <c r="V122" s="25" t="inlineStr">
        <is>
          <t>A fill-in sizing worksheet (income gap + uncovered costs + debts − group cover) with a worked family example, and an embedded instant estimate pre-filled with the resulting amount.</t>
        </is>
      </c>
      <c r="W122" s="25" t="inlineStr">
        <is>
          <t>/critical-illness-insurance/; /calculators/life-insurance-needs/; /guides/critical-illness-insurance-cost-canada/; /guides/cancer-drug-coverage-by-province/</t>
        </is>
      </c>
      <c r="X122" s="25" t="inlineStr">
        <is>
          <t>Instant critical illness estimate (/critical-illness-insurance/)</t>
        </is>
      </c>
      <c r="Y122" s="36" t="inlineStr">
        <is>
          <t>Article; FAQPage; BreadcrumbList</t>
        </is>
      </c>
      <c r="Z122" s="37" t="n">
        <v>1500</v>
      </c>
      <c r="AA122" s="25" t="inlineStr">
        <is>
          <t>Sun Life and PolicyAdvisor run CI calculators; neither explains the term-length choice alongside the sizing method in one guide.</t>
        </is>
      </c>
      <c r="AB122" s="25" t="inlineStr">
        <is>
          <t>Use the exact question as H1 and meta title, the focus keyword in the slug and first 100 words, and a 40 to 60 word answer giving the three-part formula. Show the worksheet as a table and embed the estimate widget after the worked example; anchor 'life insurance needs calculator' to /calculators/life-insurance-needs/. Licensed reviewer; review annually.</t>
        </is>
      </c>
      <c r="AC122" s="25" t="inlineStr">
        <is>
          <t>Present sizing as a planning method, not a personal recommendation; any cost-of-illness figure must be sourced and dated, and estimates labelled as such.</t>
        </is>
      </c>
      <c r="AD122" s="36" t="inlineStr">
        <is>
          <t>Annual</t>
        </is>
      </c>
      <c r="AE122" s="38" t="n"/>
      <c r="AF122" s="38" t="n"/>
      <c r="AG122" s="38" t="n"/>
    </row>
    <row r="123" ht="46.25" customHeight="1" s="22">
      <c r="A123" s="36">
        <f>"B"&amp;TEXT(ROW()-1,"0000")</f>
        <v/>
      </c>
      <c r="B123" s="38" t="inlineStr">
        <is>
          <t>Planned</t>
        </is>
      </c>
      <c r="C123" s="36" t="n">
        <v>2</v>
      </c>
      <c r="D123" s="36" t="inlineStr">
        <is>
          <t>Critical illness insurance</t>
        </is>
      </c>
      <c r="E123" s="36" t="inlineStr">
        <is>
          <t>Tax &amp; regulation</t>
        </is>
      </c>
      <c r="F123" s="25" t="inlineStr">
        <is>
          <t>Is Critical Illness Insurance Taxable in Canada?</t>
        </is>
      </c>
      <c r="G123" s="36" t="inlineStr">
        <is>
          <t>https://instasure.ca/guides/is-critical-illness-insurance-taxable/</t>
        </is>
      </c>
      <c r="H123" s="36" t="inlineStr">
        <is>
          <t>is critical illness insurance taxable</t>
        </is>
      </c>
      <c r="I123" s="41">
        <f>IFERROR(INDEX('Nationwide KWs'!$D$2:$D$168,MATCH(H123,'Nationwide KWs'!$A$2:$A$168,0)),IFERROR(INDEX('Provincial KWs'!$E$2:$E$137,MATCH(H123,'Provincial KWs'!$A$2:$A$137,0)),IFERROR(INDEX('City KWs'!$F$2:$F$419,MATCH(H123,'City KWs'!$A$2:$A$419,0)),"")))</f>
        <v/>
      </c>
      <c r="J123" s="36" t="inlineStr">
        <is>
          <t>Low</t>
        </is>
      </c>
      <c r="K123" s="25" t="inlineStr">
        <is>
          <t>critical illness benefit tax free canada; are critical illness premiums tax deductible; corporate owned critical illness tax; employer paid critical illness taxable benefit; return of premium tax treatment</t>
        </is>
      </c>
      <c r="L123" s="36" t="inlineStr">
        <is>
          <t>Nationwide</t>
        </is>
      </c>
      <c r="M123" s="36" t="inlineStr">
        <is>
          <t>informational</t>
        </is>
      </c>
      <c r="N123" s="36" t="inlineStr">
        <is>
          <t>TOFU</t>
        </is>
      </c>
      <c r="O123" s="25" t="inlineStr">
        <is>
          <t>Is Critical Illness Insurance Taxable in Canada?</t>
        </is>
      </c>
      <c r="P123" s="36">
        <f>LEN(O123)</f>
        <v/>
      </c>
      <c r="Q123" s="25" t="inlineStr">
        <is>
          <t>Is critical illness insurance taxable? See how personal, employer and corporate ownership change the tax on premiums, payouts and refunds. CRA sources.</t>
        </is>
      </c>
      <c r="R123" s="36">
        <f>LEN(Q123)</f>
        <v/>
      </c>
      <c r="S123" s="36">
        <f>IF(H123="","",IF(ISNUMBER(SEARCH(SUBSTITUTE(H123,"-"," "),SUBSTITUTE(O123,"-"," "))),"Yes","Check"))</f>
        <v/>
      </c>
      <c r="T123" s="25" t="inlineStr">
        <is>
          <t>Are critical illness benefits taxable? (quick answer) | Personally owned policies | Employer-paid and group critical illness | Corporate-owned critical illness and shareholder benefits | Are critical illness premiums tax deductible? | Return of premium refunds and tax | When to get tax advice</t>
        </is>
      </c>
      <c r="U123" s="25" t="inlineStr">
        <is>
          <t>Do I pay tax on a critical illness payout? | Can my corporation pay for my critical illness insurance? | Are critical illness premiums tax deductible for the self-employed? | Is a return of premium refund taxable?</t>
        </is>
      </c>
      <c r="V123" s="25" t="inlineStr">
        <is>
          <t>A who-pays and who-owns matrix (individual, employer, corporation) showing the general tax treatment of premiums and benefits, with CRA references and a 'confirm with an accountant' flag on unsettled points.</t>
        </is>
      </c>
      <c r="W123" s="25" t="inlineStr">
        <is>
          <t>/critical-illness-insurance/; /guides/critical-illness-insurance-for-business-owners/; /guides/critical-illness-return-of-premium-explained/; /business-insurance/key-person/</t>
        </is>
      </c>
      <c r="X123" s="25" t="inlineStr">
        <is>
          <t>Instant critical illness estimate (/critical-illness-insurance/)</t>
        </is>
      </c>
      <c r="Y123" s="36" t="inlineStr">
        <is>
          <t>Article; FAQPage; BreadcrumbList</t>
        </is>
      </c>
      <c r="Z123" s="37" t="n">
        <v>1200</v>
      </c>
      <c r="AA123" s="25" t="inlineStr">
        <is>
          <t>The money-page FAQ answers it in one line and PolicyAdvisor covers life insurance tax; no CI tax explainer surfaced among competitors.</t>
        </is>
      </c>
      <c r="AB123" s="25" t="inlineStr">
        <is>
          <t>Exact question as H1 and meta title; focus keyword in the slug and first 100 words, then a 40 to 60 word answer (personally owned benefits are generally received tax-free). Use the matrix as the core table and link 'corporate-owned critical illness' to the business-owner guide. Cite CRA and the Income Tax Act, add an accountant review line, review annually.</t>
        </is>
      </c>
      <c r="AC123" s="25" t="inlineStr">
        <is>
          <t>Verify every tax statement against CRA publications and the Income Tax Act; label as general information, not tax advice, and flag points where CRA has not ruled clearly (for example ROP refunds).</t>
        </is>
      </c>
      <c r="AD123" s="36" t="inlineStr">
        <is>
          <t>Annual</t>
        </is>
      </c>
      <c r="AE123" s="38" t="n"/>
      <c r="AF123" s="38" t="n"/>
      <c r="AG123" s="38" t="n"/>
    </row>
    <row r="124" ht="46.25" customHeight="1" s="22">
      <c r="A124" s="36">
        <f>"B"&amp;TEXT(ROW()-1,"0000")</f>
        <v/>
      </c>
      <c r="B124" s="38" t="inlineStr">
        <is>
          <t>Planned</t>
        </is>
      </c>
      <c r="C124" s="36" t="n">
        <v>3</v>
      </c>
      <c r="D124" s="36" t="inlineStr">
        <is>
          <t>Critical illness insurance</t>
        </is>
      </c>
      <c r="E124" s="36" t="inlineStr">
        <is>
          <t>Claims</t>
        </is>
      </c>
      <c r="F124" s="25" t="inlineStr">
        <is>
          <t>How to Make a Critical Illness Insurance Claim: Steps, Documents and Timelines</t>
        </is>
      </c>
      <c r="G124" s="36" t="inlineStr">
        <is>
          <t>https://instasure.ca/guides/how-to-make-a-critical-illness-claim/</t>
        </is>
      </c>
      <c r="H124" s="36" t="inlineStr">
        <is>
          <t>critical illness insurance claim</t>
        </is>
      </c>
      <c r="I124" s="41">
        <f>IFERROR(INDEX('Nationwide KWs'!$D$2:$D$168,MATCH(H124,'Nationwide KWs'!$A$2:$A$168,0)),IFERROR(INDEX('Provincial KWs'!$E$2:$E$137,MATCH(H124,'Provincial KWs'!$A$2:$A$137,0)),IFERROR(INDEX('City KWs'!$F$2:$F$419,MATCH(H124,'City KWs'!$A$2:$A$419,0)),"")))</f>
        <v/>
      </c>
      <c r="J124" s="36" t="inlineStr">
        <is>
          <t>Low</t>
        </is>
      </c>
      <c r="K124" s="25" t="inlineStr">
        <is>
          <t>how to claim critical illness insurance; critical illness survival period; critical illness claim documents; how long does a critical illness claim take; attending physician statement critical illness</t>
        </is>
      </c>
      <c r="L124" s="36" t="inlineStr">
        <is>
          <t>Nationwide</t>
        </is>
      </c>
      <c r="M124" s="36" t="inlineStr">
        <is>
          <t>informational</t>
        </is>
      </c>
      <c r="N124" s="36" t="inlineStr">
        <is>
          <t>MOFU</t>
        </is>
      </c>
      <c r="O124" s="25" t="inlineStr">
        <is>
          <t>Critical Illness Insurance Claim: Steps and Documents</t>
        </is>
      </c>
      <c r="P124" s="36">
        <f>LEN(O124)</f>
        <v/>
      </c>
      <c r="Q124" s="25" t="inlineStr">
        <is>
          <t>Filing a critical illness insurance claim? Follow the steps, documents, survival period and timelines insurers use, with a printable claim checklist.</t>
        </is>
      </c>
      <c r="R124" s="36">
        <f>LEN(Q124)</f>
        <v/>
      </c>
      <c r="S124" s="36">
        <f>IF(H124="","",IF(ISNUMBER(SEARCH(SUBSTITUTE(H124,"-"," "),SUBSTITUTE(O124,"-"," "))),"Yes","Check"))</f>
        <v/>
      </c>
      <c r="T124" s="25" t="inlineStr">
        <is>
          <t>How a critical illness claim works (quick answer) | Step 1: Check the definition and survival period | Step 2: Notify the insurer and request the claim forms | Step 3: Gather medical evidence from your specialist | Step 4: Submit and track the claim | How long payment takes and how it is paid | What to do if the insurer asks for more information</t>
        </is>
      </c>
      <c r="U124" s="25" t="inlineStr">
        <is>
          <t>How long do I have to file a critical illness claim? | What is the survival period on a critical illness policy? | Who fills out the attending physician statement? | Can I claim critical illness and disability at the same time?</t>
        </is>
      </c>
      <c r="V124" s="25" t="inlineStr">
        <is>
          <t>A printable claim checklist (documents, who signs what, deadlines) and a timeline graphic from diagnosis to payment showing the survival period and typical review points.</t>
        </is>
      </c>
      <c r="W124" s="25" t="inlineStr">
        <is>
          <t>/critical-illness-insurance/; /guides/why-critical-illness-claims-are-denied/; /guides/what-does-critical-illness-insurance-cover/</t>
        </is>
      </c>
      <c r="X124" s="25" t="inlineStr">
        <is>
          <t>Talk to a licensed advisor about your critical illness coverage (/critical-illness-insurance/)</t>
        </is>
      </c>
      <c r="Y124" s="36" t="inlineStr">
        <is>
          <t>Article; HowTo; FAQPage; BreadcrumbList</t>
        </is>
      </c>
      <c r="Z124" s="37" t="n">
        <v>1400</v>
      </c>
      <c r="AA124" s="25" t="inlineStr">
        <is>
          <t>No competitor coverage seen; none of the researched sites publishes CI claim steps (Sun Life's claims statistics are for life insurance).</t>
        </is>
      </c>
      <c r="AB124" s="25" t="inlineStr">
        <is>
          <t>Put the focus keyword in the H1, slug, meta title, first 100 words and first H2, with a 40 to 60 word summary of the four steps. Mark up the steps as HowTo and offer the checklist as a printable section; anchor 'why claims get denied' to the denial guide. Licensed reviewer, insurer claim-form sources, annual review.</t>
        </is>
      </c>
      <c r="AC124" s="25" t="inlineStr">
        <is>
          <t>Verify survival periods, notice deadlines and proof requirements against insurer contracts; say timelines vary by insurer and claim, and never promise a payment speed.</t>
        </is>
      </c>
      <c r="AD124" s="36" t="inlineStr">
        <is>
          <t>Annual</t>
        </is>
      </c>
      <c r="AE124" s="38" t="n"/>
      <c r="AF124" s="38" t="n"/>
      <c r="AG124" s="38" t="n"/>
    </row>
    <row r="125" ht="46.25" customHeight="1" s="22">
      <c r="A125" s="36">
        <f>"B"&amp;TEXT(ROW()-1,"0000")</f>
        <v/>
      </c>
      <c r="B125" s="38" t="inlineStr">
        <is>
          <t>Planned</t>
        </is>
      </c>
      <c r="C125" s="36" t="n">
        <v>3</v>
      </c>
      <c r="D125" s="36" t="inlineStr">
        <is>
          <t>Critical illness insurance</t>
        </is>
      </c>
      <c r="E125" s="36" t="inlineStr">
        <is>
          <t>Claims</t>
        </is>
      </c>
      <c r="F125" s="25" t="inlineStr">
        <is>
          <t>Why Critical Illness Claims Get Denied (and How to Appeal)</t>
        </is>
      </c>
      <c r="G125" s="36" t="inlineStr">
        <is>
          <t>https://instasure.ca/guides/why-critical-illness-claims-are-denied/</t>
        </is>
      </c>
      <c r="H125" s="36" t="inlineStr">
        <is>
          <t>critical illness claim denied</t>
        </is>
      </c>
      <c r="I125" s="41">
        <f>IFERROR(INDEX('Nationwide KWs'!$D$2:$D$168,MATCH(H125,'Nationwide KWs'!$A$2:$A$168,0)),IFERROR(INDEX('Provincial KWs'!$E$2:$E$137,MATCH(H125,'Provincial KWs'!$A$2:$A$137,0)),IFERROR(INDEX('City KWs'!$F$2:$F$419,MATCH(H125,'City KWs'!$A$2:$A$419,0)),"")))</f>
        <v/>
      </c>
      <c r="J125" s="36" t="inlineStr">
        <is>
          <t>Low</t>
        </is>
      </c>
      <c r="K125" s="25" t="inlineStr">
        <is>
          <t>critical illness insurance claim rejected; critical illness non-disclosure; critical illness pre-existing condition exclusion; appeal critical illness claim; OmbudService for Life and Health Insurance complaint</t>
        </is>
      </c>
      <c r="L125" s="36" t="inlineStr">
        <is>
          <t>Nationwide</t>
        </is>
      </c>
      <c r="M125" s="36" t="inlineStr">
        <is>
          <t>informational</t>
        </is>
      </c>
      <c r="N125" s="36" t="inlineStr">
        <is>
          <t>MOFU</t>
        </is>
      </c>
      <c r="O125" s="25" t="inlineStr">
        <is>
          <t>Critical Illness Claim Denied? Reasons and Next Steps</t>
        </is>
      </c>
      <c r="P125" s="36">
        <f>LEN(O125)</f>
        <v/>
      </c>
      <c r="Q125" s="25" t="inlineStr">
        <is>
          <t>Why critical illness claims get denied, from definitions to non-disclosure, and how to appeal through the insurer, OLHI and your regulator. Next steps.</t>
        </is>
      </c>
      <c r="R125" s="36">
        <f>LEN(Q125)</f>
        <v/>
      </c>
      <c r="S125" s="36">
        <f>IF(H125="","",IF(ISNUMBER(SEARCH(SUBSTITUTE(H125,"-"," "),SUBSTITUTE(O125,"-"," "))),"Yes","Check"))</f>
        <v/>
      </c>
      <c r="T125" s="25" t="inlineStr">
        <is>
          <t>Why critical illness claims are denied (quick answer) | The diagnosis didn't meet the policy definition | Misrepresentation and non-disclosure on the application | Moratorium and pre-existing condition exclusions | Survival period and timing issues | How to appeal: internal review, OLHI and your regulator | How to avoid a denial when you apply</t>
        </is>
      </c>
      <c r="U125" s="25" t="inlineStr">
        <is>
          <t>Can an insurer cancel my critical illness policy after I claim? | What is the two-year contestability period? | Who can I complain to if my critical illness claim is denied? | Should I hire a lawyer for a denied critical illness claim?</t>
        </is>
      </c>
      <c r="V125" s="25" t="inlineStr">
        <is>
          <t>A denial-reason table mapping each common reason to the document that can resolve it, plus a complaint-escalation flowchart (insurer ombudsman, OmbudService for Life &amp; Health Insurance, provincial regulator).</t>
        </is>
      </c>
      <c r="W125" s="25" t="inlineStr">
        <is>
          <t>/critical-illness-insurance/; /guides/how-to-make-a-critical-illness-claim/; /life-insurance/medical-conditions/; /guides/critical-illness-insurance-pre-existing-conditions/</t>
        </is>
      </c>
      <c r="X125" s="25" t="inlineStr">
        <is>
          <t>Request a specialist call: Medical underwriting desk (/life-insurance/medical-conditions/)</t>
        </is>
      </c>
      <c r="Y125" s="36" t="inlineStr">
        <is>
          <t>Article; FAQPage; BreadcrumbList</t>
        </is>
      </c>
      <c r="Z125" s="37" t="n">
        <v>1600</v>
      </c>
      <c r="AA125" s="25" t="inlineStr">
        <is>
          <t>No competitor coverage seen in the research.</t>
        </is>
      </c>
      <c r="AB125" s="25" t="inlineStr">
        <is>
          <t>Focus keyword in the H1, slug, meta title, first 100 words and first H2; the 40 to 60 word answer should list the three most common reasons. Add the denial-reason table and escalation flowchart (alt: 'Critical illness claim appeal steps'), and anchor 'disclose your health history' to the medical underwriting desk. Licensed reviewer, OLHI and provincial regulator sources, annual review.</t>
        </is>
      </c>
      <c r="AC125" s="25" t="inlineStr">
        <is>
          <t>Verify OLHI's role and the two-year contestability rule in provincial insurance acts; regulator names must be right for each province (FSRA, BCFSA, AMF and others). General information only; recommend a lawyer for disputes.</t>
        </is>
      </c>
      <c r="AD125" s="36" t="inlineStr">
        <is>
          <t>Annual</t>
        </is>
      </c>
      <c r="AE125" s="38" t="n"/>
      <c r="AF125" s="38" t="n"/>
      <c r="AG125" s="38" t="n"/>
    </row>
    <row r="126" ht="35.05" customHeight="1" s="22">
      <c r="A126" s="36">
        <f>"B"&amp;TEXT(ROW()-1,"0000")</f>
        <v/>
      </c>
      <c r="B126" s="38" t="inlineStr">
        <is>
          <t>Planned</t>
        </is>
      </c>
      <c r="C126" s="36" t="n">
        <v>3</v>
      </c>
      <c r="D126" s="36" t="inlineStr">
        <is>
          <t>Critical illness insurance</t>
        </is>
      </c>
      <c r="E126" s="36" t="inlineStr">
        <is>
          <t>Comparisons</t>
        </is>
      </c>
      <c r="F126" s="25" t="inlineStr">
        <is>
          <t>Critical Illness Insurance vs Life Insurance: Which Do You Need First?</t>
        </is>
      </c>
      <c r="G126" s="36" t="inlineStr">
        <is>
          <t>https://instasure.ca/guides/critical-illness-vs-life-insurance/</t>
        </is>
      </c>
      <c r="H126" s="36" t="inlineStr">
        <is>
          <t>critical illness vs life insurance</t>
        </is>
      </c>
      <c r="I126" s="41">
        <f>IFERROR(INDEX('Nationwide KWs'!$D$2:$D$168,MATCH(H126,'Nationwide KWs'!$A$2:$A$168,0)),IFERROR(INDEX('Provincial KWs'!$E$2:$E$137,MATCH(H126,'Provincial KWs'!$A$2:$A$137,0)),IFERROR(INDEX('City KWs'!$F$2:$F$419,MATCH(H126,'City KWs'!$A$2:$A$419,0)),"")))</f>
        <v/>
      </c>
      <c r="J126" s="36" t="inlineStr">
        <is>
          <t>Low</t>
        </is>
      </c>
      <c r="K126" s="25" t="inlineStr">
        <is>
          <t>critical illness insurance vs term life; difference between life and critical illness insurance; living benefits insurance canada; life and critical illness combined policy; do i need both life and critical illness</t>
        </is>
      </c>
      <c r="L126" s="36" t="inlineStr">
        <is>
          <t>Nationwide</t>
        </is>
      </c>
      <c r="M126" s="36" t="inlineStr">
        <is>
          <t>informational</t>
        </is>
      </c>
      <c r="N126" s="36" t="inlineStr">
        <is>
          <t>MOFU</t>
        </is>
      </c>
      <c r="O126" s="25" t="inlineStr">
        <is>
          <t>Critical Illness vs Life Insurance: Which Comes First?</t>
        </is>
      </c>
      <c r="P126" s="36">
        <f>LEN(O126)</f>
        <v/>
      </c>
      <c r="Q126" s="25" t="inlineStr">
        <is>
          <t>Critical illness vs life insurance: what each pays and when, who should buy which first, how to combine them, and a cost comparison for the same person.</t>
        </is>
      </c>
      <c r="R126" s="36">
        <f>LEN(Q126)</f>
        <v/>
      </c>
      <c r="S126" s="36">
        <f>IF(H126="","",IF(ISNUMBER(SEARCH(SUBSTITUTE(H126,"-"," "),SUBSTITUTE(O126,"-"," "))),"Yes","Check"))</f>
        <v/>
      </c>
      <c r="T126" s="25" t="inlineStr">
        <is>
          <t>Critical illness vs life insurance (quick answer) | What each pays and when | Who needs life insurance first | Who needs critical illness first | Cost compared for the same person | Combining them: riders, combination policies and separate policies | Where disability insurance fits</t>
        </is>
      </c>
      <c r="U126" s="25" t="inlineStr">
        <is>
          <t>Is critical illness insurance the same as life insurance? | Should I buy life or critical illness insurance first? | Can one policy include both life and critical illness? | Does life insurance pay out if I get a critical illness?</t>
        </is>
      </c>
      <c r="V126" s="25" t="inlineStr">
        <is>
          <t>Side-by-side table (trigger, payout, typical use, modelled cost for the same profile) plus a priority checklist by life stage (single, young family, business owner, pre-retiree).</t>
        </is>
      </c>
      <c r="W126" s="25" t="inlineStr">
        <is>
          <t>/critical-illness-insurance/; /life-insurance/; /guides/critical-illness-vs-disability-insurance/; /guides/critical-illness-rider-vs-standalone-policy/</t>
        </is>
      </c>
      <c r="X126" s="25" t="inlineStr">
        <is>
          <t>Instant critical illness estimate (/critical-illness-insurance/)</t>
        </is>
      </c>
      <c r="Y126" s="36" t="inlineStr">
        <is>
          <t>Article; FAQPage; BreadcrumbList</t>
        </is>
      </c>
      <c r="Z126" s="37" t="n">
        <v>1500</v>
      </c>
      <c r="AA126" s="25" t="inlineStr">
        <is>
          <t>Sun Life and PolicyAdvisor compare CI with disability insurance, not with life insurance; no dedicated CI vs life guide surfaced.</t>
        </is>
      </c>
      <c r="AB126" s="25" t="inlineStr">
        <is>
          <t>Focus keyword in the H1, slug, meta title, first 100 words and first H2; the 40 to 60 word answer should contrast 'pays if you die' with 'pays if you survive a diagnosis'. Use the comparison table and life-stage checklist; anchor 'critical illness vs disability' to the existing guide. Licensed reviewer; review annually.</t>
        </is>
      </c>
      <c r="AC126" s="25" t="inlineStr">
        <is>
          <t>Example premiums for both products must be modelled estimates for the same stated profile and date; avoid implying one product replaces the other.</t>
        </is>
      </c>
      <c r="AD126" s="36" t="inlineStr">
        <is>
          <t>Annual</t>
        </is>
      </c>
      <c r="AE126" s="38" t="n"/>
      <c r="AF126" s="38" t="n"/>
      <c r="AG126" s="38" t="n"/>
    </row>
    <row r="127" ht="46.25" customHeight="1" s="22">
      <c r="A127" s="36">
        <f>"B"&amp;TEXT(ROW()-1,"0000")</f>
        <v/>
      </c>
      <c r="B127" s="38" t="inlineStr">
        <is>
          <t>Planned</t>
        </is>
      </c>
      <c r="C127" s="36" t="n">
        <v>3</v>
      </c>
      <c r="D127" s="36" t="inlineStr">
        <is>
          <t>Critical illness insurance</t>
        </is>
      </c>
      <c r="E127" s="36" t="inlineStr">
        <is>
          <t>Comparisons</t>
        </is>
      </c>
      <c r="F127" s="25" t="inlineStr">
        <is>
          <t>Critical Illness Rider vs Standalone Critical Illness Policy: Which to Choose</t>
        </is>
      </c>
      <c r="G127" s="36" t="inlineStr">
        <is>
          <t>https://instasure.ca/guides/critical-illness-rider-vs-standalone-policy/</t>
        </is>
      </c>
      <c r="H127" s="36" t="inlineStr">
        <is>
          <t>critical illness rider vs critical illness insurance</t>
        </is>
      </c>
      <c r="I127" s="41">
        <f>IFERROR(INDEX('Nationwide KWs'!$D$2:$D$168,MATCH(H127,'Nationwide KWs'!$A$2:$A$168,0)),IFERROR(INDEX('Provincial KWs'!$E$2:$E$137,MATCH(H127,'Provincial KWs'!$A$2:$A$137,0)),IFERROR(INDEX('City KWs'!$F$2:$F$419,MATCH(H127,'City KWs'!$A$2:$A$419,0)),"")))</f>
        <v/>
      </c>
      <c r="J127" s="36" t="inlineStr">
        <is>
          <t>Low</t>
        </is>
      </c>
      <c r="K127" s="25" t="inlineStr">
        <is>
          <t>critical illness rider on life insurance; critical illness rider cost; standalone critical illness policy; accelerated critical illness benefit; combined life and critical illness policy</t>
        </is>
      </c>
      <c r="L127" s="36" t="inlineStr">
        <is>
          <t>Nationwide</t>
        </is>
      </c>
      <c r="M127" s="36" t="inlineStr">
        <is>
          <t>commercial</t>
        </is>
      </c>
      <c r="N127" s="36" t="inlineStr">
        <is>
          <t>MOFU</t>
        </is>
      </c>
      <c r="O127" s="25" t="inlineStr">
        <is>
          <t>Critical Illness Rider vs Standalone Policy: Compared</t>
        </is>
      </c>
      <c r="P127" s="36">
        <f>LEN(O127)</f>
        <v/>
      </c>
      <c r="Q127" s="25" t="inlineStr">
        <is>
          <t>Compare a critical illness rider with a standalone policy: cost, limits, what happens to your life cover after a claim, and who each option suits.</t>
        </is>
      </c>
      <c r="R127" s="36">
        <f>LEN(Q127)</f>
        <v/>
      </c>
      <c r="S127" s="36">
        <f>IF(H127="","",IF(ISNUMBER(SEARCH(SUBSTITUTE(H127,"-"," "),SUBSTITUTE(O127,"-"," "))),"Yes","Check"))</f>
        <v/>
      </c>
      <c r="T127" s="25" t="inlineStr">
        <is>
          <t>Rider or standalone policy? (quick answer) | How a critical illness rider attaches to life insurance | Accelerated vs additional riders: does a claim reduce your life cover? | Cost compared: a worked example | Coverage limits, conditions and term differences | What happens if you cancel or convert the life policy | Which option fits which household</t>
        </is>
      </c>
      <c r="U127" s="25" t="inlineStr">
        <is>
          <t>Is a critical illness rider cheaper than a separate policy? | Does a critical illness rider reduce my life insurance payout? | Can I keep a critical illness rider if I cancel my life policy? | How much critical illness coverage can I get as a rider?</t>
        </is>
      </c>
      <c r="V127" s="25" t="inlineStr">
        <is>
          <t>Side-by-side table of rider vs standalone policy on cost, maximum benefit, conditions, term, return-of-premium availability and what happens to life cover after a claim, with one worked premium example for a stated profile.</t>
        </is>
      </c>
      <c r="W127" s="25" t="inlineStr">
        <is>
          <t>/critical-illness-insurance/; /term-life-insurance/; /guides/critical-illness-insurance-cost-canada/; /guides/term-vs-whole-life-insurance-canada/</t>
        </is>
      </c>
      <c r="X127" s="25" t="inlineStr">
        <is>
          <t>Instant critical illness estimate (/critical-illness-insurance/)</t>
        </is>
      </c>
      <c r="Y127" s="36" t="inlineStr">
        <is>
          <t>Article; FAQPage; BreadcrumbList</t>
        </is>
      </c>
      <c r="Z127" s="37" t="n">
        <v>1500</v>
      </c>
      <c r="AA127" s="25" t="inlineStr">
        <is>
          <t>PolicyAdvisor covers this ('Critical Illness Riders vs Critical Illness Insurance - Which to Choose?') but does not separate accelerated from additional riders or show a worked premium example.</t>
        </is>
      </c>
      <c r="AB127" s="25" t="inlineStr">
        <is>
          <t>Use the focus keyword in the H1, slug, meta title and first 100 words; open with a 40 to 60 word verdict on when a rider makes sense. Lead with the comparison table, then the worked example; anchor 'term life insurance' to /term-life-insurance/. Licensed reviewer and insurer contract sources; review annually.</t>
        </is>
      </c>
      <c r="AC127" s="25" t="inlineStr">
        <is>
          <t>Rider structures differ by insurer; verify accelerated vs additional rider terms against contracts and label premiums as modelled estimates with a date.</t>
        </is>
      </c>
      <c r="AD127" s="36" t="inlineStr">
        <is>
          <t>Annual</t>
        </is>
      </c>
      <c r="AE127" s="38" t="n"/>
      <c r="AF127" s="38" t="n"/>
      <c r="AG127" s="38" t="n"/>
    </row>
    <row r="128" ht="46.25" customHeight="1" s="22">
      <c r="A128" s="36">
        <f>"B"&amp;TEXT(ROW()-1,"0000")</f>
        <v/>
      </c>
      <c r="B128" s="38" t="inlineStr">
        <is>
          <t>Planned</t>
        </is>
      </c>
      <c r="C128" s="36" t="n">
        <v>3</v>
      </c>
      <c r="D128" s="36" t="inlineStr">
        <is>
          <t>Critical illness insurance</t>
        </is>
      </c>
      <c r="E128" s="36" t="inlineStr">
        <is>
          <t>Personas</t>
        </is>
      </c>
      <c r="F128" s="25" t="inlineStr">
        <is>
          <t>Critical Illness Insurance for Children: What It Covers and When It Makes Sense</t>
        </is>
      </c>
      <c r="G128" s="36" t="inlineStr">
        <is>
          <t>https://instasure.ca/guides/critical-illness-insurance-for-children/</t>
        </is>
      </c>
      <c r="H128" s="36" t="inlineStr">
        <is>
          <t>children's critical illness insurance</t>
        </is>
      </c>
      <c r="I128" s="41">
        <f>IFERROR(INDEX('Nationwide KWs'!$D$2:$D$168,MATCH(H128,'Nationwide KWs'!$A$2:$A$168,0)),IFERROR(INDEX('Provincial KWs'!$E$2:$E$137,MATCH(H128,'Provincial KWs'!$A$2:$A$137,0)),IFERROR(INDEX('City KWs'!$F$2:$F$419,MATCH(H128,'City KWs'!$A$2:$A$419,0)),"")))</f>
        <v/>
      </c>
      <c r="J128" s="36" t="inlineStr">
        <is>
          <t>Low</t>
        </is>
      </c>
      <c r="K128" s="25" t="inlineStr">
        <is>
          <t>child critical illness insurance canada; critical illness insurance for kids; childhood conditions critical illness; critical illness coverage for newborns; convert child critical illness to adult</t>
        </is>
      </c>
      <c r="L128" s="36" t="inlineStr">
        <is>
          <t>Nationwide</t>
        </is>
      </c>
      <c r="M128" s="36" t="inlineStr">
        <is>
          <t>commercial</t>
        </is>
      </c>
      <c r="N128" s="36" t="inlineStr">
        <is>
          <t>MOFU</t>
        </is>
      </c>
      <c r="O128" s="25" t="inlineStr">
        <is>
          <t>Children's Critical Illness Insurance in Canada</t>
        </is>
      </c>
      <c r="P128" s="36">
        <f>LEN(O128)</f>
        <v/>
      </c>
      <c r="Q128" s="25" t="inlineStr">
        <is>
          <t>What children's critical illness insurance covers, the childhood conditions added to adult lists, typical costs and how it converts at adulthood.</t>
        </is>
      </c>
      <c r="R128" s="36">
        <f>LEN(Q128)</f>
        <v/>
      </c>
      <c r="S128" s="36">
        <f>IF(H128="","",IF(ISNUMBER(SEARCH(SUBSTITUTE(H128,"-"," "),SUBSTITUTE(O128,"-"," "))),"Yes","Check"))</f>
        <v/>
      </c>
      <c r="T128" s="25" t="inlineStr">
        <is>
          <t>Children's critical illness insurance (quick answer) | Childhood conditions covered on top of adult lists | What parents actually use the money for | Cost, issue ages and how long coverage lasts | Converting to adult coverage without new medical questions | Children's critical illness vs children's life insurance | Questions to ask before you buy</t>
        </is>
      </c>
      <c r="U128" s="25" t="inlineStr">
        <is>
          <t>Is critical illness insurance for children worth it? | At what age can a child get critical illness insurance? | What happens to my child's critical illness policy when they turn 18? | Can I add my child to my own critical illness policy?</t>
        </is>
      </c>
      <c r="V128" s="25" t="inlineStr">
        <is>
          <t>A table of child-specific covered conditions with typical issue ages and expiry options, plus a 'what the lump sum pays for' checklist for parents (time off work, travel to a children's hospital, home modifications).</t>
        </is>
      </c>
      <c r="W128" s="25" t="inlineStr">
        <is>
          <t>/critical-illness-insurance/; /life-insurance/children/; /guides/what-does-critical-illness-insurance-cover/</t>
        </is>
      </c>
      <c r="X128" s="25" t="inlineStr">
        <is>
          <t>Instant critical illness estimate (/critical-illness-insurance/)</t>
        </is>
      </c>
      <c r="Y128" s="36" t="inlineStr">
        <is>
          <t>Article; FAQPage; BreadcrumbList</t>
        </is>
      </c>
      <c r="Z128" s="37" t="n">
        <v>1500</v>
      </c>
      <c r="AA128" s="25" t="inlineStr">
        <is>
          <t>PolicyAdvisor ('Do You Need Children's Critical Illness Insurance? (2025)', a stale year) and Sun Life ('Critical Illness Insurance For Children') cover it; neither compares issue ages and conversion rights across insurers in a dated table.</t>
        </is>
      </c>
      <c r="AB128" s="25" t="inlineStr">
        <is>
          <t>Focus keyword in the H1, slug, meta title, first 100 words and first H2, with a 40 to 60 word answer on what it pays and when parents use it. Add the conditions table and the parents' checklist; anchor 'children's life insurance' to /life-insurance/children/. Licensed reviewer, insurer product guides as sources, annual review with a visible updated date.</t>
        </is>
      </c>
      <c r="AC128" s="25" t="inlineStr">
        <is>
          <t>Verify child-specific conditions, issue ages and conversion rules against insurer contracts; avoid emotive claims about childhood illness rates unless sourced (for example the Canadian Cancer Society) and dated.</t>
        </is>
      </c>
      <c r="AD128" s="36" t="inlineStr">
        <is>
          <t>Annual</t>
        </is>
      </c>
      <c r="AE128" s="38" t="n"/>
      <c r="AF128" s="38" t="n"/>
      <c r="AG128" s="38" t="n"/>
    </row>
    <row r="129" ht="35.05" customHeight="1" s="22">
      <c r="A129" s="36">
        <f>"B"&amp;TEXT(ROW()-1,"0000")</f>
        <v/>
      </c>
      <c r="B129" s="38" t="inlineStr">
        <is>
          <t>Planned</t>
        </is>
      </c>
      <c r="C129" s="36" t="n">
        <v>3</v>
      </c>
      <c r="D129" s="36" t="inlineStr">
        <is>
          <t>Critical illness insurance</t>
        </is>
      </c>
      <c r="E129" s="36" t="inlineStr">
        <is>
          <t>Personas</t>
        </is>
      </c>
      <c r="F129" s="25" t="inlineStr">
        <is>
          <t>Critical Illness Insurance for Seniors and Canadians Over 50</t>
        </is>
      </c>
      <c r="G129" s="36" t="inlineStr">
        <is>
          <t>https://instasure.ca/guides/critical-illness-insurance-for-seniors/</t>
        </is>
      </c>
      <c r="H129" s="36" t="inlineStr">
        <is>
          <t>critical illness insurance for seniors</t>
        </is>
      </c>
      <c r="I129" s="41">
        <f>IFERROR(INDEX('Nationwide KWs'!$D$2:$D$168,MATCH(H129,'Nationwide KWs'!$A$2:$A$168,0)),IFERROR(INDEX('Provincial KWs'!$E$2:$E$137,MATCH(H129,'Provincial KWs'!$A$2:$A$137,0)),IFERROR(INDEX('City KWs'!$F$2:$F$419,MATCH(H129,'City KWs'!$A$2:$A$419,0)),"")))</f>
        <v/>
      </c>
      <c r="J129" s="36" t="inlineStr">
        <is>
          <t>Low</t>
        </is>
      </c>
      <c r="K129" s="25" t="inlineStr">
        <is>
          <t>critical illness insurance over 60; critical illness insurance over 50 canada; maximum age for critical illness insurance; critical illness insurance age limit; critical illness vs long term care insurance</t>
        </is>
      </c>
      <c r="L129" s="36" t="inlineStr">
        <is>
          <t>Nationwide</t>
        </is>
      </c>
      <c r="M129" s="36" t="inlineStr">
        <is>
          <t>commercial</t>
        </is>
      </c>
      <c r="N129" s="36" t="inlineStr">
        <is>
          <t>MOFU</t>
        </is>
      </c>
      <c r="O129" s="25" t="inlineStr">
        <is>
          <t>Critical Illness Insurance for Seniors and Over-50s</t>
        </is>
      </c>
      <c r="P129" s="36">
        <f>LEN(O129)</f>
        <v/>
      </c>
      <c r="Q129" s="25" t="inlineStr">
        <is>
          <t>Critical illness insurance for seniors and over-50s: issue-age limits, when coverage ends, example costs from 50 to 65 and simplified-issue options.</t>
        </is>
      </c>
      <c r="R129" s="36">
        <f>LEN(Q129)</f>
        <v/>
      </c>
      <c r="S129" s="36">
        <f>IF(H129="","",IF(ISNUMBER(SEARCH(SUBSTITUTE(H129,"-"," "),SUBSTITUTE(O129,"-"," "))),"Yes","Check"))</f>
        <v/>
      </c>
      <c r="T129" s="25" t="inlineStr">
        <is>
          <t>Can seniors buy critical illness insurance? (quick answer) | Issue-age limits and when coverage ends | Cost at 50, 55, 60 and 65 | Simplified-issue options for older applicants | Critical illness vs long-term care insurance after 60 | Using existing group or rider coverage in retirement | Questions to ask before buying after 50</t>
        </is>
      </c>
      <c r="U129" s="25" t="inlineStr">
        <is>
          <t>What is the maximum age to buy critical illness insurance? | Is critical illness insurance worth it at 60? | Does critical illness insurance end at 75? | Can I keep my group critical illness coverage after I retire?</t>
        </is>
      </c>
      <c r="V129" s="25" t="inlineStr">
        <is>
          <t>Issue-age and expiry table for common product types (term, to 75, to 100, simplified issue) plus modelled example premiums at 50, 55, 60 and 65, labelled as estimates with profile and date.</t>
        </is>
      </c>
      <c r="W129" s="25" t="inlineStr">
        <is>
          <t>/critical-illness-insurance/; /long-term-care-insurance/; /life-insurance/seniors/; /guides/critical-illness-insurance-cost-canada/</t>
        </is>
      </c>
      <c r="X129" s="25" t="inlineStr">
        <is>
          <t>Instant critical illness estimate (/critical-illness-insurance/)</t>
        </is>
      </c>
      <c r="Y129" s="36" t="inlineStr">
        <is>
          <t>Article; FAQPage; BreadcrumbList</t>
        </is>
      </c>
      <c r="Z129" s="37" t="n">
        <v>1400</v>
      </c>
      <c r="AA129" s="25" t="inlineStr">
        <is>
          <t>PolicyAdvisor covers life insurance for seniors and life age limits, not critical illness; no seniors-specific CI guide surfaced.</t>
        </is>
      </c>
      <c r="AB129" s="25" t="inlineStr">
        <is>
          <t>Focus keyword in the H1, slug, meta title, first 100 words and first H2, with a 40 to 60 word answer on typical issue-age ceilings. Use the issue-age table and the age-band premium table; anchor 'long-term care insurance' to /long-term-care-insurance/. Licensed reviewer; review annually.</t>
        </is>
      </c>
      <c r="AC129" s="25" t="inlineStr">
        <is>
          <t>Verify issue and expiry ages per insurer; label modelled premiums as estimates with profile and date.</t>
        </is>
      </c>
      <c r="AD129" s="36" t="inlineStr">
        <is>
          <t>Annual</t>
        </is>
      </c>
      <c r="AE129" s="38" t="n"/>
      <c r="AF129" s="38" t="n"/>
      <c r="AG129" s="38" t="n"/>
    </row>
    <row r="130" ht="46.25" customHeight="1" s="22">
      <c r="A130" s="36">
        <f>"B"&amp;TEXT(ROW()-1,"0000")</f>
        <v/>
      </c>
      <c r="B130" s="38" t="inlineStr">
        <is>
          <t>Published</t>
        </is>
      </c>
      <c r="C130" s="36" t="n">
        <v>1</v>
      </c>
      <c r="D130" s="36" t="inlineStr">
        <is>
          <t>Disability insurance</t>
        </is>
      </c>
      <c r="E130" s="36" t="inlineStr">
        <is>
          <t>Cost &amp; pricing</t>
        </is>
      </c>
      <c r="F130" s="25" t="inlineStr">
        <is>
          <t>How Much Does Disability Insurance Cost in Canada?</t>
        </is>
      </c>
      <c r="G130" s="36" t="inlineStr">
        <is>
          <t>https://instasure.ca/guides/disability-insurance-cost-canada/</t>
        </is>
      </c>
      <c r="H130" s="36" t="inlineStr">
        <is>
          <t>disability insurance cost</t>
        </is>
      </c>
      <c r="I130" s="41">
        <f>IFERROR(INDEX('Nationwide KWs'!$D$2:$D$168,MATCH(H130,'Nationwide KWs'!$A$2:$A$168,0)),IFERROR(INDEX('Provincial KWs'!$E$2:$E$137,MATCH(H130,'Provincial KWs'!$A$2:$A$137,0)),IFERROR(INDEX('City KWs'!$F$2:$F$419,MATCH(H130,'City KWs'!$A$2:$A$419,0)),"")))</f>
        <v/>
      </c>
      <c r="J130" s="36" t="inlineStr">
        <is>
          <t>Low</t>
        </is>
      </c>
      <c r="K130" s="25" t="inlineStr">
        <is>
          <t>how much is disability insurance; disability insurance cost per month canada; long term disability insurance cost; disability insurance premium by occupation; income protection insurance cost</t>
        </is>
      </c>
      <c r="L130" s="36" t="inlineStr">
        <is>
          <t>Nationwide</t>
        </is>
      </c>
      <c r="M130" s="36" t="inlineStr">
        <is>
          <t>commercial</t>
        </is>
      </c>
      <c r="N130" s="36" t="inlineStr">
        <is>
          <t>MOFU</t>
        </is>
      </c>
      <c r="O130" s="25" t="inlineStr">
        <is>
          <t>Disability Insurance Cost in Canada: What You'll Pay</t>
        </is>
      </c>
      <c r="P130" s="36">
        <f>LEN(O130)</f>
        <v/>
      </c>
      <c r="Q130" s="25" t="inlineStr">
        <is>
          <t>See modelled disability insurance cost by age, income, occupation class and waiting period, the levers that cut the premium, and group vs individual cost.</t>
        </is>
      </c>
      <c r="R130" s="36">
        <f>LEN(Q130)</f>
        <v/>
      </c>
      <c r="S130" s="36">
        <f>IF(H130="","",IF(ISNUMBER(SEARCH(SUBSTITUTE(H130,"-"," "),SUBSTITUTE(O130,"-"," "))),"Yes","Check"))</f>
        <v/>
      </c>
      <c r="T130" s="25" t="inlineStr">
        <is>
          <t>How much disability insurance costs (quick answer) | Example monthly premiums by age, income and occupation class | Waiting period and benefit period: the biggest price levers | Own-occupation and riders: what they add | Why your job changes the price | Ways to lower the premium without gutting the coverage | Group vs individual cost</t>
        </is>
      </c>
      <c r="U130" s="25" t="inlineStr">
        <is>
          <t>How much is disability insurance per month in Canada? | Why is disability insurance more expensive than life insurance? | Does a longer waiting period lower my premium? | Is disability insurance cheaper through work?</t>
        </is>
      </c>
      <c r="V130" s="25" t="inlineStr">
        <is>
          <t>Dated example-premium table by age (30/40/50), occupation class (office, professional, skilled trade) and waiting period (30/90/120 days) for a stated $5,000 monthly benefit, from the Instasure estimate model.</t>
        </is>
      </c>
      <c r="W130" s="25" t="inlineStr">
        <is>
          <t>/disability-insurance/; /disability-insurance/self-employed/; /guides/disability-insurance-waiting-and-benefit-periods/; /guides/own-occupation-vs-any-occupation-disability-insurance/</t>
        </is>
      </c>
      <c r="X130" s="25" t="inlineStr">
        <is>
          <t>Instant disability insurance estimate (/disability-insurance/)</t>
        </is>
      </c>
      <c r="Y130" s="36" t="inlineStr">
        <is>
          <t>Article; FAQPage; BreadcrumbList</t>
        </is>
      </c>
      <c r="Z130" s="37" t="n">
        <v>1800</v>
      </c>
      <c r="AA130" s="25" t="inlineStr">
        <is>
          <t>PolicyAdvisor ('How Much Does Disability Insurance Cost?') covers this without a dated table by occupation class and waiting period; Ratehub's DI page is thin.</t>
        </is>
      </c>
      <c r="AB130" s="25" t="inlineStr">
        <is>
          <t>Put 'disability insurance cost' in the H1, slug, meta title, first 100 words and first H2, and answer in 40 to 60 words with an example range for a stated profile labelled as an estimate. Build the three-way premium table and a lever list; anchor 'self-employed disability insurance' to the desk page. Licensed life and A&amp;S reviewer; refresh the table quarterly.</t>
        </is>
      </c>
      <c r="AC130" s="25" t="inlineStr">
        <is>
          <t>Premiums are modelled estimates for a stated profile and date and must be checked against carrier quotes; occupation classes vary by insurer, so present them as typical groupings.</t>
        </is>
      </c>
      <c r="AD130" s="36" t="inlineStr">
        <is>
          <t>Quarterly</t>
        </is>
      </c>
      <c r="AE130" s="38" t="inlineStr">
        <is>
          <t>Michael Le Chi</t>
        </is>
      </c>
      <c r="AF130" s="38" t="n"/>
      <c r="AG130" s="38" t="inlineStr">
        <is>
          <t>2026-10-12</t>
        </is>
      </c>
    </row>
    <row r="131" ht="46.25" customHeight="1" s="22">
      <c r="A131" s="36">
        <f>"B"&amp;TEXT(ROW()-1,"0000")</f>
        <v/>
      </c>
      <c r="B131" s="38" t="inlineStr">
        <is>
          <t>Planned</t>
        </is>
      </c>
      <c r="C131" s="36" t="n">
        <v>1</v>
      </c>
      <c r="D131" s="36" t="inlineStr">
        <is>
          <t>Disability insurance</t>
        </is>
      </c>
      <c r="E131" s="36" t="inlineStr">
        <is>
          <t>Personas</t>
        </is>
      </c>
      <c r="F131" s="25" t="inlineStr">
        <is>
          <t>Disability Insurance for Gig Workers and Freelancers in Canada</t>
        </is>
      </c>
      <c r="G131" s="36" t="inlineStr">
        <is>
          <t>https://instasure.ca/guides/disability-insurance-for-gig-workers/</t>
        </is>
      </c>
      <c r="H131" s="36" t="inlineStr">
        <is>
          <t>disability insurance for gig workers</t>
        </is>
      </c>
      <c r="I131" s="41">
        <f>IFERROR(INDEX('Nationwide KWs'!$D$2:$D$168,MATCH(H131,'Nationwide KWs'!$A$2:$A$168,0)),IFERROR(INDEX('Provincial KWs'!$E$2:$E$137,MATCH(H131,'Provincial KWs'!$A$2:$A$137,0)),IFERROR(INDEX('City KWs'!$F$2:$F$419,MATCH(H131,'City KWs'!$A$2:$A$419,0)),"")))</f>
        <v/>
      </c>
      <c r="J131" s="36" t="inlineStr">
        <is>
          <t>Niche</t>
        </is>
      </c>
      <c r="K131" s="25" t="inlineStr">
        <is>
          <t>income protection for freelancers canada; disability insurance for uber drivers; disability insurance for contractors; accident and sickness insurance gig workers; doordash driver injury income</t>
        </is>
      </c>
      <c r="L131" s="36" t="inlineStr">
        <is>
          <t>Nationwide</t>
        </is>
      </c>
      <c r="M131" s="36" t="inlineStr">
        <is>
          <t>commercial</t>
        </is>
      </c>
      <c r="N131" s="36" t="inlineStr">
        <is>
          <t>MOFU</t>
        </is>
      </c>
      <c r="O131" s="25" t="inlineStr">
        <is>
          <t>Disability Insurance for Gig Workers and Freelancers</t>
        </is>
      </c>
      <c r="P131" s="36">
        <f>LEN(O131)</f>
        <v/>
      </c>
      <c r="Q131" s="25" t="inlineStr">
        <is>
          <t>Disability insurance for gig workers and freelancers: proving variable income, accident-only plans, getting hurt while driving and a protection stack.</t>
        </is>
      </c>
      <c r="R131" s="36">
        <f>LEN(Q131)</f>
        <v/>
      </c>
      <c r="S131" s="36">
        <f>IF(H131="","",IF(ISNUMBER(SEARCH(SUBSTITUTE(H131,"-"," "),SUBSTITUTE(O131,"-"," "))),"Yes","Check"))</f>
        <v/>
      </c>
      <c r="T131" s="25" t="inlineStr">
        <is>
          <t>Can gig workers get disability insurance? (quick answer) | Why platform work leaves an income gap | Proving variable income to an insurer | Accident-only and simplified-issue plans | What happens if you're hurt while driving | Building a low-cost protection stack | How to apply when income is new or uneven</t>
        </is>
      </c>
      <c r="U131" s="25" t="inlineStr">
        <is>
          <t>Can Uber or DoorDash drivers get disability insurance? | How do insurers verify gig income? | What is accident and sickness insurance? | Does my car insurance cover lost income if I'm hurt delivering?</t>
        </is>
      </c>
      <c r="V131" s="25" t="inlineStr">
        <is>
          <t>A 'protection stack' checklist for gig workers (EI special benefits opt-in, accident-only cover, individual DI, auto accident benefits) and a table of the income documents insurers typically accept.</t>
        </is>
      </c>
      <c r="W131" s="25" t="inlineStr">
        <is>
          <t>/disability-insurance/self-employed/; /car-insurance/rideshare-and-delivery/; /guides/gig-driver-insurance-uber-doordash-ontario/; /guides/ontario-income-replacement-opt-out-disability-insurance/</t>
        </is>
      </c>
      <c r="X131" s="25" t="inlineStr">
        <is>
          <t>Request a specialist call: Self-employed income protection desk (/disability-insurance/self-employed/)</t>
        </is>
      </c>
      <c r="Y131" s="36" t="inlineStr">
        <is>
          <t>Article; FAQPage; BreadcrumbList</t>
        </is>
      </c>
      <c r="Z131" s="37" t="n">
        <v>1600</v>
      </c>
      <c r="AA131" s="25" t="inlineStr">
        <is>
          <t>No competitor coverage seen; the research lists gig workers as an uncovered DI occupation and the strategy notes nobody links gig coverage to disability cover.</t>
        </is>
      </c>
      <c r="AB131" s="25" t="inlineStr">
        <is>
          <t>Focus keyword in the H1, slug, meta title, first 100 words and first H2; answer in 40 to 60 words that yes, with income proof and plan-type caveats. Place the protection-stack checklist and desk call-back block high; anchor 'gig driver insurance in Ontario' to the existing guide and 'rideshare insurance' to /car-insurance/rideshare-and-delivery/. Reviewed by the desk advisor; review annually.</t>
        </is>
      </c>
      <c r="AC131" s="25" t="inlineStr">
        <is>
          <t>Underwriting for variable income varies by insurer, so never promise approval; verify EI special benefits rules for the self-employed on canada.ca.</t>
        </is>
      </c>
      <c r="AD131" s="36" t="inlineStr">
        <is>
          <t>Annual</t>
        </is>
      </c>
      <c r="AE131" s="38" t="n"/>
      <c r="AF131" s="38" t="n"/>
      <c r="AG131" s="38" t="n"/>
    </row>
    <row r="132" ht="57.45" customHeight="1" s="22">
      <c r="A132" s="36">
        <f>"B"&amp;TEXT(ROW()-1,"0000")</f>
        <v/>
      </c>
      <c r="B132" s="38" t="inlineStr">
        <is>
          <t>Planned</t>
        </is>
      </c>
      <c r="C132" s="36" t="n">
        <v>1</v>
      </c>
      <c r="D132" s="36" t="inlineStr">
        <is>
          <t>Disability insurance</t>
        </is>
      </c>
      <c r="E132" s="36" t="inlineStr">
        <is>
          <t>Regulation (province)</t>
        </is>
      </c>
      <c r="F132" s="25" t="inlineStr">
        <is>
          <t>Opted Out of Income Replacement in Ontario? How Disability Insurance Fills the Gap</t>
        </is>
      </c>
      <c r="G132" s="36" t="inlineStr">
        <is>
          <t>https://instasure.ca/guides/ontario-income-replacement-opt-out-disability-insurance/</t>
        </is>
      </c>
      <c r="H132" s="36" t="inlineStr">
        <is>
          <t>income replacement benefit vs disability insurance</t>
        </is>
      </c>
      <c r="I132" s="41">
        <f>IFERROR(INDEX('Nationwide KWs'!$D$2:$D$168,MATCH(H132,'Nationwide KWs'!$A$2:$A$168,0)),IFERROR(INDEX('Provincial KWs'!$E$2:$E$137,MATCH(H132,'Provincial KWs'!$A$2:$A$137,0)),IFERROR(INDEX('City KWs'!$F$2:$F$419,MATCH(H132,'City KWs'!$A$2:$A$419,0)),"")))</f>
        <v/>
      </c>
      <c r="J132" s="36" t="inlineStr">
        <is>
          <t>Low</t>
        </is>
      </c>
      <c r="K132" s="25" t="inlineStr">
        <is>
          <t>ontario income replacement benefit opt out; optional accident benefits ontario; do i need disability insurance if i opt out; income replacement benefit ontario 2026; self employed accident benefits ontario</t>
        </is>
      </c>
      <c r="L132" s="36" t="inlineStr">
        <is>
          <t>Province: Ontario</t>
        </is>
      </c>
      <c r="M132" s="36" t="inlineStr">
        <is>
          <t>informational</t>
        </is>
      </c>
      <c r="N132" s="36" t="inlineStr">
        <is>
          <t>MOFU</t>
        </is>
      </c>
      <c r="O132" s="25" t="inlineStr">
        <is>
          <t>Income Replacement Benefit vs Disability Insurance (ON)</t>
        </is>
      </c>
      <c r="P132" s="36">
        <f>LEN(O132)</f>
        <v/>
      </c>
      <c r="Q132" s="25" t="inlineStr">
        <is>
          <t>Dropped Ontario's optional income replacement benefit? Compare what you saved with what individual disability insurance costs, worked out for 3 drivers.</t>
        </is>
      </c>
      <c r="R132" s="36">
        <f>LEN(Q132)</f>
        <v/>
      </c>
      <c r="S132" s="36">
        <f>IF(H132="","",IF(ISNUMBER(SEARCH(SUBSTITUTE(H132,"-"," "),SUBSTITUTE(O132,"-"," "))),"Yes","Check"))</f>
        <v/>
      </c>
      <c r="T132" s="25" t="inlineStr">
        <is>
          <t>Income replacement vs disability insurance (quick answer) | What changed for Ontario accident benefits in July 2026 | Who loses the most by opting out | What individual disability insurance covers that auto benefits don't | Worked example: auto saving vs cost of disability cover | Should you add the optional benefit back at renewal? | Checklist before your renewal</t>
        </is>
      </c>
      <c r="U132" s="25" t="inlineStr">
        <is>
          <t>Should I opt out of income replacement benefits in Ontario? | Does disability insurance cover car accidents? | Can I add income replacement back after opting out? | Do self-employed drivers need income replacement coverage?</t>
        </is>
      </c>
      <c r="V132" s="25" t="inlineStr">
        <is>
          <t>Worked side-by-side for three Ontario drivers (salaried with group LTD, self-employed, gig driver) comparing the auto premium saving with the modelled cost of individual disability cover, plus a renewal checklist.</t>
        </is>
      </c>
      <c r="W132" s="25" t="inlineStr">
        <is>
          <t>/guides/ontario-auto-insurance-changes-july-2026/; /car-insurance/accident-benefits-review/; /disability-insurance/ontario/; /disability-insurance/self-employed/</t>
        </is>
      </c>
      <c r="X132" s="25" t="inlineStr">
        <is>
          <t>Request a specialist call: Self-employed income protection desk (/disability-insurance/self-employed/)</t>
        </is>
      </c>
      <c r="Y132" s="36" t="inlineStr">
        <is>
          <t>Article; FAQPage; BreadcrumbList</t>
        </is>
      </c>
      <c r="Z132" s="37" t="n">
        <v>1800</v>
      </c>
      <c r="AA132" s="25" t="inlineStr">
        <is>
          <t>thebig.ca and ThinkInsure explain the income replacement opt-out but stop at auto insurance; no competitor connects it to individual disability insurance (strategy gap).</t>
        </is>
      </c>
      <c r="AB132" s="25" t="inlineStr">
        <is>
          <t>Focus keyword in the H1, slug, meta title, first 100 words and first H2; the 40 to 60 word answer should say auto income replacement covers only crashes while DI covers illness and injury anywhere. Lead with the three-driver table, then the checklist; anchor 'Ontario auto insurance changes' to the existing guide and 'accident benefits review' to the Ontario desk page. Licensed A&amp;S reviewer, FSRA sources, refresh on any rule change.</t>
        </is>
      </c>
      <c r="AC132" s="25" t="inlineStr">
        <is>
          <t>Verify which benefits became optional on July 1, 2026, and the roughly 5% saving estimate against FSRA and the regulation text; disability premiums are modelled estimates. Do not advise anyone to opt out.</t>
        </is>
      </c>
      <c r="AD132" s="36" t="inlineStr">
        <is>
          <t>On rule change</t>
        </is>
      </c>
      <c r="AE132" s="38" t="n"/>
      <c r="AF132" s="38" t="n"/>
      <c r="AG132" s="38" t="n"/>
    </row>
    <row r="133" ht="46.25" customHeight="1" s="22">
      <c r="A133" s="36">
        <f>"B"&amp;TEXT(ROW()-1,"0000")</f>
        <v/>
      </c>
      <c r="B133" s="38" t="inlineStr">
        <is>
          <t>Planned</t>
        </is>
      </c>
      <c r="C133" s="36" t="n">
        <v>1</v>
      </c>
      <c r="D133" s="36" t="inlineStr">
        <is>
          <t>Disability insurance</t>
        </is>
      </c>
      <c r="E133" s="36" t="inlineStr">
        <is>
          <t>Underwriting</t>
        </is>
      </c>
      <c r="F133" s="25" t="inlineStr">
        <is>
          <t>How Disability Insurers Read Self-Employed Income: Tax Returns, Dividends and Salary</t>
        </is>
      </c>
      <c r="G133" s="36" t="inlineStr">
        <is>
          <t>https://instasure.ca/guides/disability-insurance-self-employed-income-proof/</t>
        </is>
      </c>
      <c r="H133" s="36" t="inlineStr">
        <is>
          <t>disability insurance self employed income</t>
        </is>
      </c>
      <c r="I133" s="41">
        <f>IFERROR(INDEX('Nationwide KWs'!$D$2:$D$168,MATCH(H133,'Nationwide KWs'!$A$2:$A$168,0)),IFERROR(INDEX('Provincial KWs'!$E$2:$E$137,MATCH(H133,'Provincial KWs'!$A$2:$A$137,0)),IFERROR(INDEX('City KWs'!$F$2:$F$419,MATCH(H133,'City KWs'!$A$2:$A$419,0)),"")))</f>
        <v/>
      </c>
      <c r="J133" s="36" t="inlineStr">
        <is>
          <t>Niche</t>
        </is>
      </c>
      <c r="K133" s="25" t="inlineStr">
        <is>
          <t>proving income for disability insurance; disability insurance incorporated business owner; salary vs dividends disability insurance; T2125 disability insurance; disability insurance new business owner</t>
        </is>
      </c>
      <c r="L133" s="36" t="inlineStr">
        <is>
          <t>Nationwide</t>
        </is>
      </c>
      <c r="M133" s="36" t="inlineStr">
        <is>
          <t>commercial</t>
        </is>
      </c>
      <c r="N133" s="36" t="inlineStr">
        <is>
          <t>MOFU</t>
        </is>
      </c>
      <c r="O133" s="25" t="inlineStr">
        <is>
          <t>Disability Insurance and Self-Employed Income Proof</t>
        </is>
      </c>
      <c r="P133" s="36">
        <f>LEN(O133)</f>
        <v/>
      </c>
      <c r="Q133" s="25" t="inlineStr">
        <is>
          <t>How disability insurers read self-employed income from T2125s, salary and dividends, what shrinks your benefit and the documents to gather first.</t>
        </is>
      </c>
      <c r="R133" s="36">
        <f>LEN(Q133)</f>
        <v/>
      </c>
      <c r="S133" s="36">
        <f>IF(H133="","",IF(ISNUMBER(SEARCH(SUBSTITUTE(H133,"-"," "),SUBSTITUTE(O133,"-"," "))),"Yes","Check"))</f>
        <v/>
      </c>
      <c r="T133" s="25" t="inlineStr">
        <is>
          <t>How insurers set your benefit when you're self-employed (quick answer) | Net business income vs gross: the T2125 view | Incorporated owners: salary, dividends and retained earnings | New businesses and income averaging | Write-offs that shrink your insurable income | Documents to prepare before you apply | Worked examples: sole proprietor vs incorporated consultant</t>
        </is>
      </c>
      <c r="U133" s="25" t="inlineStr">
        <is>
          <t>How much disability insurance can I get if I'm self-employed? | Do dividends count as income for disability insurance? | Can I get disability insurance in my first year of business? | Do insurers use gross or net income?</t>
        </is>
      </c>
      <c r="V133" s="25" t="inlineStr">
        <is>
          <t>Two worked examples (sole proprietor filing a T2125 and an incorporated consultant paying salary plus dividends) showing how insurable income and the maximum benefit are typically calculated, plus a document checklist.</t>
        </is>
      </c>
      <c r="W133" s="25" t="inlineStr">
        <is>
          <t>/disability-insurance/self-employed/; /guides/disability-insurance-cost-canada/; /guides/business-overhead-expense-insurance/</t>
        </is>
      </c>
      <c r="X133" s="25" t="inlineStr">
        <is>
          <t>Request a specialist call: Self-employed income protection desk (/disability-insurance/self-employed/)</t>
        </is>
      </c>
      <c r="Y133" s="36" t="inlineStr">
        <is>
          <t>Article; FAQPage; BreadcrumbList</t>
        </is>
      </c>
      <c r="Z133" s="37" t="n">
        <v>1700</v>
      </c>
      <c r="AA133" s="25" t="inlineStr">
        <is>
          <t>No competitor coverage seen; PolicyAdvisor's self-employed magazine piece covers coverage types, not income underwriting.</t>
        </is>
      </c>
      <c r="AB133" s="25" t="inlineStr">
        <is>
          <t>Focus keyword in the H1, slug, meta title, first 100 words and first H2; answer in 40 to 60 words that insurers usually work from net income on tax returns. Show both worked examples as tables and the document checklist; put the desk call-back after the examples. Reviewed by the desk advisor; review annually.</t>
        </is>
      </c>
      <c r="AC133" s="25" t="inlineStr">
        <is>
          <t>Issue and participation limits and income definitions vary by insurer; describe them as typical and have the desk advisor review. Tax form names must match CRA forms.</t>
        </is>
      </c>
      <c r="AD133" s="36" t="inlineStr">
        <is>
          <t>Annual</t>
        </is>
      </c>
      <c r="AE133" s="38" t="n"/>
      <c r="AF133" s="38" t="n"/>
      <c r="AG133" s="38" t="n"/>
    </row>
    <row r="134" ht="46.25" customHeight="1" s="22">
      <c r="A134" s="36">
        <f>"B"&amp;TEXT(ROW()-1,"0000")</f>
        <v/>
      </c>
      <c r="B134" s="38" t="inlineStr">
        <is>
          <t>Planned</t>
        </is>
      </c>
      <c r="C134" s="36" t="n">
        <v>2</v>
      </c>
      <c r="D134" s="36" t="inlineStr">
        <is>
          <t>Disability insurance</t>
        </is>
      </c>
      <c r="E134" s="36" t="inlineStr">
        <is>
          <t>Business owners</t>
        </is>
      </c>
      <c r="F134" s="25" t="inlineStr">
        <is>
          <t>Business Overhead Expense Insurance: How It Works and What It Covers</t>
        </is>
      </c>
      <c r="G134" s="36" t="inlineStr">
        <is>
          <t>https://instasure.ca/guides/business-overhead-expense-insurance/</t>
        </is>
      </c>
      <c r="H134" s="36" t="inlineStr">
        <is>
          <t>business overhead expense insurance</t>
        </is>
      </c>
      <c r="I134" s="41">
        <f>IFERROR(INDEX('Nationwide KWs'!$D$2:$D$168,MATCH(H134,'Nationwide KWs'!$A$2:$A$168,0)),IFERROR(INDEX('Provincial KWs'!$E$2:$E$137,MATCH(H134,'Provincial KWs'!$A$2:$A$137,0)),IFERROR(INDEX('City KWs'!$F$2:$F$419,MATCH(H134,'City KWs'!$A$2:$A$419,0)),"")))</f>
        <v/>
      </c>
      <c r="J134" s="36" t="inlineStr">
        <is>
          <t>Niche</t>
        </is>
      </c>
      <c r="K134" s="25" t="inlineStr">
        <is>
          <t>boe insurance canada; overhead expense disability insurance; business overhead insurance cost; is business overhead insurance tax deductible; boe vs personal disability insurance</t>
        </is>
      </c>
      <c r="L134" s="36" t="inlineStr">
        <is>
          <t>Nationwide</t>
        </is>
      </c>
      <c r="M134" s="36" t="inlineStr">
        <is>
          <t>commercial</t>
        </is>
      </c>
      <c r="N134" s="36" t="inlineStr">
        <is>
          <t>MOFU</t>
        </is>
      </c>
      <c r="O134" s="25" t="inlineStr">
        <is>
          <t>Business Overhead Expense Insurance: How It Works</t>
        </is>
      </c>
      <c r="P134" s="36">
        <f>LEN(O134)</f>
        <v/>
      </c>
      <c r="Q134" s="25" t="inlineStr">
        <is>
          <t>How business overhead expense insurance keeps rent, staff and leases paid while you recover, what it excludes, its tax treatment and who needs it.</t>
        </is>
      </c>
      <c r="R134" s="36">
        <f>LEN(Q134)</f>
        <v/>
      </c>
      <c r="S134" s="36">
        <f>IF(H134="","",IF(ISNUMBER(SEARCH(SUBSTITUTE(H134,"-"," "),SUBSTITUTE(O134,"-"," "))),"Yes","Check"))</f>
        <v/>
      </c>
      <c r="T134" s="25" t="inlineStr">
        <is>
          <t>What business overhead expense insurance does (quick answer) | Eligible expenses: rent, staff, utilities, leases | What's not covered | Benefit periods and waiting periods | Tax treatment: deductible premiums, taxable benefits | BOE vs personal disability insurance | Who needs it: professionals, clinics and small firms</t>
        </is>
      </c>
      <c r="U134" s="25" t="inlineStr">
        <is>
          <t>Is business overhead expense insurance tax deductible? | How long does business overhead insurance pay? | Does BOE cover my own salary? | Can I buy BOE without personal disability insurance?</t>
        </is>
      </c>
      <c r="V134" s="25" t="inlineStr">
        <is>
          <t>Eligible-expense checklist and a worked example for a dental or physiotherapy clinic showing monthly overhead, the BOE benefit and how it pairs with personal DI.</t>
        </is>
      </c>
      <c r="W134" s="25" t="inlineStr">
        <is>
          <t>/disability-insurance/self-employed/; /business-insurance/; /guides/critical-illness-insurance-for-business-owners/; /guides/disability-insurance-for-physicians-and-dentists/</t>
        </is>
      </c>
      <c r="X134" s="25" t="inlineStr">
        <is>
          <t>Request a specialist call: Self-employed income protection desk (/disability-insurance/self-employed/)</t>
        </is>
      </c>
      <c r="Y134" s="36" t="inlineStr">
        <is>
          <t>Article; FAQPage; BreadcrumbList</t>
        </is>
      </c>
      <c r="Z134" s="37" t="n">
        <v>1400</v>
      </c>
      <c r="AA134" s="25" t="inlineStr">
        <is>
          <t>The Instasure service page mentions BOE; no competitor BOE guide surfaced in the research.</t>
        </is>
      </c>
      <c r="AB134" s="25" t="inlineStr">
        <is>
          <t>Focus keyword in the H1, slug, meta title, first 100 words and first H2, with a 40 to 60 word definition. Use the expense checklist and the clinic example table; anchor 'self-employed disability insurance' to the desk page and 'business insurance' to /business-insurance/. Licensed reviewer plus accountant note on tax; review annually.</t>
        </is>
      </c>
      <c r="AC134" s="25" t="inlineStr">
        <is>
          <t>Verify tax treatment with CRA guidance (premiums generally deductible, benefits taxable) and insurer limits; label as general information.</t>
        </is>
      </c>
      <c r="AD134" s="36" t="inlineStr">
        <is>
          <t>Annual</t>
        </is>
      </c>
      <c r="AE134" s="38" t="n"/>
      <c r="AF134" s="38" t="n"/>
      <c r="AG134" s="38" t="n"/>
    </row>
    <row r="135" ht="35.05" customHeight="1" s="22">
      <c r="A135" s="36">
        <f>"B"&amp;TEXT(ROW()-1,"0000")</f>
        <v/>
      </c>
      <c r="B135" s="38" t="inlineStr">
        <is>
          <t>Planned</t>
        </is>
      </c>
      <c r="C135" s="36" t="n">
        <v>2</v>
      </c>
      <c r="D135" s="36" t="inlineStr">
        <is>
          <t>Disability insurance</t>
        </is>
      </c>
      <c r="E135" s="36" t="inlineStr">
        <is>
          <t>Comparisons</t>
        </is>
      </c>
      <c r="F135" s="25" t="inlineStr">
        <is>
          <t>Group vs Individual Disability Insurance: Is Your Workplace LTD Enough?</t>
        </is>
      </c>
      <c r="G135" s="36" t="inlineStr">
        <is>
          <t>https://instasure.ca/guides/group-vs-individual-disability-insurance/</t>
        </is>
      </c>
      <c r="H135" s="36" t="inlineStr">
        <is>
          <t>group vs individual disability insurance</t>
        </is>
      </c>
      <c r="I135" s="41">
        <f>IFERROR(INDEX('Nationwide KWs'!$D$2:$D$168,MATCH(H135,'Nationwide KWs'!$A$2:$A$168,0)),IFERROR(INDEX('Provincial KWs'!$E$2:$E$137,MATCH(H135,'Provincial KWs'!$A$2:$A$137,0)),IFERROR(INDEX('City KWs'!$F$2:$F$419,MATCH(H135,'City KWs'!$A$2:$A$419,0)),"")))</f>
        <v/>
      </c>
      <c r="J135" s="36" t="inlineStr">
        <is>
          <t>Niche</t>
        </is>
      </c>
      <c r="K135" s="25" t="inlineStr">
        <is>
          <t>is my group ltd enough; individual disability insurance on top of group; group ltd portability; top up disability insurance; group disability insurance canada</t>
        </is>
      </c>
      <c r="L135" s="36" t="inlineStr">
        <is>
          <t>Nationwide</t>
        </is>
      </c>
      <c r="M135" s="36" t="inlineStr">
        <is>
          <t>commercial</t>
        </is>
      </c>
      <c r="N135" s="36" t="inlineStr">
        <is>
          <t>MOFU</t>
        </is>
      </c>
      <c r="O135" s="25" t="inlineStr">
        <is>
          <t>Group vs Individual Disability Insurance Compared</t>
        </is>
      </c>
      <c r="P135" s="36">
        <f>LEN(O135)</f>
        <v/>
      </c>
      <c r="Q135" s="25" t="inlineStr">
        <is>
          <t>Is your workplace LTD enough? Compare group vs individual disability insurance on caps, tax, definitions and portability, then check your booklet.</t>
        </is>
      </c>
      <c r="R135" s="36">
        <f>LEN(Q135)</f>
        <v/>
      </c>
      <c r="S135" s="36">
        <f>IF(H135="","",IF(ISNUMBER(SEARCH(SUBSTITUTE(H135,"-"," "),SUBSTITUTE(O135,"-"," "))),"Yes","Check"))</f>
        <v/>
      </c>
      <c r="T135" s="25" t="inlineStr">
        <is>
          <t>Group or individual disability insurance? (quick answer) | Five gaps in typical group LTD | Benefit caps and taxable benefits for higher earners | What happens when you leave your job | Topping up with an individual policy | Cost compared for the same person | Checklist: read your benefits booklet in 10 minutes</t>
        </is>
      </c>
      <c r="U135" s="25" t="inlineStr">
        <is>
          <t>Is group disability insurance enough? | Can I take my group LTD with me if I leave my job? | Can I have both group and individual disability insurance? | Are group LTD benefits taxable?</t>
        </is>
      </c>
      <c r="V135" s="25" t="inlineStr">
        <is>
          <t>A 10-minute benefits-booklet checklist (benefit percentage, maximum, definition, taxability, offsets, portability) and a worked top-up example for a $120,000 earner.</t>
        </is>
      </c>
      <c r="W135" s="25" t="inlineStr">
        <is>
          <t>/disability-insurance/; /guides/long-term-disability-insurance-explained/; /guides/is-disability-insurance-taxable-canada/; /group-benefits/</t>
        </is>
      </c>
      <c r="X135" s="25" t="inlineStr">
        <is>
          <t>Instant disability insurance estimate (/disability-insurance/)</t>
        </is>
      </c>
      <c r="Y135" s="36" t="inlineStr">
        <is>
          <t>Article; FAQPage; BreadcrumbList</t>
        </is>
      </c>
      <c r="Z135" s="37" t="n">
        <v>1600</v>
      </c>
      <c r="AA135" s="25" t="inlineStr">
        <is>
          <t>No competitor coverage seen (PolicyAdvisor covers DI vs disability riders, not group vs individual).</t>
        </is>
      </c>
      <c r="AB135" s="25" t="inlineStr">
        <is>
          <t>Focus keyword in the H1, slug, meta title, first 100 words and first H2; the 40 to 60 word answer should name the cap, tax and portability gaps. Make the booklet checklist printable and the top-up example a table; anchor 'how LTD works' to the LTD explainer. Licensed reviewer; review annually.</t>
        </is>
      </c>
      <c r="AC135" s="25" t="inlineStr">
        <is>
          <t>Group plan features vary; present gaps as common, not universal. Verify top-up issue and participation limits with insurers.</t>
        </is>
      </c>
      <c r="AD135" s="36" t="inlineStr">
        <is>
          <t>Annual</t>
        </is>
      </c>
      <c r="AE135" s="38" t="n"/>
      <c r="AF135" s="38" t="n"/>
      <c r="AG135" s="38" t="n"/>
    </row>
    <row r="136" ht="46.25" customHeight="1" s="22">
      <c r="A136" s="36">
        <f>"B"&amp;TEXT(ROW()-1,"0000")</f>
        <v/>
      </c>
      <c r="B136" s="38" t="inlineStr">
        <is>
          <t>Planned</t>
        </is>
      </c>
      <c r="C136" s="36" t="n">
        <v>2</v>
      </c>
      <c r="D136" s="36" t="inlineStr">
        <is>
          <t>Disability insurance</t>
        </is>
      </c>
      <c r="E136" s="36" t="inlineStr">
        <is>
          <t>Comparisons</t>
        </is>
      </c>
      <c r="F136" s="25" t="inlineStr">
        <is>
          <t>Mortgage Disability Insurance vs Individual Disability Insurance</t>
        </is>
      </c>
      <c r="G136" s="36" t="inlineStr">
        <is>
          <t>https://instasure.ca/guides/mortgage-disability-insurance-vs-individual-disability/</t>
        </is>
      </c>
      <c r="H136" s="36" t="inlineStr">
        <is>
          <t>mortgage disability insurance</t>
        </is>
      </c>
      <c r="I136" s="41">
        <f>IFERROR(INDEX('Nationwide KWs'!$D$2:$D$168,MATCH(H136,'Nationwide KWs'!$A$2:$A$168,0)),IFERROR(INDEX('Provincial KWs'!$E$2:$E$137,MATCH(H136,'Provincial KWs'!$A$2:$A$137,0)),IFERROR(INDEX('City KWs'!$F$2:$F$419,MATCH(H136,'City KWs'!$A$2:$A$419,0)),"")))</f>
        <v/>
      </c>
      <c r="J136" s="36" t="inlineStr">
        <is>
          <t>Low</t>
        </is>
      </c>
      <c r="K136" s="25" t="inlineStr">
        <is>
          <t>mortgage payment protection disability; lender disability insurance canada; creditor disability insurance; disability insurance for mortgage payments; is mortgage disability insurance worth it</t>
        </is>
      </c>
      <c r="L136" s="36" t="inlineStr">
        <is>
          <t>Nationwide</t>
        </is>
      </c>
      <c r="M136" s="36" t="inlineStr">
        <is>
          <t>commercial</t>
        </is>
      </c>
      <c r="N136" s="36" t="inlineStr">
        <is>
          <t>MOFU</t>
        </is>
      </c>
      <c r="O136" s="25" t="inlineStr">
        <is>
          <t>Mortgage Disability Insurance vs Personal Coverage</t>
        </is>
      </c>
      <c r="P136" s="36">
        <f>LEN(O136)</f>
        <v/>
      </c>
      <c r="Q136" s="25" t="inlineStr">
        <is>
          <t>Mortgage disability insurance vs your own disability policy: payment caps, post-claim underwriting and portability, with a worked $500,000 renewal example.</t>
        </is>
      </c>
      <c r="R136" s="36">
        <f>LEN(Q136)</f>
        <v/>
      </c>
      <c r="S136" s="36">
        <f>IF(H136="","",IF(ISNUMBER(SEARCH(SUBSTITUTE(H136,"-"," "),SUBSTITUTE(O136,"-"," "))),"Yes","Check"))</f>
        <v/>
      </c>
      <c r="T136" s="25" t="inlineStr">
        <is>
          <t>Lender disability cover vs your own policy (quick answer) | How mortgage disability insurance works | Payment caps, maximum months and exclusions | Post-claim underwriting risk | What individual disability insurance covers instead | Cost compared at renewal | What to do at your 2026 mortgage renewal</t>
        </is>
      </c>
      <c r="U136" s="25" t="inlineStr">
        <is>
          <t>Is mortgage disability insurance worth it? | How long does mortgage disability insurance pay? | Can I cancel my lender's disability insurance? | Does disability insurance cover my mortgage payment?</t>
        </is>
      </c>
      <c r="V136" s="25" t="inlineStr">
        <is>
          <t>Side-by-side table (who owns it, benefit, maximum term, underwriting timing, portability) and a worked example for a $500,000 mortgage at renewal.</t>
        </is>
      </c>
      <c r="W136" s="25" t="inlineStr">
        <is>
          <t>/mortgage-life-insurance/; /guides/mortgage-life-insurance-vs-term-life-insurance/; /disability-insurance/; /calculators/mortgage-protection/</t>
        </is>
      </c>
      <c r="X136" s="25" t="inlineStr">
        <is>
          <t>Request a specialist call: Mortgage renewal protection desk (/mortgage-life-insurance/)</t>
        </is>
      </c>
      <c r="Y136" s="36" t="inlineStr">
        <is>
          <t>Article; FAQPage; BreadcrumbList</t>
        </is>
      </c>
      <c r="Z136" s="37" t="n">
        <v>1500</v>
      </c>
      <c r="AA136" s="25" t="inlineStr">
        <is>
          <t>PolicyAdvisor and Ratehub compare mortgage life with term life; no lender disability vs individual DI comparison surfaced.</t>
        </is>
      </c>
      <c r="AB136" s="25" t="inlineStr">
        <is>
          <t>Focus keyword in the H1, slug, meta title, first 100 words and first H2; the 40 to 60 word answer should contrast lender-owned cover with a personal policy. Use the side-by-side table and the renewal example; anchor 'mortgage protection calculator' to /calculators/mortgage-protection/ and 'mortgage life vs term life' to the existing guide. Licensed reviewer; review annually.</t>
        </is>
      </c>
      <c r="AC136" s="25" t="inlineStr">
        <is>
          <t>Lender product caps and exclusions vary; verify against at least two lender certificates and don't criticise named lender products without a published method.</t>
        </is>
      </c>
      <c r="AD136" s="36" t="inlineStr">
        <is>
          <t>Annual</t>
        </is>
      </c>
      <c r="AE136" s="38" t="n"/>
      <c r="AF136" s="38" t="n"/>
      <c r="AG136" s="38" t="n"/>
    </row>
    <row r="137" ht="46.25" customHeight="1" s="22">
      <c r="A137" s="36">
        <f>"B"&amp;TEXT(ROW()-1,"0000")</f>
        <v/>
      </c>
      <c r="B137" s="38" t="inlineStr">
        <is>
          <t>Planned</t>
        </is>
      </c>
      <c r="C137" s="36" t="n">
        <v>2</v>
      </c>
      <c r="D137" s="36" t="inlineStr">
        <is>
          <t>Disability insurance</t>
        </is>
      </c>
      <c r="E137" s="36" t="inlineStr">
        <is>
          <t>Coverage explained</t>
        </is>
      </c>
      <c r="F137" s="25" t="inlineStr">
        <is>
          <t>Disability Insurance Waiting Periods and Benefit Periods: How to Choose</t>
        </is>
      </c>
      <c r="G137" s="36" t="inlineStr">
        <is>
          <t>https://instasure.ca/guides/disability-insurance-waiting-and-benefit-periods/</t>
        </is>
      </c>
      <c r="H137" s="36" t="inlineStr">
        <is>
          <t>disability insurance waiting period</t>
        </is>
      </c>
      <c r="I137" s="41">
        <f>IFERROR(INDEX('Nationwide KWs'!$D$2:$D$168,MATCH(H137,'Nationwide KWs'!$A$2:$A$168,0)),IFERROR(INDEX('Provincial KWs'!$E$2:$E$137,MATCH(H137,'Provincial KWs'!$A$2:$A$137,0)),IFERROR(INDEX('City KWs'!$F$2:$F$419,MATCH(H137,'City KWs'!$A$2:$A$419,0)),"")))</f>
        <v/>
      </c>
      <c r="J137" s="36" t="inlineStr">
        <is>
          <t>Low</t>
        </is>
      </c>
      <c r="K137" s="25" t="inlineStr">
        <is>
          <t>elimination period disability insurance; 90 day waiting period disability; disability benefit period to age 65; 2 year vs 5 year benefit period; how long do i need disability coverage</t>
        </is>
      </c>
      <c r="L137" s="36" t="inlineStr">
        <is>
          <t>Nationwide</t>
        </is>
      </c>
      <c r="M137" s="36" t="inlineStr">
        <is>
          <t>informational</t>
        </is>
      </c>
      <c r="N137" s="36" t="inlineStr">
        <is>
          <t>MOFU</t>
        </is>
      </c>
      <c r="O137" s="25" t="inlineStr">
        <is>
          <t>Disability Insurance Waiting Period: How to Choose</t>
        </is>
      </c>
      <c r="P137" s="36">
        <f>LEN(O137)</f>
        <v/>
      </c>
      <c r="Q137" s="25" t="inlineStr">
        <is>
          <t>Choose a disability insurance waiting period and benefit period with a price-vs-savings matrix, EI sickness timing and three ways to structure one policy.</t>
        </is>
      </c>
      <c r="R137" s="36">
        <f>LEN(Q137)</f>
        <v/>
      </c>
      <c r="S137" s="36">
        <f>IF(H137="","",IF(ISNUMBER(SEARCH(SUBSTITUTE(H137,"-"," "),SUBSTITUTE(O137,"-"," "))),"Yes","Check"))</f>
        <v/>
      </c>
      <c r="T137" s="25" t="inlineStr">
        <is>
          <t>Waiting and benefit periods (quick answer) | How the waiting (elimination) period works | 30, 60, 90 or 120 days: price vs savings trade-off | Benefit periods: 2 years, 5 years or to age 65 | Matching periods to EI sickness benefits and savings | Worked example: three ways to structure one policy | Recurrent disability and partial-month rules</t>
        </is>
      </c>
      <c r="U137" s="25" t="inlineStr">
        <is>
          <t>What is a good waiting period for disability insurance? | Does the waiting period restart if I go back to work? | Should my benefit period last to age 65? | Can EI sickness benefits cover my waiting period?</t>
        </is>
      </c>
      <c r="V137" s="25" t="inlineStr">
        <is>
          <t>A matrix showing relative premium for each waiting × benefit period combination (indexed, from the estimate model) and a savings-runway worksheet for picking the waiting period.</t>
        </is>
      </c>
      <c r="W137" s="25" t="inlineStr">
        <is>
          <t>/disability-insurance/; /guides/disability-insurance-cost-canada/; /guides/ei-sickness-cpp-disability-vs-private-disability-insurance/</t>
        </is>
      </c>
      <c r="X137" s="25" t="inlineStr">
        <is>
          <t>Instant disability insurance estimate (/disability-insurance/)</t>
        </is>
      </c>
      <c r="Y137" s="36" t="inlineStr">
        <is>
          <t>Article; FAQPage; BreadcrumbList</t>
        </is>
      </c>
      <c r="Z137" s="37" t="n">
        <v>1500</v>
      </c>
      <c r="AA137" s="25" t="inlineStr">
        <is>
          <t>PolicyAdvisor has 'How Long Do I Need Disability Insurance?' on benefit length; no combined waiting × benefit period matrix surfaced.</t>
        </is>
      </c>
      <c r="AB137" s="25" t="inlineStr">
        <is>
          <t>Focus keyword in the H1, slug, meta title, first 100 words and first H2; the 40 to 60 word answer should name the common 90-day choice and why. Show the matrix as a heat-map table (alt: 'Disability waiting period vs benefit period cost matrix') and the runway worksheet; anchor 'EI sickness benefits' to the public-programs guide. Licensed reviewer; review annually.</t>
        </is>
      </c>
      <c r="AC137" s="25" t="inlineStr">
        <is>
          <t>Verify the EI sickness maximum duration on canada.ca; relative premiums are model outputs and must be labelled as estimates.</t>
        </is>
      </c>
      <c r="AD137" s="36" t="inlineStr">
        <is>
          <t>Annual</t>
        </is>
      </c>
      <c r="AE137" s="38" t="n"/>
      <c r="AF137" s="38" t="n"/>
      <c r="AG137" s="38" t="n"/>
    </row>
    <row r="138" ht="46.25" customHeight="1" s="22">
      <c r="A138" s="36">
        <f>"B"&amp;TEXT(ROW()-1,"0000")</f>
        <v/>
      </c>
      <c r="B138" s="38" t="inlineStr">
        <is>
          <t>Planned</t>
        </is>
      </c>
      <c r="C138" s="36" t="n">
        <v>2</v>
      </c>
      <c r="D138" s="36" t="inlineStr">
        <is>
          <t>Disability insurance</t>
        </is>
      </c>
      <c r="E138" s="36" t="inlineStr">
        <is>
          <t>Coverage explained</t>
        </is>
      </c>
      <c r="F138" s="25" t="inlineStr">
        <is>
          <t>Long-Term Disability Insurance in Canada: How LTD Works</t>
        </is>
      </c>
      <c r="G138" s="36" t="inlineStr">
        <is>
          <t>https://instasure.ca/guides/long-term-disability-insurance-explained/</t>
        </is>
      </c>
      <c r="H138" s="36" t="inlineStr">
        <is>
          <t>long term disability insurance</t>
        </is>
      </c>
      <c r="I138" s="41">
        <f>IFERROR(INDEX('Nationwide KWs'!$D$2:$D$168,MATCH(H138,'Nationwide KWs'!$A$2:$A$168,0)),IFERROR(INDEX('Provincial KWs'!$E$2:$E$137,MATCH(H138,'Provincial KWs'!$A$2:$A$137,0)),IFERROR(INDEX('City KWs'!$F$2:$F$419,MATCH(H138,'City KWs'!$A$2:$A$419,0)),"")))</f>
        <v/>
      </c>
      <c r="J138" s="36" t="inlineStr">
        <is>
          <t>High</t>
        </is>
      </c>
      <c r="K138" s="25" t="inlineStr">
        <is>
          <t>what is long term disability; ltd insurance canada; how much does long term disability pay; ltd offsets cpp disability; how long does long term disability last</t>
        </is>
      </c>
      <c r="L138" s="36" t="inlineStr">
        <is>
          <t>Nationwide</t>
        </is>
      </c>
      <c r="M138" s="36" t="inlineStr">
        <is>
          <t>informational</t>
        </is>
      </c>
      <c r="N138" s="36" t="inlineStr">
        <is>
          <t>TOFU</t>
        </is>
      </c>
      <c r="O138" s="25" t="inlineStr">
        <is>
          <t>Long-Term Disability Insurance: How LTD Works in Canada</t>
        </is>
      </c>
      <c r="P138" s="36">
        <f>LEN(O138)</f>
        <v/>
      </c>
      <c r="Q138" s="25" t="inlineStr">
        <is>
          <t>How long-term disability insurance works in Canada: group vs individual LTD, what it pays, CPP offsets, the two-year change and tax, with a worked example.</t>
        </is>
      </c>
      <c r="R138" s="36">
        <f>LEN(Q138)</f>
        <v/>
      </c>
      <c r="S138" s="36">
        <f>IF(H138="","",IF(ISNUMBER(SEARCH(SUBSTITUTE(H138,"-"," "),SUBSTITUTE(O138,"-"," "))),"Yes","Check"))</f>
        <v/>
      </c>
      <c r="T138" s="25" t="inlineStr">
        <is>
          <t>How long-term disability works (quick answer) | Group LTD vs individual LTD | How much LTD pays and the offsets that reduce it | The two-year definition change | How long benefits last | Taxable or tax-free LTD benefits | What to do if you have no LTD</t>
        </is>
      </c>
      <c r="U138" s="25" t="inlineStr">
        <is>
          <t>How much does long-term disability pay in Canada? | How long can you stay on long-term disability? | Does CPP disability reduce my LTD benefits? | Is long-term disability taxable?</t>
        </is>
      </c>
      <c r="V138" s="25" t="inlineStr">
        <is>
          <t>Worked offset example showing how a group LTD benefit is reduced by CPP disability and other income, plus a timeline diagram from day one of a claim to the two-year definition change.</t>
        </is>
      </c>
      <c r="W138" s="25" t="inlineStr">
        <is>
          <t>/disability-insurance/; /guides/group-vs-individual-disability-insurance/; /guides/long-term-disability-claim-denied/; /guides/is-disability-insurance-taxable-canada/</t>
        </is>
      </c>
      <c r="X138" s="25" t="inlineStr">
        <is>
          <t>Instant disability insurance estimate (/disability-insurance/)</t>
        </is>
      </c>
      <c r="Y138" s="36" t="inlineStr">
        <is>
          <t>Article; FAQPage; BreadcrumbList</t>
        </is>
      </c>
      <c r="Z138" s="37" t="n">
        <v>2000</v>
      </c>
      <c r="AA138" s="25" t="inlineStr">
        <is>
          <t>PolicyAdvisor ('What Is Long-Term Disability Insurance?') owns the definition; keywords.csv notes much of this volume is group and claims intent, which its page does not serve with an offsets example.</t>
        </is>
      </c>
      <c r="AB138" s="25" t="inlineStr">
        <is>
          <t>Put 'long term disability insurance' in the H1, slug, meta title, first 100 words and first H2, with a 40 to 60 word definition for the snippet. Include the offset example table and timeline graphic; link out to the claims and tax guides with descriptive anchors. Licensed reviewer, canada.ca and sample group contracts as sources, annual review.</t>
        </is>
      </c>
      <c r="AC138" s="25" t="inlineStr">
        <is>
          <t>Verify CPP disability offset rules and typical benefit percentages against sample group contracts and canada.ca; frame benefit ranges as typical, not guaranteed.</t>
        </is>
      </c>
      <c r="AD138" s="36" t="inlineStr">
        <is>
          <t>Annual</t>
        </is>
      </c>
      <c r="AE138" s="38" t="n"/>
      <c r="AF138" s="38" t="n"/>
      <c r="AG138" s="38" t="n"/>
    </row>
    <row r="139" ht="46.25" customHeight="1" s="22">
      <c r="A139" s="36">
        <f>"B"&amp;TEXT(ROW()-1,"0000")</f>
        <v/>
      </c>
      <c r="B139" s="38" t="inlineStr">
        <is>
          <t>Planned</t>
        </is>
      </c>
      <c r="C139" s="36" t="n">
        <v>2</v>
      </c>
      <c r="D139" s="36" t="inlineStr">
        <is>
          <t>Disability insurance</t>
        </is>
      </c>
      <c r="E139" s="36" t="inlineStr">
        <is>
          <t>Coverage explained</t>
        </is>
      </c>
      <c r="F139" s="25" t="inlineStr">
        <is>
          <t>Own-Occupation vs Any-Occupation Disability Insurance, Explained</t>
        </is>
      </c>
      <c r="G139" s="36" t="inlineStr">
        <is>
          <t>https://instasure.ca/guides/own-occupation-vs-any-occupation-disability-insurance/</t>
        </is>
      </c>
      <c r="H139" s="36" t="inlineStr">
        <is>
          <t>own occupation disability insurance</t>
        </is>
      </c>
      <c r="I139" s="41">
        <f>IFERROR(INDEX('Nationwide KWs'!$D$2:$D$168,MATCH(H139,'Nationwide KWs'!$A$2:$A$168,0)),IFERROR(INDEX('Provincial KWs'!$E$2:$E$137,MATCH(H139,'Provincial KWs'!$A$2:$A$137,0)),IFERROR(INDEX('City KWs'!$F$2:$F$419,MATCH(H139,'City KWs'!$A$2:$A$419,0)),"")))</f>
        <v/>
      </c>
      <c r="J139" s="36" t="inlineStr">
        <is>
          <t>Low</t>
        </is>
      </c>
      <c r="K139" s="25" t="inlineStr">
        <is>
          <t>any occupation disability definition; own occupation vs any occupation; regular occupation disability insurance; two year own occupation group ltd; definition of disability insurance canada</t>
        </is>
      </c>
      <c r="L139" s="36" t="inlineStr">
        <is>
          <t>Nationwide</t>
        </is>
      </c>
      <c r="M139" s="36" t="inlineStr">
        <is>
          <t>informational</t>
        </is>
      </c>
      <c r="N139" s="36" t="inlineStr">
        <is>
          <t>MOFU</t>
        </is>
      </c>
      <c r="O139" s="25" t="inlineStr">
        <is>
          <t>Own Occupation Disability Insurance vs Any Occupation</t>
        </is>
      </c>
      <c r="P139" s="36">
        <f>LEN(O139)</f>
        <v/>
      </c>
      <c r="Q139" s="25" t="inlineStr">
        <is>
          <t>Own occupation vs any occupation disability insurance: how each definition decides your claim, the two-year switch in group LTD and who needs own-occ.</t>
        </is>
      </c>
      <c r="R139" s="36">
        <f>LEN(Q139)</f>
        <v/>
      </c>
      <c r="S139" s="36">
        <f>IF(H139="","",IF(ISNUMBER(SEARCH(SUBSTITUTE(H139,"-"," "),SUBSTITUTE(O139,"-"," "))),"Yes","Check"))</f>
        <v/>
      </c>
      <c r="T139" s="25" t="inlineStr">
        <is>
          <t>Own occupation vs any occupation (quick answer) | How each definition decides whether you are paid | The two-year switch in most group LTD plans | Regular occupation and hybrid definitions | Who needs own-occupation coverage | What own-occupation adds to the premium | How to read the definition in your policy</t>
        </is>
      </c>
      <c r="U139" s="25" t="inlineStr">
        <is>
          <t>What does own occupation mean in disability insurance? | Does group long-term disability use own occupation? | Is own-occupation disability insurance worth the extra cost? | Can I work in another job while on own-occupation benefits?</t>
        </is>
      </c>
      <c r="V139" s="25" t="inlineStr">
        <is>
          <t>Three worked scenarios (surgeon with a hand injury, electrician with a back injury, office manager with depression) showing how each definition would likely decide the claim.</t>
        </is>
      </c>
      <c r="W139" s="25" t="inlineStr">
        <is>
          <t>/disability-insurance/; /guides/group-vs-individual-disability-insurance/; /guides/disability-insurance-for-physicians-and-dentists/; /glossary/</t>
        </is>
      </c>
      <c r="X139" s="25" t="inlineStr">
        <is>
          <t>Instant disability insurance estimate (/disability-insurance/)</t>
        </is>
      </c>
      <c r="Y139" s="36" t="inlineStr">
        <is>
          <t>Article; FAQPage; BreadcrumbList</t>
        </is>
      </c>
      <c r="Z139" s="37" t="n">
        <v>1500</v>
      </c>
      <c r="AA139" s="25" t="inlineStr">
        <is>
          <t>PolicyAdvisor's disability learning centre explains DI generally; no dedicated own-occupation vs any-occupation explainer with scenarios surfaced.</t>
        </is>
      </c>
      <c r="AB139" s="25" t="inlineStr">
        <is>
          <t>Focus keyword in the H1, slug, meta title, first 100 words and first H2; define both terms in a 40 to 60 word answer suitable for a featured snippet. Present the scenarios as a three-column table and add both terms to /glossary/; anchor 'disability insurance for physicians' to the professionals guide. Licensed reviewer, insurer contract wording as source, annual review.</t>
        </is>
      </c>
      <c r="AC139" s="25" t="inlineStr">
        <is>
          <t>Definitions differ by contract; verify the wording against sample insurer contracts and avoid implying any scenario's outcome is guaranteed.</t>
        </is>
      </c>
      <c r="AD139" s="36" t="inlineStr">
        <is>
          <t>Annual</t>
        </is>
      </c>
      <c r="AE139" s="38" t="n"/>
      <c r="AF139" s="38" t="n"/>
      <c r="AG139" s="38" t="n"/>
    </row>
    <row r="140" ht="46.25" customHeight="1" s="22">
      <c r="A140" s="36">
        <f>"B"&amp;TEXT(ROW()-1,"0000")</f>
        <v/>
      </c>
      <c r="B140" s="38" t="inlineStr">
        <is>
          <t>Planned</t>
        </is>
      </c>
      <c r="C140" s="36" t="n">
        <v>2</v>
      </c>
      <c r="D140" s="36" t="inlineStr">
        <is>
          <t>Disability insurance</t>
        </is>
      </c>
      <c r="E140" s="36" t="inlineStr">
        <is>
          <t>Personas</t>
        </is>
      </c>
      <c r="F140" s="25" t="inlineStr">
        <is>
          <t>Disability Insurance for Physicians, Dentists and Other Professionals</t>
        </is>
      </c>
      <c r="G140" s="36" t="inlineStr">
        <is>
          <t>https://instasure.ca/guides/disability-insurance-for-physicians-and-dentists/</t>
        </is>
      </c>
      <c r="H140" s="36" t="inlineStr">
        <is>
          <t>disability insurance for physicians</t>
        </is>
      </c>
      <c r="I140" s="41">
        <f>IFERROR(INDEX('Nationwide KWs'!$D$2:$D$168,MATCH(H140,'Nationwide KWs'!$A$2:$A$168,0)),IFERROR(INDEX('Provincial KWs'!$E$2:$E$137,MATCH(H140,'Provincial KWs'!$A$2:$A$137,0)),IFERROR(INDEX('City KWs'!$F$2:$F$419,MATCH(H140,'City KWs'!$A$2:$A$419,0)),"")))</f>
        <v/>
      </c>
      <c r="J140" s="36" t="inlineStr">
        <is>
          <t>Niche</t>
        </is>
      </c>
      <c r="K140" s="25" t="inlineStr">
        <is>
          <t>disability insurance for dentists canada; own occupation disability for doctors; disability insurance for medical residents; association disability plan vs individual; disability insurance for lawyers</t>
        </is>
      </c>
      <c r="L140" s="36" t="inlineStr">
        <is>
          <t>Nationwide</t>
        </is>
      </c>
      <c r="M140" s="36" t="inlineStr">
        <is>
          <t>commercial</t>
        </is>
      </c>
      <c r="N140" s="36" t="inlineStr">
        <is>
          <t>MOFU</t>
        </is>
      </c>
      <c r="O140" s="25" t="inlineStr">
        <is>
          <t>Disability Insurance for Physicians and Dentists</t>
        </is>
      </c>
      <c r="P140" s="36">
        <f>LEN(O140)</f>
        <v/>
      </c>
      <c r="Q140" s="25" t="inlineStr">
        <is>
          <t>Disability insurance for physicians, dentists and other professionals: own-occupation cover, association vs individual plans and locking in coverage early.</t>
        </is>
      </c>
      <c r="R140" s="36">
        <f>LEN(Q140)</f>
        <v/>
      </c>
      <c r="S140" s="36">
        <f>IF(H140="","",IF(ISNUMBER(SEARCH(SUBSTITUTE(H140,"-"," "),SUBSTITUTE(O140,"-"," "))),"Yes","Check"))</f>
        <v/>
      </c>
      <c r="T140" s="25" t="inlineStr">
        <is>
          <t>What professionals need from disability insurance (quick answer) | Why own-occupation matters for specialists | Association plans vs individual policies | Residents and new grads: locking in coverage early | Future income options as your income grows | Pairing with business overhead expense | Questions to ask before you sign</t>
        </is>
      </c>
      <c r="U140" s="25" t="inlineStr">
        <is>
          <t>Do doctors need own-occupation disability insurance? | Are professional association disability plans good enough? | Can medical residents buy disability insurance? | How much disability coverage can a dentist get?</t>
        </is>
      </c>
      <c r="V140" s="25" t="inlineStr">
        <is>
          <t>Comparison table of association plans vs individual contracts (definition, portability, guaranteed premiums, future increase options) and a career-stage checklist from residency to practice ownership.</t>
        </is>
      </c>
      <c r="W140" s="25" t="inlineStr">
        <is>
          <t>/disability-insurance/; /guides/own-occupation-vs-any-occupation-disability-insurance/; /guides/business-overhead-expense-insurance/; /professional-liability-insurance/</t>
        </is>
      </c>
      <c r="X140" s="25" t="inlineStr">
        <is>
          <t>Request a specialist call: Self-employed income protection desk (/disability-insurance/self-employed/)</t>
        </is>
      </c>
      <c r="Y140" s="36" t="inlineStr">
        <is>
          <t>Article; FAQPage; BreadcrumbList</t>
        </is>
      </c>
      <c r="Z140" s="37" t="n">
        <v>1700</v>
      </c>
      <c r="AA140" s="25" t="inlineStr">
        <is>
          <t>PolicyAdvisor has life insurance for doctors and physicians but no disability equivalent; the research lists DI by occupation (nurses, dentists) as a gap.</t>
        </is>
      </c>
      <c r="AB140" s="25" t="inlineStr">
        <is>
          <t>Focus keyword in the H1, slug, meta title, first 100 words and first H2; the 40 to 60 word answer should stress own-occupation and early purchase. Use the plan-type table and career-stage checklist; anchor 'own-occupation definition' to the own-occ guide and 'professional liability' to its money page. Licensed reviewer; review annually.</t>
        </is>
      </c>
      <c r="AC140" s="25" t="inlineStr">
        <is>
          <t>Do not name or rate association plans without a published method; verify issue limits and own-occupation availability with insurers.</t>
        </is>
      </c>
      <c r="AD140" s="36" t="inlineStr">
        <is>
          <t>Annual</t>
        </is>
      </c>
      <c r="AE140" s="38" t="n"/>
      <c r="AF140" s="38" t="n"/>
      <c r="AG140" s="38" t="n"/>
    </row>
    <row r="141" ht="46.25" customHeight="1" s="22">
      <c r="A141" s="36">
        <f>"B"&amp;TEXT(ROW()-1,"0000")</f>
        <v/>
      </c>
      <c r="B141" s="38" t="inlineStr">
        <is>
          <t>Planned</t>
        </is>
      </c>
      <c r="C141" s="36" t="n">
        <v>2</v>
      </c>
      <c r="D141" s="36" t="inlineStr">
        <is>
          <t>Disability insurance</t>
        </is>
      </c>
      <c r="E141" s="36" t="inlineStr">
        <is>
          <t>Personas</t>
        </is>
      </c>
      <c r="F141" s="25" t="inlineStr">
        <is>
          <t>Workers' Compensation vs Disability Insurance for Tradespeople, Province by Province</t>
        </is>
      </c>
      <c r="G141" s="36" t="inlineStr">
        <is>
          <t>https://instasure.ca/guides/workers-compensation-vs-disability-insurance/</t>
        </is>
      </c>
      <c r="H141" s="36" t="inlineStr">
        <is>
          <t>workers compensation vs disability insurance</t>
        </is>
      </c>
      <c r="I141" s="41">
        <f>IFERROR(INDEX('Nationwide KWs'!$D$2:$D$168,MATCH(H141,'Nationwide KWs'!$A$2:$A$168,0)),IFERROR(INDEX('Provincial KWs'!$E$2:$E$137,MATCH(H141,'Provincial KWs'!$A$2:$A$137,0)),IFERROR(INDEX('City KWs'!$F$2:$F$419,MATCH(H141,'City KWs'!$A$2:$A$419,0)),"")))</f>
        <v/>
      </c>
      <c r="J141" s="36" t="inlineStr">
        <is>
          <t>Low</t>
        </is>
      </c>
      <c r="K141" s="25" t="inlineStr">
        <is>
          <t>wsib vs disability insurance; disability insurance for tradespeople; worksafebc coverage for self employed; wsib independent operator optional insurance; disability insurance for contractors canada</t>
        </is>
      </c>
      <c r="L141" s="36" t="inlineStr">
        <is>
          <t>Nationwide</t>
        </is>
      </c>
      <c r="M141" s="36" t="inlineStr">
        <is>
          <t>informational</t>
        </is>
      </c>
      <c r="N141" s="36" t="inlineStr">
        <is>
          <t>MOFU</t>
        </is>
      </c>
      <c r="O141" s="25" t="inlineStr">
        <is>
          <t>Workers' Compensation vs Disability Insurance by Province</t>
        </is>
      </c>
      <c r="P141" s="36">
        <f>LEN(O141)</f>
        <v/>
      </c>
      <c r="Q141" s="25" t="inlineStr">
        <is>
          <t>Workers' compensation vs disability insurance for tradespeople: who each covers, the off-the-job gap and whether self-employed trades are covered.</t>
        </is>
      </c>
      <c r="R141" s="36">
        <f>LEN(Q141)</f>
        <v/>
      </c>
      <c r="S141" s="36">
        <f>IF(H141="","",IF(ISNUMBER(SEARCH(SUBSTITUTE(H141,"-"," "),SUBSTITUTE(O141,"-"," "))),"Yes","Check"))</f>
        <v/>
      </c>
      <c r="T141" s="25" t="inlineStr">
        <is>
          <t>Workers' compensation vs disability insurance (quick answer) | What workers' compensation covers and what it doesn't | Are self-employed tradespeople covered? Province rules | Off-the-job injuries and illness: the big gap | Occupation classes: why trades pay more for disability cover | Building coverage for a small trades business | Province-by-province table</t>
        </is>
      </c>
      <c r="U141" s="25" t="inlineStr">
        <is>
          <t>Does WSIB cover self-employed contractors in Ontario? | Does workers' compensation cover injuries outside work? | Can tradespeople get disability insurance? | Do I need disability insurance if I have WorkSafeBC coverage?</t>
        </is>
      </c>
      <c r="V141" s="25" t="inlineStr">
        <is>
          <t>Province-by-province table of the workers' compensation board (WSIB, WorkSafeBC, WCB Alberta, CNESST and others) and whether sole proprietors and independent operators are covered automatically, optionally or not at all, each linked to the board and dated.</t>
        </is>
      </c>
      <c r="W141" s="25" t="inlineStr">
        <is>
          <t>/disability-insurance/self-employed/; /contractor-insurance/; /guides/disability-insurance-for-gig-workers/; /disability-insurance/ontario/</t>
        </is>
      </c>
      <c r="X141" s="25" t="inlineStr">
        <is>
          <t>Request a specialist call: Self-employed income protection desk (/disability-insurance/self-employed/)</t>
        </is>
      </c>
      <c r="Y141" s="36" t="inlineStr">
        <is>
          <t>Article; FAQPage; BreadcrumbList</t>
        </is>
      </c>
      <c r="Z141" s="37" t="n">
        <v>1800</v>
      </c>
      <c r="AA141" s="25" t="inlineStr">
        <is>
          <t>No competitor coverage seen; the research lists disability by occupation (trades) as a gap, and Rates.ca's trade pages cover only P&amp;C insurance.</t>
        </is>
      </c>
      <c r="AB141" s="25" t="inlineStr">
        <is>
          <t>Focus keyword in the H1, slug, meta title, first 100 words and first H2; the 40 to 60 word answer should say workers' comp covers work injuries only while DI covers any illness or injury. Make the 13-row board table the centrepiece; anchor 'contractor insurance' to /contractor-insurance/ and 'self-employed disability insurance' to the desk page. Licensed reviewer, board websites as sources, annual review.</t>
        </is>
      </c>
      <c r="AC141" s="25" t="inlineStr">
        <is>
          <t>Verify each province's mandatory or optional coverage rule for independent operators with the board and date it; use the correct board name for each province.</t>
        </is>
      </c>
      <c r="AD141" s="36" t="inlineStr">
        <is>
          <t>Annual</t>
        </is>
      </c>
      <c r="AE141" s="38" t="n"/>
      <c r="AF141" s="38" t="n"/>
      <c r="AG141" s="38" t="n"/>
    </row>
    <row r="142" ht="46.25" customHeight="1" s="22">
      <c r="A142" s="36">
        <f>"B"&amp;TEXT(ROW()-1,"0000")</f>
        <v/>
      </c>
      <c r="B142" s="38" t="inlineStr">
        <is>
          <t>Planned</t>
        </is>
      </c>
      <c r="C142" s="36" t="n">
        <v>2</v>
      </c>
      <c r="D142" s="36" t="inlineStr">
        <is>
          <t>Disability insurance</t>
        </is>
      </c>
      <c r="E142" s="36" t="inlineStr">
        <is>
          <t>Public programs</t>
        </is>
      </c>
      <c r="F142" s="25" t="inlineStr">
        <is>
          <t>EI Sickness Benefits, CPP Disability or Private Disability Insurance?</t>
        </is>
      </c>
      <c r="G142" s="36" t="inlineStr">
        <is>
          <t>https://instasure.ca/guides/ei-sickness-cpp-disability-vs-private-disability-insurance/</t>
        </is>
      </c>
      <c r="H142" s="36" t="inlineStr">
        <is>
          <t>ei sickness benefits vs disability insurance</t>
        </is>
      </c>
      <c r="I142" s="41">
        <f>IFERROR(INDEX('Nationwide KWs'!$D$2:$D$168,MATCH(H142,'Nationwide KWs'!$A$2:$A$168,0)),IFERROR(INDEX('Provincial KWs'!$E$2:$E$137,MATCH(H142,'Provincial KWs'!$A$2:$A$137,0)),IFERROR(INDEX('City KWs'!$F$2:$F$419,MATCH(H142,'City KWs'!$A$2:$A$419,0)),"")))</f>
        <v/>
      </c>
      <c r="J142" s="36" t="inlineStr">
        <is>
          <t>Low</t>
        </is>
      </c>
      <c r="K142" s="25" t="inlineStr">
        <is>
          <t>cpp disability vs private disability insurance; ei sickness benefits self employed; cpp disability eligibility; how much is cpp disability; do i need disability insurance if i have ei</t>
        </is>
      </c>
      <c r="L142" s="36" t="inlineStr">
        <is>
          <t>Nationwide</t>
        </is>
      </c>
      <c r="M142" s="36" t="inlineStr">
        <is>
          <t>informational</t>
        </is>
      </c>
      <c r="N142" s="36" t="inlineStr">
        <is>
          <t>TOFU</t>
        </is>
      </c>
      <c r="O142" s="25" t="inlineStr">
        <is>
          <t>EI Sickness Benefits vs Disability Insurance Compared</t>
        </is>
      </c>
      <c r="P142" s="36">
        <f>LEN(O142)</f>
        <v/>
      </c>
      <c r="Q142" s="25" t="inlineStr">
        <is>
          <t>Compare EI sickness benefits, CPP disability, workers' comp and private disability insurance, and see the monthly income gap for a typical earner.</t>
        </is>
      </c>
      <c r="R142" s="36">
        <f>LEN(Q142)</f>
        <v/>
      </c>
      <c r="S142" s="36">
        <f>IF(H142="","",IF(ISNUMBER(SEARCH(SUBSTITUTE(H142,"-"," "),SUBSTITUTE(O142,"-"," "))),"Yes","Check"))</f>
        <v/>
      </c>
      <c r="T142" s="25" t="inlineStr">
        <is>
          <t>Government benefits vs private disability insurance (quick answer) | EI sickness benefits: who qualifies, how long and how much | EI special benefits for the self-employed | CPP disability: the severe and prolonged test | Provincial programs: workers' compensation and income support | The income gap: worked example | When private coverage is worth adding</t>
        </is>
      </c>
      <c r="U142" s="25" t="inlineStr">
        <is>
          <t>How long can I get EI sickness benefits? | Can self-employed people get EI sickness benefits? | What does CPP disability pay per month? | Do I need disability insurance if I have EI?</t>
        </is>
      </c>
      <c r="V142" s="25" t="inlineStr">
        <is>
          <t>Comparison table of EI sickness, CPP disability, workers' compensation and private DI (eligibility, wait, duration, amount basis) with a worked monthly income-gap example for a $70,000 earner, each figure linked to canada.ca and dated.</t>
        </is>
      </c>
      <c r="W142" s="25" t="inlineStr">
        <is>
          <t>/disability-insurance/; /disability-insurance/self-employed/; /guides/short-term-vs-long-term-disability/; /guides/workers-compensation-vs-disability-insurance/</t>
        </is>
      </c>
      <c r="X142" s="25" t="inlineStr">
        <is>
          <t>Instant disability insurance estimate (/disability-insurance/)</t>
        </is>
      </c>
      <c r="Y142" s="36" t="inlineStr">
        <is>
          <t>Article; FAQPage; BreadcrumbList</t>
        </is>
      </c>
      <c r="Z142" s="37" t="n">
        <v>1800</v>
      </c>
      <c r="AA142" s="25" t="inlineStr">
        <is>
          <t>The money-page FAQ covers this in one line; no competitor guide comparing public programs with private DI surfaced.</t>
        </is>
      </c>
      <c r="AB142" s="25" t="inlineStr">
        <is>
          <t>Focus keyword in the H1, slug, meta title, first 100 words and first H2; the 40 to 60 word answer should call public benefits a floor and show the gap. Use the four-program table and the worked income-gap example; anchor 'self-employed disability insurance' to the desk page. Licensed reviewer, canada.ca sources, refresh each January when EI and CPP figures change.</t>
        </is>
      </c>
      <c r="AC142" s="25" t="inlineStr">
        <is>
          <t>EI and CPP maximums change every January; verify amounts, durations and the self-employed EI opt-in rules on canada.ca and date them. Don't characterise CPP disability approval rates without cited data.</t>
        </is>
      </c>
      <c r="AD142" s="36" t="inlineStr">
        <is>
          <t>Annual</t>
        </is>
      </c>
      <c r="AE142" s="38" t="n"/>
      <c r="AF142" s="38" t="n"/>
      <c r="AG142" s="38" t="n"/>
    </row>
    <row r="143" ht="35.05" customHeight="1" s="22">
      <c r="A143" s="36">
        <f>"B"&amp;TEXT(ROW()-1,"0000")</f>
        <v/>
      </c>
      <c r="B143" s="38" t="inlineStr">
        <is>
          <t>Planned</t>
        </is>
      </c>
      <c r="C143" s="36" t="n">
        <v>2</v>
      </c>
      <c r="D143" s="36" t="inlineStr">
        <is>
          <t>Disability insurance</t>
        </is>
      </c>
      <c r="E143" s="36" t="inlineStr">
        <is>
          <t>Tax &amp; regulation</t>
        </is>
      </c>
      <c r="F143" s="25" t="inlineStr">
        <is>
          <t>Is Disability Insurance Taxable in Canada? LTD, STD and Individual Policies</t>
        </is>
      </c>
      <c r="G143" s="36" t="inlineStr">
        <is>
          <t>https://instasure.ca/guides/is-disability-insurance-taxable-canada/</t>
        </is>
      </c>
      <c r="H143" s="36" t="inlineStr">
        <is>
          <t>is disability insurance taxable in canada</t>
        </is>
      </c>
      <c r="I143" s="41">
        <f>IFERROR(INDEX('Nationwide KWs'!$D$2:$D$168,MATCH(H143,'Nationwide KWs'!$A$2:$A$168,0)),IFERROR(INDEX('Provincial KWs'!$E$2:$E$137,MATCH(H143,'Provincial KWs'!$A$2:$A$137,0)),IFERROR(INDEX('City KWs'!$F$2:$F$419,MATCH(H143,'City KWs'!$A$2:$A$419,0)),"")))</f>
        <v/>
      </c>
      <c r="J143" s="36" t="inlineStr">
        <is>
          <t>Medium</t>
        </is>
      </c>
      <c r="K143" s="25" t="inlineStr">
        <is>
          <t>is long term disability taxable; are disability insurance premiums tax deductible; employer paid ltd taxable benefit; is short term disability taxable; disability tax credit vs disability insurance</t>
        </is>
      </c>
      <c r="L143" s="36" t="inlineStr">
        <is>
          <t>Nationwide</t>
        </is>
      </c>
      <c r="M143" s="36" t="inlineStr">
        <is>
          <t>informational</t>
        </is>
      </c>
      <c r="N143" s="36" t="inlineStr">
        <is>
          <t>TOFU</t>
        </is>
      </c>
      <c r="O143" s="25" t="inlineStr">
        <is>
          <t>Is Disability Insurance Taxable in Canada? Explained</t>
        </is>
      </c>
      <c r="P143" s="36">
        <f>LEN(O143)</f>
        <v/>
      </c>
      <c r="Q143" s="25" t="inlineStr">
        <is>
          <t>Is disability insurance taxable in Canada? It depends on who paid the premium. See the rules for group LTD, STD, individual and corporate-paid policies.</t>
        </is>
      </c>
      <c r="R143" s="36">
        <f>LEN(Q143)</f>
        <v/>
      </c>
      <c r="S143" s="36">
        <f>IF(H143="","",IF(ISNUMBER(SEARCH(SUBSTITUTE(H143,"-"," "),SUBSTITUTE(O143,"-"," "))),"Yes","Check"))</f>
        <v/>
      </c>
      <c r="T143" s="25" t="inlineStr">
        <is>
          <t>Are disability benefits taxable? (quick answer) | The rule: who paid the premium decides | Group LTD and STD: employer-paid vs employee-paid | Individual policies you pay yourself | Self-employed and corporate-paid premiums | The disability tax credit is a different thing | How to change your group plan's tax status</t>
        </is>
      </c>
      <c r="U143" s="25" t="inlineStr">
        <is>
          <t>Is long-term disability taxable in Canada? | Can I deduct disability insurance premiums? | Is short-term disability taxable? | Does the disability tax credit apply to LTD recipients?</t>
        </is>
      </c>
      <c r="V143" s="25" t="inlineStr">
        <is>
          <t>A premium-payer matrix (employer, employee, shared, corporation, self) showing the general tax treatment of benefits and premiums, linked to CRA references.</t>
        </is>
      </c>
      <c r="W143" s="25" t="inlineStr">
        <is>
          <t>/disability-insurance/; /guides/group-vs-individual-disability-insurance/; /guides/long-term-disability-insurance-explained/; /guides/group-benefits-taxable-benefits-canada/</t>
        </is>
      </c>
      <c r="X143" s="25" t="inlineStr">
        <is>
          <t>Instant disability insurance estimate (/disability-insurance/)</t>
        </is>
      </c>
      <c r="Y143" s="36" t="inlineStr">
        <is>
          <t>Article; FAQPage; BreadcrumbList</t>
        </is>
      </c>
      <c r="Z143" s="37" t="n">
        <v>1300</v>
      </c>
      <c r="AA143" s="25" t="inlineStr">
        <is>
          <t>The Instasure money page says benefits are tax-free when premiums are paid personally; no competitor tax explainer surfaced.</t>
        </is>
      </c>
      <c r="AB143" s="25" t="inlineStr">
        <is>
          <t>Exact question in the H1 and meta title, focus keyword in the slug and first 100 words, then a 40 to 60 word answer stating the who-paid rule. Use the matrix as the main table; anchor 'group benefits tax rules' to the employer guide. Cite CRA and the Income Tax Act, add an accountant review line, review annually.</t>
        </is>
      </c>
      <c r="AC143" s="25" t="inlineStr">
        <is>
          <t>Verify against CRA guidance on wage-loss replacement plans (Income Tax Act paragraph 6(1)(f)) and label as general information; check Revenu Québec for any Quebec difference.</t>
        </is>
      </c>
      <c r="AD143" s="36" t="inlineStr">
        <is>
          <t>Annual</t>
        </is>
      </c>
      <c r="AE143" s="38" t="n"/>
      <c r="AF143" s="38" t="n"/>
      <c r="AG143" s="38" t="n"/>
    </row>
    <row r="144" ht="46.25" customHeight="1" s="22">
      <c r="A144" s="36">
        <f>"B"&amp;TEXT(ROW()-1,"0000")</f>
        <v/>
      </c>
      <c r="B144" s="38" t="inlineStr">
        <is>
          <t>Planned</t>
        </is>
      </c>
      <c r="C144" s="36" t="n">
        <v>3</v>
      </c>
      <c r="D144" s="36" t="inlineStr">
        <is>
          <t>Disability insurance</t>
        </is>
      </c>
      <c r="E144" s="36" t="inlineStr">
        <is>
          <t>Claims</t>
        </is>
      </c>
      <c r="F144" s="25" t="inlineStr">
        <is>
          <t>How to Apply for Long-Term Disability Benefits: A Step-by-Step Guide</t>
        </is>
      </c>
      <c r="G144" s="36" t="inlineStr">
        <is>
          <t>https://instasure.ca/guides/how-to-apply-for-long-term-disability/</t>
        </is>
      </c>
      <c r="H144" s="36" t="inlineStr">
        <is>
          <t>how to apply for long term disability</t>
        </is>
      </c>
      <c r="I144" s="41">
        <f>IFERROR(INDEX('Nationwide KWs'!$D$2:$D$168,MATCH(H144,'Nationwide KWs'!$A$2:$A$168,0)),IFERROR(INDEX('Provincial KWs'!$E$2:$E$137,MATCH(H144,'Provincial KWs'!$A$2:$A$137,0)),IFERROR(INDEX('City KWs'!$F$2:$F$419,MATCH(H144,'City KWs'!$A$2:$A$419,0)),"")))</f>
        <v/>
      </c>
      <c r="J144" s="36" t="inlineStr">
        <is>
          <t>Low</t>
        </is>
      </c>
      <c r="K144" s="25" t="inlineStr">
        <is>
          <t>ltd claim forms; attending physician statement disability; ltd application tips; when to apply for long term disability; employer statement ltd claim</t>
        </is>
      </c>
      <c r="L144" s="36" t="inlineStr">
        <is>
          <t>Nationwide</t>
        </is>
      </c>
      <c r="M144" s="36" t="inlineStr">
        <is>
          <t>informational</t>
        </is>
      </c>
      <c r="N144" s="36" t="inlineStr">
        <is>
          <t>MOFU</t>
        </is>
      </c>
      <c r="O144" s="25" t="inlineStr">
        <is>
          <t>How to Apply for Long-Term Disability Benefits</t>
        </is>
      </c>
      <c r="P144" s="36">
        <f>LEN(O144)</f>
        <v/>
      </c>
      <c r="Q144" s="25" t="inlineStr">
        <is>
          <t>How to apply for long-term disability step by step: deadlines, the three statements, medical evidence, follow-up and CPP rules, plus a claim checklist.</t>
        </is>
      </c>
      <c r="R144" s="36">
        <f>LEN(Q144)</f>
        <v/>
      </c>
      <c r="S144" s="36">
        <f>IF(H144="","",IF(ISNUMBER(SEARCH(SUBSTITUTE(H144,"-"," "),SUBSTITUTE(O144,"-"," "))),"Yes","Check"))</f>
        <v/>
      </c>
      <c r="T144" s="25" t="inlineStr">
        <is>
          <t>How to apply for LTD (quick answer) | Step 1: Know your plan's deadlines and waiting period | Step 2: The three statements (yours, your employer's, your doctor's) | Step 3: Build the medical evidence | Step 4: Submit, follow up and keep records | Coordinating with EI sickness and CPP disability | Mistakes that delay or sink claims</t>
        </is>
      </c>
      <c r="U144" s="25" t="inlineStr">
        <is>
          <t>When should I apply for long-term disability? | What forms do I need for an LTD claim? | How long does an LTD decision take? | Do I have to apply for CPP disability while on LTD?</t>
        </is>
      </c>
      <c r="V144" s="25" t="inlineStr">
        <is>
          <t>A claim-file checklist and a dated timeline template (diagnosis, last day worked, waiting period end, submission, decision) that readers can copy.</t>
        </is>
      </c>
      <c r="W144" s="25" t="inlineStr">
        <is>
          <t>/disability-insurance/; /guides/long-term-disability-claim-denied/; /guides/ei-sickness-cpp-disability-vs-private-disability-insurance/</t>
        </is>
      </c>
      <c r="X144" s="25" t="inlineStr">
        <is>
          <t>Talk to a licensed advisor about disability coverage (/disability-insurance/)</t>
        </is>
      </c>
      <c r="Y144" s="36" t="inlineStr">
        <is>
          <t>Article; HowTo; FAQPage; BreadcrumbList</t>
        </is>
      </c>
      <c r="Z144" s="37" t="n">
        <v>1500</v>
      </c>
      <c r="AA144" s="25" t="inlineStr">
        <is>
          <t>No competitor coverage seen.</t>
        </is>
      </c>
      <c r="AB144" s="25" t="inlineStr">
        <is>
          <t>Use the exact query as H1 and meta title and the focus keyword in the slug and first 100 words; summarise the four steps in 40 to 60 words under the first H2. Mark up steps with HowTo and offer the checklist and timeline template; anchor 'if your claim is denied' to the denial guide. Licensed reviewer, canada.ca sources, annual review.</t>
        </is>
      </c>
      <c r="AC144" s="25" t="inlineStr">
        <is>
          <t>Deadlines vary by plan; verify CPP disability application rules on canada.ca and avoid promising decision times.</t>
        </is>
      </c>
      <c r="AD144" s="36" t="inlineStr">
        <is>
          <t>Annual</t>
        </is>
      </c>
      <c r="AE144" s="38" t="n"/>
      <c r="AF144" s="38" t="n"/>
      <c r="AG144" s="38" t="n"/>
    </row>
    <row r="145" ht="46.25" customHeight="1" s="22">
      <c r="A145" s="36">
        <f>"B"&amp;TEXT(ROW()-1,"0000")</f>
        <v/>
      </c>
      <c r="B145" s="38" t="inlineStr">
        <is>
          <t>Planned</t>
        </is>
      </c>
      <c r="C145" s="36" t="n">
        <v>3</v>
      </c>
      <c r="D145" s="36" t="inlineStr">
        <is>
          <t>Disability insurance</t>
        </is>
      </c>
      <c r="E145" s="36" t="inlineStr">
        <is>
          <t>Claims</t>
        </is>
      </c>
      <c r="F145" s="25" t="inlineStr">
        <is>
          <t>Long-Term Disability Claim Denied? Appeals, Complaints and Deadlines by Province</t>
        </is>
      </c>
      <c r="G145" s="36" t="inlineStr">
        <is>
          <t>https://instasure.ca/guides/long-term-disability-claim-denied/</t>
        </is>
      </c>
      <c r="H145" s="36" t="inlineStr">
        <is>
          <t>long term disability claim denied</t>
        </is>
      </c>
      <c r="I145" s="41">
        <f>IFERROR(INDEX('Nationwide KWs'!$D$2:$D$168,MATCH(H145,'Nationwide KWs'!$A$2:$A$168,0)),IFERROR(INDEX('Provincial KWs'!$E$2:$E$137,MATCH(H145,'Provincial KWs'!$A$2:$A$137,0)),IFERROR(INDEX('City KWs'!$F$2:$F$419,MATCH(H145,'City KWs'!$A$2:$A$419,0)),"")))</f>
        <v/>
      </c>
      <c r="J145" s="36" t="inlineStr">
        <is>
          <t>Low</t>
        </is>
      </c>
      <c r="K145" s="25" t="inlineStr">
        <is>
          <t>ltd denial appeal canada; disability claim denied what to do; ltd appeal letter; limitation period disability claim ontario; OLHI disability complaint</t>
        </is>
      </c>
      <c r="L145" s="36" t="inlineStr">
        <is>
          <t>Nationwide</t>
        </is>
      </c>
      <c r="M145" s="36" t="inlineStr">
        <is>
          <t>informational</t>
        </is>
      </c>
      <c r="N145" s="36" t="inlineStr">
        <is>
          <t>MOFU</t>
        </is>
      </c>
      <c r="O145" s="25" t="inlineStr">
        <is>
          <t>Long-Term Disability Claim Denied? What to Do Next</t>
        </is>
      </c>
      <c r="P145" s="36">
        <f>LEN(O145)</f>
        <v/>
      </c>
      <c r="Q145" s="25" t="inlineStr">
        <is>
          <t>Long-term disability claim denied? Get your file, appeal with new evidence, escalate to OLHI or your regulator, and watch provincial limitation deadlines.</t>
        </is>
      </c>
      <c r="R145" s="36">
        <f>LEN(Q145)</f>
        <v/>
      </c>
      <c r="S145" s="36">
        <f>IF(H145="","",IF(ISNUMBER(SEARCH(SUBSTITUTE(H145,"-"," "),SUBSTITUTE(O145,"-"," "))),"Yes","Check"))</f>
        <v/>
      </c>
      <c r="T145" s="25" t="inlineStr">
        <is>
          <t>What to do after an LTD denial (quick answer) | Why LTD claims are denied | Step 1: Get the denial letter and your full claim file | Step 2: Internal appeal with new medical evidence | Step 3: OmbudService for Life &amp; Health Insurance and regulators | Limitation periods by province | When to talk to a disability lawyer</t>
        </is>
      </c>
      <c r="U145" s="25" t="inlineStr">
        <is>
          <t>How long do I have to appeal an LTD denial? | Can I sue my disability insurer in Canada? | What is the limitation period for a disability claim in Ontario? | Does an internal appeal stop the limitation clock?</t>
        </is>
      </c>
      <c r="V145" s="25" t="inlineStr">
        <is>
          <t>Province-by-province table of the general limitation period for suing on an insurance contract and the regulator to complain to (FSRA, BCFSA, AMF and others), each linked to the statute or regulator and dated.</t>
        </is>
      </c>
      <c r="W145" s="25" t="inlineStr">
        <is>
          <t>/disability-insurance/; /guides/how-to-apply-for-long-term-disability/; /guides/long-term-disability-for-mental-health/</t>
        </is>
      </c>
      <c r="X145" s="25" t="inlineStr">
        <is>
          <t>Talk to a licensed advisor about replacing or topping up coverage (/disability-insurance/)</t>
        </is>
      </c>
      <c r="Y145" s="36" t="inlineStr">
        <is>
          <t>Article; FAQPage; BreadcrumbList</t>
        </is>
      </c>
      <c r="Z145" s="37" t="n">
        <v>1800</v>
      </c>
      <c r="AA145" s="25" t="inlineStr">
        <is>
          <t>No competitor coverage seen among the insurance sites researched; this query space is mostly held by law firms.</t>
        </is>
      </c>
      <c r="AB145" s="25" t="inlineStr">
        <is>
          <t>Focus keyword in the H1, slug, meta title, first 100 words and first H2; the 40 to 60 word answer should list the three first steps and warn about deadlines. Make the province table the citable asset and link each row to its source; anchor 'how to apply for LTD' to the application guide. Licensed reviewer plus a note that it is not legal advice; review annually.</t>
        </is>
      </c>
      <c r="AC145" s="25" t="inlineStr">
        <is>
          <t>Limitation periods and the effect of internal appeals must be verified per province and flagged as general information, not legal advice; regulator names must match each province.</t>
        </is>
      </c>
      <c r="AD145" s="36" t="inlineStr">
        <is>
          <t>Annual</t>
        </is>
      </c>
      <c r="AE145" s="38" t="n"/>
      <c r="AF145" s="38" t="n"/>
      <c r="AG145" s="38" t="n"/>
    </row>
    <row r="146" ht="46.25" customHeight="1" s="22">
      <c r="A146" s="36">
        <f>"B"&amp;TEXT(ROW()-1,"0000")</f>
        <v/>
      </c>
      <c r="B146" s="38" t="inlineStr">
        <is>
          <t>Planned</t>
        </is>
      </c>
      <c r="C146" s="36" t="n">
        <v>3</v>
      </c>
      <c r="D146" s="36" t="inlineStr">
        <is>
          <t>Disability insurance</t>
        </is>
      </c>
      <c r="E146" s="36" t="inlineStr">
        <is>
          <t>Claims</t>
        </is>
      </c>
      <c r="F146" s="25" t="inlineStr">
        <is>
          <t>Long-Term Disability for Depression, Anxiety and Burnout: How Claims Work</t>
        </is>
      </c>
      <c r="G146" s="36" t="inlineStr">
        <is>
          <t>https://instasure.ca/guides/long-term-disability-for-mental-health/</t>
        </is>
      </c>
      <c r="H146" s="36" t="inlineStr">
        <is>
          <t>long term disability for depression</t>
        </is>
      </c>
      <c r="I146" s="41">
        <f>IFERROR(INDEX('Nationwide KWs'!$D$2:$D$168,MATCH(H146,'Nationwide KWs'!$A$2:$A$168,0)),IFERROR(INDEX('Provincial KWs'!$E$2:$E$137,MATCH(H146,'Provincial KWs'!$A$2:$A$137,0)),IFERROR(INDEX('City KWs'!$F$2:$F$419,MATCH(H146,'City KWs'!$A$2:$A$419,0)),"")))</f>
        <v/>
      </c>
      <c r="J146" s="36" t="inlineStr">
        <is>
          <t>Low</t>
        </is>
      </c>
      <c r="K146" s="25" t="inlineStr">
        <is>
          <t>long term disability for anxiety canada; disability leave for burnout; mental health disability claim; short term disability for stress; mental health exclusion disability insurance</t>
        </is>
      </c>
      <c r="L146" s="36" t="inlineStr">
        <is>
          <t>Nationwide</t>
        </is>
      </c>
      <c r="M146" s="36" t="inlineStr">
        <is>
          <t>informational</t>
        </is>
      </c>
      <c r="N146" s="36" t="inlineStr">
        <is>
          <t>MOFU</t>
        </is>
      </c>
      <c r="O146" s="25" t="inlineStr">
        <is>
          <t>Long-Term Disability for Depression and Anxiety</t>
        </is>
      </c>
      <c r="P146" s="36">
        <f>LEN(O146)</f>
        <v/>
      </c>
      <c r="Q146" s="25" t="inlineStr">
        <is>
          <t>How long-term disability claims for depression, anxiety and burnout work: the evidence insurers want, treatment rules, return-to-work plans and denials.</t>
        </is>
      </c>
      <c r="R146" s="36">
        <f>LEN(Q146)</f>
        <v/>
      </c>
      <c r="S146" s="36">
        <f>IF(H146="","",IF(ISNUMBER(SEARCH(SUBSTITUTE(H146,"-"," "),SUBSTITUTE(O146,"-"," "))),"Yes","Check"))</f>
        <v/>
      </c>
      <c r="T146" s="25" t="inlineStr">
        <is>
          <t>Can you get LTD for depression or anxiety? (quick answer) | How insurers assess mental health claims | The medical evidence that matters | Treatment requirements while on claim | Return-to-work plans and gradual return | Mental health exclusions and limits on individual policies | If your claim is denied</t>
        </is>
      </c>
      <c r="U146" s="25" t="inlineStr">
        <is>
          <t>Can I get long-term disability for depression? | Is burnout covered by disability insurance? | Do I need a psychiatrist for a mental health LTD claim? | Can I buy disability insurance after a mental health diagnosis?</t>
        </is>
      </c>
      <c r="V146" s="25" t="inlineStr">
        <is>
          <t>Evidence checklist for mental health claims (diagnosis, functional limitations, treatment record) and a return-to-work timeline template.</t>
        </is>
      </c>
      <c r="W146" s="25" t="inlineStr">
        <is>
          <t>/disability-insurance/; /guides/long-term-disability-claim-denied/; /guides/how-to-apply-for-long-term-disability/; /guides/does-health-insurance-cover-therapy-canada/</t>
        </is>
      </c>
      <c r="X146" s="25" t="inlineStr">
        <is>
          <t>Talk to a licensed advisor about disability coverage (/disability-insurance/)</t>
        </is>
      </c>
      <c r="Y146" s="36" t="inlineStr">
        <is>
          <t>Article; FAQPage; BreadcrumbList</t>
        </is>
      </c>
      <c r="Z146" s="37" t="n">
        <v>1600</v>
      </c>
      <c r="AA146" s="25" t="inlineStr">
        <is>
          <t>No competitor coverage seen among the insurance sites researched.</t>
        </is>
      </c>
      <c r="AB146" s="25" t="inlineStr">
        <is>
          <t>Focus keyword in the H1, slug, meta title, first 100 words and first H2; the 40 to 60 word answer should say yes when functional limits are documented. Use the evidence checklist and timeline template, and add a support box with the 9-8-8 crisis line; anchor 'therapy coverage' to the health guide. Licensed reviewer; review annually.</t>
        </is>
      </c>
      <c r="AC146" s="25" t="inlineStr">
        <is>
          <t>Sensitive health topic: avoid implying outcomes, cite the Mental Health Commission of Canada or CAMH for any prevalence figure, keep advice general and refer legal questions to a lawyer.</t>
        </is>
      </c>
      <c r="AD146" s="36" t="inlineStr">
        <is>
          <t>Annual</t>
        </is>
      </c>
      <c r="AE146" s="38" t="n"/>
      <c r="AF146" s="38" t="n"/>
      <c r="AG146" s="38" t="n"/>
    </row>
    <row r="147" ht="46.25" customHeight="1" s="22">
      <c r="A147" s="36">
        <f>"B"&amp;TEXT(ROW()-1,"0000")</f>
        <v/>
      </c>
      <c r="B147" s="38" t="inlineStr">
        <is>
          <t>Planned</t>
        </is>
      </c>
      <c r="C147" s="36" t="n">
        <v>3</v>
      </c>
      <c r="D147" s="36" t="inlineStr">
        <is>
          <t>Disability insurance</t>
        </is>
      </c>
      <c r="E147" s="36" t="inlineStr">
        <is>
          <t>Comparisons</t>
        </is>
      </c>
      <c r="F147" s="25" t="inlineStr">
        <is>
          <t>Short-Term vs Long-Term Disability Insurance: What's the Difference?</t>
        </is>
      </c>
      <c r="G147" s="36" t="inlineStr">
        <is>
          <t>https://instasure.ca/guides/short-term-vs-long-term-disability/</t>
        </is>
      </c>
      <c r="H147" s="36" t="inlineStr">
        <is>
          <t>short term vs long term disability</t>
        </is>
      </c>
      <c r="I147" s="41">
        <f>IFERROR(INDEX('Nationwide KWs'!$D$2:$D$168,MATCH(H147,'Nationwide KWs'!$A$2:$A$168,0)),IFERROR(INDEX('Provincial KWs'!$E$2:$E$137,MATCH(H147,'Provincial KWs'!$A$2:$A$137,0)),IFERROR(INDEX('City KWs'!$F$2:$F$419,MATCH(H147,'City KWs'!$A$2:$A$419,0)),"")))</f>
        <v/>
      </c>
      <c r="J147" s="36" t="inlineStr">
        <is>
          <t>Medium</t>
        </is>
      </c>
      <c r="K147" s="25" t="inlineStr">
        <is>
          <t>short term disability insurance canada; std vs ltd; how long does short term disability last; weekly indemnity insurance; short term disability for self employed</t>
        </is>
      </c>
      <c r="L147" s="36" t="inlineStr">
        <is>
          <t>Nationwide</t>
        </is>
      </c>
      <c r="M147" s="36" t="inlineStr">
        <is>
          <t>informational</t>
        </is>
      </c>
      <c r="N147" s="36" t="inlineStr">
        <is>
          <t>TOFU</t>
        </is>
      </c>
      <c r="O147" s="25" t="inlineStr">
        <is>
          <t>Short-Term vs Long-Term Disability: Key Differences</t>
        </is>
      </c>
      <c r="P147" s="36">
        <f>LEN(O147)</f>
        <v/>
      </c>
      <c r="Q147" s="25" t="inlineStr">
        <is>
          <t>Short-term vs long-term disability compared: when each starts, how long it lasts, what it pays and where EI sickness benefits fit, with a timeline graphic.</t>
        </is>
      </c>
      <c r="R147" s="36">
        <f>LEN(Q147)</f>
        <v/>
      </c>
      <c r="S147" s="36">
        <f>IF(H147="","",IF(ISNUMBER(SEARCH(SUBSTITUTE(H147,"-"," "),SUBSTITUTE(O147,"-"," "))),"Yes","Check"))</f>
        <v/>
      </c>
      <c r="T147" s="25" t="inlineStr">
        <is>
          <t>Short-term vs long-term disability (quick answer) | How short-term disability (weekly indemnity) works | How long-term disability takes over | Where EI sickness benefits fit between them | Group plans vs individual options | Short-term options for the self-employed | Comparison table</t>
        </is>
      </c>
      <c r="U147" s="25" t="inlineStr">
        <is>
          <t>How long does short-term disability last in Canada? | Can I go from short-term to long-term disability? | Do self-employed people qualify for short-term disability? | Is short-term disability the same as EI sickness benefits?</t>
        </is>
      </c>
      <c r="V147" s="25" t="inlineStr">
        <is>
          <t>Comparison table (start date, duration, benefit percentage, who pays, tax, typical definition) and a timeline graphic showing STD, EI sickness and LTD in sequence.</t>
        </is>
      </c>
      <c r="W147" s="25" t="inlineStr">
        <is>
          <t>/disability-insurance/; /guides/long-term-disability-insurance-explained/; /guides/ei-sickness-cpp-disability-vs-private-disability-insurance/; /group-benefits/</t>
        </is>
      </c>
      <c r="X147" s="25" t="inlineStr">
        <is>
          <t>Instant disability insurance estimate (/disability-insurance/)</t>
        </is>
      </c>
      <c r="Y147" s="36" t="inlineStr">
        <is>
          <t>Article; FAQPage; BreadcrumbList</t>
        </is>
      </c>
      <c r="Z147" s="37" t="n">
        <v>1400</v>
      </c>
      <c r="AA147" s="25" t="inlineStr">
        <is>
          <t>No competitor coverage seen in the research (PolicyAdvisor covers LTD and DI riders, not STD vs LTD).</t>
        </is>
      </c>
      <c r="AB147" s="25" t="inlineStr">
        <is>
          <t>Focus keyword in the H1, slug, meta title, first 100 words and first H2; answer in 40 to 60 words with the typical durations of each. Put the comparison table right after the answer and the timeline graphic below it (alt: 'Short-term disability, EI sickness and LTD timeline'). Licensed reviewer, canada.ca sources, annual review.</t>
        </is>
      </c>
      <c r="AC147" s="25" t="inlineStr">
        <is>
          <t>Verify EI sickness duration and the link to the EI premium reduction program on canada.ca; STD durations vary by plan, so label them typical.</t>
        </is>
      </c>
      <c r="AD147" s="36" t="inlineStr">
        <is>
          <t>Annual</t>
        </is>
      </c>
      <c r="AE147" s="38" t="n"/>
      <c r="AF147" s="38" t="n"/>
      <c r="AG147" s="38" t="n"/>
    </row>
    <row r="148" ht="46.25" customHeight="1" s="22">
      <c r="A148" s="36">
        <f>"B"&amp;TEXT(ROW()-1,"0000")</f>
        <v/>
      </c>
      <c r="B148" s="38" t="inlineStr">
        <is>
          <t>Planned</t>
        </is>
      </c>
      <c r="C148" s="36" t="n">
        <v>3</v>
      </c>
      <c r="D148" s="36" t="inlineStr">
        <is>
          <t>Disability insurance</t>
        </is>
      </c>
      <c r="E148" s="36" t="inlineStr">
        <is>
          <t>Coverage explained</t>
        </is>
      </c>
      <c r="F148" s="25" t="inlineStr">
        <is>
          <t>Disability Insurance Riders Explained: COLA, Future Income, Residual and More</t>
        </is>
      </c>
      <c r="G148" s="36" t="inlineStr">
        <is>
          <t>https://instasure.ca/guides/disability-insurance-riders-explained/</t>
        </is>
      </c>
      <c r="H148" s="36" t="inlineStr">
        <is>
          <t>disability insurance riders</t>
        </is>
      </c>
      <c r="I148" s="41">
        <f>IFERROR(INDEX('Nationwide KWs'!$D$2:$D$168,MATCH(H148,'Nationwide KWs'!$A$2:$A$168,0)),IFERROR(INDEX('Provincial KWs'!$E$2:$E$137,MATCH(H148,'Provincial KWs'!$A$2:$A$137,0)),IFERROR(INDEX('City KWs'!$F$2:$F$419,MATCH(H148,'City KWs'!$A$2:$A$419,0)),"")))</f>
        <v/>
      </c>
      <c r="J148" s="36" t="inlineStr">
        <is>
          <t>Niche</t>
        </is>
      </c>
      <c r="K148" s="25" t="inlineStr">
        <is>
          <t>cost of living adjustment rider disability; future income option rider; residual disability benefit; partial disability rider; return of premium disability insurance</t>
        </is>
      </c>
      <c r="L148" s="36" t="inlineStr">
        <is>
          <t>Nationwide</t>
        </is>
      </c>
      <c r="M148" s="36" t="inlineStr">
        <is>
          <t>informational</t>
        </is>
      </c>
      <c r="N148" s="36" t="inlineStr">
        <is>
          <t>MOFU</t>
        </is>
      </c>
      <c r="O148" s="25" t="inlineStr">
        <is>
          <t>Disability Insurance Riders Explained: Which to Add</t>
        </is>
      </c>
      <c r="P148" s="36">
        <f>LEN(O148)</f>
        <v/>
      </c>
      <c r="Q148" s="25" t="inlineStr">
        <is>
          <t>Disability insurance riders explained: residual, cost-of-living, future income and own-occupation riders, what each costs and which to skip on a budget.</t>
        </is>
      </c>
      <c r="R148" s="36">
        <f>LEN(Q148)</f>
        <v/>
      </c>
      <c r="S148" s="36">
        <f>IF(H148="","",IF(ISNUMBER(SEARCH(SUBSTITUTE(H148,"-"," "),SUBSTITUTE(O148,"-"," "))),"Yes","Check"))</f>
        <v/>
      </c>
      <c r="T148" s="25" t="inlineStr">
        <is>
          <t>Which disability riders matter (quick answer) | Residual and partial disability benefits | Cost of living adjustment (COLA) | Future income or guaranteed insurability option | Own-occupation rider | Return of premium and non-cancellable features | Riders to skip on a tight budget</t>
        </is>
      </c>
      <c r="U148" s="25" t="inlineStr">
        <is>
          <t>What is a residual disability benefit? | Is a cost of living rider worth it? | What is a future income option? | Which disability riders are most important?</t>
        </is>
      </c>
      <c r="V148" s="25" t="inlineStr">
        <is>
          <t>Rider table showing what each rider does, a worked example of when it pays, and its relative cost impact from the estimate model.</t>
        </is>
      </c>
      <c r="W148" s="25" t="inlineStr">
        <is>
          <t>/disability-insurance/; /guides/own-occupation-vs-any-occupation-disability-insurance/; /guides/disability-insurance-cost-canada/; /glossary/</t>
        </is>
      </c>
      <c r="X148" s="25" t="inlineStr">
        <is>
          <t>Instant disability insurance estimate (/disability-insurance/)</t>
        </is>
      </c>
      <c r="Y148" s="36" t="inlineStr">
        <is>
          <t>Article; FAQPage; BreadcrumbList</t>
        </is>
      </c>
      <c r="Z148" s="37" t="n">
        <v>1400</v>
      </c>
      <c r="AA148" s="25" t="inlineStr">
        <is>
          <t>PolicyAdvisor covers 'Disability Insurance vs Disability Riders' (riders on life policies), not the riders on a disability contract.</t>
        </is>
      </c>
      <c r="AB148" s="25" t="inlineStr">
        <is>
          <t>Focus keyword in the H1, slug, meta title, first 100 words and first H2; the 40 to 60 word answer should name residual and COLA as the riders most often recommended for professionals. Build the rider table and add each rider term to /glossary/; anchor 'disability insurance cost' to the cost guide. Licensed reviewer; review annually.</t>
        </is>
      </c>
      <c r="AC148" s="25" t="inlineStr">
        <is>
          <t>Rider names and features differ by insurer; verify against at least three insurer contracts and label relative cost impacts as model outputs.</t>
        </is>
      </c>
      <c r="AD148" s="36" t="inlineStr">
        <is>
          <t>Annual</t>
        </is>
      </c>
      <c r="AE148" s="38" t="n"/>
      <c r="AF148" s="38" t="n"/>
      <c r="AG148" s="38" t="n"/>
    </row>
    <row r="149" ht="46.25" customHeight="1" s="22">
      <c r="A149" s="36">
        <f>"B"&amp;TEXT(ROW()-1,"0000")</f>
        <v/>
      </c>
      <c r="B149" s="38" t="inlineStr">
        <is>
          <t>Published</t>
        </is>
      </c>
      <c r="C149" s="36" t="n">
        <v>1</v>
      </c>
      <c r="D149" s="36" t="inlineStr">
        <is>
          <t>Health &amp; dental insurance</t>
        </is>
      </c>
      <c r="E149" s="36" t="inlineStr">
        <is>
          <t>CDCP</t>
        </is>
      </c>
      <c r="F149" s="25" t="inlineStr">
        <is>
          <t>Canadian Dental Care Plan Eligibility in 2026: Who Qualifies and How to Apply</t>
        </is>
      </c>
      <c r="G149" s="36" t="inlineStr">
        <is>
          <t>https://instasure.ca/guides/canadian-dental-care-plan-eligibility/</t>
        </is>
      </c>
      <c r="H149" s="36" t="inlineStr">
        <is>
          <t>canadian dental care plan eligibility</t>
        </is>
      </c>
      <c r="I149" s="41">
        <f>IFERROR(INDEX('Nationwide KWs'!$D$2:$D$168,MATCH(H149,'Nationwide KWs'!$A$2:$A$168,0)),IFERROR(INDEX('Provincial KWs'!$E$2:$E$137,MATCH(H149,'Provincial KWs'!$A$2:$A$137,0)),IFERROR(INDEX('City KWs'!$F$2:$F$419,MATCH(H149,'City KWs'!$A$2:$A$419,0)),"")))</f>
        <v/>
      </c>
      <c r="J149" s="36" t="inlineStr">
        <is>
          <t>High</t>
        </is>
      </c>
      <c r="K149" s="25" t="inlineStr">
        <is>
          <t>cdcp eligibility; how to apply for canadian dental care plan; cdcp access to dental insurance; cdcp income limit; cdcp adults 18 to 64</t>
        </is>
      </c>
      <c r="L149" s="36" t="inlineStr">
        <is>
          <t>Nationwide</t>
        </is>
      </c>
      <c r="M149" s="36" t="inlineStr">
        <is>
          <t>informational</t>
        </is>
      </c>
      <c r="N149" s="36" t="inlineStr">
        <is>
          <t>TOFU</t>
        </is>
      </c>
      <c r="O149" s="25" t="inlineStr">
        <is>
          <t>Canadian Dental Care Plan Eligibility: Who Qualifies</t>
        </is>
      </c>
      <c r="P149" s="36">
        <f>LEN(O149)</f>
        <v/>
      </c>
      <c r="Q149" s="25" t="inlineStr">
        <is>
          <t>Check Canadian Dental Care Plan eligibility: the income test, what 'access to dental insurance' means, tax-filing rules and how to apply, with edge cases.</t>
        </is>
      </c>
      <c r="R149" s="36">
        <f>LEN(Q149)</f>
        <v/>
      </c>
      <c r="S149" s="36">
        <f>IF(H149="","",IF(ISNUMBER(SEARCH(SUBSTITUTE(H149,"-"," "),SUBSTITUTE(O149,"-"," "))),"Yes","Check"))</f>
        <v/>
      </c>
      <c r="T149" s="25" t="inlineStr">
        <is>
          <t>Who qualifies for the CDCP (quick answer) | The income test: adjusted family net income | What 'access to dental insurance' means | Residency and tax-filing requirements | How to apply: online, by phone or by paper | After you apply: enrolment, cards and finding a dentist | If you're not eligible: your other options</t>
        </is>
      </c>
      <c r="U149" s="25" t="inlineStr">
        <is>
          <t>What is the income limit for the Canadian Dental Care Plan? | Am I eligible for the CDCP if my employer offers dental? | Do I have to file taxes to get the CDCP? | How long does a CDCP application take?</t>
        </is>
      </c>
      <c r="V149" s="25" t="inlineStr">
        <is>
          <t>Eligibility flowchart covering residency, tax filing, income and the 'access to dental insurance' rule, with edge cases (declined employer plan, spouse's plan, health spending account) and a dated source line.</t>
        </is>
      </c>
      <c r="W149" s="25" t="inlineStr">
        <is>
          <t>/health-dental-insurance/; /guides/private-dental-insurance-vs-cdcp/; /guides/cdcp-coverage-and-co-pays/; /guides/cdcp-vs-employer-dental-benefits/</t>
        </is>
      </c>
      <c r="X149" s="25" t="inlineStr">
        <is>
          <t>Not eligible? Instant private dental estimate (/health-dental-insurance/)</t>
        </is>
      </c>
      <c r="Y149" s="36" t="inlineStr">
        <is>
          <t>Article; HowTo; FAQPage; BreadcrumbList</t>
        </is>
      </c>
      <c r="Z149" s="37" t="n">
        <v>1700</v>
      </c>
      <c r="AA149" s="25" t="inlineStr">
        <is>
          <t>Dental clinics and Sun Life's advisor portal ('How personal health insurance impacts Canadian Dental Care Plan eligibility') cover pieces of this; keywords.csv rates the CDCP SERP as weak.</t>
        </is>
      </c>
      <c r="AB149" s="25" t="inlineStr">
        <is>
          <t>Focus keyword in the H1, slug, meta title, first 100 words and first H2; the 40 to 60 word answer should list the four tests (residency, tax filing, income, no access to dental insurance). Make the flowchart the main asset and mark up the application steps as HowTo; anchor 'private dental insurance vs the CDCP' to the existing guide. canada.ca sources, licensed reviewer, refresh on every rule change.</t>
        </is>
      </c>
      <c r="AC149" s="25" t="inlineStr">
        <is>
          <t>Verify the $90,000 adjusted family net income limit, the 2026 age expansion and application dates on canada.ca (research figures come from secondary sources); date the page and update it on every rule change.</t>
        </is>
      </c>
      <c r="AD149" s="36" t="inlineStr">
        <is>
          <t>On rule change</t>
        </is>
      </c>
      <c r="AE149" s="38" t="inlineStr">
        <is>
          <t>Michael Le Chi</t>
        </is>
      </c>
      <c r="AF149" s="38" t="n"/>
      <c r="AG149" s="38" t="inlineStr">
        <is>
          <t>2026-10-12</t>
        </is>
      </c>
    </row>
    <row r="150" ht="46.25" customHeight="1" s="22">
      <c r="A150" s="36">
        <f>"B"&amp;TEXT(ROW()-1,"0000")</f>
        <v/>
      </c>
      <c r="B150" s="38" t="inlineStr">
        <is>
          <t>Planned</t>
        </is>
      </c>
      <c r="C150" s="36" t="n">
        <v>1</v>
      </c>
      <c r="D150" s="36" t="inlineStr">
        <is>
          <t>Health &amp; dental insurance</t>
        </is>
      </c>
      <c r="E150" s="36" t="inlineStr">
        <is>
          <t>Cost &amp; pricing</t>
        </is>
      </c>
      <c r="F150" s="25" t="inlineStr">
        <is>
          <t>How Much Does Private Health Insurance Cost in Canada?</t>
        </is>
      </c>
      <c r="G150" s="36" t="inlineStr">
        <is>
          <t>https://instasure.ca/guides/private-health-insurance-cost-canada/</t>
        </is>
      </c>
      <c r="H150" s="36" t="inlineStr">
        <is>
          <t>how much is private health insurance in canada</t>
        </is>
      </c>
      <c r="I150" s="41">
        <f>IFERROR(INDEX('Nationwide KWs'!$D$2:$D$168,MATCH(H150,'Nationwide KWs'!$A$2:$A$168,0)),IFERROR(INDEX('Provincial KWs'!$E$2:$E$137,MATCH(H150,'Provincial KWs'!$A$2:$A$137,0)),IFERROR(INDEX('City KWs'!$F$2:$F$419,MATCH(H150,'City KWs'!$A$2:$A$419,0)),"")))</f>
        <v/>
      </c>
      <c r="J150" s="36" t="inlineStr">
        <is>
          <t>Medium</t>
        </is>
      </c>
      <c r="K150" s="25" t="inlineStr">
        <is>
          <t>private health insurance cost canada; average cost of health insurance canada; health and dental insurance cost per month; family health insurance cost canada; individual health insurance price</t>
        </is>
      </c>
      <c r="L150" s="36" t="inlineStr">
        <is>
          <t>Nationwide</t>
        </is>
      </c>
      <c r="M150" s="36" t="inlineStr">
        <is>
          <t>commercial</t>
        </is>
      </c>
      <c r="N150" s="36" t="inlineStr">
        <is>
          <t>MOFU</t>
        </is>
      </c>
      <c r="O150" s="25" t="inlineStr">
        <is>
          <t>How Much Is Private Health Insurance in Canada?</t>
        </is>
      </c>
      <c r="P150" s="36">
        <f>LEN(O150)</f>
        <v/>
      </c>
      <c r="Q150" s="25" t="inlineStr">
        <is>
          <t>See modelled private health insurance costs in Canada by age, plan tier, family size and province, plus a break-even check against your yearly spending.</t>
        </is>
      </c>
      <c r="R150" s="36">
        <f>LEN(Q150)</f>
        <v/>
      </c>
      <c r="S150" s="36">
        <f>IF(H150="","",IF(ISNUMBER(SEARCH(SUBSTITUTE(H150,"-"," "),SUBSTITUTE(O150,"-"," "))),"Yes","Check"))</f>
        <v/>
      </c>
      <c r="T150" s="25" t="inlineStr">
        <is>
          <t>What private health insurance costs (quick answer) | Example monthly premiums by age, plan tier and family size | Why your province changes the price | Guaranteed-issue vs underwritten pricing | Dental add-ons and what they cost | Is a plan cheaper than paying out of pocket? | How to keep premiums down</t>
        </is>
      </c>
      <c r="U150" s="25" t="inlineStr">
        <is>
          <t>How much is health insurance per month in Canada? | Is private health insurance cheaper in some provinces? | How much does family health and dental insurance cost? | Are health insurance premiums tax deductible?</t>
        </is>
      </c>
      <c r="V150" s="25" t="inlineStr">
        <is>
          <t>Dated example-premium table (single, couple, family × basic, mid and comprehensive tiers × three provinces) from the estimate model, plus a break-even table comparing premiums with expected drug, dental and paramedical spending.</t>
        </is>
      </c>
      <c r="W150" s="25" t="inlineStr">
        <is>
          <t>/health-dental-insurance/; /health-dental-insurance/ontario/; /guides/is-dental-insurance-worth-it/; /guides/medical-expense-tax-credit-canada/</t>
        </is>
      </c>
      <c r="X150" s="25" t="inlineStr">
        <is>
          <t>Instant health &amp; dental estimate (/health-dental-insurance/)</t>
        </is>
      </c>
      <c r="Y150" s="36" t="inlineStr">
        <is>
          <t>Article; FAQPage; BreadcrumbList</t>
        </is>
      </c>
      <c r="Z150" s="37" t="n">
        <v>1800</v>
      </c>
      <c r="AA150" s="25" t="inlineStr">
        <is>
          <t>PolicyAdvisor covers average cost and 'cheapest' health insurance, with price ranges on its Ontario and Alberta pages only; nobody shows a dated table by tier and family size across provinces.</t>
        </is>
      </c>
      <c r="AB150" s="25" t="inlineStr">
        <is>
          <t>Exact question as H1 and meta title, focus keyword in the slug and first 100 words, and a 40 to 60 word answer with an example range for a stated profile labelled as an estimate. Build the tier × family × province table and the break-even table; anchor 'health &amp; dental estimate' to /health-dental-insurance/. Licensed A&amp;S reviewer; refresh quarterly.</t>
        </is>
      </c>
      <c r="AC150" s="25" t="inlineStr">
        <is>
          <t>Premiums are modelled estimates for stated profiles and dates; no 'cheapest' claims, and verify any carrier-specific price against current rate sheets.</t>
        </is>
      </c>
      <c r="AD150" s="36" t="inlineStr">
        <is>
          <t>Quarterly</t>
        </is>
      </c>
      <c r="AE150" s="38" t="n"/>
      <c r="AF150" s="38" t="n"/>
      <c r="AG150" s="38" t="n"/>
    </row>
    <row r="151" ht="46.25" customHeight="1" s="22">
      <c r="A151" s="36">
        <f>"B"&amp;TEXT(ROW()-1,"0000")</f>
        <v/>
      </c>
      <c r="B151" s="38" t="inlineStr">
        <is>
          <t>Planned</t>
        </is>
      </c>
      <c r="C151" s="36" t="n">
        <v>1</v>
      </c>
      <c r="D151" s="36" t="inlineStr">
        <is>
          <t>Health &amp; dental insurance</t>
        </is>
      </c>
      <c r="E151" s="36" t="inlineStr">
        <is>
          <t>Life events</t>
        </is>
      </c>
      <c r="F151" s="25" t="inlineStr">
        <is>
          <t>Health Insurance After Losing Your Job: Conversion Plans and Your Options</t>
        </is>
      </c>
      <c r="G151" s="36" t="inlineStr">
        <is>
          <t>https://instasure.ca/guides/health-insurance-after-losing-job/</t>
        </is>
      </c>
      <c r="H151" s="36" t="inlineStr">
        <is>
          <t>health insurance after losing job canada</t>
        </is>
      </c>
      <c r="I151" s="41">
        <f>IFERROR(INDEX('Nationwide KWs'!$D$2:$D$168,MATCH(H151,'Nationwide KWs'!$A$2:$A$168,0)),IFERROR(INDEX('Provincial KWs'!$E$2:$E$137,MATCH(H151,'Provincial KWs'!$A$2:$A$137,0)),IFERROR(INDEX('City KWs'!$F$2:$F$419,MATCH(H151,'City KWs'!$A$2:$A$419,0)),"")))</f>
        <v/>
      </c>
      <c r="J151" s="36" t="inlineStr">
        <is>
          <t>Low</t>
        </is>
      </c>
      <c r="K151" s="25" t="inlineStr">
        <is>
          <t>group benefits conversion plan; what happens to benefits when laid off; continue health insurance after leaving job; benefits during notice period ontario; individual health plan no medical</t>
        </is>
      </c>
      <c r="L151" s="36" t="inlineStr">
        <is>
          <t>Nationwide</t>
        </is>
      </c>
      <c r="M151" s="36" t="inlineStr">
        <is>
          <t>commercial</t>
        </is>
      </c>
      <c r="N151" s="36" t="inlineStr">
        <is>
          <t>BOFU</t>
        </is>
      </c>
      <c r="O151" s="25" t="inlineStr">
        <is>
          <t>Health Insurance After Losing Your Job in Canada</t>
        </is>
      </c>
      <c r="P151" s="36">
        <f>LEN(O151)</f>
        <v/>
      </c>
      <c r="Q151" s="25" t="inlineStr">
        <is>
          <t>Need health insurance after losing your job? See how long group coverage lasts, how no-medical conversion plans work and what to do in the first 30 days.</t>
        </is>
      </c>
      <c r="R151" s="36">
        <f>LEN(Q151)</f>
        <v/>
      </c>
      <c r="S151" s="36">
        <f>IF(H151="","",IF(ISNUMBER(SEARCH(SUBSTITUTE(H151,"-"," "),SUBSTITUTE(O151,"-"," "))),"Yes","Check"))</f>
        <v/>
      </c>
      <c r="T151" s="25" t="inlineStr">
        <is>
          <t>What happens to your benefits when you leave a job (quick answer) | How long group coverage lasts after termination | Conversion plans: the no-medical window | Conversion vs a new underwritten plan: cost and coverage | Spouse's plan and provincial programs | Life and disability coverage you can convert too | A 30-day action checklist</t>
        </is>
      </c>
      <c r="U151" s="25" t="inlineStr">
        <is>
          <t>How long do I have to convert my group health benefits? | Do my benefits continue during the notice period? | Is a conversion plan more expensive than a new plan? | Can I get health insurance with a pre-existing condition after leaving work?</t>
        </is>
      </c>
      <c r="V151" s="25" t="inlineStr">
        <is>
          <t>A 30-day action checklist with deadlines and a comparison table of conversion plan vs underwritten plan vs guaranteed-issue plan.</t>
        </is>
      </c>
      <c r="W151" s="25" t="inlineStr">
        <is>
          <t>/health-dental-insurance/; /guides/guaranteed-issue-vs-underwritten-health-insurance/; /guides/private-health-insurance-cost-canada/; /guides/group-vs-individual-disability-insurance/</t>
        </is>
      </c>
      <c r="X151" s="25" t="inlineStr">
        <is>
          <t>Instant health &amp; dental estimate (/health-dental-insurance/)</t>
        </is>
      </c>
      <c r="Y151" s="36" t="inlineStr">
        <is>
          <t>Article; FAQPage; BreadcrumbList</t>
        </is>
      </c>
      <c r="Z151" s="37" t="n">
        <v>1600</v>
      </c>
      <c r="AA151" s="25" t="inlineStr">
        <is>
          <t>No competitor coverage seen; the Instasure money page mentions conversion plans in one line.</t>
        </is>
      </c>
      <c r="AB151" s="25" t="inlineStr">
        <is>
          <t>Focus keyword in the H1, slug, meta title, first 100 words and first H2; the 40 to 60 word answer should flag the conversion deadline. Put the 30-day checklist near the top and the plan-route comparison table after it; anchor 'guaranteed-issue health insurance' to the GI guide. Licensed reviewer; review annually.</t>
        </is>
      </c>
      <c r="AC151" s="25" t="inlineStr">
        <is>
          <t>Conversion windows (often 60 days) and provincial employment-standards rules on benefit continuation differ; verify and phrase as typical. No employment-law advice.</t>
        </is>
      </c>
      <c r="AD151" s="36" t="inlineStr">
        <is>
          <t>Annual</t>
        </is>
      </c>
      <c r="AE151" s="38" t="n"/>
      <c r="AF151" s="38" t="n"/>
      <c r="AG151" s="38" t="n"/>
    </row>
    <row r="152" ht="46.25" customHeight="1" s="22">
      <c r="A152" s="36">
        <f>"B"&amp;TEXT(ROW()-1,"0000")</f>
        <v/>
      </c>
      <c r="B152" s="38" t="inlineStr">
        <is>
          <t>Planned</t>
        </is>
      </c>
      <c r="C152" s="36" t="n">
        <v>1</v>
      </c>
      <c r="D152" s="36" t="inlineStr">
        <is>
          <t>Health &amp; dental insurance</t>
        </is>
      </c>
      <c r="E152" s="36" t="inlineStr">
        <is>
          <t>Local (province)</t>
        </is>
      </c>
      <c r="F152" s="25" t="inlineStr">
        <is>
          <t>What Does OHIP Not Cover? Gaps Ontarians Pay for Out of Pocket</t>
        </is>
      </c>
      <c r="G152" s="36" t="inlineStr">
        <is>
          <t>https://instasure.ca/guides/what-does-ohip-not-cover/</t>
        </is>
      </c>
      <c r="H152" s="36" t="inlineStr">
        <is>
          <t>what does ohip not cover</t>
        </is>
      </c>
      <c r="I152" s="41">
        <f>IFERROR(INDEX('Nationwide KWs'!$D$2:$D$168,MATCH(H152,'Nationwide KWs'!$A$2:$A$168,0)),IFERROR(INDEX('Provincial KWs'!$E$2:$E$137,MATCH(H152,'Provincial KWs'!$A$2:$A$137,0)),IFERROR(INDEX('City KWs'!$F$2:$F$419,MATCH(H152,'City KWs'!$A$2:$A$419,0)),"")))</f>
        <v/>
      </c>
      <c r="J152" s="36" t="inlineStr">
        <is>
          <t>Medium</t>
        </is>
      </c>
      <c r="K152" s="25" t="inlineStr">
        <is>
          <t>ohip coverage list; does ohip cover dental; does ohip cover physiotherapy; does ohip cover prescriptions; services not covered by ohip</t>
        </is>
      </c>
      <c r="L152" s="36" t="inlineStr">
        <is>
          <t>Province: Ontario</t>
        </is>
      </c>
      <c r="M152" s="36" t="inlineStr">
        <is>
          <t>informational</t>
        </is>
      </c>
      <c r="N152" s="36" t="inlineStr">
        <is>
          <t>TOFU</t>
        </is>
      </c>
      <c r="O152" s="25" t="inlineStr">
        <is>
          <t>What Does OHIP Not Cover? Ontario's Coverage Gaps</t>
        </is>
      </c>
      <c r="P152" s="36">
        <f>LEN(O152)</f>
        <v/>
      </c>
      <c r="Q152" s="25" t="inlineStr">
        <is>
          <t>What OHIP does not cover, service by service: prescriptions, dental, eye exams, physio, therapy and ambulance fees, plus programs and plans that fill gaps.</t>
        </is>
      </c>
      <c r="R152" s="36">
        <f>LEN(Q152)</f>
        <v/>
      </c>
      <c r="S152" s="36">
        <f>IF(H152="","",IF(ISNUMBER(SEARCH(SUBSTITUTE(H152,"-"," "),SUBSTITUTE(O152,"-"," "))),"Yes","Check"))</f>
        <v/>
      </c>
      <c r="T152" s="25" t="inlineStr">
        <is>
          <t>What OHIP doesn't cover (quick answer) | Prescription drugs outside hospital (and OHIP+, ODB, Trillium) | Dental care | Vision care and eye exams by age | Physiotherapy, massage, chiropractic and psychology | Ambulance co-payments, private rooms and medical devices | How to fill the gaps: public programs and private plans</t>
        </is>
      </c>
      <c r="U152" s="25" t="inlineStr">
        <is>
          <t>Does OHIP cover dental? | Does OHIP cover physiotherapy? | Does OHIP cover eye exams for adults? | Does OHIP cover ambulance rides?</t>
        </is>
      </c>
      <c r="V152" s="25" t="inlineStr">
        <is>
          <t>Service-by-service table (covered, partly covered, not covered, public program that may help) for 25 common services, each linked to the Ontario Ministry of Health source and dated.</t>
        </is>
      </c>
      <c r="W152" s="25" t="inlineStr">
        <is>
          <t>/health-dental-insurance/ontario/; /guides/ohip-plus-explained/; /guides/trillium-drug-program-ontario/; /guides/private-health-insurance-cost-canada/</t>
        </is>
      </c>
      <c r="X152" s="25" t="inlineStr">
        <is>
          <t>Instant health &amp; dental estimate for Ontario (/health-dental-insurance/ontario/)</t>
        </is>
      </c>
      <c r="Y152" s="36" t="inlineStr">
        <is>
          <t>Article; FAQPage; BreadcrumbList</t>
        </is>
      </c>
      <c r="Z152" s="37" t="n">
        <v>2000</v>
      </c>
      <c r="AA152" s="25" t="inlineStr">
        <is>
          <t>PolicyAdvisor's Ontario health page ties its content to OHIP but is a 'Best Health Insurance in Ontario' money page; no gap-by-gap OHIP table surfaced.</t>
        </is>
      </c>
      <c r="AB152" s="25" t="inlineStr">
        <is>
          <t>Exact question as H1 and meta title, focus keyword in the slug and first 100 words, and a 40 to 60 word answer listing the big four gaps (drugs, dental, vision, paramedical). Make the 25-row table the centrepiece and link each gap to its deep-dive guide; anchor 'health insurance in Ontario' to /health-dental-insurance/ontario/. Ontario Ministry of Health sources, licensed reviewer, annual review.</t>
        </is>
      </c>
      <c r="AC152" s="25" t="inlineStr">
        <is>
          <t>Verify each OHIP rule (eye exams by age, publicly funded physiotherapy, ambulance co-payment) on ontario.ca and date the table; no 'free' claims beyond what the ministry states.</t>
        </is>
      </c>
      <c r="AD152" s="36" t="inlineStr">
        <is>
          <t>Annual</t>
        </is>
      </c>
      <c r="AE152" s="38" t="n"/>
      <c r="AF152" s="38" t="n"/>
      <c r="AG152" s="38" t="n"/>
    </row>
    <row r="153" ht="46.25" customHeight="1" s="22">
      <c r="A153" s="36">
        <f>"B"&amp;TEXT(ROW()-1,"0000")</f>
        <v/>
      </c>
      <c r="B153" s="38" t="inlineStr">
        <is>
          <t>Planned</t>
        </is>
      </c>
      <c r="C153" s="36" t="n">
        <v>2</v>
      </c>
      <c r="D153" s="36" t="inlineStr">
        <is>
          <t>Health &amp; dental insurance</t>
        </is>
      </c>
      <c r="E153" s="36" t="inlineStr">
        <is>
          <t>CDCP</t>
        </is>
      </c>
      <c r="F153" s="25" t="inlineStr">
        <is>
          <t>What the Canadian Dental Care Plan Covers: Services, Co-Pays and Extra Charges</t>
        </is>
      </c>
      <c r="G153" s="36" t="inlineStr">
        <is>
          <t>https://instasure.ca/guides/cdcp-coverage-and-co-pays/</t>
        </is>
      </c>
      <c r="H153" s="36" t="inlineStr">
        <is>
          <t>what does cdcp cover</t>
        </is>
      </c>
      <c r="I153" s="41">
        <f>IFERROR(INDEX('Nationwide KWs'!$D$2:$D$168,MATCH(H153,'Nationwide KWs'!$A$2:$A$168,0)),IFERROR(INDEX('Provincial KWs'!$E$2:$E$137,MATCH(H153,'Provincial KWs'!$A$2:$A$137,0)),IFERROR(INDEX('City KWs'!$F$2:$F$419,MATCH(H153,'City KWs'!$A$2:$A$419,0)),"")))</f>
        <v/>
      </c>
      <c r="J153" s="36" t="inlineStr">
        <is>
          <t>Medium</t>
        </is>
      </c>
      <c r="K153" s="25" t="inlineStr">
        <is>
          <t>cdcp co-pay by income; cdcp covered services list; cdcp extra charges from dentist; cdcp preauthorization; does cdcp cover dentures</t>
        </is>
      </c>
      <c r="L153" s="36" t="inlineStr">
        <is>
          <t>Nationwide</t>
        </is>
      </c>
      <c r="M153" s="36" t="inlineStr">
        <is>
          <t>informational</t>
        </is>
      </c>
      <c r="N153" s="36" t="inlineStr">
        <is>
          <t>TOFU</t>
        </is>
      </c>
      <c r="O153" s="25" t="inlineStr">
        <is>
          <t>What Does CDCP Cover? Services, Co-Pays and Fees</t>
        </is>
      </c>
      <c r="P153" s="36">
        <f>LEN(O153)</f>
        <v/>
      </c>
      <c r="Q153" s="25" t="inlineStr">
        <is>
          <t>What the CDCP covers: preventive, restorative and denture services, co-pays by income band, preauthorization rules and why your dentist may charge extra.</t>
        </is>
      </c>
      <c r="R153" s="36">
        <f>LEN(Q153)</f>
        <v/>
      </c>
      <c r="S153" s="36">
        <f>IF(H153="","",IF(ISNUMBER(SEARCH(SUBSTITUTE(H153,"-"," "),SUBSTITUTE(O153,"-"," "))),"Yes","Check"))</f>
        <v/>
      </c>
      <c r="T153" s="25" t="inlineStr">
        <is>
          <t>What the CDCP covers (quick answer) | Covered services: preventive, restorative, dentures and more | Co-payment bands by income | Services that need preauthorization | Why your dentist may charge extra | What the CDCP does not cover | How to check your coverage before an appointment</t>
        </is>
      </c>
      <c r="U153" s="25" t="inlineStr">
        <is>
          <t>Is the CDCP free? | Why did my dentist charge me extra under the CDCP? | Does the CDCP cover crowns? | Do I need preauthorization for CDCP treatment?</t>
        </is>
      </c>
      <c r="V153" s="25" t="inlineStr">
        <is>
          <t>Services table (covered, preauthorization needed, not covered) and a co-payment example at each income band for a filling and a denture, plus a 'questions to ask your dentist' script.</t>
        </is>
      </c>
      <c r="W153" s="25" t="inlineStr">
        <is>
          <t>/health-dental-insurance/; /guides/canadian-dental-care-plan-eligibility/; /guides/private-dental-insurance-vs-cdcp/; /guides/cdcp-and-provincial-dental-programs/</t>
        </is>
      </c>
      <c r="X153" s="25" t="inlineStr">
        <is>
          <t>Instant health &amp; dental estimate (/health-dental-insurance/)</t>
        </is>
      </c>
      <c r="Y153" s="36" t="inlineStr">
        <is>
          <t>Article; FAQPage; BreadcrumbList</t>
        </is>
      </c>
      <c r="Z153" s="37" t="n">
        <v>1500</v>
      </c>
      <c r="AA153" s="25" t="inlineStr">
        <is>
          <t>Dental clinics cover CDCP services from a provider angle; no insurance site with co-pay examples surfaced.</t>
        </is>
      </c>
      <c r="AB153" s="25" t="inlineStr">
        <is>
          <t>Use the exact question in the H1 and meta title and the focus keyword in the first 100 words and first H2; the 40 to 60 word answer should list the covered categories and mention co-pays. Use the services table and income-band example; anchor 'CDCP eligibility' to the eligibility guide. canada.ca sources and CDCP fee grids, licensed reviewer, refresh on rule change.</t>
        </is>
      </c>
      <c r="AC153" s="25" t="inlineStr">
        <is>
          <t>Verify co-pay bands (0% / 40% / 60%), covered-service lists and preauthorization rules on canada.ca and the CDCP fee grids; date the page.</t>
        </is>
      </c>
      <c r="AD153" s="36" t="inlineStr">
        <is>
          <t>On rule change</t>
        </is>
      </c>
      <c r="AE153" s="38" t="n"/>
      <c r="AF153" s="38" t="n"/>
      <c r="AG153" s="38" t="n"/>
    </row>
    <row r="154" ht="46.25" customHeight="1" s="22">
      <c r="A154" s="36">
        <f>"B"&amp;TEXT(ROW()-1,"0000")</f>
        <v/>
      </c>
      <c r="B154" s="38" t="inlineStr">
        <is>
          <t>Planned</t>
        </is>
      </c>
      <c r="C154" s="36" t="n">
        <v>2</v>
      </c>
      <c r="D154" s="36" t="inlineStr">
        <is>
          <t>Health &amp; dental insurance</t>
        </is>
      </c>
      <c r="E154" s="36" t="inlineStr">
        <is>
          <t>Cost &amp; pricing</t>
        </is>
      </c>
      <c r="F154" s="25" t="inlineStr">
        <is>
          <t>Is Individual Dental Insurance Worth It? Waiting Periods, Maximums and Break-Even Math</t>
        </is>
      </c>
      <c r="G154" s="36" t="inlineStr">
        <is>
          <t>https://instasure.ca/guides/is-dental-insurance-worth-it/</t>
        </is>
      </c>
      <c r="H154" s="36" t="inlineStr">
        <is>
          <t>is dental insurance worth it</t>
        </is>
      </c>
      <c r="I154" s="41">
        <f>IFERROR(INDEX('Nationwide KWs'!$D$2:$D$168,MATCH(H154,'Nationwide KWs'!$A$2:$A$168,0)),IFERROR(INDEX('Provincial KWs'!$E$2:$E$137,MATCH(H154,'Provincial KWs'!$A$2:$A$137,0)),IFERROR(INDEX('City KWs'!$F$2:$F$419,MATCH(H154,'City KWs'!$A$2:$A$419,0)),"")))</f>
        <v/>
      </c>
      <c r="J154" s="36" t="inlineStr">
        <is>
          <t>Low</t>
        </is>
      </c>
      <c r="K154" s="25" t="inlineStr">
        <is>
          <t>dental insurance waiting period; dental insurance annual maximum; individual dental insurance cost canada; dental insurance no waiting period canada; dental insurance co-insurance explained</t>
        </is>
      </c>
      <c r="L154" s="36" t="inlineStr">
        <is>
          <t>Nationwide</t>
        </is>
      </c>
      <c r="M154" s="36" t="inlineStr">
        <is>
          <t>commercial</t>
        </is>
      </c>
      <c r="N154" s="36" t="inlineStr">
        <is>
          <t>MOFU</t>
        </is>
      </c>
      <c r="O154" s="25" t="inlineStr">
        <is>
          <t>Is Dental Insurance Worth It? Canada Break-Even Math</t>
        </is>
      </c>
      <c r="P154" s="36">
        <f>LEN(O154)</f>
        <v/>
      </c>
      <c r="Q154" s="25" t="inlineStr">
        <is>
          <t>Is dental insurance worth it? Compare premiums with what a plan pays after waiting periods, co-insurance and annual maximums, using break-even examples.</t>
        </is>
      </c>
      <c r="R154" s="36">
        <f>LEN(Q154)</f>
        <v/>
      </c>
      <c r="S154" s="36">
        <f>IF(H154="","",IF(ISNUMBER(SEARCH(SUBSTITUTE(H154,"-"," "),SUBSTITUTE(O154,"-"," "))),"Yes","Check"))</f>
        <v/>
      </c>
      <c r="T154" s="25" t="inlineStr">
        <is>
          <t>Is dental insurance worth it? (quick answer) | How individual dental plans pay: co-insurance and annual maximums | Waiting periods for basic and major dental | Break-even math: premiums vs what the plan pays | When a dental plan makes sense and when saving does | Dental plans vs the CDCP and provincial programs | How to compare plans</t>
        </is>
      </c>
      <c r="U154" s="25" t="inlineStr">
        <is>
          <t>Is dental insurance worth it if I only get cleanings? | How long is the waiting period for dental insurance? | What is an annual maximum? | Is there dental insurance with no waiting period in Canada?</t>
        </is>
      </c>
      <c r="V154" s="25" t="inlineStr">
        <is>
          <t>Break-even table: annual premium vs reimbursed cleanings, fillings and a crown under typical co-insurance and annual maximums, using the provincial dental association fee guide as the cost basis.</t>
        </is>
      </c>
      <c r="W154" s="25" t="inlineStr">
        <is>
          <t>/health-dental-insurance/; /guides/private-dental-insurance-vs-cdcp/; /guides/does-dental-insurance-cover-braces/; /guides/private-health-insurance-cost-canada/</t>
        </is>
      </c>
      <c r="X154" s="25" t="inlineStr">
        <is>
          <t>Instant health &amp; dental estimate (/health-dental-insurance/)</t>
        </is>
      </c>
      <c r="Y154" s="36" t="inlineStr">
        <is>
          <t>Article; FAQPage; BreadcrumbList</t>
        </is>
      </c>
      <c r="Z154" s="37" t="n">
        <v>1600</v>
      </c>
      <c r="AA154" s="25" t="inlineStr">
        <is>
          <t>Sun Life has a dental insurance page and the existing Instasure CDCP guide covers eligibility trade-offs; no competitor shows break-even math with waiting periods.</t>
        </is>
      </c>
      <c r="AB154" s="25" t="inlineStr">
        <is>
          <t>Exact question as H1 and meta title, focus keyword in the slug and first 100 words, and a 40 to 60 word answer stating it depends on expected major work in the first two years. Make the break-even table the core asset; anchor 'private dental insurance vs the CDCP' to the existing guide. Cite the provincial dental association fee guide, licensed reviewer, annual review.</t>
        </is>
      </c>
      <c r="AC154" s="25" t="inlineStr">
        <is>
          <t>Fee guide amounts differ by province and year; cite the fee guide used and date it; premiums are modelled estimates.</t>
        </is>
      </c>
      <c r="AD154" s="36" t="inlineStr">
        <is>
          <t>Annual</t>
        </is>
      </c>
      <c r="AE154" s="38" t="n"/>
      <c r="AF154" s="38" t="n"/>
      <c r="AG154" s="38" t="n"/>
    </row>
    <row r="155" ht="46.25" customHeight="1" s="22">
      <c r="A155" s="36">
        <f>"B"&amp;TEXT(ROW()-1,"0000")</f>
        <v/>
      </c>
      <c r="B155" s="38" t="inlineStr">
        <is>
          <t>Planned</t>
        </is>
      </c>
      <c r="C155" s="36" t="n">
        <v>2</v>
      </c>
      <c r="D155" s="36" t="inlineStr">
        <is>
          <t>Health &amp; dental insurance</t>
        </is>
      </c>
      <c r="E155" s="36" t="inlineStr">
        <is>
          <t>Coverage explained</t>
        </is>
      </c>
      <c r="F155" s="25" t="inlineStr">
        <is>
          <t>Does Health Insurance Cover Therapy in Canada? Psychologists, Counsellors and Limits</t>
        </is>
      </c>
      <c r="G155" s="36" t="inlineStr">
        <is>
          <t>https://instasure.ca/guides/does-health-insurance-cover-therapy-canada/</t>
        </is>
      </c>
      <c r="H155" s="36" t="inlineStr">
        <is>
          <t>does insurance cover therapy canada</t>
        </is>
      </c>
      <c r="I155" s="41">
        <f>IFERROR(INDEX('Nationwide KWs'!$D$2:$D$168,MATCH(H155,'Nationwide KWs'!$A$2:$A$168,0)),IFERROR(INDEX('Provincial KWs'!$E$2:$E$137,MATCH(H155,'Provincial KWs'!$A$2:$A$137,0)),IFERROR(INDEX('City KWs'!$F$2:$F$419,MATCH(H155,'City KWs'!$A$2:$A$419,0)),"")))</f>
        <v/>
      </c>
      <c r="J155" s="36" t="inlineStr">
        <is>
          <t>Medium</t>
        </is>
      </c>
      <c r="K155" s="25" t="inlineStr">
        <is>
          <t>is therapy covered by ohip; psychologist coverage health insurance; registered psychotherapist insurance coverage; mental health coverage private plan; eap counselling sessions</t>
        </is>
      </c>
      <c r="L155" s="36" t="inlineStr">
        <is>
          <t>Nationwide</t>
        </is>
      </c>
      <c r="M155" s="36" t="inlineStr">
        <is>
          <t>informational</t>
        </is>
      </c>
      <c r="N155" s="36" t="inlineStr">
        <is>
          <t>TOFU</t>
        </is>
      </c>
      <c r="O155" s="25" t="inlineStr">
        <is>
          <t>Does Insurance Cover Therapy in Canada? Limits Explained</t>
        </is>
      </c>
      <c r="P155" s="36">
        <f>LEN(O155)</f>
        <v/>
      </c>
      <c r="Q155" s="25" t="inlineStr">
        <is>
          <t>Does insurance cover therapy in Canada? See what provincial plans pay for, which practitioners private plans accept, typical yearly limits and EAP options.</t>
        </is>
      </c>
      <c r="R155" s="36">
        <f>LEN(Q155)</f>
        <v/>
      </c>
      <c r="S155" s="36">
        <f>IF(H155="","",IF(ISNUMBER(SEARCH(SUBSTITUTE(H155,"-"," "),SUBSTITUTE(O155,"-"," "))),"Yes","Check"))</f>
        <v/>
      </c>
      <c r="T155" s="25" t="inlineStr">
        <is>
          <t>Is therapy covered in Canada? (quick answer) | What provincial plans cover: psychiatrists, hospital programs and public services | Practitioner types private plans pay for | Typical annual limits for mental health | EAPs and workplace programs | Province differences: psychotherapists, counsellors and social workers | How to make your benefit last</t>
        </is>
      </c>
      <c r="U155" s="25" t="inlineStr">
        <is>
          <t>Is therapy covered by OHIP? | Does private insurance cover a registered psychotherapist? | How many therapy sessions does insurance cover? | Can I buy health insurance just for mental health?</t>
        </is>
      </c>
      <c r="V155" s="25" t="inlineStr">
        <is>
          <t>Table of practitioner types (psychiatrist, psychologist, psychotherapist, counselling therapist, social worker) showing public coverage and typical private-plan eligibility by province, with registration notes.</t>
        </is>
      </c>
      <c r="W155" s="25" t="inlineStr">
        <is>
          <t>/health-dental-insurance/; /guides/paramedical-coverage-explained/; /guides/employee-assistance-program-small-business/; /guides/long-term-disability-for-mental-health/</t>
        </is>
      </c>
      <c r="X155" s="25" t="inlineStr">
        <is>
          <t>Instant health &amp; dental estimate (/health-dental-insurance/)</t>
        </is>
      </c>
      <c r="Y155" s="36" t="inlineStr">
        <is>
          <t>Article; FAQPage; BreadcrumbList</t>
        </is>
      </c>
      <c r="Z155" s="37" t="n">
        <v>1600</v>
      </c>
      <c r="AA155" s="25" t="inlineStr">
        <is>
          <t>No competitor coverage seen among the insurance sites researched.</t>
        </is>
      </c>
      <c r="AB155" s="25" t="inlineStr">
        <is>
          <t>Exact question in the H1 and meta title, focus keyword in the first 100 words and first H2, and a 40 to 60 word answer separating public psychiatry from private-plan psychology and counselling. Use the practitioner table and a support box with the 9-8-8 crisis line; anchor 'employee assistance programs' to the EAP guide. Licensed reviewer; review annually.</t>
        </is>
      </c>
      <c r="AC155" s="25" t="inlineStr">
        <is>
          <t>Which practitioners are regulated differs by province; verify against provincial colleges and plan contracts. Sensitive topic: include crisis-line information and avoid clinical advice.</t>
        </is>
      </c>
      <c r="AD155" s="36" t="inlineStr">
        <is>
          <t>Annual</t>
        </is>
      </c>
      <c r="AE155" s="38" t="n"/>
      <c r="AF155" s="38" t="n"/>
      <c r="AG155" s="38" t="n"/>
    </row>
    <row r="156" ht="35.05" customHeight="1" s="22">
      <c r="A156" s="36">
        <f>"B"&amp;TEXT(ROW()-1,"0000")</f>
        <v/>
      </c>
      <c r="B156" s="38" t="inlineStr">
        <is>
          <t>Planned</t>
        </is>
      </c>
      <c r="C156" s="36" t="n">
        <v>2</v>
      </c>
      <c r="D156" s="36" t="inlineStr">
        <is>
          <t>Health &amp; dental insurance</t>
        </is>
      </c>
      <c r="E156" s="36" t="inlineStr">
        <is>
          <t>Coverage explained</t>
        </is>
      </c>
      <c r="F156" s="25" t="inlineStr">
        <is>
          <t>Guaranteed-Issue vs Underwritten Health Insurance: Pre-Existing Conditions Explained</t>
        </is>
      </c>
      <c r="G156" s="36" t="inlineStr">
        <is>
          <t>https://instasure.ca/guides/guaranteed-issue-vs-underwritten-health-insurance/</t>
        </is>
      </c>
      <c r="H156" s="36" t="inlineStr">
        <is>
          <t>guaranteed issue health insurance</t>
        </is>
      </c>
      <c r="I156" s="41">
        <f>IFERROR(INDEX('Nationwide KWs'!$D$2:$D$168,MATCH(H156,'Nationwide KWs'!$A$2:$A$168,0)),IFERROR(INDEX('Provincial KWs'!$E$2:$E$137,MATCH(H156,'Provincial KWs'!$A$2:$A$137,0)),IFERROR(INDEX('City KWs'!$F$2:$F$419,MATCH(H156,'City KWs'!$A$2:$A$419,0)),"")))</f>
        <v/>
      </c>
      <c r="J156" s="36" t="inlineStr">
        <is>
          <t>Low</t>
        </is>
      </c>
      <c r="K156" s="25" t="inlineStr">
        <is>
          <t>health insurance pre existing conditions canada; no medical health insurance canada; underwritten health plan; health insurance with diabetes canada; pre-existing condition exclusion health plan</t>
        </is>
      </c>
      <c r="L156" s="36" t="inlineStr">
        <is>
          <t>Nationwide</t>
        </is>
      </c>
      <c r="M156" s="36" t="inlineStr">
        <is>
          <t>commercial</t>
        </is>
      </c>
      <c r="N156" s="36" t="inlineStr">
        <is>
          <t>MOFU</t>
        </is>
      </c>
      <c r="O156" s="25" t="inlineStr">
        <is>
          <t>Guaranteed Issue Health Insurance vs Underwritten</t>
        </is>
      </c>
      <c r="P156" s="36">
        <f>LEN(O156)</f>
        <v/>
      </c>
      <c r="Q156" s="25" t="inlineStr">
        <is>
          <t>Guaranteed-issue vs underwritten health insurance: how each treats pre-existing conditions and current prescriptions, the cost, and which route to take.</t>
        </is>
      </c>
      <c r="R156" s="36">
        <f>LEN(Q156)</f>
        <v/>
      </c>
      <c r="S156" s="36">
        <f>IF(H156="","",IF(ISNUMBER(SEARCH(SUBSTITUTE(H156,"-"," "),SUBSTITUTE(O156,"-"," "))),"Yes","Check"))</f>
        <v/>
      </c>
      <c r="T156" s="25" t="inlineStr">
        <is>
          <t>Guaranteed issue vs underwritten (quick answer) | How guaranteed-issue plans handle pre-existing conditions | What underwriting asks and what it unlocks | Drug coverage limits on guaranteed-issue plans | Conversion plans as a third route | Worked example: someone with a chronic prescription | How to choose</t>
        </is>
      </c>
      <c r="U156" s="25" t="inlineStr">
        <is>
          <t>Can I get health insurance with a pre-existing condition in Canada? | What does guaranteed issue mean? | Do guaranteed-issue plans cover existing prescriptions? | Is underwritten health insurance cheaper?</t>
        </is>
      </c>
      <c r="V156" s="25" t="inlineStr">
        <is>
          <t>Comparison table of plan routes (guaranteed issue, underwritten, conversion) by health questions, drug limits, maximums and cost, with a worked example for a person on a monthly maintenance drug.</t>
        </is>
      </c>
      <c r="W156" s="25" t="inlineStr">
        <is>
          <t>/health-dental-insurance/; /guides/health-insurance-after-losing-job/; /guides/private-health-insurance-cost-canada/; /life-insurance/medical-conditions/</t>
        </is>
      </c>
      <c r="X156" s="25" t="inlineStr">
        <is>
          <t>Instant health &amp; dental estimate (/health-dental-insurance/)</t>
        </is>
      </c>
      <c r="Y156" s="36" t="inlineStr">
        <is>
          <t>Article; FAQPage; BreadcrumbList</t>
        </is>
      </c>
      <c r="Z156" s="37" t="n">
        <v>1500</v>
      </c>
      <c r="AA156" s="25" t="inlineStr">
        <is>
          <t>PolicyAdvisor covers pre-existing conditions for life insurance and Sun Life shows its basic and enhanced plans; no neutral guaranteed-issue vs underwritten comparison surfaced.</t>
        </is>
      </c>
      <c r="AB156" s="25" t="inlineStr">
        <is>
          <t>Focus keyword in the H1, slug, meta title, first 100 words and first H2; define guaranteed issue in 40 to 60 words with the pre-existing caveat. Use the three-route table and the maintenance-drug example; anchor 'conversion plans' to the job-loss guide. Licensed reviewer; review annually.</t>
        </is>
      </c>
      <c r="AC156" s="25" t="inlineStr">
        <is>
          <t>Pre-existing limitations differ by plan; verify against at least three insurers' contracts and avoid implying full coverage of existing conditions.</t>
        </is>
      </c>
      <c r="AD156" s="36" t="inlineStr">
        <is>
          <t>Annual</t>
        </is>
      </c>
      <c r="AE156" s="38" t="n"/>
      <c r="AF156" s="38" t="n"/>
      <c r="AG156" s="38" t="n"/>
    </row>
    <row r="157" ht="46.25" customHeight="1" s="22">
      <c r="A157" s="36">
        <f>"B"&amp;TEXT(ROW()-1,"0000")</f>
        <v/>
      </c>
      <c r="B157" s="38" t="inlineStr">
        <is>
          <t>Planned</t>
        </is>
      </c>
      <c r="C157" s="36" t="n">
        <v>2</v>
      </c>
      <c r="D157" s="36" t="inlineStr">
        <is>
          <t>Health &amp; dental insurance</t>
        </is>
      </c>
      <c r="E157" s="36" t="inlineStr">
        <is>
          <t>Data &amp; research</t>
        </is>
      </c>
      <c r="F157" s="25" t="inlineStr">
        <is>
          <t>Long-Term Care Costs by Province: What the Government Pays and What You Pay</t>
        </is>
      </c>
      <c r="G157" s="36" t="inlineStr">
        <is>
          <t>https://instasure.ca/guides/long-term-care-costs-by-province/</t>
        </is>
      </c>
      <c r="H157" s="36" t="inlineStr">
        <is>
          <t>long term care costs by province</t>
        </is>
      </c>
      <c r="I157" s="41">
        <f>IFERROR(INDEX('Nationwide KWs'!$D$2:$D$168,MATCH(H157,'Nationwide KWs'!$A$2:$A$168,0)),IFERROR(INDEX('Provincial KWs'!$E$2:$E$137,MATCH(H157,'Provincial KWs'!$A$2:$A$137,0)),IFERROR(INDEX('City KWs'!$F$2:$F$419,MATCH(H157,'City KWs'!$A$2:$A$419,0)),"")))</f>
        <v/>
      </c>
      <c r="J157" s="36" t="inlineStr">
        <is>
          <t>Low</t>
        </is>
      </c>
      <c r="K157" s="25" t="inlineStr">
        <is>
          <t>cost of long term care in ontario; long term care co-payment; private vs public long term care canada; home care costs canada; long term care insurance alternatives</t>
        </is>
      </c>
      <c r="L157" s="36" t="inlineStr">
        <is>
          <t>Nationwide</t>
        </is>
      </c>
      <c r="M157" s="36" t="inlineStr">
        <is>
          <t>informational</t>
        </is>
      </c>
      <c r="N157" s="36" t="inlineStr">
        <is>
          <t>TOFU</t>
        </is>
      </c>
      <c r="O157" s="25" t="inlineStr">
        <is>
          <t>Long-Term Care Costs by Province: What You Pay</t>
        </is>
      </c>
      <c r="P157" s="36">
        <f>LEN(O157)</f>
        <v/>
      </c>
      <c r="Q157" s="25" t="inlineStr">
        <is>
          <t>Compare long-term care costs by province: resident co-payments for basic and private rooms, low-income reductions, home care and how families pay for care.</t>
        </is>
      </c>
      <c r="R157" s="36">
        <f>LEN(Q157)</f>
        <v/>
      </c>
      <c r="S157" s="36">
        <f>IF(H157="","",IF(ISNUMBER(SEARCH(SUBSTITUTE(H157,"-"," "),SUBSTITUTE(O157,"-"," "))),"Yes","Check"))</f>
        <v/>
      </c>
      <c r="T157" s="25" t="inlineStr">
        <is>
          <t>What long-term care costs in Canada (quick answer) | Province-by-province resident co-payment table | Rate reductions for low-income residents | Retirement homes vs long-term care homes | Home care: what's funded and what isn't | Paying for care: savings, insurance and home equity | Where long-term care insurance fits today</t>
        </is>
      </c>
      <c r="U157" s="25" t="inlineStr">
        <is>
          <t>How much does long-term care cost in Ontario? | Does the government pay for long-term care in Canada? | What is the difference between a retirement home and long-term care? | Can I still buy long-term care insurance in Canada?</t>
        </is>
      </c>
      <c r="V157" s="25" t="inlineStr">
        <is>
          <t>13-row table of public long-term care resident charges (basic and private room) by province and territory, linked to each ministry and dated, plus a monthly budget example comparing a retirement home with long-term care.</t>
        </is>
      </c>
      <c r="W157" s="25" t="inlineStr">
        <is>
          <t>/long-term-care-insurance/; /health-dental-insurance/; /guides/health-insurance-for-seniors-over-65/; /critical-illness-insurance/</t>
        </is>
      </c>
      <c r="X157" s="25" t="inlineStr">
        <is>
          <t>Talk to a licensed advisor about long-term care options (/long-term-care-insurance/)</t>
        </is>
      </c>
      <c r="Y157" s="36" t="inlineStr">
        <is>
          <t>Article; FAQPage; BreadcrumbList</t>
        </is>
      </c>
      <c r="Z157" s="37" t="n">
        <v>2000</v>
      </c>
      <c r="AA157" s="25" t="inlineStr">
        <is>
          <t>Ratehub and PolicyAdvisor cover long-term care insurance (per keywords.csv); no province-by-province co-payment table surfaced.</t>
        </is>
      </c>
      <c r="AB157" s="25" t="inlineStr">
        <is>
          <t>Focus keyword in the H1, slug, meta title, first 100 words and the table H2; the 40 to 60 word answer should explain that provinces fund care while residents pay accommodation co-payments. Make the 13-row table the citable asset and add the budget example; anchor 'long-term care insurance' to its service page. Ministry sources, licensed reviewer, annual review.</t>
        </is>
      </c>
      <c r="AC157" s="25" t="inlineStr">
        <is>
          <t>Co-payment rates change (often each July); verify on each ministry site and date them. Verify the claim that few insurers still sell individual LTC before stating it.</t>
        </is>
      </c>
      <c r="AD157" s="36" t="inlineStr">
        <is>
          <t>Annual</t>
        </is>
      </c>
      <c r="AE157" s="38" t="n"/>
      <c r="AF157" s="38" t="n"/>
      <c r="AG157" s="38" t="n"/>
    </row>
    <row r="158" ht="46.25" customHeight="1" s="22">
      <c r="A158" s="36">
        <f>"B"&amp;TEXT(ROW()-1,"0000")</f>
        <v/>
      </c>
      <c r="B158" s="38" t="inlineStr">
        <is>
          <t>Planned</t>
        </is>
      </c>
      <c r="C158" s="36" t="n">
        <v>2</v>
      </c>
      <c r="D158" s="36" t="inlineStr">
        <is>
          <t>Health &amp; dental insurance</t>
        </is>
      </c>
      <c r="E158" s="36" t="inlineStr">
        <is>
          <t>Data &amp; research</t>
        </is>
      </c>
      <c r="F158" s="25" t="inlineStr">
        <is>
          <t>Prescription Drug Coverage by Province: Public Plans, Deductibles and Gaps</t>
        </is>
      </c>
      <c r="G158" s="36" t="inlineStr">
        <is>
          <t>https://instasure.ca/guides/prescription-drug-coverage-by-province/</t>
        </is>
      </c>
      <c r="H158" s="36" t="inlineStr">
        <is>
          <t>prescription drug coverage by province</t>
        </is>
      </c>
      <c r="I158" s="41">
        <f>IFERROR(INDEX('Nationwide KWs'!$D$2:$D$168,MATCH(H158,'Nationwide KWs'!$A$2:$A$168,0)),IFERROR(INDEX('Provincial KWs'!$E$2:$E$137,MATCH(H158,'Provincial KWs'!$A$2:$A$137,0)),IFERROR(INDEX('City KWs'!$F$2:$F$419,MATCH(H158,'City KWs'!$A$2:$A$419,0)),"")))</f>
        <v/>
      </c>
      <c r="J158" s="36" t="inlineStr">
        <is>
          <t>Low</t>
        </is>
      </c>
      <c r="K158" s="25" t="inlineStr">
        <is>
          <t>provincial drug plans canada; prescription drug coverage canada; who pays for prescriptions in canada; provincial pharmacare comparison; drug plan for people without insurance</t>
        </is>
      </c>
      <c r="L158" s="36" t="inlineStr">
        <is>
          <t>Nationwide</t>
        </is>
      </c>
      <c r="M158" s="36" t="inlineStr">
        <is>
          <t>informational</t>
        </is>
      </c>
      <c r="N158" s="36" t="inlineStr">
        <is>
          <t>TOFU</t>
        </is>
      </c>
      <c r="O158" s="25" t="inlineStr">
        <is>
          <t>Prescription Drug Coverage by Province in Canada</t>
        </is>
      </c>
      <c r="P158" s="36">
        <f>LEN(O158)</f>
        <v/>
      </c>
      <c r="Q158" s="25" t="inlineStr">
        <is>
          <t>Compare prescription drug coverage in every province and territory: public plans, who is covered, deductibles, seniors' rules and catastrophic programs.</t>
        </is>
      </c>
      <c r="R158" s="36">
        <f>LEN(Q158)</f>
        <v/>
      </c>
      <c r="S158" s="36">
        <f>IF(H158="","",IF(ISNUMBER(SEARCH(SUBSTITUTE(H158,"-"," "),SUBSTITUTE(O158,"-"," "))),"Yes","Check"))</f>
        <v/>
      </c>
      <c r="T158" s="25" t="inlineStr">
        <is>
          <t>How prescription drug coverage works in Canada (quick answer) | Province-by-province table | Income-based plans vs age-based plans | Seniors, children and social assistance programs | Catastrophic drug programs for high costs | Where private and group plans fit | What national pharmacare changes</t>
        </is>
      </c>
      <c r="U158" s="25" t="inlineStr">
        <is>
          <t>Are prescriptions free in Canada? | Which provinces cover prescriptions for seniors? | What happens if I can't afford my prescriptions? | Do I need private drug insurance if I have a provincial plan?</t>
        </is>
      </c>
      <c r="V158" s="25" t="inlineStr">
        <is>
          <t>13-row province and territory table (plan name, who is covered, deductible basis, seniors' rules, catastrophic program), each cell linked to the provincial source and dated.</t>
        </is>
      </c>
      <c r="W158" s="25" t="inlineStr">
        <is>
          <t>/health-dental-insurance/; /guides/national-pharmacare-canada-explained/; /guides/trillium-drug-program-ontario/; /guides/bc-fair-pharmacare-explained/; /guides/quebec-ramq-prescription-drug-insurance/</t>
        </is>
      </c>
      <c r="X158" s="25" t="inlineStr">
        <is>
          <t>Instant health &amp; dental estimate (/health-dental-insurance/)</t>
        </is>
      </c>
      <c r="Y158" s="36" t="inlineStr">
        <is>
          <t>Article; FAQPage; BreadcrumbList</t>
        </is>
      </c>
      <c r="Z158" s="37" t="n">
        <v>2200</v>
      </c>
      <c r="AA158" s="25" t="inlineStr">
        <is>
          <t>No competitor coverage seen; PolicyAdvisor's province health pages cover only ON, BC, AB and MB and do not compare drug plans.</t>
        </is>
      </c>
      <c r="AB158" s="25" t="inlineStr">
        <is>
          <t>Focus keyword in the H1, slug, meta title, first 100 words and the table H2; the 40 to 60 word answer should explain that coverage depends on province, age and income. Make the 13-row table the citable asset with a 'last checked' date and link each province row to its deep dive where one exists. Provincial ministry sources, licensed reviewer, annual review.</t>
        </is>
      </c>
      <c r="AC158" s="25" t="inlineStr">
        <is>
          <t>Verify every province's plan rules annually on government sites and avoid ranking provinces as 'best' or 'worst'.</t>
        </is>
      </c>
      <c r="AD158" s="36" t="inlineStr">
        <is>
          <t>Annual</t>
        </is>
      </c>
      <c r="AE158" s="38" t="n"/>
      <c r="AF158" s="38" t="n"/>
      <c r="AG158" s="38" t="n"/>
    </row>
    <row r="159" ht="46.25" customHeight="1" s="22">
      <c r="A159" s="36">
        <f>"B"&amp;TEXT(ROW()-1,"0000")</f>
        <v/>
      </c>
      <c r="B159" s="38" t="inlineStr">
        <is>
          <t>Planned</t>
        </is>
      </c>
      <c r="C159" s="36" t="n">
        <v>2</v>
      </c>
      <c r="D159" s="36" t="inlineStr">
        <is>
          <t>Health &amp; dental insurance</t>
        </is>
      </c>
      <c r="E159" s="36" t="inlineStr">
        <is>
          <t>Local (province)</t>
        </is>
      </c>
      <c r="F159" s="25" t="inlineStr">
        <is>
          <t>OHIP+ Explained: Free Prescriptions for Under-25s and How Private Plans Affect It</t>
        </is>
      </c>
      <c r="G159" s="36" t="inlineStr">
        <is>
          <t>https://instasure.ca/guides/ohip-plus-explained/</t>
        </is>
      </c>
      <c r="H159" s="36" t="inlineStr">
        <is>
          <t>ohip+</t>
        </is>
      </c>
      <c r="I159" s="41">
        <f>IFERROR(INDEX('Nationwide KWs'!$D$2:$D$168,MATCH(H159,'Nationwide KWs'!$A$2:$A$168,0)),IFERROR(INDEX('Provincial KWs'!$E$2:$E$137,MATCH(H159,'Provincial KWs'!$A$2:$A$137,0)),IFERROR(INDEX('City KWs'!$F$2:$F$419,MATCH(H159,'City KWs'!$A$2:$A$419,0)),"")))</f>
        <v/>
      </c>
      <c r="J159" s="36" t="inlineStr">
        <is>
          <t>Medium</t>
        </is>
      </c>
      <c r="K159" s="25" t="inlineStr">
        <is>
          <t>ohip plus eligibility; ohip+ and private insurance; ohip+ drug coverage under 25; does ohip+ cover all drugs; what happens to ohip+ at 25</t>
        </is>
      </c>
      <c r="L159" s="36" t="inlineStr">
        <is>
          <t>Province: Ontario</t>
        </is>
      </c>
      <c r="M159" s="36" t="inlineStr">
        <is>
          <t>informational</t>
        </is>
      </c>
      <c r="N159" s="36" t="inlineStr">
        <is>
          <t>TOFU</t>
        </is>
      </c>
      <c r="O159" s="25" t="inlineStr">
        <is>
          <t>OHIP+ Explained: Free Prescriptions for Under-25s</t>
        </is>
      </c>
      <c r="P159" s="36">
        <f>LEN(O159)</f>
        <v/>
      </c>
      <c r="Q159" s="25" t="inlineStr">
        <is>
          <t>OHIP+ explained: who gets free prescriptions under 25, why a private plan pays first, which drugs are listed and what changes when you turn 25.</t>
        </is>
      </c>
      <c r="R159" s="36">
        <f>LEN(Q159)</f>
        <v/>
      </c>
      <c r="S159" s="36">
        <f>IF(H159="","",IF(ISNUMBER(SEARCH(SUBSTITUTE(H159,"-"," "),SUBSTITUTE(O159,"-"," "))),"Yes","Check"))</f>
        <v/>
      </c>
      <c r="T159" s="25" t="inlineStr">
        <is>
          <t>What OHIP+ covers (quick answer) | Who qualifies for OHIP+ | Why private coverage takes priority | Which drugs are on the formulary | What happens when you turn 25 | Options after OHIP+: Trillium, private plans and parents' benefits</t>
        </is>
      </c>
      <c r="U159" s="25" t="inlineStr">
        <is>
          <t>Is OHIP+ free for everyone under 25? | Can I use OHIP+ if I have private insurance? | What happens to OHIP+ at 25? | Does OHIP+ cover birth control?</t>
        </is>
      </c>
      <c r="V159" s="25" t="inlineStr">
        <is>
          <t>Eligibility flowchart (age, OHIP status, private plan coverage) and a turning-25 checklist.</t>
        </is>
      </c>
      <c r="W159" s="25" t="inlineStr">
        <is>
          <t>/health-dental-insurance/ontario/; /guides/what-does-ohip-not-cover/; /guides/health-insurance-after-aging-out-of-parents-plan/; /guides/trillium-drug-program-ontario/</t>
        </is>
      </c>
      <c r="X159" s="25" t="inlineStr">
        <is>
          <t>Instant health &amp; dental estimate for Ontario (/health-dental-insurance/ontario/)</t>
        </is>
      </c>
      <c r="Y159" s="36" t="inlineStr">
        <is>
          <t>Article; FAQPage; BreadcrumbList</t>
        </is>
      </c>
      <c r="Z159" s="37" t="n">
        <v>1200</v>
      </c>
      <c r="AA159" s="25" t="inlineStr">
        <is>
          <t>No competitor coverage seen among the insurance sites researched.</t>
        </is>
      </c>
      <c r="AB159" s="25" t="inlineStr">
        <is>
          <t>Use 'OHIP+' in the H1, meta title, first sentence and first H2 (slug spells it ohip-plus); the 40 to 60 word answer should state the age rule and the private-plan-first rule. Show the flowchart as an image plus text list (alt: 'OHIP+ eligibility flowchart'); anchor 'aging out of your parents' plan' to the young-adults guide. Ontario Ministry of Health sources, licensed reviewer, refresh on rule change.</t>
        </is>
      </c>
      <c r="AC159" s="25" t="inlineStr">
        <is>
          <t>Verify OHIP+ eligibility (including the rule, in effect since 2019, that people with private coverage use it first) and formulary scope on ontario.ca; date the page.</t>
        </is>
      </c>
      <c r="AD159" s="36" t="inlineStr">
        <is>
          <t>On rule change</t>
        </is>
      </c>
      <c r="AE159" s="38" t="n"/>
      <c r="AF159" s="38" t="n"/>
      <c r="AG159" s="38" t="n"/>
    </row>
    <row r="160" ht="46.25" customHeight="1" s="22">
      <c r="A160" s="36">
        <f>"B"&amp;TEXT(ROW()-1,"0000")</f>
        <v/>
      </c>
      <c r="B160" s="38" t="inlineStr">
        <is>
          <t>Planned</t>
        </is>
      </c>
      <c r="C160" s="36" t="n">
        <v>2</v>
      </c>
      <c r="D160" s="36" t="inlineStr">
        <is>
          <t>Health &amp; dental insurance</t>
        </is>
      </c>
      <c r="E160" s="36" t="inlineStr">
        <is>
          <t>Local (province)</t>
        </is>
      </c>
      <c r="F160" s="25" t="inlineStr">
        <is>
          <t>What Alberta Health Care Doesn't Cover, and Alberta Blue Cross Non-Group Plans</t>
        </is>
      </c>
      <c r="G160" s="36" t="inlineStr">
        <is>
          <t>https://instasure.ca/guides/what-alberta-health-care-doesnt-cover/</t>
        </is>
      </c>
      <c r="H160" s="36" t="inlineStr">
        <is>
          <t>what does alberta health care not cover</t>
        </is>
      </c>
      <c r="I160" s="41">
        <f>IFERROR(INDEX('Nationwide KWs'!$D$2:$D$168,MATCH(H160,'Nationwide KWs'!$A$2:$A$168,0)),IFERROR(INDEX('Provincial KWs'!$E$2:$E$137,MATCH(H160,'Provincial KWs'!$A$2:$A$137,0)),IFERROR(INDEX('City KWs'!$F$2:$F$419,MATCH(H160,'City KWs'!$A$2:$A$419,0)),"")))</f>
        <v/>
      </c>
      <c r="J160" s="36" t="inlineStr">
        <is>
          <t>Low</t>
        </is>
      </c>
      <c r="K160" s="25" t="inlineStr">
        <is>
          <t>ahcip coverage list; alberta blue cross non group coverage; alberta seniors drug coverage; private health insurance alberta; does alberta health cover physiotherapy</t>
        </is>
      </c>
      <c r="L160" s="36" t="inlineStr">
        <is>
          <t>Province: Alberta</t>
        </is>
      </c>
      <c r="M160" s="36" t="inlineStr">
        <is>
          <t>informational</t>
        </is>
      </c>
      <c r="N160" s="36" t="inlineStr">
        <is>
          <t>TOFU</t>
        </is>
      </c>
      <c r="O160" s="25" t="inlineStr">
        <is>
          <t>What Alberta Health Care Doesn't Cover (AHCIP Gaps)</t>
        </is>
      </c>
      <c r="P160" s="36">
        <f>LEN(O160)</f>
        <v/>
      </c>
      <c r="Q160" s="25" t="inlineStr">
        <is>
          <t>What Alberta Health Care does not cover, from drugs and dental to physio, how government-sponsored non-group plans work, and when private fits better.</t>
        </is>
      </c>
      <c r="R160" s="36">
        <f>LEN(Q160)</f>
        <v/>
      </c>
      <c r="S160" s="36">
        <f>IF(H160="","",IF(ISNUMBER(SEARCH(SUBSTITUTE(H160,"-"," "),SUBSTITUTE(O160,"-"," "))),"Yes","Check"))</f>
        <v/>
      </c>
      <c r="T160" s="25" t="inlineStr">
        <is>
          <t>What AHCIP doesn't cover (quick answer) | Prescription drugs and Alberta's government-sponsored plans | Dental and vision | Physiotherapy, chiropractic and mental health | Ambulance and other out-of-pocket costs | Non-group coverage vs private health plans | How to choose coverage in Alberta</t>
        </is>
      </c>
      <c r="U160" s="25" t="inlineStr">
        <is>
          <t>Does Alberta Health Care cover prescriptions? | What is Alberta Blue Cross non-group coverage? | Does AHCIP cover dental? | Do Alberta seniors get free prescriptions?</t>
        </is>
      </c>
      <c r="V160" s="25" t="inlineStr">
        <is>
          <t>Gap table for Alberta services (covered, partial, not covered, program that may help) and a side-by-side of government-sponsored non-group coverage vs a typical private plan.</t>
        </is>
      </c>
      <c r="W160" s="25" t="inlineStr">
        <is>
          <t>/health-dental-insurance/alberta/; /guides/prescription-drug-coverage-by-province/; /guides/private-health-insurance-cost-canada/</t>
        </is>
      </c>
      <c r="X160" s="25" t="inlineStr">
        <is>
          <t>Instant health &amp; dental estimate for Alberta (/health-dental-insurance/alberta/)</t>
        </is>
      </c>
      <c r="Y160" s="36" t="inlineStr">
        <is>
          <t>Article; FAQPage; BreadcrumbList</t>
        </is>
      </c>
      <c r="Z160" s="37" t="n">
        <v>1600</v>
      </c>
      <c r="AA160" s="25" t="inlineStr">
        <is>
          <t>PolicyAdvisor's Alberta health page ties to AHCIP and quotes price ranges (about $70 to $240 a month per snippets), but no gap table or non-group comparison surfaced.</t>
        </is>
      </c>
      <c r="AB160" s="25" t="inlineStr">
        <is>
          <t>Exact question as H1 and meta title, focus keyword in the slug and first 100 words, and a 40 to 60 word answer naming drugs, dental, vision and paramedical. Use the gap table and the non-group vs private comparison; anchor 'health insurance in Alberta' to the province money page. alberta.ca and Alberta Blue Cross sources, licensed reviewer, annual review.</t>
        </is>
      </c>
      <c r="AC160" s="25" t="inlineStr">
        <is>
          <t>Verify AHCIP coverage, non-group premiums and seniors' programs on alberta.ca and the Alberta Blue Cross site, and check for recent program changes before publishing.</t>
        </is>
      </c>
      <c r="AD160" s="36" t="inlineStr">
        <is>
          <t>Annual</t>
        </is>
      </c>
      <c r="AE160" s="38" t="n"/>
      <c r="AF160" s="38" t="n"/>
      <c r="AG160" s="38" t="n"/>
    </row>
    <row r="161" ht="46.25" customHeight="1" s="22">
      <c r="A161" s="36">
        <f>"B"&amp;TEXT(ROW()-1,"0000")</f>
        <v/>
      </c>
      <c r="B161" s="38" t="inlineStr">
        <is>
          <t>Planned</t>
        </is>
      </c>
      <c r="C161" s="36" t="n">
        <v>2</v>
      </c>
      <c r="D161" s="36" t="inlineStr">
        <is>
          <t>Health &amp; dental insurance</t>
        </is>
      </c>
      <c r="E161" s="36" t="inlineStr">
        <is>
          <t>Personas</t>
        </is>
      </c>
      <c r="F161" s="25" t="inlineStr">
        <is>
          <t>Health Insurance for Early Retirees: Bridging the Gap Before 65</t>
        </is>
      </c>
      <c r="G161" s="36" t="inlineStr">
        <is>
          <t>https://instasure.ca/guides/health-insurance-for-early-retirees/</t>
        </is>
      </c>
      <c r="H161" s="36" t="inlineStr">
        <is>
          <t>health insurance for early retirees canada</t>
        </is>
      </c>
      <c r="I161" s="41">
        <f>IFERROR(INDEX('Nationwide KWs'!$D$2:$D$168,MATCH(H161,'Nationwide KWs'!$A$2:$A$168,0)),IFERROR(INDEX('Provincial KWs'!$E$2:$E$137,MATCH(H161,'Provincial KWs'!$A$2:$A$137,0)),IFERROR(INDEX('City KWs'!$F$2:$F$419,MATCH(H161,'City KWs'!$A$2:$A$419,0)),"")))</f>
        <v/>
      </c>
      <c r="J161" s="36" t="inlineStr">
        <is>
          <t>Low</t>
        </is>
      </c>
      <c r="K161" s="25" t="inlineStr">
        <is>
          <t>retiree health benefits canada; health insurance after retirement before 65; retiree health and dental plan; benefits when you retire early; post retirement health insurance</t>
        </is>
      </c>
      <c r="L161" s="36" t="inlineStr">
        <is>
          <t>Nationwide</t>
        </is>
      </c>
      <c r="M161" s="36" t="inlineStr">
        <is>
          <t>commercial</t>
        </is>
      </c>
      <c r="N161" s="36" t="inlineStr">
        <is>
          <t>MOFU</t>
        </is>
      </c>
      <c r="O161" s="25" t="inlineStr">
        <is>
          <t>Health Insurance for Early Retirees in Canada (Under 65)</t>
        </is>
      </c>
      <c r="P161" s="36">
        <f>LEN(O161)</f>
        <v/>
      </c>
      <c r="Q161" s="25" t="inlineStr">
        <is>
          <t>Health insurance for early retirees under 65: retiree benefits, converting your group plan, individual plans for ages 55 to 64 and senior drug plans.</t>
        </is>
      </c>
      <c r="R161" s="36">
        <f>LEN(Q161)</f>
        <v/>
      </c>
      <c r="S161" s="36">
        <f>IF(H161="","",IF(ISNUMBER(SEARCH(SUBSTITUTE(H161,"-"," "),SUBSTITUTE(O161,"-"," "))),"Yes","Check"))</f>
        <v/>
      </c>
      <c r="T161" s="25" t="inlineStr">
        <is>
          <t>Your options after leaving work before 65 (quick answer) | Employer retiree benefits: what's typical | Converting your group plan at retirement | Individual plans for ages 55 to 64: costs and limits | Drug coverage before provincial senior plans start | Travel coverage for early retirees | Budgeting health costs from retirement to 65</t>
        </is>
      </c>
      <c r="U161" s="25" t="inlineStr">
        <is>
          <t>What happens to my health benefits when I retire early? | Can I get health insurance at 60 without a medical? | When do provincial drug plans start covering seniors? | Should early retirees keep travel insurance?</t>
        </is>
      </c>
      <c r="V161" s="25" t="inlineStr">
        <is>
          <t>Year-by-year budget template from retirement to 65 with modelled plan premiums and out-of-pocket estimates, plus a province table of the age when public drug coverage for seniors begins.</t>
        </is>
      </c>
      <c r="W161" s="25" t="inlineStr">
        <is>
          <t>/health-dental-insurance/; /travel-insurance/snowbirds/; /guides/health-insurance-for-seniors-over-65/; /guides/prescription-drug-coverage-by-province/</t>
        </is>
      </c>
      <c r="X161" s="25" t="inlineStr">
        <is>
          <t>Instant health &amp; dental estimate (/health-dental-insurance/)</t>
        </is>
      </c>
      <c r="Y161" s="36" t="inlineStr">
        <is>
          <t>Article; FAQPage; BreadcrumbList</t>
        </is>
      </c>
      <c r="Z161" s="37" t="n">
        <v>1600</v>
      </c>
      <c r="AA161" s="25" t="inlineStr">
        <is>
          <t>No competitor coverage seen.</t>
        </is>
      </c>
      <c r="AB161" s="25" t="inlineStr">
        <is>
          <t>Focus keyword in the H1, slug, meta title, first 100 words and first H2; the 40 to 60 word answer should list the three routes (retiree plan, conversion, individual plan). Use the budget template and senior-drug-age table; anchor 'snowbird travel insurance' to /travel-insurance/snowbirds/. Licensed reviewer; review annually.</t>
        </is>
      </c>
      <c r="AC161" s="25" t="inlineStr">
        <is>
          <t>Label modelled premiums as estimates; verify the senior drug-plan starting age for each province.</t>
        </is>
      </c>
      <c r="AD161" s="36" t="inlineStr">
        <is>
          <t>Annual</t>
        </is>
      </c>
      <c r="AE161" s="38" t="n"/>
      <c r="AF161" s="38" t="n"/>
      <c r="AG161" s="38" t="n"/>
    </row>
    <row r="162" ht="57.45" customHeight="1" s="22">
      <c r="A162" s="36">
        <f>"B"&amp;TEXT(ROW()-1,"0000")</f>
        <v/>
      </c>
      <c r="B162" s="38" t="inlineStr">
        <is>
          <t>Planned</t>
        </is>
      </c>
      <c r="C162" s="36" t="n">
        <v>2</v>
      </c>
      <c r="D162" s="36" t="inlineStr">
        <is>
          <t>Health &amp; dental insurance</t>
        </is>
      </c>
      <c r="E162" s="36" t="inlineStr">
        <is>
          <t>Personas</t>
        </is>
      </c>
      <c r="F162" s="25" t="inlineStr">
        <is>
          <t>Health Insurance for Newcomers to Canada: Covering the Provincial Waiting Period</t>
        </is>
      </c>
      <c r="G162" s="36" t="inlineStr">
        <is>
          <t>https://instasure.ca/guides/health-insurance-for-newcomers-to-canada/</t>
        </is>
      </c>
      <c r="H162" s="36" t="inlineStr">
        <is>
          <t>health insurance for newcomers to canada</t>
        </is>
      </c>
      <c r="I162" s="41">
        <f>IFERROR(INDEX('Nationwide KWs'!$D$2:$D$168,MATCH(H162,'Nationwide KWs'!$A$2:$A$168,0)),IFERROR(INDEX('Provincial KWs'!$E$2:$E$137,MATCH(H162,'Provincial KWs'!$A$2:$A$137,0)),IFERROR(INDEX('City KWs'!$F$2:$F$419,MATCH(H162,'City KWs'!$A$2:$A$419,0)),"")))</f>
        <v/>
      </c>
      <c r="J162" s="36" t="inlineStr">
        <is>
          <t>Low</t>
        </is>
      </c>
      <c r="K162" s="25" t="inlineStr">
        <is>
          <t>provincial health insurance waiting period; msp waiting period bc; ramq waiting period; new immigrant health insurance canada; private health insurance for permanent residents</t>
        </is>
      </c>
      <c r="L162" s="36" t="inlineStr">
        <is>
          <t>Nationwide</t>
        </is>
      </c>
      <c r="M162" s="36" t="inlineStr">
        <is>
          <t>commercial</t>
        </is>
      </c>
      <c r="N162" s="36" t="inlineStr">
        <is>
          <t>MOFU</t>
        </is>
      </c>
      <c r="O162" s="25" t="inlineStr">
        <is>
          <t>Health Insurance for Newcomers to Canada: Wait Periods</t>
        </is>
      </c>
      <c r="P162" s="36">
        <f>LEN(O162)</f>
        <v/>
      </c>
      <c r="Q162" s="25" t="inlineStr">
        <is>
          <t>Health insurance for newcomers to Canada: waiting periods in every province, who qualifies by status, and private plans that cover the gap. Plan ahead.</t>
        </is>
      </c>
      <c r="R162" s="36">
        <f>LEN(Q162)</f>
        <v/>
      </c>
      <c r="S162" s="36">
        <f>IF(H162="","",IF(ISNUMBER(SEARCH(SUBSTITUTE(H162,"-"," "),SUBSTITUTE(O162,"-"," "))),"Yes","Check"))</f>
        <v/>
      </c>
      <c r="T162" s="25" t="inlineStr">
        <is>
          <t>Do newcomers need private health insurance? (quick answer) | Waiting periods by province | Who qualifies for provincial coverage: PR, work permits and students | Private newcomer plans: what they cover and when to buy | Pre-existing conditions and the stability clause | Dental, drugs and vision once provincial coverage starts | Checklist for your first 90 days</t>
        </is>
      </c>
      <c r="U162" s="25" t="inlineStr">
        <is>
          <t>Is there a waiting period for health care in Canada? | Does Ontario have a waiting period for OHIP? | When should newcomers buy private health insurance? | Do work permit holders get provincial health coverage?</t>
        </is>
      </c>
      <c r="V162" s="25" t="inlineStr">
        <is>
          <t>13-row table of provincial and territorial waiting periods and eligibility by status (PR, work permit, student), each linked to the provincial health plan and dated, plus a first-90-days checklist.</t>
        </is>
      </c>
      <c r="W162" s="25" t="inlineStr">
        <is>
          <t>/health-dental-insurance/; /life-insurance/newcomers/; /guides/life-insurance-for-newcomers-to-canada/; /travel-insurance/visitors-to-canada/</t>
        </is>
      </c>
      <c r="X162" s="25" t="inlineStr">
        <is>
          <t>Instant health &amp; dental estimate (/health-dental-insurance/)</t>
        </is>
      </c>
      <c r="Y162" s="36" t="inlineStr">
        <is>
          <t>Article; FAQPage; BreadcrumbList</t>
        </is>
      </c>
      <c r="Z162" s="37" t="n">
        <v>1800</v>
      </c>
      <c r="AA162" s="25" t="inlineStr">
        <is>
          <t>PolicyAdvisor covers newcomers for life insurance and extended health for foreign workers; no province-by-province waiting-period table surfaced.</t>
        </is>
      </c>
      <c r="AB162" s="25" t="inlineStr">
        <is>
          <t>Focus keyword in the H1, slug, meta title, first 100 words and first H2; the 40 to 60 word answer should say some provinces impose a wait and private coverage bridges it. Put the 13-row table near the top and the checklist after; anchor 'life insurance for newcomers' to the existing guide and the newcomer life desk. Provincial plan sources, licensed reviewer, annual review; flag for translation (Punjabi, Hindi, Mandarin, Tagalog).</t>
        </is>
      </c>
      <c r="AC162" s="25" t="inlineStr">
        <is>
          <t>Waiting periods and eligibility change; verify each with the provincial plan (for example BC MSP, RAMQ, OHIP) and date the table. Use IRCC status names correctly.</t>
        </is>
      </c>
      <c r="AD162" s="36" t="inlineStr">
        <is>
          <t>Annual</t>
        </is>
      </c>
      <c r="AE162" s="38" t="n"/>
      <c r="AF162" s="38" t="n"/>
      <c r="AG162" s="38" t="n"/>
    </row>
    <row r="163" ht="46.25" customHeight="1" s="22">
      <c r="A163" s="36">
        <f>"B"&amp;TEXT(ROW()-1,"0000")</f>
        <v/>
      </c>
      <c r="B163" s="38" t="inlineStr">
        <is>
          <t>Planned</t>
        </is>
      </c>
      <c r="C163" s="36" t="n">
        <v>2</v>
      </c>
      <c r="D163" s="36" t="inlineStr">
        <is>
          <t>Health &amp; dental insurance</t>
        </is>
      </c>
      <c r="E163" s="36" t="inlineStr">
        <is>
          <t>Regulation &amp; rule changes</t>
        </is>
      </c>
      <c r="F163" s="25" t="inlineStr">
        <is>
          <t>National Pharmacare in Canada: What's Covered So Far and What It Means for Your Plan</t>
        </is>
      </c>
      <c r="G163" s="36" t="inlineStr">
        <is>
          <t>https://instasure.ca/guides/national-pharmacare-canada-explained/</t>
        </is>
      </c>
      <c r="H163" s="36" t="inlineStr">
        <is>
          <t>national pharmacare canada</t>
        </is>
      </c>
      <c r="I163" s="41">
        <f>IFERROR(INDEX('Nationwide KWs'!$D$2:$D$168,MATCH(H163,'Nationwide KWs'!$A$2:$A$168,0)),IFERROR(INDEX('Provincial KWs'!$E$2:$E$137,MATCH(H163,'Provincial KWs'!$A$2:$A$137,0)),IFERROR(INDEX('City KWs'!$F$2:$F$419,MATCH(H163,'City KWs'!$A$2:$A$419,0)),"")))</f>
        <v/>
      </c>
      <c r="J163" s="36" t="inlineStr">
        <is>
          <t>Medium</t>
        </is>
      </c>
      <c r="K163" s="25" t="inlineStr">
        <is>
          <t>pharmacare act canada; free contraception canada; free diabetes medication canada; which provinces signed pharmacare; does pharmacare replace private insurance</t>
        </is>
      </c>
      <c r="L163" s="36" t="inlineStr">
        <is>
          <t>Nationwide</t>
        </is>
      </c>
      <c r="M163" s="36" t="inlineStr">
        <is>
          <t>informational</t>
        </is>
      </c>
      <c r="N163" s="36" t="inlineStr">
        <is>
          <t>TOFU</t>
        </is>
      </c>
      <c r="O163" s="25" t="inlineStr">
        <is>
          <t>National Pharmacare in Canada: What's Covered Now</t>
        </is>
      </c>
      <c r="P163" s="36">
        <f>LEN(O163)</f>
        <v/>
      </c>
      <c r="Q163" s="25" t="inlineStr">
        <is>
          <t>Where national pharmacare stands: what the Pharmacare Act covers, which provinces have signed, and whether you still need private drug insurance.</t>
        </is>
      </c>
      <c r="R163" s="36">
        <f>LEN(Q163)</f>
        <v/>
      </c>
      <c r="S163" s="36">
        <f>IF(H163="","",IF(ISNUMBER(SEARCH(SUBSTITUTE(H163,"-"," "),SUBSTITUTE(O163,"-"," "))),"Yes","Check"))</f>
        <v/>
      </c>
      <c r="T163" s="25" t="inlineStr">
        <is>
          <t>Where national pharmacare stands (quick answer) | What the Pharmacare Act covers: contraception and diabetes drugs | Which provinces and territories have signed agreements | How it interacts with provincial drug plans | Does pharmacare replace private or group drug coverage? | What employers and plan members should watch | Tracker: agreements and start dates</t>
        </is>
      </c>
      <c r="U163" s="25" t="inlineStr">
        <is>
          <t>Is pharmacare free in Canada now? | Which provinces have national pharmacare? | Do I still need private drug insurance? | Are diabetes supplies covered under pharmacare?</t>
        </is>
      </c>
      <c r="V163" s="25" t="inlineStr">
        <is>
          <t>Dated tracker table of federal-provincial pharmacare agreements (province, signing date, what is covered, start date), each row linked to the Health Canada or provincial announcement.</t>
        </is>
      </c>
      <c r="W163" s="25" t="inlineStr">
        <is>
          <t>/health-dental-insurance/; /guides/prescription-drug-coverage-by-province/; /guides/bc-fair-pharmacare-explained/; /group-benefits/</t>
        </is>
      </c>
      <c r="X163" s="25" t="inlineStr">
        <is>
          <t>Instant health &amp; dental estimate (/health-dental-insurance/)</t>
        </is>
      </c>
      <c r="Y163" s="36" t="inlineStr">
        <is>
          <t>Article; FAQPage; BreadcrumbList</t>
        </is>
      </c>
      <c r="Z163" s="37" t="n">
        <v>1600</v>
      </c>
      <c r="AA163" s="25" t="inlineStr">
        <is>
          <t>No competitor coverage seen among the insurance sites researched (news outlets own this topic).</t>
        </is>
      </c>
      <c r="AB163" s="25" t="inlineStr">
        <is>
          <t>Focus keyword in the H1, slug, meta title, first 100 words and first H2; the 40 to 60 word answer should state what is covered today and that most drugs still are not. Keep the tracker table at the top with a visible 'last checked' date; anchor 'drug coverage by province' to the hub. Health Canada and provincial sources, licensed reviewer, refresh on every agreement or rule change.</t>
        </is>
      </c>
      <c r="AC163" s="25" t="inlineStr">
        <is>
          <t>Every agreement, coverage list and start date must be verified on canada.ca or the provincial government site and dated; do not call pharmacare universal or free beyond what has launched.</t>
        </is>
      </c>
      <c r="AD163" s="36" t="inlineStr">
        <is>
          <t>On rule change</t>
        </is>
      </c>
      <c r="AE163" s="38" t="n"/>
      <c r="AF163" s="38" t="n"/>
      <c r="AG163" s="38" t="n"/>
    </row>
    <row r="164" ht="46.25" customHeight="1" s="22">
      <c r="A164" s="36">
        <f>"B"&amp;TEXT(ROW()-1,"0000")</f>
        <v/>
      </c>
      <c r="B164" s="38" t="inlineStr">
        <is>
          <t>Planned</t>
        </is>
      </c>
      <c r="C164" s="36" t="n">
        <v>2</v>
      </c>
      <c r="D164" s="36" t="inlineStr">
        <is>
          <t>Health &amp; dental insurance</t>
        </is>
      </c>
      <c r="E164" s="36" t="inlineStr">
        <is>
          <t>Tax &amp; regulation</t>
        </is>
      </c>
      <c r="F164" s="25" t="inlineStr">
        <is>
          <t>Is Health Insurance Tax Deductible for the Self-Employed? PHSP Rules Explained</t>
        </is>
      </c>
      <c r="G164" s="36" t="inlineStr">
        <is>
          <t>https://instasure.ca/guides/self-employed-health-insurance-tax-deductible/</t>
        </is>
      </c>
      <c r="H164" s="36" t="inlineStr">
        <is>
          <t>is health insurance tax deductible for self employed</t>
        </is>
      </c>
      <c r="I164" s="41">
        <f>IFERROR(INDEX('Nationwide KWs'!$D$2:$D$168,MATCH(H164,'Nationwide KWs'!$A$2:$A$168,0)),IFERROR(INDEX('Provincial KWs'!$E$2:$E$137,MATCH(H164,'Provincial KWs'!$A$2:$A$137,0)),IFERROR(INDEX('City KWs'!$F$2:$F$419,MATCH(H164,'City KWs'!$A$2:$A$419,0)),"")))</f>
        <v/>
      </c>
      <c r="J164" s="36" t="inlineStr">
        <is>
          <t>Low</t>
        </is>
      </c>
      <c r="K164" s="25" t="inlineStr">
        <is>
          <t>private health services plan self employed; phsp deduction canada; health and dental insurance for self employed; self employed health benefits canada; medical expense tax credit vs phsp</t>
        </is>
      </c>
      <c r="L164" s="36" t="inlineStr">
        <is>
          <t>Nationwide</t>
        </is>
      </c>
      <c r="M164" s="36" t="inlineStr">
        <is>
          <t>commercial</t>
        </is>
      </c>
      <c r="N164" s="36" t="inlineStr">
        <is>
          <t>MOFU</t>
        </is>
      </c>
      <c r="O164" s="25" t="inlineStr">
        <is>
          <t>Is Health Insurance Tax Deductible if Self-Employed?</t>
        </is>
      </c>
      <c r="P164" s="36">
        <f>LEN(O164)</f>
        <v/>
      </c>
      <c r="Q164" s="25" t="inlineStr">
        <is>
          <t>Is health insurance tax deductible for the self-employed? How the PHSP deduction works, its income tests and limits, and when the medical credit is better.</t>
        </is>
      </c>
      <c r="R164" s="36">
        <f>LEN(Q164)</f>
        <v/>
      </c>
      <c r="S164" s="36">
        <f>IF(H164="","",IF(ISNUMBER(SEARCH(SUBSTITUTE(H164,"-"," "),SUBSTITUTE(O164,"-"," "))),"Yes","Check"))</f>
        <v/>
      </c>
      <c r="T164" s="25" t="inlineStr">
        <is>
          <t>Can self-employed people deduct health insurance? (quick answer) | The private health services plan (PHSP) deduction | Who qualifies: income tests and the arm's-length employee rule | Annual limits when you have no employees | PHSP deduction vs the medical expense tax credit | Incorporated owners: health spending accounts instead | Worked example: sole proprietor with a family plan</t>
        </is>
      </c>
      <c r="U164" s="25" t="inlineStr">
        <is>
          <t>Can I write off health insurance if I'm self-employed in Canada? | What is a private health services plan? | Is dental insurance tax deductible for the self-employed? | Should I claim premiums as a business expense or a medical expense?</t>
        </is>
      </c>
      <c r="V164" s="25" t="inlineStr">
        <is>
          <t>Worked example comparing the PHSP business deduction with the medical expense tax credit for a sole-proprietor family, plus an eligibility checklist citing the Income Tax Act section.</t>
        </is>
      </c>
      <c r="W164" s="25" t="inlineStr">
        <is>
          <t>/health-dental-insurance/; /guides/medical-expense-tax-credit-canada/; /guides/health-spending-account-small-business/; /disability-insurance/self-employed/</t>
        </is>
      </c>
      <c r="X164" s="25" t="inlineStr">
        <is>
          <t>Instant health &amp; dental estimate (/health-dental-insurance/)</t>
        </is>
      </c>
      <c r="Y164" s="36" t="inlineStr">
        <is>
          <t>Article; FAQPage; BreadcrumbList</t>
        </is>
      </c>
      <c r="Z164" s="37" t="n">
        <v>1500</v>
      </c>
      <c r="AA164" s="25" t="inlineStr">
        <is>
          <t>PolicyAdvisor covers health insurance for the self-employed in general terms; no PHSP deduction explainer with a worked example surfaced.</t>
        </is>
      </c>
      <c r="AB164" s="25" t="inlineStr">
        <is>
          <t>Exact question as H1 and meta title, focus keyword in the first 100 words and first H2, and a 40 to 60 word answer (often yes, under the PHSP rules, within limits). Use the worked comparison table and checklist; anchor 'health spending account' to the HSA guide for incorporated owners. Cite CRA and the Income Tax Act, add an accountant review line, annual review.</t>
        </is>
      </c>
      <c r="AC164" s="25" t="inlineStr">
        <is>
          <t>Verify Income Tax Act s.20.01 limits and conditions on CRA's site and date them; label as general tax information and recommend an accountant.</t>
        </is>
      </c>
      <c r="AD164" s="36" t="inlineStr">
        <is>
          <t>Annual</t>
        </is>
      </c>
      <c r="AE164" s="38" t="n"/>
      <c r="AF164" s="38" t="n"/>
      <c r="AG164" s="38" t="n"/>
    </row>
    <row r="165" ht="46.25" customHeight="1" s="22">
      <c r="A165" s="36">
        <f>"B"&amp;TEXT(ROW()-1,"0000")</f>
        <v/>
      </c>
      <c r="B165" s="38" t="inlineStr">
        <is>
          <t>Planned</t>
        </is>
      </c>
      <c r="C165" s="36" t="n">
        <v>3</v>
      </c>
      <c r="D165" s="36" t="inlineStr">
        <is>
          <t>Health &amp; dental insurance</t>
        </is>
      </c>
      <c r="E165" s="36" t="inlineStr">
        <is>
          <t>CDCP</t>
        </is>
      </c>
      <c r="F165" s="25" t="inlineStr">
        <is>
          <t>CDCP and Provincial Dental Programs: How They Work Together, Province by Province</t>
        </is>
      </c>
      <c r="G165" s="36" t="inlineStr">
        <is>
          <t>https://instasure.ca/guides/cdcp-and-provincial-dental-programs/</t>
        </is>
      </c>
      <c r="H165" s="36" t="inlineStr">
        <is>
          <t>cdcp and provincial dental programs</t>
        </is>
      </c>
      <c r="I165" s="41">
        <f>IFERROR(INDEX('Nationwide KWs'!$D$2:$D$168,MATCH(H165,'Nationwide KWs'!$A$2:$A$168,0)),IFERROR(INDEX('Provincial KWs'!$E$2:$E$137,MATCH(H165,'Provincial KWs'!$A$2:$A$137,0)),IFERROR(INDEX('City KWs'!$F$2:$F$419,MATCH(H165,'City KWs'!$A$2:$A$419,0)),"")))</f>
        <v/>
      </c>
      <c r="J165" s="36" t="inlineStr">
        <is>
          <t>Low</t>
        </is>
      </c>
      <c r="K165" s="25" t="inlineStr">
        <is>
          <t>ontario seniors dental care program vs cdcp; healthy smiles ontario and cdcp; alberta dental assistance for seniors; bc healthy kids dental; provincial dental coverage canada</t>
        </is>
      </c>
      <c r="L165" s="36" t="inlineStr">
        <is>
          <t>Nationwide</t>
        </is>
      </c>
      <c r="M165" s="36" t="inlineStr">
        <is>
          <t>informational</t>
        </is>
      </c>
      <c r="N165" s="36" t="inlineStr">
        <is>
          <t>TOFU</t>
        </is>
      </c>
      <c r="O165" s="25" t="inlineStr">
        <is>
          <t>CDCP and Provincial Dental Programs by Province</t>
        </is>
      </c>
      <c r="P165" s="36">
        <f>LEN(O165)</f>
        <v/>
      </c>
      <c r="Q165" s="25" t="inlineStr">
        <is>
          <t>How the CDCP works with provincial dental programs for seniors, children and social assistance in each province, which pays first, and when private helps.</t>
        </is>
      </c>
      <c r="R165" s="36">
        <f>LEN(Q165)</f>
        <v/>
      </c>
      <c r="S165" s="36">
        <f>IF(H165="","",IF(ISNUMBER(SEARCH(SUBSTITUTE(H165,"-"," "),SUBSTITUTE(O165,"-"," "))),"Yes","Check"))</f>
        <v/>
      </c>
      <c r="T165" s="25" t="inlineStr">
        <is>
          <t>How federal and provincial dental programs fit together (quick answer) | Province-by-province table of public dental programs | Seniors: CDCP vs provincial seniors' programs | Children: CDCP vs provincial children's programs | Social assistance dental coverage | Which program pays first | When private dental still makes sense</t>
        </is>
      </c>
      <c r="U165" s="25" t="inlineStr">
        <is>
          <t>Can I have the CDCP and the Ontario Seniors Dental Care Program? | Which pays first, the CDCP or a provincial program? | Does Healthy Smiles Ontario still exist with the CDCP? | Do provinces cover adult dental care?</t>
        </is>
      </c>
      <c r="V165" s="25" t="inlineStr">
        <is>
          <t>13-row table of provincial and territorial public dental programs (seniors, children, social assistance) and how each coordinates with the CDCP, linked to sources and dated.</t>
        </is>
      </c>
      <c r="W165" s="25" t="inlineStr">
        <is>
          <t>/health-dental-insurance/; /guides/canadian-dental-care-plan-eligibility/; /guides/cdcp-coverage-and-co-pays/; /health-dental-insurance/ontario/</t>
        </is>
      </c>
      <c r="X165" s="25" t="inlineStr">
        <is>
          <t>Instant health &amp; dental estimate (/health-dental-insurance/)</t>
        </is>
      </c>
      <c r="Y165" s="36" t="inlineStr">
        <is>
          <t>Article; FAQPage; BreadcrumbList</t>
        </is>
      </c>
      <c r="Z165" s="37" t="n">
        <v>1800</v>
      </c>
      <c r="AA165" s="25" t="inlineStr">
        <is>
          <t>No competitor coverage seen.</t>
        </is>
      </c>
      <c r="AB165" s="25" t="inlineStr">
        <is>
          <t>Focus keyword in the H1, slug, meta title, first 100 words and first H2; the 40 to 60 word answer should explain that provincial programs often pay first for the groups they cover. Make the 13-row table the citable asset; anchor 'what the CDCP covers' to the coverage guide. canada.ca and provincial sources, licensed reviewer, refresh on rule change.</t>
        </is>
      </c>
      <c r="AC165" s="25" t="inlineStr">
        <is>
          <t>Program names, eligibility and coordination rules must be verified with each province and canada.ca; some provincial programs may change because of the CDCP, so refresh on any rule change.</t>
        </is>
      </c>
      <c r="AD165" s="36" t="inlineStr">
        <is>
          <t>On rule change</t>
        </is>
      </c>
      <c r="AE165" s="38" t="n"/>
      <c r="AF165" s="38" t="n"/>
      <c r="AG165" s="38" t="n"/>
    </row>
    <row r="166" ht="46.25" customHeight="1" s="22">
      <c r="A166" s="36">
        <f>"B"&amp;TEXT(ROW()-1,"0000")</f>
        <v/>
      </c>
      <c r="B166" s="38" t="inlineStr">
        <is>
          <t>Planned</t>
        </is>
      </c>
      <c r="C166" s="36" t="n">
        <v>3</v>
      </c>
      <c r="D166" s="36" t="inlineStr">
        <is>
          <t>Health &amp; dental insurance</t>
        </is>
      </c>
      <c r="E166" s="36" t="inlineStr">
        <is>
          <t>Coverage explained</t>
        </is>
      </c>
      <c r="F166" s="25" t="inlineStr">
        <is>
          <t>Does Dental Insurance Cover Braces? Orthodontic Coverage for Kids and Adults</t>
        </is>
      </c>
      <c r="G166" s="36" t="inlineStr">
        <is>
          <t>https://instasure.ca/guides/does-dental-insurance-cover-braces/</t>
        </is>
      </c>
      <c r="H166" s="36" t="inlineStr">
        <is>
          <t>does dental insurance cover braces</t>
        </is>
      </c>
      <c r="I166" s="41">
        <f>IFERROR(INDEX('Nationwide KWs'!$D$2:$D$168,MATCH(H166,'Nationwide KWs'!$A$2:$A$168,0)),IFERROR(INDEX('Provincial KWs'!$E$2:$E$137,MATCH(H166,'Provincial KWs'!$A$2:$A$137,0)),IFERROR(INDEX('City KWs'!$F$2:$F$419,MATCH(H166,'City KWs'!$A$2:$A$419,0)),"")))</f>
        <v/>
      </c>
      <c r="J166" s="36" t="inlineStr">
        <is>
          <t>Medium</t>
        </is>
      </c>
      <c r="K166" s="25" t="inlineStr">
        <is>
          <t>orthodontic insurance canada; how much do braces cost in canada; does cdcp cover braces; does insurance cover invisalign; orthodontic lifetime maximum</t>
        </is>
      </c>
      <c r="L166" s="36" t="inlineStr">
        <is>
          <t>Nationwide</t>
        </is>
      </c>
      <c r="M166" s="36" t="inlineStr">
        <is>
          <t>informational</t>
        </is>
      </c>
      <c r="N166" s="36" t="inlineStr">
        <is>
          <t>MOFU</t>
        </is>
      </c>
      <c r="O166" s="25" t="inlineStr">
        <is>
          <t>Does Dental Insurance Cover Braces? Kids and Adults</t>
        </is>
      </c>
      <c r="P166" s="36">
        <f>LEN(O166)</f>
        <v/>
      </c>
      <c r="Q166" s="25" t="inlineStr">
        <is>
          <t>Does dental insurance cover braces? Orthodontic coverage in group, individual and public plans, lifetime maximums, age limits and clear aligners.</t>
        </is>
      </c>
      <c r="R166" s="36">
        <f>LEN(Q166)</f>
        <v/>
      </c>
      <c r="S166" s="36">
        <f>IF(H166="","",IF(ISNUMBER(SEARCH(SUBSTITUTE(H166,"-"," "),SUBSTITUTE(O166,"-"," "))),"Yes","Check"))</f>
        <v/>
      </c>
      <c r="T166" s="25" t="inlineStr">
        <is>
          <t>Does dental insurance cover braces? (quick answer) | Orthodontic coverage in group vs individual plans | Lifetime maximums, age limits and waiting periods | Clear aligners vs traditional braces | What the CDCP and provincial programs cover for orthodontics | Paying the balance: payment plans and tax credits | Questions to ask your orthodontist and insurer</t>
        </is>
      </c>
      <c r="U166" s="25" t="inlineStr">
        <is>
          <t>Do individual dental plans cover orthodontics? | Is there an age limit for orthodontic coverage? | Does the CDCP cover braces? | Can I claim braces on my taxes?</t>
        </is>
      </c>
      <c r="V166" s="25" t="inlineStr">
        <is>
          <t>Table of orthodontic coverage by plan type (group, individual, CDCP, provincial programs) with typical lifetime maximums and age limits, plus a worked out-of-pocket example.</t>
        </is>
      </c>
      <c r="W166" s="25" t="inlineStr">
        <is>
          <t>/health-dental-insurance/; /guides/is-dental-insurance-worth-it/; /guides/cdcp-coverage-and-co-pays/; /guides/medical-expense-tax-credit-canada/</t>
        </is>
      </c>
      <c r="X166" s="25" t="inlineStr">
        <is>
          <t>Instant health &amp; dental estimate (/health-dental-insurance/)</t>
        </is>
      </c>
      <c r="Y166" s="36" t="inlineStr">
        <is>
          <t>Article; FAQPage; BreadcrumbList</t>
        </is>
      </c>
      <c r="Z166" s="37" t="n">
        <v>1400</v>
      </c>
      <c r="AA166" s="25" t="inlineStr">
        <is>
          <t>Sun Life publishes 'Does My Child Need Braces?' and '4 Things Adults Should Know Before Getting Braces' without a plan-type coverage comparison.</t>
        </is>
      </c>
      <c r="AB166" s="25" t="inlineStr">
        <is>
          <t>Exact question as H1 and meta title, focus keyword in the slug and first 100 words, and a 40 to 60 word answer: usually only group plans, with a lifetime maximum. Use the plan-type table and worked example; anchor 'claim braces on your taxes' to the medical expense tax credit guide. Licensed reviewer; review annually.</t>
        </is>
      </c>
      <c r="AC166" s="25" t="inlineStr">
        <is>
          <t>Verify CDCP orthodontic coverage rules on canada.ca; typical maximums vary by plan, so label them as examples.</t>
        </is>
      </c>
      <c r="AD166" s="36" t="inlineStr">
        <is>
          <t>Annual</t>
        </is>
      </c>
      <c r="AE166" s="38" t="n"/>
      <c r="AF166" s="38" t="n"/>
      <c r="AG166" s="38" t="n"/>
    </row>
    <row r="167" ht="35.05" customHeight="1" s="22">
      <c r="A167" s="36">
        <f>"B"&amp;TEXT(ROW()-1,"0000")</f>
        <v/>
      </c>
      <c r="B167" s="38" t="inlineStr">
        <is>
          <t>Planned</t>
        </is>
      </c>
      <c r="C167" s="36" t="n">
        <v>3</v>
      </c>
      <c r="D167" s="36" t="inlineStr">
        <is>
          <t>Health &amp; dental insurance</t>
        </is>
      </c>
      <c r="E167" s="36" t="inlineStr">
        <is>
          <t>Coverage explained</t>
        </is>
      </c>
      <c r="F167" s="25" t="inlineStr">
        <is>
          <t>Does Health Insurance Cover Physio, Massage and Chiropractic? Paramedical Coverage Explained</t>
        </is>
      </c>
      <c r="G167" s="36" t="inlineStr">
        <is>
          <t>https://instasure.ca/guides/paramedical-coverage-explained/</t>
        </is>
      </c>
      <c r="H167" s="36" t="inlineStr">
        <is>
          <t>paramedical coverage</t>
        </is>
      </c>
      <c r="I167" s="41">
        <f>IFERROR(INDEX('Nationwide KWs'!$D$2:$D$168,MATCH(H167,'Nationwide KWs'!$A$2:$A$168,0)),IFERROR(INDEX('Provincial KWs'!$E$2:$E$137,MATCH(H167,'Provincial KWs'!$A$2:$A$137,0)),IFERROR(INDEX('City KWs'!$F$2:$F$419,MATCH(H167,'City KWs'!$A$2:$A$419,0)),"")))</f>
        <v/>
      </c>
      <c r="J167" s="36" t="inlineStr">
        <is>
          <t>Low</t>
        </is>
      </c>
      <c r="K167" s="25" t="inlineStr">
        <is>
          <t>does insurance cover massage therapy; does ohip cover physiotherapy; chiropractic coverage canada; paramedical practitioners health plan; physiotherapy per visit maximum</t>
        </is>
      </c>
      <c r="L167" s="36" t="inlineStr">
        <is>
          <t>Nationwide</t>
        </is>
      </c>
      <c r="M167" s="36" t="inlineStr">
        <is>
          <t>informational</t>
        </is>
      </c>
      <c r="N167" s="36" t="inlineStr">
        <is>
          <t>TOFU</t>
        </is>
      </c>
      <c r="O167" s="25" t="inlineStr">
        <is>
          <t>Paramedical Coverage: Physio, Massage and Chiro</t>
        </is>
      </c>
      <c r="P167" s="36">
        <f>LEN(O167)</f>
        <v/>
      </c>
      <c r="Q167" s="25" t="inlineStr">
        <is>
          <t>Paramedical coverage explained: which practitioners health plans pay for, per-visit and yearly limits, referral rules and public physio by province.</t>
        </is>
      </c>
      <c r="R167" s="36">
        <f>LEN(Q167)</f>
        <v/>
      </c>
      <c r="S167" s="36">
        <f>IF(H167="","",IF(ISNUMBER(SEARCH(SUBSTITUTE(H167,"-"," "),SUBSTITUTE(O167,"-"," "))),"Yes","Check"))</f>
        <v/>
      </c>
      <c r="T167" s="25" t="inlineStr">
        <is>
          <t>What paramedical coverage is (quick answer) | Which practitioners plans usually cover | Per-visit and annual maximums | Do you need a doctor's referral? | Public coverage for physiotherapy by province | Receipts, registration numbers and claim tips | Choosing a plan if you use paramedical care often</t>
        </is>
      </c>
      <c r="U167" s="25" t="inlineStr">
        <is>
          <t>Does health insurance cover massage therapy? | Do I need a referral for physiotherapy coverage? | Does OHIP cover physiotherapy? | Why was my massage claim rejected?</t>
        </is>
      </c>
      <c r="V167" s="25" t="inlineStr">
        <is>
          <t>Table of commonly covered practitioners with typical per-visit and annual limits by plan tier, plus a province table of publicly funded physiotherapy access.</t>
        </is>
      </c>
      <c r="W167" s="25" t="inlineStr">
        <is>
          <t>/health-dental-insurance/; /guides/what-does-ohip-not-cover/; /guides/does-health-insurance-cover-therapy-canada/; /guides/private-health-insurance-cost-canada/</t>
        </is>
      </c>
      <c r="X167" s="25" t="inlineStr">
        <is>
          <t>Instant health &amp; dental estimate (/health-dental-insurance/)</t>
        </is>
      </c>
      <c r="Y167" s="36" t="inlineStr">
        <is>
          <t>Article; FAQPage; BreadcrumbList</t>
        </is>
      </c>
      <c r="Z167" s="37" t="n">
        <v>1400</v>
      </c>
      <c r="AA167" s="25" t="inlineStr">
        <is>
          <t>No competitor coverage seen.</t>
        </is>
      </c>
      <c r="AB167" s="25" t="inlineStr">
        <is>
          <t>Focus keyword in the H1, slug, meta title, first 100 words and first H2; define paramedical coverage in 40 to 60 words with examples. Use the practitioner limits table and public-physio table; anchor 'therapy coverage' to the mental health guide. Licensed reviewer; review annually.</t>
        </is>
      </c>
      <c r="AC167" s="25" t="inlineStr">
        <is>
          <t>Verify public physiotherapy programs per province; practitioner registration requirements depend on each province's regulatory college; label limits as typical.</t>
        </is>
      </c>
      <c r="AD167" s="36" t="inlineStr">
        <is>
          <t>Annual</t>
        </is>
      </c>
      <c r="AE167" s="38" t="n"/>
      <c r="AF167" s="38" t="n"/>
      <c r="AG167" s="38" t="n"/>
    </row>
    <row r="168" ht="35.05" customHeight="1" s="22">
      <c r="A168" s="36">
        <f>"B"&amp;TEXT(ROW()-1,"0000")</f>
        <v/>
      </c>
      <c r="B168" s="38" t="inlineStr">
        <is>
          <t>Planned</t>
        </is>
      </c>
      <c r="C168" s="36" t="n">
        <v>3</v>
      </c>
      <c r="D168" s="36" t="inlineStr">
        <is>
          <t>Health &amp; dental insurance</t>
        </is>
      </c>
      <c r="E168" s="36" t="inlineStr">
        <is>
          <t>Coverage explained</t>
        </is>
      </c>
      <c r="F168" s="25" t="inlineStr">
        <is>
          <t>Vision Insurance in Canada: Eye Exam and Glasses Coverage by Province</t>
        </is>
      </c>
      <c r="G168" s="36" t="inlineStr">
        <is>
          <t>https://instasure.ca/guides/vision-insurance-canada/</t>
        </is>
      </c>
      <c r="H168" s="36" t="inlineStr">
        <is>
          <t>vision insurance canada</t>
        </is>
      </c>
      <c r="I168" s="41">
        <f>IFERROR(INDEX('Nationwide KWs'!$D$2:$D$168,MATCH(H168,'Nationwide KWs'!$A$2:$A$168,0)),IFERROR(INDEX('Provincial KWs'!$E$2:$E$137,MATCH(H168,'Provincial KWs'!$A$2:$A$137,0)),IFERROR(INDEX('City KWs'!$F$2:$F$419,MATCH(H168,'City KWs'!$A$2:$A$419,0)),"")))</f>
        <v/>
      </c>
      <c r="J168" s="36" t="inlineStr">
        <is>
          <t>Low</t>
        </is>
      </c>
      <c r="K168" s="25" t="inlineStr">
        <is>
          <t>does ohip cover eye exams; eye exam coverage by province; does health insurance cover glasses; vision coverage individual health plan; does insurance cover laser eye surgery</t>
        </is>
      </c>
      <c r="L168" s="36" t="inlineStr">
        <is>
          <t>Nationwide</t>
        </is>
      </c>
      <c r="M168" s="36" t="inlineStr">
        <is>
          <t>informational</t>
        </is>
      </c>
      <c r="N168" s="36" t="inlineStr">
        <is>
          <t>TOFU</t>
        </is>
      </c>
      <c r="O168" s="25" t="inlineStr">
        <is>
          <t>Vision Insurance in Canada: Eye Exams and Glasses</t>
        </is>
      </c>
      <c r="P168" s="36">
        <f>LEN(O168)</f>
        <v/>
      </c>
      <c r="Q168" s="25" t="inlineStr">
        <is>
          <t>Vision insurance in Canada: which provinces cover eye exams by age, what private plans pay for glasses and contacts, and if a vision add-on is worth it.</t>
        </is>
      </c>
      <c r="R168" s="36">
        <f>LEN(Q168)</f>
        <v/>
      </c>
      <c r="S168" s="36">
        <f>IF(H168="","",IF(ISNUMBER(SEARCH(SUBSTITUTE(H168,"-"," "),SUBSTITUTE(O168,"-"," "))),"Yes","Check"))</f>
        <v/>
      </c>
      <c r="T168" s="25" t="inlineStr">
        <is>
          <t>Is vision care covered in Canada? (quick answer) | Eye exam coverage by province and age | Medically necessary eye care vs routine exams | What private plans pay for glasses and contacts | Laser eye surgery coverage | Is a vision add-on worth it? | How to stretch your vision benefit</t>
        </is>
      </c>
      <c r="U168" s="25" t="inlineStr">
        <is>
          <t>Does OHIP cover eye exams for adults? | How often does insurance cover new glasses? | Does health insurance cover laser eye surgery? | Are eye exams free for children in Canada?</t>
        </is>
      </c>
      <c r="V168" s="25" t="inlineStr">
        <is>
          <t>Province-by-province table of eye-exam coverage by age group, and a table of typical private-plan vision limits (per 24 months) by plan tier.</t>
        </is>
      </c>
      <c r="W168" s="25" t="inlineStr">
        <is>
          <t>/health-dental-insurance/; /guides/what-does-ohip-not-cover/; /guides/private-health-insurance-cost-canada/</t>
        </is>
      </c>
      <c r="X168" s="25" t="inlineStr">
        <is>
          <t>Instant health &amp; dental estimate (/health-dental-insurance/)</t>
        </is>
      </c>
      <c r="Y168" s="36" t="inlineStr">
        <is>
          <t>Article; FAQPage; BreadcrumbList</t>
        </is>
      </c>
      <c r="Z168" s="37" t="n">
        <v>1300</v>
      </c>
      <c r="AA168" s="25" t="inlineStr">
        <is>
          <t>No competitor coverage seen.</t>
        </is>
      </c>
      <c r="AB168" s="25" t="inlineStr">
        <is>
          <t>Focus keyword in the H1, slug, meta title, first 100 words and first H2; the 40 to 60 word answer should say most provinces cover routine exams only for children and seniors. Use both tables; anchor 'what OHIP doesn't cover' to the Ontario guide. Provincial plan sources, licensed reviewer, annual review.</t>
        </is>
      </c>
      <c r="AC168" s="25" t="inlineStr">
        <is>
          <t>Verify each province's eye-exam rules with the provincial plan and date them; private-plan limits are typical examples, not quotes.</t>
        </is>
      </c>
      <c r="AD168" s="36" t="inlineStr">
        <is>
          <t>Annual</t>
        </is>
      </c>
      <c r="AE168" s="38" t="n"/>
      <c r="AF168" s="38" t="n"/>
      <c r="AG168" s="38" t="n"/>
    </row>
    <row r="169" ht="46.25" customHeight="1" s="22">
      <c r="A169" s="36">
        <f>"B"&amp;TEXT(ROW()-1,"0000")</f>
        <v/>
      </c>
      <c r="B169" s="38" t="inlineStr">
        <is>
          <t>Planned</t>
        </is>
      </c>
      <c r="C169" s="36" t="n">
        <v>3</v>
      </c>
      <c r="D169" s="36" t="inlineStr">
        <is>
          <t>Health &amp; dental insurance</t>
        </is>
      </c>
      <c r="E169" s="36" t="inlineStr">
        <is>
          <t>Local (province)</t>
        </is>
      </c>
      <c r="F169" s="25" t="inlineStr">
        <is>
          <t>BC Fair PharmaCare Explained: Deductibles, Family Maximums and Private Plans</t>
        </is>
      </c>
      <c r="G169" s="36" t="inlineStr">
        <is>
          <t>https://instasure.ca/guides/bc-fair-pharmacare-explained/</t>
        </is>
      </c>
      <c r="H169" s="36" t="inlineStr">
        <is>
          <t>bc pharmacare deductible</t>
        </is>
      </c>
      <c r="I169" s="41">
        <f>IFERROR(INDEX('Nationwide KWs'!$D$2:$D$168,MATCH(H169,'Nationwide KWs'!$A$2:$A$168,0)),IFERROR(INDEX('Provincial KWs'!$E$2:$E$137,MATCH(H169,'Provincial KWs'!$A$2:$A$137,0)),IFERROR(INDEX('City KWs'!$F$2:$F$419,MATCH(H169,'City KWs'!$A$2:$A$419,0)),"")))</f>
        <v/>
      </c>
      <c r="J169" s="36" t="inlineStr">
        <is>
          <t>Low</t>
        </is>
      </c>
      <c r="K169" s="25" t="inlineStr">
        <is>
          <t>fair pharmacare bc; bc pharmacare registration; bc pharmacare family maximum; free contraception bc; bc pharmacare with employer plan</t>
        </is>
      </c>
      <c r="L169" s="36" t="inlineStr">
        <is>
          <t>Province: British Columbia</t>
        </is>
      </c>
      <c r="M169" s="36" t="inlineStr">
        <is>
          <t>informational</t>
        </is>
      </c>
      <c r="N169" s="36" t="inlineStr">
        <is>
          <t>TOFU</t>
        </is>
      </c>
      <c r="O169" s="25" t="inlineStr">
        <is>
          <t>BC PharmaCare Deductible: Fair PharmaCare Explained</t>
        </is>
      </c>
      <c r="P169" s="36">
        <f>LEN(O169)</f>
        <v/>
      </c>
      <c r="Q169" s="25" t="inlineStr">
        <is>
          <t>How BC Fair PharmaCare sets your deductible and family maximum by income, what the formulary covers, and how it works alongside a private or employer plan.</t>
        </is>
      </c>
      <c r="R169" s="36">
        <f>LEN(Q169)</f>
        <v/>
      </c>
      <c r="S169" s="36">
        <f>IF(H169="","",IF(ISNUMBER(SEARCH(SUBSTITUTE(H169,"-"," "),SUBSTITUTE(O169,"-"," "))),"Yes","Check"))</f>
        <v/>
      </c>
      <c r="T169" s="25" t="inlineStr">
        <is>
          <t>How Fair PharmaCare works (quick answer) | Deductibles and family maximums by income | Registering and consenting to income verification | What PharmaCare covers: the formulary and Special Authority | Free contraception and diabetes coverage | Using PharmaCare with a private or group plan | Worked example: a Vancouver family</t>
        </is>
      </c>
      <c r="U169" s="25" t="inlineStr">
        <is>
          <t>How is the BC PharmaCare deductible calculated? | Do I need to register for Fair PharmaCare? | Is contraception free in BC? | Does BC PharmaCare work with my employer plan?</t>
        </is>
      </c>
      <c r="V169" s="25" t="inlineStr">
        <is>
          <t>Worked examples at three net family incomes showing the deductible, co-pay share and family maximum, linked to the BC government's Fair PharmaCare tables and dated.</t>
        </is>
      </c>
      <c r="W169" s="25" t="inlineStr">
        <is>
          <t>/health-dental-insurance/british-columbia/; /guides/prescription-drug-coverage-by-province/; /guides/national-pharmacare-canada-explained/</t>
        </is>
      </c>
      <c r="X169" s="25" t="inlineStr">
        <is>
          <t>Instant health &amp; dental estimate for BC (/health-dental-insurance/british-columbia/)</t>
        </is>
      </c>
      <c r="Y169" s="36" t="inlineStr">
        <is>
          <t>Article; FAQPage; BreadcrumbList</t>
        </is>
      </c>
      <c r="Z169" s="37" t="n">
        <v>1400</v>
      </c>
      <c r="AA169" s="25" t="inlineStr">
        <is>
          <t>PolicyAdvisor's BC health page is a money page; no PharmaCare deductible explainer surfaced among competitors.</t>
        </is>
      </c>
      <c r="AB169" s="25" t="inlineStr">
        <is>
          <t>Focus keyword in the H1, slug, meta title, first 100 words and first H2; the 40 to 60 word answer should explain that the deductible is a share of net family income. Use the three-income examples as a table; anchor 'national pharmacare' to the national guide and 'health insurance in BC' to the province money page. gov.bc.ca sources, licensed reviewer, refresh on rule change.</t>
        </is>
      </c>
      <c r="AC169" s="25" t="inlineStr">
        <is>
          <t>Verify income bands, percentages and contraception and diabetes coverage on gov.bc.ca and date the page; the tables change with policy updates.</t>
        </is>
      </c>
      <c r="AD169" s="36" t="inlineStr">
        <is>
          <t>On rule change</t>
        </is>
      </c>
      <c r="AE169" s="38" t="n"/>
      <c r="AF169" s="38" t="n"/>
      <c r="AG169" s="38" t="n"/>
    </row>
    <row r="170" ht="46.25" customHeight="1" s="22">
      <c r="A170" s="36">
        <f>"B"&amp;TEXT(ROW()-1,"0000")</f>
        <v/>
      </c>
      <c r="B170" s="38" t="inlineStr">
        <is>
          <t>Planned</t>
        </is>
      </c>
      <c r="C170" s="36" t="n">
        <v>3</v>
      </c>
      <c r="D170" s="36" t="inlineStr">
        <is>
          <t>Health &amp; dental insurance</t>
        </is>
      </c>
      <c r="E170" s="36" t="inlineStr">
        <is>
          <t>Local (province)</t>
        </is>
      </c>
      <c r="F170" s="25" t="inlineStr">
        <is>
          <t>New Brunswick Drug Plan Explained: Premiums, Co-Pays and Who Should Enrol</t>
        </is>
      </c>
      <c r="G170" s="36" t="inlineStr">
        <is>
          <t>https://instasure.ca/guides/new-brunswick-drug-plan-explained/</t>
        </is>
      </c>
      <c r="H170" s="36" t="inlineStr">
        <is>
          <t>new brunswick drug plan</t>
        </is>
      </c>
      <c r="I170" s="41">
        <f>IFERROR(INDEX('Nationwide KWs'!$D$2:$D$168,MATCH(H170,'Nationwide KWs'!$A$2:$A$168,0)),IFERROR(INDEX('Provincial KWs'!$E$2:$E$137,MATCH(H170,'Provincial KWs'!$A$2:$A$137,0)),IFERROR(INDEX('City KWs'!$F$2:$F$419,MATCH(H170,'City KWs'!$A$2:$A$419,0)),"")))</f>
        <v/>
      </c>
      <c r="J170" s="36" t="inlineStr">
        <is>
          <t>Niche</t>
        </is>
      </c>
      <c r="K170" s="25" t="inlineStr">
        <is>
          <t>nb drug plan premiums; new brunswick prescription coverage; nb drug plan co-pay; health insurance new brunswick; new brunswick drug plan vs private insurance</t>
        </is>
      </c>
      <c r="L170" s="36" t="inlineStr">
        <is>
          <t>Province: New Brunswick</t>
        </is>
      </c>
      <c r="M170" s="36" t="inlineStr">
        <is>
          <t>informational</t>
        </is>
      </c>
      <c r="N170" s="36" t="inlineStr">
        <is>
          <t>TOFU</t>
        </is>
      </c>
      <c r="O170" s="25" t="inlineStr">
        <is>
          <t>New Brunswick Drug Plan: Premiums, Co-Pays, Enrolment</t>
        </is>
      </c>
      <c r="P170" s="36">
        <f>LEN(O170)</f>
        <v/>
      </c>
      <c r="Q170" s="25" t="inlineStr">
        <is>
          <t>How the New Brunswick Drug Plan works: who can enrol, premiums and co-pays by income, seniors' programs and how it compares with a private health plan.</t>
        </is>
      </c>
      <c r="R170" s="36">
        <f>LEN(Q170)</f>
        <v/>
      </c>
      <c r="S170" s="36">
        <f>IF(H170="","",IF(ISNUMBER(SEARCH(SUBSTITUTE(H170,"-"," "),SUBSTITUTE(O170,"-"," "))),"Yes","Check"))</f>
        <v/>
      </c>
      <c r="T170" s="25" t="inlineStr">
        <is>
          <t>What the New Brunswick Drug Plan is (quick answer) | Who can enrol | Premiums and co-payments by income | Seniors and other public drug programs in New Brunswick | NB Drug Plan vs a private health plan | How to enrol | Other coverage gaps in New Brunswick</t>
        </is>
      </c>
      <c r="U170" s="25" t="inlineStr">
        <is>
          <t>Who is eligible for the New Brunswick Drug Plan? | How much does the NB Drug Plan cost? | Can I have the NB Drug Plan and private insurance? | Does the New Brunswick Drug Plan cover dental?</t>
        </is>
      </c>
      <c r="V170" s="25" t="inlineStr">
        <is>
          <t>Premium and co-pay table by income band linked to the Government of New Brunswick, plus a side-by-side with a typical private plan.</t>
        </is>
      </c>
      <c r="W170" s="25" t="inlineStr">
        <is>
          <t>/health-dental-insurance/new-brunswick/; /guides/prescription-drug-coverage-by-province/; /guides/private-health-insurance-cost-canada/</t>
        </is>
      </c>
      <c r="X170" s="25" t="inlineStr">
        <is>
          <t>Instant health &amp; dental estimate for New Brunswick (/health-dental-insurance/new-brunswick/)</t>
        </is>
      </c>
      <c r="Y170" s="36" t="inlineStr">
        <is>
          <t>Article; FAQPage; BreadcrumbList</t>
        </is>
      </c>
      <c r="Z170" s="37" t="n">
        <v>1300</v>
      </c>
      <c r="AA170" s="25" t="inlineStr">
        <is>
          <t>No competitor coverage seen; PolicyAdvisor has no Atlantic pages.</t>
        </is>
      </c>
      <c r="AB170" s="25" t="inlineStr">
        <is>
          <t>Focus keyword in the H1, slug, meta title, first 100 words and first H2; the 40 to 60 word answer should say who the plan is for and that premiums depend on income. Use the income-band table and the private-plan comparison; anchor 'health insurance in New Brunswick' to the province money page. gnb.ca sources, licensed reviewer, annual review.</t>
        </is>
      </c>
      <c r="AC170" s="25" t="inlineStr">
        <is>
          <t>Verify premiums, co-pays and eligibility on gnb.ca and date them.</t>
        </is>
      </c>
      <c r="AD170" s="36" t="inlineStr">
        <is>
          <t>Annual</t>
        </is>
      </c>
      <c r="AE170" s="38" t="n"/>
      <c r="AF170" s="38" t="n"/>
      <c r="AG170" s="38" t="n"/>
    </row>
    <row r="171" ht="46.25" customHeight="1" s="22">
      <c r="A171" s="36">
        <f>"B"&amp;TEXT(ROW()-1,"0000")</f>
        <v/>
      </c>
      <c r="B171" s="38" t="inlineStr">
        <is>
          <t>Planned</t>
        </is>
      </c>
      <c r="C171" s="36" t="n">
        <v>3</v>
      </c>
      <c r="D171" s="36" t="inlineStr">
        <is>
          <t>Health &amp; dental insurance</t>
        </is>
      </c>
      <c r="E171" s="36" t="inlineStr">
        <is>
          <t>Local (province)</t>
        </is>
      </c>
      <c r="F171" s="25" t="inlineStr">
        <is>
          <t>Ontario Drug Benefit and the Trillium Drug Program: Who Qualifies and What You Pay</t>
        </is>
      </c>
      <c r="G171" s="36" t="inlineStr">
        <is>
          <t>https://instasure.ca/guides/trillium-drug-program-ontario/</t>
        </is>
      </c>
      <c r="H171" s="36" t="inlineStr">
        <is>
          <t>trillium drug program</t>
        </is>
      </c>
      <c r="I171" s="41">
        <f>IFERROR(INDEX('Nationwide KWs'!$D$2:$D$168,MATCH(H171,'Nationwide KWs'!$A$2:$A$168,0)),IFERROR(INDEX('Provincial KWs'!$E$2:$E$137,MATCH(H171,'Provincial KWs'!$A$2:$A$137,0)),IFERROR(INDEX('City KWs'!$F$2:$F$419,MATCH(H171,'City KWs'!$A$2:$A$419,0)),"")))</f>
        <v/>
      </c>
      <c r="J171" s="36" t="inlineStr">
        <is>
          <t>Low</t>
        </is>
      </c>
      <c r="K171" s="25" t="inlineStr">
        <is>
          <t>trillium deductible calculation; ontario drug benefit eligibility; ontario drug benefit seniors co-payment; trillium drug program with private insurance; how to apply for trillium</t>
        </is>
      </c>
      <c r="L171" s="36" t="inlineStr">
        <is>
          <t>Province: Ontario</t>
        </is>
      </c>
      <c r="M171" s="36" t="inlineStr">
        <is>
          <t>informational</t>
        </is>
      </c>
      <c r="N171" s="36" t="inlineStr">
        <is>
          <t>TOFU</t>
        </is>
      </c>
      <c r="O171" s="25" t="inlineStr">
        <is>
          <t>Trillium Drug Program and Ontario Drug Benefit Guide</t>
        </is>
      </c>
      <c r="P171" s="36">
        <f>LEN(O171)</f>
        <v/>
      </c>
      <c r="Q171" s="25" t="inlineStr">
        <is>
          <t>How the Trillium Drug Program and Ontario Drug Benefit work: who qualifies, how the income-based deductible is set, seniors' co-pays and private plans.</t>
        </is>
      </c>
      <c r="R171" s="36">
        <f>LEN(Q171)</f>
        <v/>
      </c>
      <c r="S171" s="36">
        <f>IF(H171="","",IF(ISNUMBER(SEARCH(SUBSTITUTE(H171,"-"," "),SUBSTITUTE(O171,"-"," "))),"Yes","Check"))</f>
        <v/>
      </c>
      <c r="T171" s="25" t="inlineStr">
        <is>
          <t>Trillium and ODB in brief (quick answer) | Who the Ontario Drug Benefit covers | Seniors' deductible and co-payments | How the Trillium deductible is calculated | Trillium with private insurance: paying the gap | Worked example: a family with high drug costs | How to apply and renew</t>
        </is>
      </c>
      <c r="U171" s="25" t="inlineStr">
        <is>
          <t>How is the Trillium deductible calculated? | Can I use Trillium if I have private insurance? | Do seniors pay for prescriptions in Ontario? | How long does a Trillium application take?</t>
        </is>
      </c>
      <c r="V171" s="25" t="inlineStr">
        <is>
          <t>Worked Trillium deductible example at three household incomes and a seniors' co-payment table, each figure linked to the Ontario Ministry of Health and dated.</t>
        </is>
      </c>
      <c r="W171" s="25" t="inlineStr">
        <is>
          <t>/health-dental-insurance/ontario/; /guides/ohip-plus-explained/; /guides/prescription-drug-coverage-by-province/; /guides/what-does-ohip-not-cover/</t>
        </is>
      </c>
      <c r="X171" s="25" t="inlineStr">
        <is>
          <t>Instant health &amp; dental estimate for Ontario (/health-dental-insurance/ontario/)</t>
        </is>
      </c>
      <c r="Y171" s="36" t="inlineStr">
        <is>
          <t>Article; FAQPage; BreadcrumbList</t>
        </is>
      </c>
      <c r="Z171" s="37" t="n">
        <v>1500</v>
      </c>
      <c r="AA171" s="25" t="inlineStr">
        <is>
          <t>No competitor coverage seen.</t>
        </is>
      </c>
      <c r="AB171" s="25" t="inlineStr">
        <is>
          <t>Focus keyword in the H1, slug, meta title, first 100 words and first H2; answer in 40 to 60 words who Trillium is for and how the deductible works. Use the three-income worked example and seniors' table; anchor 'drug coverage in other provinces' to the national hub. Ontario Ministry of Health sources, licensed reviewer, annual review.</t>
        </is>
      </c>
      <c r="AC171" s="25" t="inlineStr">
        <is>
          <t>Verify the deductible formula, quarterly instalments and seniors' thresholds on ontario.ca; mark worked examples as illustrations.</t>
        </is>
      </c>
      <c r="AD171" s="36" t="inlineStr">
        <is>
          <t>Annual</t>
        </is>
      </c>
      <c r="AE171" s="38" t="n"/>
      <c r="AF171" s="38" t="n"/>
      <c r="AG171" s="38" t="n"/>
    </row>
    <row r="172" ht="35.05" customHeight="1" s="22">
      <c r="A172" s="36">
        <f>"B"&amp;TEXT(ROW()-1,"0000")</f>
        <v/>
      </c>
      <c r="B172" s="38" t="inlineStr">
        <is>
          <t>Planned</t>
        </is>
      </c>
      <c r="C172" s="36" t="n">
        <v>3</v>
      </c>
      <c r="D172" s="36" t="inlineStr">
        <is>
          <t>Health &amp; dental insurance</t>
        </is>
      </c>
      <c r="E172" s="36" t="inlineStr">
        <is>
          <t>Personas</t>
        </is>
      </c>
      <c r="F172" s="25" t="inlineStr">
        <is>
          <t>Health Insurance for Seniors Over 65: Drug Plans, Dental and Private Top-Ups</t>
        </is>
      </c>
      <c r="G172" s="36" t="inlineStr">
        <is>
          <t>https://instasure.ca/guides/health-insurance-for-seniors-over-65/</t>
        </is>
      </c>
      <c r="H172" s="36" t="inlineStr">
        <is>
          <t>health insurance for seniors canada</t>
        </is>
      </c>
      <c r="I172" s="41">
        <f>IFERROR(INDEX('Nationwide KWs'!$D$2:$D$168,MATCH(H172,'Nationwide KWs'!$A$2:$A$168,0)),IFERROR(INDEX('Provincial KWs'!$E$2:$E$137,MATCH(H172,'Provincial KWs'!$A$2:$A$137,0)),IFERROR(INDEX('City KWs'!$F$2:$F$419,MATCH(H172,'City KWs'!$A$2:$A$419,0)),"")))</f>
        <v/>
      </c>
      <c r="J172" s="36" t="inlineStr">
        <is>
          <t>Low</t>
        </is>
      </c>
      <c r="K172" s="25" t="inlineStr">
        <is>
          <t>senior health insurance canada; health and dental insurance for seniors; seniors drug coverage by province; private health insurance over 65; seniors dental coverage canada</t>
        </is>
      </c>
      <c r="L172" s="36" t="inlineStr">
        <is>
          <t>Nationwide</t>
        </is>
      </c>
      <c r="M172" s="36" t="inlineStr">
        <is>
          <t>commercial</t>
        </is>
      </c>
      <c r="N172" s="36" t="inlineStr">
        <is>
          <t>MOFU</t>
        </is>
      </c>
      <c r="O172" s="25" t="inlineStr">
        <is>
          <t>Health Insurance for Seniors in Canada (65 and Over)</t>
        </is>
      </c>
      <c r="P172" s="36">
        <f>LEN(O172)</f>
        <v/>
      </c>
      <c r="Q172" s="25" t="inlineStr">
        <is>
          <t>Health insurance for seniors in Canada: what provincial drug plans change at 65, dental through the CDCP, hearing and vision gaps and private top-up plans.</t>
        </is>
      </c>
      <c r="R172" s="36">
        <f>LEN(Q172)</f>
        <v/>
      </c>
      <c r="S172" s="36">
        <f>IF(H172="","",IF(ISNUMBER(SEARCH(SUBSTITUTE(H172,"-"," "),SUBSTITUTE(O172,"-"," "))),"Yes","Check"))</f>
        <v/>
      </c>
      <c r="T172" s="25" t="inlineStr">
        <is>
          <t>What seniors' health coverage looks like (quick answer) | Provincial drug plans at 65: what changes | Dental: CDCP and provincial seniors' programs | Vision, hearing aids and mobility devices | Private plans for seniors: what they add | Travel coverage for retirees | A coverage checklist at 65</t>
        </is>
      </c>
      <c r="U172" s="25" t="inlineStr">
        <is>
          <t>Do seniors need private health insurance in Canada? | What drug coverage do seniors get at 65? | Is dental covered for seniors in Canada? | Can I buy health insurance after 65?</t>
        </is>
      </c>
      <c r="V172" s="25" t="inlineStr">
        <is>
          <t>Coverage checklist at 65 and a province table of seniors' drug, dental and hearing-aid programs, each linked and dated.</t>
        </is>
      </c>
      <c r="W172" s="25" t="inlineStr">
        <is>
          <t>/health-dental-insurance/; /travel-insurance/snowbirds/; /guides/cdcp-and-provincial-dental-programs/; /guides/long-term-care-costs-by-province/</t>
        </is>
      </c>
      <c r="X172" s="25" t="inlineStr">
        <is>
          <t>Instant health &amp; dental estimate (/health-dental-insurance/)</t>
        </is>
      </c>
      <c r="Y172" s="36" t="inlineStr">
        <is>
          <t>Article; FAQPage; BreadcrumbList</t>
        </is>
      </c>
      <c r="Z172" s="37" t="n">
        <v>1600</v>
      </c>
      <c r="AA172" s="25" t="inlineStr">
        <is>
          <t>No competitor coverage seen for seniors' health plans (PolicyAdvisor's seniors content is life insurance).</t>
        </is>
      </c>
      <c r="AB172" s="25" t="inlineStr">
        <is>
          <t>Focus keyword in the H1, slug, meta title, first 100 words and first H2; the 40 to 60 word answer should list the main gaps that remain at 65. Use the checklist and seniors' programs table; anchor 'snowbird travel insurance' to the snowbird desk page. Licensed reviewer; review annually.</t>
        </is>
      </c>
      <c r="AC172" s="25" t="inlineStr">
        <is>
          <t>Verify each province's seniors' programs on government sites and date them; check private plan age limits per insurer.</t>
        </is>
      </c>
      <c r="AD172" s="36" t="inlineStr">
        <is>
          <t>Annual</t>
        </is>
      </c>
      <c r="AE172" s="38" t="n"/>
      <c r="AF172" s="38" t="n"/>
      <c r="AG172" s="38" t="n"/>
    </row>
    <row r="173" ht="46.25" customHeight="1" s="22">
      <c r="A173" s="36">
        <f>"B"&amp;TEXT(ROW()-1,"0000")</f>
        <v/>
      </c>
      <c r="B173" s="38" t="inlineStr">
        <is>
          <t>Planned</t>
        </is>
      </c>
      <c r="C173" s="36" t="n">
        <v>3</v>
      </c>
      <c r="D173" s="36" t="inlineStr">
        <is>
          <t>Health &amp; dental insurance</t>
        </is>
      </c>
      <c r="E173" s="36" t="inlineStr">
        <is>
          <t>Tax &amp; regulation</t>
        </is>
      </c>
      <c r="F173" s="25" t="inlineStr">
        <is>
          <t>Medical Expense Tax Credit: What Health Costs You Can Claim in Canada</t>
        </is>
      </c>
      <c r="G173" s="36" t="inlineStr">
        <is>
          <t>https://instasure.ca/guides/medical-expense-tax-credit-canada/</t>
        </is>
      </c>
      <c r="H173" s="36" t="inlineStr">
        <is>
          <t>medical expense tax credit</t>
        </is>
      </c>
      <c r="I173" s="41">
        <f>IFERROR(INDEX('Nationwide KWs'!$D$2:$D$168,MATCH(H173,'Nationwide KWs'!$A$2:$A$168,0)),IFERROR(INDEX('Provincial KWs'!$E$2:$E$137,MATCH(H173,'Provincial KWs'!$A$2:$A$137,0)),IFERROR(INDEX('City KWs'!$F$2:$F$419,MATCH(H173,'City KWs'!$A$2:$A$419,0)),"")))</f>
        <v/>
      </c>
      <c r="J173" s="36" t="inlineStr">
        <is>
          <t>High</t>
        </is>
      </c>
      <c r="K173" s="25" t="inlineStr">
        <is>
          <t>can i claim health insurance premiums on taxes; eligible medical expenses canada; medical expense tax credit threshold; claim dental on taxes canada; medical expenses for spouse and children</t>
        </is>
      </c>
      <c r="L173" s="36" t="inlineStr">
        <is>
          <t>Nationwide</t>
        </is>
      </c>
      <c r="M173" s="36" t="inlineStr">
        <is>
          <t>informational</t>
        </is>
      </c>
      <c r="N173" s="36" t="inlineStr">
        <is>
          <t>TOFU</t>
        </is>
      </c>
      <c r="O173" s="25" t="inlineStr">
        <is>
          <t>Medical Expense Tax Credit: What You Can Claim</t>
        </is>
      </c>
      <c r="P173" s="36">
        <f>LEN(O173)</f>
        <v/>
      </c>
      <c r="Q173" s="25" t="inlineStr">
        <is>
          <t>How the medical expense tax credit works: eligible costs including health premiums, the 3% threshold, picking your 12-month period and claiming for family.</t>
        </is>
      </c>
      <c r="R173" s="36">
        <f>LEN(Q173)</f>
        <v/>
      </c>
      <c r="S173" s="36">
        <f>IF(H173="","",IF(ISNUMBER(SEARCH(SUBSTITUTE(H173,"-"," "),SUBSTITUTE(O173,"-"," "))),"Yes","Check"))</f>
        <v/>
      </c>
      <c r="T173" s="25" t="inlineStr">
        <is>
          <t>What the medical expense tax credit is (quick answer) | Eligible expenses: premiums, dental, drugs, vision, therapy | The threshold and how to calculate your credit | Choosing your 12-month period | Claiming for a spouse and dependants | Provincial medical expense credits | Records to keep</t>
        </is>
      </c>
      <c r="U173" s="25" t="inlineStr">
        <is>
          <t>Can I claim private health insurance premiums on my taxes? | What is the minimum for the medical expense tax credit? | Can I claim dental work on my taxes? | Which spouse should claim medical expenses?</t>
        </is>
      </c>
      <c r="V173" s="25" t="inlineStr">
        <is>
          <t>Worked calculation for a family (net income, threshold, eligible expenses, federal and provincial credit) and a checklist of eligible vs ineligible health costs linked to CRA.</t>
        </is>
      </c>
      <c r="W173" s="25" t="inlineStr">
        <is>
          <t>/health-dental-insurance/; /guides/self-employed-health-insurance-tax-deductible/; /guides/private-health-insurance-cost-canada/</t>
        </is>
      </c>
      <c r="X173" s="25" t="inlineStr">
        <is>
          <t>Instant health &amp; dental estimate (/health-dental-insurance/)</t>
        </is>
      </c>
      <c r="Y173" s="36" t="inlineStr">
        <is>
          <t>Article; FAQPage; BreadcrumbList</t>
        </is>
      </c>
      <c r="Z173" s="37" t="n">
        <v>1600</v>
      </c>
      <c r="AA173" s="25" t="inlineStr">
        <is>
          <t>No competitor coverage seen among the insurance sites researched (CRA and tax sites own this topic).</t>
        </is>
      </c>
      <c r="AB173" s="25" t="inlineStr">
        <is>
          <t>Focus keyword in the H1, slug, meta title, first 100 words and first H2; the 40 to 60 word answer should state the threshold rule and that private health premiums qualify. Use the worked family calculation and eligible-expense checklist; anchor 'self-employed health insurance deduction' to the PHSP guide. Cite CRA, add an accountant review line, refresh each tax season.</t>
        </is>
      </c>
      <c r="AC173" s="25" t="inlineStr">
        <is>
          <t>Verify the threshold (lesser of 3% of net income or the indexed dollar amount) and the eligible-expense list against CRA for the current tax year; label as general tax information.</t>
        </is>
      </c>
      <c r="AD173" s="36" t="inlineStr">
        <is>
          <t>Annual</t>
        </is>
      </c>
      <c r="AE173" s="38" t="n"/>
      <c r="AF173" s="38" t="n"/>
      <c r="AG173" s="38" t="n"/>
    </row>
    <row r="174" ht="46.25" customHeight="1" s="22">
      <c r="A174" s="36">
        <f>"B"&amp;TEXT(ROW()-1,"0000")</f>
        <v/>
      </c>
      <c r="B174" s="38" t="inlineStr">
        <is>
          <t>Planned</t>
        </is>
      </c>
      <c r="C174" s="36" t="n">
        <v>4</v>
      </c>
      <c r="D174" s="36" t="inlineStr">
        <is>
          <t>Health &amp; dental insurance</t>
        </is>
      </c>
      <c r="E174" s="36" t="inlineStr">
        <is>
          <t>Claims</t>
        </is>
      </c>
      <c r="F174" s="25" t="inlineStr">
        <is>
          <t>Coordination of Benefits: How to Claim on Two Health Plans</t>
        </is>
      </c>
      <c r="G174" s="36" t="inlineStr">
        <is>
          <t>https://instasure.ca/guides/coordination-of-benefits-two-health-plans/</t>
        </is>
      </c>
      <c r="H174" s="36" t="inlineStr">
        <is>
          <t>coordination of benefits</t>
        </is>
      </c>
      <c r="I174" s="41">
        <f>IFERROR(INDEX('Nationwide KWs'!$D$2:$D$168,MATCH(H174,'Nationwide KWs'!$A$2:$A$168,0)),IFERROR(INDEX('Provincial KWs'!$E$2:$E$137,MATCH(H174,'Provincial KWs'!$A$2:$A$137,0)),IFERROR(INDEX('City KWs'!$F$2:$F$419,MATCH(H174,'City KWs'!$A$2:$A$419,0)),"")))</f>
        <v/>
      </c>
      <c r="J174" s="36" t="inlineStr">
        <is>
          <t>Low</t>
        </is>
      </c>
      <c r="K174" s="25" t="inlineStr">
        <is>
          <t>two health insurance plans canada; claim on spouse's health plan; birthday rule dependants; coordinate dental benefits; second payer health claim</t>
        </is>
      </c>
      <c r="L174" s="36" t="inlineStr">
        <is>
          <t>Nationwide</t>
        </is>
      </c>
      <c r="M174" s="36" t="inlineStr">
        <is>
          <t>informational</t>
        </is>
      </c>
      <c r="N174" s="36" t="inlineStr">
        <is>
          <t>TOFU</t>
        </is>
      </c>
      <c r="O174" s="25" t="inlineStr">
        <is>
          <t>Coordination of Benefits: Claiming on Two Health Plans</t>
        </is>
      </c>
      <c r="P174" s="36">
        <f>LEN(O174)</f>
        <v/>
      </c>
      <c r="Q174" s="25" t="inlineStr">
        <is>
          <t>How coordination of benefits works in Canada: which plan pays first, the birthday rule for children and how to claim the balance from a second health plan.</t>
        </is>
      </c>
      <c r="R174" s="36">
        <f>LEN(Q174)</f>
        <v/>
      </c>
      <c r="S174" s="36">
        <f>IF(H174="","",IF(ISNUMBER(SEARCH(SUBSTITUTE(H174,"-"," "),SUBSTITUTE(O174,"-"," "))),"Yes","Check"))</f>
        <v/>
      </c>
      <c r="T174" s="25" t="inlineStr">
        <is>
          <t>How coordination of benefits works (quick answer) | Which plan pays first for you, your spouse and your children | The birthday rule for dependants | Step by step: submitting to the second plan | Coordinating with provincial programs and the CDCP | Worked example: a dental bill split across two plans | Is a second plan worth paying for?</t>
        </is>
      </c>
      <c r="U174" s="25" t="inlineStr">
        <is>
          <t>Can I claim on my spouse's health plan? | What is the birthday rule for insurance? | Can I be covered by two dental plans in Canada? | Does having two plans affect CDCP eligibility?</t>
        </is>
      </c>
      <c r="V174" s="25" t="inlineStr">
        <is>
          <t>Who-pays-first flowchart and a worked dental-bill example showing what each plan pays and what remains.</t>
        </is>
      </c>
      <c r="W174" s="25" t="inlineStr">
        <is>
          <t>/health-dental-insurance/; /group-benefits/; /guides/canadian-dental-care-plan-eligibility/</t>
        </is>
      </c>
      <c r="X174" s="25" t="inlineStr">
        <is>
          <t>Instant health &amp; dental estimate (/health-dental-insurance/)</t>
        </is>
      </c>
      <c r="Y174" s="36" t="inlineStr">
        <is>
          <t>Article; HowTo; FAQPage; BreadcrumbList</t>
        </is>
      </c>
      <c r="Z174" s="37" t="n">
        <v>1200</v>
      </c>
      <c r="AA174" s="25" t="inlineStr">
        <is>
          <t>Sun Life has 'Co-ordinate Your Healthcare Plans And Save' for its own plans; no neutral step-by-step guide surfaced.</t>
        </is>
      </c>
      <c r="AB174" s="25" t="inlineStr">
        <is>
          <t>Focus keyword in the H1, slug, meta title, first 100 words and first H2; the 40 to 60 word answer should state the order (your own plan first, then your spouse's) and the birthday rule. Use the flowchart and worked example, and mark up the claim steps as HowTo; anchor 'CDCP eligibility' to the eligibility guide. Licensed reviewer; review annually.</t>
        </is>
      </c>
      <c r="AC174" s="25" t="inlineStr">
        <is>
          <t>Verify coordination rules against the CLHIA guideline on coordination of benefits and insurer practice; check the CDCP interaction on canada.ca.</t>
        </is>
      </c>
      <c r="AD174" s="36" t="inlineStr">
        <is>
          <t>Annual</t>
        </is>
      </c>
      <c r="AE174" s="38" t="n"/>
      <c r="AF174" s="38" t="n"/>
      <c r="AG174" s="38" t="n"/>
    </row>
    <row r="175" ht="46.25" customHeight="1" s="22">
      <c r="A175" s="36">
        <f>"B"&amp;TEXT(ROW()-1,"0000")</f>
        <v/>
      </c>
      <c r="B175" s="38" t="inlineStr">
        <is>
          <t>Planned</t>
        </is>
      </c>
      <c r="C175" s="36" t="n">
        <v>4</v>
      </c>
      <c r="D175" s="36" t="inlineStr">
        <is>
          <t>Health &amp; dental insurance</t>
        </is>
      </c>
      <c r="E175" s="36" t="inlineStr">
        <is>
          <t>Comparisons (insurer)</t>
        </is>
      </c>
      <c r="F175" s="25" t="inlineStr">
        <is>
          <t>Blue Cross vs Sun Life vs Manulife Personal Health Plans: How They Compare</t>
        </is>
      </c>
      <c r="G175" s="36" t="inlineStr">
        <is>
          <t>https://instasure.ca/guides/blue-cross-vs-sun-life-vs-manulife-health-insurance/</t>
        </is>
      </c>
      <c r="H175" s="36" t="inlineStr">
        <is>
          <t>blue cross vs sun life health insurance</t>
        </is>
      </c>
      <c r="I175" s="41">
        <f>IFERROR(INDEX('Nationwide KWs'!$D$2:$D$168,MATCH(H175,'Nationwide KWs'!$A$2:$A$168,0)),IFERROR(INDEX('Provincial KWs'!$E$2:$E$137,MATCH(H175,'Provincial KWs'!$A$2:$A$137,0)),IFERROR(INDEX('City KWs'!$F$2:$F$419,MATCH(H175,'City KWs'!$A$2:$A$419,0)),"")))</f>
        <v/>
      </c>
      <c r="J175" s="36" t="inlineStr">
        <is>
          <t>Low</t>
        </is>
      </c>
      <c r="K175" s="25" t="inlineStr">
        <is>
          <t>manulife flexcare vs blue cross; sun life personal health insurance review; blue cross individual health plan; personal health insurance comparison canada; manulife personal health insurance review</t>
        </is>
      </c>
      <c r="L175" s="36" t="inlineStr">
        <is>
          <t>Nationwide</t>
        </is>
      </c>
      <c r="M175" s="36" t="inlineStr">
        <is>
          <t>commercial</t>
        </is>
      </c>
      <c r="N175" s="36" t="inlineStr">
        <is>
          <t>BOFU</t>
        </is>
      </c>
      <c r="O175" s="25" t="inlineStr">
        <is>
          <t>Blue Cross vs Sun Life vs Manulife Health Insurance</t>
        </is>
      </c>
      <c r="P175" s="36">
        <f>LEN(O175)</f>
        <v/>
      </c>
      <c r="Q175" s="25" t="inlineStr">
        <is>
          <t>Compare Blue Cross, Sun Life and Manulife personal health plans on tiers, drug and dental limits and example premiums, using a published comparison method.</t>
        </is>
      </c>
      <c r="R175" s="36">
        <f>LEN(Q175)</f>
        <v/>
      </c>
      <c r="S175" s="36">
        <f>IF(H175="","",IF(ISNUMBER(SEARCH(SUBSTITUTE(H175,"-"," "),SUBSTITUTE(O175,"-"," "))),"Yes","Check"))</f>
        <v/>
      </c>
      <c r="T175" s="25" t="inlineStr">
        <is>
          <t>How the three compare (quick answer) | Our comparison method | Plan tiers and what each includes | Drug coverage and pre-existing condition rules | Dental and paramedical limits | Example premiums for the same profile | Which type of buyer each plan suits</t>
        </is>
      </c>
      <c r="U175" s="25" t="inlineStr">
        <is>
          <t>Is Blue Cross or Sun Life health insurance cheaper? | Which personal health plan covers the most prescription drugs? | Can I switch from one personal health plan to another? | Are these plans available in every province?</t>
        </is>
      </c>
      <c r="V175" s="25" t="inlineStr">
        <is>
          <t>Feature-by-feature comparison table built from each insurer's published plan brochures, with a published comparison method, the brochure dates and example premiums for one stated profile.</t>
        </is>
      </c>
      <c r="W175" s="25" t="inlineStr">
        <is>
          <t>/health-dental-insurance/; /editorial-guidelines/; /how-we-make-money/; /guides/guaranteed-issue-vs-underwritten-health-insurance/</t>
        </is>
      </c>
      <c r="X175" s="25" t="inlineStr">
        <is>
          <t>Instant health &amp; dental estimate, then a licensed advisor compares plans (/health-dental-insurance/)</t>
        </is>
      </c>
      <c r="Y175" s="36" t="inlineStr">
        <is>
          <t>Article; FAQPage; BreadcrumbList</t>
        </is>
      </c>
      <c r="Z175" s="37" t="n">
        <v>2200</v>
      </c>
      <c r="AA175" s="25" t="inlineStr">
        <is>
          <t>PolicyAdvisor publishes single reviews of Blue Cross, Sun Life, Manulife and Canada Life health plans and a 'Best Health Insurance Companies' list, but no head-to-head; the research lists personal-health head-to-heads as open.</t>
        </is>
      </c>
      <c r="AB175" s="25" t="inlineStr">
        <is>
          <t>Focus keyword in the H1, slug, meta title, first 100 words and first H2; the 40 to 60 word answer should summarise the main differences without declaring a winner. Put the method section second and link it to /editorial-guidelines/ and /how-we-make-money/; the comparison table is the core asset. Licensed reviewer; refresh semi-annually against current brochures.</t>
        </is>
      </c>
      <c r="AC175" s="25" t="inlineStr">
        <is>
          <t>Needs a published review method and disclosure of any carrier relationship before publishing; verify plan details and prices against current brochures with dates; Blue Cross plans differ by regional organisation, so name the regional plan compared.</t>
        </is>
      </c>
      <c r="AD175" s="36" t="inlineStr">
        <is>
          <t>Semi-annual</t>
        </is>
      </c>
      <c r="AE175" s="38" t="n"/>
      <c r="AF175" s="38" t="n"/>
      <c r="AG175" s="38" t="n"/>
    </row>
    <row r="176" ht="46.25" customHeight="1" s="22">
      <c r="A176" s="36">
        <f>"B"&amp;TEXT(ROW()-1,"0000")</f>
        <v/>
      </c>
      <c r="B176" s="38" t="inlineStr">
        <is>
          <t>Planned</t>
        </is>
      </c>
      <c r="C176" s="36" t="n">
        <v>4</v>
      </c>
      <c r="D176" s="36" t="inlineStr">
        <is>
          <t>Health &amp; dental insurance</t>
        </is>
      </c>
      <c r="E176" s="36" t="inlineStr">
        <is>
          <t>Life events</t>
        </is>
      </c>
      <c r="F176" s="25" t="inlineStr">
        <is>
          <t>Aging Out of Your Parents' Benefits Plan: Health Insurance for Young Adults</t>
        </is>
      </c>
      <c r="G176" s="36" t="inlineStr">
        <is>
          <t>https://instasure.ca/guides/health-insurance-after-aging-out-of-parents-plan/</t>
        </is>
      </c>
      <c r="H176" s="36" t="inlineStr">
        <is>
          <t>aging out of parents health insurance canada</t>
        </is>
      </c>
      <c r="I176" s="41">
        <f>IFERROR(INDEX('Nationwide KWs'!$D$2:$D$168,MATCH(H176,'Nationwide KWs'!$A$2:$A$168,0)),IFERROR(INDEX('Provincial KWs'!$E$2:$E$137,MATCH(H176,'Provincial KWs'!$A$2:$A$137,0)),IFERROR(INDEX('City KWs'!$F$2:$F$419,MATCH(H176,'City KWs'!$A$2:$A$419,0)),"")))</f>
        <v/>
      </c>
      <c r="J176" s="36" t="inlineStr">
        <is>
          <t>Niche</t>
        </is>
      </c>
      <c r="K176" s="25" t="inlineStr">
        <is>
          <t>dependent age limit health benefits; student health plan canada; health insurance at 25 canada; full time student dependent coverage; health insurance for young adults canada</t>
        </is>
      </c>
      <c r="L176" s="36" t="inlineStr">
        <is>
          <t>Nationwide</t>
        </is>
      </c>
      <c r="M176" s="36" t="inlineStr">
        <is>
          <t>commercial</t>
        </is>
      </c>
      <c r="N176" s="36" t="inlineStr">
        <is>
          <t>MOFU</t>
        </is>
      </c>
      <c r="O176" s="25" t="inlineStr">
        <is>
          <t>Aging Out of Parents' Health Insurance in Canada</t>
        </is>
      </c>
      <c r="P176" s="36">
        <f>LEN(O176)</f>
        <v/>
      </c>
      <c r="Q176" s="25" t="inlineStr">
        <is>
          <t>Aging out of your parents' health plan? Typical dependant age limits, student plans, OHIP+ in Ontario, first-job benefits and individual plans compared.</t>
        </is>
      </c>
      <c r="R176" s="36">
        <f>LEN(Q176)</f>
        <v/>
      </c>
      <c r="S176" s="36">
        <f>IF(H176="","",IF(ISNUMBER(SEARCH(SUBSTITUTE(H176,"-"," "),SUBSTITUTE(O176,"-"," "))),"Yes","Check"))</f>
        <v/>
      </c>
      <c r="T176" s="25" t="inlineStr">
        <is>
          <t>When you lose coverage under a parent's plan (quick answer) | Typical dependant age limits and the full-time student rule | Student union health and dental plans | OHIP+ and other provincial programs for young adults | First-job benefits and probation periods | Individual plans for young adults: cost and options | A checklist for the month you age out</t>
        </is>
      </c>
      <c r="U176" s="25" t="inlineStr">
        <is>
          <t>At what age do you come off your parents' benefits? | Can I stay on my parents' plan if I'm a student? | Do I need health insurance at 25 in Canada? | Can I opt out of my student health plan?</t>
        </is>
      </c>
      <c r="V176" s="25" t="inlineStr">
        <is>
          <t>Month-of-aging-out checklist and a table of typical dependant age limits (student and non-student) with a pointer to check the parent's booklet.</t>
        </is>
      </c>
      <c r="W176" s="25" t="inlineStr">
        <is>
          <t>/health-dental-insurance/; /guides/ohip-plus-explained/; /guides/private-health-insurance-cost-canada/</t>
        </is>
      </c>
      <c r="X176" s="25" t="inlineStr">
        <is>
          <t>Instant health &amp; dental estimate (/health-dental-insurance/)</t>
        </is>
      </c>
      <c r="Y176" s="36" t="inlineStr">
        <is>
          <t>Article; FAQPage; BreadcrumbList</t>
        </is>
      </c>
      <c r="Z176" s="37" t="n">
        <v>1200</v>
      </c>
      <c r="AA176" s="25" t="inlineStr">
        <is>
          <t>No competitor coverage seen.</t>
        </is>
      </c>
      <c r="AB176" s="25" t="inlineStr">
        <is>
          <t>Focus keyword in the H1, slug, meta title, first 100 words and first H2; the 40 to 60 word answer should give the typical age ranges and the student exception. Use the checklist and age-limit table; anchor 'OHIP+' to the OHIP+ explainer. Licensed reviewer; review annually.</t>
        </is>
      </c>
      <c r="AC176" s="25" t="inlineStr">
        <is>
          <t>Dependant age limits vary by plan; present them as typical and tell readers to check their booklet; verify the OHIP+ rule on ontario.ca.</t>
        </is>
      </c>
      <c r="AD176" s="36" t="inlineStr">
        <is>
          <t>Annual</t>
        </is>
      </c>
      <c r="AE176" s="38" t="n"/>
      <c r="AF176" s="38" t="n"/>
      <c r="AG176" s="38" t="n"/>
    </row>
    <row r="177" ht="46.25" customHeight="1" s="22">
      <c r="A177" s="36">
        <f>"B"&amp;TEXT(ROW()-1,"0000")</f>
        <v/>
      </c>
      <c r="B177" s="38" t="inlineStr">
        <is>
          <t>Planned</t>
        </is>
      </c>
      <c r="C177" s="36" t="n">
        <v>4</v>
      </c>
      <c r="D177" s="36" t="inlineStr">
        <is>
          <t>Health &amp; dental insurance</t>
        </is>
      </c>
      <c r="E177" s="36" t="inlineStr">
        <is>
          <t>Local (province)</t>
        </is>
      </c>
      <c r="F177" s="25" t="inlineStr">
        <is>
          <t>Quebec Prescription Drug Insurance: RAMQ vs Private Plans (English Guide)</t>
        </is>
      </c>
      <c r="G177" s="36" t="inlineStr">
        <is>
          <t>https://instasure.ca/guides/quebec-ramq-prescription-drug-insurance/</t>
        </is>
      </c>
      <c r="H177" s="36" t="inlineStr">
        <is>
          <t>ramq prescription drug insurance</t>
        </is>
      </c>
      <c r="I177" s="41">
        <f>IFERROR(INDEX('Nationwide KWs'!$D$2:$D$168,MATCH(H177,'Nationwide KWs'!$A$2:$A$168,0)),IFERROR(INDEX('Provincial KWs'!$E$2:$E$137,MATCH(H177,'Provincial KWs'!$A$2:$A$137,0)),IFERROR(INDEX('City KWs'!$F$2:$F$419,MATCH(H177,'City KWs'!$A$2:$A$419,0)),"")))</f>
        <v/>
      </c>
      <c r="J177" s="36" t="inlineStr">
        <is>
          <t>Low</t>
        </is>
      </c>
      <c r="K177" s="25" t="inlineStr">
        <is>
          <t>quebec public prescription drug insurance; ramq drug insurance premium; mandatory drug insurance quebec; ramq vs group insurance; quebec drug insurance deductible</t>
        </is>
      </c>
      <c r="L177" s="36" t="inlineStr">
        <is>
          <t>Province: Quebec</t>
        </is>
      </c>
      <c r="M177" s="36" t="inlineStr">
        <is>
          <t>informational</t>
        </is>
      </c>
      <c r="N177" s="36" t="inlineStr">
        <is>
          <t>TOFU</t>
        </is>
      </c>
      <c r="O177" s="25" t="inlineStr">
        <is>
          <t>RAMQ Prescription Drug Insurance vs Private Plans</t>
        </is>
      </c>
      <c r="P177" s="36">
        <f>LEN(O177)</f>
        <v/>
      </c>
      <c r="Q177" s="25" t="inlineStr">
        <is>
          <t>An English guide to Quebec's mandatory drug insurance: when you must join a group plan, how the RAMQ premium and deductible work, and rules for newcomers.</t>
        </is>
      </c>
      <c r="R177" s="36">
        <f>LEN(Q177)</f>
        <v/>
      </c>
      <c r="S177" s="36">
        <f>IF(H177="","",IF(ISNUMBER(SEARCH(SUBSTITUTE(H177,"-"," "),SUBSTITUTE(O177,"-"," "))),"Yes","Check"))</f>
        <v/>
      </c>
      <c r="T177" s="25" t="inlineStr">
        <is>
          <t>How Quebec drug insurance works (quick answer) | Why drug coverage is mandatory in Quebec | When you must join a group plan instead of RAMQ | RAMQ premium, deductible and co-insurance | Spouses and children: who covers whom | Newcomers and people moving to Quebec | What this means for private health plans</t>
        </is>
      </c>
      <c r="U177" s="25" t="inlineStr">
        <is>
          <t>Is drug insurance mandatory in Quebec? | Can I choose RAMQ instead of my employer's plan? | How is the RAMQ drug premium paid? | Do children get free drug coverage in Quebec?</t>
        </is>
      </c>
      <c r="V177" s="25" t="inlineStr">
        <is>
          <t>Decision flowchart (group plan available? spouse's plan? age 65 or over?) showing whether a Quebec resident must use a private group plan or the RAMQ public plan, with current premium and deductible figures linked to RAMQ and dated.</t>
        </is>
      </c>
      <c r="W177" s="25" t="inlineStr">
        <is>
          <t>/health-dental-insurance/quebec/; /guides/prescription-drug-coverage-by-province/; /group-benefits/quebec/</t>
        </is>
      </c>
      <c r="X177" s="25" t="inlineStr">
        <is>
          <t>Join the Quebec waitlist (/health-dental-insurance/quebec/)</t>
        </is>
      </c>
      <c r="Y177" s="36" t="inlineStr">
        <is>
          <t>Article; FAQPage; BreadcrumbList</t>
        </is>
      </c>
      <c r="Z177" s="37" t="n">
        <v>1500</v>
      </c>
      <c r="AA177" s="25" t="inlineStr">
        <is>
          <t>No English competitor coverage seen; PolicyAdvisor has no Quebec pages.</t>
        </is>
      </c>
      <c r="AB177" s="25" t="inlineStr">
        <is>
          <t>Focus keyword in the H1, slug, meta title, first 100 words and first H2; the 40 to 60 word answer should state the mandatory-coverage rule. Render the flowchart as a numbered list plus image (alt: 'Quebec drug insurance: RAMQ or group plan'); anchor 'group benefits in Quebec' to /group-benefits/quebec/. RAMQ sources, licensed reviewer, annual review; English only until AMF registration.</t>
        </is>
      </c>
      <c r="AC177" s="25" t="inlineStr">
        <is>
          <t>Verify all RAMQ figures (premium maximum, deductible, co-insurance) at ramq.gouv.qc.ca and date them. Quebec leads go to the waitlist until AMF registration, so no quote CTA that promises service in Quebec.</t>
        </is>
      </c>
      <c r="AD177" s="36" t="inlineStr">
        <is>
          <t>Annual</t>
        </is>
      </c>
      <c r="AE177" s="38" t="n"/>
      <c r="AF177" s="38" t="n"/>
      <c r="AG177" s="38" t="n"/>
    </row>
    <row r="178" ht="46.25" customHeight="1" s="22">
      <c r="A178" s="36">
        <f>"B"&amp;TEXT(ROW()-1,"0000")</f>
        <v/>
      </c>
      <c r="B178" s="38" t="inlineStr">
        <is>
          <t>Published</t>
        </is>
      </c>
      <c r="C178" s="36" t="n">
        <v>1</v>
      </c>
      <c r="D178" s="36" t="inlineStr">
        <is>
          <t>Group benefits</t>
        </is>
      </c>
      <c r="E178" s="36" t="inlineStr">
        <is>
          <t>CDCP</t>
        </is>
      </c>
      <c r="F178" s="25" t="inlineStr">
        <is>
          <t>CDCP vs Employer Dental Benefits: Should Small Businesses Still Offer Dental?</t>
        </is>
      </c>
      <c r="G178" s="36" t="inlineStr">
        <is>
          <t>https://instasure.ca/guides/cdcp-vs-employer-dental-benefits/</t>
        </is>
      </c>
      <c r="H178" s="36" t="inlineStr">
        <is>
          <t>cdcp vs employer benefits</t>
        </is>
      </c>
      <c r="I178" s="41">
        <f>IFERROR(INDEX('Nationwide KWs'!$D$2:$D$168,MATCH(H178,'Nationwide KWs'!$A$2:$A$168,0)),IFERROR(INDEX('Provincial KWs'!$E$2:$E$137,MATCH(H178,'Provincial KWs'!$A$2:$A$137,0)),IFERROR(INDEX('City KWs'!$F$2:$F$419,MATCH(H178,'City KWs'!$A$2:$A$419,0)),"")))</f>
        <v/>
      </c>
      <c r="J178" s="36" t="inlineStr">
        <is>
          <t>Low</t>
        </is>
      </c>
      <c r="K178" s="25" t="inlineStr">
        <is>
          <t>canadian dental care plan and employer benefits; can employees opt out of dental for cdcp; cdcp access to dental insurance through employer; should my business drop dental coverage; health spending account and cdcp eligibility</t>
        </is>
      </c>
      <c r="L178" s="36" t="inlineStr">
        <is>
          <t>Nationwide</t>
        </is>
      </c>
      <c r="M178" s="36" t="inlineStr">
        <is>
          <t>commercial</t>
        </is>
      </c>
      <c r="N178" s="36" t="inlineStr">
        <is>
          <t>MOFU</t>
        </is>
      </c>
      <c r="O178" s="25" t="inlineStr">
        <is>
          <t>CDCP vs Employer Benefits: Should You Keep Dental?</t>
        </is>
      </c>
      <c r="P178" s="36">
        <f>LEN(O178)</f>
        <v/>
      </c>
      <c r="Q178" s="25" t="inlineStr">
        <is>
          <t>CDCP vs employer benefits: how offering dental affects your staff's CDCP eligibility, the risks of dropping coverage and other plan designs to consider.</t>
        </is>
      </c>
      <c r="R178" s="36">
        <f>LEN(Q178)</f>
        <v/>
      </c>
      <c r="S178" s="36">
        <f>IF(H178="","",IF(ISNUMBER(SEARCH(SUBSTITUTE(H178,"-"," "),SUBSTITUTE(O178,"-"," "))),"Yes","Check"))</f>
        <v/>
      </c>
      <c r="T178" s="25" t="inlineStr">
        <is>
          <t>Does the CDCP change whether you should offer dental? (quick answer) | How employer 'access' affects employee CDCP eligibility | Who on your team might qualify for the CDCP | Costs and risks of dropping dental | Alternatives: HSA-only dental, voluntary dental, tiered plans | Communicating changes to employees | Decision checklist for employers</t>
        </is>
      </c>
      <c r="U178" s="25" t="inlineStr">
        <is>
          <t>Can my employees use the CDCP if I offer dental benefits? | If an employee waives our dental plan, can they get the CDCP? | Will dropping dental save my business money? | Is dental through a health spending account considered access to dental insurance?</t>
        </is>
      </c>
      <c r="V178" s="25" t="inlineStr">
        <is>
          <t>Employer decision checklist plus a table of plan designs (insured dental, HSA-only, no dental) showing the likely effect on employee CDCP eligibility, each tied to the canada.ca definition.</t>
        </is>
      </c>
      <c r="W178" s="25" t="inlineStr">
        <is>
          <t>/group-benefits/; /guides/canadian-dental-care-plan-eligibility/; /guides/private-dental-insurance-vs-cdcp/; /guides/health-spending-account-small-business/</t>
        </is>
      </c>
      <c r="X178" s="25" t="inlineStr">
        <is>
          <t>Request a plan review with a licensed benefits advisor (/group-benefits/)</t>
        </is>
      </c>
      <c r="Y178" s="36" t="inlineStr">
        <is>
          <t>Article; FAQPage; BreadcrumbList</t>
        </is>
      </c>
      <c r="Z178" s="37" t="n">
        <v>1600</v>
      </c>
      <c r="AA178" s="25" t="inlineStr">
        <is>
          <t>No competitor coverage seen; existing CDCP content (dental clinics and the Instasure consumer guide) is written for individuals, not employers.</t>
        </is>
      </c>
      <c r="AB178" s="25" t="inlineStr">
        <is>
          <t>Focus keyword in the H1, slug, meta title, first 100 words and first H2; the 40 to 60 word answer should explain the access rule from the employer's side. Use the plan-design eligibility table and the checklist; anchor 'CDCP eligibility' to the eligibility guide. canada.ca sources, licensed benefits reviewer, refresh on rule change.</t>
        </is>
      </c>
      <c r="AC178" s="25" t="inlineStr">
        <is>
          <t>The 'access to dental insurance' definition, including how waivers and HSAs are treated, must be verified on canada.ca before publishing; do not advise employers to drop coverage.</t>
        </is>
      </c>
      <c r="AD178" s="36" t="inlineStr">
        <is>
          <t>On rule change</t>
        </is>
      </c>
      <c r="AE178" s="38" t="inlineStr">
        <is>
          <t>Michael Le Chi</t>
        </is>
      </c>
      <c r="AF178" s="38" t="n"/>
      <c r="AG178" s="38" t="inlineStr">
        <is>
          <t>2026-10-12</t>
        </is>
      </c>
    </row>
    <row r="179" ht="46.25" customHeight="1" s="22">
      <c r="A179" s="36">
        <f>"B"&amp;TEXT(ROW()-1,"0000")</f>
        <v/>
      </c>
      <c r="B179" s="38" t="inlineStr">
        <is>
          <t>Planned</t>
        </is>
      </c>
      <c r="C179" s="36" t="n">
        <v>1</v>
      </c>
      <c r="D179" s="36" t="inlineStr">
        <is>
          <t>Group benefits</t>
        </is>
      </c>
      <c r="E179" s="36" t="inlineStr">
        <is>
          <t>Cost &amp; pricing</t>
        </is>
      </c>
      <c r="F179" s="25" t="inlineStr">
        <is>
          <t>Group Benefits Renewal Increase: Why Your Premiums Went Up and How to Respond</t>
        </is>
      </c>
      <c r="G179" s="36" t="inlineStr">
        <is>
          <t>https://instasure.ca/guides/group-benefits-renewal-increase/</t>
        </is>
      </c>
      <c r="H179" s="36" t="inlineStr">
        <is>
          <t>group benefits renewal increase</t>
        </is>
      </c>
      <c r="I179" s="41">
        <f>IFERROR(INDEX('Nationwide KWs'!$D$2:$D$168,MATCH(H179,'Nationwide KWs'!$A$2:$A$168,0)),IFERROR(INDEX('Provincial KWs'!$E$2:$E$137,MATCH(H179,'Provincial KWs'!$A$2:$A$137,0)),IFERROR(INDEX('City KWs'!$F$2:$F$419,MATCH(H179,'City KWs'!$A$2:$A$419,0)),"")))</f>
        <v/>
      </c>
      <c r="J179" s="36" t="inlineStr">
        <is>
          <t>Niche</t>
        </is>
      </c>
      <c r="K179" s="25" t="inlineStr">
        <is>
          <t>group benefits renewal negotiation; why did my group benefits go up; switching group benefits provider; group benefits renewal report explained; pooling and large claims group benefits</t>
        </is>
      </c>
      <c r="L179" s="36" t="inlineStr">
        <is>
          <t>Nationwide</t>
        </is>
      </c>
      <c r="M179" s="36" t="inlineStr">
        <is>
          <t>commercial</t>
        </is>
      </c>
      <c r="N179" s="36" t="inlineStr">
        <is>
          <t>BOFU</t>
        </is>
      </c>
      <c r="O179" s="25" t="inlineStr">
        <is>
          <t>Group Benefits Renewal Increase: Why and What to Do</t>
        </is>
      </c>
      <c r="P179" s="36">
        <f>LEN(O179)</f>
        <v/>
      </c>
      <c r="Q179" s="25" t="inlineStr">
        <is>
          <t>Why group benefits renewals go up, how to read the renewal report, plan-design levers that cut cost, and when to market your plan to other carriers.</t>
        </is>
      </c>
      <c r="R179" s="36">
        <f>LEN(Q179)</f>
        <v/>
      </c>
      <c r="S179" s="36">
        <f>IF(H179="","",IF(ISNUMBER(SEARCH(SUBSTITUTE(H179,"-"," "),SUBSTITUTE(O179,"-"," "))),"Yes","Check"))</f>
        <v/>
      </c>
      <c r="T179" s="25" t="inlineStr">
        <is>
          <t>Why group benefit premiums rise at renewal (quick answer) | Reading your renewal: claims, trend and reserves | Pooled vs experience-rated small groups | Plan-design levers that cut cost without gutting coverage | Marketing your plan: when switching carriers makes sense | Protecting employees with existing claims when you switch | Renewal checklist and timeline</t>
        </is>
      </c>
      <c r="U179" s="25" t="inlineStr">
        <is>
          <t>Why did my group benefits increase so much? | Can I negotiate my group benefits renewal? | Will employees lose coverage if I switch carriers? | How often should a small business shop its group plan?</t>
        </is>
      </c>
      <c r="V179" s="25" t="inlineStr">
        <is>
          <t>Annotated sample renewal report explaining each line, a 90/60/30-day renewal timeline and a plan-design lever table with modelled savings ranges.</t>
        </is>
      </c>
      <c r="W179" s="25" t="inlineStr">
        <is>
          <t>/group-benefits/; /guides/group-benefits-cost-per-employee/; /guides/hsa-vs-traditional-group-benefits/</t>
        </is>
      </c>
      <c r="X179" s="25" t="inlineStr">
        <is>
          <t>Request a renewal review with a licensed benefits advisor (/group-benefits/)</t>
        </is>
      </c>
      <c r="Y179" s="36" t="inlineStr">
        <is>
          <t>Article; FAQPage; BreadcrumbList</t>
        </is>
      </c>
      <c r="Z179" s="37" t="n">
        <v>1700</v>
      </c>
      <c r="AA179" s="25" t="inlineStr">
        <is>
          <t>No competitor coverage seen.</t>
        </is>
      </c>
      <c r="AB179" s="25" t="inlineStr">
        <is>
          <t>Focus keyword in the H1, slug, meta title, first 100 words and first H2; the 40 to 60 word answer should name claims experience, inflation trend and pooling charges. Use the annotated renewal image (alt: 'Group benefits renewal report explained') and the lever table; put the renewal-review CTA after the checklist. Licensed benefits reviewer; review annually.</t>
        </is>
      </c>
      <c r="AC179" s="25" t="inlineStr">
        <is>
          <t>Savings ranges are estimates; verify switching protections for employees with existing claims against the CLHIA guideline and carrier practice.</t>
        </is>
      </c>
      <c r="AD179" s="36" t="inlineStr">
        <is>
          <t>Annual</t>
        </is>
      </c>
      <c r="AE179" s="38" t="n"/>
      <c r="AF179" s="38" t="n"/>
      <c r="AG179" s="38" t="n"/>
    </row>
    <row r="180" ht="46.25" customHeight="1" s="22">
      <c r="A180" s="36">
        <f>"B"&amp;TEXT(ROW()-1,"0000")</f>
        <v/>
      </c>
      <c r="B180" s="38" t="inlineStr">
        <is>
          <t>Planned</t>
        </is>
      </c>
      <c r="C180" s="36" t="n">
        <v>1</v>
      </c>
      <c r="D180" s="36" t="inlineStr">
        <is>
          <t>Group benefits</t>
        </is>
      </c>
      <c r="E180" s="36" t="inlineStr">
        <is>
          <t>Cost &amp; pricing</t>
        </is>
      </c>
      <c r="F180" s="25" t="inlineStr">
        <is>
          <t>How Much Do Group Benefits Cost per Employee in Canada?</t>
        </is>
      </c>
      <c r="G180" s="36" t="inlineStr">
        <is>
          <t>https://instasure.ca/guides/group-benefits-cost-per-employee/</t>
        </is>
      </c>
      <c r="H180" s="36" t="inlineStr">
        <is>
          <t>group benefits cost per employee</t>
        </is>
      </c>
      <c r="I180" s="41">
        <f>IFERROR(INDEX('Nationwide KWs'!$D$2:$D$168,MATCH(H180,'Nationwide KWs'!$A$2:$A$168,0)),IFERROR(INDEX('Provincial KWs'!$E$2:$E$137,MATCH(H180,'Provincial KWs'!$A$2:$A$137,0)),IFERROR(INDEX('City KWs'!$F$2:$F$419,MATCH(H180,'City KWs'!$A$2:$A$419,0)),"")))</f>
        <v/>
      </c>
      <c r="J180" s="36" t="inlineStr">
        <is>
          <t>Low</t>
        </is>
      </c>
      <c r="K180" s="25" t="inlineStr">
        <is>
          <t>cost of employee benefits for small business; group health insurance cost canada; small business benefits cost per month; group dental cost per employee; employee benefits cost by team size</t>
        </is>
      </c>
      <c r="L180" s="36" t="inlineStr">
        <is>
          <t>Nationwide</t>
        </is>
      </c>
      <c r="M180" s="36" t="inlineStr">
        <is>
          <t>commercial</t>
        </is>
      </c>
      <c r="N180" s="36" t="inlineStr">
        <is>
          <t>MOFU</t>
        </is>
      </c>
      <c r="O180" s="25" t="inlineStr">
        <is>
          <t>Group Benefits Cost per Employee in Canada, by Team Size</t>
        </is>
      </c>
      <c r="P180" s="36">
        <f>LEN(O180)</f>
        <v/>
      </c>
      <c r="Q180" s="25" t="inlineStr">
        <is>
          <t>See modelled group benefits cost per employee by team size and plan design, single vs family rates, cost-sharing options and how to budget for renewals.</t>
        </is>
      </c>
      <c r="R180" s="36">
        <f>LEN(Q180)</f>
        <v/>
      </c>
      <c r="S180" s="36">
        <f>IF(H180="","",IF(ISNUMBER(SEARCH(SUBSTITUTE(H180,"-"," "),SUBSTITUTE(O180,"-"," "))),"Yes","Check"))</f>
        <v/>
      </c>
      <c r="T180" s="25" t="inlineStr">
        <is>
          <t>What group benefits cost per employee (quick answer) | Example monthly costs by team size and plan design | Single vs family coverage rates | What drives cost: age mix, claims, province and industry | Employer vs employee cost sharing | Health spending accounts as a fixed-cost option | How to budget for renewal increases</t>
        </is>
      </c>
      <c r="U180" s="25" t="inlineStr">
        <is>
          <t>How much do group benefits cost per employee per month? | Is group health insurance cheaper for larger teams? | How much should employers contribute to benefits? | Are group benefits a tax-deductible business expense?</t>
        </is>
      </c>
      <c r="V180" s="25" t="inlineStr">
        <is>
          <t>Dated table of modelled monthly cost per employee (single and family) for teams of 3, 10, 25 and 50 under basic, standard and enhanced designs from the Instasure estimate model, plus a cost-sharing calculator.</t>
        </is>
      </c>
      <c r="W180" s="25" t="inlineStr">
        <is>
          <t>/group-benefits/; /group-benefits/ontario/; /guides/health-spending-account-small-business/; /guides/small-business-insurance-cost-canada/</t>
        </is>
      </c>
      <c r="X180" s="25" t="inlineStr">
        <is>
          <t>Instant group benefits estimate (/group-benefits/)</t>
        </is>
      </c>
      <c r="Y180" s="36" t="inlineStr">
        <is>
          <t>Article; FAQPage; BreadcrumbList</t>
        </is>
      </c>
      <c r="Z180" s="37" t="n">
        <v>1800</v>
      </c>
      <c r="AA180" s="25" t="inlineStr">
        <is>
          <t>PolicyAdvisor covers 'Cost of Employee Benefits for Small Businesses' and 'Group Insurance by Employee Size'; neither shows a dated table by team size and plan design with a stated profile.</t>
        </is>
      </c>
      <c r="AB180" s="25" t="inlineStr">
        <is>
          <t>Focus keyword in the H1, slug, meta title, first 100 words and first H2; the 40 to 60 word answer should give an example range for a stated team profile labelled as an estimate. Build the team-size × design table and the cost-sharing calculator; anchor 'group benefits estimate' to /group-benefits/ and 'small business insurance cost' to the existing guide. Licensed benefits reviewer; refresh quarterly.</t>
        </is>
      </c>
      <c r="AC180" s="25" t="inlineStr">
        <is>
          <t>All costs are modelled estimates for stated team profiles and dates and must be checked against carrier small-group rate sheets; no 'cheapest' or 'lowest cost' claims.</t>
        </is>
      </c>
      <c r="AD180" s="36" t="inlineStr">
        <is>
          <t>Quarterly</t>
        </is>
      </c>
      <c r="AE180" s="38" t="n"/>
      <c r="AF180" s="38" t="n"/>
      <c r="AG180" s="38" t="n"/>
    </row>
    <row r="181" ht="46.25" customHeight="1" s="22">
      <c r="A181" s="36">
        <f>"B"&amp;TEXT(ROW()-1,"0000")</f>
        <v/>
      </c>
      <c r="B181" s="38" t="inlineStr">
        <is>
          <t>Planned</t>
        </is>
      </c>
      <c r="C181" s="36" t="n">
        <v>1</v>
      </c>
      <c r="D181" s="36" t="inlineStr">
        <is>
          <t>Group benefits</t>
        </is>
      </c>
      <c r="E181" s="36" t="inlineStr">
        <is>
          <t>Coverage explained</t>
        </is>
      </c>
      <c r="F181" s="25" t="inlineStr">
        <is>
          <t>Health Spending Account for Small Business: How It Works Under CRA Rules</t>
        </is>
      </c>
      <c r="G181" s="36" t="inlineStr">
        <is>
          <t>https://instasure.ca/guides/health-spending-account-small-business/</t>
        </is>
      </c>
      <c r="H181" s="36" t="inlineStr">
        <is>
          <t>health spending account small business</t>
        </is>
      </c>
      <c r="I181" s="41">
        <f>IFERROR(INDEX('Nationwide KWs'!$D$2:$D$168,MATCH(H181,'Nationwide KWs'!$A$2:$A$168,0)),IFERROR(INDEX('Provincial KWs'!$E$2:$E$137,MATCH(H181,'Provincial KWs'!$A$2:$A$137,0)),IFERROR(INDEX('City KWs'!$F$2:$F$419,MATCH(H181,'City KWs'!$A$2:$A$419,0)),"")))</f>
        <v/>
      </c>
      <c r="J181" s="36" t="inlineStr">
        <is>
          <t>Low</t>
        </is>
      </c>
      <c r="K181" s="25" t="inlineStr">
        <is>
          <t>hsa canada small business; health spending account cra rules; health spending account for incorporated business owner; hsa eligible expenses canada; private health services plan small business</t>
        </is>
      </c>
      <c r="L181" s="36" t="inlineStr">
        <is>
          <t>Nationwide</t>
        </is>
      </c>
      <c r="M181" s="36" t="inlineStr">
        <is>
          <t>commercial</t>
        </is>
      </c>
      <c r="N181" s="36" t="inlineStr">
        <is>
          <t>MOFU</t>
        </is>
      </c>
      <c r="O181" s="25" t="inlineStr">
        <is>
          <t>Health Spending Account for Small Business in Canada</t>
        </is>
      </c>
      <c r="P181" s="36">
        <f>LEN(O181)</f>
        <v/>
      </c>
      <c r="Q181" s="25" t="inlineStr">
        <is>
          <t>How a health spending account works for a small business: CRA rules, eligible expenses, owner-only corporations, admin fees and the tax savings.</t>
        </is>
      </c>
      <c r="R181" s="36">
        <f>LEN(Q181)</f>
        <v/>
      </c>
      <c r="S181" s="36">
        <f>IF(H181="","",IF(ISNUMBER(SEARCH(SUBSTITUTE(H181,"-"," "),SUBSTITUTE(O181,"-"," "))),"Yes","Check"))</f>
        <v/>
      </c>
      <c r="T181" s="25" t="inlineStr">
        <is>
          <t>How a health spending account works (quick answer) | CRA rules: the private health services plan test | Eligible expenses | Owner-only corporations and arm's-length employees | Admin fees, carry-forward and unused balances | Tax treatment for employer and employee | Setting one up: the steps</t>
        </is>
      </c>
      <c r="U181" s="25" t="inlineStr">
        <is>
          <t>Can a one-person corporation have a health spending account? | What expenses can a health spending account cover? | Is a health spending account taxable to employees? | What happens to unused HSA money?</t>
        </is>
      </c>
      <c r="V181" s="25" t="inlineStr">
        <is>
          <t>Worked example of an incorporated owner and two employees using an HSA (contribution, admin fee, tax saving vs paying personally), plus an eligible-expense checklist tied to CRA's medical expense list.</t>
        </is>
      </c>
      <c r="W181" s="25" t="inlineStr">
        <is>
          <t>/group-benefits/; /guides/hsa-vs-traditional-group-benefits/; /guides/self-employed-health-insurance-tax-deductible/; /guides/medical-expense-tax-credit-canada/</t>
        </is>
      </c>
      <c r="X181" s="25" t="inlineStr">
        <is>
          <t>Instant group benefits estimate (/group-benefits/)</t>
        </is>
      </c>
      <c r="Y181" s="36" t="inlineStr">
        <is>
          <t>Article; FAQPage; BreadcrumbList</t>
        </is>
      </c>
      <c r="Z181" s="37" t="n">
        <v>1700</v>
      </c>
      <c r="AA181" s="25" t="inlineStr">
        <is>
          <t>PolicyAdvisor's group content covers affordable plans and benefit lists; no HSA-specific explainer on CRA rules surfaced among the researched competitors.</t>
        </is>
      </c>
      <c r="AB181" s="25" t="inlineStr">
        <is>
          <t>Focus keyword in the H1, slug, meta title, first 100 words and first H2; define an HSA in 40 to 60 words including the PHSP test. Use the worked owner-plus-two example and the expense checklist; anchor 'HSA vs traditional group insurance' to the comparison guide. Cite CRA, licensed benefits reviewer plus accountant note, annual review.</t>
        </is>
      </c>
      <c r="AC181" s="25" t="inlineStr">
        <is>
          <t>Verify PHSP conditions, owner and shareholder rules and Quebec provincial tax treatment against CRA and Revenu Québec; label as general tax information.</t>
        </is>
      </c>
      <c r="AD181" s="36" t="inlineStr">
        <is>
          <t>Annual</t>
        </is>
      </c>
      <c r="AE181" s="38" t="n"/>
      <c r="AF181" s="38" t="n"/>
      <c r="AG181" s="38" t="n"/>
    </row>
    <row r="182" ht="46.25" customHeight="1" s="22">
      <c r="A182" s="36">
        <f>"B"&amp;TEXT(ROW()-1,"0000")</f>
        <v/>
      </c>
      <c r="B182" s="38" t="inlineStr">
        <is>
          <t>Planned</t>
        </is>
      </c>
      <c r="C182" s="36" t="n">
        <v>1</v>
      </c>
      <c r="D182" s="36" t="inlineStr">
        <is>
          <t>Group benefits</t>
        </is>
      </c>
      <c r="E182" s="36" t="inlineStr">
        <is>
          <t>How-to</t>
        </is>
      </c>
      <c r="F182" s="25" t="inlineStr">
        <is>
          <t>How to Set Up a Group Benefits Plan for Your Small Business: Step by Step</t>
        </is>
      </c>
      <c r="G182" s="36" t="inlineStr">
        <is>
          <t>https://instasure.ca/guides/how-to-set-up-group-benefits/</t>
        </is>
      </c>
      <c r="H182" s="36" t="inlineStr">
        <is>
          <t>how to set up group benefits</t>
        </is>
      </c>
      <c r="I182" s="41">
        <f>IFERROR(INDEX('Nationwide KWs'!$D$2:$D$168,MATCH(H182,'Nationwide KWs'!$A$2:$A$168,0)),IFERROR(INDEX('Provincial KWs'!$E$2:$E$137,MATCH(H182,'Provincial KWs'!$A$2:$A$137,0)),IFERROR(INDEX('City KWs'!$F$2:$F$419,MATCH(H182,'City KWs'!$A$2:$A$419,0)),"")))</f>
        <v/>
      </c>
      <c r="J182" s="36" t="inlineStr">
        <is>
          <t>Low</t>
        </is>
      </c>
      <c r="K182" s="25" t="inlineStr">
        <is>
          <t>how to start a group benefits plan; group benefits employee census; group benefits participation requirements; group benefits waiting period for new employees; group benefits enrolment process</t>
        </is>
      </c>
      <c r="L182" s="36" t="inlineStr">
        <is>
          <t>Nationwide</t>
        </is>
      </c>
      <c r="M182" s="36" t="inlineStr">
        <is>
          <t>transactional</t>
        </is>
      </c>
      <c r="N182" s="36" t="inlineStr">
        <is>
          <t>BOFU</t>
        </is>
      </c>
      <c r="O182" s="25" t="inlineStr">
        <is>
          <t>How to Set Up Group Benefits for a Small Business</t>
        </is>
      </c>
      <c r="P182" s="36">
        <f>LEN(O182)</f>
        <v/>
      </c>
      <c r="Q182" s="25" t="inlineStr">
        <is>
          <t>Set up group benefits in six steps: budget, employee census, plan design and eligibility, carrier quotes, enrolment and launch. Includes a census template.</t>
        </is>
      </c>
      <c r="R182" s="36">
        <f>LEN(Q182)</f>
        <v/>
      </c>
      <c r="S182" s="36">
        <f>IF(H182="","",IF(ISNUMBER(SEARCH(SUBSTITUTE(H182,"-"," "),SUBSTITUTE(O182,"-"," "))),"Yes","Check"))</f>
        <v/>
      </c>
      <c r="T182" s="25" t="inlineStr">
        <is>
          <t>How to set up group benefits (quick answer) | Step 1: Set a budget and goals | Step 2: Gather your employee census | Step 3: Choose plan design and eligibility rules | Step 4: Compare carrier quotes with an advisor | Step 5: Enrol employees and handle waivers | Step 6: Launch, communicate and review at renewal | Timeline: from first call to first claim</t>
        </is>
      </c>
      <c r="U182" s="25" t="inlineStr">
        <is>
          <t>How long does it take to set up group benefits? | What information do carriers need for a group benefits quote? | What participation rate do insurers require? | Can I set a waiting period for new employees?</t>
        </is>
      </c>
      <c r="V182" s="25" t="inlineStr">
        <is>
          <t>Downloadable employee-census template, a six-step checklist and a typical timeline from first call to first claim.</t>
        </is>
      </c>
      <c r="W182" s="25" t="inlineStr">
        <is>
          <t>/group-benefits/; /guides/group-benefits-cost-per-employee/; /guides/group-benefits-for-1-to-10-employees/; /guides/what-is-included-in-group-benefits/</t>
        </is>
      </c>
      <c r="X182" s="25" t="inlineStr">
        <is>
          <t>Instant group benefits estimate, then a licensed benefits advisor (/group-benefits/)</t>
        </is>
      </c>
      <c r="Y182" s="36" t="inlineStr">
        <is>
          <t>Article; HowTo; FAQPage; BreadcrumbList</t>
        </is>
      </c>
      <c r="Z182" s="37" t="n">
        <v>1600</v>
      </c>
      <c r="AA182" s="25" t="inlineStr">
        <is>
          <t>PolicyAdvisor covers affordable small-business plans and top benefits; no step-by-step setup guide with a census template surfaced.</t>
        </is>
      </c>
      <c r="AB182" s="25" t="inlineStr">
        <is>
          <t>Exact query in the H1 and meta title, focus keyword in the slug, first 100 words and first H2, and a 40 to 60 word summary of the six steps. Mark up steps as HowTo, offer the census template as a download and place the estimate CTA after step 1; anchor 'group benefits cost' to the cost guide. Licensed benefits reviewer; review annually.</t>
        </is>
      </c>
      <c r="AC182" s="25" t="inlineStr">
        <is>
          <t>Participation minimums and timelines vary by carrier, so label them typical; collecting employee data needs privacy notices (PIPEDA; Quebec Law 25).</t>
        </is>
      </c>
      <c r="AD182" s="36" t="inlineStr">
        <is>
          <t>Annual</t>
        </is>
      </c>
      <c r="AE182" s="38" t="n"/>
      <c r="AF182" s="38" t="n"/>
      <c r="AG182" s="38" t="n"/>
    </row>
    <row r="183" ht="46.25" customHeight="1" s="22">
      <c r="A183" s="36">
        <f>"B"&amp;TEXT(ROW()-1,"0000")</f>
        <v/>
      </c>
      <c r="B183" s="38" t="inlineStr">
        <is>
          <t>Planned</t>
        </is>
      </c>
      <c r="C183" s="36" t="n">
        <v>1</v>
      </c>
      <c r="D183" s="36" t="inlineStr">
        <is>
          <t>Group benefits</t>
        </is>
      </c>
      <c r="E183" s="36" t="inlineStr">
        <is>
          <t>Personas</t>
        </is>
      </c>
      <c r="F183" s="25" t="inlineStr">
        <is>
          <t>Group Benefits for Small Teams of 1 to 10 Employees: What's Possible</t>
        </is>
      </c>
      <c r="G183" s="36" t="inlineStr">
        <is>
          <t>https://instasure.ca/guides/group-benefits-for-1-to-10-employees/</t>
        </is>
      </c>
      <c r="H183" s="36" t="inlineStr">
        <is>
          <t>group benefits for 2 employees</t>
        </is>
      </c>
      <c r="I183" s="41">
        <f>IFERROR(INDEX('Nationwide KWs'!$D$2:$D$168,MATCH(H183,'Nationwide KWs'!$A$2:$A$168,0)),IFERROR(INDEX('Provincial KWs'!$E$2:$E$137,MATCH(H183,'Provincial KWs'!$A$2:$A$137,0)),IFERROR(INDEX('City KWs'!$F$2:$F$419,MATCH(H183,'City KWs'!$A$2:$A$419,0)),"")))</f>
        <v/>
      </c>
      <c r="J183" s="36" t="inlineStr">
        <is>
          <t>Low</t>
        </is>
      </c>
      <c r="K183" s="25" t="inlineStr">
        <is>
          <t>can a one person company get group benefits; minimum employees for group insurance canada; group health insurance for 5 employees; association group plans for small business; pooled benefits plan small business</t>
        </is>
      </c>
      <c r="L183" s="36" t="inlineStr">
        <is>
          <t>Nationwide</t>
        </is>
      </c>
      <c r="M183" s="36" t="inlineStr">
        <is>
          <t>commercial</t>
        </is>
      </c>
      <c r="N183" s="36" t="inlineStr">
        <is>
          <t>MOFU</t>
        </is>
      </c>
      <c r="O183" s="25" t="inlineStr">
        <is>
          <t>Group Benefits for 2 Employees and Small Teams Up to 10</t>
        </is>
      </c>
      <c r="P183" s="36">
        <f>LEN(O183)</f>
        <v/>
      </c>
      <c r="Q183" s="25" t="inlineStr">
        <is>
          <t>Group benefits for 2 employees and teams up to 10: minimum group sizes, owner-only options, association plans and HSAs, with a starter plan and cost.</t>
        </is>
      </c>
      <c r="R183" s="36">
        <f>LEN(Q183)</f>
        <v/>
      </c>
      <c r="S183" s="36">
        <f>IF(H183="","",IF(ISNUMBER(SEARCH(SUBSTITUTE(H183,"-"," "),SUBSTITUTE(O183,"-"," "))),"Yes","Check"))</f>
        <v/>
      </c>
      <c r="T183" s="25" t="inlineStr">
        <is>
          <t>Can a business with 1 to 10 employees offer group benefits? (quick answer) | Minimum group sizes and owner-only options | Small-group underwriting: health questions and pooling | Association plans vs your own plan | Health spending accounts for very small teams | Participation and eligibility rules | A starter plan design for five employees</t>
        </is>
      </c>
      <c r="U183" s="25" t="inlineStr">
        <is>
          <t>How many employees do you need for group benefits in Canada? | Can I get group benefits for just myself? | Do small groups need medical questionnaires? | What is a pooled benefits plan?</t>
        </is>
      </c>
      <c r="V183" s="25" t="inlineStr">
        <is>
          <t>Decision tree by team size (1, 2 to 3, 4 to 10) showing realistic plan options, plus a sample starter plan design with modelled monthly cost.</t>
        </is>
      </c>
      <c r="W183" s="25" t="inlineStr">
        <is>
          <t>/group-benefits/; /guides/group-benefits-cost-per-employee/; /guides/health-spending-account-small-business/; /guides/how-to-set-up-group-benefits/</t>
        </is>
      </c>
      <c r="X183" s="25" t="inlineStr">
        <is>
          <t>Instant group benefits estimate (/group-benefits/)</t>
        </is>
      </c>
      <c r="Y183" s="36" t="inlineStr">
        <is>
          <t>Article; FAQPage; BreadcrumbList</t>
        </is>
      </c>
      <c r="Z183" s="37" t="n">
        <v>1600</v>
      </c>
      <c r="AA183" s="25" t="inlineStr">
        <is>
          <t>PolicyAdvisor ('Group Insurance by Employee Size') and Manulife (plans for 2 to 50 employees, per PolicyAdvisor's review) cover sizing; no decision tree for teams under 10 surfaced.</t>
        </is>
      </c>
      <c r="AB183" s="25" t="inlineStr">
        <is>
          <t>Focus keyword in the H1, slug, meta title, first 100 words and first H2; the 40 to 60 word answer should say many carriers write plans from two or three lives and HSAs work for one. Put the decision tree first and the starter plan after; anchor 'set up group benefits' to the how-to guide. Licensed benefits reviewer; review annually.</t>
        </is>
      </c>
      <c r="AC183" s="25" t="inlineStr">
        <is>
          <t>Minimum group sizes and underwriting rules vary by carrier; verify with carriers before stating numbers, and don't name association plans as 'best'.</t>
        </is>
      </c>
      <c r="AD183" s="36" t="inlineStr">
        <is>
          <t>Annual</t>
        </is>
      </c>
      <c r="AE183" s="38" t="n"/>
      <c r="AF183" s="38" t="n"/>
      <c r="AG183" s="38" t="n"/>
    </row>
    <row r="184" ht="35.05" customHeight="1" s="22">
      <c r="A184" s="36">
        <f>"B"&amp;TEXT(ROW()-1,"0000")</f>
        <v/>
      </c>
      <c r="B184" s="38" t="inlineStr">
        <is>
          <t>Planned</t>
        </is>
      </c>
      <c r="C184" s="36" t="n">
        <v>2</v>
      </c>
      <c r="D184" s="36" t="inlineStr">
        <is>
          <t>Group benefits</t>
        </is>
      </c>
      <c r="E184" s="36" t="inlineStr">
        <is>
          <t>Comparisons</t>
        </is>
      </c>
      <c r="F184" s="25" t="inlineStr">
        <is>
          <t>Health Spending Account vs Traditional Group Insurance vs a Hybrid Plan</t>
        </is>
      </c>
      <c r="G184" s="36" t="inlineStr">
        <is>
          <t>https://instasure.ca/guides/hsa-vs-traditional-group-benefits/</t>
        </is>
      </c>
      <c r="H184" s="36" t="inlineStr">
        <is>
          <t>health spending account vs group insurance</t>
        </is>
      </c>
      <c r="I184" s="41">
        <f>IFERROR(INDEX('Nationwide KWs'!$D$2:$D$168,MATCH(H184,'Nationwide KWs'!$A$2:$A$168,0)),IFERROR(INDEX('Provincial KWs'!$E$2:$E$137,MATCH(H184,'Provincial KWs'!$A$2:$A$137,0)),IFERROR(INDEX('City KWs'!$F$2:$F$419,MATCH(H184,'City KWs'!$A$2:$A$419,0)),"")))</f>
        <v/>
      </c>
      <c r="J184" s="36" t="inlineStr">
        <is>
          <t>Niche</t>
        </is>
      </c>
      <c r="K184" s="25" t="inlineStr">
        <is>
          <t>hsa vs group health insurance; hybrid benefits plan small business; cost plus plan vs insured plan; group benefits plan design options; flexible benefits for small business</t>
        </is>
      </c>
      <c r="L184" s="36" t="inlineStr">
        <is>
          <t>Nationwide</t>
        </is>
      </c>
      <c r="M184" s="36" t="inlineStr">
        <is>
          <t>commercial</t>
        </is>
      </c>
      <c r="N184" s="36" t="inlineStr">
        <is>
          <t>MOFU</t>
        </is>
      </c>
      <c r="O184" s="25" t="inlineStr">
        <is>
          <t>Health Spending Account vs Group Insurance: Compared</t>
        </is>
      </c>
      <c r="P184" s="36">
        <f>LEN(O184)</f>
        <v/>
      </c>
      <c r="Q184" s="25" t="inlineStr">
        <is>
          <t>Health spending account vs group insurance vs a hybrid: how each handles a large drug claim, cost and recruiting, with three designs for a 10-person firm.</t>
        </is>
      </c>
      <c r="R184" s="36">
        <f>LEN(Q184)</f>
        <v/>
      </c>
      <c r="S184" s="36">
        <f>IF(H184="","",IF(ISNUMBER(SEARCH(SUBSTITUTE(H184,"-"," "),SUBSTITUTE(O184,"-"," "))),"Yes","Check"))</f>
        <v/>
      </c>
      <c r="T184" s="25" t="inlineStr">
        <is>
          <t>HSA, insured plan or hybrid? (quick answer) | How each design handles a big drug or dental claim | Cost predictability vs protection | Employee perception and recruiting | Worked example: three designs for a 10-person firm | When to move from an HSA to an insured plan | Decision checklist</t>
        </is>
      </c>
      <c r="U184" s="25" t="inlineStr">
        <is>
          <t>Is a health spending account better than group insurance? | What is a hybrid benefits plan? | Does an HSA cover catastrophic drug costs? | Can I add an HSA to my existing group plan?</t>
        </is>
      </c>
      <c r="V184" s="25" t="inlineStr">
        <is>
          <t>Three-design comparison for a 10-person firm showing annual employer cost and employee outcome in a routine year and in a year with a large drug claim.</t>
        </is>
      </c>
      <c r="W184" s="25" t="inlineStr">
        <is>
          <t>/group-benefits/; /guides/health-spending-account-small-business/; /guides/group-benefits-cost-per-employee/</t>
        </is>
      </c>
      <c r="X184" s="25" t="inlineStr">
        <is>
          <t>Instant group benefits estimate (/group-benefits/)</t>
        </is>
      </c>
      <c r="Y184" s="36" t="inlineStr">
        <is>
          <t>Article; FAQPage; BreadcrumbList</t>
        </is>
      </c>
      <c r="Z184" s="37" t="n">
        <v>1500</v>
      </c>
      <c r="AA184" s="25" t="inlineStr">
        <is>
          <t>No competitor coverage seen comparing plan designs with a worked claims scenario.</t>
        </is>
      </c>
      <c r="AB184" s="25" t="inlineStr">
        <is>
          <t>Focus keyword in the H1, slug, meta title, first 100 words and first H2; the 40 to 60 word answer should frame the choice as predictability vs protection. Use the three-design table with both scenarios and the decision checklist; anchor 'how HSAs work' to the HSA guide. Licensed benefits reviewer; review annually.</t>
        </is>
      </c>
      <c r="AC184" s="25" t="inlineStr">
        <is>
          <t>Modelled costs are estimates; avoid 'better' claims and verify descriptions of catastrophic drug pooling with carriers.</t>
        </is>
      </c>
      <c r="AD184" s="36" t="inlineStr">
        <is>
          <t>Annual</t>
        </is>
      </c>
      <c r="AE184" s="38" t="n"/>
      <c r="AF184" s="38" t="n"/>
      <c r="AG184" s="38" t="n"/>
    </row>
    <row r="185" ht="35.05" customHeight="1" s="22">
      <c r="A185" s="36">
        <f>"B"&amp;TEXT(ROW()-1,"0000")</f>
        <v/>
      </c>
      <c r="B185" s="38" t="inlineStr">
        <is>
          <t>Planned</t>
        </is>
      </c>
      <c r="C185" s="36" t="n">
        <v>2</v>
      </c>
      <c r="D185" s="36" t="inlineStr">
        <is>
          <t>Group benefits</t>
        </is>
      </c>
      <c r="E185" s="36" t="inlineStr">
        <is>
          <t>Coverage explained</t>
        </is>
      </c>
      <c r="F185" s="25" t="inlineStr">
        <is>
          <t>What Is Included in a Group Benefits Plan? Health, Dental, Life, Disability and More</t>
        </is>
      </c>
      <c r="G185" s="36" t="inlineStr">
        <is>
          <t>https://instasure.ca/guides/what-is-included-in-group-benefits/</t>
        </is>
      </c>
      <c r="H185" s="36" t="inlineStr">
        <is>
          <t>what is included in group benefits</t>
        </is>
      </c>
      <c r="I185" s="41">
        <f>IFERROR(INDEX('Nationwide KWs'!$D$2:$D$168,MATCH(H185,'Nationwide KWs'!$A$2:$A$168,0)),IFERROR(INDEX('Provincial KWs'!$E$2:$E$137,MATCH(H185,'Provincial KWs'!$A$2:$A$137,0)),IFERROR(INDEX('City KWs'!$F$2:$F$419,MATCH(H185,'City KWs'!$A$2:$A$419,0)),"")))</f>
        <v/>
      </c>
      <c r="J185" s="36" t="inlineStr">
        <is>
          <t>Low</t>
        </is>
      </c>
      <c r="K185" s="25" t="inlineStr">
        <is>
          <t>group benefits plan canada; what is extended health care; group life and ad&amp;d insurance; group short and long term disability; core vs optional group benefits</t>
        </is>
      </c>
      <c r="L185" s="36" t="inlineStr">
        <is>
          <t>Nationwide</t>
        </is>
      </c>
      <c r="M185" s="36" t="inlineStr">
        <is>
          <t>informational</t>
        </is>
      </c>
      <c r="N185" s="36" t="inlineStr">
        <is>
          <t>TOFU</t>
        </is>
      </c>
      <c r="O185" s="25" t="inlineStr">
        <is>
          <t>What Is Included in Group Benefits? A Plain Guide</t>
        </is>
      </c>
      <c r="P185" s="36">
        <f>LEN(O185)</f>
        <v/>
      </c>
      <c r="Q185" s="25" t="inlineStr">
        <is>
          <t>What is included in a group benefits plan: extended health, dental, group life and AD&amp;D, disability, HSAs and EAPs, with an annotated sample booklet page.</t>
        </is>
      </c>
      <c r="R185" s="36">
        <f>LEN(Q185)</f>
        <v/>
      </c>
      <c r="S185" s="36">
        <f>IF(H185="","",IF(ISNUMBER(SEARCH(SUBSTITUTE(H185,"-"," "),SUBSTITUTE(O185,"-"," "))),"Yes","Check"))</f>
        <v/>
      </c>
      <c r="T185" s="25" t="inlineStr">
        <is>
          <t>What a group benefits plan includes (quick answer) | Extended health care: drugs, paramedical, vision | Dental: basic, major and orthodontic | Group life and AD&amp;D | Short- and long-term disability | Health spending accounts, EAPs and virtual care | Core vs optional: building a plan that fits</t>
        </is>
      </c>
      <c r="U185" s="25" t="inlineStr">
        <is>
          <t>What is extended health care in a group plan? | Is disability insurance part of group benefits? | What is AD&amp;D insurance? | Are employers required to offer benefits in Canada?</t>
        </is>
      </c>
      <c r="V185" s="25" t="inlineStr">
        <is>
          <t>Plan-component glossary table (what it covers, typical design, who usually pays) and an annotated sample benefit-summary page in plain English.</t>
        </is>
      </c>
      <c r="W185" s="25" t="inlineStr">
        <is>
          <t>/group-benefits/; /guides/how-to-set-up-group-benefits/; /guides/group-benefits-cost-per-employee/; /glossary/</t>
        </is>
      </c>
      <c r="X185" s="25" t="inlineStr">
        <is>
          <t>Instant group benefits estimate (/group-benefits/)</t>
        </is>
      </c>
      <c r="Y185" s="36" t="inlineStr">
        <is>
          <t>Article; FAQPage; BreadcrumbList</t>
        </is>
      </c>
      <c r="Z185" s="37" t="n">
        <v>1500</v>
      </c>
      <c r="AA185" s="25" t="inlineStr">
        <is>
          <t>PolicyAdvisor's 'Top 10 Group Insurance Benefits for Small Businesses' lists benefits; no annotated booklet example surfaced.</t>
        </is>
      </c>
      <c r="AB185" s="25" t="inlineStr">
        <is>
          <t>Exact question as H1 and meta title, focus keyword in the slug and first 100 words, and a 40 to 60 word answer listing the core components. Use the component table and add each term to /glossary/; anchor 'set up a group plan' to the how-to guide. Licensed benefits reviewer; review annually.</t>
        </is>
      </c>
      <c r="AC185" s="25" t="inlineStr">
        <is>
          <t>Employers are generally not required to offer benefits, but verify provincial rules (for example Quebec drug coverage) before saying so; plan design figures are typical.</t>
        </is>
      </c>
      <c r="AD185" s="36" t="inlineStr">
        <is>
          <t>Annual</t>
        </is>
      </c>
      <c r="AE185" s="38" t="n"/>
      <c r="AF185" s="38" t="n"/>
      <c r="AG185" s="38" t="n"/>
    </row>
    <row r="186" ht="46.25" customHeight="1" s="22">
      <c r="A186" s="36">
        <f>"B"&amp;TEXT(ROW()-1,"0000")</f>
        <v/>
      </c>
      <c r="B186" s="38" t="inlineStr">
        <is>
          <t>Planned</t>
        </is>
      </c>
      <c r="C186" s="36" t="n">
        <v>2</v>
      </c>
      <c r="D186" s="36" t="inlineStr">
        <is>
          <t>Group benefits</t>
        </is>
      </c>
      <c r="E186" s="36" t="inlineStr">
        <is>
          <t>Tax &amp; regulation</t>
        </is>
      </c>
      <c r="F186" s="25" t="inlineStr">
        <is>
          <t>Are Group Benefits Taxable in Canada? Employer and Employee Tax Rules</t>
        </is>
      </c>
      <c r="G186" s="36" t="inlineStr">
        <is>
          <t>https://instasure.ca/guides/group-benefits-taxable-benefits-canada/</t>
        </is>
      </c>
      <c r="H186" s="36" t="inlineStr">
        <is>
          <t>are group benefits taxable</t>
        </is>
      </c>
      <c r="I186" s="41">
        <f>IFERROR(INDEX('Nationwide KWs'!$D$2:$D$168,MATCH(H186,'Nationwide KWs'!$A$2:$A$168,0)),IFERROR(INDEX('Provincial KWs'!$E$2:$E$137,MATCH(H186,'Provincial KWs'!$A$2:$A$137,0)),IFERROR(INDEX('City KWs'!$F$2:$F$419,MATCH(H186,'City KWs'!$A$2:$A$419,0)),"")))</f>
        <v/>
      </c>
      <c r="J186" s="36" t="inlineStr">
        <is>
          <t>Low</t>
        </is>
      </c>
      <c r="K186" s="25" t="inlineStr">
        <is>
          <t>is group life insurance a taxable benefit; employer paid health premiums taxable quebec; are group benefits tax deductible for employer; employer paid ltd taxable benefit; t4 taxable benefits insurance</t>
        </is>
      </c>
      <c r="L186" s="36" t="inlineStr">
        <is>
          <t>Nationwide</t>
        </is>
      </c>
      <c r="M186" s="36" t="inlineStr">
        <is>
          <t>informational</t>
        </is>
      </c>
      <c r="N186" s="36" t="inlineStr">
        <is>
          <t>TOFU</t>
        </is>
      </c>
      <c r="O186" s="25" t="inlineStr">
        <is>
          <t>Are Group Benefits Taxable in Canada? Tax Rules</t>
        </is>
      </c>
      <c r="P186" s="36">
        <f>LEN(O186)</f>
        <v/>
      </c>
      <c r="Q186" s="25" t="inlineStr">
        <is>
          <t>Which group benefits are taxable in Canada: health and dental, group life, disability and HSAs, federally and in Quebec, with a benefit-by-benefit table.</t>
        </is>
      </c>
      <c r="R186" s="36">
        <f>LEN(Q186)</f>
        <v/>
      </c>
      <c r="S186" s="36">
        <f>IF(H186="","",IF(ISNUMBER(SEARCH(SUBSTITUTE(H186,"-"," "),SUBSTITUTE(O186,"-"," "))),"Yes","Check"))</f>
        <v/>
      </c>
      <c r="T186" s="25" t="inlineStr">
        <is>
          <t>Which group benefits are taxable (quick answer) | Health and dental premiums: federal vs Quebec treatment | Group life and AD&amp;D premiums | Disability premiums and the taxable-benefit choice | Health spending accounts | Employer deductions | Benefit-by-benefit summary table</t>
        </is>
      </c>
      <c r="U186" s="25" t="inlineStr">
        <is>
          <t>Are employer-paid health benefits taxable in Canada? | Why are my health benefits taxable in Quebec? | Is employer-paid group life insurance a taxable benefit? | Should employees pay their own LTD premiums?</t>
        </is>
      </c>
      <c r="V186" s="25" t="inlineStr">
        <is>
          <t>Benefit-by-benefit summary table (health, dental, vision, life, AD&amp;D, STD, LTD, HSA, EAP) showing federal and Quebec treatment of employer-paid premiums, with CRA and Revenu Québec references.</t>
        </is>
      </c>
      <c r="W186" s="25" t="inlineStr">
        <is>
          <t>/group-benefits/; /guides/is-disability-insurance-taxable-canada/; /guides/health-spending-account-small-business/; /group-benefits/quebec/</t>
        </is>
      </c>
      <c r="X186" s="25" t="inlineStr">
        <is>
          <t>Instant group benefits estimate (/group-benefits/)</t>
        </is>
      </c>
      <c r="Y186" s="36" t="inlineStr">
        <is>
          <t>Article; FAQPage; BreadcrumbList</t>
        </is>
      </c>
      <c r="Z186" s="37" t="n">
        <v>1400</v>
      </c>
      <c r="AA186" s="25" t="inlineStr">
        <is>
          <t>No competitor coverage seen among the insurance sites researched.</t>
        </is>
      </c>
      <c r="AB186" s="25" t="inlineStr">
        <is>
          <t>Exact question as H1 and meta title, focus keyword in the slug and first 100 words, and a 40 to 60 word answer naming the usual taxable items (group life premiums, Quebec health premiums). Make the summary table the core asset; anchor 'is disability insurance taxable' to the DI tax guide. Cite CRA's taxable benefits guide (T4130) and Revenu Québec, accountant review line, annual review.</t>
        </is>
      </c>
      <c r="AC186" s="25" t="inlineStr">
        <is>
          <t>Verify every row against CRA's taxable benefits guide (T4130) and Revenu Québec for the current year; general information only.</t>
        </is>
      </c>
      <c r="AD186" s="36" t="inlineStr">
        <is>
          <t>Annual</t>
        </is>
      </c>
      <c r="AE186" s="38" t="n"/>
      <c r="AF186" s="38" t="n"/>
      <c r="AG186" s="38" t="n"/>
    </row>
    <row r="187" ht="35.05" customHeight="1" s="22">
      <c r="A187" s="36">
        <f>"B"&amp;TEXT(ROW()-1,"0000")</f>
        <v/>
      </c>
      <c r="B187" s="38" t="inlineStr">
        <is>
          <t>Planned</t>
        </is>
      </c>
      <c r="C187" s="36" t="n">
        <v>3</v>
      </c>
      <c r="D187" s="36" t="inlineStr">
        <is>
          <t>Group benefits</t>
        </is>
      </c>
      <c r="E187" s="36" t="inlineStr">
        <is>
          <t>Coverage explained</t>
        </is>
      </c>
      <c r="F187" s="25" t="inlineStr">
        <is>
          <t>Employee Assistance Programs (EAP) for Small Businesses: Cost and What They Cover</t>
        </is>
      </c>
      <c r="G187" s="36" t="inlineStr">
        <is>
          <t>https://instasure.ca/guides/employee-assistance-program-small-business/</t>
        </is>
      </c>
      <c r="H187" s="36" t="inlineStr">
        <is>
          <t>employee assistance program small business</t>
        </is>
      </c>
      <c r="I187" s="41">
        <f>IFERROR(INDEX('Nationwide KWs'!$D$2:$D$168,MATCH(H187,'Nationwide KWs'!$A$2:$A$168,0)),IFERROR(INDEX('Provincial KWs'!$E$2:$E$137,MATCH(H187,'Provincial KWs'!$A$2:$A$137,0)),IFERROR(INDEX('City KWs'!$F$2:$F$419,MATCH(H187,'City KWs'!$A$2:$A$419,0)),"")))</f>
        <v/>
      </c>
      <c r="J187" s="36" t="inlineStr">
        <is>
          <t>Niche</t>
        </is>
      </c>
      <c r="K187" s="25" t="inlineStr">
        <is>
          <t>eap cost per employee canada; what does an eap cover; mental health benefits for small business; eap vs psychologist coverage; standalone eap canada</t>
        </is>
      </c>
      <c r="L187" s="36" t="inlineStr">
        <is>
          <t>Nationwide</t>
        </is>
      </c>
      <c r="M187" s="36" t="inlineStr">
        <is>
          <t>commercial</t>
        </is>
      </c>
      <c r="N187" s="36" t="inlineStr">
        <is>
          <t>MOFU</t>
        </is>
      </c>
      <c r="O187" s="25" t="inlineStr">
        <is>
          <t>Employee Assistance Program for Small Business: EAP Guide</t>
        </is>
      </c>
      <c r="P187" s="36">
        <f>LEN(O187)</f>
        <v/>
      </c>
      <c r="Q187" s="25" t="inlineStr">
        <is>
          <t>What an employee assistance program costs a small business per employee, what an EAP covers, how it differs from paramedical cover and how to launch one.</t>
        </is>
      </c>
      <c r="R187" s="36">
        <f>LEN(Q187)</f>
        <v/>
      </c>
      <c r="S187" s="36">
        <f>IF(H187="","",IF(ISNUMBER(SEARCH(SUBSTITUTE(H187,"-"," "),SUBSTITUTE(O187,"-"," "))),"Yes","Check"))</f>
        <v/>
      </c>
      <c r="T187" s="25" t="inlineStr">
        <is>
          <t>What an EAP is (quick answer) | Services typically included | How EAPs differ from paramedical mental health coverage | Cost per employee and pricing models | Standalone EAP vs bundled with group benefits | Confidentiality and what employers see | Launching and promoting an EAP</t>
        </is>
      </c>
      <c r="U187" s="25" t="inlineStr">
        <is>
          <t>How much does an EAP cost per employee? | Is an EAP confidential? | Can a small business buy an EAP without group benefits? | Does an EAP replace psychologist coverage?</t>
        </is>
      </c>
      <c r="V187" s="25" t="inlineStr">
        <is>
          <t>Comparison table of an EAP vs paramedical mental health coverage (who provides it, session limits, cost, confidentiality) and a launch checklist.</t>
        </is>
      </c>
      <c r="W187" s="25" t="inlineStr">
        <is>
          <t>/group-benefits/; /guides/does-health-insurance-cover-therapy-canada/; /guides/what-is-included-in-group-benefits/</t>
        </is>
      </c>
      <c r="X187" s="25" t="inlineStr">
        <is>
          <t>Instant group benefits estimate (/group-benefits/)</t>
        </is>
      </c>
      <c r="Y187" s="36" t="inlineStr">
        <is>
          <t>Article; FAQPage; BreadcrumbList</t>
        </is>
      </c>
      <c r="Z187" s="37" t="n">
        <v>1300</v>
      </c>
      <c r="AA187" s="25" t="inlineStr">
        <is>
          <t>No competitor coverage seen.</t>
        </is>
      </c>
      <c r="AB187" s="25" t="inlineStr">
        <is>
          <t>Focus keyword in the H1, slug, meta title, first 100 words and first H2; define an EAP in 40 to 60 words with typical services. Use the EAP vs paramedical table and launch checklist; anchor 'therapy coverage' to the health guide. Licensed benefits reviewer; review annually.</t>
        </is>
      </c>
      <c r="AC187" s="25" t="inlineStr">
        <is>
          <t>EAP pricing and session counts vary by provider, so label them typical; make no clinical claims.</t>
        </is>
      </c>
      <c r="AD187" s="36" t="inlineStr">
        <is>
          <t>Annual</t>
        </is>
      </c>
      <c r="AE187" s="38" t="n"/>
      <c r="AF187" s="38" t="n"/>
      <c r="AG187" s="38" t="n"/>
    </row>
    <row r="188" ht="46.25" customHeight="1" s="22">
      <c r="A188" s="36">
        <f>"B"&amp;TEXT(ROW()-1,"0000")</f>
        <v/>
      </c>
      <c r="B188" s="38" t="inlineStr">
        <is>
          <t>Planned</t>
        </is>
      </c>
      <c r="C188" s="36" t="n">
        <v>3</v>
      </c>
      <c r="D188" s="36" t="inlineStr">
        <is>
          <t>Group benefits</t>
        </is>
      </c>
      <c r="E188" s="36" t="inlineStr">
        <is>
          <t>Personas</t>
        </is>
      </c>
      <c r="F188" s="25" t="inlineStr">
        <is>
          <t>Employee Benefits for Startups in Canada: What to Offer and When</t>
        </is>
      </c>
      <c r="G188" s="36" t="inlineStr">
        <is>
          <t>https://instasure.ca/guides/employee-benefits-for-startups-canada/</t>
        </is>
      </c>
      <c r="H188" s="36" t="inlineStr">
        <is>
          <t>employee benefits for startups canada</t>
        </is>
      </c>
      <c r="I188" s="41">
        <f>IFERROR(INDEX('Nationwide KWs'!$D$2:$D$168,MATCH(H188,'Nationwide KWs'!$A$2:$A$168,0)),IFERROR(INDEX('Provincial KWs'!$E$2:$E$137,MATCH(H188,'Provincial KWs'!$A$2:$A$137,0)),IFERROR(INDEX('City KWs'!$F$2:$F$419,MATCH(H188,'City KWs'!$A$2:$A$419,0)),"")))</f>
        <v/>
      </c>
      <c r="J188" s="36" t="inlineStr">
        <is>
          <t>Niche</t>
        </is>
      </c>
      <c r="K188" s="25" t="inlineStr">
        <is>
          <t>startup benefits package canada; tech startup group benefits; benefits to attract employees small business; startup health spending account; benefits for remote employees in different provinces</t>
        </is>
      </c>
      <c r="L188" s="36" t="inlineStr">
        <is>
          <t>Nationwide</t>
        </is>
      </c>
      <c r="M188" s="36" t="inlineStr">
        <is>
          <t>commercial</t>
        </is>
      </c>
      <c r="N188" s="36" t="inlineStr">
        <is>
          <t>MOFU</t>
        </is>
      </c>
      <c r="O188" s="25" t="inlineStr">
        <is>
          <t>Employee Benefits for Startups in Canada: What to Offer</t>
        </is>
      </c>
      <c r="P188" s="36">
        <f>LEN(O188)</f>
        <v/>
      </c>
      <c r="Q188" s="25" t="inlineStr">
        <is>
          <t>A stage-by-stage guide to employee benefits for Canadian startups: HSA-first plans, insured health and dental as you hire, remote staff and budgets.</t>
        </is>
      </c>
      <c r="R188" s="36">
        <f>LEN(Q188)</f>
        <v/>
      </c>
      <c r="S188" s="36">
        <f>IF(H188="","",IF(ISNUMBER(SEARCH(SUBSTITUTE(H188,"-"," "),SUBSTITUTE(O188,"-"," "))),"Yes","Check"))</f>
        <v/>
      </c>
      <c r="T188" s="25" t="inlineStr">
        <is>
          <t>What startups should offer first (quick answer) | Benefits by stage: pre-seed, seed and Series A | HSA-first plans for lean budgets | Insured health and dental as you hire | Remote employees in several provinces | Mental health and EAP as recruiting tools | Budget table by headcount</t>
        </is>
      </c>
      <c r="U188" s="25" t="inlineStr">
        <is>
          <t>When should a startup offer health benefits? | Can a startup offer benefits to contractors? | How do benefits work for remote employees in different provinces? | What benefits matter most to tech employees?</t>
        </is>
      </c>
      <c r="V188" s="25" t="inlineStr">
        <is>
          <t>Stage-by-stage benefits roadmap with a modelled monthly budget at 3, 10 and 25 employees.</t>
        </is>
      </c>
      <c r="W188" s="25" t="inlineStr">
        <is>
          <t>/group-benefits/; /guides/group-benefits-for-1-to-10-employees/; /guides/health-spending-account-small-business/; /business-insurance/cyber/</t>
        </is>
      </c>
      <c r="X188" s="25" t="inlineStr">
        <is>
          <t>Instant group benefits estimate (/group-benefits/)</t>
        </is>
      </c>
      <c r="Y188" s="36" t="inlineStr">
        <is>
          <t>Article; FAQPage; BreadcrumbList</t>
        </is>
      </c>
      <c r="Z188" s="37" t="n">
        <v>1500</v>
      </c>
      <c r="AA188" s="25" t="inlineStr">
        <is>
          <t>No competitor coverage seen.</t>
        </is>
      </c>
      <c r="AB188" s="25" t="inlineStr">
        <is>
          <t>Focus keyword in the H1, slug, meta title, first 100 words and first H2; the 40 to 60 word answer should recommend starting with an HSA and adding insured cover as headcount grows. Use the roadmap graphic and budget table; anchor 'benefits for teams under 10' to the small-team guide. Licensed benefits reviewer; review annually.</t>
        </is>
      </c>
      <c r="AC188" s="25" t="inlineStr">
        <is>
          <t>Budgets are modelled estimates; worker classification (employee vs contractor) is an employment-law question, so don't advise on it.</t>
        </is>
      </c>
      <c r="AD188" s="36" t="inlineStr">
        <is>
          <t>Annual</t>
        </is>
      </c>
      <c r="AE188" s="38" t="n"/>
      <c r="AF188" s="38" t="n"/>
      <c r="AG188" s="38" t="n"/>
    </row>
    <row r="189" ht="35.05" customHeight="1" s="22">
      <c r="A189" s="36">
        <f>"B"&amp;TEXT(ROW()-1,"0000")</f>
        <v/>
      </c>
      <c r="B189" s="38" t="inlineStr">
        <is>
          <t>Planned</t>
        </is>
      </c>
      <c r="C189" s="36" t="n">
        <v>3</v>
      </c>
      <c r="D189" s="36" t="inlineStr">
        <is>
          <t>Group benefits</t>
        </is>
      </c>
      <c r="E189" s="36" t="inlineStr">
        <is>
          <t>Personas</t>
        </is>
      </c>
      <c r="F189" s="25" t="inlineStr">
        <is>
          <t>Group Benefits for Construction and Trades Businesses</t>
        </is>
      </c>
      <c r="G189" s="36" t="inlineStr">
        <is>
          <t>https://instasure.ca/guides/group-benefits-for-construction-companies/</t>
        </is>
      </c>
      <c r="H189" s="36" t="inlineStr">
        <is>
          <t>group benefits for construction companies</t>
        </is>
      </c>
      <c r="I189" s="41">
        <f>IFERROR(INDEX('Nationwide KWs'!$D$2:$D$168,MATCH(H189,'Nationwide KWs'!$A$2:$A$168,0)),IFERROR(INDEX('Provincial KWs'!$E$2:$E$137,MATCH(H189,'Provincial KWs'!$A$2:$A$137,0)),IFERROR(INDEX('City KWs'!$F$2:$F$419,MATCH(H189,'City KWs'!$A$2:$A$419,0)),"")))</f>
        <v/>
      </c>
      <c r="J189" s="36" t="inlineStr">
        <is>
          <t>Niche</t>
        </is>
      </c>
      <c r="K189" s="25" t="inlineStr">
        <is>
          <t>employee benefits for trades businesses; group insurance for contractors canada; benefits for non-union construction workers; group ltd for tradespeople; benefits for seasonal workers</t>
        </is>
      </c>
      <c r="L189" s="36" t="inlineStr">
        <is>
          <t>Nationwide</t>
        </is>
      </c>
      <c r="M189" s="36" t="inlineStr">
        <is>
          <t>commercial</t>
        </is>
      </c>
      <c r="N189" s="36" t="inlineStr">
        <is>
          <t>MOFU</t>
        </is>
      </c>
      <c r="O189" s="25" t="inlineStr">
        <is>
          <t>Group Benefits for Construction and Trades Companies</t>
        </is>
      </c>
      <c r="P189" s="36">
        <f>LEN(O189)</f>
        <v/>
      </c>
      <c r="Q189" s="25" t="inlineStr">
        <is>
          <t>Group benefits for construction and trades firms: why pricing differs, rules for seasonal and hourly staff, LTD alongside workers' comp and a sample plan.</t>
        </is>
      </c>
      <c r="R189" s="36">
        <f>LEN(Q189)</f>
        <v/>
      </c>
      <c r="S189" s="36">
        <f>IF(H189="","",IF(ISNUMBER(SEARCH(SUBSTITUTE(H189,"-"," "),SUBSTITUTE(O189,"-"," "))),"Yes","Check"))</f>
        <v/>
      </c>
      <c r="T189" s="25" t="inlineStr">
        <is>
          <t>Group benefits for trades businesses (quick answer) | Why trades plans price differently | Seasonal and hourly workers: eligibility rules | Disability coverage alongside workers' compensation | Union trust plans vs your own plan | Retention: what tradespeople value most | Example plan for a 12-person trades firm</t>
        </is>
      </c>
      <c r="U189" s="25" t="inlineStr">
        <is>
          <t>Can seasonal construction workers get group benefits? | Does group LTD overlap with WSIB? | Are construction companies charged more for group benefits? | How do union benefit trusts work?</t>
        </is>
      </c>
      <c r="V189" s="25" t="inlineStr">
        <is>
          <t>Example plan design and modelled cost for a 12-person trades firm, plus an eligibility-rule template for seasonal and hourly staff.</t>
        </is>
      </c>
      <c r="W189" s="25" t="inlineStr">
        <is>
          <t>/group-benefits/; /contractor-insurance/; /guides/workers-compensation-vs-disability-insurance/; /guides/group-benefits-cost-per-employee/</t>
        </is>
      </c>
      <c r="X189" s="25" t="inlineStr">
        <is>
          <t>Instant group benefits estimate (/group-benefits/)</t>
        </is>
      </c>
      <c r="Y189" s="36" t="inlineStr">
        <is>
          <t>Article; FAQPage; BreadcrumbList</t>
        </is>
      </c>
      <c r="Z189" s="37" t="n">
        <v>1500</v>
      </c>
      <c r="AA189" s="25" t="inlineStr">
        <is>
          <t>Rates.ca covers 15+ trades for business insurance only; no trades-specific group benefits guide surfaced.</t>
        </is>
      </c>
      <c r="AB189" s="25" t="inlineStr">
        <is>
          <t>Focus keyword in the H1, slug, meta title, first 100 words and first H2; the 40 to 60 word answer should cover eligibility for seasonal staff and the workers' comp overlap. Use the 12-person example table and the eligibility template; anchor 'contractor insurance' to /contractor-insurance/. Licensed benefits reviewer; review annually.</t>
        </is>
      </c>
      <c r="AC189" s="25" t="inlineStr">
        <is>
          <t>Modelled costs are estimates; keep union trust descriptions general and verify the workers' comp interaction with each provincial board.</t>
        </is>
      </c>
      <c r="AD189" s="36" t="inlineStr">
        <is>
          <t>Annual</t>
        </is>
      </c>
      <c r="AE189" s="38" t="n"/>
      <c r="AF189" s="38" t="n"/>
      <c r="AG189" s="38" t="n"/>
    </row>
    <row r="190" ht="46.25" customHeight="1" s="22">
      <c r="A190" s="36">
        <f>"B"&amp;TEXT(ROW()-1,"0000")</f>
        <v/>
      </c>
      <c r="B190" s="38" t="inlineStr">
        <is>
          <t>Planned</t>
        </is>
      </c>
      <c r="C190" s="36" t="n">
        <v>3</v>
      </c>
      <c r="D190" s="36" t="inlineStr">
        <is>
          <t>Group benefits</t>
        </is>
      </c>
      <c r="E190" s="36" t="inlineStr">
        <is>
          <t>Regulation</t>
        </is>
      </c>
      <c r="F190" s="25" t="inlineStr">
        <is>
          <t>EI Premium Reduction Program: Lower Payroll Costs With a Short-Term Disability Plan</t>
        </is>
      </c>
      <c r="G190" s="36" t="inlineStr">
        <is>
          <t>https://instasure.ca/guides/ei-premium-reduction-program-employers/</t>
        </is>
      </c>
      <c r="H190" s="36" t="inlineStr">
        <is>
          <t>ei premium reduction program</t>
        </is>
      </c>
      <c r="I190" s="41">
        <f>IFERROR(INDEX('Nationwide KWs'!$D$2:$D$168,MATCH(H190,'Nationwide KWs'!$A$2:$A$168,0)),IFERROR(INDEX('Provincial KWs'!$E$2:$E$137,MATCH(H190,'Provincial KWs'!$A$2:$A$137,0)),IFERROR(INDEX('City KWs'!$F$2:$F$419,MATCH(H190,'City KWs'!$A$2:$A$419,0)),"")))</f>
        <v/>
      </c>
      <c r="J190" s="36" t="inlineStr">
        <is>
          <t>Niche</t>
        </is>
      </c>
      <c r="K190" s="25" t="inlineStr">
        <is>
          <t>ei premium reduction short term disability; wage loss replacement plan ei; reduced ei rate for employers; qualifying short term disability plan canada; employee 5/12 share ei reduction</t>
        </is>
      </c>
      <c r="L190" s="36" t="inlineStr">
        <is>
          <t>Nationwide</t>
        </is>
      </c>
      <c r="M190" s="36" t="inlineStr">
        <is>
          <t>informational</t>
        </is>
      </c>
      <c r="N190" s="36" t="inlineStr">
        <is>
          <t>MOFU</t>
        </is>
      </c>
      <c r="O190" s="25" t="inlineStr">
        <is>
          <t>EI Premium Reduction Program for Employers Explained</t>
        </is>
      </c>
      <c r="P190" s="36">
        <f>LEN(O190)</f>
        <v/>
      </c>
      <c r="Q190" s="25" t="inlineStr">
        <is>
          <t>How the EI Premium Reduction Program lowers employer EI premiums when you offer a qualifying short-term disability plan, the 5/12 rule and how to apply.</t>
        </is>
      </c>
      <c r="R190" s="36">
        <f>LEN(Q190)</f>
        <v/>
      </c>
      <c r="S190" s="36">
        <f>IF(H190="","",IF(ISNUMBER(SEARCH(SUBSTITUTE(H190,"-"," "),SUBSTITUTE(O190,"-"," "))),"Yes","Check"))</f>
        <v/>
      </c>
      <c r="T190" s="25" t="inlineStr">
        <is>
          <t>How the EI premium reduction works (quick answer) | Which short-term disability plans qualify | How much an employer can save | The employees' 5/12 share | Applying to Service Canada | Is a qualifying STD plan worth it for a small business? | Worked example for a 15-person firm</t>
        </is>
      </c>
      <c r="U190" s="25" t="inlineStr">
        <is>
          <t>What is the EI premium reduction program? | Does my short-term disability plan qualify for an EI reduction? | Do employers have to share the EI savings with employees? | How do I apply for a reduced EI rate?</t>
        </is>
      </c>
      <c r="V190" s="25" t="inlineStr">
        <is>
          <t>Worked example for a 15-person payroll showing the reduced employer EI rate, the employees' 5/12 share and the net cost of the qualifying STD plan, with current-year rates linked to canada.ca.</t>
        </is>
      </c>
      <c r="W190" s="25" t="inlineStr">
        <is>
          <t>/group-benefits/; /guides/short-term-vs-long-term-disability/; /guides/group-benefits-cost-per-employee/</t>
        </is>
      </c>
      <c r="X190" s="25" t="inlineStr">
        <is>
          <t>Instant group benefits estimate (/group-benefits/)</t>
        </is>
      </c>
      <c r="Y190" s="36" t="inlineStr">
        <is>
          <t>Article; FAQPage; BreadcrumbList</t>
        </is>
      </c>
      <c r="Z190" s="37" t="n">
        <v>1300</v>
      </c>
      <c r="AA190" s="25" t="inlineStr">
        <is>
          <t>No competitor coverage seen.</t>
        </is>
      </c>
      <c r="AB190" s="25" t="inlineStr">
        <is>
          <t>Focus keyword in the H1, slug, meta title, first 100 words and first H2; the 40 to 60 word answer should state the qualifying-plan requirement and the 5/12 sharing rule. Use the 15-person worked example table; anchor 'short-term vs long-term disability' to the DI comparison guide. canada.ca sources, licensed benefits reviewer, refresh each January.</t>
        </is>
      </c>
      <c r="AC190" s="25" t="inlineStr">
        <is>
          <t>Verify qualifying criteria, reduced rates and the 5/12 rule on canada.ca for the current year; rates change every January.</t>
        </is>
      </c>
      <c r="AD190" s="36" t="inlineStr">
        <is>
          <t>Annual</t>
        </is>
      </c>
      <c r="AE190" s="38" t="n"/>
      <c r="AF190" s="38" t="n"/>
      <c r="AG190" s="38" t="n"/>
    </row>
    <row r="191" ht="46.25" customHeight="1" s="22">
      <c r="A191" s="36">
        <f>"B"&amp;TEXT(ROW()-1,"0000")</f>
        <v/>
      </c>
      <c r="B191" s="38" t="inlineStr">
        <is>
          <t>Planned</t>
        </is>
      </c>
      <c r="C191" s="36" t="n">
        <v>4</v>
      </c>
      <c r="D191" s="36" t="inlineStr">
        <is>
          <t>Group benefits</t>
        </is>
      </c>
      <c r="E191" s="36" t="inlineStr">
        <is>
          <t>Local (province)</t>
        </is>
      </c>
      <c r="F191" s="25" t="inlineStr">
        <is>
          <t>Group Benefits in Quebec: Mandatory Drug Coverage and Taxable Premiums (English Guide)</t>
        </is>
      </c>
      <c r="G191" s="36" t="inlineStr">
        <is>
          <t>https://instasure.ca/guides/quebec-group-benefits-drug-insurance-rules/</t>
        </is>
      </c>
      <c r="H191" s="36" t="inlineStr">
        <is>
          <t>group benefits quebec</t>
        </is>
      </c>
      <c r="I191" s="41">
        <f>IFERROR(INDEX('Nationwide KWs'!$D$2:$D$168,MATCH(H191,'Nationwide KWs'!$A$2:$A$168,0)),IFERROR(INDEX('Provincial KWs'!$E$2:$E$137,MATCH(H191,'Provincial KWs'!$A$2:$A$137,0)),IFERROR(INDEX('City KWs'!$F$2:$F$419,MATCH(H191,'City KWs'!$A$2:$A$419,0)),"")))</f>
        <v/>
      </c>
      <c r="J191" s="36" t="inlineStr">
        <is>
          <t>Niche</t>
        </is>
      </c>
      <c r="K191" s="25" t="inlineStr">
        <is>
          <t>quebec group insurance drug coverage mandatory; ramq rules for group plans; quebec taxable benefit health premiums; group insurance quebec small business; quebec employee drug insurance</t>
        </is>
      </c>
      <c r="L191" s="36" t="inlineStr">
        <is>
          <t>Province: Quebec</t>
        </is>
      </c>
      <c r="M191" s="36" t="inlineStr">
        <is>
          <t>informational</t>
        </is>
      </c>
      <c r="N191" s="36" t="inlineStr">
        <is>
          <t>MOFU</t>
        </is>
      </c>
      <c r="O191" s="25" t="inlineStr">
        <is>
          <t>Group Benefits in Quebec: Drug Coverage and Tax Rules</t>
        </is>
      </c>
      <c r="P191" s="36">
        <f>LEN(O191)</f>
        <v/>
      </c>
      <c r="Q191" s="25" t="inlineStr">
        <is>
          <t>An English guide to group benefits in Quebec: mandatory drug coverage, minimums tied to RAMQ, participation rules and provincial tax on health premiums.</t>
        </is>
      </c>
      <c r="R191" s="36">
        <f>LEN(Q191)</f>
        <v/>
      </c>
      <c r="S191" s="36">
        <f>IF(H191="","",IF(ISNUMBER(SEARCH(SUBSTITUTE(H191,"-"," "),SUBSTITUTE(O191,"-"," "))),"Yes","Check"))</f>
        <v/>
      </c>
      <c r="T191" s="25" t="inlineStr">
        <is>
          <t>How group benefits differ in Quebec (quick answer) | Mandatory drug coverage in group plans | Minimum coverage tied to the RAMQ public plan | Employee participation and spousal coverage rules | Provincial tax on employer-paid health premiums | What this means for plan cost | Checklist for employers with Quebec staff</t>
        </is>
      </c>
      <c r="U191" s="25" t="inlineStr">
        <is>
          <t>Must Quebec group plans include drug coverage? | Can Quebec employees opt out of the group drug plan? | Why are health premiums a taxable benefit in Quebec? | Do out-of-province employers with Quebec staff follow these rules?</t>
        </is>
      </c>
      <c r="V191" s="25" t="inlineStr">
        <is>
          <t>Checklist for employers with Quebec staff and a comparison table of Quebec vs other provinces on drug coverage, participation and premium taxation.</t>
        </is>
      </c>
      <c r="W191" s="25" t="inlineStr">
        <is>
          <t>/group-benefits/quebec/; /guides/quebec-ramq-prescription-drug-insurance/; /guides/group-benefits-taxable-benefits-canada/</t>
        </is>
      </c>
      <c r="X191" s="25" t="inlineStr">
        <is>
          <t>Join the Quebec waitlist (/group-benefits/quebec/)</t>
        </is>
      </c>
      <c r="Y191" s="36" t="inlineStr">
        <is>
          <t>Article; FAQPage; BreadcrumbList</t>
        </is>
      </c>
      <c r="Z191" s="37" t="n">
        <v>1400</v>
      </c>
      <c r="AA191" s="25" t="inlineStr">
        <is>
          <t>No English competitor coverage seen; PolicyAdvisor has group benefits pages only for BC and AB.</t>
        </is>
      </c>
      <c r="AB191" s="25" t="inlineStr">
        <is>
          <t>Focus keyword in the H1, slug, meta title, first 100 words and first H2; the 40 to 60 word answer should state the mandatory drug coverage and tax differences. Use the employer checklist and the Quebec vs other provinces table; anchor 'RAMQ drug insurance' to the consumer guide. RAMQ and Revenu Québec sources, licensed reviewer, annual review; English only until AMF registration.</t>
        </is>
      </c>
      <c r="AC191" s="25" t="inlineStr">
        <is>
          <t>Verify against RAMQ, the Act respecting prescription drug insurance and Revenu Québec; Quebec leads go to the waitlist until AMF registration.</t>
        </is>
      </c>
      <c r="AD191" s="36" t="inlineStr">
        <is>
          <t>Annual</t>
        </is>
      </c>
      <c r="AE191" s="38" t="n"/>
      <c r="AF191" s="38" t="n"/>
      <c r="AG191" s="38" t="n"/>
    </row>
    <row r="192" ht="46.25" customHeight="1" s="22">
      <c r="A192" s="36">
        <f>"B"&amp;TEXT(ROW()-1,"0000")</f>
        <v/>
      </c>
      <c r="B192" s="38" t="inlineStr">
        <is>
          <t>Planned</t>
        </is>
      </c>
      <c r="C192" s="36" t="n">
        <v>1</v>
      </c>
      <c r="D192" s="36" t="inlineStr">
        <is>
          <t>Travel insurance</t>
        </is>
      </c>
      <c r="E192" s="36" t="inlineStr">
        <is>
          <t>Cost &amp; pricing</t>
        </is>
      </c>
      <c r="F192" s="25" t="inlineStr">
        <is>
          <t>Snowbird Travel Insurance Cost: What Drives the Price for Long Stays</t>
        </is>
      </c>
      <c r="G192" s="36" t="inlineStr">
        <is>
          <t>https://instasure.ca/guides/snowbird-travel-insurance-cost/</t>
        </is>
      </c>
      <c r="H192" s="36" t="inlineStr">
        <is>
          <t>snowbird travel insurance cost</t>
        </is>
      </c>
      <c r="I192" s="41">
        <f>IFERROR(INDEX('Nationwide KWs'!$D$2:$D$168,MATCH(H192,'Nationwide KWs'!$A$2:$A$168,0)),IFERROR(INDEX('Provincial KWs'!$E$2:$E$137,MATCH(H192,'Provincial KWs'!$A$2:$A$137,0)),IFERROR(INDEX('City KWs'!$F$2:$F$419,MATCH(H192,'City KWs'!$A$2:$A$419,0)),"")))</f>
        <v/>
      </c>
      <c r="J192" s="36" t="inlineStr">
        <is>
          <t>Low</t>
        </is>
      </c>
      <c r="K192" s="25" t="inlineStr">
        <is>
          <t>snowbird insurance cost by age; 6 month travel insurance cost canada; how much is snowbird insurance; snowbird insurance rate categories; long stay travel insurance seniors cost</t>
        </is>
      </c>
      <c r="L192" s="36" t="inlineStr">
        <is>
          <t>Nationwide</t>
        </is>
      </c>
      <c r="M192" s="36" t="inlineStr">
        <is>
          <t>commercial</t>
        </is>
      </c>
      <c r="N192" s="36" t="inlineStr">
        <is>
          <t>MOFU</t>
        </is>
      </c>
      <c r="O192" s="25" t="inlineStr">
        <is>
          <t>Snowbird Travel Insurance Cost: Long-Stay Price Guide</t>
        </is>
      </c>
      <c r="P192" s="36">
        <f>LEN(O192)</f>
        <v/>
      </c>
      <c r="Q192" s="25" t="inlineStr">
        <is>
          <t>Snowbird travel insurance cost explained: how age, stay length, rate category and deductible change the price, with dated model examples. Get an estimate.</t>
        </is>
      </c>
      <c r="R192" s="36">
        <f>LEN(Q192)</f>
        <v/>
      </c>
      <c r="S192" s="36">
        <f>IF(H192="","",IF(ISNUMBER(SEARCH(SUBSTITUTE(H192,"-"," "),SUBSTITUTE(O192,"-"," "))),"Yes","Check"))</f>
        <v/>
      </c>
      <c r="T192" s="25" t="inlineStr">
        <is>
          <t>How much does snowbird travel insurance cost? | Price by age and length of stay | Medical rate categories: how the questionnaire sets your price | Deductibles and couple pricing | Top-ups vs full-season policies: cost compared | Ways to lower the cost without risking a claim</t>
        </is>
      </c>
      <c r="U192" s="25" t="inlineStr">
        <is>
          <t>How much is travel insurance for a six-month stay at 70? | Why did my snowbird premium jump this year? | Does a higher deductible make sense for snowbirds? | Is it cheaper to top up a credit card plan? | Do couples pay less for snowbird insurance?</t>
        </is>
      </c>
      <c r="V192" s="25" t="inlineStr">
        <is>
          <t>Dated model price grid by age (60 to 85), stay length (one, three and six months) and rate category, plus a worked top-up vs full-season comparison.</t>
        </is>
      </c>
      <c r="W192" s="25" t="inlineStr">
        <is>
          <t>/travel-insurance/snowbirds/; /travel-insurance/; /guides/travel-insurance-medical-questionnaire/; /guides/travel-insurance-top-up-coverage/</t>
        </is>
      </c>
      <c r="X192" s="25" t="inlineStr">
        <is>
          <t>Instant snowbird travel insurance estimate (/quote/travel-insurance/)</t>
        </is>
      </c>
      <c r="Y192" s="36" t="inlineStr">
        <is>
          <t>Article; FAQPage; BreadcrumbList</t>
        </is>
      </c>
      <c r="Z192" s="37" t="n">
        <v>1800</v>
      </c>
      <c r="AA192" s="25" t="inlineStr">
        <is>
          <t>Keyword research found no competitor for 'snowbird travel insurance'; Ratehub's travel blog covers cutting costs in general without long-stay or rate-category pricing.</t>
        </is>
      </c>
      <c r="AB192" s="25" t="inlineStr">
        <is>
          <t>Focus keyword in the H1, slug, meta title, first 100 words and first H2, with a 40–60 word answer naming the four main price drivers and a dated example. Put the price grid under the answer and link 'medical questionnaire' and 'top-up' to the sibling guides. Licensed A&amp;S reviewer; image alt 'snowbird travel insurance cost by age and stay'; refresh quarterly with Rate Index data.</t>
        </is>
      </c>
      <c r="AC192" s="25" t="inlineStr">
        <is>
          <t>Model estimates only, with profile and date; no 'cheapest snowbird insurance' wording. Verify rate-category mechanics against current insurer questionnaires.</t>
        </is>
      </c>
      <c r="AD192" s="36" t="inlineStr">
        <is>
          <t>Quarterly</t>
        </is>
      </c>
      <c r="AE192" s="38" t="n"/>
      <c r="AF192" s="38" t="n"/>
      <c r="AG192" s="38" t="n"/>
    </row>
    <row r="193" ht="46.25" customHeight="1" s="22">
      <c r="A193" s="36">
        <f>"B"&amp;TEXT(ROW()-1,"0000")</f>
        <v/>
      </c>
      <c r="B193" s="38" t="inlineStr">
        <is>
          <t>Published</t>
        </is>
      </c>
      <c r="C193" s="36" t="n">
        <v>1</v>
      </c>
      <c r="D193" s="36" t="inlineStr">
        <is>
          <t>Travel insurance</t>
        </is>
      </c>
      <c r="E193" s="36" t="inlineStr">
        <is>
          <t>Coverage explained</t>
        </is>
      </c>
      <c r="F193" s="25" t="inlineStr">
        <is>
          <t>Travel Insurance With Pre-Existing Conditions: How Coverage Works in Canada</t>
        </is>
      </c>
      <c r="G193" s="36" t="inlineStr">
        <is>
          <t>https://instasure.ca/guides/travel-insurance-pre-existing-conditions/</t>
        </is>
      </c>
      <c r="H193" s="36" t="inlineStr">
        <is>
          <t>travel insurance with pre-existing conditions</t>
        </is>
      </c>
      <c r="I193" s="41">
        <f>IFERROR(INDEX('Nationwide KWs'!$D$2:$D$168,MATCH(H193,'Nationwide KWs'!$A$2:$A$168,0)),IFERROR(INDEX('Provincial KWs'!$E$2:$E$137,MATCH(H193,'Provincial KWs'!$A$2:$A$137,0)),IFERROR(INDEX('City KWs'!$F$2:$F$419,MATCH(H193,'City KWs'!$A$2:$A$419,0)),"")))</f>
        <v/>
      </c>
      <c r="J193" s="36" t="inlineStr">
        <is>
          <t>Medium</t>
        </is>
      </c>
      <c r="K193" s="25" t="inlineStr">
        <is>
          <t>travel insurance pre existing conditions canada; travel insurance heart condition; travel insurance diabetes canada; travel insurance after cancer; travel insurance copd</t>
        </is>
      </c>
      <c r="L193" s="36" t="inlineStr">
        <is>
          <t>Nationwide</t>
        </is>
      </c>
      <c r="M193" s="36" t="inlineStr">
        <is>
          <t>commercial</t>
        </is>
      </c>
      <c r="N193" s="36" t="inlineStr">
        <is>
          <t>MOFU</t>
        </is>
      </c>
      <c r="O193" s="25" t="inlineStr">
        <is>
          <t>Travel Insurance With Pre-Existing Conditions in Canada</t>
        </is>
      </c>
      <c r="P193" s="36">
        <f>LEN(O193)</f>
        <v/>
      </c>
      <c r="Q193" s="25" t="inlineStr">
        <is>
          <t>How travel insurance handles pre-existing conditions in Canada: stability rules, condition questions, exclusions and options if declined. Ask an advisor.</t>
        </is>
      </c>
      <c r="R193" s="36">
        <f>LEN(Q193)</f>
        <v/>
      </c>
      <c r="S193" s="36">
        <f>IF(H193="","",IF(ISNUMBER(SEARCH(SUBSTITUTE(H193,"-"," "),SUBSTITUTE(O193,"-"," "))),"Yes","Check"))</f>
        <v/>
      </c>
      <c r="T193" s="25" t="inlineStr">
        <is>
          <t>Can you get travel insurance with a pre-existing condition? | How insurers decide: stability, questionnaire and rate category | Heart conditions, diabetes, COPD and cancer: what's typically asked | Partial coverage and condition exclusions | Options if you're declined | Getting coverage reviewed before departure</t>
        </is>
      </c>
      <c r="U193" s="25" t="inlineStr">
        <is>
          <t>Can I get travel insurance with a heart condition? | Is diabetes a pre-existing condition for travel insurance? | Can I get coverage while in cancer remission? | What if an insurer excludes one condition but covers the rest? | Where can I get travel insurance if I've been declined?</t>
        </is>
      </c>
      <c r="V193" s="25" t="inlineStr">
        <is>
          <t>Condition-by-condition table (cardiac, diabetes, COPD, cancer in remission, stroke or TIA, hypertension) listing typical questionnaire triggers and coverage outcomes, from current wordings with a review date.</t>
        </is>
      </c>
      <c r="W193" s="25" t="inlineStr">
        <is>
          <t>/travel-insurance/snowbirds/; /travel-insurance/; /guides/travel-insurance-stability-period/; /guides/travel-insurance-medical-questionnaire/</t>
        </is>
      </c>
      <c r="X193" s="25" t="inlineStr">
        <is>
          <t>Request a specialist call: Snowbird travel desk (/travel-insurance/snowbirds/)</t>
        </is>
      </c>
      <c r="Y193" s="36" t="inlineStr">
        <is>
          <t>Article; FAQPage; BreadcrumbList</t>
        </is>
      </c>
      <c r="Z193" s="37" t="n">
        <v>2000</v>
      </c>
      <c r="AA193" s="25" t="inlineStr">
        <is>
          <t>PolicyAdvisor's pre-existing condition guide is written for life insurance; no competitor seen covers condition-specific travel underwriting in Canada.</t>
        </is>
      </c>
      <c r="AB193" s="25" t="inlineStr">
        <is>
          <t>Focus keyword in the H1, slug, meta title, first 100 words and first H2, with a 40–60 word answer that stable conditions are often coverable and how insurers decide. Use the condition table with clear labels and link 'stability period' and 'medical questionnaire'. Licensed A&amp;S reviewer; image alt 'travel insurance pre-existing conditions table'.</t>
        </is>
      </c>
      <c r="AC193" s="25" t="inlineStr">
        <is>
          <t>No medical advice; outcomes vary by insurer, so present them as typical. No 'guaranteed coverage' language.</t>
        </is>
      </c>
      <c r="AD193" s="36" t="inlineStr">
        <is>
          <t>Semi-annual</t>
        </is>
      </c>
      <c r="AE193" s="38" t="inlineStr">
        <is>
          <t>Michael Le Chi</t>
        </is>
      </c>
      <c r="AF193" s="38" t="n"/>
      <c r="AG193" s="38" t="inlineStr">
        <is>
          <t>2026-10-12</t>
        </is>
      </c>
    </row>
    <row r="194" ht="46.25" customHeight="1" s="22">
      <c r="A194" s="36">
        <f>"B"&amp;TEXT(ROW()-1,"0000")</f>
        <v/>
      </c>
      <c r="B194" s="38" t="inlineStr">
        <is>
          <t>Planned</t>
        </is>
      </c>
      <c r="C194" s="36" t="n">
        <v>1</v>
      </c>
      <c r="D194" s="36" t="inlineStr">
        <is>
          <t>Travel insurance</t>
        </is>
      </c>
      <c r="E194" s="36" t="inlineStr">
        <is>
          <t>Glossary</t>
        </is>
      </c>
      <c r="F194" s="25" t="inlineStr">
        <is>
          <t>What Is a Stability Period in Travel Insurance?</t>
        </is>
      </c>
      <c r="G194" s="36" t="inlineStr">
        <is>
          <t>https://instasure.ca/guides/travel-insurance-stability-period/</t>
        </is>
      </c>
      <c r="H194" s="36" t="inlineStr">
        <is>
          <t>stability period travel insurance</t>
        </is>
      </c>
      <c r="I194" s="41">
        <f>IFERROR(INDEX('Nationwide KWs'!$D$2:$D$168,MATCH(H194,'Nationwide KWs'!$A$2:$A$168,0)),IFERROR(INDEX('Provincial KWs'!$E$2:$E$137,MATCH(H194,'Provincial KWs'!$A$2:$A$137,0)),IFERROR(INDEX('City KWs'!$F$2:$F$419,MATCH(H194,'City KWs'!$A$2:$A$419,0)),"")))</f>
        <v/>
      </c>
      <c r="J194" s="36" t="inlineStr">
        <is>
          <t>Low</t>
        </is>
      </c>
      <c r="K194" s="25" t="inlineStr">
        <is>
          <t>what is a stability clause; stable pre-existing condition definition; medication change stability period; 90 day stability period; 180 day stability period travel insurance</t>
        </is>
      </c>
      <c r="L194" s="36" t="inlineStr">
        <is>
          <t>Nationwide</t>
        </is>
      </c>
      <c r="M194" s="36" t="inlineStr">
        <is>
          <t>informational</t>
        </is>
      </c>
      <c r="N194" s="36" t="inlineStr">
        <is>
          <t>TOFU</t>
        </is>
      </c>
      <c r="O194" s="25" t="inlineStr">
        <is>
          <t>Stability Period in Travel Insurance: Plain Definition</t>
        </is>
      </c>
      <c r="P194" s="36">
        <f>LEN(O194)</f>
        <v/>
      </c>
      <c r="Q194" s="25" t="inlineStr">
        <is>
          <t>What a stability period is in travel insurance, what counts as a change (new pills, dose changes, tests) and examples by length. Check yours before you go.</t>
        </is>
      </c>
      <c r="R194" s="36">
        <f>LEN(Q194)</f>
        <v/>
      </c>
      <c r="S194" s="36">
        <f>IF(H194="","",IF(ISNUMBER(SEARCH(SUBSTITUTE(H194,"-"," "),SUBSTITUTE(O194,"-"," "))),"Yes","Check"))</f>
        <v/>
      </c>
      <c r="T194" s="25" t="inlineStr">
        <is>
          <t>What is a stability period? | What counts as a change: medication, symptoms, tests, referrals | Common stability period lengths and who gets them | Examples: when a condition is and isn't stable | Stability periods on Super Visa and visitor policies | How to track your own stability before departure</t>
        </is>
      </c>
      <c r="U194" s="25" t="inlineStr">
        <is>
          <t>Does a switch from a brand-name to a generic drug break stability? | Does a routine dose adjustment count as a change? | What if a test is booked but results aren't back? | Is the stability period counted back from departure or from purchase? | Do stability periods get longer with age?</t>
        </is>
      </c>
      <c r="V194" s="25" t="inlineStr">
        <is>
          <t>Snippet-ready definition box plus a 'stable or not?' table covering 10 common scenarios (generic switch, dose decrease, new referral, pending test results and others).</t>
        </is>
      </c>
      <c r="W194" s="25" t="inlineStr">
        <is>
          <t>/travel-insurance/snowbirds/; /glossary/; /guides/travel-insurance-medical-questionnaire/; /guides/super-visa-insurance-pre-existing-conditions/</t>
        </is>
      </c>
      <c r="X194" s="25" t="inlineStr">
        <is>
          <t>Request a specialist call: Snowbird travel desk (/travel-insurance/snowbirds/)</t>
        </is>
      </c>
      <c r="Y194" s="36" t="inlineStr">
        <is>
          <t>Article; FAQPage; BreadcrumbList</t>
        </is>
      </c>
      <c r="Z194" s="37" t="n">
        <v>1100</v>
      </c>
      <c r="AA194" s="25" t="inlineStr">
        <is>
          <t>No standalone competitor definition seen; the snowbird desk research identifies stability-period mistakes as where snowbird claims fail.</t>
        </is>
      </c>
      <c r="AB194" s="25" t="inlineStr">
        <is>
          <t>Focus keyword in the H1, slug, meta title, first 100 words and first H2, with a 40–60 word definition written to be quoted. Add the term to /glossary/ and link back; use the scenario table with clear labels. Licensed A&amp;S reviewer; image alt 'stability period scenarios table'.</t>
        </is>
      </c>
      <c r="AC194" s="25" t="inlineStr">
        <is>
          <t>Check each scenario against at least two current policy wordings and label it typical, since wordings differ on generic switches and dose changes. Licensed A&amp;S reviewer required.</t>
        </is>
      </c>
      <c r="AD194" s="36" t="inlineStr">
        <is>
          <t>Annual</t>
        </is>
      </c>
      <c r="AE194" s="38" t="n"/>
      <c r="AF194" s="38" t="n"/>
      <c r="AG194" s="38" t="n"/>
    </row>
    <row r="195" ht="46.25" customHeight="1" s="22">
      <c r="A195" s="36">
        <f>"B"&amp;TEXT(ROW()-1,"0000")</f>
        <v/>
      </c>
      <c r="B195" s="38" t="inlineStr">
        <is>
          <t>Planned</t>
        </is>
      </c>
      <c r="C195" s="36" t="n">
        <v>1</v>
      </c>
      <c r="D195" s="36" t="inlineStr">
        <is>
          <t>Travel insurance</t>
        </is>
      </c>
      <c r="E195" s="36" t="inlineStr">
        <is>
          <t>How-to</t>
        </is>
      </c>
      <c r="F195" s="25" t="inlineStr">
        <is>
          <t>Travel Insurance Medical Questionnaire: How to Answer It Accurately</t>
        </is>
      </c>
      <c r="G195" s="36" t="inlineStr">
        <is>
          <t>https://instasure.ca/guides/travel-insurance-medical-questionnaire/</t>
        </is>
      </c>
      <c r="H195" s="36" t="inlineStr">
        <is>
          <t>travel insurance medical questionnaire</t>
        </is>
      </c>
      <c r="I195" s="41">
        <f>IFERROR(INDEX('Nationwide KWs'!$D$2:$D$168,MATCH(H195,'Nationwide KWs'!$A$2:$A$168,0)),IFERROR(INDEX('Provincial KWs'!$E$2:$E$137,MATCH(H195,'Provincial KWs'!$A$2:$A$137,0)),IFERROR(INDEX('City KWs'!$F$2:$F$419,MATCH(H195,'City KWs'!$A$2:$A$419,0)),"")))</f>
        <v/>
      </c>
      <c r="J195" s="36" t="inlineStr">
        <is>
          <t>Low</t>
        </is>
      </c>
      <c r="K195" s="25" t="inlineStr">
        <is>
          <t>travel insurance health questions; travel insurance misrepresentation; how to fill out travel insurance medical questionnaire; travel insurance questionnaire mistakes; travel insurance rate category</t>
        </is>
      </c>
      <c r="L195" s="36" t="inlineStr">
        <is>
          <t>Nationwide</t>
        </is>
      </c>
      <c r="M195" s="36" t="inlineStr">
        <is>
          <t>informational</t>
        </is>
      </c>
      <c r="N195" s="36" t="inlineStr">
        <is>
          <t>MOFU</t>
        </is>
      </c>
      <c r="O195" s="25" t="inlineStr">
        <is>
          <t>Travel Insurance Medical Questionnaire: Answer It Right</t>
        </is>
      </c>
      <c r="P195" s="36">
        <f>LEN(O195)</f>
        <v/>
      </c>
      <c r="Q195" s="25" t="inlineStr">
        <is>
          <t>How to answer a travel insurance medical questionnaire: gather records, read each time window, avoid common errors and fix mistakes. Get the worksheet.</t>
        </is>
      </c>
      <c r="R195" s="36">
        <f>LEN(Q195)</f>
        <v/>
      </c>
      <c r="S195" s="36">
        <f>IF(H195="","",IF(ISNUMBER(SEARCH(SUBSTITUTE(H195,"-"," "),SUBSTITUTE(O195,"-"," "))),"Yes","Check"))</f>
        <v/>
      </c>
      <c r="T195" s="25" t="inlineStr">
        <is>
          <t>Why the medical questionnaire decides your coverage | Before you start: records, medication list and dates | Reading each question's time window | The most common answering mistakes | What happens if you answer wrongly | Fixing an error after you buy | Getting help from a licensed advisor</t>
        </is>
      </c>
      <c r="U195" s="25" t="inlineStr">
        <is>
          <t>What happens if I make a mistake on my travel insurance questionnaire? | Should my doctor help me fill out the questionnaire? | Do I declare conditions that are well controlled? | Can I change my answers after buying? | Does a medication change after I buy affect coverage?</t>
        </is>
      </c>
      <c r="V195" s="25" t="inlineStr">
        <is>
          <t>Pre-questionnaire worksheet (diagnoses with dates, medications with dose-change dates, tests and referrals in the last 12 months) and a list of the question patterns most often misread.</t>
        </is>
      </c>
      <c r="W195" s="25" t="inlineStr">
        <is>
          <t>/travel-insurance/snowbirds/; /guides/travel-insurance-stability-period/; /guides/travel-insurance-claim-denied/; /guides/snowbird-travel-insurance-cost/</t>
        </is>
      </c>
      <c r="X195" s="25" t="inlineStr">
        <is>
          <t>Request a specialist call: Snowbird travel desk, questionnaire walk-through (/travel-insurance/snowbirds/)</t>
        </is>
      </c>
      <c r="Y195" s="36" t="inlineStr">
        <is>
          <t>Article; FAQPage; HowTo; BreadcrumbList</t>
        </is>
      </c>
      <c r="Z195" s="37" t="n">
        <v>1700</v>
      </c>
      <c r="AA195" s="25" t="inlineStr">
        <is>
          <t>No competitor coverage seen; this is the gap the Snowbird travel desk was built for (questionnaire and stability-period help as a service).</t>
        </is>
      </c>
      <c r="AB195" s="25" t="inlineStr">
        <is>
          <t>Focus keyword in the H1, slug, meta title, first 100 words and first H2, with a 40–60 word answer on why accuracy matters and what to gather first. Offer the worksheet as a download, mark up the preparation steps with HowTo and link 'stability period' and 'claim denied'. Licensed A&amp;S reviewer; image alt 'travel insurance medical questionnaire worksheet'.</t>
        </is>
      </c>
      <c r="AC195" s="25" t="inlineStr">
        <is>
          <t>Never suggest omitting information; state that misstatement can void coverage. Advisors may explain questions but must not answer them for the client.</t>
        </is>
      </c>
      <c r="AD195" s="36" t="inlineStr">
        <is>
          <t>Annual</t>
        </is>
      </c>
      <c r="AE195" s="38" t="n"/>
      <c r="AF195" s="38" t="n"/>
      <c r="AG195" s="38" t="n"/>
    </row>
    <row r="196" ht="46.25" customHeight="1" s="22">
      <c r="A196" s="36">
        <f>"B"&amp;TEXT(ROW()-1,"0000")</f>
        <v/>
      </c>
      <c r="B196" s="38" t="inlineStr">
        <is>
          <t>Planned</t>
        </is>
      </c>
      <c r="C196" s="36" t="n">
        <v>1</v>
      </c>
      <c r="D196" s="36" t="inlineStr">
        <is>
          <t>Travel insurance</t>
        </is>
      </c>
      <c r="E196" s="36" t="inlineStr">
        <is>
          <t>Local (city/province)</t>
        </is>
      </c>
      <c r="F196" s="25" t="inlineStr">
        <is>
          <t>OHIP Out-of-Country Coverage: Time-Away Rules and What OHIP Pays Abroad</t>
        </is>
      </c>
      <c r="G196" s="36" t="inlineStr">
        <is>
          <t>https://instasure.ca/guides/ohip-out-of-country-coverage/</t>
        </is>
      </c>
      <c r="H196" s="36" t="inlineStr">
        <is>
          <t>ohip out of country coverage</t>
        </is>
      </c>
      <c r="I196" s="41">
        <f>IFERROR(INDEX('Nationwide KWs'!$D$2:$D$168,MATCH(H196,'Nationwide KWs'!$A$2:$A$168,0)),IFERROR(INDEX('Provincial KWs'!$E$2:$E$137,MATCH(H196,'Provincial KWs'!$A$2:$A$137,0)),IFERROR(INDEX('City KWs'!$F$2:$F$419,MATCH(H196,'City KWs'!$A$2:$A$419,0)),"")))</f>
        <v/>
      </c>
      <c r="J196" s="36" t="inlineStr">
        <is>
          <t>Medium</t>
        </is>
      </c>
      <c r="K196" s="25" t="inlineStr">
        <is>
          <t>ohip 212 day rule; how long can you be out of ontario and keep ohip; does ohip cover travel to usa; ohip snowbird rules; ohip out of country emergency</t>
        </is>
      </c>
      <c r="L196" s="36" t="inlineStr">
        <is>
          <t>Province: Ontario</t>
        </is>
      </c>
      <c r="M196" s="36" t="inlineStr">
        <is>
          <t>informational</t>
        </is>
      </c>
      <c r="N196" s="36" t="inlineStr">
        <is>
          <t>TOFU</t>
        </is>
      </c>
      <c r="O196" s="25" t="inlineStr">
        <is>
          <t>OHIP Out-of-Country Coverage: Rules for Ontario Travellers</t>
        </is>
      </c>
      <c r="P196" s="36">
        <f>LEN(O196)</f>
        <v/>
      </c>
      <c r="Q196" s="25" t="inlineStr">
        <is>
          <t>OHIP out-of-country coverage explained: how long Ontarians can be away, what OHIP pays for care abroad and why snowbirds need private cover. Plan ahead.</t>
        </is>
      </c>
      <c r="R196" s="36">
        <f>LEN(Q196)</f>
        <v/>
      </c>
      <c r="S196" s="36">
        <f>IF(H196="","",IF(ISNUMBER(SEARCH(SUBSTITUTE(H196,"-"," "),SUBSTITUTE(O196,"-"," "))),"Yes","Check"))</f>
        <v/>
      </c>
      <c r="T196" s="25" t="inlineStr">
        <is>
          <t>Does OHIP cover you outside Canada? | How long you can be away and keep OHIP | What OHIP pays, and doesn't, for care abroad | Travel within Canada: OHIP in other provinces | Worked example: a US hospital stay with and without private coverage | Checklist for Ontario snowbirds</t>
        </is>
      </c>
      <c r="U196" s="25" t="inlineStr">
        <is>
          <t>How many days can I be outside Ontario without losing OHIP? | Does OHIP cover emergency care in the US? | Does OHIP work in other provinces? | Do I need to tell OHIP before a long trip? | How quickly can OHIP be reinstated if it lapses?</t>
        </is>
      </c>
      <c r="V196" s="25" t="inlineStr">
        <is>
          <t>Worked example comparing an illustrative, sourced US hospital bill with what OHIP would and wouldn't reimburse, plus a dated summary of the presence rules from the Ministry of Health.</t>
        </is>
      </c>
      <c r="W196" s="25" t="inlineStr">
        <is>
          <t>/travel-insurance/ontario/; /travel-insurance/snowbirds/; /guides/provincial-health-coverage-time-away-rules/; /guides/travel-insurance-for-usa-from-canada/</t>
        </is>
      </c>
      <c r="X196" s="25" t="inlineStr">
        <is>
          <t>Request a specialist call: Snowbird travel desk (/travel-insurance/snowbirds/)</t>
        </is>
      </c>
      <c r="Y196" s="36" t="inlineStr">
        <is>
          <t>Article; FAQPage; BreadcrumbList</t>
        </is>
      </c>
      <c r="Z196" s="37" t="n">
        <v>1600</v>
      </c>
      <c r="AA196" s="25" t="inlineStr">
        <is>
          <t>Sun Life covers out-of-province travel in general and PolicyAdvisor has OHIP explainers for health insurance; none seen focuses on OHIP's out-of-country rules for snowbirds.</t>
        </is>
      </c>
      <c r="AB196" s="25" t="inlineStr">
        <is>
          <t>Focus keyword in the H1, slug, meta title, first 100 words and first H2, with a 40–60 word answer on the presence rule and OHIP's limited out-of-country payments. Include the worked example table and link 'travel insurance in Ontario' to the province page. Reviewer licensed in Ontario; cite ontario.ca; image alt 'OHIP out-of-country coverage example'.</t>
        </is>
      </c>
      <c r="AC196" s="25" t="inlineStr">
        <is>
          <t>Verify the presence rule (often cited as up to 212 days away in 12 months) and whether OHIP still pays any out-of-country emergency amounts, both on ontario.ca. Label the US bill as an illustrative example with its source.</t>
        </is>
      </c>
      <c r="AD196" s="36" t="inlineStr">
        <is>
          <t>On rule change</t>
        </is>
      </c>
      <c r="AE196" s="38" t="n"/>
      <c r="AF196" s="38" t="n"/>
      <c r="AG196" s="38" t="n"/>
    </row>
    <row r="197" ht="46.25" customHeight="1" s="22">
      <c r="A197" s="36">
        <f>"B"&amp;TEXT(ROW()-1,"0000")</f>
        <v/>
      </c>
      <c r="B197" s="38" t="inlineStr">
        <is>
          <t>Planned</t>
        </is>
      </c>
      <c r="C197" s="36" t="n">
        <v>1</v>
      </c>
      <c r="D197" s="36" t="inlineStr">
        <is>
          <t>Travel insurance</t>
        </is>
      </c>
      <c r="E197" s="36" t="inlineStr">
        <is>
          <t>Regulation</t>
        </is>
      </c>
      <c r="F197" s="25" t="inlineStr">
        <is>
          <t>How Long Can You Leave Canada and Keep Provincial Health Coverage? Rules by Province</t>
        </is>
      </c>
      <c r="G197" s="36" t="inlineStr">
        <is>
          <t>https://instasure.ca/guides/provincial-health-coverage-time-away-rules/</t>
        </is>
      </c>
      <c r="H197" s="36" t="inlineStr">
        <is>
          <t>how long can you leave canada and keep health insurance</t>
        </is>
      </c>
      <c r="I197" s="41">
        <f>IFERROR(INDEX('Nationwide KWs'!$D$2:$D$168,MATCH(H197,'Nationwide KWs'!$A$2:$A$168,0)),IFERROR(INDEX('Provincial KWs'!$E$2:$E$137,MATCH(H197,'Provincial KWs'!$A$2:$A$137,0)),IFERROR(INDEX('City KWs'!$F$2:$F$419,MATCH(H197,'City KWs'!$A$2:$A$419,0)),"")))</f>
        <v/>
      </c>
      <c r="J197" s="36" t="inlineStr">
        <is>
          <t>Medium</t>
        </is>
      </c>
      <c r="K197" s="25" t="inlineStr">
        <is>
          <t>snowbird provincial health rules; out of country health coverage by province; days outside province health card; extended absence provincial health plan; snowbird six month rule canada</t>
        </is>
      </c>
      <c r="L197" s="36" t="inlineStr">
        <is>
          <t>Nationwide</t>
        </is>
      </c>
      <c r="M197" s="36" t="inlineStr">
        <is>
          <t>informational</t>
        </is>
      </c>
      <c r="N197" s="36" t="inlineStr">
        <is>
          <t>TOFU</t>
        </is>
      </c>
      <c r="O197" s="25" t="inlineStr">
        <is>
          <t>How Long Can You Leave Canada and Keep Health Insurance?</t>
        </is>
      </c>
      <c r="P197" s="36">
        <f>LEN(O197)</f>
        <v/>
      </c>
      <c r="Q197" s="25" t="inlineStr">
        <is>
          <t>Province-by-province limits on time away before your health plan lapses, plus extended-absence rules and what each plan pays abroad. Check before booking.</t>
        </is>
      </c>
      <c r="R197" s="36">
        <f>LEN(Q197)</f>
        <v/>
      </c>
      <c r="S197" s="36">
        <f>IF(H197="","",IF(ISNUMBER(SEARCH(SUBSTITUTE(H197,"-"," "),SUBSTITUTE(O197,"-"," "))),"Yes","Check"))</f>
        <v/>
      </c>
      <c r="T197" s="25" t="inlineStr">
        <is>
          <t>How long can you be away and keep provincial coverage? | Time-away limits by province and territory | Extended absences: one-time and repeat options | What each plan pays for care outside Canada | How time away interacts with US stay limits | Snowbird planning checklist</t>
        </is>
      </c>
      <c r="U197" s="25" t="inlineStr">
        <is>
          <t>How many days can I be out of Ontario and keep OHIP? | Is time away counted per calendar year or any 12 months? | What happens if I exceed my province's limit? | Do provincial plans pay anything for emergencies in the US? | Can I get an extended absence for a long winter?</t>
        </is>
      </c>
      <c r="V197" s="25" t="inlineStr">
        <is>
          <t>13-row table of time-away limits, extended-absence options and out-of-country payment rules for every province and territory, each row linked to the plan's own page with a review date.</t>
        </is>
      </c>
      <c r="W197" s="25" t="inlineStr">
        <is>
          <t>/travel-insurance/snowbirds/; /travel-insurance/; /travel-insurance/ontario/; /guides/ohip-out-of-country-coverage/; /guides/snowbird-travel-insurance-cost/</t>
        </is>
      </c>
      <c r="X197" s="25" t="inlineStr">
        <is>
          <t>Request a specialist call: Snowbird travel desk (/travel-insurance/snowbirds/)</t>
        </is>
      </c>
      <c r="Y197" s="36" t="inlineStr">
        <is>
          <t>Article; FAQPage; BreadcrumbList</t>
        </is>
      </c>
      <c r="Z197" s="37" t="n">
        <v>2200</v>
      </c>
      <c r="AA197" s="25" t="inlineStr">
        <is>
          <t>Sun Life ('Why You Might Need Out-Of-Province Travel Insurance') and PolicyAdvisor's travel learning centre explain the risk, and keyword research found no competitor for 'snowbird travel insurance'; no 13-jurisdiction time-away table was seen.</t>
        </is>
      </c>
      <c r="AB197" s="25" t="inlineStr">
        <is>
          <t>Focus keyword in the H1, slug-adjacent wording, meta title, first 100 words and first H2, with a 40–60 word answer that limits differ by province and typically fall around half the year. Make the 13-row table the centrepiece with clear labels and a 'rules as of' date; link each province row to its /travel-insurance/{province}/ page where one exists. Licensed A&amp;S reviewer; image alt 'provincial health coverage time away rules table'.</t>
        </is>
      </c>
      <c r="AC197" s="25" t="inlineStr">
        <is>
          <t>Verify every row against each provincial and territorial health plan on the review date (CONTENT_REVIEW lists snowbird time-away rules). No tax or residency advice; point US stay questions to official US sources.</t>
        </is>
      </c>
      <c r="AD197" s="36" t="inlineStr">
        <is>
          <t>On rule change</t>
        </is>
      </c>
      <c r="AE197" s="38" t="n"/>
      <c r="AF197" s="38" t="n"/>
      <c r="AG197" s="38" t="n"/>
    </row>
    <row r="198" ht="35.05" customHeight="1" s="22">
      <c r="A198" s="36">
        <f>"B"&amp;TEXT(ROW()-1,"0000")</f>
        <v/>
      </c>
      <c r="B198" s="38" t="inlineStr">
        <is>
          <t>Planned</t>
        </is>
      </c>
      <c r="C198" s="36" t="n">
        <v>2</v>
      </c>
      <c r="D198" s="36" t="inlineStr">
        <is>
          <t>Travel insurance</t>
        </is>
      </c>
      <c r="E198" s="36" t="inlineStr">
        <is>
          <t>Claims</t>
        </is>
      </c>
      <c r="F198" s="25" t="inlineStr">
        <is>
          <t>Travel Insurance Claim Denied? Common Reasons and How to Appeal</t>
        </is>
      </c>
      <c r="G198" s="36" t="inlineStr">
        <is>
          <t>https://instasure.ca/guides/travel-insurance-claim-denied/</t>
        </is>
      </c>
      <c r="H198" s="36" t="inlineStr">
        <is>
          <t>travel insurance claim denied</t>
        </is>
      </c>
      <c r="I198" s="41">
        <f>IFERROR(INDEX('Nationwide KWs'!$D$2:$D$168,MATCH(H198,'Nationwide KWs'!$A$2:$A$168,0)),IFERROR(INDEX('Provincial KWs'!$E$2:$E$137,MATCH(H198,'Provincial KWs'!$A$2:$A$137,0)),IFERROR(INDEX('City KWs'!$F$2:$F$419,MATCH(H198,'City KWs'!$A$2:$A$419,0)),"")))</f>
        <v/>
      </c>
      <c r="J198" s="36" t="inlineStr">
        <is>
          <t>Low</t>
        </is>
      </c>
      <c r="K198" s="25" t="inlineStr">
        <is>
          <t>travel medical claim rejected; travel insurance misrepresentation denial; appeal travel insurance claim canada; olhi complaint travel insurance; travel insurance pre-existing condition claim denied</t>
        </is>
      </c>
      <c r="L198" s="36" t="inlineStr">
        <is>
          <t>Nationwide</t>
        </is>
      </c>
      <c r="M198" s="36" t="inlineStr">
        <is>
          <t>informational</t>
        </is>
      </c>
      <c r="N198" s="36" t="inlineStr">
        <is>
          <t>MOFU</t>
        </is>
      </c>
      <c r="O198" s="25" t="inlineStr">
        <is>
          <t>Travel Insurance Claim Denied? Reasons and How to Appeal</t>
        </is>
      </c>
      <c r="P198" s="36">
        <f>LEN(O198)</f>
        <v/>
      </c>
      <c r="Q198" s="25" t="inlineStr">
        <is>
          <t>Why travel insurance claims get denied in Canada, from questionnaire errors to stability breaches, and how to appeal via the insurer and OLHI. Learn more.</t>
        </is>
      </c>
      <c r="R198" s="36">
        <f>LEN(Q198)</f>
        <v/>
      </c>
      <c r="S198" s="36">
        <f>IF(H198="","",IF(ISNUMBER(SEARCH(SUBSTITUTE(H198,"-"," "),SUBSTITUTE(O198,"-"," "))),"Yes","Check"))</f>
        <v/>
      </c>
      <c r="T198" s="25" t="inlineStr">
        <is>
          <t>Why are travel insurance claims denied? | Misrepresentation on the medical questionnaire | Stability-period and pre-existing exclusions | Procedural reasons: no pre-approval, late filing | Appealing: internal review, OLHI and regulators | Preventing a denial on your next trip</t>
        </is>
      </c>
      <c r="U198" s="25" t="inlineStr">
        <is>
          <t>Can an insurer deny a claim for an innocent mistake on the questionnaire? | How long do I have to appeal a denied travel claim? | What does OLHI do? | Can I complain to my provincial insurance regulator? | Will a denied claim affect future travel insurance?</t>
        </is>
      </c>
      <c r="V198" s="25" t="inlineStr">
        <is>
          <t>Denial-reason matrix (clause, evidence that helps, prevention step), an appeal letter template and a table of provincial insurance regulators' complaint contacts.</t>
        </is>
      </c>
      <c r="W198" s="25" t="inlineStr">
        <is>
          <t>/travel-insurance/; /guides/travel-insurance-medical-questionnaire/; /guides/travel-insurance-stability-period/; /guides/super-visa-insurance-claim-denied/</t>
        </is>
      </c>
      <c r="X198" s="25" t="inlineStr">
        <is>
          <t>Request a specialist call: Snowbird travel desk (/travel-insurance/snowbirds/)</t>
        </is>
      </c>
      <c r="Y198" s="36" t="inlineStr">
        <is>
          <t>Article; FAQPage; BreadcrumbList</t>
        </is>
      </c>
      <c r="Z198" s="37" t="n">
        <v>1600</v>
      </c>
      <c r="AA198" s="25" t="inlineStr">
        <is>
          <t>No competitor coverage seen for travel claim denials and appeals.</t>
        </is>
      </c>
      <c r="AB198" s="25" t="inlineStr">
        <is>
          <t>Focus keyword in the H1, slug, meta title, first 100 words and first H2, with a 40–60 word answer naming the top three denial reasons. Use the matrix, template and regulator table; link 'medical questionnaire' and 'stability period'. Licensed A&amp;S reviewer; cite OLHI; image alt 'travel insurance claim denial reasons'.</t>
        </is>
      </c>
      <c r="AC198" s="25" t="inlineStr">
        <is>
          <t>No denial-rate statistics without a published source; verify OLHI's current process and each provincial regulator's name and complaint route (e.g. FSRA in Ontario, BCFSA in BC).</t>
        </is>
      </c>
      <c r="AD198" s="36" t="inlineStr">
        <is>
          <t>Annual</t>
        </is>
      </c>
      <c r="AE198" s="38" t="n"/>
      <c r="AF198" s="38" t="n"/>
      <c r="AG198" s="38" t="n"/>
    </row>
    <row r="199" ht="46.25" customHeight="1" s="22">
      <c r="A199" s="36">
        <f>"B"&amp;TEXT(ROW()-1,"0000")</f>
        <v/>
      </c>
      <c r="B199" s="38" t="inlineStr">
        <is>
          <t>Planned</t>
        </is>
      </c>
      <c r="C199" s="36" t="n">
        <v>2</v>
      </c>
      <c r="D199" s="36" t="inlineStr">
        <is>
          <t>Travel insurance</t>
        </is>
      </c>
      <c r="E199" s="36" t="inlineStr">
        <is>
          <t>Cost &amp; pricing</t>
        </is>
      </c>
      <c r="F199" s="25" t="inlineStr">
        <is>
          <t>How Much Does Travel Insurance Cost in Canada? Prices and Price Drivers</t>
        </is>
      </c>
      <c r="G199" s="36" t="inlineStr">
        <is>
          <t>https://instasure.ca/guides/how-much-does-travel-insurance-cost-canada/</t>
        </is>
      </c>
      <c r="H199" s="36" t="inlineStr">
        <is>
          <t>how much does travel insurance cost</t>
        </is>
      </c>
      <c r="I199" s="41">
        <f>IFERROR(INDEX('Nationwide KWs'!$D$2:$D$168,MATCH(H199,'Nationwide KWs'!$A$2:$A$168,0)),IFERROR(INDEX('Provincial KWs'!$E$2:$E$137,MATCH(H199,'Provincial KWs'!$A$2:$A$137,0)),IFERROR(INDEX('City KWs'!$F$2:$F$419,MATCH(H199,'City KWs'!$A$2:$A$419,0)),"")))</f>
        <v/>
      </c>
      <c r="J199" s="36" t="inlineStr">
        <is>
          <t>Medium</t>
        </is>
      </c>
      <c r="K199" s="25" t="inlineStr">
        <is>
          <t>travel insurance cost canada; average cost of travel insurance canada; travel insurance price per day; travel medical insurance cost by age; trip cancellation insurance cost</t>
        </is>
      </c>
      <c r="L199" s="36" t="inlineStr">
        <is>
          <t>Nationwide</t>
        </is>
      </c>
      <c r="M199" s="36" t="inlineStr">
        <is>
          <t>commercial</t>
        </is>
      </c>
      <c r="N199" s="36" t="inlineStr">
        <is>
          <t>MOFU</t>
        </is>
      </c>
      <c r="O199" s="25" t="inlineStr">
        <is>
          <t>How Much Does Travel Insurance Cost in Canada?</t>
        </is>
      </c>
      <c r="P199" s="36">
        <f>LEN(O199)</f>
        <v/>
      </c>
      <c r="Q199" s="25" t="inlineStr">
        <is>
          <t>How much travel insurance costs in Canada by age, trip length, destination and type of cover, with dated model tables and price drivers. Get an estimate.</t>
        </is>
      </c>
      <c r="R199" s="36">
        <f>LEN(Q199)</f>
        <v/>
      </c>
      <c r="S199" s="36">
        <f>IF(H199="","",IF(ISNUMBER(SEARCH(SUBSTITUTE(H199,"-"," "),SUBSTITUTE(O199,"-"," "))),"Yes","Check"))</f>
        <v/>
      </c>
      <c r="T199" s="25" t="inlineStr">
        <is>
          <t>How much does travel insurance cost? | Travel medical cost by age and trip length | Trip cancellation cost relative to the trip | Destination: US vs rest of world | Deductibles, annual plans and other levers | Where the Instasure numbers come from</t>
        </is>
      </c>
      <c r="U199" s="25" t="inlineStr">
        <is>
          <t>How much is travel insurance for a week in the US? | Why does travel insurance cost more as you age? | Is trip cancellation insurance priced on the trip cost? | Is annual travel insurance cheaper than single trips? | Does a deductible lower travel insurance prices?</t>
        </is>
      </c>
      <c r="V199" s="25" t="inlineStr">
        <is>
          <t>Dated model price tables (age by trip length, US vs non-US) with methodology, feeding the Instasure Rate Index once enough quotes exist.</t>
        </is>
      </c>
      <c r="W199" s="25" t="inlineStr">
        <is>
          <t>/travel-insurance/; /insights/rate-index/; /guides/annual-vs-single-trip-travel-insurance/; /guides/snowbird-travel-insurance-cost/</t>
        </is>
      </c>
      <c r="X199" s="25" t="inlineStr">
        <is>
          <t>Instant travel insurance estimate (/quote/travel-insurance/)</t>
        </is>
      </c>
      <c r="Y199" s="36" t="inlineStr">
        <is>
          <t>Article; FAQPage; BreadcrumbList</t>
        </is>
      </c>
      <c r="Z199" s="37" t="n">
        <v>1800</v>
      </c>
      <c r="AA199" s="25" t="inlineStr">
        <is>
          <t>Ratehub's 'cheap travel insurance Canada' and 'stop overpaying' posts and Rates.ca's 'travel insurance cheaper' resource give tips without dated price tables by age and trip length.</t>
        </is>
      </c>
      <c r="AB199" s="25" t="inlineStr">
        <is>
          <t>Focus keyword in the H1, slug, meta title, first 100 words and first H2, with a 40–60 word answer giving the price drivers and a dated example. Put the tables under the answer with a methodology box; link the Rate Index and the travel pillar. Licensed A&amp;S reviewer; image alt 'travel insurance cost by age table'; refresh quarterly.</t>
        </is>
      </c>
      <c r="AC199" s="25" t="inlineStr">
        <is>
          <t>Model estimates only, with profile and date; no 'cheap' or 'lowest' claims. Verify how trip-cancellation pricing works against current wordings.</t>
        </is>
      </c>
      <c r="AD199" s="36" t="inlineStr">
        <is>
          <t>Quarterly</t>
        </is>
      </c>
      <c r="AE199" s="38" t="n"/>
      <c r="AF199" s="38" t="n"/>
      <c r="AG199" s="38" t="n"/>
    </row>
    <row r="200" ht="46.25" customHeight="1" s="22">
      <c r="A200" s="36">
        <f>"B"&amp;TEXT(ROW()-1,"0000")</f>
        <v/>
      </c>
      <c r="B200" s="38" t="inlineStr">
        <is>
          <t>Planned</t>
        </is>
      </c>
      <c r="C200" s="36" t="n">
        <v>2</v>
      </c>
      <c r="D200" s="36" t="inlineStr">
        <is>
          <t>Travel insurance</t>
        </is>
      </c>
      <c r="E200" s="36" t="inlineStr">
        <is>
          <t>Coverage explained</t>
        </is>
      </c>
      <c r="F200" s="25" t="inlineStr">
        <is>
          <t>Credit Card Travel Insurance: The Gaps to Check Before You Rely on It</t>
        </is>
      </c>
      <c r="G200" s="36" t="inlineStr">
        <is>
          <t>https://instasure.ca/guides/credit-card-travel-insurance-gaps/</t>
        </is>
      </c>
      <c r="H200" s="36" t="inlineStr">
        <is>
          <t>credit card travel insurance</t>
        </is>
      </c>
      <c r="I200" s="41">
        <f>IFERROR(INDEX('Nationwide KWs'!$D$2:$D$168,MATCH(H200,'Nationwide KWs'!$A$2:$A$168,0)),IFERROR(INDEX('Provincial KWs'!$E$2:$E$137,MATCH(H200,'Provincial KWs'!$A$2:$A$137,0)),IFERROR(INDEX('City KWs'!$F$2:$F$419,MATCH(H200,'City KWs'!$A$2:$A$419,0)),"")))</f>
        <v/>
      </c>
      <c r="J200" s="36" t="inlineStr">
        <is>
          <t>Medium</t>
        </is>
      </c>
      <c r="K200" s="25" t="inlineStr">
        <is>
          <t>credit card travel insurance age limit; credit card travel medical insurance canada; does credit card travel insurance cover pre-existing conditions; credit card travel insurance trip length; is credit card travel insurance enough</t>
        </is>
      </c>
      <c r="L200" s="36" t="inlineStr">
        <is>
          <t>Nationwide</t>
        </is>
      </c>
      <c r="M200" s="36" t="inlineStr">
        <is>
          <t>informational</t>
        </is>
      </c>
      <c r="N200" s="36" t="inlineStr">
        <is>
          <t>MOFU</t>
        </is>
      </c>
      <c r="O200" s="25" t="inlineStr">
        <is>
          <t>Credit Card Travel Insurance: 8 Gaps to Check First</t>
        </is>
      </c>
      <c r="P200" s="36">
        <f>LEN(O200)</f>
        <v/>
      </c>
      <c r="Q200" s="25" t="inlineStr">
        <is>
          <t>Credit card travel insurance has limits: age caps, short day limits, pre-existing rules and activation conditions. Use our 8-point check before you travel.</t>
        </is>
      </c>
      <c r="R200" s="36">
        <f>LEN(Q200)</f>
        <v/>
      </c>
      <c r="S200" s="36">
        <f>IF(H200="","",IF(ISNUMBER(SEARCH(SUBSTITUTE(H200,"-"," "),SUBSTITUTE(O200,"-"," "))),"Yes","Check"))</f>
        <v/>
      </c>
      <c r="T200" s="25" t="inlineStr">
        <is>
          <t>Is credit card travel insurance enough? | Gaps 1 and 2: age caps and trip-length limits | Gaps 3 and 4: pre-existing conditions and stability | Gaps 5 and 6: activation rules and who is covered | Gaps 7 and 8: coverage amounts and secondary-payer clauses | Filling the gaps: top-ups and standalone plans | Card benefits checklist</t>
        </is>
      </c>
      <c r="U200" s="25" t="inlineStr">
        <is>
          <t>Does credit card travel insurance cover pre-existing conditions? | Do I have to pay for the trip with the card to be covered? | Is my spouse covered by my credit card travel insurance? | At what age does credit card travel insurance stop? | Is credit card travel insurance primary or secondary?</t>
        </is>
      </c>
      <c r="V200" s="25" t="inlineStr">
        <is>
          <t>8-point audit checklist readers apply to their own certificate of insurance, plus a fill-the-gap decision table.</t>
        </is>
      </c>
      <c r="W200" s="25" t="inlineStr">
        <is>
          <t>/travel-insurance/; /guides/travel-insurance-top-up-coverage/; /guides/travel-insurance-seniors-over-75/; /guides/trip-cancellation-interruption-insurance/</t>
        </is>
      </c>
      <c r="X200" s="25" t="inlineStr">
        <is>
          <t>Instant travel insurance estimate to fill the gaps (/quote/travel-insurance/)</t>
        </is>
      </c>
      <c r="Y200" s="36" t="inlineStr">
        <is>
          <t>Article; FAQPage; BreadcrumbList</t>
        </is>
      </c>
      <c r="Z200" s="37" t="n">
        <v>1700</v>
      </c>
      <c r="AA200" s="25" t="inlineStr">
        <is>
          <t>Ratehub ('top credit cards for travel insurance') and Rates.ca ('The Best Travel Insurance Credit Cards for Canadians in 2024', a stale title) rank cards; neither was seen auditing the coverage gaps.</t>
        </is>
      </c>
      <c r="AB200" s="25" t="inlineStr">
        <is>
          <t>Focus keyword in the H1, slug, meta title, first 100 words and first H2, with a 40–60 word answer that card cover is useful but limited and the three gaps that matter most. Offer the checklist as a download and link 'top-ups' and 'seniors over 75'. Licensed A&amp;S reviewer; image alt 'credit card travel insurance gaps checklist'.</t>
        </is>
      </c>
      <c r="AC200" s="25" t="inlineStr">
        <is>
          <t>Don't rank or name cards as best; describe gaps generically and verify any card-specific example against the current certificate of insurance.</t>
        </is>
      </c>
      <c r="AD200" s="36" t="inlineStr">
        <is>
          <t>Annual</t>
        </is>
      </c>
      <c r="AE200" s="38" t="n"/>
      <c r="AF200" s="38" t="n"/>
      <c r="AG200" s="38" t="n"/>
    </row>
    <row r="201" ht="35.05" customHeight="1" s="22">
      <c r="A201" s="36">
        <f>"B"&amp;TEXT(ROW()-1,"0000")</f>
        <v/>
      </c>
      <c r="B201" s="38" t="inlineStr">
        <is>
          <t>Planned</t>
        </is>
      </c>
      <c r="C201" s="36" t="n">
        <v>2</v>
      </c>
      <c r="D201" s="36" t="inlineStr">
        <is>
          <t>Travel insurance</t>
        </is>
      </c>
      <c r="E201" s="36" t="inlineStr">
        <is>
          <t>Coverage explained</t>
        </is>
      </c>
      <c r="F201" s="25" t="inlineStr">
        <is>
          <t>Travel Insurance Top-Ups: Extending Credit Card or Group Plan Coverage</t>
        </is>
      </c>
      <c r="G201" s="36" t="inlineStr">
        <is>
          <t>https://instasure.ca/guides/travel-insurance-top-up-coverage/</t>
        </is>
      </c>
      <c r="H201" s="36" t="inlineStr">
        <is>
          <t>travel insurance top up</t>
        </is>
      </c>
      <c r="I201" s="41">
        <f>IFERROR(INDEX('Nationwide KWs'!$D$2:$D$168,MATCH(H201,'Nationwide KWs'!$A$2:$A$168,0)),IFERROR(INDEX('Provincial KWs'!$E$2:$E$137,MATCH(H201,'Provincial KWs'!$A$2:$A$137,0)),IFERROR(INDEX('City KWs'!$F$2:$F$419,MATCH(H201,'City KWs'!$A$2:$A$419,0)),"")))</f>
        <v/>
      </c>
      <c r="J201" s="36" t="inlineStr">
        <is>
          <t>Low</t>
        </is>
      </c>
      <c r="K201" s="25" t="inlineStr">
        <is>
          <t>top up travel insurance credit card; extend group travel insurance; retiree travel benefits top up; how does top up travel insurance work</t>
        </is>
      </c>
      <c r="L201" s="36" t="inlineStr">
        <is>
          <t>Nationwide</t>
        </is>
      </c>
      <c r="M201" s="36" t="inlineStr">
        <is>
          <t>commercial</t>
        </is>
      </c>
      <c r="N201" s="36" t="inlineStr">
        <is>
          <t>MOFU</t>
        </is>
      </c>
      <c r="O201" s="25" t="inlineStr">
        <is>
          <t>Travel Insurance Top Up: Extend Card or Group Coverage</t>
        </is>
      </c>
      <c r="P201" s="36">
        <f>LEN(O201)</f>
        <v/>
      </c>
      <c r="Q201" s="25" t="inlineStr">
        <is>
          <t>How a travel insurance top up works: matching it to your card or group plan's day limit, questionnaires, gaps and when a full policy is simpler. Read on.</t>
        </is>
      </c>
      <c r="R201" s="36">
        <f>LEN(Q201)</f>
        <v/>
      </c>
      <c r="S201" s="36">
        <f>IF(H201="","",IF(ISNUMBER(SEARCH(SUBSTITUTE(H201,"-"," "),SUBSTITUTE(O201,"-"," "))),"Yes","Check"))</f>
        <v/>
      </c>
      <c r="T201" s="25" t="inlineStr">
        <is>
          <t>What is a travel insurance top-up? | How top-ups pair with credit card and group plans | Retiree benefits: what you may lose at retirement | Questionnaires and pre-existing rules on top-ups | Top-up vs full-season policy: worked example | Buying a top-up correctly, step by step</t>
        </is>
      </c>
      <c r="U201" s="25" t="inlineStr">
        <is>
          <t>Do I need a top-up if my credit card covers only part of my trip? | Can I buy a top-up after I've left Canada? | Does a top-up cover pre-existing conditions? | What happens if my base plan denies a claim? | Do retiree group plans include travel coverage?</t>
        </is>
      </c>
      <c r="V201" s="25" t="inlineStr">
        <is>
          <t>Worked example of a 120-day trip using a card plan plus a top-up vs a single full-season policy (dated model estimates), plus a base-plan audit checklist.</t>
        </is>
      </c>
      <c r="W201" s="25" t="inlineStr">
        <is>
          <t>/travel-insurance/snowbirds/; /guides/credit-card-travel-insurance-gaps/; /guides/snowbird-travel-insurance-cost/; /group-benefits/</t>
        </is>
      </c>
      <c r="X201" s="25" t="inlineStr">
        <is>
          <t>Instant travel insurance estimate for a top-up (/quote/travel-insurance/)</t>
        </is>
      </c>
      <c r="Y201" s="36" t="inlineStr">
        <is>
          <t>Article; FAQPage; HowTo; BreadcrumbList</t>
        </is>
      </c>
      <c r="Z201" s="37" t="n">
        <v>1400</v>
      </c>
      <c r="AA201" s="25" t="inlineStr">
        <is>
          <t>Ratehub and Rates.ca publish credit card travel insurance posts; no top-up-specific guide was seen.</t>
        </is>
      </c>
      <c r="AB201" s="25" t="inlineStr">
        <is>
          <t>Focus keyword in the H1, slug, meta title, first 100 words and first H2, with a 40–60 word answer defining a top-up and when it applies. Use the worked example table and HowTo markup on the buying steps; link 'credit card travel insurance gaps'. Licensed A&amp;S reviewer; image alt 'travel insurance top-up example'.</t>
        </is>
      </c>
      <c r="AC201" s="25" t="inlineStr">
        <is>
          <t>Base-plan day limits and top-up rules must come from current card and plan documents; label the worked example as a model estimate.</t>
        </is>
      </c>
      <c r="AD201" s="36" t="inlineStr">
        <is>
          <t>Annual</t>
        </is>
      </c>
      <c r="AE201" s="38" t="n"/>
      <c r="AF201" s="38" t="n"/>
      <c r="AG201" s="38" t="n"/>
    </row>
    <row r="202" ht="46.25" customHeight="1" s="22">
      <c r="A202" s="36">
        <f>"B"&amp;TEXT(ROW()-1,"0000")</f>
        <v/>
      </c>
      <c r="B202" s="38" t="inlineStr">
        <is>
          <t>Planned</t>
        </is>
      </c>
      <c r="C202" s="36" t="n">
        <v>2</v>
      </c>
      <c r="D202" s="36" t="inlineStr">
        <is>
          <t>Travel insurance</t>
        </is>
      </c>
      <c r="E202" s="36" t="inlineStr">
        <is>
          <t>Coverage explained</t>
        </is>
      </c>
      <c r="F202" s="25" t="inlineStr">
        <is>
          <t>Travel Insurance for the US From Canada: What You Need and Why</t>
        </is>
      </c>
      <c r="G202" s="36" t="inlineStr">
        <is>
          <t>https://instasure.ca/guides/travel-insurance-for-usa-from-canada/</t>
        </is>
      </c>
      <c r="H202" s="36" t="inlineStr">
        <is>
          <t>travel insurance for usa from canada</t>
        </is>
      </c>
      <c r="I202" s="41">
        <f>IFERROR(INDEX('Nationwide KWs'!$D$2:$D$168,MATCH(H202,'Nationwide KWs'!$A$2:$A$168,0)),IFERROR(INDEX('Provincial KWs'!$E$2:$E$137,MATCH(H202,'Provincial KWs'!$A$2:$A$137,0)),IFERROR(INDEX('City KWs'!$F$2:$F$419,MATCH(H202,'City KWs'!$A$2:$A$419,0)),"")))</f>
        <v/>
      </c>
      <c r="J202" s="36" t="inlineStr">
        <is>
          <t>Medium</t>
        </is>
      </c>
      <c r="K202" s="25" t="inlineStr">
        <is>
          <t>do i need travel insurance to go to the us; travel medical insurance usa canadian; day trip to us travel insurance; us hospital costs canadians; cross border travel insurance</t>
        </is>
      </c>
      <c r="L202" s="36" t="inlineStr">
        <is>
          <t>Nationwide</t>
        </is>
      </c>
      <c r="M202" s="36" t="inlineStr">
        <is>
          <t>commercial</t>
        </is>
      </c>
      <c r="N202" s="36" t="inlineStr">
        <is>
          <t>MOFU</t>
        </is>
      </c>
      <c r="O202" s="25" t="inlineStr">
        <is>
          <t>Travel Insurance for the USA From Canada: Do You Need It?</t>
        </is>
      </c>
      <c r="P202" s="36">
        <f>LEN(O202)</f>
        <v/>
      </c>
      <c r="Q202" s="25" t="inlineStr">
        <is>
          <t>Do you need travel insurance for the US from Canada? Why provincial plans fall short, day-trip and road-trip options, and what US care can cost. Read on.</t>
        </is>
      </c>
      <c r="R202" s="36">
        <f>LEN(Q202)</f>
        <v/>
      </c>
      <c r="S202" s="36">
        <f>IF(H202="","",IF(ISNUMBER(SEARCH(SUBSTITUTE(H202,"-"," "),SUBSTITUTE(O202,"-"," "))),"Yes","Check"))</f>
        <v/>
      </c>
      <c r="T202" s="25" t="inlineStr">
        <is>
          <t>Do Canadians need travel insurance for the US? | What your provincial plan pays in the US | Day trips, cross-border shopping and road trips | US hospital billing: why bills grow fast | Choosing coverage: amount, deductible, multi-trip | Driving in the US: what your car policy covers</t>
        </is>
      </c>
      <c r="U202" s="25" t="inlineStr">
        <is>
          <t>Do I need travel insurance for a day trip to the US? | Does my provincial plan cover me in the US? | How much travel medical coverage should I buy for the US? | Does annual travel insurance cover short US trips? | Does my Canadian car insurance work in the US?</t>
        </is>
      </c>
      <c r="V202" s="25" t="inlineStr">
        <is>
          <t>Province-by-province summary of what each plan reimburses for US emergencies (sourced, dated) next to illustrative US hospital charges from published sources.</t>
        </is>
      </c>
      <c r="W202" s="25" t="inlineStr">
        <is>
          <t>/travel-insurance/; /guides/provincial-health-coverage-time-away-rules/; /guides/annual-vs-single-trip-travel-insurance/; /car-insurance/</t>
        </is>
      </c>
      <c r="X202" s="25" t="inlineStr">
        <is>
          <t>Instant travel insurance estimate (/quote/travel-insurance/)</t>
        </is>
      </c>
      <c r="Y202" s="36" t="inlineStr">
        <is>
          <t>Article; FAQPage; BreadcrumbList</t>
        </is>
      </c>
      <c r="Z202" s="37" t="n">
        <v>1600</v>
      </c>
      <c r="AA202" s="25" t="inlineStr">
        <is>
          <t>Sun Life's out-of-province page and Rates.ca's 'does your car insurance cover travel out of province' cover parts of this; no competitor seen combines health-plan limits, US costs and car coverage.</t>
        </is>
      </c>
      <c r="AB202" s="25" t="inlineStr">
        <is>
          <t>Focus keyword in the H1, slug, meta title, first 100 words and first H2, with a 40–60 word answer that provincial plans pay little in the US and private cover fills the gap. Use the province summary table; link the time-away rules guide and 'car insurance'. Licensed A&amp;S reviewer; image alt 'provincial plan US coverage table'.</t>
        </is>
      </c>
      <c r="AC202" s="25" t="inlineStr">
        <is>
          <t>Source any US cost to a published dataset with its date and verify each provincial reimbursement rule. No scare tactics (RIBO lists them as misleading).</t>
        </is>
      </c>
      <c r="AD202" s="36" t="inlineStr">
        <is>
          <t>Annual</t>
        </is>
      </c>
      <c r="AE202" s="38" t="n"/>
      <c r="AF202" s="38" t="n"/>
      <c r="AG202" s="38" t="n"/>
    </row>
    <row r="203" ht="46.25" customHeight="1" s="22">
      <c r="A203" s="36">
        <f>"B"&amp;TEXT(ROW()-1,"0000")</f>
        <v/>
      </c>
      <c r="B203" s="38" t="inlineStr">
        <is>
          <t>Planned</t>
        </is>
      </c>
      <c r="C203" s="36" t="n">
        <v>2</v>
      </c>
      <c r="D203" s="36" t="inlineStr">
        <is>
          <t>Travel insurance</t>
        </is>
      </c>
      <c r="E203" s="36" t="inlineStr">
        <is>
          <t>How-to</t>
        </is>
      </c>
      <c r="F203" s="25" t="inlineStr">
        <is>
          <t>Snowbird Checklist: Health Coverage, Insurance, Home and Car Before You Leave</t>
        </is>
      </c>
      <c r="G203" s="36" t="inlineStr">
        <is>
          <t>https://instasure.ca/guides/snowbird-checklist-before-you-leave/</t>
        </is>
      </c>
      <c r="H203" s="36" t="inlineStr">
        <is>
          <t>snowbird checklist</t>
        </is>
      </c>
      <c r="I203" s="41">
        <f>IFERROR(INDEX('Nationwide KWs'!$D$2:$D$168,MATCH(H203,'Nationwide KWs'!$A$2:$A$168,0)),IFERROR(INDEX('Provincial KWs'!$E$2:$E$137,MATCH(H203,'Provincial KWs'!$A$2:$A$137,0)),IFERROR(INDEX('City KWs'!$F$2:$F$419,MATCH(H203,'City KWs'!$A$2:$A$419,0)),"")))</f>
        <v/>
      </c>
      <c r="J203" s="36" t="inlineStr">
        <is>
          <t>Low</t>
        </is>
      </c>
      <c r="K203" s="25" t="inlineStr">
        <is>
          <t>snowbird home insurance vacancy; snowbird car insurance storage; leaving home for winter insurance; snowbird travel checklist canada; home insurance while away for winter</t>
        </is>
      </c>
      <c r="L203" s="36" t="inlineStr">
        <is>
          <t>Nationwide</t>
        </is>
      </c>
      <c r="M203" s="36" t="inlineStr">
        <is>
          <t>informational</t>
        </is>
      </c>
      <c r="N203" s="36" t="inlineStr">
        <is>
          <t>TOFU</t>
        </is>
      </c>
      <c r="O203" s="25" t="inlineStr">
        <is>
          <t>Snowbird Checklist: Insurance and Health Before You Go</t>
        </is>
      </c>
      <c r="P203" s="36">
        <f>LEN(O203)</f>
        <v/>
      </c>
      <c r="Q203" s="25" t="inlineStr">
        <is>
          <t>A snowbird checklist for Canadians: provincial health rules, travel medical, home vacancy conditions, car storage coverage and documents to pack. Print it.</t>
        </is>
      </c>
      <c r="R203" s="36">
        <f>LEN(Q203)</f>
        <v/>
      </c>
      <c r="S203" s="36">
        <f>IF(H203="","",IF(ISNUMBER(SEARCH(SUBSTITUTE(H203,"-"," "),SUBSTITUTE(O203,"-"," "))),"Yes","Check"))</f>
        <v/>
      </c>
      <c r="T203" s="25" t="inlineStr">
        <is>
          <t>Snowbird checklist: the essentials | Health coverage: provincial rules and travel medical | Medications and the stability period | Home insurance: vacancy and inspection conditions | Car insurance: storage or driving south | Documents to carry and leave behind</t>
        </is>
      </c>
      <c r="U203" s="25" t="inlineStr">
        <is>
          <t>Does my home insurance cover my house while I'm away for the winter? | Should I reduce car coverage while I'm away? | How often must someone check my home? | What documents should snowbirds carry? | When should I buy snowbird travel insurance?</t>
        </is>
      </c>
      <c r="V203" s="25" t="inlineStr">
        <is>
          <t>Printable 30-item checklist organised by 8 weeks, 4 weeks, 1 week and departure day, covering health, travel medical, home, car and documents.</t>
        </is>
      </c>
      <c r="W203" s="25" t="inlineStr">
        <is>
          <t>/travel-insurance/snowbirds/; /home-insurance/; /car-insurance/senior-drivers/; /guides/provincial-health-coverage-time-away-rules/; /guides/travel-insurance-stability-period/</t>
        </is>
      </c>
      <c r="X203" s="25" t="inlineStr">
        <is>
          <t>Request a specialist call: Snowbird travel desk (/travel-insurance/snowbirds/)</t>
        </is>
      </c>
      <c r="Y203" s="36" t="inlineStr">
        <is>
          <t>Article; FAQPage; HowTo; BreadcrumbList</t>
        </is>
      </c>
      <c r="Z203" s="37" t="n">
        <v>1500</v>
      </c>
      <c r="AA203" s="25" t="inlineStr">
        <is>
          <t>Sonnet and Rates.ca publish home and car tips separately; no competitor seen combines health, travel medical, home vacancy and car storage in one snowbird checklist.</t>
        </is>
      </c>
      <c r="AB203" s="25" t="inlineStr">
        <is>
          <t>Focus keyword in the H1, slug, meta title, first 100 words and first H2, with a 40–60 word answer listing the five areas to cover. Offer the printable PDF, use HowTo markup on the time-ordered steps and link 'home insurance' and 'car insurance for seniors' for cross-sell. Licensed A&amp;S and general insurance reviewers; image alt 'snowbird checklist printable'; publish in September.</t>
        </is>
      </c>
      <c r="AC203" s="25" t="inlineStr">
        <is>
          <t>Home vacancy and inspection requirements vary by policy; tell readers to check their wording and verify any typical interval cited.</t>
        </is>
      </c>
      <c r="AD203" s="36" t="inlineStr">
        <is>
          <t>Annual</t>
        </is>
      </c>
      <c r="AE203" s="38" t="n"/>
      <c r="AF203" s="38" t="n"/>
      <c r="AG203" s="38" t="n"/>
    </row>
    <row r="204" ht="46.25" customHeight="1" s="22">
      <c r="A204" s="36">
        <f>"B"&amp;TEXT(ROW()-1,"0000")</f>
        <v/>
      </c>
      <c r="B204" s="38" t="inlineStr">
        <is>
          <t>Planned</t>
        </is>
      </c>
      <c r="C204" s="36" t="n">
        <v>2</v>
      </c>
      <c r="D204" s="36" t="inlineStr">
        <is>
          <t>Travel insurance</t>
        </is>
      </c>
      <c r="E204" s="36" t="inlineStr">
        <is>
          <t>Local (city/province)</t>
        </is>
      </c>
      <c r="F204" s="25" t="inlineStr">
        <is>
          <t>Alberta Health Care Out-of-Country Rules for Snowbirds (AHCIP)</t>
        </is>
      </c>
      <c r="G204" s="36" t="inlineStr">
        <is>
          <t>https://instasure.ca/guides/alberta-ahcip-out-of-country-rules/</t>
        </is>
      </c>
      <c r="H204" s="36" t="inlineStr">
        <is>
          <t>ahcip out of country coverage</t>
        </is>
      </c>
      <c r="I204" s="41">
        <f>IFERROR(INDEX('Nationwide KWs'!$D$2:$D$168,MATCH(H204,'Nationwide KWs'!$A$2:$A$168,0)),IFERROR(INDEX('Provincial KWs'!$E$2:$E$137,MATCH(H204,'Provincial KWs'!$A$2:$A$137,0)),IFERROR(INDEX('City KWs'!$F$2:$F$419,MATCH(H204,'City KWs'!$A$2:$A$419,0)),"")))</f>
        <v/>
      </c>
      <c r="J204" s="36" t="inlineStr">
        <is>
          <t>Low</t>
        </is>
      </c>
      <c r="K204" s="25" t="inlineStr">
        <is>
          <t>how long can you be out of alberta and keep health care; alberta health care travel outside canada; alberta snowbird rules; ahcip temporary absence; alberta health care usa emergency</t>
        </is>
      </c>
      <c r="L204" s="36" t="inlineStr">
        <is>
          <t>Province: Alberta</t>
        </is>
      </c>
      <c r="M204" s="36" t="inlineStr">
        <is>
          <t>informational</t>
        </is>
      </c>
      <c r="N204" s="36" t="inlineStr">
        <is>
          <t>TOFU</t>
        </is>
      </c>
      <c r="O204" s="25" t="inlineStr">
        <is>
          <t>AHCIP Out-of-Country Coverage: Alberta Snowbird Rules</t>
        </is>
      </c>
      <c r="P204" s="36">
        <f>LEN(O204)</f>
        <v/>
      </c>
      <c r="Q204" s="25" t="inlineStr">
        <is>
          <t>AHCIP out-of-country coverage for Albertans: time-away limits, absence notices, what Alberta pays for care abroad and the cover you need. Plan ahead.</t>
        </is>
      </c>
      <c r="R204" s="36">
        <f>LEN(Q204)</f>
        <v/>
      </c>
      <c r="S204" s="36">
        <f>IF(H204="","",IF(ISNUMBER(SEARCH(SUBSTITUTE(H204,"-"," "),SUBSTITUTE(O204,"-"," "))),"Yes","Check"))</f>
        <v/>
      </c>
      <c r="T204" s="25" t="inlineStr">
        <is>
          <t>How long can Albertans be away and keep AHCIP? | Temporary absence: when and how to notify | What AHCIP pays for out-of-country care | Seniors' drug and supplementary plans while away | Worked example: a winter in Palm Springs | Checklist for Alberta snowbirds</t>
        </is>
      </c>
      <c r="U204" s="25" t="inlineStr">
        <is>
          <t>How long can I leave Alberta without losing health coverage? | Does AHCIP cover emergencies in the US? | Do I need approval for a long absence from Alberta? | Are prescriptions covered while I'm away? | Does my Alberta car insurance cover me in the US?</t>
        </is>
      </c>
      <c r="V204" s="25" t="inlineStr">
        <is>
          <t>Dated summary of AHCIP absence rules with a pre-departure checklist and a worked example of an out-of-country claim reimbursement.</t>
        </is>
      </c>
      <c r="W204" s="25" t="inlineStr">
        <is>
          <t>/travel-insurance/alberta/; /travel-insurance/snowbirds/; /guides/provincial-health-coverage-time-away-rules/; /guides/alberta-car-insurance-2026-care-first/</t>
        </is>
      </c>
      <c r="X204" s="25" t="inlineStr">
        <is>
          <t>Request a specialist call: Snowbird travel desk (/travel-insurance/snowbirds/)</t>
        </is>
      </c>
      <c r="Y204" s="36" t="inlineStr">
        <is>
          <t>Article; FAQPage; BreadcrumbList</t>
        </is>
      </c>
      <c r="Z204" s="37" t="n">
        <v>1400</v>
      </c>
      <c r="AA204" s="25" t="inlineStr">
        <is>
          <t>No competitor coverage seen for Alberta-specific snowbird health rules.</t>
        </is>
      </c>
      <c r="AB204" s="25" t="inlineStr">
        <is>
          <t>Focus keyword in the H1, slug, meta title, first 100 words and first H2, with a 40–60 word answer on the absence limit and how to notify. Include the reimbursement worked example and link 'Alberta car insurance 2026' for the driving question. Reviewer licensed in Alberta; cite alberta.ca; image alt 'Alberta snowbird AHCIP checklist'.</t>
        </is>
      </c>
      <c r="AC204" s="25" t="inlineStr">
        <is>
          <t>Verify absence limits and out-of-country payment rules on alberta.ca; describe seniors' drug programs only after checking their travel provisions.</t>
        </is>
      </c>
      <c r="AD204" s="36" t="inlineStr">
        <is>
          <t>On rule change</t>
        </is>
      </c>
      <c r="AE204" s="38" t="n"/>
      <c r="AF204" s="38" t="n"/>
      <c r="AG204" s="38" t="n"/>
    </row>
    <row r="205" ht="46.25" customHeight="1" s="22">
      <c r="A205" s="36">
        <f>"B"&amp;TEXT(ROW()-1,"0000")</f>
        <v/>
      </c>
      <c r="B205" s="38" t="inlineStr">
        <is>
          <t>Planned</t>
        </is>
      </c>
      <c r="C205" s="36" t="n">
        <v>2</v>
      </c>
      <c r="D205" s="36" t="inlineStr">
        <is>
          <t>Travel insurance</t>
        </is>
      </c>
      <c r="E205" s="36" t="inlineStr">
        <is>
          <t>Local (city/province)</t>
        </is>
      </c>
      <c r="F205" s="25" t="inlineStr">
        <is>
          <t>BC MSP Out-of-Country Rules: Time Away and Coverage for BC Snowbirds</t>
        </is>
      </c>
      <c r="G205" s="36" t="inlineStr">
        <is>
          <t>https://instasure.ca/guides/bc-msp-out-of-country-rules/</t>
        </is>
      </c>
      <c r="H205" s="36" t="inlineStr">
        <is>
          <t>msp out of country rules</t>
        </is>
      </c>
      <c r="I205" s="41">
        <f>IFERROR(INDEX('Nationwide KWs'!$D$2:$D$168,MATCH(H205,'Nationwide KWs'!$A$2:$A$168,0)),IFERROR(INDEX('Provincial KWs'!$E$2:$E$137,MATCH(H205,'Provincial KWs'!$A$2:$A$137,0)),IFERROR(INDEX('City KWs'!$F$2:$F$419,MATCH(H205,'City KWs'!$A$2:$A$419,0)),"")))</f>
        <v/>
      </c>
      <c r="J205" s="36" t="inlineStr">
        <is>
          <t>Low</t>
        </is>
      </c>
      <c r="K205" s="25" t="inlineStr">
        <is>
          <t>how long can you be out of bc and keep msp; msp extended absence; bc snowbird health coverage; msp coverage in usa; msp travel outside canada</t>
        </is>
      </c>
      <c r="L205" s="36" t="inlineStr">
        <is>
          <t>Province: British Columbia</t>
        </is>
      </c>
      <c r="M205" s="36" t="inlineStr">
        <is>
          <t>informational</t>
        </is>
      </c>
      <c r="N205" s="36" t="inlineStr">
        <is>
          <t>TOFU</t>
        </is>
      </c>
      <c r="O205" s="25" t="inlineStr">
        <is>
          <t>MSP Out-of-Country Rules: A Guide for BC Snowbirds</t>
        </is>
      </c>
      <c r="P205" s="36">
        <f>LEN(O205)</f>
        <v/>
      </c>
      <c r="Q205" s="25" t="inlineStr">
        <is>
          <t>BC MSP out-of-country rules: how long you can be away, the extended-absence option, what MSP pays outside Canada and when private cover helps. Plan ahead.</t>
        </is>
      </c>
      <c r="R205" s="36">
        <f>LEN(Q205)</f>
        <v/>
      </c>
      <c r="S205" s="36">
        <f>IF(H205="","",IF(ISNUMBER(SEARCH(SUBSTITUTE(H205,"-"," "),SUBSTITUTE(O205,"-"," "))),"Yes","Check"))</f>
        <v/>
      </c>
      <c r="T205" s="25" t="inlineStr">
        <is>
          <t>How long can you be outside BC and keep MSP? | The extended-absence option and how to apply | What MSP pays for care outside Canada | PharmaCare and prescriptions while away | Worked example: a winter in Arizona | Checklist for BC snowbirds</t>
        </is>
      </c>
      <c r="U205" s="25" t="inlineStr">
        <is>
          <t>How many months can I be out of BC and keep MSP? | How often can I use an extended absence? | Does MSP pay anything for US hospital bills? | Do I need to notify Health Insurance BC before I leave? | Does my ICBC coverage apply when driving in the US?</t>
        </is>
      </c>
      <c r="V205" s="25" t="inlineStr">
        <is>
          <t>Dated summary of MSP absence rules with a month-by-month planning calendar for a typical October-to-April snowbird season.</t>
        </is>
      </c>
      <c r="W205" s="25" t="inlineStr">
        <is>
          <t>/travel-insurance/british-columbia/; /travel-insurance/snowbirds/; /guides/provincial-health-coverage-time-away-rules/; /guides/icbc-optional-insurance-explained/</t>
        </is>
      </c>
      <c r="X205" s="25" t="inlineStr">
        <is>
          <t>Request a specialist call: Snowbird travel desk (/travel-insurance/snowbirds/)</t>
        </is>
      </c>
      <c r="Y205" s="36" t="inlineStr">
        <is>
          <t>Article; FAQPage; BreadcrumbList</t>
        </is>
      </c>
      <c r="Z205" s="37" t="n">
        <v>1400</v>
      </c>
      <c r="AA205" s="25" t="inlineStr">
        <is>
          <t>No competitor coverage seen for BC-specific snowbird health rules.</t>
        </is>
      </c>
      <c r="AB205" s="25" t="inlineStr">
        <is>
          <t>Focus keyword in the H1, slug, meta title, first 100 words and first H2, with a 40–60 word answer stating the absence limit and the extended-absence option. Include the planning calendar and link 'ICBC optional insurance' for the driving question. Reviewer licensed in BC; cite gov.bc.ca; image alt 'BC snowbird MSP planning calendar'.</t>
        </is>
      </c>
      <c r="AC205" s="25" t="inlineStr">
        <is>
          <t>Verify MSP absence limits and extended-absence frequency on gov.bc.ca; confirm ICBC's out-of-country driving coverage with ICBC before answering that FAQ.</t>
        </is>
      </c>
      <c r="AD205" s="36" t="inlineStr">
        <is>
          <t>On rule change</t>
        </is>
      </c>
      <c r="AE205" s="38" t="n"/>
      <c r="AF205" s="38" t="n"/>
      <c r="AG205" s="38" t="n"/>
    </row>
    <row r="206" ht="57.45" customHeight="1" s="22">
      <c r="A206" s="36">
        <f>"B"&amp;TEXT(ROW()-1,"0000")</f>
        <v/>
      </c>
      <c r="B206" s="38" t="inlineStr">
        <is>
          <t>Planned</t>
        </is>
      </c>
      <c r="C206" s="36" t="n">
        <v>2</v>
      </c>
      <c r="D206" s="36" t="inlineStr">
        <is>
          <t>Travel insurance</t>
        </is>
      </c>
      <c r="E206" s="36" t="inlineStr">
        <is>
          <t>Personas</t>
        </is>
      </c>
      <c r="F206" s="25" t="inlineStr">
        <is>
          <t>Are International Students Covered by Provincial Health Care? A Province-by-Province Guide</t>
        </is>
      </c>
      <c r="G206" s="36" t="inlineStr">
        <is>
          <t>https://instasure.ca/guides/international-students-provincial-health-coverage/</t>
        </is>
      </c>
      <c r="H206" s="36" t="inlineStr">
        <is>
          <t>international student health coverage by province</t>
        </is>
      </c>
      <c r="I206" s="41">
        <f>IFERROR(INDEX('Nationwide KWs'!$D$2:$D$168,MATCH(H206,'Nationwide KWs'!$A$2:$A$168,0)),IFERROR(INDEX('Provincial KWs'!$E$2:$E$137,MATCH(H206,'Provincial KWs'!$A$2:$A$137,0)),IFERROR(INDEX('City KWs'!$F$2:$F$419,MATCH(H206,'City KWs'!$A$2:$A$419,0)),"")))</f>
        <v/>
      </c>
      <c r="J206" s="36" t="inlineStr">
        <is>
          <t>Low</t>
        </is>
      </c>
      <c r="K206" s="25" t="inlineStr">
        <is>
          <t>are international students covered by provincial health insurance; does msp cover international students; ohip for international students; ahcip international students; international student waiting period health card</t>
        </is>
      </c>
      <c r="L206" s="36" t="inlineStr">
        <is>
          <t>Nationwide</t>
        </is>
      </c>
      <c r="M206" s="36" t="inlineStr">
        <is>
          <t>informational</t>
        </is>
      </c>
      <c r="N206" s="36" t="inlineStr">
        <is>
          <t>TOFU</t>
        </is>
      </c>
      <c r="O206" s="25" t="inlineStr">
        <is>
          <t>International Student Health Coverage by Province</t>
        </is>
      </c>
      <c r="P206" s="36">
        <f>LEN(O206)</f>
        <v/>
      </c>
      <c r="Q206" s="25" t="inlineStr">
        <is>
          <t>Which provinces cover international students, after what wait and for what permit length, plus school plans like UHIP and gaps to insure. See the table.</t>
        </is>
      </c>
      <c r="R206" s="36">
        <f>LEN(Q206)</f>
        <v/>
      </c>
      <c r="S206" s="36">
        <f>IF(H206="","",IF(ISNUMBER(SEARCH(SUBSTITUTE(H206,"-"," "),SUBSTITUTE(O206,"-"," "))),"Yes","Check"))</f>
        <v/>
      </c>
      <c r="T206" s="25" t="inlineStr">
        <is>
          <t>Are international students covered by provincial health plans? | Eligibility and waiting periods by province | School plans: UHIP, college plans and student unions | Gaps: arrival, travel home, between permits and after graduation | Spouses and children | Checklist for incoming students</t>
        </is>
      </c>
      <c r="U206" s="25" t="inlineStr">
        <is>
          <t>Do international students get OHIP? | Does BC's MSP cover international students? | How long is the waiting period for international students in Alberta? | Are spouses of international students covered? | What happens to coverage after graduation?</t>
        </is>
      </c>
      <c r="V206" s="25" t="inlineStr">
        <is>
          <t>13-jurisdiction eligibility table (covered or not, minimum permit length, waiting period, premium or fee, school-plan alternative), each row sourced and dated.</t>
        </is>
      </c>
      <c r="W206" s="25" t="inlineStr">
        <is>
          <t>/travel-insurance/international-students/; /tenant-insurance/students/; /guides/uhip-ontario-international-students/; /guides/health-insurance-work-permit-holders-canada/</t>
        </is>
      </c>
      <c r="X206" s="25" t="inlineStr">
        <is>
          <t>Request a call with a licensed advisor about student coverage (/travel-insurance/international-students/)</t>
        </is>
      </c>
      <c r="Y206" s="36" t="inlineStr">
        <is>
          <t>Article; FAQPage; BreadcrumbList</t>
        </is>
      </c>
      <c r="Z206" s="37" t="n">
        <v>1900</v>
      </c>
      <c r="AA206" s="25" t="inlineStr">
        <is>
          <t>Keyword research lists PolicyAdvisor for international student health insurance; no province-by-province eligibility table was seen.</t>
        </is>
      </c>
      <c r="AB206" s="25" t="inlineStr">
        <is>
          <t>Focus keyword in the H1, slug, meta title, first 100 words and first H2, with a 40–60 word answer that eligibility varies by province and Ontario universities use UHIP. Put the 13-row table up top; link the service page with 'international student health insurance' anchor text (it owns that keyword) and 'tenant insurance for students'. Licensed A&amp;S reviewer; image alt 'international student health coverage by province'; refresh before each fall intake.</t>
        </is>
      </c>
      <c r="AC206" s="25" t="inlineStr">
        <is>
          <t>Verify every row with the provincial health ministry (a CONTENT_REVIEW item); student rules change often. No advice on study-permit conditions.</t>
        </is>
      </c>
      <c r="AD206" s="36" t="inlineStr">
        <is>
          <t>On rule change</t>
        </is>
      </c>
      <c r="AE206" s="38" t="n"/>
      <c r="AF206" s="38" t="n"/>
      <c r="AG206" s="38" t="n"/>
    </row>
    <row r="207" ht="46.25" customHeight="1" s="22">
      <c r="A207" s="36">
        <f>"B"&amp;TEXT(ROW()-1,"0000")</f>
        <v/>
      </c>
      <c r="B207" s="38" t="inlineStr">
        <is>
          <t>Planned</t>
        </is>
      </c>
      <c r="C207" s="36" t="n">
        <v>2</v>
      </c>
      <c r="D207" s="36" t="inlineStr">
        <is>
          <t>Travel insurance</t>
        </is>
      </c>
      <c r="E207" s="36" t="inlineStr">
        <is>
          <t>Personas</t>
        </is>
      </c>
      <c r="F207" s="25" t="inlineStr">
        <is>
          <t>Travel Insurance for Seniors Over 75: Age Limits, Top-Ups and Options</t>
        </is>
      </c>
      <c r="G207" s="36" t="inlineStr">
        <is>
          <t>https://instasure.ca/guides/travel-insurance-seniors-over-75/</t>
        </is>
      </c>
      <c r="H207" s="36" t="inlineStr">
        <is>
          <t>travel insurance for seniors over 75</t>
        </is>
      </c>
      <c r="I207" s="41">
        <f>IFERROR(INDEX('Nationwide KWs'!$D$2:$D$168,MATCH(H207,'Nationwide KWs'!$A$2:$A$168,0)),IFERROR(INDEX('Provincial KWs'!$E$2:$E$137,MATCH(H207,'Provincial KWs'!$A$2:$A$137,0)),IFERROR(INDEX('City KWs'!$F$2:$F$419,MATCH(H207,'City KWs'!$A$2:$A$419,0)),"")))</f>
        <v/>
      </c>
      <c r="J207" s="36" t="inlineStr">
        <is>
          <t>Low</t>
        </is>
      </c>
      <c r="K207" s="25" t="inlineStr">
        <is>
          <t>travel insurance for seniors; travel insurance over 80 canada; senior travel medical insurance canada; annual travel insurance age limit; credit card travel insurance age limit</t>
        </is>
      </c>
      <c r="L207" s="36" t="inlineStr">
        <is>
          <t>Nationwide</t>
        </is>
      </c>
      <c r="M207" s="36" t="inlineStr">
        <is>
          <t>commercial</t>
        </is>
      </c>
      <c r="N207" s="36" t="inlineStr">
        <is>
          <t>MOFU</t>
        </is>
      </c>
      <c r="O207" s="25" t="inlineStr">
        <is>
          <t>Travel Insurance for Seniors Over 75: Limits and Options</t>
        </is>
      </c>
      <c r="P207" s="36">
        <f>LEN(O207)</f>
        <v/>
      </c>
      <c r="Q207" s="25" t="inlineStr">
        <is>
          <t>Travel insurance for seniors over 75: typical age limits on annual and credit card plans, questionnaires, top-ups and longer-trip options. Get an estimate.</t>
        </is>
      </c>
      <c r="R207" s="36">
        <f>LEN(Q207)</f>
        <v/>
      </c>
      <c r="S207" s="36">
        <f>IF(H207="","",IF(ISNUMBER(SEARCH(SUBSTITUTE(H207,"-"," "),SUBSTITUTE(O207,"-"," "))),"Yes","Check"))</f>
        <v/>
      </c>
      <c r="T207" s="25" t="inlineStr">
        <is>
          <t>Can seniors over 75 get travel insurance? | Age limits on annual, single-trip and credit card plans | How the medical questionnaire changes after 75 | Topping up retiree or credit card coverage | Trip cancellation for older travellers | Questions to ask before you buy</t>
        </is>
      </c>
      <c r="U207" s="25" t="inlineStr">
        <is>
          <t>Is there an age limit for travel insurance in Canada? | Does credit card travel insurance stop at a certain age? | Can an 85-year-old get travel insurance? | Do seniors need a medical questionnaire for short trips? | Is annual multi-trip insurance available after 75?</t>
        </is>
      </c>
      <c r="V207" s="25" t="inlineStr">
        <is>
          <t>Table of typical age thresholds (where questionnaires start, where annual plans stop, where trip-length limits shrink) drawn from current product wordings, with a review date.</t>
        </is>
      </c>
      <c r="W207" s="25" t="inlineStr">
        <is>
          <t>/travel-insurance/snowbirds/; /travel-insurance/; /guides/credit-card-travel-insurance-gaps/; /life-insurance/seniors/; /car-insurance/senior-drivers/</t>
        </is>
      </c>
      <c r="X207" s="25" t="inlineStr">
        <is>
          <t>Instant travel insurance estimate for seniors (/quote/travel-insurance/)</t>
        </is>
      </c>
      <c r="Y207" s="36" t="inlineStr">
        <is>
          <t>Article; FAQPage; BreadcrumbList</t>
        </is>
      </c>
      <c r="Z207" s="37" t="n">
        <v>1600</v>
      </c>
      <c r="AA207" s="25" t="inlineStr">
        <is>
          <t>Keyword research lists Sun Life (travel via its TuGo partnership) for 'travel insurance for seniors'; no competitor seen tabulates age thresholds across plan types.</t>
        </is>
      </c>
      <c r="AB207" s="25" t="inlineStr">
        <is>
          <t>Focus keyword in the H1, slug, meta title, first 100 words and first H2, with a 40–60 word answer that coverage is available but age thresholds change the options. Use the threshold table and link the snowbird page with 'snowbird travel insurance' anchor text (it owns 'travel insurance for seniors'). Licensed A&amp;S reviewer; image alt 'travel insurance age limits table'.</t>
        </is>
      </c>
      <c r="AC207" s="25" t="inlineStr">
        <is>
          <t>Age thresholds vary by insurer and card; source each from current wordings with a date and don't name a card or plan as best.</t>
        </is>
      </c>
      <c r="AD207" s="36" t="inlineStr">
        <is>
          <t>Semi-annual</t>
        </is>
      </c>
      <c r="AE207" s="38" t="n"/>
      <c r="AF207" s="38" t="n"/>
      <c r="AG207" s="38" t="n"/>
    </row>
    <row r="208" ht="35.05" customHeight="1" s="22">
      <c r="A208" s="36">
        <f>"B"&amp;TEXT(ROW()-1,"0000")</f>
        <v/>
      </c>
      <c r="B208" s="38" t="inlineStr">
        <is>
          <t>Planned</t>
        </is>
      </c>
      <c r="C208" s="36" t="n">
        <v>3</v>
      </c>
      <c r="D208" s="36" t="inlineStr">
        <is>
          <t>Travel insurance</t>
        </is>
      </c>
      <c r="E208" s="36" t="inlineStr">
        <is>
          <t>Claims</t>
        </is>
      </c>
      <c r="F208" s="25" t="inlineStr">
        <is>
          <t>How to Make a Travel Insurance Claim From Abroad: Step by Step</t>
        </is>
      </c>
      <c r="G208" s="36" t="inlineStr">
        <is>
          <t>https://instasure.ca/guides/how-to-make-travel-insurance-claim/</t>
        </is>
      </c>
      <c r="H208" s="36" t="inlineStr">
        <is>
          <t>travel insurance claim</t>
        </is>
      </c>
      <c r="I208" s="41">
        <f>IFERROR(INDEX('Nationwide KWs'!$D$2:$D$168,MATCH(H208,'Nationwide KWs'!$A$2:$A$168,0)),IFERROR(INDEX('Provincial KWs'!$E$2:$E$137,MATCH(H208,'Provincial KWs'!$A$2:$A$137,0)),IFERROR(INDEX('City KWs'!$F$2:$F$419,MATCH(H208,'City KWs'!$A$2:$A$419,0)),"")))</f>
        <v/>
      </c>
      <c r="J208" s="36" t="inlineStr">
        <is>
          <t>Medium</t>
        </is>
      </c>
      <c r="K208" s="25" t="inlineStr">
        <is>
          <t>how to file a travel insurance claim; travel insurance claim documents; travel insurance emergency assistance; travel insurance claim time limit; travel insurance direct billing abroad</t>
        </is>
      </c>
      <c r="L208" s="36" t="inlineStr">
        <is>
          <t>Nationwide</t>
        </is>
      </c>
      <c r="M208" s="36" t="inlineStr">
        <is>
          <t>informational</t>
        </is>
      </c>
      <c r="N208" s="36" t="inlineStr">
        <is>
          <t>MOFU</t>
        </is>
      </c>
      <c r="O208" s="25" t="inlineStr">
        <is>
          <t>Travel Insurance Claim: How to File One From Abroad</t>
        </is>
      </c>
      <c r="P208" s="36">
        <f>LEN(O208)</f>
        <v/>
      </c>
      <c r="Q208" s="25" t="inlineStr">
        <is>
          <t>How to make a travel insurance claim from abroad: call assistance first, keep the right records, meet deadlines and coordinate cover. Save the checklist.</t>
        </is>
      </c>
      <c r="R208" s="36">
        <f>LEN(Q208)</f>
        <v/>
      </c>
      <c r="S208" s="36">
        <f>IF(H208="","",IF(ISNUMBER(SEARCH(SUBSTITUTE(H208,"-"," "),SUBSTITUTE(O208,"-"," "))),"Yes","Check"))</f>
        <v/>
      </c>
      <c r="T208" s="25" t="inlineStr">
        <is>
          <t>How do you make a travel insurance claim? | Step 1: call the assistance line before treatment | Records to keep: bills, reports, receipts | Coordinating with your provincial plan and other coverage | Claim deadlines and forms | What to do if the claim stalls</t>
        </is>
      </c>
      <c r="U208" s="25" t="inlineStr">
        <is>
          <t>Do I have to call my insurer before going to hospital abroad? | What documents do I need for a travel insurance claim? | How long do I have to submit a claim? | Does my provincial plan pay first? | Can I claim if my credit card also has travel insurance?</t>
        </is>
      </c>
      <c r="V208" s="25" t="inlineStr">
        <is>
          <t>Printable wallet card and claim-document checklist, plus a flowchart for coordinating the provincial plan, credit card cover and private coverage.</t>
        </is>
      </c>
      <c r="W208" s="25" t="inlineStr">
        <is>
          <t>/travel-insurance/; /travel-insurance/snowbirds/; /guides/travel-insurance-claim-denied/; /guides/credit-card-travel-insurance-gaps/</t>
        </is>
      </c>
      <c r="X208" s="25" t="inlineStr">
        <is>
          <t>Request a specialist call: Snowbird travel desk (/travel-insurance/snowbirds/)</t>
        </is>
      </c>
      <c r="Y208" s="36" t="inlineStr">
        <is>
          <t>Article; FAQPage; HowTo; BreadcrumbList</t>
        </is>
      </c>
      <c r="Z208" s="37" t="n">
        <v>1500</v>
      </c>
      <c r="AA208" s="25" t="inlineStr">
        <is>
          <t>Rates.ca publishes a travel health claims study, but no step-by-step claim guide was seen from the main competitors.</t>
        </is>
      </c>
      <c r="AB208" s="25" t="inlineStr">
        <is>
          <t>Focus keyword in the H1, slug, meta title, first 100 words and first H2, with a 40–60 word answer giving the first three steps. Mark up the steps with HowTo, offer the wallet card as a download and link 'claim denied'. Licensed A&amp;S reviewer; image alt 'travel insurance claim flowchart'.</t>
        </is>
      </c>
      <c r="AC208" s="25" t="inlineStr">
        <is>
          <t>Claims steps vary by insurer; present them as typical. Verify coordination-of-benefits rules with provincial plans before describing the order of payment.</t>
        </is>
      </c>
      <c r="AD208" s="36" t="inlineStr">
        <is>
          <t>Annual</t>
        </is>
      </c>
      <c r="AE208" s="38" t="n"/>
      <c r="AF208" s="38" t="n"/>
      <c r="AG208" s="38" t="n"/>
    </row>
    <row r="209" ht="35.05" customHeight="1" s="22">
      <c r="A209" s="36">
        <f>"B"&amp;TEXT(ROW()-1,"0000")</f>
        <v/>
      </c>
      <c r="B209" s="38" t="inlineStr">
        <is>
          <t>Planned</t>
        </is>
      </c>
      <c r="C209" s="36" t="n">
        <v>3</v>
      </c>
      <c r="D209" s="36" t="inlineStr">
        <is>
          <t>Travel insurance</t>
        </is>
      </c>
      <c r="E209" s="36" t="inlineStr">
        <is>
          <t>Comparisons</t>
        </is>
      </c>
      <c r="F209" s="25" t="inlineStr">
        <is>
          <t>Annual Multi-Trip vs Single-Trip Travel Insurance: Which Fits Your Travel?</t>
        </is>
      </c>
      <c r="G209" s="36" t="inlineStr">
        <is>
          <t>https://instasure.ca/guides/annual-vs-single-trip-travel-insurance/</t>
        </is>
      </c>
      <c r="H209" s="36" t="inlineStr">
        <is>
          <t>annual travel insurance canada</t>
        </is>
      </c>
      <c r="I209" s="41">
        <f>IFERROR(INDEX('Nationwide KWs'!$D$2:$D$168,MATCH(H209,'Nationwide KWs'!$A$2:$A$168,0)),IFERROR(INDEX('Provincial KWs'!$E$2:$E$137,MATCH(H209,'Provincial KWs'!$A$2:$A$137,0)),IFERROR(INDEX('City KWs'!$F$2:$F$419,MATCH(H209,'City KWs'!$A$2:$A$419,0)),"")))</f>
        <v/>
      </c>
      <c r="J209" s="36" t="inlineStr">
        <is>
          <t>Medium</t>
        </is>
      </c>
      <c r="K209" s="25" t="inlineStr">
        <is>
          <t>multi trip travel insurance; annual vs single trip travel insurance; annual travel insurance seniors; annual travel insurance maximum trip length; is annual travel insurance worth it</t>
        </is>
      </c>
      <c r="L209" s="36" t="inlineStr">
        <is>
          <t>Nationwide</t>
        </is>
      </c>
      <c r="M209" s="36" t="inlineStr">
        <is>
          <t>commercial</t>
        </is>
      </c>
      <c r="N209" s="36" t="inlineStr">
        <is>
          <t>MOFU</t>
        </is>
      </c>
      <c r="O209" s="25" t="inlineStr">
        <is>
          <t>Annual Travel Insurance vs Single-Trip: Which Fits You?</t>
        </is>
      </c>
      <c r="P209" s="36">
        <f>LEN(O209)</f>
        <v/>
      </c>
      <c r="Q209" s="25" t="inlineStr">
        <is>
          <t>Annual travel insurance in Canada vs single-trip plans: break-even trip counts, per-trip day limits, age limits and pre-existing rules. Find your fit.</t>
        </is>
      </c>
      <c r="R209" s="36">
        <f>LEN(Q209)</f>
        <v/>
      </c>
      <c r="S209" s="36">
        <f>IF(H209="","",IF(ISNUMBER(SEARCH(SUBSTITUTE(H209,"-"," "),SUBSTITUTE(O209,"-"," "))),"Yes","Check"))</f>
        <v/>
      </c>
      <c r="T209" s="25" t="inlineStr">
        <is>
          <t>Annual or single-trip travel insurance: the quick answer | How annual multi-trip plans work: per-trip day limits | Break-even: how many trips make an annual plan worth it | Age limits and questionnaires on annual plans | Trip cancellation on annual vs single-trip plans | Decision table</t>
        </is>
      </c>
      <c r="U209" s="25" t="inlineStr">
        <is>
          <t>How many trips make annual travel insurance worth it? | Does annual travel insurance cover trips within Canada? | What is the maximum trip length on an annual plan? | Can seniors buy annual multi-trip insurance? | Does annual travel insurance include trip cancellation?</t>
        </is>
      </c>
      <c r="V209" s="25" t="inlineStr">
        <is>
          <t>Break-even calculator embed (trips per year, typical trip length, age) using model estimates, plus a decision table.</t>
        </is>
      </c>
      <c r="W209" s="25" t="inlineStr">
        <is>
          <t>/travel-insurance/; /quote/; /guides/how-much-does-travel-insurance-cost-canada/; /guides/trip-cancellation-interruption-insurance/</t>
        </is>
      </c>
      <c r="X209" s="25" t="inlineStr">
        <is>
          <t>Instant travel insurance estimate (/quote/travel-insurance/)</t>
        </is>
      </c>
      <c r="Y209" s="36" t="inlineStr">
        <is>
          <t>Article; FAQPage; BreadcrumbList</t>
        </is>
      </c>
      <c r="Z209" s="37" t="n">
        <v>1500</v>
      </c>
      <c r="AA209" s="25" t="inlineStr">
        <is>
          <t>Ratehub has a news-style post on annual multi-trip insurance; no competitor seen offers a break-even tool.</t>
        </is>
      </c>
      <c r="AB209" s="25" t="inlineStr">
        <is>
          <t>Focus keyword in the H1, slug, meta title, first 100 words and first H2, with a 40–60 word answer giving the rule of thumb and the per-trip limit caveat. Embed the calculator above the fold and link 'how much travel insurance costs'. Licensed A&amp;S reviewer; image alt 'annual vs single-trip travel insurance decision table'.</t>
        </is>
      </c>
      <c r="AC209" s="25" t="inlineStr">
        <is>
          <t>Calculator outputs are model estimates; verify per-trip limits and age caps against current plan documents.</t>
        </is>
      </c>
      <c r="AD209" s="36" t="inlineStr">
        <is>
          <t>Annual</t>
        </is>
      </c>
      <c r="AE209" s="38" t="n"/>
      <c r="AF209" s="38" t="n"/>
      <c r="AG209" s="38" t="n"/>
    </row>
    <row r="210" ht="46.25" customHeight="1" s="22">
      <c r="A210" s="36">
        <f>"B"&amp;TEXT(ROW()-1,"0000")</f>
        <v/>
      </c>
      <c r="B210" s="38" t="inlineStr">
        <is>
          <t>Planned</t>
        </is>
      </c>
      <c r="C210" s="36" t="n">
        <v>3</v>
      </c>
      <c r="D210" s="36" t="inlineStr">
        <is>
          <t>Travel insurance</t>
        </is>
      </c>
      <c r="E210" s="36" t="inlineStr">
        <is>
          <t>Comparisons</t>
        </is>
      </c>
      <c r="F210" s="25" t="inlineStr">
        <is>
          <t>Blue Cross Travel Insurance Review for Snowbirds and Seniors</t>
        </is>
      </c>
      <c r="G210" s="36" t="inlineStr">
        <is>
          <t>https://instasure.ca/guides/blue-cross-travel-insurance-review/</t>
        </is>
      </c>
      <c r="H210" s="36" t="inlineStr">
        <is>
          <t>blue cross travel insurance review</t>
        </is>
      </c>
      <c r="I210" s="41">
        <f>IFERROR(INDEX('Nationwide KWs'!$D$2:$D$168,MATCH(H210,'Nationwide KWs'!$A$2:$A$168,0)),IFERROR(INDEX('Provincial KWs'!$E$2:$E$137,MATCH(H210,'Provincial KWs'!$A$2:$A$137,0)),IFERROR(INDEX('City KWs'!$F$2:$F$419,MATCH(H210,'City KWs'!$A$2:$A$419,0)),"")))</f>
        <v/>
      </c>
      <c r="J210" s="36" t="inlineStr">
        <is>
          <t>Low</t>
        </is>
      </c>
      <c r="K210" s="25" t="inlineStr">
        <is>
          <t>blue cross travel insurance seniors; blue cross snowbird insurance; blue cross travel insurance pre-existing conditions; blue cross vs manulife travel insurance</t>
        </is>
      </c>
      <c r="L210" s="36" t="inlineStr">
        <is>
          <t>Nationwide</t>
        </is>
      </c>
      <c r="M210" s="36" t="inlineStr">
        <is>
          <t>commercial</t>
        </is>
      </c>
      <c r="N210" s="36" t="inlineStr">
        <is>
          <t>MOFU</t>
        </is>
      </c>
      <c r="O210" s="25" t="inlineStr">
        <is>
          <t>Blue Cross Travel Insurance Review: Snowbird Focus</t>
        </is>
      </c>
      <c r="P210" s="36">
        <f>LEN(O210)</f>
        <v/>
      </c>
      <c r="Q210" s="25" t="inlineStr">
        <is>
          <t>Blue Cross travel insurance reviewed for snowbirds and seniors with a published method: plans, questionnaire, stability rules, limits. See the scores.</t>
        </is>
      </c>
      <c r="R210" s="36">
        <f>LEN(Q210)</f>
        <v/>
      </c>
      <c r="S210" s="36">
        <f>IF(H210="","",IF(ISNUMBER(SEARCH(SUBSTITUTE(H210,"-"," "),SUBSTITUTE(O210,"-"," "))),"Yes","Check"))</f>
        <v/>
      </c>
      <c r="T210" s="25" t="inlineStr">
        <is>
          <t>Blue Cross travel insurance at a glance | How we reviewed it: method and sources | Plans for snowbirds and seniors | Medical questionnaire and stability rules | Limits, exclusions and side trips | Who it may suit, and who should compare further</t>
        </is>
      </c>
      <c r="U210" s="25" t="inlineStr">
        <is>
          <t>Is Blue Cross travel insurance available in every province? | Does Blue Cross cover stable pre-existing conditions? | How long a trip can Blue Cross cover? | How does Blue Cross compare with Manulife for snowbirds? | Can an instasure.ca advisor quote Blue Cross?</t>
        </is>
      </c>
      <c r="V210" s="25" t="inlineStr">
        <is>
          <t>Published review method and a scored criteria table (stability definitions, maximum trip length, age limits, top-up availability, claims process), dated and repeatable for other insurers.</t>
        </is>
      </c>
      <c r="W210" s="25" t="inlineStr">
        <is>
          <t>/travel-insurance/snowbirds/; /editorial-guidelines/; /how-we-make-money/; /guides/travel-insurance-stability-period/</t>
        </is>
      </c>
      <c r="X210" s="25" t="inlineStr">
        <is>
          <t>Request a specialist call: Snowbird travel desk, compare insurers (/travel-insurance/snowbirds/)</t>
        </is>
      </c>
      <c r="Y210" s="36" t="inlineStr">
        <is>
          <t>Article; FAQPage; BreadcrumbList</t>
        </is>
      </c>
      <c r="Z210" s="37" t="n">
        <v>2000</v>
      </c>
      <c r="AA210" s="25" t="inlineStr">
        <is>
          <t>PolicyAdvisor reviews Manulife, Sun Life, Allianz, TuGo, GMS, Travelance, 21st Century and Destination Canada travel plans, and Blue Cross only for health insurance; no snowbird-focused Blue Cross travel review was seen.</t>
        </is>
      </c>
      <c r="AB210" s="25" t="inlineStr">
        <is>
          <t>Focus keyword in the H1, slug, meta title, first 100 words and first H2, with a 40–60 word summary of the verdict and review date. Put the method section before the scores and link 'editorial guidelines' and 'how we make money'. Licensed A&amp;S reviewer named with licence number; image alt 'Blue Cross travel insurance review criteria'; use the same template for later insurer reviews.</t>
        </is>
      </c>
      <c r="AC210" s="25" t="inlineStr">
        <is>
          <t>Needs the published review method first. Blue Cross plans are run by separate regional organisations, so verify which one sells in each province; disclose compensation and say advisors can quote it only if they are appointed (carriers_confirmed).</t>
        </is>
      </c>
      <c r="AD210" s="36" t="inlineStr">
        <is>
          <t>Annual</t>
        </is>
      </c>
      <c r="AE210" s="38" t="n"/>
      <c r="AF210" s="38" t="n"/>
      <c r="AG210" s="38" t="n"/>
    </row>
    <row r="211" ht="46.25" customHeight="1" s="22">
      <c r="A211" s="36">
        <f>"B"&amp;TEXT(ROW()-1,"0000")</f>
        <v/>
      </c>
      <c r="B211" s="38" t="inlineStr">
        <is>
          <t>Planned</t>
        </is>
      </c>
      <c r="C211" s="36" t="n">
        <v>3</v>
      </c>
      <c r="D211" s="36" t="inlineStr">
        <is>
          <t>Travel insurance</t>
        </is>
      </c>
      <c r="E211" s="36" t="inlineStr">
        <is>
          <t>Coverage explained</t>
        </is>
      </c>
      <c r="F211" s="25" t="inlineStr">
        <is>
          <t>Do You Need Travel Insurance Within Canada? Out-of-Province Gaps Explained</t>
        </is>
      </c>
      <c r="G211" s="36" t="inlineStr">
        <is>
          <t>https://instasure.ca/guides/travel-insurance-within-canada/</t>
        </is>
      </c>
      <c r="H211" s="36" t="inlineStr">
        <is>
          <t>travel insurance within canada</t>
        </is>
      </c>
      <c r="I211" s="41">
        <f>IFERROR(INDEX('Nationwide KWs'!$D$2:$D$168,MATCH(H211,'Nationwide KWs'!$A$2:$A$168,0)),IFERROR(INDEX('Provincial KWs'!$E$2:$E$137,MATCH(H211,'Provincial KWs'!$A$2:$A$137,0)),IFERROR(INDEX('City KWs'!$F$2:$F$419,MATCH(H211,'City KWs'!$A$2:$A$419,0)),"")))</f>
        <v/>
      </c>
      <c r="J211" s="36" t="inlineStr">
        <is>
          <t>Low</t>
        </is>
      </c>
      <c r="K211" s="25" t="inlineStr">
        <is>
          <t>out of province travel insurance; does ohip cover other provinces; out of province ambulance cost; reciprocal billing canada provinces; travelling to quebec health coverage</t>
        </is>
      </c>
      <c r="L211" s="36" t="inlineStr">
        <is>
          <t>Nationwide</t>
        </is>
      </c>
      <c r="M211" s="36" t="inlineStr">
        <is>
          <t>informational</t>
        </is>
      </c>
      <c r="N211" s="36" t="inlineStr">
        <is>
          <t>TOFU</t>
        </is>
      </c>
      <c r="O211" s="25" t="inlineStr">
        <is>
          <t>Travel Insurance Within Canada: Out-of-Province Gaps</t>
        </is>
      </c>
      <c r="P211" s="36">
        <f>LEN(O211)</f>
        <v/>
      </c>
      <c r="Q211" s="25" t="inlineStr">
        <is>
          <t>Is travel insurance needed within Canada? How reciprocal billing works, what your plan won't pay in other provinces and when a policy helps. Read on.</t>
        </is>
      </c>
      <c r="R211" s="36">
        <f>LEN(Q211)</f>
        <v/>
      </c>
      <c r="S211" s="36">
        <f>IF(H211="","",IF(ISNUMBER(SEARCH(SUBSTITUTE(H211,"-"," "),SUBSTITUTE(O211,"-"," "))),"Yes","Check"))</f>
        <v/>
      </c>
      <c r="T211" s="25" t="inlineStr">
        <is>
          <t>Do you need travel insurance when travelling in Canada? | Reciprocal billing: what crosses provincial lines | Gaps: ambulance, prescriptions, physician billing and Quebec | Air ambulance and getting home | Who should buy coverage for domestic trips | Annual plans that include Canada</t>
        </is>
      </c>
      <c r="U211" s="25" t="inlineStr">
        <is>
          <t>Does my health card work in other provinces? | Is ambulance covered when I'm in another province? | Why do some Quebec doctors bill out-of-province patients? | Does annual travel insurance cover trips inside Canada? | Do students studying in another province need coverage?</t>
        </is>
      </c>
      <c r="V211" s="25" t="inlineStr">
        <is>
          <t>Matrix of what is typically billed to out-of-province patients (hospital, physician, ambulance, drugs) for each province, sourced to provincial reciprocal-billing pages and dated.</t>
        </is>
      </c>
      <c r="W211" s="25" t="inlineStr">
        <is>
          <t>/travel-insurance/; /guides/ohip-out-of-country-coverage/; /guides/annual-vs-single-trip-travel-insurance/; /travel-insurance/quebec/</t>
        </is>
      </c>
      <c r="X211" s="25" t="inlineStr">
        <is>
          <t>Instant travel insurance estimate (/quote/travel-insurance/)</t>
        </is>
      </c>
      <c r="Y211" s="36" t="inlineStr">
        <is>
          <t>Article; FAQPage; BreadcrumbList</t>
        </is>
      </c>
      <c r="Z211" s="37" t="n">
        <v>1400</v>
      </c>
      <c r="AA211" s="25" t="inlineStr">
        <is>
          <t>PolicyAdvisor ('Travel Insurance Within Canada: Why You Need It') and Sun Life ('Why You Might Need Out-Of-Province Travel Insurance') cover this in prose; neither was seen with a province-by-province billing matrix.</t>
        </is>
      </c>
      <c r="AB211" s="25" t="inlineStr">
        <is>
          <t>Focus keyword in the H1, slug, meta title, first 100 words and first H2, with a 40–60 word answer on reciprocal billing and the gaps it leaves. Use the billing matrix and link the travel pillar with 'out-of-province travel insurance' anchor text (the pillar owns that keyword). Licensed A&amp;S reviewer; image alt 'out-of-province billing matrix'.</t>
        </is>
      </c>
      <c r="AC211" s="25" t="inlineStr">
        <is>
          <t>Verify reciprocal-billing rules and Quebec physician arrangements with each ministry; ambulance fees must be sourced and dated.</t>
        </is>
      </c>
      <c r="AD211" s="36" t="inlineStr">
        <is>
          <t>Annual</t>
        </is>
      </c>
      <c r="AE211" s="38" t="n"/>
      <c r="AF211" s="38" t="n"/>
      <c r="AG211" s="38" t="n"/>
    </row>
    <row r="212" ht="46.25" customHeight="1" s="22">
      <c r="A212" s="36">
        <f>"B"&amp;TEXT(ROW()-1,"0000")</f>
        <v/>
      </c>
      <c r="B212" s="38" t="inlineStr">
        <is>
          <t>Planned</t>
        </is>
      </c>
      <c r="C212" s="36" t="n">
        <v>3</v>
      </c>
      <c r="D212" s="36" t="inlineStr">
        <is>
          <t>Travel insurance</t>
        </is>
      </c>
      <c r="E212" s="36" t="inlineStr">
        <is>
          <t>Coverage explained</t>
        </is>
      </c>
      <c r="F212" s="25" t="inlineStr">
        <is>
          <t>Trip Cancellation and Interruption Insurance: What's Covered and What Isn't</t>
        </is>
      </c>
      <c r="G212" s="36" t="inlineStr">
        <is>
          <t>https://instasure.ca/guides/trip-cancellation-interruption-insurance/</t>
        </is>
      </c>
      <c r="H212" s="36" t="inlineStr">
        <is>
          <t>trip cancellation insurance</t>
        </is>
      </c>
      <c r="I212" s="41">
        <f>IFERROR(INDEX('Nationwide KWs'!$D$2:$D$168,MATCH(H212,'Nationwide KWs'!$A$2:$A$168,0)),IFERROR(INDEX('Provincial KWs'!$E$2:$E$137,MATCH(H212,'Provincial KWs'!$A$2:$A$137,0)),IFERROR(INDEX('City KWs'!$F$2:$F$419,MATCH(H212,'City KWs'!$A$2:$A$419,0)),"")))</f>
        <v/>
      </c>
      <c r="J212" s="36" t="inlineStr">
        <is>
          <t>Medium</t>
        </is>
      </c>
      <c r="K212" s="25" t="inlineStr">
        <is>
          <t>trip interruption insurance; what does trip cancellation insurance cover; cancel for any reason travel insurance canada; trip cancellation pre-existing condition; when to buy trip cancellation insurance</t>
        </is>
      </c>
      <c r="L212" s="36" t="inlineStr">
        <is>
          <t>Nationwide</t>
        </is>
      </c>
      <c r="M212" s="36" t="inlineStr">
        <is>
          <t>informational</t>
        </is>
      </c>
      <c r="N212" s="36" t="inlineStr">
        <is>
          <t>MOFU</t>
        </is>
      </c>
      <c r="O212" s="25" t="inlineStr">
        <is>
          <t>Trip Cancellation Insurance: What's Covered and What Isn't</t>
        </is>
      </c>
      <c r="P212" s="36">
        <f>LEN(O212)</f>
        <v/>
      </c>
      <c r="Q212" s="25" t="inlineStr">
        <is>
          <t>Trip cancellation and interruption insurance explained: covered reasons, exclusions, when to buy and pre-existing condition rules. Read before you book.</t>
        </is>
      </c>
      <c r="R212" s="36">
        <f>LEN(Q212)</f>
        <v/>
      </c>
      <c r="S212" s="36">
        <f>IF(H212="","",IF(ISNUMBER(SEARCH(SUBSTITUTE(H212,"-"," "),SUBSTITUTE(O212,"-"," "))),"Yes","Check"))</f>
        <v/>
      </c>
      <c r="T212" s="25" t="inlineStr">
        <is>
          <t>What does trip cancellation insurance cover? | Cancellation vs interruption vs delay | Covered reasons and common exclusions | When to buy: the booking-date window | Pre-existing conditions of family members | Credit card cancellation cover vs a standalone policy | How to claim</t>
        </is>
      </c>
      <c r="U212" s="25" t="inlineStr">
        <is>
          <t>When should I buy trip cancellation insurance? | Does trip cancellation cover a sick family member at home? | Is 'cancel for any reason' cover available in Canada? | Does trip cancellation cover a travel advisory? | What documents do I need to claim?</t>
        </is>
      </c>
      <c r="V212" s="25" t="inlineStr">
        <is>
          <t>Covered-vs-excluded reasons table built from current wordings, plus a buy-by timeline from booking date to departure.</t>
        </is>
      </c>
      <c r="W212" s="25" t="inlineStr">
        <is>
          <t>/travel-insurance/; /guides/credit-card-travel-insurance-gaps/; /guides/travel-advisory-travel-insurance/; /guides/annual-vs-single-trip-travel-insurance/</t>
        </is>
      </c>
      <c r="X212" s="25" t="inlineStr">
        <is>
          <t>Instant travel insurance estimate (/quote/travel-insurance/)</t>
        </is>
      </c>
      <c r="Y212" s="36" t="inlineStr">
        <is>
          <t>Article; FAQPage; BreadcrumbList</t>
        </is>
      </c>
      <c r="Z212" s="37" t="n">
        <v>1600</v>
      </c>
      <c r="AA212" s="25" t="inlineStr">
        <is>
          <t>Sun Life's '4 Tips For Buying Travel Insurance' and Ratehub's cost-cutting posts touch on cancellation; no detailed covered-reasons table was seen.</t>
        </is>
      </c>
      <c r="AB212" s="25" t="inlineStr">
        <is>
          <t>Focus keyword in the H1, slug, meta title, first 100 words and first H2, with a 40–60 word answer listing the core covered reasons. Use the reasons table and timeline; link 'travel advisory' and 'credit card gaps' guides. Licensed A&amp;S reviewer; image alt 'trip cancellation covered reasons table'.</t>
        </is>
      </c>
      <c r="AC212" s="25" t="inlineStr">
        <is>
          <t>Covered reasons and buy-by windows differ by insurer; cite current wordings. Verify that 'cancel for any reason' products are sold in each province before mentioning them.</t>
        </is>
      </c>
      <c r="AD212" s="36" t="inlineStr">
        <is>
          <t>Annual</t>
        </is>
      </c>
      <c r="AE212" s="38" t="n"/>
      <c r="AF212" s="38" t="n"/>
      <c r="AG212" s="38" t="n"/>
    </row>
    <row r="213" ht="46.25" customHeight="1" s="22">
      <c r="A213" s="36">
        <f>"B"&amp;TEXT(ROW()-1,"0000")</f>
        <v/>
      </c>
      <c r="B213" s="38" t="inlineStr">
        <is>
          <t>Planned</t>
        </is>
      </c>
      <c r="C213" s="36" t="n">
        <v>3</v>
      </c>
      <c r="D213" s="36" t="inlineStr">
        <is>
          <t>Travel insurance</t>
        </is>
      </c>
      <c r="E213" s="36" t="inlineStr">
        <is>
          <t>Local (city/province)</t>
        </is>
      </c>
      <c r="F213" s="25" t="inlineStr">
        <is>
          <t>UHIP Explained: Ontario's University Health Insurance Plan for International Students</t>
        </is>
      </c>
      <c r="G213" s="36" t="inlineStr">
        <is>
          <t>https://instasure.ca/guides/uhip-ontario-international-students/</t>
        </is>
      </c>
      <c r="H213" s="36" t="inlineStr">
        <is>
          <t>uhip</t>
        </is>
      </c>
      <c r="I213" s="41">
        <f>IFERROR(INDEX('Nationwide KWs'!$D$2:$D$168,MATCH(H213,'Nationwide KWs'!$A$2:$A$168,0)),IFERROR(INDEX('Provincial KWs'!$E$2:$E$137,MATCH(H213,'Provincial KWs'!$A$2:$A$137,0)),IFERROR(INDEX('City KWs'!$F$2:$F$419,MATCH(H213,'City KWs'!$A$2:$A$419,0)),"")))</f>
        <v/>
      </c>
      <c r="J213" s="36" t="inlineStr">
        <is>
          <t>Medium</t>
        </is>
      </c>
      <c r="K213" s="25" t="inlineStr">
        <is>
          <t>uhip coverage; uhip cost; uhip dependants; uhip vs ohip; what does uhip not cover; ontario college international student health insurance</t>
        </is>
      </c>
      <c r="L213" s="36" t="inlineStr">
        <is>
          <t>Province: Ontario</t>
        </is>
      </c>
      <c r="M213" s="36" t="inlineStr">
        <is>
          <t>informational</t>
        </is>
      </c>
      <c r="N213" s="36" t="inlineStr">
        <is>
          <t>TOFU</t>
        </is>
      </c>
      <c r="O213" s="25" t="inlineStr">
        <is>
          <t>UHIP Explained: What Ontario's Student Plan Covers</t>
        </is>
      </c>
      <c r="P213" s="36">
        <f>LEN(O213)</f>
        <v/>
      </c>
      <c r="Q213" s="25" t="inlineStr">
        <is>
          <t>UHIP explained for international students in Ontario: who must enrol, what it covers and excludes, dependants, cost and gaps to insure. Read the guide.</t>
        </is>
      </c>
      <c r="R213" s="36">
        <f>LEN(Q213)</f>
        <v/>
      </c>
      <c r="S213" s="36">
        <f>IF(H213="","",IF(ISNUMBER(SEARCH(SUBSTITUTE(H213,"-"," "),SUBSTITUTE(O213,"-"," "))),"Yes","Check"))</f>
        <v/>
      </c>
      <c r="T213" s="25" t="inlineStr">
        <is>
          <t>What is UHIP? | Who must enrol, and which schools use it | What UHIP covers and excludes | Cost and how it's billed | Spouse and child coverage | Gaps: dental, vision, travel home and after graduation | College students: plans outside UHIP</t>
        </is>
      </c>
      <c r="U213" s="25" t="inlineStr">
        <is>
          <t>Is UHIP mandatory for international students in Ontario? | Does UHIP cover dental care? | Can my spouse be covered by UHIP? | Does UHIP cover me when I travel home? | Do Ontario college students use UHIP?</t>
        </is>
      </c>
      <c r="V213" s="25" t="inlineStr">
        <is>
          <t>Plain-language UHIP coverage table (covered, limited, not covered) with the plan document link and review date, plus a gap-coverage checklist.</t>
        </is>
      </c>
      <c r="W213" s="25" t="inlineStr">
        <is>
          <t>/travel-insurance/international-students/; /travel-insurance/ontario/; /tenant-insurance/students/; /guides/international-students-provincial-health-coverage/</t>
        </is>
      </c>
      <c r="X213" s="25" t="inlineStr">
        <is>
          <t>Request a call with a licensed advisor about student coverage (/travel-insurance/international-students/)</t>
        </is>
      </c>
      <c r="Y213" s="36" t="inlineStr">
        <is>
          <t>Article; FAQPage; BreadcrumbList</t>
        </is>
      </c>
      <c r="Z213" s="37" t="n">
        <v>1400</v>
      </c>
      <c r="AA213" s="25" t="inlineStr">
        <is>
          <t>No competitor coverage seen in the research for UHIP specifically; PolicyAdvisor appears for the broader international-student query.</t>
        </is>
      </c>
      <c r="AB213" s="25" t="inlineStr">
        <is>
          <t>Focus keyword in the H1, slug, meta title, first 100 words and first H2, with a 40–60 word definition of UHIP. Use the coverage table and gap checklist; link the provincial guide and 'tenant insurance for students'. Licensed A&amp;S reviewer; cite the UHIP plan documents; image alt 'UHIP coverage table'; refresh each academic year.</t>
        </is>
      </c>
      <c r="AC213" s="25" t="inlineStr">
        <is>
          <t>Verify enrolment rules, covered services and cost on the UHIP site each academic year; don't imply instasure.ca sells or administers UHIP.</t>
        </is>
      </c>
      <c r="AD213" s="36" t="inlineStr">
        <is>
          <t>Annual</t>
        </is>
      </c>
      <c r="AE213" s="38" t="n"/>
      <c r="AF213" s="38" t="n"/>
      <c r="AG213" s="38" t="n"/>
    </row>
    <row r="214" ht="35.05" customHeight="1" s="22">
      <c r="A214" s="36">
        <f>"B"&amp;TEXT(ROW()-1,"0000")</f>
        <v/>
      </c>
      <c r="B214" s="38" t="inlineStr">
        <is>
          <t>Planned</t>
        </is>
      </c>
      <c r="C214" s="36" t="n">
        <v>3</v>
      </c>
      <c r="D214" s="36" t="inlineStr">
        <is>
          <t>Travel insurance</t>
        </is>
      </c>
      <c r="E214" s="36" t="inlineStr">
        <is>
          <t>Personas</t>
        </is>
      </c>
      <c r="F214" s="25" t="inlineStr">
        <is>
          <t>IEC Working Holiday Insurance: What IRCC Requires and How to Buy It</t>
        </is>
      </c>
      <c r="G214" s="36" t="inlineStr">
        <is>
          <t>https://instasure.ca/guides/iec-working-holiday-insurance-canada/</t>
        </is>
      </c>
      <c r="H214" s="36" t="inlineStr">
        <is>
          <t>iec insurance</t>
        </is>
      </c>
      <c r="I214" s="41">
        <f>IFERROR(INDEX('Nationwide KWs'!$D$2:$D$168,MATCH(H214,'Nationwide KWs'!$A$2:$A$168,0)),IFERROR(INDEX('Provincial KWs'!$E$2:$E$137,MATCH(H214,'Provincial KWs'!$A$2:$A$137,0)),IFERROR(INDEX('City KWs'!$F$2:$F$419,MATCH(H214,'City KWs'!$A$2:$A$419,0)),"")))</f>
        <v/>
      </c>
      <c r="J214" s="36" t="inlineStr">
        <is>
          <t>Low</t>
        </is>
      </c>
      <c r="K214" s="25" t="inlineStr">
        <is>
          <t>working holiday insurance canada; iec health insurance requirement; iec insurance for full stay; working holiday visa canada insurance; iec insurance port of entry</t>
        </is>
      </c>
      <c r="L214" s="36" t="inlineStr">
        <is>
          <t>Nationwide</t>
        </is>
      </c>
      <c r="M214" s="36" t="inlineStr">
        <is>
          <t>commercial</t>
        </is>
      </c>
      <c r="N214" s="36" t="inlineStr">
        <is>
          <t>MOFU</t>
        </is>
      </c>
      <c r="O214" s="25" t="inlineStr">
        <is>
          <t>IEC Insurance: Working Holiday Rules and How to Buy It</t>
        </is>
      </c>
      <c r="P214" s="36">
        <f>LEN(O214)</f>
        <v/>
      </c>
      <c r="Q214" s="25" t="inlineStr">
        <is>
          <t>IEC insurance explained: IRCC's health insurance rule for working holiday participants and why a short policy can limit your permit. Check before you fly.</t>
        </is>
      </c>
      <c r="R214" s="36">
        <f>LEN(Q214)</f>
        <v/>
      </c>
      <c r="S214" s="36">
        <f>IF(H214="","",IF(ISNUMBER(SEARCH(SUBSTITUTE(H214,"-"," "),SUBSTITUTE(O214,"-"," "))),"Yes","Check"))</f>
        <v/>
      </c>
      <c r="T214" s="25" t="inlineStr">
        <is>
          <t>What insurance does IEC require? | Why your policy length can limit your work permit | What the policy must cover | Provincial coverage after arrival: does it replace IEC insurance? | Buying before you leave vs after you land | Port-of-entry checklist</t>
        </is>
      </c>
      <c r="U214" s="25" t="inlineStr">
        <is>
          <t>Does IRCC check IEC insurance at the border? | What happens if my insurance is shorter than my planned stay? | Can I buy IEC insurance in my home country? | Do I still need private insurance once I get a provincial health card? | Does IEC insurance cover adventure sports?</t>
        </is>
      </c>
      <c r="V214" s="25" t="inlineStr">
        <is>
          <t>Port-of-entry document checklist and a table showing how policy length can affect permit length, sourced to IRCC's IEC pages with a review date.</t>
        </is>
      </c>
      <c r="W214" s="25" t="inlineStr">
        <is>
          <t>/travel-insurance/visitors-to-canada/; /travel-insurance/international-students/; /guides/health-insurance-work-permit-holders-canada/; /guides/international-students-provincial-health-coverage/</t>
        </is>
      </c>
      <c r="X214" s="25" t="inlineStr">
        <is>
          <t>Request a call with a licensed advisor about IEC coverage (/travel-insurance/visitors-to-canada/)</t>
        </is>
      </c>
      <c r="Y214" s="36" t="inlineStr">
        <is>
          <t>Article; FAQPage; BreadcrumbList</t>
        </is>
      </c>
      <c r="Z214" s="37" t="n">
        <v>1300</v>
      </c>
      <c r="AA214" s="25" t="inlineStr">
        <is>
          <t>No competitor coverage seen in the research for IEC insurance.</t>
        </is>
      </c>
      <c r="AB214" s="25" t="inlineStr">
        <is>
          <t>Focus keyword in the H1, slug, meta title, first 100 words and first H2, with a 40–60 word answer on IRCC's requirement and the permit-length risk. Use the checklist and table; link 'health insurance for work permit holders'. Licensed A&amp;S reviewer; cite IRCC IEC pages; image alt 'IEC insurance port of entry checklist'.</t>
        </is>
      </c>
      <c r="AC214" s="25" t="inlineStr">
        <is>
          <t>Verify IRCC's IEC insurance requirement and the permit-length rule on canada.ca; describe a policy as meeting the requirement only if its wording matches IRCC's, and never guarantee border acceptance.</t>
        </is>
      </c>
      <c r="AD214" s="36" t="inlineStr">
        <is>
          <t>On rule change</t>
        </is>
      </c>
      <c r="AE214" s="38" t="n"/>
      <c r="AF214" s="38" t="n"/>
      <c r="AG214" s="38" t="n"/>
    </row>
    <row r="215" ht="46.25" customHeight="1" s="22">
      <c r="A215" s="36">
        <f>"B"&amp;TEXT(ROW()-1,"0000")</f>
        <v/>
      </c>
      <c r="B215" s="38" t="inlineStr">
        <is>
          <t>Planned</t>
        </is>
      </c>
      <c r="C215" s="36" t="n">
        <v>3</v>
      </c>
      <c r="D215" s="36" t="inlineStr">
        <is>
          <t>Travel insurance</t>
        </is>
      </c>
      <c r="E215" s="36" t="inlineStr">
        <is>
          <t>Personas</t>
        </is>
      </c>
      <c r="F215" s="25" t="inlineStr">
        <is>
          <t>Travel Insurance for Long Trips to India: Time-Away Rules for Newcomer Families</t>
        </is>
      </c>
      <c r="G215" s="36" t="inlineStr">
        <is>
          <t>https://instasure.ca/guides/travel-insurance-long-trip-india-from-canada/</t>
        </is>
      </c>
      <c r="H215" s="36" t="inlineStr">
        <is>
          <t>travel insurance for trip to india from canada</t>
        </is>
      </c>
      <c r="I215" s="41">
        <f>IFERROR(INDEX('Nationwide KWs'!$D$2:$D$168,MATCH(H215,'Nationwide KWs'!$A$2:$A$168,0)),IFERROR(INDEX('Provincial KWs'!$E$2:$E$137,MATCH(H215,'Provincial KWs'!$A$2:$A$137,0)),IFERROR(INDEX('City KWs'!$F$2:$F$419,MATCH(H215,'City KWs'!$A$2:$A$419,0)),"")))</f>
        <v/>
      </c>
      <c r="J215" s="36" t="inlineStr">
        <is>
          <t>Low</t>
        </is>
      </c>
      <c r="K215" s="25" t="inlineStr">
        <is>
          <t>travel insurance india from canada; long trip to india provincial health coverage; ohip travel to india six months; travel medical insurance india canadian citizen; family emergency trip cancellation india</t>
        </is>
      </c>
      <c r="L215" s="36" t="inlineStr">
        <is>
          <t>Nationwide</t>
        </is>
      </c>
      <c r="M215" s="36" t="inlineStr">
        <is>
          <t>commercial</t>
        </is>
      </c>
      <c r="N215" s="36" t="inlineStr">
        <is>
          <t>MOFU</t>
        </is>
      </c>
      <c r="O215" s="25" t="inlineStr">
        <is>
          <t>Travel Insurance for a Trip to India From Canada</t>
        </is>
      </c>
      <c r="P215" s="36">
        <f>LEN(O215)</f>
        <v/>
      </c>
      <c r="Q215" s="25" t="inlineStr">
        <is>
          <t>Travel insurance for a trip to India from Canada: provincial time-away limits on long visits, medical cover, cancellation and seniors' options. Plan ahead.</t>
        </is>
      </c>
      <c r="R215" s="36">
        <f>LEN(Q215)</f>
        <v/>
      </c>
      <c r="S215" s="36">
        <f>IF(H215="","",IF(ISNUMBER(SEARCH(SUBSTITUTE(H215,"-"," "),SUBSTITUTE(O215,"-"," "))),"Yes","Check"))</f>
        <v/>
      </c>
      <c r="T215" s="25" t="inlineStr">
        <is>
          <t>Do you need travel insurance for a trip to India? | Long visits home: provincial time-away limits | Medical care in India: what travel insurance pays | Seniors and pre-existing conditions on long trips | Trip cancellation for family emergencies | Checklist before you fly</t>
        </is>
      </c>
      <c r="U215" s="25" t="inlineStr">
        <is>
          <t>Does my provincial health plan cover me in India? | Can I stay in India for six months and keep OHIP? | Is travel insurance needed if care costs less in India? | Can permanent residents buy Canadian travel insurance? | Does travel insurance cover cancelling for a family emergency?</t>
        </is>
      </c>
      <c r="V215" s="25" t="inlineStr">
        <is>
          <t>Time-away planning table for Ontario, BC and Alberta residents taking long winter trips home, plus a worked example of a five-month visit and the coverage choices it needs.</t>
        </is>
      </c>
      <c r="W215" s="25" t="inlineStr">
        <is>
          <t>/travel-insurance/; /travel-insurance/ontario/; /guides/provincial-health-coverage-time-away-rules/; /guides/trip-cancellation-interruption-insurance/</t>
        </is>
      </c>
      <c r="X215" s="25" t="inlineStr">
        <is>
          <t>Instant travel insurance estimate (/quote/travel-insurance/)</t>
        </is>
      </c>
      <c r="Y215" s="36" t="inlineStr">
        <is>
          <t>Article; FAQPage; BreadcrumbList</t>
        </is>
      </c>
      <c r="Z215" s="37" t="n">
        <v>1500</v>
      </c>
      <c r="AA215" s="25" t="inlineStr">
        <is>
          <t>No competitor coverage seen; the research flags newcomer and community content (India, Philippines, Pakistan) as a high-intent gap in Brampton, Mississauga and Surrey.</t>
        </is>
      </c>
      <c r="AB215" s="25" t="inlineStr">
        <is>
          <t>Focus keyword in the H1, slug, meta title, first 100 words and first H2, with a 40–60 word answer on provincial limits and why private cover still matters. Use the planning table and link the time-away rules guide; publish Punjabi and Hindi versions after professional translation. Licensed A&amp;S reviewer; image alt 'long trip to India coverage planner'; publish before the winter travel season.</t>
        </is>
      </c>
      <c r="AC215" s="25" t="inlineStr">
        <is>
          <t>Verify time-away limits and any first-year presence rules for new permanent residents; make no claims about health-care quality or cost in India. Punjabi or Hindi help only if an active advisor speaks it.</t>
        </is>
      </c>
      <c r="AD215" s="36" t="inlineStr">
        <is>
          <t>Annual</t>
        </is>
      </c>
      <c r="AE215" s="38" t="n"/>
      <c r="AF215" s="38" t="n"/>
      <c r="AG215" s="38" t="n"/>
    </row>
    <row r="216" ht="46.25" customHeight="1" s="22">
      <c r="A216" s="36">
        <f>"B"&amp;TEXT(ROW()-1,"0000")</f>
        <v/>
      </c>
      <c r="B216" s="38" t="inlineStr">
        <is>
          <t>Planned</t>
        </is>
      </c>
      <c r="C216" s="36" t="n">
        <v>4</v>
      </c>
      <c r="D216" s="36" t="inlineStr">
        <is>
          <t>Travel insurance</t>
        </is>
      </c>
      <c r="E216" s="36" t="inlineStr">
        <is>
          <t>Coverage explained</t>
        </is>
      </c>
      <c r="F216" s="25" t="inlineStr">
        <is>
          <t>Does Travel Insurance Cover You During a Travel Advisory?</t>
        </is>
      </c>
      <c r="G216" s="36" t="inlineStr">
        <is>
          <t>https://instasure.ca/guides/travel-advisory-travel-insurance/</t>
        </is>
      </c>
      <c r="H216" s="36" t="inlineStr">
        <is>
          <t>travel advisory travel insurance</t>
        </is>
      </c>
      <c r="I216" s="41">
        <f>IFERROR(INDEX('Nationwide KWs'!$D$2:$D$168,MATCH(H216,'Nationwide KWs'!$A$2:$A$168,0)),IFERROR(INDEX('Provincial KWs'!$E$2:$E$137,MATCH(H216,'Provincial KWs'!$A$2:$A$137,0)),IFERROR(INDEX('City KWs'!$F$2:$F$419,MATCH(H216,'City KWs'!$A$2:$A$419,0)),"")))</f>
        <v/>
      </c>
      <c r="J216" s="36" t="inlineStr">
        <is>
          <t>Low</t>
        </is>
      </c>
      <c r="K216" s="25" t="inlineStr">
        <is>
          <t>avoid non-essential travel insurance coverage; global affairs canada advisory travel insurance; travel insurance war exclusion; travel insurance political unrest; travel advisory trip cancellation claim</t>
        </is>
      </c>
      <c r="L216" s="36" t="inlineStr">
        <is>
          <t>Nationwide</t>
        </is>
      </c>
      <c r="M216" s="36" t="inlineStr">
        <is>
          <t>informational</t>
        </is>
      </c>
      <c r="N216" s="36" t="inlineStr">
        <is>
          <t>TOFU</t>
        </is>
      </c>
      <c r="O216" s="25" t="inlineStr">
        <is>
          <t>Travel Advisory and Travel Insurance: Are You Covered?</t>
        </is>
      </c>
      <c r="P216" s="36">
        <f>LEN(O216)</f>
        <v/>
      </c>
      <c r="Q216" s="25" t="inlineStr">
        <is>
          <t>How Global Affairs Canada travel advisories affect travel insurance: medical cover, cancellation claims and timing rules. Check your policy before you go.</t>
        </is>
      </c>
      <c r="R216" s="36">
        <f>LEN(Q216)</f>
        <v/>
      </c>
      <c r="S216" s="36">
        <f>IF(H216="","",IF(ISNUMBER(SEARCH(SUBSTITUTE(H216,"-"," "),SUBSTITUTE(O216,"-"," "))),"Yes","Check"))</f>
        <v/>
      </c>
      <c r="T216" s="25" t="inlineStr">
        <is>
          <t>Does a travel advisory cancel your travel insurance? | Advisory levels and what they mean for coverage | Medical coverage vs cancellation coverage | Timing: advisories issued before vs after you buy or leave | Unrelated illness or injury in an advisory country | What to do when an advisory changes mid-trip</t>
        </is>
      </c>
      <c r="U216" s="25" t="inlineStr">
        <is>
          <t>Am I covered if I travel somewhere with an 'avoid non-essential travel' advisory? | Can I cancel my trip and claim if an advisory is issued? | Does travel insurance cover evacuation? | What if the advisory was issued after I bought my policy? | Does an advisory affect cover for unrelated medical emergencies?</t>
        </is>
      </c>
      <c r="V216" s="25" t="inlineStr">
        <is>
          <t>Scenario table (advisory before purchase, after purchase, during the trip) by cover type (medical, cancellation, interruption) showing typical outcomes from current wordings, with links to travel.gc.ca.</t>
        </is>
      </c>
      <c r="W216" s="25" t="inlineStr">
        <is>
          <t>/travel-insurance/; /guides/trip-cancellation-interruption-insurance/; /guides/how-to-make-travel-insurance-claim/</t>
        </is>
      </c>
      <c r="X216" s="25" t="inlineStr">
        <is>
          <t>Instant travel insurance estimate (/quote/travel-insurance/)</t>
        </is>
      </c>
      <c r="Y216" s="36" t="inlineStr">
        <is>
          <t>Article; FAQPage; BreadcrumbList</t>
        </is>
      </c>
      <c r="Z216" s="37" t="n">
        <v>1300</v>
      </c>
      <c r="AA216" s="25" t="inlineStr">
        <is>
          <t>Rates.ca ('global tensions travel insurance') and Ratehub (fuel-shortage and World Cup 2026 posts) cover news-driven angles; no evergreen scenario table was seen.</t>
        </is>
      </c>
      <c r="AB216" s="25" t="inlineStr">
        <is>
          <t>Focus keyword in the H1, slug, meta title, first 100 words and first H2, with a 40–60 word answer on how advisory timing decides coverage. Use the scenario table and link 'trip cancellation insurance'. Licensed A&amp;S reviewer; cite travel.gc.ca; image alt 'travel advisory insurance scenarios'; update when advisory terminology changes.</t>
        </is>
      </c>
      <c r="AC216" s="25" t="inlineStr">
        <is>
          <t>Outcomes depend on wording, so label them typical; verify advisory-level terms on travel.gc.ca and avoid scare language.</t>
        </is>
      </c>
      <c r="AD216" s="36" t="inlineStr">
        <is>
          <t>On rule change</t>
        </is>
      </c>
      <c r="AE216" s="38" t="n"/>
      <c r="AF216" s="38" t="n"/>
      <c r="AG216" s="38" t="n"/>
    </row>
    <row r="217" ht="46.25" customHeight="1" s="22">
      <c r="A217" s="36">
        <f>"B"&amp;TEXT(ROW()-1,"0000")</f>
        <v/>
      </c>
      <c r="B217" s="38" t="inlineStr">
        <is>
          <t>Planned</t>
        </is>
      </c>
      <c r="C217" s="36" t="n">
        <v>4</v>
      </c>
      <c r="D217" s="36" t="inlineStr">
        <is>
          <t>Travel insurance</t>
        </is>
      </c>
      <c r="E217" s="36" t="inlineStr">
        <is>
          <t>Local (city/province)</t>
        </is>
      </c>
      <c r="F217" s="25" t="inlineStr">
        <is>
          <t>RAMQ Coverage Outside Quebec: Time-Away Rules for Snowbirds (English Guide)</t>
        </is>
      </c>
      <c r="G217" s="36" t="inlineStr">
        <is>
          <t>https://instasure.ca/guides/ramq-outside-quebec-time-away-rules/</t>
        </is>
      </c>
      <c r="H217" s="36" t="inlineStr">
        <is>
          <t>ramq outside quebec</t>
        </is>
      </c>
      <c r="I217" s="41">
        <f>IFERROR(INDEX('Nationwide KWs'!$D$2:$D$168,MATCH(H217,'Nationwide KWs'!$A$2:$A$168,0)),IFERROR(INDEX('Provincial KWs'!$E$2:$E$137,MATCH(H217,'Provincial KWs'!$A$2:$A$137,0)),IFERROR(INDEX('City KWs'!$F$2:$F$419,MATCH(H217,'City KWs'!$A$2:$A$419,0)),"")))</f>
        <v/>
      </c>
      <c r="J217" s="36" t="inlineStr">
        <is>
          <t>Low</t>
        </is>
      </c>
      <c r="K217" s="25" t="inlineStr">
        <is>
          <t>how long can you leave quebec and keep ramq; ramq 183 days rule; ramq travel usa; quebec snowbird health coverage; ramq out of country reimbursement</t>
        </is>
      </c>
      <c r="L217" s="36" t="inlineStr">
        <is>
          <t>Province: Quebec</t>
        </is>
      </c>
      <c r="M217" s="36" t="inlineStr">
        <is>
          <t>informational</t>
        </is>
      </c>
      <c r="N217" s="36" t="inlineStr">
        <is>
          <t>TOFU</t>
        </is>
      </c>
      <c r="O217" s="25" t="inlineStr">
        <is>
          <t>RAMQ Outside Quebec: Time-Away Rules for Snowbirds</t>
        </is>
      </c>
      <c r="P217" s="36">
        <f>LEN(O217)</f>
        <v/>
      </c>
      <c r="Q217" s="25" t="inlineStr">
        <is>
          <t>RAMQ coverage outside Quebec in plain English: how long you can be away, what RAMQ reimburses abroad and why private cover matters. Join the waitlist.</t>
        </is>
      </c>
      <c r="R217" s="36">
        <f>LEN(Q217)</f>
        <v/>
      </c>
      <c r="S217" s="36">
        <f>IF(H217="","",IF(ISNUMBER(SEARCH(SUBSTITUTE(H217,"-"," "),SUBSTITUTE(O217,"-"," "))),"Yes","Check"))</f>
        <v/>
      </c>
      <c r="T217" s="25" t="inlineStr">
        <is>
          <t>How long can you be outside Quebec and keep RAMQ? | Declaring an absence to RAMQ | What RAMQ reimburses outside Canada | Prescription drug coverage while away | Planning a winter in Florida | What instasure.ca can and can't do for Quebec residents</t>
        </is>
      </c>
      <c r="U217" s="25" t="inlineStr">
        <is>
          <t>How many days can I be outside Quebec in a year? | Does RAMQ pay for hospital care in the US? | Do I have to tell RAMQ I'm leaving? | Is the RAMQ drug plan valid outside Quebec? | Can I buy travel insurance through instasure.ca in Quebec?</t>
        </is>
      </c>
      <c r="V217" s="25" t="inlineStr">
        <is>
          <t>English summary of RAMQ absence rules with the source link and review date, plus a reimbursement worked example.</t>
        </is>
      </c>
      <c r="W217" s="25" t="inlineStr">
        <is>
          <t>/travel-insurance/quebec/; /travel-insurance/snowbirds/; /guides/provincial-health-coverage-time-away-rules/</t>
        </is>
      </c>
      <c r="X217" s="25" t="inlineStr">
        <is>
          <t>Join the Quebec waitlist (/travel-insurance/quebec/)</t>
        </is>
      </c>
      <c r="Y217" s="36" t="inlineStr">
        <is>
          <t>Article; FAQPage; BreadcrumbList</t>
        </is>
      </c>
      <c r="Z217" s="37" t="n">
        <v>1200</v>
      </c>
      <c r="AA217" s="25" t="inlineStr">
        <is>
          <t>No English-language competitor coverage seen; Sonnet publishes French content but not on health-plan travel rules.</t>
        </is>
      </c>
      <c r="AB217" s="25" t="inlineStr">
        <is>
          <t>Focus keyword in the H1, slug, meta title, first 100 words and first H2, with a 40–60 word answer on the annual absence limit and reimbursement. Keep the instasure.ca service limits section visible and link the Quebec travel page for the waitlist. Licensed reviewer; cite ramq.gouv.qc.ca; image alt 'RAMQ outside Quebec rules summary'.</t>
        </is>
      </c>
      <c r="AC217" s="25" t="inlineStr">
        <is>
          <t>Quebec is waitlisted until AMF registration: information only, no solicitation or advice for Quebec residents. Verify the 183-day figure and reimbursement rules on ramq.gouv.qc.ca.</t>
        </is>
      </c>
      <c r="AD217" s="36" t="inlineStr">
        <is>
          <t>On rule change</t>
        </is>
      </c>
      <c r="AE217" s="38" t="n"/>
      <c r="AF217" s="38" t="n"/>
      <c r="AG217" s="38" t="n"/>
    </row>
    <row r="218" ht="46.25" customHeight="1" s="22">
      <c r="A218" s="36">
        <f>"B"&amp;TEXT(ROW()-1,"0000")</f>
        <v/>
      </c>
      <c r="B218" s="38" t="inlineStr">
        <is>
          <t>Planned</t>
        </is>
      </c>
      <c r="C218" s="36" t="n">
        <v>4</v>
      </c>
      <c r="D218" s="36" t="inlineStr">
        <is>
          <t>Travel insurance</t>
        </is>
      </c>
      <c r="E218" s="36" t="inlineStr">
        <is>
          <t>Personas</t>
        </is>
      </c>
      <c r="F218" s="25" t="inlineStr">
        <is>
          <t>Travel Insurance for Canadian Students Studying Abroad</t>
        </is>
      </c>
      <c r="G218" s="36" t="inlineStr">
        <is>
          <t>https://instasure.ca/guides/travel-insurance-students-studying-abroad/</t>
        </is>
      </c>
      <c r="H218" s="36" t="inlineStr">
        <is>
          <t>travel insurance for students studying abroad</t>
        </is>
      </c>
      <c r="I218" s="41">
        <f>IFERROR(INDEX('Nationwide KWs'!$D$2:$D$168,MATCH(H218,'Nationwide KWs'!$A$2:$A$168,0)),IFERROR(INDEX('Provincial KWs'!$E$2:$E$137,MATCH(H218,'Provincial KWs'!$A$2:$A$137,0)),IFERROR(INDEX('City KWs'!$F$2:$F$419,MATCH(H218,'City KWs'!$A$2:$A$419,0)),"")))</f>
        <v/>
      </c>
      <c r="J218" s="36" t="inlineStr">
        <is>
          <t>Low</t>
        </is>
      </c>
      <c r="K218" s="25" t="inlineStr">
        <is>
          <t>student travel insurance canada; ohip student studying abroad; exchange student insurance canada; does provincial health cover students abroad; parents group plan student abroad</t>
        </is>
      </c>
      <c r="L218" s="36" t="inlineStr">
        <is>
          <t>Nationwide</t>
        </is>
      </c>
      <c r="M218" s="36" t="inlineStr">
        <is>
          <t>commercial</t>
        </is>
      </c>
      <c r="N218" s="36" t="inlineStr">
        <is>
          <t>MOFU</t>
        </is>
      </c>
      <c r="O218" s="25" t="inlineStr">
        <is>
          <t>Travel Insurance for Students Studying Abroad (Canada)</t>
        </is>
      </c>
      <c r="P218" s="36">
        <f>LEN(O218)</f>
        <v/>
      </c>
      <c r="Q218" s="25" t="inlineStr">
        <is>
          <t>Travel insurance for Canadian students studying abroad: keeping provincial coverage, host-country insurance rules and a pre-departure checklist. Read on.</t>
        </is>
      </c>
      <c r="R218" s="36">
        <f>LEN(Q218)</f>
        <v/>
      </c>
      <c r="S218" s="36">
        <f>IF(H218="","",IF(ISNUMBER(SEARCH(SUBSTITUTE(H218,"-"," "),SUBSTITUTE(O218,"-"," "))),"Yes","Check"))</f>
        <v/>
      </c>
      <c r="T218" s="25" t="inlineStr">
        <is>
          <t>Do Canadian students abroad need travel insurance? | Keeping your provincial plan while studying away | Host-country insurance requirements | Family plans, school plans and standalone policies | Coverage for travel during the semester | Pre-departure checklist</t>
        </is>
      </c>
      <c r="U218" s="25" t="inlineStr">
        <is>
          <t>Does OHIP cover me while I study abroad? | Am I covered under my parents' group plan while abroad? | Do I also need the host country's student insurance? | Does student travel insurance cover mental health care? | What about trips to other countries during a semester?</t>
        </is>
      </c>
      <c r="V218" s="25" t="inlineStr">
        <is>
          <t>Province table of student absence provisions (how to keep coverage while studying outside Canada and the documents required), sourced and dated, plus a family-plan check.</t>
        </is>
      </c>
      <c r="W218" s="25" t="inlineStr">
        <is>
          <t>/travel-insurance/; /guides/provincial-health-coverage-time-away-rules/; /health-dental-insurance/; /group-benefits/</t>
        </is>
      </c>
      <c r="X218" s="25" t="inlineStr">
        <is>
          <t>Instant travel insurance estimate (/quote/travel-insurance/)</t>
        </is>
      </c>
      <c r="Y218" s="36" t="inlineStr">
        <is>
          <t>Article; FAQPage; BreadcrumbList</t>
        </is>
      </c>
      <c r="Z218" s="37" t="n">
        <v>1400</v>
      </c>
      <c r="AA218" s="25" t="inlineStr">
        <is>
          <t>No competitor coverage seen for Canadians studying abroad.</t>
        </is>
      </c>
      <c r="AB218" s="25" t="inlineStr">
        <is>
          <t>Focus keyword in the H1, slug, meta title, first 100 words and first H2, with a 40–60 word answer on keeping provincial coverage and why a private plan is still needed. Use the province table; link the time-away rules guide. Licensed A&amp;S reviewer; image alt 'student absence rules by province'; publish in spring before fall departures.</t>
        </is>
      </c>
      <c r="AC218" s="25" t="inlineStr">
        <is>
          <t>Verify each province's student-absence provisions; host-country rules change, so link to official sources rather than restating them in detail.</t>
        </is>
      </c>
      <c r="AD218" s="36" t="inlineStr">
        <is>
          <t>Annual</t>
        </is>
      </c>
      <c r="AE218" s="38" t="n"/>
      <c r="AF218" s="38" t="n"/>
      <c r="AG218" s="38" t="n"/>
    </row>
    <row r="219" ht="46.25" customHeight="1" s="22">
      <c r="A219" s="36">
        <f>"B"&amp;TEXT(ROW()-1,"0000")</f>
        <v/>
      </c>
      <c r="B219" s="38" t="inlineStr">
        <is>
          <t>Published</t>
        </is>
      </c>
      <c r="C219" s="36" t="n">
        <v>1</v>
      </c>
      <c r="D219" s="36" t="inlineStr">
        <is>
          <t>Super Visa &amp; visitors insurance</t>
        </is>
      </c>
      <c r="E219" s="36" t="inlineStr">
        <is>
          <t>Comparisons</t>
        </is>
      </c>
      <c r="F219" s="25" t="inlineStr">
        <is>
          <t>How to Compare Super Visa Insurance: A 12-Point Checklist Beyond Price</t>
        </is>
      </c>
      <c r="G219" s="36" t="inlineStr">
        <is>
          <t>https://instasure.ca/guides/compare-super-visa-insurance-checklist/</t>
        </is>
      </c>
      <c r="H219" s="36" t="inlineStr">
        <is>
          <t>compare super visa insurance</t>
        </is>
      </c>
      <c r="I219" s="41">
        <f>IFERROR(INDEX('Nationwide KWs'!$D$2:$D$168,MATCH(H219,'Nationwide KWs'!$A$2:$A$168,0)),IFERROR(INDEX('Provincial KWs'!$E$2:$E$137,MATCH(H219,'Provincial KWs'!$A$2:$A$137,0)),IFERROR(INDEX('City KWs'!$F$2:$F$419,MATCH(H219,'City KWs'!$A$2:$A$419,0)),"")))</f>
        <v/>
      </c>
      <c r="J219" s="36" t="inlineStr">
        <is>
          <t>Medium</t>
        </is>
      </c>
      <c r="K219" s="25" t="inlineStr">
        <is>
          <t>super visa insurance quotes; super visa insurance comparison; why super visa quotes differ; super visa insurance policy wording; super visa insurance checklist</t>
        </is>
      </c>
      <c r="L219" s="36" t="inlineStr">
        <is>
          <t>Nationwide</t>
        </is>
      </c>
      <c r="M219" s="36" t="inlineStr">
        <is>
          <t>commercial</t>
        </is>
      </c>
      <c r="N219" s="36" t="inlineStr">
        <is>
          <t>MOFU</t>
        </is>
      </c>
      <c r="O219" s="25" t="inlineStr">
        <is>
          <t>Compare Super Visa Insurance: 12 Checks Beyond Price</t>
        </is>
      </c>
      <c r="P219" s="36">
        <f>LEN(O219)</f>
        <v/>
      </c>
      <c r="Q219" s="25" t="inlineStr">
        <is>
          <t>Compare Super Visa insurance on more than price: stability rules, deductibles, refunds, side trips and claims handling. Download the 12-point checklist.</t>
        </is>
      </c>
      <c r="R219" s="36">
        <f>LEN(Q219)</f>
        <v/>
      </c>
      <c r="S219" s="36">
        <f>IF(H219="","",IF(ISNUMBER(SEARCH(SUBSTITUTE(H219,"-"," "),SUBSTITUTE(O219,"-"," "))),"Yes","Check"))</f>
        <v/>
      </c>
      <c r="T219" s="25" t="inlineStr">
        <is>
          <t>How to compare Super Visa insurance quotes | Why quotes for the same parent differ so much | The 12-point policy checklist | Red flags in policy wording | Worked example: two quotes, one better fit | Getting quotes checked by a licensed advisor</t>
        </is>
      </c>
      <c r="U219" s="25" t="inlineStr">
        <is>
          <t>Why do Super Visa insurance quotes vary between insurers? | Is the lowest-priced Super Visa policy good enough for IRCC? | What should we check in the policy wording? | Can we compare foreign and Canadian insurers side by side? | How many quotes should we get?</t>
        </is>
      </c>
      <c r="V219" s="25" t="inlineStr">
        <is>
          <t>Printable 12-point checklist (IRCC compliance, stability period, pre-existing definition, deductible basis, refund terms, side trips, direct billing, claims line, payment plan, renewal, age limits, complaint route) and a worked two-quote example.</t>
        </is>
      </c>
      <c r="W219" s="25" t="inlineStr">
        <is>
          <t>/super-visa-insurance/; /quote/; /guides/super-visa-insurance-requirements-cost/; /guides/super-visa-insurance-pre-existing-conditions/; /guides/super-visa-insurance-refund-rules/</t>
        </is>
      </c>
      <c r="X219" s="25" t="inlineStr">
        <is>
          <t>Instant Super Visa insurance estimate, then an advisor compares insurers (/quote/super-visa-insurance/)</t>
        </is>
      </c>
      <c r="Y219" s="36" t="inlineStr">
        <is>
          <t>Article; FAQPage; BreadcrumbList</t>
        </is>
      </c>
      <c r="Z219" s="37" t="n">
        <v>1800</v>
      </c>
      <c r="AA219" s="25" t="inlineStr">
        <is>
          <t>bestquotetravelinsurance.ca ('Compare 14 Insurers') and HelloSafe compare mainly on price; none seen gives a wording checklist that explains why the lowest quote may not fit.</t>
        </is>
      </c>
      <c r="AB219" s="25" t="inlineStr">
        <is>
          <t>Focus keyword in the H1, slug, meta title, first 100 words and first H2, with a 40–60 word answer naming the three checks that matter most after price. Make the checklist a downloadable PDF and an on-page numbered list; link each checklist item to its deep-dive guide. Licensed A&amp;S reviewer; image alt 'Super Visa insurance comparison checklist'.</t>
        </is>
      </c>
      <c r="AC219" s="25" t="inlineStr">
        <is>
          <t>No 'cheapest' or 'best' claims; anonymise insurers in the worked example or back it with dated, documented quotes. State the number of insurers an advisor compares only if true.</t>
        </is>
      </c>
      <c r="AD219" s="36" t="inlineStr">
        <is>
          <t>Semi-annual</t>
        </is>
      </c>
      <c r="AE219" s="38" t="inlineStr">
        <is>
          <t>Michael Le Chi</t>
        </is>
      </c>
      <c r="AF219" s="38" t="n"/>
      <c r="AG219" s="38" t="inlineStr">
        <is>
          <t>2026-10-12</t>
        </is>
      </c>
    </row>
    <row r="220" ht="57.45" customHeight="1" s="22">
      <c r="A220" s="36">
        <f>"B"&amp;TEXT(ROW()-1,"0000")</f>
        <v/>
      </c>
      <c r="B220" s="38" t="inlineStr">
        <is>
          <t>Planned</t>
        </is>
      </c>
      <c r="C220" s="36" t="n">
        <v>1</v>
      </c>
      <c r="D220" s="36" t="inlineStr">
        <is>
          <t>Super Visa &amp; visitors insurance</t>
        </is>
      </c>
      <c r="E220" s="36" t="inlineStr">
        <is>
          <t>Comparisons</t>
        </is>
      </c>
      <c r="F220" s="25" t="inlineStr">
        <is>
          <t>Super Visa vs Visitor Visa for Parents: Stay Length, Insurance and Total Cost</t>
        </is>
      </c>
      <c r="G220" s="36" t="inlineStr">
        <is>
          <t>https://instasure.ca/guides/super-visa-vs-visitor-visa-parents/</t>
        </is>
      </c>
      <c r="H220" s="36" t="inlineStr">
        <is>
          <t>super visa vs visitor visa</t>
        </is>
      </c>
      <c r="I220" s="41">
        <f>IFERROR(INDEX('Nationwide KWs'!$D$2:$D$168,MATCH(H220,'Nationwide KWs'!$A$2:$A$168,0)),IFERROR(INDEX('Provincial KWs'!$E$2:$E$137,MATCH(H220,'Provincial KWs'!$A$2:$A$137,0)),IFERROR(INDEX('City KWs'!$F$2:$F$419,MATCH(H220,'City KWs'!$A$2:$A$419,0)),"")))</f>
        <v/>
      </c>
      <c r="J220" s="36" t="inlineStr">
        <is>
          <t>Medium</t>
        </is>
      </c>
      <c r="K220" s="25" t="inlineStr">
        <is>
          <t>super visa or visitor visa for parents; visitor visa insurance requirement canada; super visa vs 10 year multiple entry visa; visitor insurance vs super visa insurance; parents visiting canada visa options</t>
        </is>
      </c>
      <c r="L220" s="36" t="inlineStr">
        <is>
          <t>Nationwide</t>
        </is>
      </c>
      <c r="M220" s="36" t="inlineStr">
        <is>
          <t>informational</t>
        </is>
      </c>
      <c r="N220" s="36" t="inlineStr">
        <is>
          <t>TOFU</t>
        </is>
      </c>
      <c r="O220" s="25" t="inlineStr">
        <is>
          <t>Super Visa vs Visitor Visa: Which Fits Your Parents?</t>
        </is>
      </c>
      <c r="P220" s="36">
        <f>LEN(O220)</f>
        <v/>
      </c>
      <c r="Q220" s="25" t="inlineStr">
        <is>
          <t>Super Visa vs visitor visa for parents: compare stay length, insurance rules, income proof and total cost in one decision table. Get an estimate for both.</t>
        </is>
      </c>
      <c r="R220" s="36">
        <f>LEN(Q220)</f>
        <v/>
      </c>
      <c r="S220" s="36">
        <f>IF(H220="","",IF(ISNUMBER(SEARCH(SUBSTITUTE(H220,"-"," "),SUBSTITUTE(O220,"-"," "))),"Yes","Check"))</f>
        <v/>
      </c>
      <c r="T220" s="25" t="inlineStr">
        <is>
          <t>Super Visa or visitor visa: the short answer | How long parents can stay on each | Insurance: mandatory vs recommended | Income, invitation and medical exam requirements | Total cost for a 6-month and a 2-year stay | Which option fits which family | Next steps</t>
        </is>
      </c>
      <c r="U220" s="25" t="inlineStr">
        <is>
          <t>Is insurance mandatory for a regular visitor visa to Canada? | Can parents switch from a visitor visa to a Super Visa? | Which is cheaper for a six-month visit? | Can parents on a visitor visa buy Super Visa-level insurance anyway? | How long can parents stay per entry on a 10-year multiple-entry visa?</t>
        </is>
      </c>
      <c r="V220" s="25" t="inlineStr">
        <is>
          <t>Decision table comparing the two visa paths on stay length per entry, insurance requirement, income proof, medical exam and processing, plus a worked total-cost example for a 6-month and a 2-year visit using dated Instasure model estimates.</t>
        </is>
      </c>
      <c r="W220" s="25" t="inlineStr">
        <is>
          <t>/super-visa-insurance/; /travel-insurance/visitors-to-canada/; /guides/super-visa-insurance-requirements-cost/; /guides/visitors-to-canada-insurance-cost/</t>
        </is>
      </c>
      <c r="X220" s="25" t="inlineStr">
        <is>
          <t>Instant Super Visa or visitor insurance estimate (/quote/super-visa-insurance/)</t>
        </is>
      </c>
      <c r="Y220" s="36" t="inlineStr">
        <is>
          <t>Article; FAQPage; BreadcrumbList</t>
        </is>
      </c>
      <c r="Z220" s="37" t="n">
        <v>1800</v>
      </c>
      <c r="AA220" s="25" t="inlineStr">
        <is>
          <t>Sun Life ('Family Visiting From Abroad?') and the Ratehub and Rates.ca visitors pages cover short-visit insurance, while Super Visa owners cover the Super Visa alone. None seen puts both visa paths and their insurance costs in one decision table.</t>
        </is>
      </c>
      <c r="AB220" s="25" t="inlineStr">
        <is>
          <t>Focus keyword in the H1, slug, meta title, first 100 words and the H2 'Insurance: mandatory vs recommended'. Lead with a 40–60 word answer that states the main trade-off (longer stays and mandatory insurance vs shorter stays and optional insurance). Put the decision table above the fold and link 'visitors to Canada insurance' and 'Super Visa insurance' to the two money pages. Licensed A&amp;S reviewer; cite IRCC pages for both visas; image alt 'Super Visa vs visitor visa comparison table'.</t>
        </is>
      </c>
      <c r="AC220" s="25" t="inlineStr">
        <is>
          <t>Verify stay limits, 10-year visa terms and the income requirement on canada.ca; label all costs as Instasure model estimates with profile and date. Add a line that this is insurance information, not immigration advice.</t>
        </is>
      </c>
      <c r="AD220" s="36" t="inlineStr">
        <is>
          <t>On rule change</t>
        </is>
      </c>
      <c r="AE220" s="38" t="n"/>
      <c r="AF220" s="38" t="n"/>
      <c r="AG220" s="38" t="n"/>
    </row>
    <row r="221" ht="46.25" customHeight="1" s="22">
      <c r="A221" s="36">
        <f>"B"&amp;TEXT(ROW()-1,"0000")</f>
        <v/>
      </c>
      <c r="B221" s="38" t="inlineStr">
        <is>
          <t>Planned</t>
        </is>
      </c>
      <c r="C221" s="36" t="n">
        <v>1</v>
      </c>
      <c r="D221" s="36" t="inlineStr">
        <is>
          <t>Super Visa &amp; visitors insurance</t>
        </is>
      </c>
      <c r="E221" s="36" t="inlineStr">
        <is>
          <t>Cost &amp; pricing</t>
        </is>
      </c>
      <c r="F221" s="25" t="inlineStr">
        <is>
          <t>Visitors to Canada Insurance Cost: Prices by Age and Trip Length</t>
        </is>
      </c>
      <c r="G221" s="36" t="inlineStr">
        <is>
          <t>https://instasure.ca/guides/visitors-to-canada-insurance-cost/</t>
        </is>
      </c>
      <c r="H221" s="36" t="inlineStr">
        <is>
          <t>visitors to canada insurance cost</t>
        </is>
      </c>
      <c r="I221" s="41">
        <f>IFERROR(INDEX('Nationwide KWs'!$D$2:$D$168,MATCH(H221,'Nationwide KWs'!$A$2:$A$168,0)),IFERROR(INDEX('Provincial KWs'!$E$2:$E$137,MATCH(H221,'Provincial KWs'!$A$2:$A$137,0)),IFERROR(INDEX('City KWs'!$F$2:$F$419,MATCH(H221,'City KWs'!$A$2:$A$419,0)),"")))</f>
        <v/>
      </c>
      <c r="J221" s="36" t="inlineStr">
        <is>
          <t>Medium</t>
        </is>
      </c>
      <c r="K221" s="25" t="inlineStr">
        <is>
          <t>visitor insurance cost canada per month; visitor medical insurance for parents cost; how much is visitor insurance canada; visitor insurance 6 months cost; visitor insurance 1 month cost</t>
        </is>
      </c>
      <c r="L221" s="36" t="inlineStr">
        <is>
          <t>Nationwide</t>
        </is>
      </c>
      <c r="M221" s="36" t="inlineStr">
        <is>
          <t>commercial</t>
        </is>
      </c>
      <c r="N221" s="36" t="inlineStr">
        <is>
          <t>MOFU</t>
        </is>
      </c>
      <c r="O221" s="25" t="inlineStr">
        <is>
          <t>Visitors to Canada Insurance Cost by Age and Trip Length</t>
        </is>
      </c>
      <c r="P221" s="36">
        <f>LEN(O221)</f>
        <v/>
      </c>
      <c r="Q221" s="25" t="inlineStr">
        <is>
          <t>Visitors to Canada insurance cost by age, trip length and coverage: model tables from one week to six months and what moves the price. Get an estimate.</t>
        </is>
      </c>
      <c r="R221" s="36">
        <f>LEN(Q221)</f>
        <v/>
      </c>
      <c r="S221" s="36">
        <f>IF(H221="","",IF(ISNUMBER(SEARCH(SUBSTITUTE(H221,"-"," "),SUBSTITUTE(O221,"-"," "))),"Yes","Check"))</f>
        <v/>
      </c>
      <c r="T221" s="25" t="inlineStr">
        <is>
          <t>How much does visitors to Canada insurance cost? | Price by age: 40 to 85 | Price by trip length: one week to six months | Coverage amount and deductible effects | Pre-existing condition options and price | Ways to keep the cost down without gaps</t>
        </is>
      </c>
      <c r="U221" s="25" t="inlineStr">
        <is>
          <t>How much is visitor insurance for one month? | Is visitor insurance cheaper than Super Visa insurance? | Does buying for a longer stay lower the daily rate? | Can we buy visitor insurance for a parent already in Canada? | Does visitor insurance cost more with pre-existing conditions?</t>
        </is>
      </c>
      <c r="V221" s="25" t="inlineStr">
        <is>
          <t>Dated model price grid (ages 40 to 85 by one week, one month, three months and six months at two coverage levels) with stated assumptions, linked to the Rate Index once quote volume allows.</t>
        </is>
      </c>
      <c r="W221" s="25" t="inlineStr">
        <is>
          <t>/travel-insurance/visitors-to-canada/; /super-visa-insurance/; /guides/super-visa-vs-visitor-visa-parents/; /insights/rate-index/</t>
        </is>
      </c>
      <c r="X221" s="25" t="inlineStr">
        <is>
          <t>Instant visitors to Canada insurance estimate (/quote/super-visa-insurance/)</t>
        </is>
      </c>
      <c r="Y221" s="36" t="inlineStr">
        <is>
          <t>Article; FAQPage; BreadcrumbList</t>
        </is>
      </c>
      <c r="Z221" s="37" t="n">
        <v>1700</v>
      </c>
      <c r="AA221" s="25" t="inlineStr">
        <is>
          <t>Rates.ca shows a single price anchor for $50,000 of coverage (7 days and 1 month) and Ratehub a visitors page with its SoNomad partner; neither gives an age-by-length grid or explains pre-existing pricing.</t>
        </is>
      </c>
      <c r="AB221" s="25" t="inlineStr">
        <is>
          <t>Focus keyword in the H1, slug, meta title, first 100 words and first H2, with a 40–60 word answer giving the main price drivers and a dated example. Put the price grid under the answer with an 'as of' line; link 'visitors to Canada insurance' to the service page and 'Super Visa vs visitor visa' to the comparison guide. Licensed A&amp;S reviewer; image alt 'visitors to Canada insurance cost by age table'; refresh quarterly.</t>
        </is>
      </c>
      <c r="AC221" s="25" t="inlineStr">
        <is>
          <t>Rates.ca's figures ($15.79 for 7 days, $56.58 for 1 month at $50,000) come from research and must not be reused without verification and attribution. All instasure.ca prices are model estimates with profile and date; no 'from $X' anchor in the title or meta.</t>
        </is>
      </c>
      <c r="AD221" s="36" t="inlineStr">
        <is>
          <t>Quarterly</t>
        </is>
      </c>
      <c r="AE221" s="38" t="n"/>
      <c r="AF221" s="38" t="n"/>
      <c r="AG221" s="38" t="n"/>
    </row>
    <row r="222" ht="46.25" customHeight="1" s="22">
      <c r="A222" s="36">
        <f>"B"&amp;TEXT(ROW()-1,"0000")</f>
        <v/>
      </c>
      <c r="B222" s="38" t="inlineStr">
        <is>
          <t>Planned</t>
        </is>
      </c>
      <c r="C222" s="36" t="n">
        <v>1</v>
      </c>
      <c r="D222" s="36" t="inlineStr">
        <is>
          <t>Super Visa &amp; visitors insurance</t>
        </is>
      </c>
      <c r="E222" s="36" t="inlineStr">
        <is>
          <t>Coverage explained</t>
        </is>
      </c>
      <c r="F222" s="25" t="inlineStr">
        <is>
          <t>Super Visa Insurance With Pre-Existing Conditions: Stability Rules Explained</t>
        </is>
      </c>
      <c r="G222" s="36" t="inlineStr">
        <is>
          <t>https://instasure.ca/guides/super-visa-insurance-pre-existing-conditions/</t>
        </is>
      </c>
      <c r="H222" s="36" t="inlineStr">
        <is>
          <t>super visa insurance pre-existing conditions</t>
        </is>
      </c>
      <c r="I222" s="41">
        <f>IFERROR(INDEX('Nationwide KWs'!$D$2:$D$168,MATCH(H222,'Nationwide KWs'!$A$2:$A$168,0)),IFERROR(INDEX('Provincial KWs'!$E$2:$E$137,MATCH(H222,'Provincial KWs'!$A$2:$A$137,0)),IFERROR(INDEX('City KWs'!$F$2:$F$419,MATCH(H222,'City KWs'!$A$2:$A$419,0)),"")))</f>
        <v/>
      </c>
      <c r="J222" s="36" t="inlineStr">
        <is>
          <t>Low</t>
        </is>
      </c>
      <c r="K222" s="25" t="inlineStr">
        <is>
          <t>super visa insurance stable pre-existing condition; super visa insurance diabetes; super visa insurance high blood pressure; super visa stability period; super visa insurance heart condition</t>
        </is>
      </c>
      <c r="L222" s="36" t="inlineStr">
        <is>
          <t>Nationwide</t>
        </is>
      </c>
      <c r="M222" s="36" t="inlineStr">
        <is>
          <t>commercial</t>
        </is>
      </c>
      <c r="N222" s="36" t="inlineStr">
        <is>
          <t>MOFU</t>
        </is>
      </c>
      <c r="O222" s="25" t="inlineStr">
        <is>
          <t>Super Visa Insurance Pre-Existing Conditions Explained</t>
        </is>
      </c>
      <c r="P222" s="36">
        <f>LEN(O222)</f>
        <v/>
      </c>
      <c r="Q222" s="25" t="inlineStr">
        <is>
          <t>How Super Visa insurance treats pre-existing conditions: stability periods, examples by condition, cost impact and questionnaire tips. Ask an advisor.</t>
        </is>
      </c>
      <c r="R222" s="36">
        <f>LEN(Q222)</f>
        <v/>
      </c>
      <c r="S222" s="36">
        <f>IF(H222="","",IF(ISNUMBER(SEARCH(SUBSTITUTE(H222,"-"," "),SUBSTITUTE(O222,"-"," "))),"Yes","Check"))</f>
        <v/>
      </c>
      <c r="T222" s="25" t="inlineStr">
        <is>
          <t>Does Super Visa insurance cover pre-existing conditions? | What 'stable' means: symptoms, treatment and medication changes | Stability periods by age band: typical examples | Diabetes, hypertension, heart disease and COPD | How pre-existing coverage changes the price | Answering the medical questionnaire accurately | When to ask a specialist before buying</t>
        </is>
      </c>
      <c r="U222" s="25" t="inlineStr">
        <is>
          <t>Does Super Visa insurance cover diabetes? | Does a change in blood pressure medication restart the stability period? | Is it worth paying extra for stable pre-existing condition coverage? | What happens if a condition is not disclosed? | Can a condition diagnosed during the stay be covered at renewal?</t>
        </is>
      </c>
      <c r="V222" s="25" t="inlineStr">
        <is>
          <t>Condition-by-condition table (diabetes, hypertension, heart disease, COPD, thyroid disorders, arthritis) showing what usually counts as a change in stability, plus a medication-change log template families fill in before applying.</t>
        </is>
      </c>
      <c r="W222" s="25" t="inlineStr">
        <is>
          <t>/super-visa-insurance/; /guides/super-visa-insurance-requirements-cost/; /guides/travel-insurance-stability-period/; /travel-insurance/visitors-to-canada/</t>
        </is>
      </c>
      <c r="X222" s="25" t="inlineStr">
        <is>
          <t>Request a specialist call: Super Visa desk, questionnaire review (/super-visa-insurance/)</t>
        </is>
      </c>
      <c r="Y222" s="36" t="inlineStr">
        <is>
          <t>Article; FAQPage; BreadcrumbList</t>
        </is>
      </c>
      <c r="Z222" s="37" t="n">
        <v>2000</v>
      </c>
      <c r="AA222" s="25" t="inlineStr">
        <is>
          <t>PolicyAdvisor has a general pre-existing condition guide written for life insurance, and Super Visa owners mention stability briefly; none seen gives a condition-by-condition table or a medication log for Super Visa buyers.</t>
        </is>
      </c>
      <c r="AB222" s="25" t="inlineStr">
        <is>
          <t>Focus keyword in the H1, slug, meta title, first 100 words and the first H2, followed by a 40–60 word answer explaining that only stable conditions are covered and only on plans that include them. Use the condition table and a downloadable log; anchor 'stability period' to the travel glossary guide. Licensed A&amp;S reviewer; cite IRCC and two current policy wordings; image alt 'Super Visa pre-existing condition stability table'.</t>
        </is>
      </c>
      <c r="AC222" s="25" t="inlineStr">
        <is>
          <t>Stability definitions and surcharges vary by insurer; the existing guide's 25–40% surcharge is an Instasure model figure and must be re-verified and labelled as an estimate. Never promise that a condition will be covered.</t>
        </is>
      </c>
      <c r="AD222" s="36" t="inlineStr">
        <is>
          <t>Semi-annual</t>
        </is>
      </c>
      <c r="AE222" s="38" t="n"/>
      <c r="AF222" s="38" t="n"/>
      <c r="AG222" s="38" t="n"/>
    </row>
    <row r="223" ht="46.25" customHeight="1" s="22">
      <c r="A223" s="36">
        <f>"B"&amp;TEXT(ROW()-1,"0000")</f>
        <v/>
      </c>
      <c r="B223" s="38" t="inlineStr">
        <is>
          <t>Planned</t>
        </is>
      </c>
      <c r="C223" s="36" t="n">
        <v>1</v>
      </c>
      <c r="D223" s="36" t="inlineStr">
        <is>
          <t>Super Visa &amp; visitors insurance</t>
        </is>
      </c>
      <c r="E223" s="36" t="inlineStr">
        <is>
          <t>Data &amp; research</t>
        </is>
      </c>
      <c r="F223" s="25" t="inlineStr">
        <is>
          <t>Hospital Costs for Visitors to Canada: What Uninsured Guests Pay by Province</t>
        </is>
      </c>
      <c r="G223" s="36" t="inlineStr">
        <is>
          <t>https://instasure.ca/guides/hospital-costs-for-visitors-to-canada/</t>
        </is>
      </c>
      <c r="H223" s="36" t="inlineStr">
        <is>
          <t>hospital costs for visitors to canada</t>
        </is>
      </c>
      <c r="I223" s="41">
        <f>IFERROR(INDEX('Nationwide KWs'!$D$2:$D$168,MATCH(H223,'Nationwide KWs'!$A$2:$A$168,0)),IFERROR(INDEX('Provincial KWs'!$E$2:$E$137,MATCH(H223,'Provincial KWs'!$A$2:$A$137,0)),IFERROR(INDEX('City KWs'!$F$2:$F$419,MATCH(H223,'City KWs'!$A$2:$A$419,0)),"")))</f>
        <v/>
      </c>
      <c r="J223" s="36" t="inlineStr">
        <is>
          <t>Low</t>
        </is>
      </c>
      <c r="K223" s="25" t="inlineStr">
        <is>
          <t>non-resident hospital rates ontario; visitor gets sick in canada without insurance; emergency room cost for visitors canada; uninsured visitor hospital bill canada; ambulance cost for visitors canada</t>
        </is>
      </c>
      <c r="L223" s="36" t="inlineStr">
        <is>
          <t>Nationwide</t>
        </is>
      </c>
      <c r="M223" s="36" t="inlineStr">
        <is>
          <t>informational</t>
        </is>
      </c>
      <c r="N223" s="36" t="inlineStr">
        <is>
          <t>TOFU</t>
        </is>
      </c>
      <c r="O223" s="25" t="inlineStr">
        <is>
          <t>Hospital Costs for Visitors to Canada, by Province</t>
        </is>
      </c>
      <c r="P223" s="36">
        <f>LEN(O223)</f>
        <v/>
      </c>
      <c r="Q223" s="25" t="inlineStr">
        <is>
          <t>What uninsured visitors pay for hospital care in Canada: non-resident daily rates, ER and ambulance fees by province, sourced and dated. See the table.</t>
        </is>
      </c>
      <c r="R223" s="36">
        <f>LEN(Q223)</f>
        <v/>
      </c>
      <c r="S223" s="36">
        <f>IF(H223="","",IF(ISNUMBER(SEARCH(SUBSTITUTE(H223,"-"," "),SUBSTITUTE(O223,"-"," "))),"Yes","Check"))</f>
        <v/>
      </c>
      <c r="T223" s="25" t="inlineStr">
        <is>
          <t>How much does hospital care cost a visitor to Canada? | Non-resident inpatient daily rates by province | Emergency room, physician and ambulance charges | What happens if a visitor can't pay | How visitor insurance changes the picture | Sources and how we built this table</t>
        </is>
      </c>
      <c r="U223" s="25" t="inlineStr">
        <is>
          <t>Do visitors to Canada get free health care? | How much is an ER visit for a visitor in Ontario? | Can a hospital refuse to treat an uninsured visitor? | Is the sponsoring family responsible for a visitor's hospital bill? | Can an unpaid hospital bill affect future visits?</t>
        </is>
      </c>
      <c r="V223" s="25" t="inlineStr">
        <is>
          <t>Province-by-province table of published non-resident hospital and ambulance rates, each cell sourced to a ministry or hospital fee schedule with its effective date: original research no competitor was seen publishing.</t>
        </is>
      </c>
      <c r="W223" s="25" t="inlineStr">
        <is>
          <t>/travel-insurance/visitors-to-canada/; /super-visa-insurance/; /guides/super-visa-insurance-coverage-amount/; /guides/visitors-to-canada-insurance-cost/</t>
        </is>
      </c>
      <c r="X223" s="25" t="inlineStr">
        <is>
          <t>Instant visitors to Canada insurance estimate (/quote/super-visa-insurance/)</t>
        </is>
      </c>
      <c r="Y223" s="36" t="inlineStr">
        <is>
          <t>Article; FAQPage; BreadcrumbList</t>
        </is>
      </c>
      <c r="Z223" s="37" t="n">
        <v>2000</v>
      </c>
      <c r="AA223" s="25" t="inlineStr">
        <is>
          <t>Sun Life's 'Family Visiting From Abroad?' page and the Ratehub and Rates.ca visitors pages say care is expensive without figures; no competitor seen publishes sourced non-resident rates.</t>
        </is>
      </c>
      <c r="AB223" s="25" t="inlineStr">
        <is>
          <t>Focus keyword in the H1, slug, meta title, first 100 words and first H2, with a 40–60 word answer giving the range across provinces and the source date. Build the table with clear row and column labels (the format AI answers quote) and a methodology section; pitch it to media as a data release. Licensed A&amp;S reviewer; image alt 'non-resident hospital rates by province table'; refresh yearly.</t>
        </is>
      </c>
      <c r="AC223" s="25" t="inlineStr">
        <is>
          <t>Every rate must come from a primary fee schedule with its effective date; where a province doesn't publish rates, say so rather than estimate. Verify any statement on sponsor liability or visa consequences of unpaid bills with IRCC and the provinces before publishing.</t>
        </is>
      </c>
      <c r="AD223" s="36" t="inlineStr">
        <is>
          <t>Annual</t>
        </is>
      </c>
      <c r="AE223" s="38" t="n"/>
      <c r="AF223" s="38" t="n"/>
      <c r="AG223" s="38" t="n"/>
    </row>
    <row r="224" ht="46.25" customHeight="1" s="22">
      <c r="A224" s="36">
        <f>"B"&amp;TEXT(ROW()-1,"0000")</f>
        <v/>
      </c>
      <c r="B224" s="38" t="inlineStr">
        <is>
          <t>Planned</t>
        </is>
      </c>
      <c r="C224" s="36" t="n">
        <v>1</v>
      </c>
      <c r="D224" s="36" t="inlineStr">
        <is>
          <t>Super Visa &amp; visitors insurance</t>
        </is>
      </c>
      <c r="E224" s="36" t="inlineStr">
        <is>
          <t>How-to</t>
        </is>
      </c>
      <c r="F224" s="25" t="inlineStr">
        <is>
          <t>Renewing Super Visa Insurance: Extensions, Year Two and Avoiding Gaps</t>
        </is>
      </c>
      <c r="G224" s="36" t="inlineStr">
        <is>
          <t>https://instasure.ca/guides/renew-super-visa-insurance-extension/</t>
        </is>
      </c>
      <c r="H224" s="36" t="inlineStr">
        <is>
          <t>super visa insurance renewal</t>
        </is>
      </c>
      <c r="I224" s="41">
        <f>IFERROR(INDEX('Nationwide KWs'!$D$2:$D$168,MATCH(H224,'Nationwide KWs'!$A$2:$A$168,0)),IFERROR(INDEX('Provincial KWs'!$E$2:$E$137,MATCH(H224,'Provincial KWs'!$A$2:$A$137,0)),IFERROR(INDEX('City KWs'!$F$2:$F$419,MATCH(H224,'City KWs'!$A$2:$A$419,0)),"")))</f>
        <v/>
      </c>
      <c r="J224" s="36" t="inlineStr">
        <is>
          <t>Low</t>
        </is>
      </c>
      <c r="K224" s="25" t="inlineStr">
        <is>
          <t>extend super visa insurance; super visa insurance second year; super visa extension of stay insurance; visitor record extension insurance; super visa insurance after one year</t>
        </is>
      </c>
      <c r="L224" s="36" t="inlineStr">
        <is>
          <t>Nationwide</t>
        </is>
      </c>
      <c r="M224" s="36" t="inlineStr">
        <is>
          <t>commercial</t>
        </is>
      </c>
      <c r="N224" s="36" t="inlineStr">
        <is>
          <t>MOFU</t>
        </is>
      </c>
      <c r="O224" s="25" t="inlineStr">
        <is>
          <t>Super Visa Insurance Renewal: Extensions and Year Two</t>
        </is>
      </c>
      <c r="P224" s="36">
        <f>LEN(O224)</f>
        <v/>
      </c>
      <c r="Q224" s="25" t="inlineStr">
        <is>
          <t>How to renew Super Visa insurance for year two or an extended stay: timing, new medical questions, stability periods and gaps to avoid. Start your renewal.</t>
        </is>
      </c>
      <c r="R224" s="36">
        <f>LEN(Q224)</f>
        <v/>
      </c>
      <c r="S224" s="36">
        <f>IF(H224="","",IF(ISNUMBER(SEARCH(SUBSTITUTE(H224,"-"," "),SUBSTITUTE(O224,"-"," "))),"Yes","Check"))</f>
        <v/>
      </c>
      <c r="T224" s="25" t="inlineStr">
        <is>
          <t>How does Super Visa insurance renewal work? | When to start the renewal | Renewing from inside Canada: waiting periods and new questions | What happens to pre-existing conditions at renewal | Extending a stay: insurance for a visitor record | A timeline for avoiding a coverage gap | Next steps</t>
        </is>
      </c>
      <c r="U224" s="25" t="inlineStr">
        <is>
          <t>Do we need to renew Super Visa insurance every year? | Can my parents renew with the same insurer from inside Canada? | Will a claim in year one change the renewal? | Is there a waiting period if coverage lapses? | Does IRCC ask for insurance when parents extend their stay?</t>
        </is>
      </c>
      <c r="V224" s="25" t="inlineStr">
        <is>
          <t>Renewal timeline graphic (90, 60 and 30 days before expiry) with a gap-risk checklist and a worked example of how a new diagnosis in year one changes year-two coverage.</t>
        </is>
      </c>
      <c r="W224" s="25" t="inlineStr">
        <is>
          <t>/super-visa-insurance/; /guides/super-visa-insurance-pre-existing-conditions/; /guides/super-visa-insurance-requirements-cost/; /travel-insurance/visitors-to-canada/</t>
        </is>
      </c>
      <c r="X224" s="25" t="inlineStr">
        <is>
          <t>Request a specialist call: Super Visa desk, renewal review (/super-visa-insurance/)</t>
        </is>
      </c>
      <c r="Y224" s="36" t="inlineStr">
        <is>
          <t>Article; FAQPage; BreadcrumbList</t>
        </is>
      </c>
      <c r="Z224" s="37" t="n">
        <v>1500</v>
      </c>
      <c r="AA224" s="25" t="inlineStr">
        <is>
          <t>No competitor coverage seen for renewal and extension timing; Super Visa content in the research focuses on the first purchase.</t>
        </is>
      </c>
      <c r="AB224" s="25" t="inlineStr">
        <is>
          <t>Focus keyword in the H1, slug, meta title, first 100 words and the H2 'When to start the renewal'. Start with a 40–60 word answer on when to renew and why buying from inside Canada can trigger waiting periods. Include the timeline graphic (alt 'Super Visa insurance renewal timeline') and link 'pre-existing conditions' to the sibling guide. Licensed A&amp;S reviewer; cite IRCC's extension pages; review twice a year.</t>
        </is>
      </c>
      <c r="AC224" s="25" t="inlineStr">
        <is>
          <t>Verify IRCC's current rules for extending a stay and whether insurance proof is requested; waiting periods and renewal rules vary by insurer, so describe them as typical rather than universal.</t>
        </is>
      </c>
      <c r="AD224" s="36" t="inlineStr">
        <is>
          <t>Semi-annual</t>
        </is>
      </c>
      <c r="AE224" s="38" t="n"/>
      <c r="AF224" s="38" t="n"/>
      <c r="AG224" s="38" t="n"/>
    </row>
    <row r="225" ht="57.45" customHeight="1" s="22">
      <c r="A225" s="36">
        <f>"B"&amp;TEXT(ROW()-1,"0000")</f>
        <v/>
      </c>
      <c r="B225" s="38" t="inlineStr">
        <is>
          <t>Planned</t>
        </is>
      </c>
      <c r="C225" s="36" t="n">
        <v>1</v>
      </c>
      <c r="D225" s="36" t="inlineStr">
        <is>
          <t>Super Visa &amp; visitors insurance</t>
        </is>
      </c>
      <c r="E225" s="36" t="inlineStr">
        <is>
          <t>Local (city/province)</t>
        </is>
      </c>
      <c r="F225" s="25" t="inlineStr">
        <is>
          <t>Visitor and Super Visa Insurance in Brampton: A Local Guide for Families</t>
        </is>
      </c>
      <c r="G225" s="36" t="inlineStr">
        <is>
          <t>https://instasure.ca/guides/visitor-insurance-brampton/</t>
        </is>
      </c>
      <c r="H225" s="36" t="inlineStr">
        <is>
          <t>visitor insurance brampton</t>
        </is>
      </c>
      <c r="I225" s="41">
        <f>IFERROR(INDEX('Nationwide KWs'!$D$2:$D$168,MATCH(H225,'Nationwide KWs'!$A$2:$A$168,0)),IFERROR(INDEX('Provincial KWs'!$E$2:$E$137,MATCH(H225,'Provincial KWs'!$A$2:$A$137,0)),IFERROR(INDEX('City KWs'!$F$2:$F$419,MATCH(H225,'City KWs'!$A$2:$A$419,0)),"")))</f>
        <v/>
      </c>
      <c r="J225" s="36" t="inlineStr">
        <is>
          <t>Niche</t>
        </is>
      </c>
      <c r="K225" s="25" t="inlineStr">
        <is>
          <t>super visa parents brampton; walk-in clinic for visitors brampton; brampton civic hospital visitor cost; visitor medical insurance peel region</t>
        </is>
      </c>
      <c r="L225" s="36" t="inlineStr">
        <is>
          <t>City: Brampton, ON</t>
        </is>
      </c>
      <c r="M225" s="36" t="inlineStr">
        <is>
          <t>local</t>
        </is>
      </c>
      <c r="N225" s="36" t="inlineStr">
        <is>
          <t>BOFU</t>
        </is>
      </c>
      <c r="O225" s="25" t="inlineStr">
        <is>
          <t>Visitor Insurance Brampton: A Guide for Visiting Parents</t>
        </is>
      </c>
      <c r="P225" s="36">
        <f>LEN(O225)</f>
        <v/>
      </c>
      <c r="Q225" s="25" t="inlineStr">
        <is>
          <t>Visitor insurance in Brampton: where visiting parents get care, how hospitals bill visitors, Super Visa tips and Punjabi help where available. Read on.</t>
        </is>
      </c>
      <c r="R225" s="36">
        <f>LEN(Q225)</f>
        <v/>
      </c>
      <c r="S225" s="36">
        <f>IF(H225="","",IF(ISNUMBER(SEARCH(SUBSTITUTE(H225,"-"," "),SUBSTITUTE(O225,"-"," "))),"Yes","Check"))</f>
        <v/>
      </c>
      <c r="T225" s="25" t="inlineStr">
        <is>
          <t>Visitor insurance in Brampton: what families need first | Where visitors get care: hospitals, urgent care and walk-in clinics | How Brampton hospitals bill uninsured visitors | Super Visa or visitor policy for a Brampton stay | Prescriptions and pharmacies for visitors | Local help in Punjabi, Hindi and Gujarati where available</t>
        </is>
      </c>
      <c r="U225" s="25" t="inlineStr">
        <is>
          <t>Do Brampton walk-in clinics see visitors without OHIP? | How does Brampton Civic Hospital bill uninsured visitors? | Is visitor insurance required for parents staying in Brampton? | Will visitor insurance pay a Brampton clinic directly? | Is there an advisor who speaks Punjabi?</t>
        </is>
      </c>
      <c r="V225" s="25" t="inlineStr">
        <is>
          <t>Local care table (emergency departments, urgent care centres and clinics that see uninsured patients, with how each bills) verified by phone on the review date.</t>
        </is>
      </c>
      <c r="W225" s="25" t="inlineStr">
        <is>
          <t>/super-visa-insurance/ontario/brampton/; /travel-insurance/visitors-to-canada/; /insurance/ontario/brampton/; /guides/super-visa-insurance-parents-from-india/</t>
        </is>
      </c>
      <c r="X225" s="25" t="inlineStr">
        <is>
          <t>Instant visitor insurance estimate with Brampton pre-filled (/super-visa-insurance/ontario/brampton/)</t>
        </is>
      </c>
      <c r="Y225" s="36" t="inlineStr">
        <is>
          <t>Article; FAQPage; BreadcrumbList</t>
        </is>
      </c>
      <c r="Z225" s="37" t="n">
        <v>1300</v>
      </c>
      <c r="AA225" s="25" t="inlineStr">
        <is>
          <t>Keyword research shows no competitor for 'super visa insurance brampton', and Ratehub and Rates.ca have no visitor city pages; no local visitor-care guide was seen.</t>
        </is>
      </c>
      <c r="AB225" s="25" t="inlineStr">
        <is>
          <t>Focus keyword in the H1, slug, meta title, first 100 words and first H2; use 'Super Visa insurance in Brampton' only as anchor text to the city money page so this post doesn't compete for it. Open with a 40–60 word answer on where visitors get care and how they pay, then the verified care table; no paragraphs shared with other city guides. Reviewer licensed in Ontario; cite William Osler Health System billing pages; image alt 'Brampton visitor care map'.</t>
        </is>
      </c>
      <c r="AC225" s="25" t="inlineStr">
        <is>
          <t>Verify each clinic's and hospital's billing policy directly and date it; don't imply direct billing unless confirmed. Offer Punjabi, Hindi or Gujarati help only if an active advisor speaks the language.</t>
        </is>
      </c>
      <c r="AD225" s="36" t="inlineStr">
        <is>
          <t>Semi-annual</t>
        </is>
      </c>
      <c r="AE225" s="38" t="n"/>
      <c r="AF225" s="38" t="n"/>
      <c r="AG225" s="38" t="n"/>
    </row>
    <row r="226" ht="46.25" customHeight="1" s="22">
      <c r="A226" s="36">
        <f>"B"&amp;TEXT(ROW()-1,"0000")</f>
        <v/>
      </c>
      <c r="B226" s="38" t="inlineStr">
        <is>
          <t>Planned</t>
        </is>
      </c>
      <c r="C226" s="36" t="n">
        <v>1</v>
      </c>
      <c r="D226" s="36" t="inlineStr">
        <is>
          <t>Super Visa &amp; visitors insurance</t>
        </is>
      </c>
      <c r="E226" s="36" t="inlineStr">
        <is>
          <t>Local (city/province)</t>
        </is>
      </c>
      <c r="F226" s="25" t="inlineStr">
        <is>
          <t>Visitor and Super Visa Insurance in Surrey: A Local Guide for Families</t>
        </is>
      </c>
      <c r="G226" s="36" t="inlineStr">
        <is>
          <t>https://instasure.ca/guides/visitor-insurance-surrey-bc/</t>
        </is>
      </c>
      <c r="H226" s="36" t="inlineStr">
        <is>
          <t>visitor insurance surrey</t>
        </is>
      </c>
      <c r="I226" s="41">
        <f>IFERROR(INDEX('Nationwide KWs'!$D$2:$D$168,MATCH(H226,'Nationwide KWs'!$A$2:$A$168,0)),IFERROR(INDEX('Provincial KWs'!$E$2:$E$137,MATCH(H226,'Provincial KWs'!$A$2:$A$137,0)),IFERROR(INDEX('City KWs'!$F$2:$F$419,MATCH(H226,'City KWs'!$A$2:$A$419,0)),"")))</f>
        <v/>
      </c>
      <c r="J226" s="36" t="inlineStr">
        <is>
          <t>Niche</t>
        </is>
      </c>
      <c r="K226" s="25" t="inlineStr">
        <is>
          <t>super visa parents surrey; walk-in clinic for visitors surrey bc; surrey memorial hospital visitor cost; visitor medical insurance fraser health</t>
        </is>
      </c>
      <c r="L226" s="36" t="inlineStr">
        <is>
          <t>City: Surrey, BC</t>
        </is>
      </c>
      <c r="M226" s="36" t="inlineStr">
        <is>
          <t>local</t>
        </is>
      </c>
      <c r="N226" s="36" t="inlineStr">
        <is>
          <t>BOFU</t>
        </is>
      </c>
      <c r="O226" s="25" t="inlineStr">
        <is>
          <t>Visitor Insurance Surrey, BC: Guide for Visiting Parents</t>
        </is>
      </c>
      <c r="P226" s="36">
        <f>LEN(O226)</f>
        <v/>
      </c>
      <c r="Q226" s="25" t="inlineStr">
        <is>
          <t>Visitor insurance in Surrey, BC: where visiting parents get care, how Fraser Health bills non-residents and Super Visa tips. Read the local guide.</t>
        </is>
      </c>
      <c r="R226" s="36">
        <f>LEN(Q226)</f>
        <v/>
      </c>
      <c r="S226" s="36">
        <f>IF(H226="","",IF(ISNUMBER(SEARCH(SUBSTITUTE(H226,"-"," "),SUBSTITUTE(O226,"-"," "))),"Yes","Check"))</f>
        <v/>
      </c>
      <c r="T226" s="25" t="inlineStr">
        <is>
          <t>Visitor insurance in Surrey: what families need first | Where visitors get care: emergency, urgent and primary care centres and clinics | How Fraser Health bills non-residents | Super Visa or visitor policy for a Surrey stay | Prescriptions and pharmacies for visitors | Local help in Punjabi and Hindi where available</t>
        </is>
      </c>
      <c r="U226" s="25" t="inlineStr">
        <is>
          <t>Do Surrey walk-in clinics see visitors without MSP? | How does Surrey Memorial Hospital bill visitors? | Is visitor insurance required for parents staying in Surrey? | Will visitor insurance pay a Surrey clinic directly? | Is there an advisor who speaks Punjabi?</t>
        </is>
      </c>
      <c r="V226" s="25" t="inlineStr">
        <is>
          <t>Surrey care table (emergency department, urgent and primary care centres, clinics seeing uninsured patients, billing method) verified by phone on the review date, plus BC non-resident rate references.</t>
        </is>
      </c>
      <c r="W226" s="25" t="inlineStr">
        <is>
          <t>/super-visa-insurance/british-columbia/surrey/; /travel-insurance/visitors-to-canada/; /insurance/british-columbia/surrey/; /guides/super-visa-insurance-parents-from-india/</t>
        </is>
      </c>
      <c r="X226" s="25" t="inlineStr">
        <is>
          <t>Instant visitor insurance estimate with Surrey pre-filled (/super-visa-insurance/british-columbia/surrey/)</t>
        </is>
      </c>
      <c r="Y226" s="36" t="inlineStr">
        <is>
          <t>Article; FAQPage; BreadcrumbList</t>
        </is>
      </c>
      <c r="Z226" s="37" t="n">
        <v>1300</v>
      </c>
      <c r="AA226" s="25" t="inlineStr">
        <is>
          <t>Keyword research shows no competitor for 'super visa insurance surrey'; no local visitor-care guide was seen.</t>
        </is>
      </c>
      <c r="AB226" s="25" t="inlineStr">
        <is>
          <t>Focus keyword in the H1, slug, meta title, first 100 words and first H2; link the Surrey Super Visa page with 'Super Visa insurance in Surrey' anchor text rather than targeting that phrase. Open with a 40–60 word answer, then the verified care table and BC non-resident billing explainer, all written specifically for Surrey. Reviewer licensed in BC; cite Fraser Health; image alt 'Surrey visitor care map'.</t>
        </is>
      </c>
      <c r="AC226" s="25" t="inlineStr">
        <is>
          <t>Verify Fraser Health's non-resident billing and each clinic's policy directly, with the date. Offer Punjabi or Hindi help only if an active advisor speaks the language.</t>
        </is>
      </c>
      <c r="AD226" s="36" t="inlineStr">
        <is>
          <t>Semi-annual</t>
        </is>
      </c>
      <c r="AE226" s="38" t="n"/>
      <c r="AF226" s="38" t="n"/>
      <c r="AG226" s="38" t="n"/>
    </row>
    <row r="227" ht="57.45" customHeight="1" s="22">
      <c r="A227" s="36">
        <f>"B"&amp;TEXT(ROW()-1,"0000")</f>
        <v/>
      </c>
      <c r="B227" s="38" t="inlineStr">
        <is>
          <t>Planned</t>
        </is>
      </c>
      <c r="C227" s="36" t="n">
        <v>1</v>
      </c>
      <c r="D227" s="36" t="inlineStr">
        <is>
          <t>Super Visa &amp; visitors insurance</t>
        </is>
      </c>
      <c r="E227" s="36" t="inlineStr">
        <is>
          <t>Personas</t>
        </is>
      </c>
      <c r="F227" s="25" t="inlineStr">
        <is>
          <t>Health Insurance While Waiting for Provincial Coverage: A Guide for New Permanent Residents</t>
        </is>
      </c>
      <c r="G227" s="36" t="inlineStr">
        <is>
          <t>https://instasure.ca/guides/health-insurance-waiting-period-new-immigrants/</t>
        </is>
      </c>
      <c r="H227" s="36" t="inlineStr">
        <is>
          <t>health insurance waiting period for new immigrants</t>
        </is>
      </c>
      <c r="I227" s="41">
        <f>IFERROR(INDEX('Nationwide KWs'!$D$2:$D$168,MATCH(H227,'Nationwide KWs'!$A$2:$A$168,0)),IFERROR(INDEX('Provincial KWs'!$E$2:$E$137,MATCH(H227,'Provincial KWs'!$A$2:$A$137,0)),IFERROR(INDEX('City KWs'!$F$2:$F$419,MATCH(H227,'City KWs'!$A$2:$A$419,0)),"")))</f>
        <v/>
      </c>
      <c r="J227" s="36" t="inlineStr">
        <is>
          <t>Medium</t>
        </is>
      </c>
      <c r="K227" s="25" t="inlineStr">
        <is>
          <t>ohip waiting period new immigrants; msp waiting period bc newcomers; ramq waiting period; private health insurance for new immigrants canada; newcomer health insurance gap</t>
        </is>
      </c>
      <c r="L227" s="36" t="inlineStr">
        <is>
          <t>Nationwide</t>
        </is>
      </c>
      <c r="M227" s="36" t="inlineStr">
        <is>
          <t>commercial</t>
        </is>
      </c>
      <c r="N227" s="36" t="inlineStr">
        <is>
          <t>MOFU</t>
        </is>
      </c>
      <c r="O227" s="25" t="inlineStr">
        <is>
          <t>Health Insurance Waiting Period for New Immigrants</t>
        </is>
      </c>
      <c r="P227" s="36">
        <f>LEN(O227)</f>
        <v/>
      </c>
      <c r="Q227" s="25" t="inlineStr">
        <is>
          <t>Which provinces make new permanent residents wait for health coverage, how long, and how private newcomer insurance fills the gap. See the province table.</t>
        </is>
      </c>
      <c r="R227" s="36">
        <f>LEN(Q227)</f>
        <v/>
      </c>
      <c r="S227" s="36">
        <f>IF(H227="","",IF(ISNUMBER(SEARCH(SUBSTITUTE(H227,"-"," "),SUBSTITUTE(O227,"-"," "))),"Yes","Check"))</f>
        <v/>
      </c>
      <c r="T227" s="25" t="inlineStr">
        <is>
          <t>Do new immigrants wait for provincial health coverage? | Waiting periods by province and territory | What newcomer gap insurance covers | When to buy and how long to keep it | Spouses, children and visiting parents | After the gap: extended health and dental | Next steps</t>
        </is>
      </c>
      <c r="U227" s="25" t="inlineStr">
        <is>
          <t>Is there still a waiting period for OHIP? | How long is the MSP waiting period in BC? | Can new immigrants buy visitor insurance? | Does newcomer insurance cover pre-existing conditions? | What should we arrange on the day we land?</t>
        </is>
      </c>
      <c r="V227" s="25" t="inlineStr">
        <is>
          <t>Province-by-province table of current waiting periods for new permanent residents, each row linked to the provincial source with a review date, plus a first-90-days coverage checklist.</t>
        </is>
      </c>
      <c r="W227" s="25" t="inlineStr">
        <is>
          <t>/travel-insurance/visitors-to-canada/; /health-dental-insurance/; /guides/life-insurance-for-newcomers-to-canada/; /car-insurance/newcomers/</t>
        </is>
      </c>
      <c r="X227" s="25" t="inlineStr">
        <is>
          <t>Instant visitors to Canada insurance estimate for the waiting period (/quote/super-visa-insurance/)</t>
        </is>
      </c>
      <c r="Y227" s="36" t="inlineStr">
        <is>
          <t>Article; FAQPage; BreadcrumbList</t>
        </is>
      </c>
      <c r="Z227" s="37" t="n">
        <v>1800</v>
      </c>
      <c r="AA227" s="25" t="inlineStr">
        <is>
          <t>PolicyAdvisor runs a strong newcomer cluster for life insurance and pages for foreign workers; none seen publishes a current waiting-period table by province linked to gap coverage.</t>
        </is>
      </c>
      <c r="AB227" s="25" t="inlineStr">
        <is>
          <t>Focus keyword in the H1, slug, meta title, first 100 words and first H2, with a 40–60 word answer naming which provinces have a wait and the typical length. Build the 13-row table with sources; link 'life insurance for newcomers' and 'car insurance for newcomers' as the next steps. Licensed A&amp;S reviewer; image alt 'provincial health waiting periods for newcomers'; consider Punjabi, Hindi, Tagalog and Simplified Chinese versions.</t>
        </is>
      </c>
      <c r="AC227" s="25" t="inlineStr">
        <is>
          <t>Waiting periods change (Ontario has changed its OHIP wait before); verify every row on the provincial ministry site on the review date. Do not describe gap insurance as a substitute for provincial coverage.</t>
        </is>
      </c>
      <c r="AD227" s="36" t="inlineStr">
        <is>
          <t>On rule change</t>
        </is>
      </c>
      <c r="AE227" s="38" t="n"/>
      <c r="AF227" s="38" t="n"/>
      <c r="AG227" s="38" t="n"/>
    </row>
    <row r="228" ht="46.25" customHeight="1" s="22">
      <c r="A228" s="36">
        <f>"B"&amp;TEXT(ROW()-1,"0000")</f>
        <v/>
      </c>
      <c r="B228" s="38" t="inlineStr">
        <is>
          <t>Planned</t>
        </is>
      </c>
      <c r="C228" s="36" t="n">
        <v>1</v>
      </c>
      <c r="D228" s="36" t="inlineStr">
        <is>
          <t>Super Visa &amp; visitors insurance</t>
        </is>
      </c>
      <c r="E228" s="36" t="inlineStr">
        <is>
          <t>Personas</t>
        </is>
      </c>
      <c r="F228" s="25" t="inlineStr">
        <is>
          <t>Super Visa Insurance for Parents From India: A Family Guide</t>
        </is>
      </c>
      <c r="G228" s="36" t="inlineStr">
        <is>
          <t>https://instasure.ca/guides/super-visa-insurance-parents-from-india/</t>
        </is>
      </c>
      <c r="H228" s="36" t="inlineStr">
        <is>
          <t>super visa insurance for parents from india</t>
        </is>
      </c>
      <c r="I228" s="41">
        <f>IFERROR(INDEX('Nationwide KWs'!$D$2:$D$168,MATCH(H228,'Nationwide KWs'!$A$2:$A$168,0)),IFERROR(INDEX('Provincial KWs'!$E$2:$E$137,MATCH(H228,'Provincial KWs'!$A$2:$A$137,0)),IFERROR(INDEX('City KWs'!$F$2:$F$419,MATCH(H228,'City KWs'!$A$2:$A$419,0)),"")))</f>
        <v/>
      </c>
      <c r="J228" s="36" t="inlineStr">
        <is>
          <t>Low</t>
        </is>
      </c>
      <c r="K228" s="25" t="inlineStr">
        <is>
          <t>super visa for parents from india; indian parents visiting canada insurance; super visa insurance punjabi; super visa insurance hindi; super visa from india processing</t>
        </is>
      </c>
      <c r="L228" s="36" t="inlineStr">
        <is>
          <t>Nationwide</t>
        </is>
      </c>
      <c r="M228" s="36" t="inlineStr">
        <is>
          <t>commercial</t>
        </is>
      </c>
      <c r="N228" s="36" t="inlineStr">
        <is>
          <t>MOFU</t>
        </is>
      </c>
      <c r="O228" s="25" t="inlineStr">
        <is>
          <t>Super Visa Insurance for Parents From India: Guide</t>
        </is>
      </c>
      <c r="P228" s="36">
        <f>LEN(O228)</f>
        <v/>
      </c>
      <c r="Q228" s="25" t="inlineStr">
        <is>
          <t>Parents coming from India on a Super Visa: insurance rules, foreign-insurer questions, medical records and Punjabi or Hindi help where available. Read on.</t>
        </is>
      </c>
      <c r="R228" s="36">
        <f>LEN(Q228)</f>
        <v/>
      </c>
      <c r="S228" s="36">
        <f>IF(H228="","",IF(ISNUMBER(SEARCH(SUBSTITUTE(H228,"-"," "),SUBSTITUTE(O228,"-"," "))),"Yes","Check"))</f>
        <v/>
      </c>
      <c r="T228" s="25" t="inlineStr">
        <is>
          <t>Super Visa insurance for parents from India: the essentials | Indian insurer or Canadian insurer: what IRCC allows | Declaring health conditions: what the questionnaire asks | Getting medical records from India ready | Timing the purchase with visa processing | Claims and refunds when parents return to India | Help in Punjabi and Hindi</t>
        </is>
      </c>
      <c r="U228" s="25" t="inlineStr">
        <is>
          <t>Can my parents buy Super Visa insurance from an Indian insurer? | Do medical records in Hindi or Punjabi need translation? | Is Super Visa insurance cheaper for parents under 65? | What happens to the policy if parents go back to India early? | Can family in India pay for the policy?</t>
        </is>
      </c>
      <c r="V228" s="25" t="inlineStr">
        <is>
          <t>Family checklist for parents travelling from India (documents, medical records, medication list with generic names, purchase timeline) published in English, Punjabi and Hindi.</t>
        </is>
      </c>
      <c r="W228" s="25" t="inlineStr">
        <is>
          <t>/super-visa-insurance/; /super-visa-insurance/ontario/brampton/; /super-visa-insurance/british-columbia/surrey/; /guides/super-visa-insurance-foreign-insurer-ircc-approved/; /guides/super-visa-insurance-pre-existing-conditions/</t>
        </is>
      </c>
      <c r="X228" s="25" t="inlineStr">
        <is>
          <t>Request a specialist call: Super Visa desk, Punjabi or Hindi where available (/super-visa-insurance/)</t>
        </is>
      </c>
      <c r="Y228" s="36" t="inlineStr">
        <is>
          <t>Article; FAQPage; BreadcrumbList</t>
        </is>
      </c>
      <c r="Z228" s="37" t="n">
        <v>1800</v>
      </c>
      <c r="AA228" s="25" t="inlineStr">
        <is>
          <t>Research found no multilingual newcomer content from PolicyAdvisor and only some Chinese content from Sun Life; no competitor seen targets families sponsoring parents from India.</t>
        </is>
      </c>
      <c r="AB228" s="25" t="inlineStr">
        <is>
          <t>Focus keyword in the H1, slug, meta title, first 100 words and first H2, with a 40–60 word answer on the IRCC rules and the foreign-insurer question. Publish Punjabi and Hindi versions with hreflang only once translated and reviewed; link the Brampton and Surrey Super Visa pages with city anchor text. Licensed A&amp;S reviewer; image alt 'Super Visa checklist for parents from India'.</t>
        </is>
      </c>
      <c r="AC228" s="25" t="inlineStr">
        <is>
          <t>Offer Punjabi or Hindi help only if an active advisor speaks it (CONTENT_REVIEW 1.9). Verify whether any Indian insurer is on IRCC's approved list before saying so, and avoid health generalisations about any community.</t>
        </is>
      </c>
      <c r="AD228" s="36" t="inlineStr">
        <is>
          <t>Semi-annual</t>
        </is>
      </c>
      <c r="AE228" s="38" t="n"/>
      <c r="AF228" s="38" t="n"/>
      <c r="AG228" s="38" t="n"/>
    </row>
    <row r="229" ht="46.25" customHeight="1" s="22">
      <c r="A229" s="36">
        <f>"B"&amp;TEXT(ROW()-1,"0000")</f>
        <v/>
      </c>
      <c r="B229" s="38" t="inlineStr">
        <is>
          <t>Planned</t>
        </is>
      </c>
      <c r="C229" s="36" t="n">
        <v>1</v>
      </c>
      <c r="D229" s="36" t="inlineStr">
        <is>
          <t>Super Visa &amp; visitors insurance</t>
        </is>
      </c>
      <c r="E229" s="36" t="inlineStr">
        <is>
          <t>Personas</t>
        </is>
      </c>
      <c r="F229" s="25" t="inlineStr">
        <is>
          <t>Super Visa Insurance for Parents Over 80: Availability, Cost and Options</t>
        </is>
      </c>
      <c r="G229" s="36" t="inlineStr">
        <is>
          <t>https://instasure.ca/guides/super-visa-insurance-parents-over-80/</t>
        </is>
      </c>
      <c r="H229" s="36" t="inlineStr">
        <is>
          <t>super visa insurance over 80</t>
        </is>
      </c>
      <c r="I229" s="41">
        <f>IFERROR(INDEX('Nationwide KWs'!$D$2:$D$168,MATCH(H229,'Nationwide KWs'!$A$2:$A$168,0)),IFERROR(INDEX('Provincial KWs'!$E$2:$E$137,MATCH(H229,'Provincial KWs'!$A$2:$A$137,0)),IFERROR(INDEX('City KWs'!$F$2:$F$419,MATCH(H229,'City KWs'!$A$2:$A$419,0)),"")))</f>
        <v/>
      </c>
      <c r="J229" s="36" t="inlineStr">
        <is>
          <t>Low</t>
        </is>
      </c>
      <c r="K229" s="25" t="inlineStr">
        <is>
          <t>super visa insurance for 80 year old; super visa insurance age 85; super visa insurance maximum age; super visa insurance for elderly parents</t>
        </is>
      </c>
      <c r="L229" s="36" t="inlineStr">
        <is>
          <t>Nationwide</t>
        </is>
      </c>
      <c r="M229" s="36" t="inlineStr">
        <is>
          <t>commercial</t>
        </is>
      </c>
      <c r="N229" s="36" t="inlineStr">
        <is>
          <t>MOFU</t>
        </is>
      </c>
      <c r="O229" s="25" t="inlineStr">
        <is>
          <t>Super Visa Insurance Over 80: Cost, Age Limits, Options</t>
        </is>
      </c>
      <c r="P229" s="36">
        <f>LEN(O229)</f>
        <v/>
      </c>
      <c r="Q229" s="25" t="inlineStr">
        <is>
          <t>Super Visa insurance over 80: which plans accept older parents, how age bands change the price and ways to manage the cost. Ask a Super Visa advisor.</t>
        </is>
      </c>
      <c r="R229" s="36">
        <f>LEN(Q229)</f>
        <v/>
      </c>
      <c r="S229" s="36">
        <f>IF(H229="","",IF(ISNUMBER(SEARCH(SUBSTITUTE(H229,"-"," "),SUBSTITUTE(O229,"-"," "))),"Yes","Check"))</f>
        <v/>
      </c>
      <c r="T229" s="25" t="inlineStr">
        <is>
          <t>Can parents over 80 get Super Visa insurance? | Maximum issue ages and age bands | How cost climbs from 80 to 89 | Pre-existing conditions after 80 | Managing the cost: deductibles and payment plans | Questions to ask before you apply</t>
        </is>
      </c>
      <c r="U229" s="25" t="inlineStr">
        <is>
          <t>Is there an age limit for Super Visa insurance? | How much does Super Visa insurance cost for an 85-year-old? | Can an 82-year-old get pre-existing condition coverage? | Does a higher deductible help at older ages? | What if no insurer will cover my parent?</t>
        </is>
      </c>
      <c r="V229" s="25" t="inlineStr">
        <is>
          <t>Age-band table for 80 to 89 showing dated model premium ranges, typical deductible options and pre-existing availability, plus a short list of questions to put to an advisor.</t>
        </is>
      </c>
      <c r="W229" s="25" t="inlineStr">
        <is>
          <t>/super-visa-insurance/; /guides/super-visa-insurance-requirements-cost/; /guides/super-visa-insurance-deductible/; /guides/super-visa-insurance-pre-existing-conditions/</t>
        </is>
      </c>
      <c r="X229" s="25" t="inlineStr">
        <is>
          <t>Request a specialist call: Super Visa desk (/super-visa-insurance/)</t>
        </is>
      </c>
      <c r="Y229" s="36" t="inlineStr">
        <is>
          <t>Article; FAQPage; BreadcrumbList</t>
        </is>
      </c>
      <c r="Z229" s="37" t="n">
        <v>1500</v>
      </c>
      <c r="AA229" s="25" t="inlineStr">
        <is>
          <t>Research snippets show indicative 80+ prices on Super Visa pages from PolicyAdvisor, HelloSafe and bestquotetravelinsurance.ca, but none seen addresses maximum issue ages or what to do when a parent is hard to place.</t>
        </is>
      </c>
      <c r="AB229" s="25" t="inlineStr">
        <is>
          <t>Focus keyword in the H1, slug, meta title, first 100 words and the first H2, with a 40–60 word answer on availability and how sharply price rises after 80. Use the age-band table with an 'as of' date and link 'deductible' and 'pre-existing conditions' to sibling guides. Licensed A&amp;S reviewer; image alt 'Super Visa insurance over 80 age band table'.</t>
        </is>
      </c>
      <c r="AC229" s="25" t="inlineStr">
        <is>
          <t>Verify maximum issue ages against current wordings. Research snippets put 80+ prices around $3,500–$5,500 a year; re-verify before any use and show only dated Instasure model estimates.</t>
        </is>
      </c>
      <c r="AD229" s="36" t="inlineStr">
        <is>
          <t>Semi-annual</t>
        </is>
      </c>
      <c r="AE229" s="38" t="n"/>
      <c r="AF229" s="38" t="n"/>
      <c r="AG229" s="38" t="n"/>
    </row>
    <row r="230" ht="68.65000000000001" customHeight="1" s="22">
      <c r="A230" s="36">
        <f>"B"&amp;TEXT(ROW()-1,"0000")</f>
        <v/>
      </c>
      <c r="B230" s="38" t="inlineStr">
        <is>
          <t>Planned</t>
        </is>
      </c>
      <c r="C230" s="36" t="n">
        <v>1</v>
      </c>
      <c r="D230" s="36" t="inlineStr">
        <is>
          <t>Super Visa &amp; visitors insurance</t>
        </is>
      </c>
      <c r="E230" s="36" t="inlineStr">
        <is>
          <t>Regulation</t>
        </is>
      </c>
      <c r="F230" s="25" t="inlineStr">
        <is>
          <t>Super Visa Insurance From a Foreign Insurer: How IRCC Approval Works</t>
        </is>
      </c>
      <c r="G230" s="36" t="inlineStr">
        <is>
          <t>https://instasure.ca/guides/super-visa-insurance-foreign-insurer-ircc-approved/</t>
        </is>
      </c>
      <c r="H230" s="36" t="inlineStr">
        <is>
          <t>super visa insurance foreign insurer</t>
        </is>
      </c>
      <c r="I230" s="41">
        <f>IFERROR(INDEX('Nationwide KWs'!$D$2:$D$168,MATCH(H230,'Nationwide KWs'!$A$2:$A$168,0)),IFERROR(INDEX('Provincial KWs'!$E$2:$E$137,MATCH(H230,'Provincial KWs'!$A$2:$A$137,0)),IFERROR(INDEX('City KWs'!$F$2:$F$419,MATCH(H230,'City KWs'!$A$2:$A$419,0)),"")))</f>
        <v/>
      </c>
      <c r="J230" s="36" t="inlineStr">
        <is>
          <t>Low</t>
        </is>
      </c>
      <c r="K230" s="25" t="inlineStr">
        <is>
          <t>ircc approved foreign insurers super visa; super visa insurance from home country; can parents buy super visa insurance outside canada; super visa insurance canadian vs foreign company</t>
        </is>
      </c>
      <c r="L230" s="36" t="inlineStr">
        <is>
          <t>Nationwide</t>
        </is>
      </c>
      <c r="M230" s="36" t="inlineStr">
        <is>
          <t>informational</t>
        </is>
      </c>
      <c r="N230" s="36" t="inlineStr">
        <is>
          <t>MOFU</t>
        </is>
      </c>
      <c r="O230" s="25" t="inlineStr">
        <is>
          <t>Super Visa Insurance From a Foreign Insurer: IRCC Rules</t>
        </is>
      </c>
      <c r="P230" s="36">
        <f>LEN(O230)</f>
        <v/>
      </c>
      <c r="Q230" s="25" t="inlineStr">
        <is>
          <t>Can parents buy Super Visa insurance from a foreign insurer? See how IRCC approval works, what to check in the policy and when a Canadian plan is simpler.</t>
        </is>
      </c>
      <c r="R230" s="36">
        <f>LEN(Q230)</f>
        <v/>
      </c>
      <c r="S230" s="36">
        <f>IF(H230="","",IF(ISNUMBER(SEARCH(SUBSTITUTE(H230,"-"," "),SUBSTITUTE(O230,"-"," "))),"Yes","Check"))</f>
        <v/>
      </c>
      <c r="T230" s="25" t="inlineStr">
        <is>
          <t>Can Super Visa insurance come from a foreign insurer? | What IRCC requires from a foreign policy | How to check whether an insurer is IRCC-approved | Foreign vs Canadian Super Visa policies compared | Claims, currency and refunds with a foreign insurer | When a Canadian plan is the simpler choice | Next steps: get the policy checked before you apply</t>
        </is>
      </c>
      <c r="U230" s="25" t="inlineStr">
        <is>
          <t>Can my parents buy Super Visa insurance in their home country? | Where is IRCC's list of approved foreign insurers? | Is a foreign Super Visa policy cheaper than a Canadian one? | Will a Canadian hospital bill a foreign insurer directly? | Can we switch from a foreign policy to a Canadian one after arrival?</t>
        </is>
      </c>
      <c r="V230" s="25" t="inlineStr">
        <is>
          <t>Side-by-side table of foreign vs Canadian Super Visa policies (IRCC approval status, policy currency, direct billing at Canadian hospitals, refund handling, complaint route such as OLHI), plus a 6-step checklist for verifying an insurer against IRCC's published list, with a review date.</t>
        </is>
      </c>
      <c r="W230" s="25" t="inlineStr">
        <is>
          <t>/super-visa-insurance/; /guides/super-visa-insurance-requirements-cost/; /travel-insurance/visitors-to-canada/; /guides/super-visa-insurance-documents-proof-ircc/</t>
        </is>
      </c>
      <c r="X230" s="25" t="inlineStr">
        <is>
          <t>Request a specialist call: Super Visa desk, policy checked against IRCC rules (/super-visa-insurance/)</t>
        </is>
      </c>
      <c r="Y230" s="36" t="inlineStr">
        <is>
          <t>Article; FAQPage; BreadcrumbList</t>
        </is>
      </c>
      <c r="Z230" s="37" t="n">
        <v>1600</v>
      </c>
      <c r="AA230" s="25" t="inlineStr">
        <is>
          <t>The Super Visa content owners in the research (PolicyAdvisor, bestquotetravelinsurance.ca, HelloSafe, CoverMe, RBC Insurance) note the January 2025 foreign-insurer change, but none seen offers a verification checklist or compares claims handling and complaint routes.</t>
        </is>
      </c>
      <c r="AB230" s="25" t="inlineStr">
        <is>
          <t>Put the focus keyword in the H1, slug, meta title, first 100 words and the H2 'What IRCC requires from a foreign policy'. Under the first H2, write a 40–60 word answer stating that only IRCC-approved foreign insurers qualify, with a link to the canada.ca Super Visa page. Include the comparison table and checklist; use 'Super Visa insurance requirements' as anchor text to the existing guide and 'Super Visa insurance' to the money page. Licensed A&amp;S reviewer, IRCC as primary source, image alt 'IRCC Super Visa insurance checklist', reviewed after every IRCC update.</t>
        </is>
      </c>
      <c r="AC230" s="25" t="inlineStr">
        <is>
          <t>Verify the foreign-insurer rule, its January 2025 start date and the current approved list on canada.ca before publishing. Do not imply instasure.ca advisors can place foreign policies, and state that immigration questions go to IRCC or a licensed RCIC.</t>
        </is>
      </c>
      <c r="AD230" s="36" t="inlineStr">
        <is>
          <t>On rule change</t>
        </is>
      </c>
      <c r="AE230" s="38" t="n"/>
      <c r="AF230" s="38" t="n"/>
      <c r="AG230" s="38" t="n"/>
    </row>
    <row r="231" ht="35.05" customHeight="1" s="22">
      <c r="A231" s="36">
        <f>"B"&amp;TEXT(ROW()-1,"0000")</f>
        <v/>
      </c>
      <c r="B231" s="38" t="inlineStr">
        <is>
          <t>Planned</t>
        </is>
      </c>
      <c r="C231" s="36" t="n">
        <v>2</v>
      </c>
      <c r="D231" s="36" t="inlineStr">
        <is>
          <t>Super Visa &amp; visitors insurance</t>
        </is>
      </c>
      <c r="E231" s="36" t="inlineStr">
        <is>
          <t>Claims</t>
        </is>
      </c>
      <c r="F231" s="25" t="inlineStr">
        <is>
          <t>How to Make a Super Visa or Visitor Insurance Claim in Canada</t>
        </is>
      </c>
      <c r="G231" s="36" t="inlineStr">
        <is>
          <t>https://instasure.ca/guides/super-visa-visitor-insurance-claim-how-to/</t>
        </is>
      </c>
      <c r="H231" s="36" t="inlineStr">
        <is>
          <t>super visa insurance claim</t>
        </is>
      </c>
      <c r="I231" s="41">
        <f>IFERROR(INDEX('Nationwide KWs'!$D$2:$D$168,MATCH(H231,'Nationwide KWs'!$A$2:$A$168,0)),IFERROR(INDEX('Provincial KWs'!$E$2:$E$137,MATCH(H231,'Provincial KWs'!$A$2:$A$137,0)),IFERROR(INDEX('City KWs'!$F$2:$F$419,MATCH(H231,'City KWs'!$A$2:$A$419,0)),"")))</f>
        <v/>
      </c>
      <c r="J231" s="36" t="inlineStr">
        <is>
          <t>Low</t>
        </is>
      </c>
      <c r="K231" s="25" t="inlineStr">
        <is>
          <t>visitor insurance claim canada; how to claim visitor insurance; super visa insurance direct billing hospital; visitor insurance emergency assistance line; super visa claim documents</t>
        </is>
      </c>
      <c r="L231" s="36" t="inlineStr">
        <is>
          <t>Nationwide</t>
        </is>
      </c>
      <c r="M231" s="36" t="inlineStr">
        <is>
          <t>informational</t>
        </is>
      </c>
      <c r="N231" s="36" t="inlineStr">
        <is>
          <t>MOFU</t>
        </is>
      </c>
      <c r="O231" s="25" t="inlineStr">
        <is>
          <t>Super Visa Insurance Claim: Step by Step in Canada</t>
        </is>
      </c>
      <c r="P231" s="36">
        <f>LEN(O231)</f>
        <v/>
      </c>
      <c r="Q231" s="25" t="inlineStr">
        <is>
          <t>How to make a Super Visa or visitor insurance claim: call assistance first, direct billing, documents to keep and timelines. Save the claim checklist.</t>
        </is>
      </c>
      <c r="R231" s="36">
        <f>LEN(Q231)</f>
        <v/>
      </c>
      <c r="S231" s="36">
        <f>IF(H231="","",IF(ISNUMBER(SEARCH(SUBSTITUTE(H231,"-"," "),SUBSTITUTE(O231,"-"," "))),"Yes","Check"))</f>
        <v/>
      </c>
      <c r="T231" s="25" t="inlineStr">
        <is>
          <t>How do you claim on Super Visa insurance? | Step 1: call the assistance line before treatment | Direct billing vs paying first and claiming back | Documents to collect at the hospital or clinic | Claims involving pre-existing conditions | How long claims take and what to do if delayed | A printable claim kit for visiting parents</t>
        </is>
      </c>
      <c r="U231" s="25" t="inlineStr">
        <is>
          <t>Do we have to call the insurer before going to the hospital? | Will the hospital bill the insurer directly? | What documents do we need for a visitor insurance claim? | How long do Super Visa claims take to pay? | Can my child file the claim for my parents?</t>
        </is>
      </c>
      <c r="V231" s="25" t="inlineStr">
        <is>
          <t>Printable claim-kit card for visiting parents (policy number, assistance line, steps in order) in English, Punjabi, Hindi, Urdu, Tagalog and Simplified Chinese, plus a document checklist.</t>
        </is>
      </c>
      <c r="W231" s="25" t="inlineStr">
        <is>
          <t>/super-visa-insurance/; /travel-insurance/visitors-to-canada/; /guides/super-visa-insurance-claim-denied/; /guides/hospital-costs-for-visitors-to-canada/</t>
        </is>
      </c>
      <c r="X231" s="25" t="inlineStr">
        <is>
          <t>Request a specialist call: Super Visa desk (/super-visa-insurance/)</t>
        </is>
      </c>
      <c r="Y231" s="36" t="inlineStr">
        <is>
          <t>Article; FAQPage; HowTo; BreadcrumbList</t>
        </is>
      </c>
      <c r="Z231" s="37" t="n">
        <v>1500</v>
      </c>
      <c r="AA231" s="25" t="inlineStr">
        <is>
          <t>No competitor coverage seen for visitor claim steps; Super Visa content in the research stops at the purchase.</t>
        </is>
      </c>
      <c r="AB231" s="25" t="inlineStr">
        <is>
          <t>Focus keyword in the H1, slug, meta title, first 100 words and first H2, with a 40–60 word answer giving the first three steps. Mark up the numbered steps with HowTo, offer the claim kit as downloads in each language and link 'claim denied' to the sibling guide. Licensed A&amp;S reviewer; image alt 'visitor insurance claim kit card'.</t>
        </is>
      </c>
      <c r="AC231" s="25" t="inlineStr">
        <is>
          <t>Claims procedures vary by insurer; present the steps as typical and tell readers to follow their policy. Translations must be done by a qualified translator and checked by a licensed advisor before publishing.</t>
        </is>
      </c>
      <c r="AD231" s="36" t="inlineStr">
        <is>
          <t>Annual</t>
        </is>
      </c>
      <c r="AE231" s="38" t="n"/>
      <c r="AF231" s="38" t="n"/>
      <c r="AG231" s="38" t="n"/>
    </row>
    <row r="232" ht="46.25" customHeight="1" s="22">
      <c r="A232" s="36">
        <f>"B"&amp;TEXT(ROW()-1,"0000")</f>
        <v/>
      </c>
      <c r="B232" s="38" t="inlineStr">
        <is>
          <t>Planned</t>
        </is>
      </c>
      <c r="C232" s="36" t="n">
        <v>2</v>
      </c>
      <c r="D232" s="36" t="inlineStr">
        <is>
          <t>Super Visa &amp; visitors insurance</t>
        </is>
      </c>
      <c r="E232" s="36" t="inlineStr">
        <is>
          <t>Claims</t>
        </is>
      </c>
      <c r="F232" s="25" t="inlineStr">
        <is>
          <t>Super Visa Insurance Refunds: Visa Refused, Early Return and Cancellation</t>
        </is>
      </c>
      <c r="G232" s="36" t="inlineStr">
        <is>
          <t>https://instasure.ca/guides/super-visa-insurance-refund-rules/</t>
        </is>
      </c>
      <c r="H232" s="36" t="inlineStr">
        <is>
          <t>super visa insurance refund</t>
        </is>
      </c>
      <c r="I232" s="41">
        <f>IFERROR(INDEX('Nationwide KWs'!$D$2:$D$168,MATCH(H232,'Nationwide KWs'!$A$2:$A$168,0)),IFERROR(INDEX('Provincial KWs'!$E$2:$E$137,MATCH(H232,'Provincial KWs'!$A$2:$A$137,0)),IFERROR(INDEX('City KWs'!$F$2:$F$419,MATCH(H232,'City KWs'!$A$2:$A$419,0)),"")))</f>
        <v/>
      </c>
      <c r="J232" s="36" t="inlineStr">
        <is>
          <t>Low</t>
        </is>
      </c>
      <c r="K232" s="25" t="inlineStr">
        <is>
          <t>super visa insurance refund if visa refused; super visa insurance cancellation; super visa insurance early return refund; super visa insurance admin fee; unused super visa insurance refund</t>
        </is>
      </c>
      <c r="L232" s="36" t="inlineStr">
        <is>
          <t>Nationwide</t>
        </is>
      </c>
      <c r="M232" s="36" t="inlineStr">
        <is>
          <t>informational</t>
        </is>
      </c>
      <c r="N232" s="36" t="inlineStr">
        <is>
          <t>MOFU</t>
        </is>
      </c>
      <c r="O232" s="25" t="inlineStr">
        <is>
          <t>Super Visa Insurance Refund: Refusal and Early Return</t>
        </is>
      </c>
      <c r="P232" s="36">
        <f>LEN(O232)</f>
        <v/>
      </c>
      <c r="Q232" s="25" t="inlineStr">
        <is>
          <t>Super Visa insurance refund rules: visa refused, parents return early or the trip is cancelled. See typical fees and documents. Check your policy.</t>
        </is>
      </c>
      <c r="R232" s="36">
        <f>LEN(Q232)</f>
        <v/>
      </c>
      <c r="S232" s="36">
        <f>IF(H232="","",IF(ISNUMBER(SEARCH(SUBSTITUTE(H232,"-"," "),SUBSTITUTE(O232,"-"," "))),"Yes","Check"))</f>
        <v/>
      </c>
      <c r="T232" s="25" t="inlineStr">
        <is>
          <t>When can you get a Super Visa insurance refund? | Visa refused: documents and typical fees | Parents return home early: pro-rated refunds and claims | Trip cancelled before the start date | Refunds on monthly plans | How to request a refund, step by step</t>
        </is>
      </c>
      <c r="U232" s="25" t="inlineStr">
        <is>
          <t>Do we get a refund if the Super Visa is refused? | Can we get a refund if my parents leave Canada early? | Is there a cancellation fee on Super Visa insurance? | What if a claim was made before they left? | How long does a refund take?</t>
        </is>
      </c>
      <c r="V232" s="25" t="inlineStr">
        <is>
          <t>Refund scenario table (refusal, no travel, early return with no claims, early return after a claim, monthly plan) showing the documents needed and the typical fee pattern, built from current wordings with a review date.</t>
        </is>
      </c>
      <c r="W232" s="25" t="inlineStr">
        <is>
          <t>/super-visa-insurance/; /guides/super-visa-insurance-requirements-cost/; /guides/super-visa-insurance-monthly-payments/; /guides/super-visa-insurance-documents-proof-ircc/</t>
        </is>
      </c>
      <c r="X232" s="25" t="inlineStr">
        <is>
          <t>Request a specialist call: Super Visa desk (/super-visa-insurance/)</t>
        </is>
      </c>
      <c r="Y232" s="36" t="inlineStr">
        <is>
          <t>Article; FAQPage; HowTo; BreadcrumbList</t>
        </is>
      </c>
      <c r="Z232" s="37" t="n">
        <v>1300</v>
      </c>
      <c r="AA232" s="25" t="inlineStr">
        <is>
          <t>Refund rules appear as FAQ lines on PolicyAdvisor, HelloSafe and the existing instasure.ca guide; no competitor seen maps each refund scenario to documents and fees.</t>
        </is>
      </c>
      <c r="AB232" s="25" t="inlineStr">
        <is>
          <t>Focus keyword in the H1, slug, meta title, first 100 words and first H2, with a 40–60 word answer covering the three common refund cases. Use the scenario table and a numbered request process (HowTo markup on that section only). Link 'monthly payments' to the sibling guide; licensed A&amp;S reviewer; image alt 'Super Visa insurance refund scenarios'.</t>
        </is>
      </c>
      <c r="AC232" s="25" t="inlineStr">
        <is>
          <t>Refund fees and conditions differ by insurer; verify each scenario against current wordings and never promise a refund or a timeline.</t>
        </is>
      </c>
      <c r="AD232" s="36" t="inlineStr">
        <is>
          <t>Annual</t>
        </is>
      </c>
      <c r="AE232" s="38" t="n"/>
      <c r="AF232" s="38" t="n"/>
      <c r="AG232" s="38" t="n"/>
    </row>
    <row r="233" ht="46.25" customHeight="1" s="22">
      <c r="A233" s="36">
        <f>"B"&amp;TEXT(ROW()-1,"0000")</f>
        <v/>
      </c>
      <c r="B233" s="38" t="inlineStr">
        <is>
          <t>Planned</t>
        </is>
      </c>
      <c r="C233" s="36" t="n">
        <v>2</v>
      </c>
      <c r="D233" s="36" t="inlineStr">
        <is>
          <t>Super Visa &amp; visitors insurance</t>
        </is>
      </c>
      <c r="E233" s="36" t="inlineStr">
        <is>
          <t>Cost &amp; pricing</t>
        </is>
      </c>
      <c r="F233" s="25" t="inlineStr">
        <is>
          <t>Choosing a Super Visa Insurance Deductible: How Much Should You Carry?</t>
        </is>
      </c>
      <c r="G233" s="36" t="inlineStr">
        <is>
          <t>https://instasure.ca/guides/super-visa-insurance-deductible/</t>
        </is>
      </c>
      <c r="H233" s="36" t="inlineStr">
        <is>
          <t>super visa insurance deductible</t>
        </is>
      </c>
      <c r="I233" s="41">
        <f>IFERROR(INDEX('Nationwide KWs'!$D$2:$D$168,MATCH(H233,'Nationwide KWs'!$A$2:$A$168,0)),IFERROR(INDEX('Provincial KWs'!$E$2:$E$137,MATCH(H233,'Provincial KWs'!$A$2:$A$137,0)),IFERROR(INDEX('City KWs'!$F$2:$F$419,MATCH(H233,'City KWs'!$A$2:$A$419,0)),"")))</f>
        <v/>
      </c>
      <c r="J233" s="36" t="inlineStr">
        <is>
          <t>Low</t>
        </is>
      </c>
      <c r="K233" s="25" t="inlineStr">
        <is>
          <t>super visa deductible per claim or per policy; zero deductible super visa insurance; super visa insurance 1000 deductible; how deductible affects super visa premium</t>
        </is>
      </c>
      <c r="L233" s="36" t="inlineStr">
        <is>
          <t>Nationwide</t>
        </is>
      </c>
      <c r="M233" s="36" t="inlineStr">
        <is>
          <t>commercial</t>
        </is>
      </c>
      <c r="N233" s="36" t="inlineStr">
        <is>
          <t>MOFU</t>
        </is>
      </c>
      <c r="O233" s="25" t="inlineStr">
        <is>
          <t>Super Visa Insurance Deductible: How to Choose One</t>
        </is>
      </c>
      <c r="P233" s="36">
        <f>LEN(O233)</f>
        <v/>
      </c>
      <c r="Q233" s="25" t="inlineStr">
        <is>
          <t>Compare Super Visa insurance deductible options: per-claim vs per-policy rules, savings examples by age and when zero pays off. Get an estimate.</t>
        </is>
      </c>
      <c r="R233" s="36">
        <f>LEN(Q233)</f>
        <v/>
      </c>
      <c r="S233" s="36">
        <f>IF(H233="","",IF(ISNUMBER(SEARCH(SUBSTITUTE(H233,"-"," "),SUBSTITUTE(O233,"-"," "))),"Yes","Check"))</f>
        <v/>
      </c>
      <c r="T233" s="25" t="inlineStr">
        <is>
          <t>How does a Super Visa insurance deductible work? | Per claim, per illness or per policy: why wording matters | Worked examples: premium saved vs risk taken | Deductible choices by parent's age | Deductibles and pre-existing condition claims | How to pick a deductible your family can pay</t>
        </is>
      </c>
      <c r="U233" s="25" t="inlineStr">
        <is>
          <t>Is the Super Visa deductible charged per visit or per policy? | Does a higher deductible affect visa approval? | Can we change the deductible after the policy starts? | Do deductibles apply to emergency room visits? | Is a zero deductible worth the higher premium?</t>
        </is>
      </c>
      <c r="V233" s="25" t="inlineStr">
        <is>
          <t>Break-even table showing premium saved per year against out-of-pocket risk for each deductible level at ages 60, 70 and 80, using dated Instasure model estimates, plus a one-question decision rule.</t>
        </is>
      </c>
      <c r="W233" s="25" t="inlineStr">
        <is>
          <t>/super-visa-insurance/; /guides/super-visa-insurance-requirements-cost/; /guides/compare-super-visa-insurance-checklist/</t>
        </is>
      </c>
      <c r="X233" s="25" t="inlineStr">
        <is>
          <t>Instant Super Visa insurance estimate with deductible options (/quote/super-visa-insurance/)</t>
        </is>
      </c>
      <c r="Y233" s="36" t="inlineStr">
        <is>
          <t>Article; FAQPage; BreadcrumbList</t>
        </is>
      </c>
      <c r="Z233" s="37" t="n">
        <v>1400</v>
      </c>
      <c r="AA233" s="25" t="inlineStr">
        <is>
          <t>Super Visa owners list deductible options inside quote tools, but none seen publishes a break-even analysis or explains per-claim vs per-policy wording.</t>
        </is>
      </c>
      <c r="AB233" s="25" t="inlineStr">
        <is>
          <t>Focus keyword in the H1, slug, meta title, first 100 words and the first H2, with a 40–60 word answer defining the deductible and how it lowers the premium. Build the break-even table with clear row and column labels and an 'as of' date; link 'compare Super Visa insurance' to the checklist guide. Licensed A&amp;S reviewer; cite policy wordings; image alt 'Super Visa deductible break-even table'.</t>
        </is>
      </c>
      <c r="AC233" s="25" t="inlineStr">
        <is>
          <t>All savings figures are Instasure model estimates with the profile and date shown; verify per-claim vs per-policy wording against actual policy documents. No 'cheapest' language.</t>
        </is>
      </c>
      <c r="AD233" s="36" t="inlineStr">
        <is>
          <t>Semi-annual</t>
        </is>
      </c>
      <c r="AE233" s="38" t="n"/>
      <c r="AF233" s="38" t="n"/>
      <c r="AG233" s="38" t="n"/>
    </row>
    <row r="234" ht="46.25" customHeight="1" s="22">
      <c r="A234" s="36">
        <f>"B"&amp;TEXT(ROW()-1,"0000")</f>
        <v/>
      </c>
      <c r="B234" s="38" t="inlineStr">
        <is>
          <t>Planned</t>
        </is>
      </c>
      <c r="C234" s="36" t="n">
        <v>2</v>
      </c>
      <c r="D234" s="36" t="inlineStr">
        <is>
          <t>Super Visa &amp; visitors insurance</t>
        </is>
      </c>
      <c r="E234" s="36" t="inlineStr">
        <is>
          <t>Cost &amp; pricing</t>
        </is>
      </c>
      <c r="F234" s="25" t="inlineStr">
        <is>
          <t>Is $100,000 Enough? Choosing a Super Visa Coverage Amount</t>
        </is>
      </c>
      <c r="G234" s="36" t="inlineStr">
        <is>
          <t>https://instasure.ca/guides/super-visa-insurance-coverage-amount/</t>
        </is>
      </c>
      <c r="H234" s="36" t="inlineStr">
        <is>
          <t>super visa insurance coverage amount</t>
        </is>
      </c>
      <c r="I234" s="41">
        <f>IFERROR(INDEX('Nationwide KWs'!$D$2:$D$168,MATCH(H234,'Nationwide KWs'!$A$2:$A$168,0)),IFERROR(INDEX('Provincial KWs'!$E$2:$E$137,MATCH(H234,'Provincial KWs'!$A$2:$A$137,0)),IFERROR(INDEX('City KWs'!$F$2:$F$419,MATCH(H234,'City KWs'!$A$2:$A$419,0)),"")))</f>
        <v/>
      </c>
      <c r="J234" s="36" t="inlineStr">
        <is>
          <t>Niche</t>
        </is>
      </c>
      <c r="K234" s="25" t="inlineStr">
        <is>
          <t>super visa insurance 100000 vs 150000; super visa insurance 200000 coverage; how much super visa coverage do i need; hospital cost canada visitor</t>
        </is>
      </c>
      <c r="L234" s="36" t="inlineStr">
        <is>
          <t>Nationwide</t>
        </is>
      </c>
      <c r="M234" s="36" t="inlineStr">
        <is>
          <t>commercial</t>
        </is>
      </c>
      <c r="N234" s="36" t="inlineStr">
        <is>
          <t>MOFU</t>
        </is>
      </c>
      <c r="O234" s="25" t="inlineStr">
        <is>
          <t>Super Visa Insurance Coverage Amount: Is $100,000 Enough?</t>
        </is>
      </c>
      <c r="P234" s="36">
        <f>LEN(O234)</f>
        <v/>
      </c>
      <c r="Q234" s="25" t="inlineStr">
        <is>
          <t>Is the $100,000 Super Visa minimum enough? Compare higher limits using hospital-cost scenarios and model price differences by age. Compare amounts.</t>
        </is>
      </c>
      <c r="R234" s="36">
        <f>LEN(Q234)</f>
        <v/>
      </c>
      <c r="S234" s="36">
        <f>IF(H234="","",IF(ISNUMBER(SEARCH(SUBSTITUTE(H234,"-"," "),SUBSTITUTE(O234,"-"," "))),"Yes","Check"))</f>
        <v/>
      </c>
      <c r="T234" s="25" t="inlineStr">
        <is>
          <t>Is $100,000 of Super Visa coverage enough? | What a serious emergency can cost a visitor | Price difference between coverage levels by age | When a higher limit makes sense | Coverage amount vs deductible: where to spend | Next steps</t>
        </is>
      </c>
      <c r="U234" s="25" t="inlineStr">
        <is>
          <t>What is the minimum Super Visa insurance coverage? | How much more does a higher coverage amount cost? | Do hospitals bill visitors more than residents? | Can we raise the coverage amount after arrival? | Does a higher coverage amount help the visa application?</t>
        </is>
      </c>
      <c r="V234" s="25" t="inlineStr">
        <is>
          <t>Scenario table pairing typical emergencies (cardiac event, stroke, hip fracture, appendectomy) with sourced hospital charges for uninsured non-residents, next to model premiums for each coverage level.</t>
        </is>
      </c>
      <c r="W234" s="25" t="inlineStr">
        <is>
          <t>/super-visa-insurance/; /guides/super-visa-insurance-requirements-cost/; /guides/hospital-costs-for-visitors-to-canada/; /guides/super-visa-insurance-deductible/</t>
        </is>
      </c>
      <c r="X234" s="25" t="inlineStr">
        <is>
          <t>Instant Super Visa insurance estimate by coverage amount (/quote/super-visa-insurance/)</t>
        </is>
      </c>
      <c r="Y234" s="36" t="inlineStr">
        <is>
          <t>Article; FAQPage; BreadcrumbList</t>
        </is>
      </c>
      <c r="Z234" s="37" t="n">
        <v>1400</v>
      </c>
      <c r="AA234" s="25" t="inlineStr">
        <is>
          <t>Super Visa owners quote prices at the $100,000 minimum; none seen ties coverage levels to documented hospital charges for non-residents.</t>
        </is>
      </c>
      <c r="AB234" s="25" t="inlineStr">
        <is>
          <t>Focus keyword in the H1, slug, meta title, first 100 words and the H2 'Price difference between coverage levels by age'. Open with a 40–60 word answer: the minimum, why some families buy more and what it typically adds. Link 'hospital costs for visitors' to the data guide and include the scenario table with sources under it. Licensed A&amp;S reviewer; image alt 'Super Visa coverage amount scenarios'.</t>
        </is>
      </c>
      <c r="AC234" s="25" t="inlineStr">
        <is>
          <t>Verify the $100,000 minimum with IRCC and source every hospital charge to a hospital or ministry fee schedule with its date; label premium differences as model estimates.</t>
        </is>
      </c>
      <c r="AD234" s="36" t="inlineStr">
        <is>
          <t>Semi-annual</t>
        </is>
      </c>
      <c r="AE234" s="38" t="n"/>
      <c r="AF234" s="38" t="n"/>
      <c r="AG234" s="38" t="n"/>
    </row>
    <row r="235" ht="46.25" customHeight="1" s="22">
      <c r="A235" s="36">
        <f>"B"&amp;TEXT(ROW()-1,"0000")</f>
        <v/>
      </c>
      <c r="B235" s="38" t="inlineStr">
        <is>
          <t>Planned</t>
        </is>
      </c>
      <c r="C235" s="36" t="n">
        <v>2</v>
      </c>
      <c r="D235" s="36" t="inlineStr">
        <is>
          <t>Super Visa &amp; visitors insurance</t>
        </is>
      </c>
      <c r="E235" s="36" t="inlineStr">
        <is>
          <t>Cost &amp; pricing</t>
        </is>
      </c>
      <c r="F235" s="25" t="inlineStr">
        <is>
          <t>Super Visa Insurance Monthly Payments: Plans, Deposits and Cancellations</t>
        </is>
      </c>
      <c r="G235" s="36" t="inlineStr">
        <is>
          <t>https://instasure.ca/guides/super-visa-insurance-monthly-payments/</t>
        </is>
      </c>
      <c r="H235" s="36" t="inlineStr">
        <is>
          <t>super visa insurance monthly payment</t>
        </is>
      </c>
      <c r="I235" s="41">
        <f>IFERROR(INDEX('Nationwide KWs'!$D$2:$D$168,MATCH(H235,'Nationwide KWs'!$A$2:$A$168,0)),IFERROR(INDEX('Provincial KWs'!$E$2:$E$137,MATCH(H235,'Provincial KWs'!$A$2:$A$137,0)),IFERROR(INDEX('City KWs'!$F$2:$F$419,MATCH(H235,'City KWs'!$A$2:$A$419,0)),"")))</f>
        <v/>
      </c>
      <c r="J235" s="36" t="inlineStr">
        <is>
          <t>Low</t>
        </is>
      </c>
      <c r="K235" s="25" t="inlineStr">
        <is>
          <t>super visa insurance monthly plan; super visa insurance installments; super visa insurance deposit; monthly super visa insurance ircc; super visa insurance pay monthly cost</t>
        </is>
      </c>
      <c r="L235" s="36" t="inlineStr">
        <is>
          <t>Nationwide</t>
        </is>
      </c>
      <c r="M235" s="36" t="inlineStr">
        <is>
          <t>commercial</t>
        </is>
      </c>
      <c r="N235" s="36" t="inlineStr">
        <is>
          <t>MOFU</t>
        </is>
      </c>
      <c r="O235" s="25" t="inlineStr">
        <is>
          <t>Super Visa Insurance Monthly Payment: How It Works</t>
        </is>
      </c>
      <c r="P235" s="36">
        <f>LEN(O235)</f>
        <v/>
      </c>
      <c r="Q235" s="25" t="inlineStr">
        <is>
          <t>How Super Visa insurance monthly payment plans work: deposits, total cost vs paying upfront, missed payments and IRCC proof. Compare both options now.</t>
        </is>
      </c>
      <c r="R235" s="36">
        <f>LEN(Q235)</f>
        <v/>
      </c>
      <c r="S235" s="36">
        <f>IF(H235="","",IF(ISNUMBER(SEARCH(SUBSTITUTE(H235,"-"," "),SUBSTITUTE(O235,"-"," "))),"Yes","Check"))</f>
        <v/>
      </c>
      <c r="T235" s="25" t="inlineStr">
        <is>
          <t>Can you pay Super Visa insurance monthly? | Deposits, fees and the total cost compared | What IRCC needs to see for a monthly plan | What happens if a payment is missed | Refunds and cancellations on monthly plans | Monthly vs upfront: which suits your family</t>
        </is>
      </c>
      <c r="U235" s="25" t="inlineStr">
        <is>
          <t>Does IRCC accept monthly Super Visa insurance? | Is monthly Super Visa insurance more expensive overall? | How large a deposit do monthly plans require? | What happens if a monthly payment fails? | Can we switch from monthly to annual payment?</t>
        </is>
      </c>
      <c r="V235" s="25" t="inlineStr">
        <is>
          <t>Total-cost comparison of upfront vs monthly payment for a 65- and a 75-year-old over 12 months (dated Instasure model estimates), plus a missed-payment risk checklist.</t>
        </is>
      </c>
      <c r="W235" s="25" t="inlineStr">
        <is>
          <t>/super-visa-insurance/; /guides/super-visa-insurance-requirements-cost/; /guides/super-visa-insurance-documents-proof-ircc/; /guides/super-visa-insurance-refund-rules/</t>
        </is>
      </c>
      <c r="X235" s="25" t="inlineStr">
        <is>
          <t>Instant Super Visa insurance estimate with a monthly option (/quote/super-visa-insurance/)</t>
        </is>
      </c>
      <c r="Y235" s="36" t="inlineStr">
        <is>
          <t>Article; FAQPage; BreadcrumbList</t>
        </is>
      </c>
      <c r="Z235" s="37" t="n">
        <v>1300</v>
      </c>
      <c r="AA235" s="25" t="inlineStr">
        <is>
          <t>HelloSafe, PolicyAdvisor and bestquotetravelinsurance.ca mention monthly plans; none seen compares total cost or explains missed-payment consequences in detail.</t>
        </is>
      </c>
      <c r="AB235" s="25" t="inlineStr">
        <is>
          <t>Focus keyword in the H1, slug, meta title, first 100 words and the H2 'What IRCC needs to see for a monthly plan'. Lead with a 40–60 word answer confirming whether monthly plans are accepted and the trade-offs. Include the total-cost table and link 'proof IRCC accepts' to the documents guide. Licensed A&amp;S reviewer; cite IRCC; image alt 'Super Visa monthly vs upfront cost'.</t>
        </is>
      </c>
      <c r="AC235" s="25" t="inlineStr">
        <is>
          <t>Verify IRCC's current position on monthly payment plans and each insurer's deposit and fee terms; show totals as model estimates, never as guaranteed prices.</t>
        </is>
      </c>
      <c r="AD235" s="36" t="inlineStr">
        <is>
          <t>On rule change</t>
        </is>
      </c>
      <c r="AE235" s="38" t="n"/>
      <c r="AF235" s="38" t="n"/>
      <c r="AG235" s="38" t="n"/>
    </row>
    <row r="236" ht="35.05" customHeight="1" s="22">
      <c r="A236" s="36">
        <f>"B"&amp;TEXT(ROW()-1,"0000")</f>
        <v/>
      </c>
      <c r="B236" s="38" t="inlineStr">
        <is>
          <t>Planned</t>
        </is>
      </c>
      <c r="C236" s="36" t="n">
        <v>2</v>
      </c>
      <c r="D236" s="36" t="inlineStr">
        <is>
          <t>Super Visa &amp; visitors insurance</t>
        </is>
      </c>
      <c r="E236" s="36" t="inlineStr">
        <is>
          <t>Cost &amp; pricing</t>
        </is>
      </c>
      <c r="F236" s="25" t="inlineStr">
        <is>
          <t>Super Visa Insurance for Both Parents: Couple Plans vs Two Policies</t>
        </is>
      </c>
      <c r="G236" s="36" t="inlineStr">
        <is>
          <t>https://instasure.ca/guides/super-visa-insurance-for-couples/</t>
        </is>
      </c>
      <c r="H236" s="36" t="inlineStr">
        <is>
          <t>super visa insurance for couples</t>
        </is>
      </c>
      <c r="I236" s="41">
        <f>IFERROR(INDEX('Nationwide KWs'!$D$2:$D$168,MATCH(H236,'Nationwide KWs'!$A$2:$A$168,0)),IFERROR(INDEX('Provincial KWs'!$E$2:$E$137,MATCH(H236,'Provincial KWs'!$A$2:$A$137,0)),IFERROR(INDEX('City KWs'!$F$2:$F$419,MATCH(H236,'City KWs'!$A$2:$A$419,0)),"")))</f>
        <v/>
      </c>
      <c r="J236" s="36" t="inlineStr">
        <is>
          <t>Low</t>
        </is>
      </c>
      <c r="K236" s="25" t="inlineStr">
        <is>
          <t>super visa insurance couple discount; family super visa insurance; super visa insurance for two parents cost; super visa insurance parents different ages</t>
        </is>
      </c>
      <c r="L236" s="36" t="inlineStr">
        <is>
          <t>Nationwide</t>
        </is>
      </c>
      <c r="M236" s="36" t="inlineStr">
        <is>
          <t>commercial</t>
        </is>
      </c>
      <c r="N236" s="36" t="inlineStr">
        <is>
          <t>MOFU</t>
        </is>
      </c>
      <c r="O236" s="25" t="inlineStr">
        <is>
          <t>Super Visa Insurance for Couples: One Plan or Two?</t>
        </is>
      </c>
      <c r="P236" s="36">
        <f>LEN(O236)</f>
        <v/>
      </c>
      <c r="Q236" s="25" t="inlineStr">
        <is>
          <t>Insuring both parents for a Super Visa? Compare a couple plan with two policies: pricing by age, deductibles and health differences. Get an estimate.</t>
        </is>
      </c>
      <c r="R236" s="36">
        <f>LEN(Q236)</f>
        <v/>
      </c>
      <c r="S236" s="36">
        <f>IF(H236="","",IF(ISNUMBER(SEARCH(SUBSTITUTE(H236,"-"," "),SUBSTITUTE(O236,"-"," "))),"Yes","Check"))</f>
        <v/>
      </c>
      <c r="T236" s="25" t="inlineStr">
        <is>
          <t>Should both parents share one Super Visa policy? | How couple pricing works when ages differ | When one parent has a pre-existing condition | Deductibles and limits: shared or separate | Worked example: two policies vs a couple plan | Refunds if one parent goes home early</t>
        </is>
      </c>
      <c r="U236" s="25" t="inlineStr">
        <is>
          <t>Is there a discount for insuring both parents? | Can one parent have pre-existing coverage and the other not? | What happens if one parent returns home early? | Does each parent need their own $100,000 of coverage? | Are couple plans priced on the older parent's age?</t>
        </is>
      </c>
      <c r="V236" s="25" t="inlineStr">
        <is>
          <t>Worked comparison of a couple plan vs two individual policies for parents aged 66 and 71 (dated Instasure model estimates), including the effect of one parent's pre-existing condition.</t>
        </is>
      </c>
      <c r="W236" s="25" t="inlineStr">
        <is>
          <t>/super-visa-insurance/; /guides/super-visa-insurance-pre-existing-conditions/; /guides/super-visa-insurance-refund-rules/; /guides/super-visa-insurance-requirements-cost/</t>
        </is>
      </c>
      <c r="X236" s="25" t="inlineStr">
        <is>
          <t>Instant Super Visa insurance estimate for two parents (/quote/super-visa-insurance/)</t>
        </is>
      </c>
      <c r="Y236" s="36" t="inlineStr">
        <is>
          <t>Article; FAQPage; BreadcrumbList</t>
        </is>
      </c>
      <c r="Z236" s="37" t="n">
        <v>1300</v>
      </c>
      <c r="AA236" s="25" t="inlineStr">
        <is>
          <t>Super Visa owners show single-visitor prices; none seen models couple pricing or the case where only one parent has a condition.</t>
        </is>
      </c>
      <c r="AB236" s="25" t="inlineStr">
        <is>
          <t>Focus keyword in the H1, slug, meta title, first 100 words and the first H2, with a 40–60 word answer on when one plan vs two makes sense. Use the worked comparison as a labelled table; link 'pre-existing conditions' and 'refund rules' to sibling guides. Licensed A&amp;S reviewer; image alt 'Super Visa couple plan vs two policies'.</t>
        </is>
      </c>
      <c r="AC236" s="25" t="inlineStr">
        <is>
          <t>Verify that each applicant needs their own qualifying coverage under IRCC rules and how insurers price couples; label the worked example as a model estimate with profile and date.</t>
        </is>
      </c>
      <c r="AD236" s="36" t="inlineStr">
        <is>
          <t>Semi-annual</t>
        </is>
      </c>
      <c r="AE236" s="38" t="n"/>
      <c r="AF236" s="38" t="n"/>
      <c r="AG236" s="38" t="n"/>
    </row>
    <row r="237" ht="46.25" customHeight="1" s="22">
      <c r="A237" s="36">
        <f>"B"&amp;TEXT(ROW()-1,"0000")</f>
        <v/>
      </c>
      <c r="B237" s="38" t="inlineStr">
        <is>
          <t>Planned</t>
        </is>
      </c>
      <c r="C237" s="36" t="n">
        <v>2</v>
      </c>
      <c r="D237" s="36" t="inlineStr">
        <is>
          <t>Super Visa &amp; visitors insurance</t>
        </is>
      </c>
      <c r="E237" s="36" t="inlineStr">
        <is>
          <t>Coverage explained</t>
        </is>
      </c>
      <c r="F237" s="25" t="inlineStr">
        <is>
          <t>Super Visa Medical Exam vs the Insurance Medical Questionnaire</t>
        </is>
      </c>
      <c r="G237" s="36" t="inlineStr">
        <is>
          <t>https://instasure.ca/guides/super-visa-medical-exam-vs-insurance-questionnaire/</t>
        </is>
      </c>
      <c r="H237" s="36" t="inlineStr">
        <is>
          <t>super visa medical exam</t>
        </is>
      </c>
      <c r="I237" s="41">
        <f>IFERROR(INDEX('Nationwide KWs'!$D$2:$D$168,MATCH(H237,'Nationwide KWs'!$A$2:$A$168,0)),IFERROR(INDEX('Provincial KWs'!$E$2:$E$137,MATCH(H237,'Provincial KWs'!$A$2:$A$137,0)),IFERROR(INDEX('City KWs'!$F$2:$F$419,MATCH(H237,'City KWs'!$A$2:$A$419,0)),"")))</f>
        <v/>
      </c>
      <c r="J237" s="36" t="inlineStr">
        <is>
          <t>Low</t>
        </is>
      </c>
      <c r="K237" s="25" t="inlineStr">
        <is>
          <t>super visa immigration medical exam; super visa medical questionnaire; does immigration medical exam affect super visa insurance; panel physician super visa; super visa medical exam results insurance</t>
        </is>
      </c>
      <c r="L237" s="36" t="inlineStr">
        <is>
          <t>Nationwide</t>
        </is>
      </c>
      <c r="M237" s="36" t="inlineStr">
        <is>
          <t>informational</t>
        </is>
      </c>
      <c r="N237" s="36" t="inlineStr">
        <is>
          <t>TOFU</t>
        </is>
      </c>
      <c r="O237" s="25" t="inlineStr">
        <is>
          <t>Super Visa Medical Exam vs Insurance Questionnaire</t>
        </is>
      </c>
      <c r="P237" s="36">
        <f>LEN(O237)</f>
        <v/>
      </c>
      <c r="Q237" s="25" t="inlineStr">
        <is>
          <t>The Super Visa medical exam and the insurer's medical questionnaire are separate. Learn what each checks, how results interact and how to avoid mismatches.</t>
        </is>
      </c>
      <c r="R237" s="36">
        <f>LEN(Q237)</f>
        <v/>
      </c>
      <c r="S237" s="36">
        <f>IF(H237="","",IF(ISNUMBER(SEARCH(SUBSTITUTE(H237,"-"," "),SUBSTITUTE(O237,"-"," "))),"Yes","Check"))</f>
        <v/>
      </c>
      <c r="T237" s="25" t="inlineStr">
        <is>
          <t>Is the Super Visa medical exam the same as the insurance questionnaire? | What the immigration medical exam checks | What the insurance questionnaire asks | When a diagnosis from the exam affects coverage | Timing: exam, insurance purchase and arrival | Avoiding contradictions between the two</t>
        </is>
      </c>
      <c r="U237" s="25" t="inlineStr">
        <is>
          <t>Does the insurer see my parents' immigration medical exam results? | Should we buy insurance before or after the medical exam? | What if the exam finds a new condition? | Who performs the Super Visa medical exam? | Is the insurance refundable if the medical exam leads to a refusal?</t>
        </is>
      </c>
      <c r="V237" s="25" t="inlineStr">
        <is>
          <t>Two-column comparison (immigration medical exam vs insurance questionnaire: who asks, what is checked, who sees results, consequences) plus a timeline showing the safest order of steps.</t>
        </is>
      </c>
      <c r="W237" s="25" t="inlineStr">
        <is>
          <t>/super-visa-insurance/; /guides/super-visa-insurance-pre-existing-conditions/; /guides/super-visa-insurance-requirements-cost/; /guides/super-visa-insurance-refund-rules/</t>
        </is>
      </c>
      <c r="X237" s="25" t="inlineStr">
        <is>
          <t>Request a specialist call: Super Visa desk (/super-visa-insurance/)</t>
        </is>
      </c>
      <c r="Y237" s="36" t="inlineStr">
        <is>
          <t>Article; FAQPage; BreadcrumbList</t>
        </is>
      </c>
      <c r="Z237" s="37" t="n">
        <v>1300</v>
      </c>
      <c r="AA237" s="25" t="inlineStr">
        <is>
          <t>No competitor coverage seen; Super Visa content treats the medical exam and the insurance questionnaire separately or not at all.</t>
        </is>
      </c>
      <c r="AB237" s="25" t="inlineStr">
        <is>
          <t>Focus keyword in the H1, slug, meta title, first 100 words and first H2, with a 40–60 word answer that the two are separate processes with different purposes. Use the comparison table and timeline; link 'pre-existing conditions' and 'refund rules'. Licensed A&amp;S reviewer; cite IRCC's medical exam page; image alt 'Super Visa medical exam vs insurance questionnaire'.</t>
        </is>
      </c>
      <c r="AC237" s="25" t="inlineStr">
        <is>
          <t>Verify IRCC's medical exam and panel physician rules; don't state whether insurers can or can't access IRCC results unless confirmed. Explain that insurers rely on the questionnaire and their own record requests.</t>
        </is>
      </c>
      <c r="AD237" s="36" t="inlineStr">
        <is>
          <t>On rule change</t>
        </is>
      </c>
      <c r="AE237" s="38" t="n"/>
      <c r="AF237" s="38" t="n"/>
      <c r="AG237" s="38" t="n"/>
    </row>
    <row r="238" ht="46.25" customHeight="1" s="22">
      <c r="A238" s="36">
        <f>"B"&amp;TEXT(ROW()-1,"0000")</f>
        <v/>
      </c>
      <c r="B238" s="38" t="inlineStr">
        <is>
          <t>Planned</t>
        </is>
      </c>
      <c r="C238" s="36" t="n">
        <v>2</v>
      </c>
      <c r="D238" s="36" t="inlineStr">
        <is>
          <t>Super Visa &amp; visitors insurance</t>
        </is>
      </c>
      <c r="E238" s="36" t="inlineStr">
        <is>
          <t>Coverage explained</t>
        </is>
      </c>
      <c r="F238" s="25" t="inlineStr">
        <is>
          <t>What Does Super Visa Insurance Cover? Benefits, Limits and Exclusions</t>
        </is>
      </c>
      <c r="G238" s="36" t="inlineStr">
        <is>
          <t>https://instasure.ca/guides/what-does-super-visa-insurance-cover/</t>
        </is>
      </c>
      <c r="H238" s="36" t="inlineStr">
        <is>
          <t>what does super visa insurance cover</t>
        </is>
      </c>
      <c r="I238" s="41">
        <f>IFERROR(INDEX('Nationwide KWs'!$D$2:$D$168,MATCH(H238,'Nationwide KWs'!$A$2:$A$168,0)),IFERROR(INDEX('Provincial KWs'!$E$2:$E$137,MATCH(H238,'Provincial KWs'!$A$2:$A$137,0)),IFERROR(INDEX('City KWs'!$F$2:$F$419,MATCH(H238,'City KWs'!$A$2:$A$419,0)),"")))</f>
        <v/>
      </c>
      <c r="J238" s="36" t="inlineStr">
        <is>
          <t>Low</t>
        </is>
      </c>
      <c r="K238" s="25" t="inlineStr">
        <is>
          <t>super visa insurance benefits; super visa insurance exclusions; super visa insurance dental emergency; super visa insurance prescription drugs; repatriation super visa insurance</t>
        </is>
      </c>
      <c r="L238" s="36" t="inlineStr">
        <is>
          <t>Nationwide</t>
        </is>
      </c>
      <c r="M238" s="36" t="inlineStr">
        <is>
          <t>informational</t>
        </is>
      </c>
      <c r="N238" s="36" t="inlineStr">
        <is>
          <t>TOFU</t>
        </is>
      </c>
      <c r="O238" s="25" t="inlineStr">
        <is>
          <t>What Does Super Visa Insurance Cover? Benefits &amp; Limits</t>
        </is>
      </c>
      <c r="P238" s="36">
        <f>LEN(O238)</f>
        <v/>
      </c>
      <c r="Q238" s="25" t="inlineStr">
        <is>
          <t>What Super Visa insurance covers and excludes: hospital, doctors, drugs, emergency dental, repatriation and sub-limits in one table. Read before you buy.</t>
        </is>
      </c>
      <c r="R238" s="36">
        <f>LEN(Q238)</f>
        <v/>
      </c>
      <c r="S238" s="36">
        <f>IF(H238="","",IF(ISNUMBER(SEARCH(SUBSTITUTE(H238,"-"," "),SUBSTITUTE(O238,"-"," "))),"Yes","Check"))</f>
        <v/>
      </c>
      <c r="T238" s="25" t="inlineStr">
        <is>
          <t>What Super Visa insurance covers, in brief | Core benefits: hospital, physician and diagnostics | Prescriptions, ambulance and emergency dental | Repatriation and return of remains | Common exclusions and sub-limits | Side trips and follow-up care | How to read a policy wording in ten minutes</t>
        </is>
      </c>
      <c r="U238" s="25" t="inlineStr">
        <is>
          <t>Does Super Visa insurance cover routine doctor visits? | Is dental care covered under Super Visa insurance? | What is repatriation coverage? | Are follow-up visits after an emergency covered? | Does Super Visa insurance cover pandemic-related illness?</t>
        </is>
      </c>
      <c r="V238" s="25" t="inlineStr">
        <is>
          <t>Benefit-by-benefit table (usually covered, usually limited, usually excluded) built from a review of current policy wordings, with the review date and the sub-limit to check in each row.</t>
        </is>
      </c>
      <c r="W238" s="25" t="inlineStr">
        <is>
          <t>/super-visa-insurance/; /guides/super-visa-insurance-requirements-cost/; /guides/super-visa-insurance-side-trips/; /travel-insurance/visitors-to-canada/</t>
        </is>
      </c>
      <c r="X238" s="25" t="inlineStr">
        <is>
          <t>Request a specialist call: Super Visa desk (/super-visa-insurance/)</t>
        </is>
      </c>
      <c r="Y238" s="36" t="inlineStr">
        <is>
          <t>Article; FAQPage; BreadcrumbList</t>
        </is>
      </c>
      <c r="Z238" s="37" t="n">
        <v>1600</v>
      </c>
      <c r="AA238" s="25" t="inlineStr">
        <is>
          <t>PolicyAdvisor, HelloSafe and RBC Insurance describe coverage in prose, and the existing instasure.ca guide lists exclusions briefly; none seen shows a benefit table with the sub-limits to check.</t>
        </is>
      </c>
      <c r="AB238" s="25" t="inlineStr">
        <is>
          <t>Focus keyword as the H1 and meta title opener, in the slug, first 100 words and first H2, with a 40–60 word answer summarising emergency-only cover. Place the benefit table directly under the answer; link 'side trips' and 'Super Visa insurance requirements' to the sibling guides. Licensed A&amp;S reviewer; list the wordings reviewed as sources; image alt 'What Super Visa insurance covers table'.</t>
        </is>
      </c>
      <c r="AC238" s="25" t="inlineStr">
        <is>
          <t>Build the table from actual policy wordings, list which were reviewed and label rows as typical since benefits vary. Do not name any insurer as best.</t>
        </is>
      </c>
      <c r="AD238" s="36" t="inlineStr">
        <is>
          <t>Annual</t>
        </is>
      </c>
      <c r="AE238" s="38" t="n"/>
      <c r="AF238" s="38" t="n"/>
      <c r="AG238" s="38" t="n"/>
    </row>
    <row r="239" ht="46.25" customHeight="1" s="22">
      <c r="A239" s="36">
        <f>"B"&amp;TEXT(ROW()-1,"0000")</f>
        <v/>
      </c>
      <c r="B239" s="38" t="inlineStr">
        <is>
          <t>Planned</t>
        </is>
      </c>
      <c r="C239" s="36" t="n">
        <v>2</v>
      </c>
      <c r="D239" s="36" t="inlineStr">
        <is>
          <t>Super Visa &amp; visitors insurance</t>
        </is>
      </c>
      <c r="E239" s="36" t="inlineStr">
        <is>
          <t>How-to</t>
        </is>
      </c>
      <c r="F239" s="25" t="inlineStr">
        <is>
          <t>Buying Visitor Insurance After Arrival in Canada: Waiting Periods Explained</t>
        </is>
      </c>
      <c r="G239" s="36" t="inlineStr">
        <is>
          <t>https://instasure.ca/guides/buy-visitor-insurance-after-arrival-canada/</t>
        </is>
      </c>
      <c r="H239" s="36" t="inlineStr">
        <is>
          <t>buy visitor insurance after arrival</t>
        </is>
      </c>
      <c r="I239" s="41">
        <f>IFERROR(INDEX('Nationwide KWs'!$D$2:$D$168,MATCH(H239,'Nationwide KWs'!$A$2:$A$168,0)),IFERROR(INDEX('Provincial KWs'!$E$2:$E$137,MATCH(H239,'Provincial KWs'!$A$2:$A$137,0)),IFERROR(INDEX('City KWs'!$F$2:$F$419,MATCH(H239,'City KWs'!$A$2:$A$419,0)),"")))</f>
        <v/>
      </c>
      <c r="J239" s="36" t="inlineStr">
        <is>
          <t>Niche</t>
        </is>
      </c>
      <c r="K239" s="25" t="inlineStr">
        <is>
          <t>visitor insurance after arrival waiting period; visitor insurance already in canada; late purchase visitor insurance; super visa insurance bought after arrival; visitor insurance waiting period sickness</t>
        </is>
      </c>
      <c r="L239" s="36" t="inlineStr">
        <is>
          <t>Nationwide</t>
        </is>
      </c>
      <c r="M239" s="36" t="inlineStr">
        <is>
          <t>commercial</t>
        </is>
      </c>
      <c r="N239" s="36" t="inlineStr">
        <is>
          <t>BOFU</t>
        </is>
      </c>
      <c r="O239" s="25" t="inlineStr">
        <is>
          <t>Buy Visitor Insurance After Arrival: Waiting Periods</t>
        </is>
      </c>
      <c r="P239" s="36">
        <f>LEN(O239)</f>
        <v/>
      </c>
      <c r="Q239" s="25" t="inlineStr">
        <is>
          <t>Already in Canada without coverage? How buying visitor insurance after arrival works: waiting periods, early exclusions and gaps. Start an estimate.</t>
        </is>
      </c>
      <c r="R239" s="36">
        <f>LEN(Q239)</f>
        <v/>
      </c>
      <c r="S239" s="36">
        <f>IF(H239="","",IF(ISNUMBER(SEARCH(SUBSTITUTE(H239,"-"," "),SUBSTITUTE(O239,"-"," "))),"Yes","Check"))</f>
        <v/>
      </c>
      <c r="T239" s="25" t="inlineStr">
        <is>
          <t>Can you buy visitor insurance after arriving in Canada? | How waiting periods work for illness vs injury | What isn't covered during the waiting period | Extending an existing policy vs buying a new one | Steps to get covered quickly | Avoiding the problem next time</t>
        </is>
      </c>
      <c r="U239" s="25" t="inlineStr">
        <is>
          <t>Is there a waiting period if we buy visitor insurance after arrival? | Are accidents covered during the waiting period? | Can we extend my parents' policy instead of buying a new one? | Will a doctor visit during the waiting period be covered? | Can visitor insurance be backdated?</t>
        </is>
      </c>
      <c r="V239" s="25" t="inlineStr">
        <is>
          <t>Table of typical waiting-period structures (illness vs injury, by age band) drawn from current policy wordings, plus a same-day action checklist.</t>
        </is>
      </c>
      <c r="W239" s="25" t="inlineStr">
        <is>
          <t>/travel-insurance/visitors-to-canada/; /super-visa-insurance/; /guides/visitors-to-canada-insurance-cost/; /guides/renew-super-visa-insurance-extension/</t>
        </is>
      </c>
      <c r="X239" s="25" t="inlineStr">
        <is>
          <t>Instant visitors to Canada insurance estimate (/quote/super-visa-insurance/)</t>
        </is>
      </c>
      <c r="Y239" s="36" t="inlineStr">
        <is>
          <t>Article; FAQPage; HowTo; BreadcrumbList</t>
        </is>
      </c>
      <c r="Z239" s="37" t="n">
        <v>1200</v>
      </c>
      <c r="AA239" s="25" t="inlineStr">
        <is>
          <t>Rates.ca covers buying travel insurance after leaving Canada (the outbound case); no competitor seen covers a visitor already in Canada.</t>
        </is>
      </c>
      <c r="AB239" s="25" t="inlineStr">
        <is>
          <t>Focus keyword in the H1, slug, meta title, first 100 words and first H2, with a 40–60 word answer: yes, but illness waiting periods usually apply. Use the waiting-period table and a short numbered action list (HowTo markup); link 'renewing Super Visa insurance' for longer stays. Licensed A&amp;S reviewer; image alt 'visitor insurance waiting period table'.</t>
        </is>
      </c>
      <c r="AC239" s="25" t="inlineStr">
        <is>
          <t>Waiting-period lengths vary by insurer and age; cite them only from current wordings with a review date. Never suggest backdating or misstating arrival dates.</t>
        </is>
      </c>
      <c r="AD239" s="36" t="inlineStr">
        <is>
          <t>Annual</t>
        </is>
      </c>
      <c r="AE239" s="38" t="n"/>
      <c r="AF239" s="38" t="n"/>
      <c r="AG239" s="38" t="n"/>
    </row>
    <row r="240" ht="46.25" customHeight="1" s="22">
      <c r="A240" s="36">
        <f>"B"&amp;TEXT(ROW()-1,"0000")</f>
        <v/>
      </c>
      <c r="B240" s="38" t="inlineStr">
        <is>
          <t>Planned</t>
        </is>
      </c>
      <c r="C240" s="36" t="n">
        <v>2</v>
      </c>
      <c r="D240" s="36" t="inlineStr">
        <is>
          <t>Super Visa &amp; visitors insurance</t>
        </is>
      </c>
      <c r="E240" s="36" t="inlineStr">
        <is>
          <t>Local (city/province)</t>
        </is>
      </c>
      <c r="F240" s="25" t="inlineStr">
        <is>
          <t>Visitor and Super Visa Insurance in Calgary: A Local Guide for Families</t>
        </is>
      </c>
      <c r="G240" s="36" t="inlineStr">
        <is>
          <t>https://instasure.ca/guides/visitor-insurance-calgary/</t>
        </is>
      </c>
      <c r="H240" s="36" t="inlineStr">
        <is>
          <t>visitor insurance calgary</t>
        </is>
      </c>
      <c r="I240" s="41">
        <f>IFERROR(INDEX('Nationwide KWs'!$D$2:$D$168,MATCH(H240,'Nationwide KWs'!$A$2:$A$168,0)),IFERROR(INDEX('Provincial KWs'!$E$2:$E$137,MATCH(H240,'Provincial KWs'!$A$2:$A$137,0)),IFERROR(INDEX('City KWs'!$F$2:$F$419,MATCH(H240,'City KWs'!$A$2:$A$419,0)),"")))</f>
        <v/>
      </c>
      <c r="J240" s="36" t="inlineStr">
        <is>
          <t>Niche</t>
        </is>
      </c>
      <c r="K240" s="25" t="inlineStr">
        <is>
          <t>super visa parents calgary; walk-in clinic for visitors calgary; alberta health services non-resident rates; visitor insurance skiing injury alberta</t>
        </is>
      </c>
      <c r="L240" s="36" t="inlineStr">
        <is>
          <t>City: Calgary, AB</t>
        </is>
      </c>
      <c r="M240" s="36" t="inlineStr">
        <is>
          <t>local</t>
        </is>
      </c>
      <c r="N240" s="36" t="inlineStr">
        <is>
          <t>BOFU</t>
        </is>
      </c>
      <c r="O240" s="25" t="inlineStr">
        <is>
          <t>Visitor Insurance Calgary: Guide for Visiting Parents</t>
        </is>
      </c>
      <c r="P240" s="36">
        <f>LEN(O240)</f>
        <v/>
      </c>
      <c r="Q240" s="25" t="inlineStr">
        <is>
          <t>Visitor insurance in Calgary: where visiting parents get care, how AHS bills non-residents, activity exclusions and Super Visa tips. Read the guide.</t>
        </is>
      </c>
      <c r="R240" s="36">
        <f>LEN(Q240)</f>
        <v/>
      </c>
      <c r="S240" s="36">
        <f>IF(H240="","",IF(ISNUMBER(SEARCH(SUBSTITUTE(H240,"-"," "),SUBSTITUTE(O240,"-"," "))),"Yes","Check"))</f>
        <v/>
      </c>
      <c r="T240" s="25" t="inlineStr">
        <is>
          <t>Visitor insurance in Calgary: what families need first | Where visitors get care: emergency departments, urgent care centres and clinics | How Alberta Health Services bills non-residents | Super Visa or visitor policy for a Calgary stay | Mountain trips and activity exclusions | Local help in Punjabi, Tagalog and other languages where available</t>
        </is>
      </c>
      <c r="U240" s="25" t="inlineStr">
        <is>
          <t>Do Calgary walk-in clinics see visitors without Alberta health coverage? | How does Alberta Health Services bill uninsured visitors? | Are visitors covered for skiing injuries in the Rockies? | Is visitor insurance required for parents staying in Calgary? | Will visitor insurance pay a Calgary clinic directly?</t>
        </is>
      </c>
      <c r="V240" s="25" t="inlineStr">
        <is>
          <t>Calgary care table (emergency departments, urgent care centres, clinics seeing uninsured patients, billing method) verified on the review date, plus Alberta non-resident rate references and an activity-exclusion checklist for mountain trips.</t>
        </is>
      </c>
      <c r="W240" s="25" t="inlineStr">
        <is>
          <t>/super-visa-insurance/alberta/calgary/; /travel-insurance/visitors-to-canada/; /insurance/alberta/calgary/; /guides/super-visa-insurance-filipino-parents/</t>
        </is>
      </c>
      <c r="X240" s="25" t="inlineStr">
        <is>
          <t>Instant visitor insurance estimate with Calgary pre-filled (/super-visa-insurance/alberta/calgary/)</t>
        </is>
      </c>
      <c r="Y240" s="36" t="inlineStr">
        <is>
          <t>Article; FAQPage; BreadcrumbList</t>
        </is>
      </c>
      <c r="Z240" s="37" t="n">
        <v>1300</v>
      </c>
      <c r="AA240" s="25" t="inlineStr">
        <is>
          <t>Keyword research shows no competitor for 'super visa insurance calgary'; no local visitor-care guide was seen.</t>
        </is>
      </c>
      <c r="AB240" s="25" t="inlineStr">
        <is>
          <t>Focus keyword in the H1, slug, meta title, first 100 words and first H2; link the Calgary Super Visa page with city anchor text. Open with a 40–60 word answer, then the verified care table; the mountain-activity section is the Calgary-specific angle that separates it from the Edmonton guide. Reviewer licensed in Alberta; cite AHS; image alt 'Calgary visitor care map'.</t>
        </is>
      </c>
      <c r="AC240" s="25" t="inlineStr">
        <is>
          <t>Verify AHS non-resident billing and each clinic's policy directly with dates; activity exclusions vary by wording, so describe them as typical. Languages only where an active advisor speaks them.</t>
        </is>
      </c>
      <c r="AD240" s="36" t="inlineStr">
        <is>
          <t>Semi-annual</t>
        </is>
      </c>
      <c r="AE240" s="38" t="n"/>
      <c r="AF240" s="38" t="n"/>
      <c r="AG240" s="38" t="n"/>
    </row>
    <row r="241" ht="46.25" customHeight="1" s="22">
      <c r="A241" s="36">
        <f>"B"&amp;TEXT(ROW()-1,"0000")</f>
        <v/>
      </c>
      <c r="B241" s="38" t="inlineStr">
        <is>
          <t>Planned</t>
        </is>
      </c>
      <c r="C241" s="36" t="n">
        <v>2</v>
      </c>
      <c r="D241" s="36" t="inlineStr">
        <is>
          <t>Super Visa &amp; visitors insurance</t>
        </is>
      </c>
      <c r="E241" s="36" t="inlineStr">
        <is>
          <t>Local (city/province)</t>
        </is>
      </c>
      <c r="F241" s="25" t="inlineStr">
        <is>
          <t>Visitor and Super Visa Insurance in Edmonton: A Local Guide for Families</t>
        </is>
      </c>
      <c r="G241" s="36" t="inlineStr">
        <is>
          <t>https://instasure.ca/guides/visitor-insurance-edmonton/</t>
        </is>
      </c>
      <c r="H241" s="36" t="inlineStr">
        <is>
          <t>visitor insurance edmonton</t>
        </is>
      </c>
      <c r="I241" s="41">
        <f>IFERROR(INDEX('Nationwide KWs'!$D$2:$D$168,MATCH(H241,'Nationwide KWs'!$A$2:$A$168,0)),IFERROR(INDEX('Provincial KWs'!$E$2:$E$137,MATCH(H241,'Provincial KWs'!$A$2:$A$137,0)),IFERROR(INDEX('City KWs'!$F$2:$F$419,MATCH(H241,'City KWs'!$A$2:$A$419,0)),"")))</f>
        <v/>
      </c>
      <c r="J241" s="36" t="inlineStr">
        <is>
          <t>Niche</t>
        </is>
      </c>
      <c r="K241" s="25" t="inlineStr">
        <is>
          <t>super visa parents edmonton; walk-in clinic for visitors edmonton; edmonton er cost for visitors; visitor insurance slip and fall winter</t>
        </is>
      </c>
      <c r="L241" s="36" t="inlineStr">
        <is>
          <t>City: Edmonton, AB</t>
        </is>
      </c>
      <c r="M241" s="36" t="inlineStr">
        <is>
          <t>local</t>
        </is>
      </c>
      <c r="N241" s="36" t="inlineStr">
        <is>
          <t>BOFU</t>
        </is>
      </c>
      <c r="O241" s="25" t="inlineStr">
        <is>
          <t>Visitor Insurance Edmonton: Guide for Visiting Parents</t>
        </is>
      </c>
      <c r="P241" s="36">
        <f>LEN(O241)</f>
        <v/>
      </c>
      <c r="Q241" s="25" t="inlineStr">
        <is>
          <t>Visitor insurance in Edmonton: where visiting parents get care, how AHS bills non-residents, winter injury claims and Super Visa tips. Read the guide.</t>
        </is>
      </c>
      <c r="R241" s="36">
        <f>LEN(Q241)</f>
        <v/>
      </c>
      <c r="S241" s="36">
        <f>IF(H241="","",IF(ISNUMBER(SEARCH(SUBSTITUTE(H241,"-"," "),SUBSTITUTE(O241,"-"," "))),"Yes","Check"))</f>
        <v/>
      </c>
      <c r="T241" s="25" t="inlineStr">
        <is>
          <t>Visitor insurance in Edmonton: what families need first | Where visitors get care in Edmonton | How Alberta Health Services bills non-residents | Super Visa or visitor policy for an Edmonton stay | Winter falls and injuries: what visitor policies pay | Local help in Punjabi, Tagalog and other languages where available</t>
        </is>
      </c>
      <c r="U241" s="25" t="inlineStr">
        <is>
          <t>Do Edmonton clinics see visitors without Alberta health coverage? | How much does an Edmonton ER visit cost a visitor? | Are slip-and-fall injuries covered by visitor insurance? | Is visitor insurance required for parents staying in Edmonton? | Will visitor insurance pay a clinic directly?</t>
        </is>
      </c>
      <c r="V241" s="25" t="inlineStr">
        <is>
          <t>Edmonton care table verified on the review date, plus a worked winter-injury claim example priced with AHS non-resident rates.</t>
        </is>
      </c>
      <c r="W241" s="25" t="inlineStr">
        <is>
          <t>/super-visa-insurance/alberta/edmonton/; /travel-insurance/visitors-to-canada/; /insurance/alberta/edmonton/; /guides/super-visa-insurance-parents-from-india/</t>
        </is>
      </c>
      <c r="X241" s="25" t="inlineStr">
        <is>
          <t>Instant visitor insurance estimate with Edmonton pre-filled (/super-visa-insurance/alberta/edmonton/)</t>
        </is>
      </c>
      <c r="Y241" s="36" t="inlineStr">
        <is>
          <t>Article; FAQPage; BreadcrumbList</t>
        </is>
      </c>
      <c r="Z241" s="37" t="n">
        <v>1300</v>
      </c>
      <c r="AA241" s="25" t="inlineStr">
        <is>
          <t>Keyword research shows no competitor for 'super visa insurance edmonton'; no local visitor-care guide was seen.</t>
        </is>
      </c>
      <c r="AB241" s="25" t="inlineStr">
        <is>
          <t>Focus keyword in the H1, slug, meta title, first 100 words and first H2; link the Edmonton Super Visa page with city anchor text. Open with a 40–60 word answer, then the care table and the winter-injury worked example (the Edmonton-specific angle). Reviewer licensed in Alberta; cite AHS; image alt 'Edmonton visitor care map'.</t>
        </is>
      </c>
      <c r="AC241" s="25" t="inlineStr">
        <is>
          <t>Verify AHS rates and clinic billing directly with dates; label the worked example as illustrative. Languages only where an active advisor speaks them.</t>
        </is>
      </c>
      <c r="AD241" s="36" t="inlineStr">
        <is>
          <t>Semi-annual</t>
        </is>
      </c>
      <c r="AE241" s="38" t="n"/>
      <c r="AF241" s="38" t="n"/>
      <c r="AG241" s="38" t="n"/>
    </row>
    <row r="242" ht="57.45" customHeight="1" s="22">
      <c r="A242" s="36">
        <f>"B"&amp;TEXT(ROW()-1,"0000")</f>
        <v/>
      </c>
      <c r="B242" s="38" t="inlineStr">
        <is>
          <t>Planned</t>
        </is>
      </c>
      <c r="C242" s="36" t="n">
        <v>2</v>
      </c>
      <c r="D242" s="36" t="inlineStr">
        <is>
          <t>Super Visa &amp; visitors insurance</t>
        </is>
      </c>
      <c r="E242" s="36" t="inlineStr">
        <is>
          <t>Local (city/province)</t>
        </is>
      </c>
      <c r="F242" s="25" t="inlineStr">
        <is>
          <t>Visitor and Super Visa Insurance in Mississauga: A Local Guide for Families</t>
        </is>
      </c>
      <c r="G242" s="36" t="inlineStr">
        <is>
          <t>https://instasure.ca/guides/visitor-insurance-mississauga/</t>
        </is>
      </c>
      <c r="H242" s="36" t="inlineStr">
        <is>
          <t>visitor insurance mississauga</t>
        </is>
      </c>
      <c r="I242" s="41">
        <f>IFERROR(INDEX('Nationwide KWs'!$D$2:$D$168,MATCH(H242,'Nationwide KWs'!$A$2:$A$168,0)),IFERROR(INDEX('Provincial KWs'!$E$2:$E$137,MATCH(H242,'Provincial KWs'!$A$2:$A$137,0)),IFERROR(INDEX('City KWs'!$F$2:$F$419,MATCH(H242,'City KWs'!$A$2:$A$419,0)),"")))</f>
        <v/>
      </c>
      <c r="J242" s="36" t="inlineStr">
        <is>
          <t>Niche</t>
        </is>
      </c>
      <c r="K242" s="25" t="inlineStr">
        <is>
          <t>super visa parents mississauga; walk-in clinic for visitors mississauga; trillium health partners visitor cost; visitor medical insurance mississauga urdu</t>
        </is>
      </c>
      <c r="L242" s="36" t="inlineStr">
        <is>
          <t>City: Mississauga, ON</t>
        </is>
      </c>
      <c r="M242" s="36" t="inlineStr">
        <is>
          <t>local</t>
        </is>
      </c>
      <c r="N242" s="36" t="inlineStr">
        <is>
          <t>BOFU</t>
        </is>
      </c>
      <c r="O242" s="25" t="inlineStr">
        <is>
          <t>Visitor Insurance Mississauga: Guide for Visiting Parents</t>
        </is>
      </c>
      <c r="P242" s="36">
        <f>LEN(O242)</f>
        <v/>
      </c>
      <c r="Q242" s="25" t="inlineStr">
        <is>
          <t>Visitor insurance in Mississauga: where visiting parents get care, how local hospitals bill non-residents and Super Visa tips. Read the local guide.</t>
        </is>
      </c>
      <c r="R242" s="36">
        <f>LEN(Q242)</f>
        <v/>
      </c>
      <c r="S242" s="36">
        <f>IF(H242="","",IF(ISNUMBER(SEARCH(SUBSTITUTE(H242,"-"," "),SUBSTITUTE(O242,"-"," "))),"Yes","Check"))</f>
        <v/>
      </c>
      <c r="T242" s="25" t="inlineStr">
        <is>
          <t>Visitor insurance in Mississauga: what families need first | Where visitors get care: hospital sites, urgent care and clinics | How Mississauga hospitals bill uninsured visitors | Super Visa or visitor policy for a Mississauga stay | Prescriptions and pharmacies for visitors | Local help in Urdu, Punjabi, Tagalog and Mandarin where available</t>
        </is>
      </c>
      <c r="U242" s="25" t="inlineStr">
        <is>
          <t>Do Mississauga walk-in clinics see visitors without OHIP? | How do Trillium Health Partners hospitals bill visitors? | Do parents on a six-month visit need a Super Visa policy? | Will visitor insurance pay a Mississauga clinic directly? | Is there an advisor who speaks Urdu?</t>
        </is>
      </c>
      <c r="V242" s="25" t="inlineStr">
        <is>
          <t>Mississauga care table (hospital sites, urgent care, clinics seeing uninsured patients, billing method) verified by phone on the review date.</t>
        </is>
      </c>
      <c r="W242" s="25" t="inlineStr">
        <is>
          <t>/super-visa-insurance/ontario/mississauga/; /travel-insurance/visitors-to-canada/; /insurance/ontario/mississauga/; /guides/super-visa-insurance-parents-from-pakistan/</t>
        </is>
      </c>
      <c r="X242" s="25" t="inlineStr">
        <is>
          <t>Instant visitor insurance estimate with Mississauga pre-filled (/super-visa-insurance/ontario/mississauga/)</t>
        </is>
      </c>
      <c r="Y242" s="36" t="inlineStr">
        <is>
          <t>Article; FAQPage; BreadcrumbList</t>
        </is>
      </c>
      <c r="Z242" s="37" t="n">
        <v>1300</v>
      </c>
      <c r="AA242" s="25" t="inlineStr">
        <is>
          <t>Keyword research shows no competitor for 'super visa insurance mississauga'; no local visitor-care guide was seen.</t>
        </is>
      </c>
      <c r="AB242" s="25" t="inlineStr">
        <is>
          <t>Focus keyword in the H1, slug, meta title, first 100 words and first H2; link the Mississauga Super Visa page with city anchor text instead of targeting its keyword. Open with a 40–60 word answer and the verified care table; keep the content distinct from the Brampton guide (different hospital network, communities and clinics). Reviewer licensed in Ontario; cite Trillium Health Partners billing pages; image alt 'Mississauga visitor care map'.</t>
        </is>
      </c>
      <c r="AC242" s="25" t="inlineStr">
        <is>
          <t>Verify hospital and clinic billing policies directly with dates; offer each language only if an active advisor speaks it.</t>
        </is>
      </c>
      <c r="AD242" s="36" t="inlineStr">
        <is>
          <t>Semi-annual</t>
        </is>
      </c>
      <c r="AE242" s="38" t="n"/>
      <c r="AF242" s="38" t="n"/>
      <c r="AG242" s="38" t="n"/>
    </row>
    <row r="243" ht="46.25" customHeight="1" s="22">
      <c r="A243" s="36">
        <f>"B"&amp;TEXT(ROW()-1,"0000")</f>
        <v/>
      </c>
      <c r="B243" s="38" t="inlineStr">
        <is>
          <t>Planned</t>
        </is>
      </c>
      <c r="C243" s="36" t="n">
        <v>2</v>
      </c>
      <c r="D243" s="36" t="inlineStr">
        <is>
          <t>Super Visa &amp; visitors insurance</t>
        </is>
      </c>
      <c r="E243" s="36" t="inlineStr">
        <is>
          <t>Local (city/province)</t>
        </is>
      </c>
      <c r="F243" s="25" t="inlineStr">
        <is>
          <t>Visitor and Super Visa Insurance in Winnipeg: A Local Guide for Families</t>
        </is>
      </c>
      <c r="G243" s="36" t="inlineStr">
        <is>
          <t>https://instasure.ca/guides/visitor-insurance-winnipeg/</t>
        </is>
      </c>
      <c r="H243" s="36" t="inlineStr">
        <is>
          <t>visitor insurance winnipeg</t>
        </is>
      </c>
      <c r="I243" s="41">
        <f>IFERROR(INDEX('Nationwide KWs'!$D$2:$D$168,MATCH(H243,'Nationwide KWs'!$A$2:$A$168,0)),IFERROR(INDEX('Provincial KWs'!$E$2:$E$137,MATCH(H243,'Provincial KWs'!$A$2:$A$137,0)),IFERROR(INDEX('City KWs'!$F$2:$F$419,MATCH(H243,'City KWs'!$A$2:$A$419,0)),"")))</f>
        <v/>
      </c>
      <c r="J243" s="36" t="inlineStr">
        <is>
          <t>Niche</t>
        </is>
      </c>
      <c r="K243" s="25" t="inlineStr">
        <is>
          <t>super visa parents winnipeg; walk-in clinic for visitors winnipeg; manitoba non-resident hospital rates; visitor medical insurance manitoba tagalog</t>
        </is>
      </c>
      <c r="L243" s="36" t="inlineStr">
        <is>
          <t>City: Winnipeg, MB</t>
        </is>
      </c>
      <c r="M243" s="36" t="inlineStr">
        <is>
          <t>local</t>
        </is>
      </c>
      <c r="N243" s="36" t="inlineStr">
        <is>
          <t>BOFU</t>
        </is>
      </c>
      <c r="O243" s="25" t="inlineStr">
        <is>
          <t>Visitor Insurance Winnipeg: Guide for Visiting Parents</t>
        </is>
      </c>
      <c r="P243" s="36">
        <f>LEN(O243)</f>
        <v/>
      </c>
      <c r="Q243" s="25" t="inlineStr">
        <is>
          <t>Visitor insurance in Winnipeg: where visiting parents get care, how Manitoba hospitals bill non-residents and Super Visa tips. Read the local guide.</t>
        </is>
      </c>
      <c r="R243" s="36">
        <f>LEN(Q243)</f>
        <v/>
      </c>
      <c r="S243" s="36">
        <f>IF(H243="","",IF(ISNUMBER(SEARCH(SUBSTITUTE(H243,"-"," "),SUBSTITUTE(O243,"-"," "))),"Yes","Check"))</f>
        <v/>
      </c>
      <c r="T243" s="25" t="inlineStr">
        <is>
          <t>Visitor insurance in Winnipeg: what families need first | Where visitors get care in Winnipeg | How Manitoba hospitals bill non-residents | Super Visa or visitor policy for a Winnipeg stay | Cold-weather emergencies and coverage | Local help in Tagalog, Punjabi and other languages where available</t>
        </is>
      </c>
      <c r="U243" s="25" t="inlineStr">
        <is>
          <t>Do Winnipeg walk-in clinics see visitors without Manitoba Health coverage? | How do Winnipeg hospitals bill uninsured visitors? | Is visitor insurance required for parents staying in Winnipeg? | Does visitor insurance cover cold-related injuries? | Is there an advisor who speaks Tagalog?</t>
        </is>
      </c>
      <c r="V243" s="25" t="inlineStr">
        <is>
          <t>Winnipeg care table verified on the review date, plus Manitoba non-resident rate references and a cold-weather emergency checklist for visiting parents.</t>
        </is>
      </c>
      <c r="W243" s="25" t="inlineStr">
        <is>
          <t>/super-visa-insurance/manitoba/winnipeg/; /travel-insurance/visitors-to-canada/; /insurance/manitoba/winnipeg/; /guides/super-visa-insurance-filipino-parents/</t>
        </is>
      </c>
      <c r="X243" s="25" t="inlineStr">
        <is>
          <t>Instant visitor insurance estimate with Winnipeg pre-filled (/super-visa-insurance/manitoba/winnipeg/)</t>
        </is>
      </c>
      <c r="Y243" s="36" t="inlineStr">
        <is>
          <t>Article; FAQPage; BreadcrumbList</t>
        </is>
      </c>
      <c r="Z243" s="37" t="n">
        <v>1300</v>
      </c>
      <c r="AA243" s="25" t="inlineStr">
        <is>
          <t>Keyword research shows no competitor for 'super visa insurance winnipeg', and PolicyAdvisor mentions Winnipeg only in body copy; no local visitor-care guide was seen.</t>
        </is>
      </c>
      <c r="AB243" s="25" t="inlineStr">
        <is>
          <t>Focus keyword in the H1, slug, meta title, first 100 words and first H2; link the Winnipeg Super Visa page with city anchor text. Open with a 40–60 word answer, then the care table and cold-weather checklist written for Winnipeg. Reviewer licensed in Manitoba; cite Shared Health and Manitoba Health; image alt 'Winnipeg visitor care map'.</t>
        </is>
      </c>
      <c r="AC243" s="25" t="inlineStr">
        <is>
          <t>Verify Manitoba's non-resident billing and each clinic's policy directly with dates; offer Tagalog or Punjabi help only if an active advisor speaks the language.</t>
        </is>
      </c>
      <c r="AD243" s="36" t="inlineStr">
        <is>
          <t>Semi-annual</t>
        </is>
      </c>
      <c r="AE243" s="38" t="n"/>
      <c r="AF243" s="38" t="n"/>
      <c r="AG243" s="38" t="n"/>
    </row>
    <row r="244" ht="46.25" customHeight="1" s="22">
      <c r="A244" s="36">
        <f>"B"&amp;TEXT(ROW()-1,"0000")</f>
        <v/>
      </c>
      <c r="B244" s="38" t="inlineStr">
        <is>
          <t>Planned</t>
        </is>
      </c>
      <c r="C244" s="36" t="n">
        <v>2</v>
      </c>
      <c r="D244" s="36" t="inlineStr">
        <is>
          <t>Super Visa &amp; visitors insurance</t>
        </is>
      </c>
      <c r="E244" s="36" t="inlineStr">
        <is>
          <t>Personas</t>
        </is>
      </c>
      <c r="F244" s="25" t="inlineStr">
        <is>
          <t>Health Insurance for Work Permit Holders in Canada: Gaps and Options</t>
        </is>
      </c>
      <c r="G244" s="36" t="inlineStr">
        <is>
          <t>https://instasure.ca/guides/health-insurance-work-permit-holders-canada/</t>
        </is>
      </c>
      <c r="H244" s="36" t="inlineStr">
        <is>
          <t>health insurance for work permit holders canada</t>
        </is>
      </c>
      <c r="I244" s="41">
        <f>IFERROR(INDEX('Nationwide KWs'!$D$2:$D$168,MATCH(H244,'Nationwide KWs'!$A$2:$A$168,0)),IFERROR(INDEX('Provincial KWs'!$E$2:$E$137,MATCH(H244,'Provincial KWs'!$A$2:$A$137,0)),IFERROR(INDEX('City KWs'!$F$2:$F$419,MATCH(H244,'City KWs'!$A$2:$A$419,0)),"")))</f>
        <v/>
      </c>
      <c r="J244" s="36" t="inlineStr">
        <is>
          <t>Low</t>
        </is>
      </c>
      <c r="K244" s="25" t="inlineStr">
        <is>
          <t>do foreign workers need travel insurance; temporary foreign worker health insurance; work permit provincial health coverage; extended health insurance for foreign workers; pgwp health insurance</t>
        </is>
      </c>
      <c r="L244" s="36" t="inlineStr">
        <is>
          <t>Nationwide</t>
        </is>
      </c>
      <c r="M244" s="36" t="inlineStr">
        <is>
          <t>commercial</t>
        </is>
      </c>
      <c r="N244" s="36" t="inlineStr">
        <is>
          <t>MOFU</t>
        </is>
      </c>
      <c r="O244" s="25" t="inlineStr">
        <is>
          <t>Health Insurance for Work Permit Holders in Canada</t>
        </is>
      </c>
      <c r="P244" s="36">
        <f>LEN(O244)</f>
        <v/>
      </c>
      <c r="Q244" s="25" t="inlineStr">
        <is>
          <t>Are work permit holders covered by provincial health plans? Rules by province, employer duties, gaps between permits and private options. Read the guide.</t>
        </is>
      </c>
      <c r="R244" s="36">
        <f>LEN(Q244)</f>
        <v/>
      </c>
      <c r="S244" s="36">
        <f>IF(H244="","",IF(ISNUMBER(SEARCH(SUBSTITUTE(H244,"-"," "),SUBSTITUTE(O244,"-"," "))),"Yes","Check"))</f>
        <v/>
      </c>
      <c r="T244" s="25" t="inlineStr">
        <is>
          <t>Are work permit holders covered by provincial health care? | Eligibility by province and permit length | Employer obligations for temporary foreign workers | Gaps: before coverage starts, between permits and after a PGWP | Private options: visitor, newcomer and extended health plans | Next steps</t>
        </is>
      </c>
      <c r="U244" s="25" t="inlineStr">
        <is>
          <t>Do temporary foreign workers get OHIP? | Must employers provide health insurance to temporary foreign workers? | Is a PGWP holder covered by the provincial plan? | What happens to coverage when a work permit expires? | Can work permit holders buy extended health and dental?</t>
        </is>
      </c>
      <c r="V244" s="25" t="inlineStr">
        <is>
          <t>Eligibility matrix by province and permit type (employer-specific, open, PGWP, spousal) with the minimum permit length each plan requires, sourced and dated.</t>
        </is>
      </c>
      <c r="W244" s="25" t="inlineStr">
        <is>
          <t>/travel-insurance/visitors-to-canada/; /health-dental-insurance/; /life-insurance/newcomers/; /guides/health-insurance-waiting-period-new-immigrants/</t>
        </is>
      </c>
      <c r="X244" s="25" t="inlineStr">
        <is>
          <t>Request a call with a licensed advisor about newcomer health coverage (/health-dental-insurance/)</t>
        </is>
      </c>
      <c r="Y244" s="36" t="inlineStr">
        <is>
          <t>Article; FAQPage; BreadcrumbList</t>
        </is>
      </c>
      <c r="Z244" s="37" t="n">
        <v>1700</v>
      </c>
      <c r="AA244" s="25" t="inlineStr">
        <is>
          <t>PolicyAdvisor covers this ('Do Foreign Workers In Canada Need Travel Insurance', 'Extended Health Insurance for Foreign Workers in Canada') but is licensed only in ON, BC, AB and MB; no province-by-permit matrix was seen.</t>
        </is>
      </c>
      <c r="AB244" s="25" t="inlineStr">
        <is>
          <t>Focus keyword in the H1, slug, meta title, first 100 words and first H2, with a 40–60 word answer that eligibility depends on province and permit length. Use the eligibility matrix and link 'waiting period for new immigrants' and 'life insurance for newcomers'. Licensed A&amp;S reviewer; cite provincial ministries and ESDC; image alt 'work permit health coverage by province'.</t>
        </is>
      </c>
      <c r="AC244" s="25" t="inlineStr">
        <is>
          <t>Verify each province's eligibility rules and ESDC's employer requirements for temporary foreign workers before publishing; no immigration advice.</t>
        </is>
      </c>
      <c r="AD244" s="36" t="inlineStr">
        <is>
          <t>On rule change</t>
        </is>
      </c>
      <c r="AE244" s="38" t="n"/>
      <c r="AF244" s="38" t="n"/>
      <c r="AG244" s="38" t="n"/>
    </row>
    <row r="245" ht="46.25" customHeight="1" s="22">
      <c r="A245" s="36">
        <f>"B"&amp;TEXT(ROW()-1,"0000")</f>
        <v/>
      </c>
      <c r="B245" s="38" t="inlineStr">
        <is>
          <t>Planned</t>
        </is>
      </c>
      <c r="C245" s="36" t="n">
        <v>2</v>
      </c>
      <c r="D245" s="36" t="inlineStr">
        <is>
          <t>Super Visa &amp; visitors insurance</t>
        </is>
      </c>
      <c r="E245" s="36" t="inlineStr">
        <is>
          <t>Personas</t>
        </is>
      </c>
      <c r="F245" s="25" t="inlineStr">
        <is>
          <t>Super Visa Insurance for Filipino Parents and Grandparents</t>
        </is>
      </c>
      <c r="G245" s="36" t="inlineStr">
        <is>
          <t>https://instasure.ca/guides/super-visa-insurance-filipino-parents/</t>
        </is>
      </c>
      <c r="H245" s="36" t="inlineStr">
        <is>
          <t>super visa insurance for filipino parents</t>
        </is>
      </c>
      <c r="I245" s="41">
        <f>IFERROR(INDEX('Nationwide KWs'!$D$2:$D$168,MATCH(H245,'Nationwide KWs'!$A$2:$A$168,0)),IFERROR(INDEX('Provincial KWs'!$E$2:$E$137,MATCH(H245,'Provincial KWs'!$A$2:$A$137,0)),IFERROR(INDEX('City KWs'!$F$2:$F$419,MATCH(H245,'City KWs'!$A$2:$A$419,0)),"")))</f>
        <v/>
      </c>
      <c r="J245" s="36" t="inlineStr">
        <is>
          <t>Niche</t>
        </is>
      </c>
      <c r="K245" s="25" t="inlineStr">
        <is>
          <t>super visa philippines; filipino parents visiting canada insurance; super visa insurance tagalog; visitor insurance philippines to canada</t>
        </is>
      </c>
      <c r="L245" s="36" t="inlineStr">
        <is>
          <t>Nationwide</t>
        </is>
      </c>
      <c r="M245" s="36" t="inlineStr">
        <is>
          <t>commercial</t>
        </is>
      </c>
      <c r="N245" s="36" t="inlineStr">
        <is>
          <t>MOFU</t>
        </is>
      </c>
      <c r="O245" s="25" t="inlineStr">
        <is>
          <t>Super Visa Insurance for Filipino Parents: A Guide</t>
        </is>
      </c>
      <c r="P245" s="36">
        <f>LEN(O245)</f>
        <v/>
      </c>
      <c r="Q245" s="25" t="inlineStr">
        <is>
          <t>Super Visa insurance for parents and grandparents from the Philippines: IRCC rules, cost by age and claims, with Tagalog help where available. Read on.</t>
        </is>
      </c>
      <c r="R245" s="36">
        <f>LEN(Q245)</f>
        <v/>
      </c>
      <c r="S245" s="36">
        <f>IF(H245="","",IF(ISNUMBER(SEARCH(SUBSTITUTE(H245,"-"," "),SUBSTITUTE(O245,"-"," "))),"Yes","Check"))</f>
        <v/>
      </c>
      <c r="T245" s="25" t="inlineStr">
        <is>
          <t>Super Visa insurance for Filipino parents: the essentials | Super Visa or visitor visa for a shorter stay | Cost by age and ways to manage it | Medical records and the questionnaire | Claims in Canada and refunds on return | Help in Tagalog</t>
        </is>
      </c>
      <c r="U245" s="25" t="inlineStr">
        <is>
          <t>Can grandparents from the Philippines get a Super Visa? | Is visitor insurance enough for a three-month visit? | Can we pay for the policy in instalments? | Do medical records need to be in English? | What if a parent gets sick before the policy starts?</t>
        </is>
      </c>
      <c r="V245" s="25" t="inlineStr">
        <is>
          <t>Bilingual (English and Tagalog) family checklist plus a short visa-path comparison for Filipino families choosing between a Super Visa and a visitor visa.</t>
        </is>
      </c>
      <c r="W245" s="25" t="inlineStr">
        <is>
          <t>/super-visa-insurance/; /super-visa-insurance/manitoba/winnipeg/; /guides/super-visa-vs-visitor-visa-parents/; /guides/super-visa-insurance-monthly-payments/</t>
        </is>
      </c>
      <c r="X245" s="25" t="inlineStr">
        <is>
          <t>Request a specialist call: Super Visa desk, Tagalog where available (/super-visa-insurance/)</t>
        </is>
      </c>
      <c r="Y245" s="36" t="inlineStr">
        <is>
          <t>Article; FAQPage; BreadcrumbList</t>
        </is>
      </c>
      <c r="Z245" s="37" t="n">
        <v>1500</v>
      </c>
      <c r="AA245" s="25" t="inlineStr">
        <is>
          <t>No competitor coverage seen for Filipino families; the research lists Tagalog among the missing newcomer languages.</t>
        </is>
      </c>
      <c r="AB245" s="25" t="inlineStr">
        <is>
          <t>Focus keyword in the H1, slug, meta title, first 100 words and first H2, with a 40–60 word answer on IRCC's insurance rule and the visa choice. Link the Winnipeg Super Visa page and the visa comparison guide; publish the Tagalog version with hreflang after review. Licensed A&amp;S reviewer; image alt 'Super Visa checklist for Filipino families'.</t>
        </is>
      </c>
      <c r="AC245" s="25" t="inlineStr">
        <is>
          <t>Offer Tagalog help only if an active advisor speaks it; verify IRCC rules and label all costs as dated model estimates.</t>
        </is>
      </c>
      <c r="AD245" s="36" t="inlineStr">
        <is>
          <t>Semi-annual</t>
        </is>
      </c>
      <c r="AE245" s="38" t="n"/>
      <c r="AF245" s="38" t="n"/>
      <c r="AG245" s="38" t="n"/>
    </row>
    <row r="246" ht="46.25" customHeight="1" s="22">
      <c r="A246" s="36">
        <f>"B"&amp;TEXT(ROW()-1,"0000")</f>
        <v/>
      </c>
      <c r="B246" s="38" t="inlineStr">
        <is>
          <t>Planned</t>
        </is>
      </c>
      <c r="C246" s="36" t="n">
        <v>2</v>
      </c>
      <c r="D246" s="36" t="inlineStr">
        <is>
          <t>Super Visa &amp; visitors insurance</t>
        </is>
      </c>
      <c r="E246" s="36" t="inlineStr">
        <is>
          <t>Personas</t>
        </is>
      </c>
      <c r="F246" s="25" t="inlineStr">
        <is>
          <t>Super Visa Insurance for Parents From China: Super Visa or 10-Year Visa?</t>
        </is>
      </c>
      <c r="G246" s="36" t="inlineStr">
        <is>
          <t>https://instasure.ca/guides/super-visa-insurance-parents-from-china/</t>
        </is>
      </c>
      <c r="H246" s="36" t="inlineStr">
        <is>
          <t>super visa insurance for parents from china</t>
        </is>
      </c>
      <c r="I246" s="41">
        <f>IFERROR(INDEX('Nationwide KWs'!$D$2:$D$168,MATCH(H246,'Nationwide KWs'!$A$2:$A$168,0)),IFERROR(INDEX('Provincial KWs'!$E$2:$E$137,MATCH(H246,'Provincial KWs'!$A$2:$A$137,0)),IFERROR(INDEX('City KWs'!$F$2:$F$419,MATCH(H246,'City KWs'!$A$2:$A$419,0)),"")))</f>
        <v/>
      </c>
      <c r="J246" s="36" t="inlineStr">
        <is>
          <t>Niche</t>
        </is>
      </c>
      <c r="K246" s="25" t="inlineStr">
        <is>
          <t>super visa china; chinese parents visiting canada insurance; super visa insurance mandarin; visitor insurance for parents from china; 10 year visa vs super visa china</t>
        </is>
      </c>
      <c r="L246" s="36" t="inlineStr">
        <is>
          <t>Nationwide</t>
        </is>
      </c>
      <c r="M246" s="36" t="inlineStr">
        <is>
          <t>commercial</t>
        </is>
      </c>
      <c r="N246" s="36" t="inlineStr">
        <is>
          <t>MOFU</t>
        </is>
      </c>
      <c r="O246" s="25" t="inlineStr">
        <is>
          <t>Super Visa Insurance for Parents From China: Guide</t>
        </is>
      </c>
      <c r="P246" s="36">
        <f>LEN(O246)</f>
        <v/>
      </c>
      <c r="Q246" s="25" t="inlineStr">
        <is>
          <t>Parents from China: compare the Super Visa with a 10-year visitor visa, insurance rules for each, cost by age and claims. Read the guide and compare.</t>
        </is>
      </c>
      <c r="R246" s="36">
        <f>LEN(Q246)</f>
        <v/>
      </c>
      <c r="S246" s="36">
        <f>IF(H246="","",IF(ISNUMBER(SEARCH(SUBSTITUTE(H246,"-"," "),SUBSTITUTE(O246,"-"," "))),"Yes","Check"))</f>
        <v/>
      </c>
      <c r="T246" s="25" t="inlineStr">
        <is>
          <t>Super Visa insurance for parents from China: the short answer | Super Visa or 10-year multiple-entry visa | Insurance for each path: required vs recommended | Medical records and the questionnaire | Claims, refunds and returning to China | Help in Mandarin and Cantonese</t>
        </is>
      </c>
      <c r="U246" s="25" t="inlineStr">
        <is>
          <t>Do parents from China need insurance for a 10-year visitor visa? | Which suits long stays better, the Super Visa or the 10-year visa? | Can visitor insurance be bought trip by trip? | Do Chinese medical records need translation? | Can family in China pay for the policy?</t>
        </is>
      </c>
      <c r="V246" s="25" t="inlineStr">
        <is>
          <t>Comparison of the two visa paths for families from China with a worked annual insurance cost for each (dated model estimates), published in English and Simplified Chinese.</t>
        </is>
      </c>
      <c r="W246" s="25" t="inlineStr">
        <is>
          <t>/super-visa-insurance/; /super-visa-insurance/british-columbia/richmond/; /super-visa-insurance/ontario/markham/; /guides/super-visa-vs-visitor-visa-parents/; /travel-insurance/visitors-to-canada/</t>
        </is>
      </c>
      <c r="X246" s="25" t="inlineStr">
        <is>
          <t>Request a specialist call: Super Visa desk, Mandarin or Cantonese where available (/super-visa-insurance/)</t>
        </is>
      </c>
      <c r="Y246" s="36" t="inlineStr">
        <is>
          <t>Article; FAQPage; BreadcrumbList</t>
        </is>
      </c>
      <c r="Z246" s="37" t="n">
        <v>1600</v>
      </c>
      <c r="AA246" s="25" t="inlineStr">
        <is>
          <t>Sun Life has some Chinese-language content, but no competitor seen compares the Super Visa and the 10-year visa for families from China.</t>
        </is>
      </c>
      <c r="AB246" s="25" t="inlineStr">
        <is>
          <t>Focus keyword in the H1, slug, meta title, first 100 words and first H2, with a 40–60 word answer on which visa path suits which stay pattern. Link the Richmond and Markham Super Visa pages with city anchor text; publish the Simplified Chinese version with hreflang after review. Licensed A&amp;S reviewer; image alt 'Super Visa vs 10-year visa for parents from China'.</t>
        </is>
      </c>
      <c r="AC246" s="25" t="inlineStr">
        <is>
          <t>Offer Mandarin or Cantonese help only if an active advisor speaks it; verify visa terms on canada.ca, label costs as model estimates and avoid immigration advice.</t>
        </is>
      </c>
      <c r="AD246" s="36" t="inlineStr">
        <is>
          <t>Semi-annual</t>
        </is>
      </c>
      <c r="AE246" s="38" t="n"/>
      <c r="AF246" s="38" t="n"/>
      <c r="AG246" s="38" t="n"/>
    </row>
    <row r="247" ht="46.25" customHeight="1" s="22">
      <c r="A247" s="36">
        <f>"B"&amp;TEXT(ROW()-1,"0000")</f>
        <v/>
      </c>
      <c r="B247" s="38" t="inlineStr">
        <is>
          <t>Planned</t>
        </is>
      </c>
      <c r="C247" s="36" t="n">
        <v>2</v>
      </c>
      <c r="D247" s="36" t="inlineStr">
        <is>
          <t>Super Visa &amp; visitors insurance</t>
        </is>
      </c>
      <c r="E247" s="36" t="inlineStr">
        <is>
          <t>Personas</t>
        </is>
      </c>
      <c r="F247" s="25" t="inlineStr">
        <is>
          <t>Super Visa for Parents From Pakistan: What Families Need to Know About Insurance</t>
        </is>
      </c>
      <c r="G247" s="36" t="inlineStr">
        <is>
          <t>https://instasure.ca/guides/super-visa-insurance-parents-from-pakistan/</t>
        </is>
      </c>
      <c r="H247" s="36" t="inlineStr">
        <is>
          <t>super visa for parents from pakistan</t>
        </is>
      </c>
      <c r="I247" s="41">
        <f>IFERROR(INDEX('Nationwide KWs'!$D$2:$D$168,MATCH(H247,'Nationwide KWs'!$A$2:$A$168,0)),IFERROR(INDEX('Provincial KWs'!$E$2:$E$137,MATCH(H247,'Provincial KWs'!$A$2:$A$137,0)),IFERROR(INDEX('City KWs'!$F$2:$F$419,MATCH(H247,'City KWs'!$A$2:$A$419,0)),"")))</f>
        <v/>
      </c>
      <c r="J247" s="36" t="inlineStr">
        <is>
          <t>Niche</t>
        </is>
      </c>
      <c r="K247" s="25" t="inlineStr">
        <is>
          <t>super visa insurance pakistan; pakistani parents visiting canada insurance; super visa insurance urdu; super visa processing pakistan</t>
        </is>
      </c>
      <c r="L247" s="36" t="inlineStr">
        <is>
          <t>Nationwide</t>
        </is>
      </c>
      <c r="M247" s="36" t="inlineStr">
        <is>
          <t>commercial</t>
        </is>
      </c>
      <c r="N247" s="36" t="inlineStr">
        <is>
          <t>MOFU</t>
        </is>
      </c>
      <c r="O247" s="25" t="inlineStr">
        <is>
          <t>Super Visa for Parents From Pakistan: Insurance Guide</t>
        </is>
      </c>
      <c r="P247" s="36">
        <f>LEN(O247)</f>
        <v/>
      </c>
      <c r="Q247" s="25" t="inlineStr">
        <is>
          <t>Super Visa for parents from Pakistan: insurance rules, buying from Canada, records, payments and refunds, with Urdu help where available. Read the guide.</t>
        </is>
      </c>
      <c r="R247" s="36">
        <f>LEN(Q247)</f>
        <v/>
      </c>
      <c r="S247" s="36">
        <f>IF(H247="","",IF(ISNUMBER(SEARCH(SUBSTITUTE(H247,"-"," "),SUBSTITUTE(O247,"-"," "))),"Yes","Check"))</f>
        <v/>
      </c>
      <c r="T247" s="25" t="inlineStr">
        <is>
          <t>Super Visa for parents from Pakistan: what insurance is required | Buying and paying for the policy from Canada | Medical records and the questionnaire | Timing insurance with visa processing | Refunds if the visa is refused | Help in Urdu</t>
        </is>
      </c>
      <c r="U247" s="25" t="inlineStr">
        <is>
          <t>Can Super Visa insurance be bought from Pakistan? | Do medical records in Urdu need translation? | When should the policy start? | What if my parents' visa is refused? | Can both parents be on one policy?</t>
        </is>
      </c>
      <c r="V247" s="25" t="inlineStr">
        <is>
          <t>Step-by-step timeline from invitation letter to arrival for families sponsoring parents from Pakistan, with the insurance action at each stage, published in English and Urdu.</t>
        </is>
      </c>
      <c r="W247" s="25" t="inlineStr">
        <is>
          <t>/super-visa-insurance/; /super-visa-insurance/ontario/mississauga/; /guides/super-visa-insurance-refund-rules/; /guides/super-visa-insurance-for-couples/</t>
        </is>
      </c>
      <c r="X247" s="25" t="inlineStr">
        <is>
          <t>Request a specialist call: Super Visa desk, Urdu where available (/super-visa-insurance/)</t>
        </is>
      </c>
      <c r="Y247" s="36" t="inlineStr">
        <is>
          <t>Article; FAQPage; BreadcrumbList</t>
        </is>
      </c>
      <c r="Z247" s="37" t="n">
        <v>1500</v>
      </c>
      <c r="AA247" s="25" t="inlineStr">
        <is>
          <t>No competitor coverage seen for Pakistan-specific Super Visa content; the research flags multilingual newcomer content as an open gap.</t>
        </is>
      </c>
      <c r="AB247" s="25" t="inlineStr">
        <is>
          <t>Focus keyword in the H1, slug, meta title, first 100 words and first H2, with a 40–60 word answer on what insurance IRCC requires. Use the timeline as a numbered list and link the Mississauga Super Visa page with city anchor text. Licensed A&amp;S reviewer; Urdu version with hreflang only after professional translation; image alt 'Super Visa timeline for parents from Pakistan'.</t>
        </is>
      </c>
      <c r="AC247" s="25" t="inlineStr">
        <is>
          <t>Offer Urdu help only if an active advisor speaks it; verify processing and document rules with IRCC and avoid immigration advice.</t>
        </is>
      </c>
      <c r="AD247" s="36" t="inlineStr">
        <is>
          <t>Semi-annual</t>
        </is>
      </c>
      <c r="AE247" s="38" t="n"/>
      <c r="AF247" s="38" t="n"/>
      <c r="AG247" s="38" t="n"/>
    </row>
    <row r="248" ht="57.45" customHeight="1" s="22">
      <c r="A248" s="36">
        <f>"B"&amp;TEXT(ROW()-1,"0000")</f>
        <v/>
      </c>
      <c r="B248" s="38" t="inlineStr">
        <is>
          <t>Planned</t>
        </is>
      </c>
      <c r="C248" s="36" t="n">
        <v>2</v>
      </c>
      <c r="D248" s="36" t="inlineStr">
        <is>
          <t>Super Visa &amp; visitors insurance</t>
        </is>
      </c>
      <c r="E248" s="36" t="inlineStr">
        <is>
          <t>Regulation</t>
        </is>
      </c>
      <c r="F248" s="25" t="inlineStr">
        <is>
          <t>Super Visa Insurance Proof: The Documents IRCC Asks For</t>
        </is>
      </c>
      <c r="G248" s="36" t="inlineStr">
        <is>
          <t>https://instasure.ca/guides/super-visa-insurance-documents-proof-ircc/</t>
        </is>
      </c>
      <c r="H248" s="36" t="inlineStr">
        <is>
          <t>super visa insurance proof</t>
        </is>
      </c>
      <c r="I248" s="41">
        <f>IFERROR(INDEX('Nationwide KWs'!$D$2:$D$168,MATCH(H248,'Nationwide KWs'!$A$2:$A$168,0)),IFERROR(INDEX('Provincial KWs'!$E$2:$E$137,MATCH(H248,'Provincial KWs'!$A$2:$A$137,0)),IFERROR(INDEX('City KWs'!$F$2:$F$419,MATCH(H248,'City KWs'!$A$2:$A$419,0)),"")))</f>
        <v/>
      </c>
      <c r="J248" s="36" t="inlineStr">
        <is>
          <t>Niche</t>
        </is>
      </c>
      <c r="K248" s="25" t="inlineStr">
        <is>
          <t>super visa insurance confirmation letter; proof of medical insurance super visa; super visa insurance certificate; super visa application insurance documents; super visa monthly plan proof of payment</t>
        </is>
      </c>
      <c r="L248" s="36" t="inlineStr">
        <is>
          <t>Nationwide</t>
        </is>
      </c>
      <c r="M248" s="36" t="inlineStr">
        <is>
          <t>informational</t>
        </is>
      </c>
      <c r="N248" s="36" t="inlineStr">
        <is>
          <t>MOFU</t>
        </is>
      </c>
      <c r="O248" s="25" t="inlineStr">
        <is>
          <t>Super Visa Insurance Proof: What IRCC Accepts and Why</t>
        </is>
      </c>
      <c r="P248" s="36">
        <f>LEN(O248)</f>
        <v/>
      </c>
      <c r="Q248" s="25" t="inlineStr">
        <is>
          <t>What proof of Super Visa insurance IRCC expects: policy confirmation, coverage dates, payment proof and the mistakes that delay files. Check yours first.</t>
        </is>
      </c>
      <c r="R248" s="36">
        <f>LEN(Q248)</f>
        <v/>
      </c>
      <c r="S248" s="36">
        <f>IF(H248="","",IF(ISNUMBER(SEARCH(SUBSTITUTE(H248,"-"," "),SUBSTITUTE(O248,"-"," "))),"Yes","Check"))</f>
        <v/>
      </c>
      <c r="T248" s="25" t="inlineStr">
        <is>
          <t>What proof of Super Visa insurance does IRCC need? | What the insurance confirmation must show | Paid in full vs monthly plans: proving payment | Matching coverage dates to the planned arrival | Document mistakes that delay applications | What to do if processing is delayed or the visa is refused | Checklist before you upload the policy</t>
        </is>
      </c>
      <c r="U248" s="25" t="inlineStr">
        <is>
          <t>Does IRCC need the full policy or just a confirmation letter? | Can the policy start date be after the application date? | Is a monthly payment plan accepted as proof? | What if my parents' arrival date changes after we buy? | Do we need a new policy if processing takes months?</t>
        </is>
      </c>
      <c r="V248" s="25" t="inlineStr">
        <is>
          <t>Annotated sample confirmation document (clearly marked as a fictional sample) showing each field to check against IRCC's wording, plus a downloadable pre-upload checklist.</t>
        </is>
      </c>
      <c r="W248" s="25" t="inlineStr">
        <is>
          <t>/super-visa-insurance/; /guides/super-visa-insurance-requirements-cost/; /guides/super-visa-insurance-monthly-payments/; /guides/super-visa-insurance-refund-rules/</t>
        </is>
      </c>
      <c r="X248" s="25" t="inlineStr">
        <is>
          <t>Instant Super Visa insurance estimate (/quote/super-visa-insurance/)</t>
        </is>
      </c>
      <c r="Y248" s="36" t="inlineStr">
        <is>
          <t>Article; FAQPage; BreadcrumbList</t>
        </is>
      </c>
      <c r="Z248" s="37" t="n">
        <v>1300</v>
      </c>
      <c r="AA248" s="25" t="inlineStr">
        <is>
          <t>PolicyAdvisor, HelloSafe and RBC Insurance explain the coverage requirements, but no competitor seen shows what the proof document must contain or how start dates should line up with processing times.</t>
        </is>
      </c>
      <c r="AB248" s="25" t="inlineStr">
        <is>
          <t>Focus keyword in the H1, slug, meta title, first 100 words and the H2 'What the insurance confirmation must show'. Open with a 40–60 word answer listing the elements IRCC looks for, then the annotated sample image (alt text 'Super Visa insurance confirmation sample with fields labelled'). Link 'monthly payment plans' and 'refund rules' to the sibling guides. Licensed A&amp;S reviewer; cite the IRCC Super Visa page and its document checklist; review on every IRCC form change.</t>
        </is>
      </c>
      <c r="AC248" s="25" t="inlineStr">
        <is>
          <t>Copy document requirements only from IRCC's current checklist with the date checked; mark the sample as fictional so it can't be mistaken for a real record. No immigration advice; refer applicants to IRCC or a licensed RCIC.</t>
        </is>
      </c>
      <c r="AD248" s="36" t="inlineStr">
        <is>
          <t>On rule change</t>
        </is>
      </c>
      <c r="AE248" s="38" t="n"/>
      <c r="AF248" s="38" t="n"/>
      <c r="AG248" s="38" t="n"/>
    </row>
    <row r="249" ht="46.25" customHeight="1" s="22">
      <c r="A249" s="36">
        <f>"B"&amp;TEXT(ROW()-1,"0000")</f>
        <v/>
      </c>
      <c r="B249" s="38" t="inlineStr">
        <is>
          <t>Planned</t>
        </is>
      </c>
      <c r="C249" s="36" t="n">
        <v>3</v>
      </c>
      <c r="D249" s="36" t="inlineStr">
        <is>
          <t>Super Visa &amp; visitors insurance</t>
        </is>
      </c>
      <c r="E249" s="36" t="inlineStr">
        <is>
          <t>Claims</t>
        </is>
      </c>
      <c r="F249" s="25" t="inlineStr">
        <is>
          <t>Super Visa Insurance Claim Denied? Common Reasons and How to Appeal</t>
        </is>
      </c>
      <c r="G249" s="36" t="inlineStr">
        <is>
          <t>https://instasure.ca/guides/super-visa-insurance-claim-denied/</t>
        </is>
      </c>
      <c r="H249" s="36" t="inlineStr">
        <is>
          <t>super visa insurance claim denied</t>
        </is>
      </c>
      <c r="I249" s="41">
        <f>IFERROR(INDEX('Nationwide KWs'!$D$2:$D$168,MATCH(H249,'Nationwide KWs'!$A$2:$A$168,0)),IFERROR(INDEX('Provincial KWs'!$E$2:$E$137,MATCH(H249,'Provincial KWs'!$A$2:$A$137,0)),IFERROR(INDEX('City KWs'!$F$2:$F$419,MATCH(H249,'City KWs'!$A$2:$A$419,0)),"")))</f>
        <v/>
      </c>
      <c r="J249" s="36" t="inlineStr">
        <is>
          <t>Niche</t>
        </is>
      </c>
      <c r="K249" s="25" t="inlineStr">
        <is>
          <t>visitor insurance claim rejected; super visa pre-existing condition claim denied; appeal travel medical claim canada; olhi travel insurance complaint; super visa claim medical records</t>
        </is>
      </c>
      <c r="L249" s="36" t="inlineStr">
        <is>
          <t>Nationwide</t>
        </is>
      </c>
      <c r="M249" s="36" t="inlineStr">
        <is>
          <t>informational</t>
        </is>
      </c>
      <c r="N249" s="36" t="inlineStr">
        <is>
          <t>MOFU</t>
        </is>
      </c>
      <c r="O249" s="25" t="inlineStr">
        <is>
          <t>Super Visa Insurance Claim Denied? Reasons and Appeals</t>
        </is>
      </c>
      <c r="P249" s="36">
        <f>LEN(O249)</f>
        <v/>
      </c>
      <c r="Q249" s="25" t="inlineStr">
        <is>
          <t>Why Super Visa and visitor insurance claims get denied, from stability clauses to missing records, and how to appeal via OLHI. Learn the steps.</t>
        </is>
      </c>
      <c r="R249" s="36">
        <f>LEN(Q249)</f>
        <v/>
      </c>
      <c r="S249" s="36">
        <f>IF(H249="","",IF(ISNUMBER(SEARCH(SUBSTITUTE(H249,"-"," "),SUBSTITUTE(O249,"-"," "))),"Yes","Check"))</f>
        <v/>
      </c>
      <c r="T249" s="25" t="inlineStr">
        <is>
          <t>Why are Super Visa insurance claims denied? | Pre-existing condition and stability clause denials | Questionnaire errors and medical records from abroad | Not calling the assistance line | How to appeal: internal review, then OLHI | How to avoid a denial before you buy</t>
        </is>
      </c>
      <c r="U249" s="25" t="inlineStr">
        <is>
          <t>Can an insurer deny a claim for a condition my parent didn't know about? | Do insurers request medical records from my parents' home country? | How do we appeal a denied visitor insurance claim? | What is the OmbudService for Life and Health Insurance? | Can a licensed advisor help with a denied claim?</t>
        </is>
      </c>
      <c r="V249" s="25" t="inlineStr">
        <is>
          <t>Denial-reason table mapping each common reason to the clause involved, the evidence that helps an appeal and the prevention step, plus an appeal letter template.</t>
        </is>
      </c>
      <c r="W249" s="25" t="inlineStr">
        <is>
          <t>/super-visa-insurance/; /guides/super-visa-insurance-pre-existing-conditions/; /guides/super-visa-visitor-insurance-claim-how-to/; /guides/travel-insurance-claim-denied/</t>
        </is>
      </c>
      <c r="X249" s="25" t="inlineStr">
        <is>
          <t>Request a specialist call: Super Visa desk (/super-visa-insurance/)</t>
        </is>
      </c>
      <c r="Y249" s="36" t="inlineStr">
        <is>
          <t>Article; FAQPage; BreadcrumbList</t>
        </is>
      </c>
      <c r="Z249" s="37" t="n">
        <v>1500</v>
      </c>
      <c r="AA249" s="25" t="inlineStr">
        <is>
          <t>No competitor coverage seen for Super Visa claim denials or appeals.</t>
        </is>
      </c>
      <c r="AB249" s="25" t="inlineStr">
        <is>
          <t>Focus keyword in the H1, slug, meta title, first 100 words and first H2, with a 40–60 word answer listing the top denial reasons. Use the denial-reason table and a downloadable appeal template; link to the claim how-to and the Canadians-abroad denial guide. Licensed A&amp;S reviewer; cite OLHI; image alt 'Super Visa claim denial reasons table'.</t>
        </is>
      </c>
      <c r="AC249" s="25" t="inlineStr">
        <is>
          <t>Do not quote denial rates without a published source; verify that OLHI's mandate covers the insurer (foreign insurers may not be members). Do not imply advisors act as claims advocates unless they do.</t>
        </is>
      </c>
      <c r="AD249" s="36" t="inlineStr">
        <is>
          <t>Annual</t>
        </is>
      </c>
      <c r="AE249" s="38" t="n"/>
      <c r="AF249" s="38" t="n"/>
      <c r="AG249" s="38" t="n"/>
    </row>
    <row r="250" ht="46.25" customHeight="1" s="22">
      <c r="A250" s="36">
        <f>"B"&amp;TEXT(ROW()-1,"0000")</f>
        <v/>
      </c>
      <c r="B250" s="38" t="inlineStr">
        <is>
          <t>Planned</t>
        </is>
      </c>
      <c r="C250" s="36" t="n">
        <v>3</v>
      </c>
      <c r="D250" s="36" t="inlineStr">
        <is>
          <t>Super Visa &amp; visitors insurance</t>
        </is>
      </c>
      <c r="E250" s="36" t="inlineStr">
        <is>
          <t>Comparisons</t>
        </is>
      </c>
      <c r="F250" s="25" t="inlineStr">
        <is>
          <t>Super Visa Insurance Companies in Canada: How We Review Plans</t>
        </is>
      </c>
      <c r="G250" s="36" t="inlineStr">
        <is>
          <t>https://instasure.ca/guides/super-visa-insurance-companies-canada/</t>
        </is>
      </c>
      <c r="H250" s="36" t="inlineStr">
        <is>
          <t>super visa insurance companies</t>
        </is>
      </c>
      <c r="I250" s="41">
        <f>IFERROR(INDEX('Nationwide KWs'!$D$2:$D$168,MATCH(H250,'Nationwide KWs'!$A$2:$A$168,0)),IFERROR(INDEX('Provincial KWs'!$E$2:$E$137,MATCH(H250,'Provincial KWs'!$A$2:$A$137,0)),IFERROR(INDEX('City KWs'!$F$2:$F$419,MATCH(H250,'City KWs'!$A$2:$A$419,0)),"")))</f>
        <v/>
      </c>
      <c r="J250" s="36" t="inlineStr">
        <is>
          <t>Medium</t>
        </is>
      </c>
      <c r="K250" s="25" t="inlineStr">
        <is>
          <t>best super visa insurance; super visa insurance providers canada; super visa insurance company reviews; super visa insurer comparison</t>
        </is>
      </c>
      <c r="L250" s="36" t="inlineStr">
        <is>
          <t>Nationwide</t>
        </is>
      </c>
      <c r="M250" s="36" t="inlineStr">
        <is>
          <t>commercial</t>
        </is>
      </c>
      <c r="N250" s="36" t="inlineStr">
        <is>
          <t>MOFU</t>
        </is>
      </c>
      <c r="O250" s="25" t="inlineStr">
        <is>
          <t>Super Visa Insurance Companies: Our Review Method</t>
        </is>
      </c>
      <c r="P250" s="36">
        <f>LEN(O250)</f>
        <v/>
      </c>
      <c r="Q250" s="25" t="inlineStr">
        <is>
          <t>Super Visa insurance companies in Canada reviewed against a published method: IRCC fit, stability rules, refunds, claims and price. See the scorecard.</t>
        </is>
      </c>
      <c r="R250" s="36">
        <f>LEN(Q250)</f>
        <v/>
      </c>
      <c r="S250" s="36">
        <f>IF(H250="","",IF(ISNUMBER(SEARCH(SUBSTITUTE(H250,"-"," "),SUBSTITUTE(O250,"-"," "))),"Yes","Check"))</f>
        <v/>
      </c>
      <c r="T250" s="25" t="inlineStr">
        <is>
          <t>Super Visa insurance companies: how this review works | Our scoring method and weights | Scorecard: insurers that write Super Visa plans | Where plans differ most: stability, refunds, age limits | Which plan fits which family, not a single winner | How often we update this review</t>
        </is>
      </c>
      <c r="U250" s="25" t="inlineStr">
        <is>
          <t>Which companies sell Super Visa insurance in Canada? | How did you score each insurer? | Do insurers pay to be included? | Why isn't one company ranked best? | How often is the scorecard updated?</t>
        </is>
      </c>
      <c r="V250" s="25" t="inlineStr">
        <is>
          <t>Published scoring methodology plus a dated scorecard of insurers writing Super Visa plans, scored on IRCC compliance, stability definitions, refund terms, age limits, claims handling and price for a fixed set of sample profiles.</t>
        </is>
      </c>
      <c r="W250" s="25" t="inlineStr">
        <is>
          <t>/super-visa-insurance/; /editorial-guidelines/; /how-we-make-money/; /guides/compare-super-visa-insurance-checklist/</t>
        </is>
      </c>
      <c r="X250" s="25" t="inlineStr">
        <is>
          <t>Instant Super Visa insurance estimate, then an advisor compares insurers (/quote/super-visa-insurance/)</t>
        </is>
      </c>
      <c r="Y250" s="36" t="inlineStr">
        <is>
          <t>Article; FAQPage; BreadcrumbList</t>
        </is>
      </c>
      <c r="Z250" s="37" t="n">
        <v>2500</v>
      </c>
      <c r="AA250" s="25" t="inlineStr">
        <is>
          <t>PolicyAdvisor publishes 'Best Travel Insurance for Visitors to Canada (2026)' and single-insurer travel reviews (Manulife, Sun Life, Allianz, TuGo, GMS, Travelance, 21st Century, Destination Canada) without a visible scoring method; no Super Visa scorecard with a method was seen.</t>
        </is>
      </c>
      <c r="AB250" s="25" t="inlineStr">
        <is>
          <t>Focus keyword in the H1, slug, meta title, first 100 words and first H2, with a 40–60 word answer summarising the method and the review date. Put the method above the scorecard and link 'editorial guidelines' and 'how we make money' near it. Licensed A&amp;S reviewer named with licence number; image alt 'Super Visa insurer scorecard'; refresh twice a year.</t>
        </is>
      </c>
      <c r="AC250" s="25" t="inlineStr">
        <is>
          <t>Needs a published review method before going live; no 'best' superlative in the title or meta, and disclose compensation from any reviewed insurer. Carrier names on money pages stay hidden until carriers_confirmed is on.</t>
        </is>
      </c>
      <c r="AD250" s="36" t="inlineStr">
        <is>
          <t>Semi-annual</t>
        </is>
      </c>
      <c r="AE250" s="38" t="n"/>
      <c r="AF250" s="38" t="n"/>
      <c r="AG250" s="38" t="n"/>
    </row>
    <row r="251" ht="35.05" customHeight="1" s="22">
      <c r="A251" s="36">
        <f>"B"&amp;TEXT(ROW()-1,"0000")</f>
        <v/>
      </c>
      <c r="B251" s="38" t="inlineStr">
        <is>
          <t>Planned</t>
        </is>
      </c>
      <c r="C251" s="36" t="n">
        <v>3</v>
      </c>
      <c r="D251" s="36" t="inlineStr">
        <is>
          <t>Super Visa &amp; visitors insurance</t>
        </is>
      </c>
      <c r="E251" s="36" t="inlineStr">
        <is>
          <t>Coverage explained</t>
        </is>
      </c>
      <c r="F251" s="25" t="inlineStr">
        <is>
          <t>Does Visitor Insurance Cover Pregnancy in Canada?</t>
        </is>
      </c>
      <c r="G251" s="36" t="inlineStr">
        <is>
          <t>https://instasure.ca/guides/visitor-insurance-pregnancy-canada/</t>
        </is>
      </c>
      <c r="H251" s="36" t="inlineStr">
        <is>
          <t>does visitor insurance cover pregnancy</t>
        </is>
      </c>
      <c r="I251" s="41">
        <f>IFERROR(INDEX('Nationwide KWs'!$D$2:$D$168,MATCH(H251,'Nationwide KWs'!$A$2:$A$168,0)),IFERROR(INDEX('Provincial KWs'!$E$2:$E$137,MATCH(H251,'Provincial KWs'!$A$2:$A$137,0)),IFERROR(INDEX('City KWs'!$F$2:$F$419,MATCH(H251,'City KWs'!$A$2:$A$419,0)),"")))</f>
        <v/>
      </c>
      <c r="J251" s="36" t="inlineStr">
        <is>
          <t>Low</t>
        </is>
      </c>
      <c r="K251" s="25" t="inlineStr">
        <is>
          <t>visitor insurance pregnancy canada; pregnant visitor to canada insurance; visitor insurance childbirth canada; cost of giving birth in canada as a visitor; super visa insurance pregnancy</t>
        </is>
      </c>
      <c r="L251" s="36" t="inlineStr">
        <is>
          <t>Nationwide</t>
        </is>
      </c>
      <c r="M251" s="36" t="inlineStr">
        <is>
          <t>informational</t>
        </is>
      </c>
      <c r="N251" s="36" t="inlineStr">
        <is>
          <t>TOFU</t>
        </is>
      </c>
      <c r="O251" s="25" t="inlineStr">
        <is>
          <t>Does Visitor Insurance Cover Pregnancy in Canada?</t>
        </is>
      </c>
      <c r="P251" s="36">
        <f>LEN(O251)</f>
        <v/>
      </c>
      <c r="Q251" s="25" t="inlineStr">
        <is>
          <t>Does visitor insurance cover pregnancy in Canada? What's usually excluded, the limited complication cover some plans offer and delivery costs. Read first.</t>
        </is>
      </c>
      <c r="R251" s="36">
        <f>LEN(Q251)</f>
        <v/>
      </c>
      <c r="S251" s="36">
        <f>IF(H251="","",IF(ISNUMBER(SEARCH(SUBSTITUTE(H251,"-"," "),SUBSTITUTE(O251,"-"," "))),"Yes","Check"))</f>
        <v/>
      </c>
      <c r="T251" s="25" t="inlineStr">
        <is>
          <t>Does visitor insurance cover pregnancy? | Typical pregnancy exclusions and time limits | Complication cover: what some plans include | What childbirth costs a non-resident | Newborn coverage: why babies are usually excluded | Options and questions to ask before travelling</t>
        </is>
      </c>
      <c r="U251" s="25" t="inlineStr">
        <is>
          <t>Is childbirth covered by visitor insurance in Canada? | Can a pregnant visitor get emergency coverage? | Is a baby born in Canada to a visitor covered by the provincial plan? | How much does it cost a visitor to give birth in Canada? | Does Super Visa insurance cover pregnancy?</t>
        </is>
      </c>
      <c r="V251" s="25" t="inlineStr">
        <is>
          <t>Table of typical pregnancy-related terms across current visitor policy wordings (exclusion cut-offs, complication cover, newborn cover) with sourced non-resident obstetric charges.</t>
        </is>
      </c>
      <c r="W251" s="25" t="inlineStr">
        <is>
          <t>/travel-insurance/visitors-to-canada/; /guides/hospital-costs-for-visitors-to-canada/; /guides/visitors-to-canada-insurance-cost/</t>
        </is>
      </c>
      <c r="X251" s="25" t="inlineStr">
        <is>
          <t>Request a call with a licensed advisor about visitor coverage (/travel-insurance/visitors-to-canada/)</t>
        </is>
      </c>
      <c r="Y251" s="36" t="inlineStr">
        <is>
          <t>Article; FAQPage; BreadcrumbList</t>
        </is>
      </c>
      <c r="Z251" s="37" t="n">
        <v>1200</v>
      </c>
      <c r="AA251" s="25" t="inlineStr">
        <is>
          <t>No competitor coverage seen in the research for pregnancy and visitor insurance.</t>
        </is>
      </c>
      <c r="AB251" s="25" t="inlineStr">
        <is>
          <t>Focus keyword in the H1, slug, meta title, first 100 words and first H2, with a 40–60 word answer that routine pregnancy and childbirth are usually excluded. Use the terms table and link 'hospital costs for visitors' for the cost data. Licensed A&amp;S reviewer; image alt 'visitor insurance pregnancy terms table'.</t>
        </is>
      </c>
      <c r="AC251" s="25" t="inlineStr">
        <is>
          <t>Sensitive health topic: no medical advice. Source any cost to a hospital fee schedule, verify exclusion cut-offs in current wordings and don't say a plan covers childbirth unless the wording does.</t>
        </is>
      </c>
      <c r="AD251" s="36" t="inlineStr">
        <is>
          <t>Annual</t>
        </is>
      </c>
      <c r="AE251" s="38" t="n"/>
      <c r="AF251" s="38" t="n"/>
      <c r="AG251" s="38" t="n"/>
    </row>
    <row r="252" ht="46.25" customHeight="1" s="22">
      <c r="A252" s="36">
        <f>"B"&amp;TEXT(ROW()-1,"0000")</f>
        <v/>
      </c>
      <c r="B252" s="38" t="inlineStr">
        <is>
          <t>Planned</t>
        </is>
      </c>
      <c r="C252" s="36" t="n">
        <v>3</v>
      </c>
      <c r="D252" s="36" t="inlineStr">
        <is>
          <t>Super Visa &amp; visitors insurance</t>
        </is>
      </c>
      <c r="E252" s="36" t="inlineStr">
        <is>
          <t>Coverage explained</t>
        </is>
      </c>
      <c r="F252" s="25" t="inlineStr">
        <is>
          <t>Super Visa Insurance and Side Trips to the US or the Home Country</t>
        </is>
      </c>
      <c r="G252" s="36" t="inlineStr">
        <is>
          <t>https://instasure.ca/guides/super-visa-insurance-side-trips/</t>
        </is>
      </c>
      <c r="H252" s="36" t="inlineStr">
        <is>
          <t>super visa insurance side trip</t>
        </is>
      </c>
      <c r="I252" s="41">
        <f>IFERROR(INDEX('Nationwide KWs'!$D$2:$D$168,MATCH(H252,'Nationwide KWs'!$A$2:$A$168,0)),IFERROR(INDEX('Provincial KWs'!$E$2:$E$137,MATCH(H252,'Provincial KWs'!$A$2:$A$137,0)),IFERROR(INDEX('City KWs'!$F$2:$F$419,MATCH(H252,'City KWs'!$A$2:$A$419,0)),"")))</f>
        <v/>
      </c>
      <c r="J252" s="36" t="inlineStr">
        <is>
          <t>Niche</t>
        </is>
      </c>
      <c r="K252" s="25" t="inlineStr">
        <is>
          <t>super visa insurance travel to usa; does super visa insurance cover trips outside canada; super visa parents visit home country insurance; pause super visa insurance</t>
        </is>
      </c>
      <c r="L252" s="36" t="inlineStr">
        <is>
          <t>Nationwide</t>
        </is>
      </c>
      <c r="M252" s="36" t="inlineStr">
        <is>
          <t>informational</t>
        </is>
      </c>
      <c r="N252" s="36" t="inlineStr">
        <is>
          <t>MOFU</t>
        </is>
      </c>
      <c r="O252" s="25" t="inlineStr">
        <is>
          <t>Super Visa Insurance Side Trips: US and Home Visits</t>
        </is>
      </c>
      <c r="P252" s="36">
        <f>LEN(O252)</f>
        <v/>
      </c>
      <c r="Q252" s="25" t="inlineStr">
        <is>
          <t>Does Super Visa insurance cover side trips to the US or a visit home? See how side-trip benefits, US limits and suspensions work before parents travel.</t>
        </is>
      </c>
      <c r="R252" s="36">
        <f>LEN(Q252)</f>
        <v/>
      </c>
      <c r="S252" s="36">
        <f>IF(H252="","",IF(ISNUMBER(SEARCH(SUBSTITUTE(H252,"-"," "),SUBSTITUTE(O252,"-"," "))),"Yes","Check"))</f>
        <v/>
      </c>
      <c r="T252" s="25" t="inlineStr">
        <is>
          <t>Does Super Visa insurance cover side trips? | Side-trip benefits: typical day limits and exclusions | Travelling to the US: why separate coverage may be needed | Going home mid-stay: suspend, refund or keep the policy? | Re-entering Canada: what to check | Checklist before a side trip</t>
        </is>
      </c>
      <c r="U252" s="25" t="inlineStr">
        <is>
          <t>Are parents covered on a trip to the US with Super Visa insurance? | Can we pause Super Visa insurance while parents visit home? | Does a side trip affect the visa's insurance requirement? | Are trips to the home country ever covered? | Do we need to tell the insurer before a side trip?</t>
        </is>
      </c>
      <c r="V252" s="25" t="inlineStr">
        <is>
          <t>Side-trip decision tree (US trip, home-country visit, third country) showing whether to keep, suspend or top up coverage, with the policy clause to check at each branch.</t>
        </is>
      </c>
      <c r="W252" s="25" t="inlineStr">
        <is>
          <t>/super-visa-insurance/; /guides/what-does-super-visa-insurance-cover/; /guides/travel-insurance-for-usa-from-canada/; /travel-insurance/</t>
        </is>
      </c>
      <c r="X252" s="25" t="inlineStr">
        <is>
          <t>Request a specialist call: Super Visa desk (/super-visa-insurance/)</t>
        </is>
      </c>
      <c r="Y252" s="36" t="inlineStr">
        <is>
          <t>Article; FAQPage; BreadcrumbList</t>
        </is>
      </c>
      <c r="Z252" s="37" t="n">
        <v>1200</v>
      </c>
      <c r="AA252" s="25" t="inlineStr">
        <is>
          <t>No competitor coverage seen; Super Visa guides in the research mention side trips only in exclusion lists.</t>
        </is>
      </c>
      <c r="AB252" s="25" t="inlineStr">
        <is>
          <t>Focus keyword in the H1, slug, meta title, first 100 words and first H2, with a 40–60 word answer on how side-trip benefits usually work and their limits. Present the decision tree as an image with a text version for accessibility (alt 'Super Visa side trip decision tree'). Link 'travel insurance for the US' to the travel guide. Licensed A&amp;S reviewer; cite current wordings.</t>
        </is>
      </c>
      <c r="AC252" s="25" t="inlineStr">
        <is>
          <t>Side-trip terms differ widely; describe them as typical and verify against current wordings. Suspending coverage may affect the IRCC requirement, so tell readers to confirm with IRCC before cancelling or suspending.</t>
        </is>
      </c>
      <c r="AD252" s="36" t="inlineStr">
        <is>
          <t>Annual</t>
        </is>
      </c>
      <c r="AE252" s="38" t="n"/>
      <c r="AF252" s="38" t="n"/>
      <c r="AG252" s="38" t="n"/>
    </row>
    <row r="253" ht="46.25" customHeight="1" s="22">
      <c r="A253" s="36">
        <f>"B"&amp;TEXT(ROW()-1,"0000")</f>
        <v/>
      </c>
      <c r="B253" s="38" t="inlineStr">
        <is>
          <t>Planned</t>
        </is>
      </c>
      <c r="C253" s="36" t="n">
        <v>3</v>
      </c>
      <c r="D253" s="36" t="inlineStr">
        <is>
          <t>Super Visa &amp; visitors insurance</t>
        </is>
      </c>
      <c r="E253" s="36" t="inlineStr">
        <is>
          <t>Regulation</t>
        </is>
      </c>
      <c r="F253" s="25" t="inlineStr">
        <is>
          <t>Super Visa Income Requirement and Invitation Letter: A Sponsor's Guide</t>
        </is>
      </c>
      <c r="G253" s="36" t="inlineStr">
        <is>
          <t>https://instasure.ca/guides/super-visa-income-requirement-invitation-letter/</t>
        </is>
      </c>
      <c r="H253" s="36" t="inlineStr">
        <is>
          <t>super visa income requirement</t>
        </is>
      </c>
      <c r="I253" s="41">
        <f>IFERROR(INDEX('Nationwide KWs'!$D$2:$D$168,MATCH(H253,'Nationwide KWs'!$A$2:$A$168,0)),IFERROR(INDEX('Provincial KWs'!$E$2:$E$137,MATCH(H253,'Provincial KWs'!$A$2:$A$137,0)),IFERROR(INDEX('City KWs'!$F$2:$F$419,MATCH(H253,'City KWs'!$A$2:$A$419,0)),"")))</f>
        <v/>
      </c>
      <c r="J253" s="36" t="inlineStr">
        <is>
          <t>Medium</t>
        </is>
      </c>
      <c r="K253" s="25" t="inlineStr">
        <is>
          <t>super visa invitation letter; super visa minimum necessary income; super visa lico table; super visa letter of invitation requirements; super visa requirements for children</t>
        </is>
      </c>
      <c r="L253" s="36" t="inlineStr">
        <is>
          <t>Nationwide</t>
        </is>
      </c>
      <c r="M253" s="36" t="inlineStr">
        <is>
          <t>informational</t>
        </is>
      </c>
      <c r="N253" s="36" t="inlineStr">
        <is>
          <t>TOFU</t>
        </is>
      </c>
      <c r="O253" s="25" t="inlineStr">
        <is>
          <t>Super Visa Income Requirement &amp; Invitation Letter Guide</t>
        </is>
      </c>
      <c r="P253" s="36">
        <f>LEN(O253)</f>
        <v/>
      </c>
      <c r="Q253" s="25" t="inlineStr">
        <is>
          <t>What a child or grandchild must prove for a Super Visa: the income threshold, invitation letter and where insurance fits. Use our sponsor checklist.</t>
        </is>
      </c>
      <c r="R253" s="36">
        <f>LEN(Q253)</f>
        <v/>
      </c>
      <c r="S253" s="36">
        <f>IF(H253="","",IF(ISNUMBER(SEARCH(SUBSTITUTE(H253,"-"," "),SUBSTITUTE(O253,"-"," "))),"Yes","Check"))</f>
        <v/>
      </c>
      <c r="T253" s="25" t="inlineStr">
        <is>
          <t>What does the Super Visa income requirement mean? | Who counts in the household size | How to prove income: the documents IRCC lists | What the letter of invitation must include | Where medical insurance fits in the file | Sponsor's checklist before submitting | Next steps</t>
        </is>
      </c>
      <c r="U253" s="25" t="inlineStr">
        <is>
          <t>What is the minimum income for a Super Visa? | Can a spouse's income be combined for the Super Visa? | Does the invitation letter need to mention medical insurance? | Can a grandchild invite grandparents? | Is the income figure updated every year?</t>
        </is>
      </c>
      <c r="V253" s="25" t="inlineStr">
        <is>
          <t>Sponsor's checklist (income documents, household-size count, invitation-letter elements, insurance proof) and a table that reproduces IRCC's current income figures by household size with the date copied, refreshed when IRCC updates them.</t>
        </is>
      </c>
      <c r="W253" s="25" t="inlineStr">
        <is>
          <t>/super-visa-insurance/; /guides/super-visa-insurance-requirements-cost/; /guides/super-visa-insurance-documents-proof-ircc/; /life-insurance/newcomers/</t>
        </is>
      </c>
      <c r="X253" s="25" t="inlineStr">
        <is>
          <t>Request a specialist call: Super Visa desk (/super-visa-insurance/)</t>
        </is>
      </c>
      <c r="Y253" s="36" t="inlineStr">
        <is>
          <t>Article; FAQPage; BreadcrumbList</t>
        </is>
      </c>
      <c r="Z253" s="37" t="n">
        <v>1500</v>
      </c>
      <c r="AA253" s="25" t="inlineStr">
        <is>
          <t>Super Visa owners (PolicyAdvisor, HelloSafe, bestquotetravelinsurance.ca) focus on the insurance and leave the sponsor-side income and invitation steps to IRCC; no insurance site seen ties both into one checklist.</t>
        </is>
      </c>
      <c r="AB253" s="25" t="inlineStr">
        <is>
          <t>Focus keyword in the H1, slug, meta title, first 100 words and the first H2, with a 40–60 word answer pointing to IRCC's current income table. Use a numbered checklist and the household-size table; link 'Super Visa insurance requirements' to the existing guide. Licensed reviewer for the insurance sections; cite IRCC only for income figures; image alt 'Super Visa sponsor checklist'; refresh each time IRCC publishes new figures.</t>
        </is>
      </c>
      <c r="AC253" s="25" t="inlineStr">
        <is>
          <t>Copy income thresholds only from IRCC's current table with the date; never compute or promise eligibility. State that instasure.ca advisors give insurance advice only and immigration questions go to IRCC, a licensed RCIC or a lawyer.</t>
        </is>
      </c>
      <c r="AD253" s="36" t="inlineStr">
        <is>
          <t>Annual</t>
        </is>
      </c>
      <c r="AE253" s="38" t="n"/>
      <c r="AF253" s="38" t="n"/>
      <c r="AG253" s="38" t="n"/>
    </row>
    <row r="254" ht="68.65000000000001" customHeight="1" s="22">
      <c r="A254" s="36">
        <f>"B"&amp;TEXT(ROW()-1,"0000")</f>
        <v/>
      </c>
      <c r="B254" s="38" t="inlineStr">
        <is>
          <t>Published</t>
        </is>
      </c>
      <c r="C254" s="36" t="n">
        <v>1</v>
      </c>
      <c r="D254" s="36" t="inlineStr">
        <is>
          <t>Car insurance</t>
        </is>
      </c>
      <c r="E254" s="36" t="inlineStr">
        <is>
          <t>Cost &amp; pricing</t>
        </is>
      </c>
      <c r="F254" s="25" t="inlineStr">
        <is>
          <t>Average Car Insurance Cost in Canada by Province and City</t>
        </is>
      </c>
      <c r="G254" s="36" t="inlineStr">
        <is>
          <t>https://instasure.ca/guides/average-car-insurance-cost-canada-by-province/</t>
        </is>
      </c>
      <c r="H254" s="36" t="inlineStr">
        <is>
          <t>average car insurance cost canada</t>
        </is>
      </c>
      <c r="I254" s="41">
        <f>IFERROR(INDEX('Nationwide KWs'!$D$2:$D$168,MATCH(H254,'Nationwide KWs'!$A$2:$A$168,0)),IFERROR(INDEX('Provincial KWs'!$E$2:$E$137,MATCH(H254,'Provincial KWs'!$A$2:$A$137,0)),IFERROR(INDEX('City KWs'!$F$2:$F$419,MATCH(H254,'City KWs'!$A$2:$A$419,0)),"")))</f>
        <v/>
      </c>
      <c r="J254" s="36" t="inlineStr">
        <is>
          <t>High</t>
        </is>
      </c>
      <c r="K254" s="25" t="inlineStr">
        <is>
          <t>car insurance rates by province; how much is car insurance in canada; cheapest province for car insurance; most expensive province for car insurance; average car insurance cost per month canada</t>
        </is>
      </c>
      <c r="L254" s="36" t="inlineStr">
        <is>
          <t>Nationwide</t>
        </is>
      </c>
      <c r="M254" s="36" t="inlineStr">
        <is>
          <t>informational</t>
        </is>
      </c>
      <c r="N254" s="36" t="inlineStr">
        <is>
          <t>TOFU</t>
        </is>
      </c>
      <c r="O254" s="25" t="inlineStr">
        <is>
          <t>Average Car Insurance Cost in Canada: All Provinces Compared</t>
        </is>
      </c>
      <c r="P254" s="36">
        <f>LEN(O254)</f>
        <v/>
      </c>
      <c r="Q254" s="25" t="inlineStr">
        <is>
          <t>See the average car insurance cost in Canada for every province and territory, why some cost far more than others, and get your own estimate in a minute.</t>
        </is>
      </c>
      <c r="R254" s="36">
        <f>LEN(Q254)</f>
        <v/>
      </c>
      <c r="S254" s="36">
        <f>IF(H254="","",IF(ISNUMBER(SEARCH(SUBSTITUTE(H254,"-"," "),SUBSTITUTE(O254,"-"," "))),"Yes","Check"))</f>
        <v/>
      </c>
      <c r="T254" s="25" t="inlineStr">
        <is>
          <t>What is the average car insurance cost in Canada? | Average premium by province and territory (dated table) | Why public and private systems price so differently | Average cost in 15 major cities | What moves your own premium above or below the average | How to get an estimate for your postal code</t>
        </is>
      </c>
      <c r="U254" s="25" t="inlineStr">
        <is>
          <t>Which province has the cheapest car insurance in Canada? | Why is car insurance so expensive in Ontario? | Is car insurance cheaper in BC because of ICBC? | How much is car insurance per month in Canada?</t>
        </is>
      </c>
      <c r="V254" s="25" t="inlineStr">
        <is>
          <t>Dated 13-row table of average annual premium by province and territory with source and year in every cell (GISA/IBC, ICBC, MPI, SGI, SAAQ, plus Instasure Rate Index medians where a cell has 25+ requests), and a second table of 15 cities across 6 provinces using one stated driver profile.</t>
        </is>
      </c>
      <c r="W254" s="25" t="inlineStr">
        <is>
          <t>/insights/rate-index/; /car-insurance/; /car-insurance/ontario/; /car-insurance/alberta/; /guides/why-is-my-car-insurance-going-up-2026/</t>
        </is>
      </c>
      <c r="X254" s="25" t="inlineStr">
        <is>
          <t>Instant car insurance estimate (/quote/car-insurance/)</t>
        </is>
      </c>
      <c r="Y254" s="36" t="inlineStr">
        <is>
          <t>Article; FAQPage; BreadcrumbList</t>
        </is>
      </c>
      <c r="Z254" s="37" t="n">
        <v>2200</v>
      </c>
      <c r="AA254" s="25" t="inlineStr">
        <is>
          <t>Ratehub and Rates.ca publish province averages (Rates.ca covers only ON, AB and QC, and Ratehub's figures conflict between pages); Sonnet has a by-province blog post. None uses one source and profile per cell across all 13 jurisdictions.</t>
        </is>
      </c>
      <c r="AB254" s="25" t="inlineStr">
        <is>
          <t>Put the focus keyword in the H1, slug, meta title, first 100 words and first H2, and open with a 40-60 word answer naming the national figure, its source and date, and the lowest- and highest-cost provinces. Make the province table the second element on the page with clear row and column labels, link each province name to its /car-insurance/{province}/ page with 'car insurance in {Province}' anchors, and show 'Rates as of {month year}' plus a licensed reviewer line. Refresh each quarter with the Rate Index and the Applied Rating Index release.</t>
        </is>
      </c>
      <c r="AC254" s="25" t="inlineStr">
        <is>
          <t>Verify every average against its primary source (GISA/IBC, ICBC, MPI, SGI, SAAQ, Rate Index methodology) and print the year beside it; never mix sources in one column without saying so. Label Instasure figures as modelled estimates and avoid 'cheapest province' claims beyond what the cited data shows.</t>
        </is>
      </c>
      <c r="AD254" s="36" t="inlineStr">
        <is>
          <t>Quarterly</t>
        </is>
      </c>
      <c r="AE254" s="38" t="inlineStr">
        <is>
          <t>Michael Le Chi</t>
        </is>
      </c>
      <c r="AF254" s="38" t="n"/>
      <c r="AG254" s="38" t="inlineStr">
        <is>
          <t>2026-10-03</t>
        </is>
      </c>
    </row>
    <row r="255" ht="35.05" customHeight="1" s="22">
      <c r="A255" s="36">
        <f>"B"&amp;TEXT(ROW()-1,"0000")</f>
        <v/>
      </c>
      <c r="B255" s="38" t="inlineStr">
        <is>
          <t>Planned</t>
        </is>
      </c>
      <c r="C255" s="36" t="n">
        <v>1</v>
      </c>
      <c r="D255" s="36" t="inlineStr">
        <is>
          <t>Car insurance</t>
        </is>
      </c>
      <c r="E255" s="36" t="inlineStr">
        <is>
          <t>Local (city/province)</t>
        </is>
      </c>
      <c r="F255" s="25" t="inlineStr">
        <is>
          <t>Car Insurance in North York: Costs by Postal Code and Local Risks</t>
        </is>
      </c>
      <c r="G255" s="36" t="inlineStr">
        <is>
          <t>https://instasure.ca/guides/car-insurance-north-york/</t>
        </is>
      </c>
      <c r="H255" s="36" t="inlineStr">
        <is>
          <t>car insurance north york</t>
        </is>
      </c>
      <c r="I255" s="41">
        <f>IFERROR(INDEX('Nationwide KWs'!$D$2:$D$168,MATCH(H255,'Nationwide KWs'!$A$2:$A$168,0)),IFERROR(INDEX('Provincial KWs'!$E$2:$E$137,MATCH(H255,'Provincial KWs'!$A$2:$A$137,0)),IFERROR(INDEX('City KWs'!$F$2:$F$419,MATCH(H255,'City KWs'!$A$2:$A$419,0)),"")))</f>
        <v/>
      </c>
      <c r="J255" s="36" t="inlineStr">
        <is>
          <t>Medium</t>
        </is>
      </c>
      <c r="K255" s="25" t="inlineStr">
        <is>
          <t>how much is car insurance in north york; cheap car insurance north york; north york car insurance quotes; m2n car insurance; willowdale car insurance</t>
        </is>
      </c>
      <c r="L255" s="36" t="inlineStr">
        <is>
          <t>City: North York, ON</t>
        </is>
      </c>
      <c r="M255" s="36" t="inlineStr">
        <is>
          <t>local</t>
        </is>
      </c>
      <c r="N255" s="36" t="inlineStr">
        <is>
          <t>BOFU</t>
        </is>
      </c>
      <c r="O255" s="25" t="inlineStr">
        <is>
          <t>Car Insurance North York, ON: Costs by Postal Code</t>
        </is>
      </c>
      <c r="P255" s="36">
        <f>LEN(O255)</f>
        <v/>
      </c>
      <c r="Q255" s="25" t="inlineStr">
        <is>
          <t>Car insurance in North York, ON: dated estimates by postal code from Willowdale to Downsview, plus theft and commute factors. Get a 60-second estimate.</t>
        </is>
      </c>
      <c r="R255" s="36">
        <f>LEN(Q255)</f>
        <v/>
      </c>
      <c r="S255" s="36">
        <f>IF(H255="","",IF(ISNUMBER(SEARCH(SUBSTITUTE(H255,"-"," "),SUBSTITUTE(O255,"-"," "))),"Yes","Check"))</f>
        <v/>
      </c>
      <c r="T255" s="25" t="inlineStr">
        <is>
          <t>How much is car insurance in North York? | Estimates by North York postal code (M2 and M3) | Highways 401 and 404: commuting and claims | Theft hot spots and anti-theft requirements | How North York compares with Scarborough and Etobicoke | Ways to lower your North York premium</t>
        </is>
      </c>
      <c r="U255" s="25" t="inlineStr">
        <is>
          <t>Is car insurance in North York more expensive than downtown Toronto? | Which North York postal codes cost the most? | Do insurers require trackers on SUVs in North York? | How can I lower my car insurance in North York?</t>
        </is>
      </c>
      <c r="V255" s="25" t="inlineStr">
        <is>
          <t>FSA table for North York M2 and M3 codes with estimate ranges for one stated profile (25+ request minimum), plus a comparison chart against Scarborough, Etobicoke and Toronto.</t>
        </is>
      </c>
      <c r="W255" s="25" t="inlineStr">
        <is>
          <t>/car-insurance/ontario/toronto/; /guides/car-insurance-scarborough/; /guides/car-insurance-etobicoke/; /guides/anti-theft-devices-car-insurance/</t>
        </is>
      </c>
      <c r="X255" s="25" t="inlineStr">
        <is>
          <t>Instant car insurance estimate with your North York postal code (/quote/car-insurance/)</t>
        </is>
      </c>
      <c r="Y255" s="36" t="inlineStr">
        <is>
          <t>Article; FAQPage; BreadcrumbList</t>
        </is>
      </c>
      <c r="Z255" s="37" t="n">
        <v>1500</v>
      </c>
      <c r="AA255" s="25" t="inlineStr">
        <is>
          <t>Rates.ca's North York page has a generic title with no city name ('Cheap Car Insurance'); Ratehub and Sonnet have none.</t>
        </is>
      </c>
      <c r="AB255" s="25" t="inlineStr">
        <is>
          <t>Focus keyword in H1, slug, meta title, first 100 words and first H2; the 40-60 word answer gives the range, profile and month. Lead with the FSA table, link the sibling sub-area guides with area-name anchors, and refresh quarterly.</t>
        </is>
      </c>
      <c r="AC255" s="25" t="inlineStr">
        <is>
          <t>Use competitor averages only as attributed gap context after verification; publish Instasure postal-code figures only at the 25-request minimum, labelled as estimates with profile and date. No 'cheap' or 'lowest' promises in copy.</t>
        </is>
      </c>
      <c r="AD255" s="36" t="inlineStr">
        <is>
          <t>Quarterly</t>
        </is>
      </c>
      <c r="AE255" s="38" t="n"/>
      <c r="AF255" s="38" t="n"/>
      <c r="AG255" s="38" t="n"/>
    </row>
    <row r="256" ht="46.25" customHeight="1" s="22">
      <c r="A256" s="36">
        <f>"B"&amp;TEXT(ROW()-1,"0000")</f>
        <v/>
      </c>
      <c r="B256" s="38" t="inlineStr">
        <is>
          <t>Published</t>
        </is>
      </c>
      <c r="C256" s="36" t="n">
        <v>1</v>
      </c>
      <c r="D256" s="36" t="inlineStr">
        <is>
          <t>Car insurance</t>
        </is>
      </c>
      <c r="E256" s="36" t="inlineStr">
        <is>
          <t>Local (city/province)</t>
        </is>
      </c>
      <c r="F256" s="25" t="inlineStr">
        <is>
          <t>Car Insurance in Scarborough: Costs by Postal Code and How to Lower Them</t>
        </is>
      </c>
      <c r="G256" s="36" t="inlineStr">
        <is>
          <t>https://instasure.ca/guides/car-insurance-scarborough/</t>
        </is>
      </c>
      <c r="H256" s="36" t="inlineStr">
        <is>
          <t>car insurance scarborough</t>
        </is>
      </c>
      <c r="I256" s="41">
        <f>IFERROR(INDEX('Nationwide KWs'!$D$2:$D$168,MATCH(H256,'Nationwide KWs'!$A$2:$A$168,0)),IFERROR(INDEX('Provincial KWs'!$E$2:$E$137,MATCH(H256,'Provincial KWs'!$A$2:$A$137,0)),IFERROR(INDEX('City KWs'!$F$2:$F$419,MATCH(H256,'City KWs'!$A$2:$A$419,0)),"")))</f>
        <v/>
      </c>
      <c r="J256" s="36" t="inlineStr">
        <is>
          <t>Medium</t>
        </is>
      </c>
      <c r="K256" s="25" t="inlineStr">
        <is>
          <t>how much is car insurance in scarborough; cheap car insurance scarborough; why is car insurance expensive in scarborough; scarborough car insurance quotes; m1b car insurance</t>
        </is>
      </c>
      <c r="L256" s="36" t="inlineStr">
        <is>
          <t>City: Scarborough, ON</t>
        </is>
      </c>
      <c r="M256" s="36" t="inlineStr">
        <is>
          <t>local</t>
        </is>
      </c>
      <c r="N256" s="36" t="inlineStr">
        <is>
          <t>BOFU</t>
        </is>
      </c>
      <c r="O256" s="25" t="inlineStr">
        <is>
          <t>Car Insurance Scarborough, ON: Costs by Postal Code</t>
        </is>
      </c>
      <c r="P256" s="36">
        <f>LEN(O256)</f>
        <v/>
      </c>
      <c r="Q256" s="25" t="inlineStr">
        <is>
          <t>Car insurance in Scarborough, ON: dated estimates by postal code, why rates run above Toronto's average and the theft and claims factors. Get an estimate.</t>
        </is>
      </c>
      <c r="R256" s="36">
        <f>LEN(Q256)</f>
        <v/>
      </c>
      <c r="S256" s="36">
        <f>IF(H256="","",IF(ISNUMBER(SEARCH(SUBSTITUTE(H256,"-"," "),SUBSTITUTE(O256,"-"," "))),"Yes","Check"))</f>
        <v/>
      </c>
      <c r="T256" s="25" t="inlineStr">
        <is>
          <t>How much is car insurance in Scarborough? | Estimates by Scarborough postal code, M1B to M1X | Why Scarborough costs more than central Toronto | Theft, collisions and commuting patterns | Ways Scarborough drivers lower premiums | Compare with North York, Etobicoke and Toronto</t>
        </is>
      </c>
      <c r="U256" s="25" t="inlineStr">
        <is>
          <t>Why is car insurance so expensive in Scarborough? | Which Scarborough postal codes cost the most to insure? | Is car insurance cheaper in Scarborough or Brampton? | Does parking in a garage lower Scarborough rates?</t>
        </is>
      </c>
      <c r="V256" s="25" t="inlineStr">
        <is>
          <t>FSA table for every Scarborough M1 postal code with Instasure estimate ranges for one stated profile (shown once a cell has 25+ requests), a vs-Toronto comparison and a local theft note sourced to Toronto Police open data.</t>
        </is>
      </c>
      <c r="W256" s="25" t="inlineStr">
        <is>
          <t>/car-insurance/ontario/toronto/; /insurance/ontario/toronto/; /guides/car-insurance-north-york/; /guides/toronto-neighbourhoods-car-insurance-rates/</t>
        </is>
      </c>
      <c r="X256" s="25" t="inlineStr">
        <is>
          <t>Instant car insurance estimate with your Scarborough postal code (/quote/car-insurance/)</t>
        </is>
      </c>
      <c r="Y256" s="36" t="inlineStr">
        <is>
          <t>Article; FAQPage; BreadcrumbList</t>
        </is>
      </c>
      <c r="Z256" s="37" t="n">
        <v>1600</v>
      </c>
      <c r="AA256" s="25" t="inlineStr">
        <is>
          <t>Rates.ca (about $3,180 a year) and Sonnet ($330 a month) have Scarborough pages; Ratehub has none. Neither shows all M1 postal codes with a stated profile and date.</t>
        </is>
      </c>
      <c r="AB256" s="25" t="inlineStr">
        <is>
          <t>Focus keyword in H1, slug, meta title, first 100 words and first H2; the 40-60 word answer gives the estimate range, profile and 'as of' month. Lead with the FSA table, link the Toronto city page with 'car insurance in Toronto' anchor, and add a map (alt: 'Scarborough car insurance estimates by postal code'). Refresh quarterly; acts as the interim Toronto sub-area page.</t>
        </is>
      </c>
      <c r="AC256" s="25" t="inlineStr">
        <is>
          <t>Use competitor averages only as attributed gap context after verification; publish Instasure postal-code figures only at the 25-request minimum, labelled as estimates with profile and date. No 'cheap' or 'lowest' promises in copy.</t>
        </is>
      </c>
      <c r="AD256" s="36" t="inlineStr">
        <is>
          <t>Quarterly</t>
        </is>
      </c>
      <c r="AE256" s="38" t="inlineStr">
        <is>
          <t>Michael Le Chi</t>
        </is>
      </c>
      <c r="AF256" s="38" t="n"/>
      <c r="AG256" s="38" t="inlineStr">
        <is>
          <t>2026-10-12</t>
        </is>
      </c>
    </row>
    <row r="257" ht="35.05" customHeight="1" s="22">
      <c r="A257" s="36">
        <f>"B"&amp;TEXT(ROW()-1,"0000")</f>
        <v/>
      </c>
      <c r="B257" s="38" t="inlineStr">
        <is>
          <t>Planned</t>
        </is>
      </c>
      <c r="C257" s="36" t="n">
        <v>1</v>
      </c>
      <c r="D257" s="36" t="inlineStr">
        <is>
          <t>Car insurance</t>
        </is>
      </c>
      <c r="E257" s="36" t="inlineStr">
        <is>
          <t>Local (city/province)</t>
        </is>
      </c>
      <c r="F257" s="25" t="inlineStr">
        <is>
          <t>Why Is Car Insurance So Expensive in Brampton? Causes and Fixes</t>
        </is>
      </c>
      <c r="G257" s="36" t="inlineStr">
        <is>
          <t>https://instasure.ca/guides/why-is-car-insurance-so-expensive-in-brampton/</t>
        </is>
      </c>
      <c r="H257" s="36" t="inlineStr">
        <is>
          <t>why is car insurance so expensive in brampton</t>
        </is>
      </c>
      <c r="I257" s="41">
        <f>IFERROR(INDEX('Nationwide KWs'!$D$2:$D$168,MATCH(H257,'Nationwide KWs'!$A$2:$A$168,0)),IFERROR(INDEX('Provincial KWs'!$E$2:$E$137,MATCH(H257,'Provincial KWs'!$A$2:$A$137,0)),IFERROR(INDEX('City KWs'!$F$2:$F$419,MATCH(H257,'City KWs'!$A$2:$A$419,0)),"")))</f>
        <v/>
      </c>
      <c r="J257" s="36" t="inlineStr">
        <is>
          <t>Low</t>
        </is>
      </c>
      <c r="K257" s="25" t="inlineStr">
        <is>
          <t>how much is car insurance in brampton; cheap car insurance brampton; brampton car insurance by postal code; brampton car insurance newcomers; l6p car insurance</t>
        </is>
      </c>
      <c r="L257" s="36" t="inlineStr">
        <is>
          <t>City: Brampton, ON</t>
        </is>
      </c>
      <c r="M257" s="36" t="inlineStr">
        <is>
          <t>local</t>
        </is>
      </c>
      <c r="N257" s="36" t="inlineStr">
        <is>
          <t>MOFU</t>
        </is>
      </c>
      <c r="O257" s="25" t="inlineStr">
        <is>
          <t>Why Is Car Insurance So Expensive in Brampton? The Causes</t>
        </is>
      </c>
      <c r="P257" s="36">
        <f>LEN(O257)</f>
        <v/>
      </c>
      <c r="Q257" s="25" t="inlineStr">
        <is>
          <t>Why is car insurance so expensive in Brampton? Claims, theft, fraud history and newcomer experience rules explained with postal-code estimates. See fixes.</t>
        </is>
      </c>
      <c r="R257" s="36">
        <f>LEN(Q257)</f>
        <v/>
      </c>
      <c r="S257" s="36">
        <f>IF(H257="","",IF(ISNUMBER(SEARCH(SUBSTITUTE(H257,"-"," "),SUBSTITUTE(O257,"-"," "))),"Yes","Check"))</f>
        <v/>
      </c>
      <c r="T257" s="25" t="inlineStr">
        <is>
          <t>Why does Brampton have some of Ontario's highest car insurance? | Claims frequency, theft and fraud history | New drivers and foreign experience in Brampton | Estimates by Brampton postal code, L6P to L7A | What Brampton drivers can change | Compare with Mississauga, Caledon and Vaughan</t>
        </is>
      </c>
      <c r="U257" s="25" t="inlineStr">
        <is>
          <t>Is Brampton the most expensive city for car insurance in Ontario? | Which Brampton postal code is cheapest to insure? | Does foreign driving experience lower Brampton rates? | Will Brampton car insurance go down after the 2026 reform?</t>
        </is>
      </c>
      <c r="V257" s="25" t="inlineStr">
        <is>
          <t>Brampton FSA table with estimate ranges (25+ request minimum), a cause-by-cause breakdown with dated sources and a newcomer action plan.</t>
        </is>
      </c>
      <c r="W257" s="25" t="inlineStr">
        <is>
          <t>/car-insurance/ontario/brampton/; /insurance/ontario/brampton/; /car-insurance/newcomers/; /guides/car-insurance-foreign-driving-experience-canada/; /guides/anti-theft-devices-car-insurance/</t>
        </is>
      </c>
      <c r="X257" s="25" t="inlineStr">
        <is>
          <t>Instant car insurance estimate with your Brampton postal code (/quote/car-insurance/)</t>
        </is>
      </c>
      <c r="Y257" s="36" t="inlineStr">
        <is>
          <t>Article; FAQPage; BreadcrumbList</t>
        </is>
      </c>
      <c r="Z257" s="37" t="n">
        <v>1700</v>
      </c>
      <c r="AA257" s="25" t="inlineStr">
        <is>
          <t>Ratehub, Rates.ca, MyChoice and LowestRates own Brampton cost pages, and Ratehub's figures conflict across three pages; none ties the causes to newcomer experience rules.</t>
        </is>
      </c>
      <c r="AB257" s="25" t="inlineStr">
        <is>
          <t>Focus keyword in H1, slug, meta title, first 100 words and first H2; the 40-60 word answer names the main causes and one attributed, dated figure. Use one H3 per cause, link the Brampton city page with 'car insurance in Brampton' anchor and the newcomer desk, and refresh quarterly.</t>
        </is>
      </c>
      <c r="AC257" s="25" t="inlineStr">
        <is>
          <t>If used, attribute and date Rates.ca's Brampton figure ($3,802 a year, 'last of 181') after verification. Avoid language blaming communities for fraud and label Instasure figures as estimates.</t>
        </is>
      </c>
      <c r="AD257" s="36" t="inlineStr">
        <is>
          <t>Quarterly</t>
        </is>
      </c>
      <c r="AE257" s="38" t="n"/>
      <c r="AF257" s="38" t="n"/>
      <c r="AG257" s="38" t="n"/>
    </row>
    <row r="258" ht="35.05" customHeight="1" s="22">
      <c r="A258" s="36">
        <f>"B"&amp;TEXT(ROW()-1,"0000")</f>
        <v/>
      </c>
      <c r="B258" s="38" t="inlineStr">
        <is>
          <t>Planned</t>
        </is>
      </c>
      <c r="C258" s="36" t="n">
        <v>1</v>
      </c>
      <c r="D258" s="36" t="inlineStr">
        <is>
          <t>Car insurance</t>
        </is>
      </c>
      <c r="E258" s="36" t="inlineStr">
        <is>
          <t>Regulation</t>
        </is>
      </c>
      <c r="F258" s="25" t="inlineStr">
        <is>
          <t>Accident Benefits vs Disability Insurance: Do You Need Both in Ontario?</t>
        </is>
      </c>
      <c r="G258" s="36" t="inlineStr">
        <is>
          <t>https://instasure.ca/guides/accident-benefits-vs-disability-insurance-ontario/</t>
        </is>
      </c>
      <c r="H258" s="36" t="inlineStr">
        <is>
          <t>accident benefits vs disability insurance</t>
        </is>
      </c>
      <c r="I258" s="41">
        <f>IFERROR(INDEX('Nationwide KWs'!$D$2:$D$168,MATCH(H258,'Nationwide KWs'!$A$2:$A$168,0)),IFERROR(INDEX('Provincial KWs'!$E$2:$E$137,MATCH(H258,'Provincial KWs'!$A$2:$A$137,0)),IFERROR(INDEX('City KWs'!$F$2:$F$419,MATCH(H258,'City KWs'!$A$2:$A$419,0)),"")))</f>
        <v/>
      </c>
      <c r="J258" s="36" t="inlineStr">
        <is>
          <t>Niche</t>
        </is>
      </c>
      <c r="K258" s="25" t="inlineStr">
        <is>
          <t>income replacement benefit ontario opt out; group disability and accident benefits; self-employed accident benefits ontario; do i need income replacement benefit if i have disability insurance</t>
        </is>
      </c>
      <c r="L258" s="36" t="inlineStr">
        <is>
          <t>Province: Ontario</t>
        </is>
      </c>
      <c r="M258" s="36" t="inlineStr">
        <is>
          <t>commercial</t>
        </is>
      </c>
      <c r="N258" s="36" t="inlineStr">
        <is>
          <t>MOFU</t>
        </is>
      </c>
      <c r="O258" s="25" t="inlineStr">
        <is>
          <t>Accident Benefits vs Disability Insurance in Ontario</t>
        </is>
      </c>
      <c r="P258" s="36">
        <f>LEN(O258)</f>
        <v/>
      </c>
      <c r="Q258" s="25" t="inlineStr">
        <is>
          <t>Accident benefits vs disability insurance in Ontario: how income replacement works with group and private plans and which pays first. Book a review.</t>
        </is>
      </c>
      <c r="R258" s="36">
        <f>LEN(Q258)</f>
        <v/>
      </c>
      <c r="S258" s="36">
        <f>IF(H258="","",IF(ISNUMBER(SEARCH(SUBSTITUTE(H258,"-"," "),SUBSTITUTE(O258,"-"," "))),"Yes","Check"))</f>
        <v/>
      </c>
      <c r="T258" s="25" t="inlineStr">
        <is>
          <t>Do you need income replacement if you have disability insurance? | How auto income replacement pays | How group and private disability plans pay | Offsets: which plan pays first | Self-employed and gig workers: the biggest gap | Decision checklist before your renewal</t>
        </is>
      </c>
      <c r="U258" s="25" t="inlineStr">
        <is>
          <t>If I have group disability, should I drop income replacement? | Does disability insurance cover car accidents? | What if I am self-employed in Ontario? | Which pays first, auto insurance or my disability plan?</t>
        </is>
      </c>
      <c r="V258" s="25" t="inlineStr">
        <is>
          <t>Side-by-side comparison of auto income replacement, typical group LTD and individual DI (waiting period, benefit level, duration, offsets), with worked examples for a salaried employee and a self-employed driver.</t>
        </is>
      </c>
      <c r="W258" s="25" t="inlineStr">
        <is>
          <t>/car-insurance/accident-benefits-review/; /disability-insurance/self-employed/; /disability-insurance/; /guides/ontario-accident-benefits-explained/; /guides/critical-illness-vs-disability-insurance/</t>
        </is>
      </c>
      <c r="X258" s="25" t="inlineStr">
        <is>
          <t>Request a specialist call: Self-employed income protection desk (/disability-insurance/self-employed/)</t>
        </is>
      </c>
      <c r="Y258" s="36" t="inlineStr">
        <is>
          <t>Article; FAQPage; BreadcrumbList</t>
        </is>
      </c>
      <c r="Z258" s="37" t="n">
        <v>1800</v>
      </c>
      <c r="AA258" s="25" t="inlineStr">
        <is>
          <t>thebig.ca and ThinkInsure discuss income replacement after the reform; no competitor compares it with group and individual disability plans or explains offsets.</t>
        </is>
      </c>
      <c r="AB258" s="25" t="inlineStr">
        <is>
          <t>Focus keyword in H1, slug, meta title, first 100 words and first H2; the 40-60 word answer explains that the plans overlap but offset each other. Use the comparison table and two worked examples, link 'self-employed' to the DI desk and 'accident benefits' to the SABS explainer. Review on any SABS change.</t>
        </is>
      </c>
      <c r="AC258" s="25" t="inlineStr">
        <is>
          <t>Verify SABS priority and offset rules and typical group LTD terms, and label examples as illustrative. Advice to keep or drop coverage must come from a licensed advisor holding the right licences (life/A&amp;S and general).</t>
        </is>
      </c>
      <c r="AD258" s="36" t="inlineStr">
        <is>
          <t>On rule change</t>
        </is>
      </c>
      <c r="AE258" s="38" t="n"/>
      <c r="AF258" s="38" t="n"/>
      <c r="AG258" s="38" t="n"/>
    </row>
    <row r="259" ht="46.25" customHeight="1" s="22">
      <c r="A259" s="36">
        <f>"B"&amp;TEXT(ROW()-1,"0000")</f>
        <v/>
      </c>
      <c r="B259" s="38" t="inlineStr">
        <is>
          <t>Planned</t>
        </is>
      </c>
      <c r="C259" s="36" t="n">
        <v>1</v>
      </c>
      <c r="D259" s="36" t="inlineStr">
        <is>
          <t>Car insurance</t>
        </is>
      </c>
      <c r="E259" s="36" t="inlineStr">
        <is>
          <t>Regulation</t>
        </is>
      </c>
      <c r="F259" s="25" t="inlineStr">
        <is>
          <t>Ontario Accident Benefits Explained: What Each Benefit Pays Now</t>
        </is>
      </c>
      <c r="G259" s="36" t="inlineStr">
        <is>
          <t>https://instasure.ca/guides/ontario-accident-benefits-explained/</t>
        </is>
      </c>
      <c r="H259" s="36" t="inlineStr">
        <is>
          <t>accident benefits ontario</t>
        </is>
      </c>
      <c r="I259" s="41">
        <f>IFERROR(INDEX('Nationwide KWs'!$D$2:$D$168,MATCH(H259,'Nationwide KWs'!$A$2:$A$168,0)),IFERROR(INDEX('Provincial KWs'!$E$2:$E$137,MATCH(H259,'Provincial KWs'!$A$2:$A$137,0)),IFERROR(INDEX('City KWs'!$F$2:$F$419,MATCH(H259,'City KWs'!$A$2:$A$419,0)),"")))</f>
        <v/>
      </c>
      <c r="J259" s="36" t="inlineStr">
        <is>
          <t>Medium</t>
        </is>
      </c>
      <c r="K259" s="25" t="inlineStr">
        <is>
          <t>statutory accident benefits schedule; medical rehabilitation and attendant care ontario; non-earner benefit ontario; caregiver benefit ontario; death and funeral benefit ontario</t>
        </is>
      </c>
      <c r="L259" s="36" t="inlineStr">
        <is>
          <t>Province: Ontario</t>
        </is>
      </c>
      <c r="M259" s="36" t="inlineStr">
        <is>
          <t>informational</t>
        </is>
      </c>
      <c r="N259" s="36" t="inlineStr">
        <is>
          <t>MOFU</t>
        </is>
      </c>
      <c r="O259" s="25" t="inlineStr">
        <is>
          <t>Accident Benefits in Ontario: What Each Benefit Pays (2026)</t>
        </is>
      </c>
      <c r="P259" s="36">
        <f>LEN(O259)</f>
        <v/>
      </c>
      <c r="Q259" s="25" t="inlineStr">
        <is>
          <t>Accident benefits in Ontario after July 2026: what each mandatory and optional benefit pays, who it covers and how to check your own policy. Book a review.</t>
        </is>
      </c>
      <c r="R259" s="36">
        <f>LEN(Q259)</f>
        <v/>
      </c>
      <c r="S259" s="36">
        <f>IF(H259="","",IF(ISNUMBER(SEARCH(SUBSTITUTE(H259,"-"," "),SUBSTITUTE(O259,"-"," "))),"Yes","Check"))</f>
        <v/>
      </c>
      <c r="T259" s="25" t="inlineStr">
        <is>
          <t>What accident benefits do Ontario drivers have now? | Mandatory benefits: medical, rehabilitation and attendant care | Optional benefits: income replacement, non-earner and caregiver | Optional benefits: housekeeping, visitor, funeral and others | Who each benefit covers in your household | How to read the benefits page of your policy</t>
        </is>
      </c>
      <c r="U259" s="25" t="inlineStr">
        <is>
          <t>Which accident benefits are still mandatory in Ontario? | Do optional accident benefits cover my children? | Does my workplace health plan replace accident benefits? | How do I add optional benefits back?</t>
        </is>
      </c>
      <c r="V259" s="25" t="inlineStr">
        <is>
          <t>Benefit-by-benefit table (mandatory or optional since July 1, 2026; who is covered; what it pays; what might replace it, such as group disability or life insurance) with the SABS section for each row.</t>
        </is>
      </c>
      <c r="W259" s="25" t="inlineStr">
        <is>
          <t>/car-insurance/accident-benefits-review/; /guides/ontario-auto-insurance-changes-july-2026/; /guides/accident-benefits-vs-disability-insurance-ontario/; /car-insurance/ontario/</t>
        </is>
      </c>
      <c r="X259" s="25" t="inlineStr">
        <is>
          <t>Request a specialist call: Accident benefits review desk (/car-insurance/accident-benefits-review/)</t>
        </is>
      </c>
      <c r="Y259" s="36" t="inlineStr">
        <is>
          <t>Article; FAQPage; BreadcrumbList</t>
        </is>
      </c>
      <c r="Z259" s="37" t="n">
        <v>2000</v>
      </c>
      <c r="AA259" s="25" t="inlineStr">
        <is>
          <t>Rates.ca, Ratelab, ThinkInsure, Intact, Northbridge and IBC explain the July 2026 changes; none gives a per-benefit reference table showing who is covered and what replaces each benefit. Complements, not duplicates, our July 2026 changes guide.</t>
        </is>
      </c>
      <c r="AB259" s="25" t="inlineStr">
        <is>
          <t>Focus keyword in H1, slug, meta title, first 100 words and first H2; the 40-60 word answer names the three mandatory benefits and says the rest are optional. Make the benefit table the core element, link 'what changed' to the July 2026 guide and 'review' to the desk page, and show a licensed reviewer. Update on any SABS change.</t>
        </is>
      </c>
      <c r="AC259" s="25" t="inlineStr">
        <is>
          <t>Verify every benefit's status, limits and covered persons against the SABS regulation and FSRA guidance; the research figures come from secondary sources. Do not advise dropping a benefit without an advisor review.</t>
        </is>
      </c>
      <c r="AD259" s="36" t="inlineStr">
        <is>
          <t>On rule change</t>
        </is>
      </c>
      <c r="AE259" s="38" t="n"/>
      <c r="AF259" s="38" t="n"/>
      <c r="AG259" s="38" t="n"/>
    </row>
    <row r="260" ht="46.25" customHeight="1" s="22">
      <c r="A260" s="36">
        <f>"B"&amp;TEXT(ROW()-1,"0000")</f>
        <v/>
      </c>
      <c r="B260" s="38" t="inlineStr">
        <is>
          <t>Planned</t>
        </is>
      </c>
      <c r="C260" s="36" t="n">
        <v>2</v>
      </c>
      <c r="D260" s="36" t="inlineStr">
        <is>
          <t>Car insurance</t>
        </is>
      </c>
      <c r="E260" s="36" t="inlineStr">
        <is>
          <t>Claims</t>
        </is>
      </c>
      <c r="F260" s="25" t="inlineStr">
        <is>
          <t>Car Insurance After an Accident: How Much Rates Rise and for How Long</t>
        </is>
      </c>
      <c r="G260" s="36" t="inlineStr">
        <is>
          <t>https://instasure.ca/guides/car-insurance-after-accident/</t>
        </is>
      </c>
      <c r="H260" s="36" t="inlineStr">
        <is>
          <t>car insurance after accident</t>
        </is>
      </c>
      <c r="I260" s="41">
        <f>IFERROR(INDEX('Nationwide KWs'!$D$2:$D$168,MATCH(H260,'Nationwide KWs'!$A$2:$A$168,0)),IFERROR(INDEX('Provincial KWs'!$E$2:$E$137,MATCH(H260,'Provincial KWs'!$A$2:$A$137,0)),IFERROR(INDEX('City KWs'!$F$2:$F$419,MATCH(H260,'City KWs'!$A$2:$A$419,0)),"")))</f>
        <v/>
      </c>
      <c r="J260" s="36" t="inlineStr">
        <is>
          <t>Medium</t>
        </is>
      </c>
      <c r="K260" s="25" t="inlineStr">
        <is>
          <t>how much does insurance go up after an accident; how long does an accident stay on your insurance; at fault accident insurance increase ontario; not at fault accident insurance increase</t>
        </is>
      </c>
      <c r="L260" s="36" t="inlineStr">
        <is>
          <t>Nationwide</t>
        </is>
      </c>
      <c r="M260" s="36" t="inlineStr">
        <is>
          <t>informational</t>
        </is>
      </c>
      <c r="N260" s="36" t="inlineStr">
        <is>
          <t>MOFU</t>
        </is>
      </c>
      <c r="O260" s="25" t="inlineStr">
        <is>
          <t>Car Insurance After an Accident: Increases and How Long</t>
        </is>
      </c>
      <c r="P260" s="36">
        <f>LEN(O260)</f>
        <v/>
      </c>
      <c r="Q260" s="25" t="inlineStr">
        <is>
          <t>Car insurance after an accident: how much premiums typically rise, how long at-fault claims count by province and your options if not renewed. Get help.</t>
        </is>
      </c>
      <c r="R260" s="36">
        <f>LEN(Q260)</f>
        <v/>
      </c>
      <c r="S260" s="36">
        <f>IF(H260="","",IF(ISNUMBER(SEARCH(SUBSTITUTE(H260,"-"," "),SUBSTITUTE(O260,"-"," "))),"Yes","Check"))</f>
        <v/>
      </c>
      <c r="T260" s="25" t="inlineStr">
        <is>
          <t>How much does car insurance go up after an accident? | At-fault vs not-at-fault: what counts | How long an accident stays on your record, by province | Public insurers: ICBC, MPI and SGI driver scales | If your insurer won't renew you | Ways to lower your premium after a claim</t>
        </is>
      </c>
      <c r="U260" s="25" t="inlineStr">
        <is>
          <t>How long does an at-fault accident affect insurance in Ontario? | Does a not-at-fault accident raise my premium? | Should I switch insurers after an accident? | Can I be dropped after one accident?</t>
        </is>
      </c>
      <c r="V260" s="25" t="inlineStr">
        <is>
          <t>Province table of how long at-fault claims usually affect rating (common private-insurer lookback vs ICBC, MPI and SGI scale rules), plus a modelled three-year premium path for one stated profile.</t>
        </is>
      </c>
      <c r="W260" s="25" t="inlineStr">
        <is>
          <t>/car-insurance/high-risk-drivers/; /guides/accident-forgiveness-car-insurance-canada/; /guides/ontario-fault-determination-rules/; /guides/should-i-claim-minor-car-accident/</t>
        </is>
      </c>
      <c r="X260" s="25" t="inlineStr">
        <is>
          <t>Request a specialist call: High-risk auto desk (/car-insurance/high-risk-drivers/)</t>
        </is>
      </c>
      <c r="Y260" s="36" t="inlineStr">
        <is>
          <t>Article; FAQPage; BreadcrumbList</t>
        </is>
      </c>
      <c r="Z260" s="37" t="n">
        <v>1800</v>
      </c>
      <c r="AA260" s="25" t="inlineStr">
        <is>
          <t>Rates.ca answers this inside its high-risk guide and the keyword map notes a dedicated guide is still planned; no competitor gives province-by-province lookback periods.</t>
        </is>
      </c>
      <c r="AB260" s="25" t="inlineStr">
        <is>
          <t>Focus keyword in H1, slug, meta title, first 100 words and first H2; the 40-60 word answer gives the usual direction and duration of the increase with the profile caveat. Show the lookback table and a three-year line chart (alt: 'car insurance estimate before and after an at-fault accident'), and link 'high-risk' mentions to the desk page. Review annually.</t>
        </is>
      </c>
      <c r="AC260" s="25" t="inlineStr">
        <is>
          <t>Lookback periods vary by insurer, so describe common practice and verify public-insurer scales (ICBC, MPI, SGI) at source. Label premium increases as modelled estimates with a stated profile.</t>
        </is>
      </c>
      <c r="AD260" s="36" t="inlineStr">
        <is>
          <t>Annual</t>
        </is>
      </c>
      <c r="AE260" s="38" t="n"/>
      <c r="AF260" s="38" t="n"/>
      <c r="AG260" s="38" t="n"/>
    </row>
    <row r="261" ht="46.25" customHeight="1" s="22">
      <c r="A261" s="36">
        <f>"B"&amp;TEXT(ROW()-1,"0000")</f>
        <v/>
      </c>
      <c r="B261" s="38" t="inlineStr">
        <is>
          <t>Planned</t>
        </is>
      </c>
      <c r="C261" s="36" t="n">
        <v>2</v>
      </c>
      <c r="D261" s="36" t="inlineStr">
        <is>
          <t>Car insurance</t>
        </is>
      </c>
      <c r="E261" s="36" t="inlineStr">
        <is>
          <t>Claims</t>
        </is>
      </c>
      <c r="F261" s="25" t="inlineStr">
        <is>
          <t>Car Stolen? What Insurance Covers and What to Do Next</t>
        </is>
      </c>
      <c r="G261" s="36" t="inlineStr">
        <is>
          <t>https://instasure.ca/guides/car-stolen-does-insurance-cover-theft/</t>
        </is>
      </c>
      <c r="H261" s="36" t="inlineStr">
        <is>
          <t>does car insurance cover theft</t>
        </is>
      </c>
      <c r="I261" s="41">
        <f>IFERROR(INDEX('Nationwide KWs'!$D$2:$D$168,MATCH(H261,'Nationwide KWs'!$A$2:$A$168,0)),IFERROR(INDEX('Provincial KWs'!$E$2:$E$137,MATCH(H261,'Provincial KWs'!$A$2:$A$137,0)),IFERROR(INDEX('City KWs'!$F$2:$F$419,MATCH(H261,'City KWs'!$A$2:$A$419,0)),"")))</f>
        <v/>
      </c>
      <c r="J261" s="36" t="inlineStr">
        <is>
          <t>Medium</t>
        </is>
      </c>
      <c r="K261" s="25" t="inlineStr">
        <is>
          <t>car stolen what to do canada; stolen car insurance claim ontario; how long does a stolen car claim take; stolen car recovered after payout; personal items stolen from car</t>
        </is>
      </c>
      <c r="L261" s="36" t="inlineStr">
        <is>
          <t>Nationwide</t>
        </is>
      </c>
      <c r="M261" s="36" t="inlineStr">
        <is>
          <t>informational</t>
        </is>
      </c>
      <c r="N261" s="36" t="inlineStr">
        <is>
          <t>TOFU</t>
        </is>
      </c>
      <c r="O261" s="25" t="inlineStr">
        <is>
          <t>Does Car Insurance Cover Theft? What to Do If It's Stolen</t>
        </is>
      </c>
      <c r="P261" s="36">
        <f>LEN(O261)</f>
        <v/>
      </c>
      <c r="Q261" s="25" t="inlineStr">
        <is>
          <t>Does car insurance cover theft? What comprehensive pays after a car is stolen in Canada, waiting periods and recovered-car rules. See the first steps.</t>
        </is>
      </c>
      <c r="R261" s="36">
        <f>LEN(Q261)</f>
        <v/>
      </c>
      <c r="S261" s="36">
        <f>IF(H261="","",IF(ISNUMBER(SEARCH(SUBSTITUTE(H261,"-"," "),SUBSTITUTE(O261,"-"," "))),"Yes","Check"))</f>
        <v/>
      </c>
      <c r="T261" s="25" t="inlineStr">
        <is>
          <t>Does car insurance cover a stolen car? | Comprehensive vs specified perils for theft | First steps: police report, insurer and lender | Waiting periods and how the payout is set | If your car is recovered | Belongings stolen from the car | Will a theft claim raise your premium?</t>
        </is>
      </c>
      <c r="U261" s="25" t="inlineStr">
        <is>
          <t>Is theft covered without comprehensive coverage? | How long does a stolen car claim take in Ontario? | Are items stolen from my car covered by car insurance? | Do theft claims raise insurance rates?</t>
        </is>
      </c>
      <c r="V261" s="25" t="inlineStr">
        <is>
          <t>Day-by-day timeline of a theft claim, a document checklist, and recovery-rate context from the Équité Association's latest report with its release date.</t>
        </is>
      </c>
      <c r="W261" s="25" t="inlineStr">
        <is>
          <t>/car-insurance/; /guides/most-stolen-cars-canada/; /guides/anti-theft-devices-car-insurance/; /guides/comprehensive-vs-collision-insurance/</t>
        </is>
      </c>
      <c r="X261" s="25" t="inlineStr">
        <is>
          <t>Instant car insurance estimate (/quote/car-insurance/)</t>
        </is>
      </c>
      <c r="Y261" s="36" t="inlineStr">
        <is>
          <t>Article; FAQPage; BreadcrumbList</t>
        </is>
      </c>
      <c r="Z261" s="37" t="n">
        <v>1500</v>
      </c>
      <c r="AA261" s="25" t="inlineStr">
        <is>
          <t>Sonnet publishes theft-statistics posts and Ratehub surveys theft worry; neither walks through a theft claim step by step.</t>
        </is>
      </c>
      <c r="AB261" s="25" t="inlineStr">
        <is>
          <t>Focus keyword in H1, slug, meta title, first 100 words and first H2; the 40-60 word answer names comprehensive (or specified perils with theft) as the coverage. Show the claim timeline as a numbered list, link 'most stolen cars' to the Équité list guide, and cite Équité with the report date. Refresh with each Équité release.</t>
        </is>
      </c>
      <c r="AC261" s="25" t="inlineStr">
        <is>
          <t>Cite Équité figures (2025: national thefts down 18%, about half recovered; verify) with the report date. Waiting periods vary by insurer, so say 'typically' and point to policy wording.</t>
        </is>
      </c>
      <c r="AD261" s="36" t="inlineStr">
        <is>
          <t>Semi-annual</t>
        </is>
      </c>
      <c r="AE261" s="38" t="n"/>
      <c r="AF261" s="38" t="n"/>
      <c r="AG261" s="38" t="n"/>
    </row>
    <row r="262" ht="46.25" customHeight="1" s="22">
      <c r="A262" s="36">
        <f>"B"&amp;TEXT(ROW()-1,"0000")</f>
        <v/>
      </c>
      <c r="B262" s="38" t="inlineStr">
        <is>
          <t>Planned</t>
        </is>
      </c>
      <c r="C262" s="36" t="n">
        <v>2</v>
      </c>
      <c r="D262" s="36" t="inlineStr">
        <is>
          <t>Car insurance</t>
        </is>
      </c>
      <c r="E262" s="36" t="inlineStr">
        <is>
          <t>Claims</t>
        </is>
      </c>
      <c r="F262" s="25" t="inlineStr">
        <is>
          <t>Ontario Fault Determination Rules: Who Is at Fault in Common Crashes</t>
        </is>
      </c>
      <c r="G262" s="36" t="inlineStr">
        <is>
          <t>https://instasure.ca/guides/ontario-fault-determination-rules/</t>
        </is>
      </c>
      <c r="H262" s="36" t="inlineStr">
        <is>
          <t>fault determination rules ontario</t>
        </is>
      </c>
      <c r="I262" s="41">
        <f>IFERROR(INDEX('Nationwide KWs'!$D$2:$D$168,MATCH(H262,'Nationwide KWs'!$A$2:$A$168,0)),IFERROR(INDEX('Provincial KWs'!$E$2:$E$137,MATCH(H262,'Provincial KWs'!$A$2:$A$137,0)),IFERROR(INDEX('City KWs'!$F$2:$F$419,MATCH(H262,'City KWs'!$A$2:$A$419,0)),"")))</f>
        <v/>
      </c>
      <c r="J262" s="36" t="inlineStr">
        <is>
          <t>Low</t>
        </is>
      </c>
      <c r="K262" s="25" t="inlineStr">
        <is>
          <t>is ontario a no fault province; rear end collision fault ontario; 50 50 fault car accident ontario; dispute fault car accident ontario</t>
        </is>
      </c>
      <c r="L262" s="36" t="inlineStr">
        <is>
          <t>Province: Ontario</t>
        </is>
      </c>
      <c r="M262" s="36" t="inlineStr">
        <is>
          <t>informational</t>
        </is>
      </c>
      <c r="N262" s="36" t="inlineStr">
        <is>
          <t>TOFU</t>
        </is>
      </c>
      <c r="O262" s="25" t="inlineStr">
        <is>
          <t>Fault Determination Rules in Ontario: Who Is at Fault?</t>
        </is>
      </c>
      <c r="P262" s="36">
        <f>LEN(O262)</f>
        <v/>
      </c>
      <c r="Q262" s="25" t="inlineStr">
        <is>
          <t>Fault determination rules in Ontario explained with diagrams for rear-end, lane-change and parking-lot crashes, and how to dispute a decision. Read on.</t>
        </is>
      </c>
      <c r="R262" s="36">
        <f>LEN(Q262)</f>
        <v/>
      </c>
      <c r="S262" s="36">
        <f>IF(H262="","",IF(ISNUMBER(SEARCH(SUBSTITUTE(H262,"-"," "),SUBSTITUTE(O262,"-"," "))),"Yes","Check"))</f>
        <v/>
      </c>
      <c r="T262" s="25" t="inlineStr">
        <is>
          <t>How is fault decided in Ontario car accidents? | 'No-fault' insurance vs fault for premiums | Rear-end, lane-change and left-turn rules | Parking lots and multi-car pile-ups | 50/50 fault and your record | How to dispute a fault decision</t>
        </is>
      </c>
      <c r="U262" s="25" t="inlineStr">
        <is>
          <t>Is Ontario a no-fault province? | Who is at fault in a rear-end collision in Ontario? | Can I dispute my insurer's fault decision? | Does a police ticket decide fault?</t>
        </is>
      </c>
      <c r="V262" s="25" t="inlineStr">
        <is>
          <t>Simple diagrams for 10 common crash types, each with the matching rule number from the Fault Determination Rules regulation and the resulting fault percentage.</t>
        </is>
      </c>
      <c r="W262" s="25" t="inlineStr">
        <is>
          <t>/car-insurance/ontario/; /guides/direct-compensation-property-damage-dcpd/; /guides/car-insurance-after-accident/; /guides/car-insurance-claim-denied-complaints/</t>
        </is>
      </c>
      <c r="X262" s="25" t="inlineStr">
        <is>
          <t>Instant car insurance estimate (/quote/car-insurance/)</t>
        </is>
      </c>
      <c r="Y262" s="36" t="inlineStr">
        <is>
          <t>Article; FAQPage; BreadcrumbList</t>
        </is>
      </c>
      <c r="Z262" s="37" t="n">
        <v>1800</v>
      </c>
      <c r="AA262" s="25" t="inlineStr">
        <is>
          <t>No competitor coverage seen among the six competitors; brokers and law firms cover it in text only.</t>
        </is>
      </c>
      <c r="AB262" s="25" t="inlineStr">
        <is>
          <t>Focus keyword in H1, slug, meta title, first 100 words and first H2; the 40-60 word answer explains that a regulation assigns fault percentages and that 'no-fault' refers to who pays benefits. Use one diagram per scenario (alt: 'Ontario fault rule for a rear-end collision'), and link 'DCPD' to its guide. Update when the regulation changes.</t>
        </is>
      </c>
      <c r="AC262" s="25" t="inlineStr">
        <is>
          <t>Cite the Fault Determination Rules (R.R.O. 1990, Reg. 668 under Ontario's Insurance Act) with rule numbers verified on e-Laws. Give no legal advice and point to the dispute process.</t>
        </is>
      </c>
      <c r="AD262" s="36" t="inlineStr">
        <is>
          <t>On rule change</t>
        </is>
      </c>
      <c r="AE262" s="38" t="n"/>
      <c r="AF262" s="38" t="n"/>
      <c r="AG262" s="38" t="n"/>
    </row>
    <row r="263" ht="46.25" customHeight="1" s="22">
      <c r="A263" s="36">
        <f>"B"&amp;TEXT(ROW()-1,"0000")</f>
        <v/>
      </c>
      <c r="B263" s="38" t="inlineStr">
        <is>
          <t>Planned</t>
        </is>
      </c>
      <c r="C263" s="36" t="n">
        <v>2</v>
      </c>
      <c r="D263" s="36" t="inlineStr">
        <is>
          <t>Car insurance</t>
        </is>
      </c>
      <c r="E263" s="36" t="inlineStr">
        <is>
          <t>Cost &amp; pricing</t>
        </is>
      </c>
      <c r="F263" s="25" t="inlineStr">
        <is>
          <t>Car Insurance Cost by Age in Ontario: From G2 to 80+</t>
        </is>
      </c>
      <c r="G263" s="36" t="inlineStr">
        <is>
          <t>https://instasure.ca/guides/car-insurance-cost-by-age-ontario/</t>
        </is>
      </c>
      <c r="H263" s="36" t="inlineStr">
        <is>
          <t>average car insurance cost ontario by age</t>
        </is>
      </c>
      <c r="I263" s="41">
        <f>IFERROR(INDEX('Nationwide KWs'!$D$2:$D$168,MATCH(H263,'Nationwide KWs'!$A$2:$A$168,0)),IFERROR(INDEX('Provincial KWs'!$E$2:$E$137,MATCH(H263,'Provincial KWs'!$A$2:$A$137,0)),IFERROR(INDEX('City KWs'!$F$2:$F$419,MATCH(H263,'City KWs'!$A$2:$A$419,0)),"")))</f>
        <v/>
      </c>
      <c r="J263" s="36" t="inlineStr">
        <is>
          <t>Medium</t>
        </is>
      </c>
      <c r="K263" s="25" t="inlineStr">
        <is>
          <t>car insurance cost for 18 year old ontario; car insurance for 25 year old ontario; when does car insurance go down; senior car insurance ontario cost</t>
        </is>
      </c>
      <c r="L263" s="36" t="inlineStr">
        <is>
          <t>Province: Ontario</t>
        </is>
      </c>
      <c r="M263" s="36" t="inlineStr">
        <is>
          <t>informational</t>
        </is>
      </c>
      <c r="N263" s="36" t="inlineStr">
        <is>
          <t>TOFU</t>
        </is>
      </c>
      <c r="O263" s="25" t="inlineStr">
        <is>
          <t>Average Car Insurance Cost in Ontario by Age (Dated Table)</t>
        </is>
      </c>
      <c r="P263" s="36">
        <f>LEN(O263)</f>
        <v/>
      </c>
      <c r="Q263" s="25" t="inlineStr">
        <is>
          <t>Average car insurance cost in Ontario by age, from G2 drivers to drivers over 80, with one stated profile and ways each age group can save. Estimate yours.</t>
        </is>
      </c>
      <c r="R263" s="36">
        <f>LEN(Q263)</f>
        <v/>
      </c>
      <c r="S263" s="36">
        <f>IF(H263="","",IF(ISNUMBER(SEARCH(SUBSTITUTE(H263,"-"," "),SUBSTITUTE(O263,"-"," "))),"Yes","Check"))</f>
        <v/>
      </c>
      <c r="T263" s="25" t="inlineStr">
        <is>
          <t>How much does car insurance cost by age in Ontario? | Example premiums by age band (dated table) | Why rates fall after 25 and can rise again later | Years licensed vs age: which matters more | Ways each age group can lower its premium | Get an estimate for your age and postal code</t>
        </is>
      </c>
      <c r="U263" s="25" t="inlineStr">
        <is>
          <t>At what age does car insurance go down in Ontario? | How much is car insurance for an 18-year-old in Ontario? | Do seniors pay more for car insurance in Ontario? | Does adding a parent as principal driver lower the cost?</t>
        </is>
      </c>
      <c r="V263" s="25" t="inlineStr">
        <is>
          <t>Age-band table (16-19, 20-24, 25-34, 35-54, 55-69, 70-79, 80+) for one stated profile in Toronto, Ottawa and London, labelled as Instasure modelled estimates with an 'as of' month, plus a years-licensed vs age comparison.</t>
        </is>
      </c>
      <c r="W263" s="25" t="inlineStr">
        <is>
          <t>/car-insurance/ontario/; /car-insurance/new-drivers/; /car-insurance/senior-drivers/; /guides/g1-g2-car-insurance-ontario/</t>
        </is>
      </c>
      <c r="X263" s="25" t="inlineStr">
        <is>
          <t>Instant car insurance estimate (/quote/car-insurance/)</t>
        </is>
      </c>
      <c r="Y263" s="36" t="inlineStr">
        <is>
          <t>Article; FAQPage; BreadcrumbList</t>
        </is>
      </c>
      <c r="Z263" s="37" t="n">
        <v>1700</v>
      </c>
      <c r="AA263" s="25" t="inlineStr">
        <is>
          <t>Ratehub runs 'The Average Cost of Car Insurance in Ontario by Age' as a blog post, and Ottawa SERP snippets show only three age bands. No one shows age bands across several cities with a stated profile and date.</t>
        </is>
      </c>
      <c r="AB263" s="25" t="inlineStr">
        <is>
          <t>Focus keyword in H1, slug, meta title, first 100 words and first H2; answer in 40-60 words with the age at which premiums usually ease and the profile used. Put the age table directly under the answer, link 'new drivers' and 'senior drivers' to the service pages, and add a line chart (alt: 'Ontario car insurance estimate by driver age'). Refresh twice a year with a licensed reviewer.</t>
        </is>
      </c>
      <c r="AC263" s="25" t="inlineStr">
        <is>
          <t>Age-band figures must come from the Instasure model or a cited source, with profile and date stated. Confirm with FSRA how age may be used in Ontario rating and avoid fixed 'you will pay $X' wording.</t>
        </is>
      </c>
      <c r="AD263" s="36" t="inlineStr">
        <is>
          <t>Semi-annual</t>
        </is>
      </c>
      <c r="AE263" s="38" t="n"/>
      <c r="AF263" s="38" t="n"/>
      <c r="AG263" s="38" t="n"/>
    </row>
    <row r="264" ht="46.25" customHeight="1" s="22">
      <c r="A264" s="36">
        <f>"B"&amp;TEXT(ROW()-1,"0000")</f>
        <v/>
      </c>
      <c r="B264" s="38" t="inlineStr">
        <is>
          <t>Planned</t>
        </is>
      </c>
      <c r="C264" s="36" t="n">
        <v>2</v>
      </c>
      <c r="D264" s="36" t="inlineStr">
        <is>
          <t>Car insurance</t>
        </is>
      </c>
      <c r="E264" s="36" t="inlineStr">
        <is>
          <t>Cost &amp; pricing</t>
        </is>
      </c>
      <c r="F264" s="25" t="inlineStr">
        <is>
          <t>Car Insurance Discounts in Canada: A Complete Checklist</t>
        </is>
      </c>
      <c r="G264" s="36" t="inlineStr">
        <is>
          <t>https://instasure.ca/guides/car-insurance-discounts-canada/</t>
        </is>
      </c>
      <c r="H264" s="36" t="inlineStr">
        <is>
          <t>car insurance discounts</t>
        </is>
      </c>
      <c r="I264" s="41">
        <f>IFERROR(INDEX('Nationwide KWs'!$D$2:$D$168,MATCH(H264,'Nationwide KWs'!$A$2:$A$168,0)),IFERROR(INDEX('Provincial KWs'!$E$2:$E$137,MATCH(H264,'Provincial KWs'!$A$2:$A$137,0)),IFERROR(INDEX('City KWs'!$F$2:$F$419,MATCH(H264,'City KWs'!$A$2:$A$419,0)),"")))</f>
        <v/>
      </c>
      <c r="J264" s="36" t="inlineStr">
        <is>
          <t>Medium</t>
        </is>
      </c>
      <c r="K264" s="25" t="inlineStr">
        <is>
          <t>car insurance discounts ontario; multi vehicle discount; winter tire discount; alumni car insurance discount; how to lower car insurance</t>
        </is>
      </c>
      <c r="L264" s="36" t="inlineStr">
        <is>
          <t>Nationwide</t>
        </is>
      </c>
      <c r="M264" s="36" t="inlineStr">
        <is>
          <t>commercial</t>
        </is>
      </c>
      <c r="N264" s="36" t="inlineStr">
        <is>
          <t>MOFU</t>
        </is>
      </c>
      <c r="O264" s="25" t="inlineStr">
        <is>
          <t>Car Insurance Discounts in Canada: The Complete Checklist</t>
        </is>
      </c>
      <c r="P264" s="36">
        <f>LEN(O264)</f>
        <v/>
      </c>
      <c r="Q264" s="25" t="inlineStr">
        <is>
          <t>Use our car insurance discounts checklist: every common discount in Canada, who qualifies, which are province-specific and how to ask for them. Start here.</t>
        </is>
      </c>
      <c r="R264" s="36">
        <f>LEN(Q264)</f>
        <v/>
      </c>
      <c r="S264" s="36">
        <f>IF(H264="","",IF(ISNUMBER(SEARCH(SUBSTITUTE(H264,"-"," "),SUBSTITUTE(O264,"-"," "))),"Yes","Check"))</f>
        <v/>
      </c>
      <c r="T264" s="25" t="inlineStr">
        <is>
          <t>Which car insurance discounts can you get in Canada? | Driver discounts: claims-free, training and retiree | Vehicle discounts: winter tires, anti-theft and multi-vehicle | Policy discounts: bundling, annual payment and loyalty | Group and affinity discounts | Usage-based and low-mileage discounts | How to ask for discounts at renewal</t>
        </is>
      </c>
      <c r="U264" s="25" t="inlineStr">
        <is>
          <t>Are winter tire discounts mandatory in Ontario? | Does bundling home and auto always save money? | Can I get a discount for a driver training course? | Do insurers give discounts for working from home?</t>
        </is>
      </c>
      <c r="V264" s="25" t="inlineStr">
        <is>
          <t>Printable checklist of 20+ discount types with columns for eligibility, province availability (e.g. Ontario's winter tire rule) and documents to provide, plus a short script for asking your insurer at renewal.</t>
        </is>
      </c>
      <c r="W264" s="25" t="inlineStr">
        <is>
          <t>/car-insurance/; /car-insurance/home-and-auto-bundle/; /guides/winter-tire-insurance-discount/; /guides/usage-based-car-insurance-canada/; /guides/car-insurance-renewal-checklist/</t>
        </is>
      </c>
      <c r="X264" s="25" t="inlineStr">
        <is>
          <t>Instant car insurance estimate (/quote/car-insurance/)</t>
        </is>
      </c>
      <c r="Y264" s="36" t="inlineStr">
        <is>
          <t>Article; FAQPage; BreadcrumbList</t>
        </is>
      </c>
      <c r="Z264" s="37" t="n">
        <v>1800</v>
      </c>
      <c r="AA264" s="25" t="inlineStr">
        <is>
          <t>Ratehub ('15 ways to get cheap car insurance', a survey on missed discounts) and Rates.ca ('20 ways to get cheaper auto insurance') cover savings tips; neither publishes an eligibility-by-province checklist. Our existing 'why is my car insurance going up' guide covers savings tips only briefly.</t>
        </is>
      </c>
      <c r="AB264" s="25" t="inlineStr">
        <is>
          <t>Focus keyword in H1, slug, meta title, first 100 words and first H2; the 40-60 word answer names the five discount families. Format the checklist as a table plus a downloadable PDF, link 'bundling' to the bundle page with 'home and auto bundle' anchor, and link the winter tire and usage-based guides. Review annually with insurer discount pages as sources.</t>
        </is>
      </c>
      <c r="AC264" s="25" t="inlineStr">
        <is>
          <t>Do not quote discount percentages unless dated and sourced to an insurer or filing; confirm Ontario's winter tire discount rule with FSRA. Avoid implying any discount is offered by every insurer.</t>
        </is>
      </c>
      <c r="AD264" s="36" t="inlineStr">
        <is>
          <t>Annual</t>
        </is>
      </c>
      <c r="AE264" s="38" t="n"/>
      <c r="AF264" s="38" t="n"/>
      <c r="AG264" s="38" t="n"/>
    </row>
    <row r="265" ht="46.25" customHeight="1" s="22">
      <c r="A265" s="36">
        <f>"B"&amp;TEXT(ROW()-1,"0000")</f>
        <v/>
      </c>
      <c r="B265" s="38" t="inlineStr">
        <is>
          <t>Planned</t>
        </is>
      </c>
      <c r="C265" s="36" t="n">
        <v>2</v>
      </c>
      <c r="D265" s="36" t="inlineStr">
        <is>
          <t>Car insurance</t>
        </is>
      </c>
      <c r="E265" s="36" t="inlineStr">
        <is>
          <t>Cost &amp; pricing</t>
        </is>
      </c>
      <c r="F265" s="25" t="inlineStr">
        <is>
          <t>Cheapest Cars to Insure in Canada, and the Most Expensive</t>
        </is>
      </c>
      <c r="G265" s="36" t="inlineStr">
        <is>
          <t>https://instasure.ca/guides/cheapest-cars-to-insure-canada/</t>
        </is>
      </c>
      <c r="H265" s="36" t="inlineStr">
        <is>
          <t>cheapest cars to insure canada</t>
        </is>
      </c>
      <c r="I265" s="41">
        <f>IFERROR(INDEX('Nationwide KWs'!$D$2:$D$168,MATCH(H265,'Nationwide KWs'!$A$2:$A$168,0)),IFERROR(INDEX('Provincial KWs'!$E$2:$E$137,MATCH(H265,'Provincial KWs'!$A$2:$A$137,0)),IFERROR(INDEX('City KWs'!$F$2:$F$419,MATCH(H265,'City KWs'!$A$2:$A$419,0)),"")))</f>
        <v/>
      </c>
      <c r="J265" s="36" t="inlineStr">
        <is>
          <t>Medium</t>
        </is>
      </c>
      <c r="K265" s="25" t="inlineStr">
        <is>
          <t>cheapest car to insure for new drivers; most expensive cars to insure canada; car insurance by car model; cheapest suv to insure canada</t>
        </is>
      </c>
      <c r="L265" s="36" t="inlineStr">
        <is>
          <t>Nationwide</t>
        </is>
      </c>
      <c r="M265" s="36" t="inlineStr">
        <is>
          <t>commercial</t>
        </is>
      </c>
      <c r="N265" s="36" t="inlineStr">
        <is>
          <t>MOFU</t>
        </is>
      </c>
      <c r="O265" s="25" t="inlineStr">
        <is>
          <t>Cheapest Cars to Insure in Canada: Models Compared</t>
        </is>
      </c>
      <c r="P265" s="36">
        <f>LEN(O265)</f>
        <v/>
      </c>
      <c r="Q265" s="25" t="inlineStr">
        <is>
          <t>See the cheapest cars to insure in Canada and the costliest for one driver profile, and why theft and repair costs drive the gap. Check before you buy.</t>
        </is>
      </c>
      <c r="R265" s="36">
        <f>LEN(Q265)</f>
        <v/>
      </c>
      <c r="S265" s="36">
        <f>IF(H265="","",IF(ISNUMBER(SEARCH(SUBSTITUTE(H265,"-"," "),SUBSTITUTE(O265,"-"," "))),"Yes","Check"))</f>
        <v/>
      </c>
      <c r="T265" s="25" t="inlineStr">
        <is>
          <t>Which cars are cheapest to insure in Canada? | Lowest and highest estimates by model (dated table) | Why theft, repair cost and safety ratings matter | Good picks for new and young drivers | Models insurers may surcharge or require trackers on | How to check insurance before you buy</t>
        </is>
      </c>
      <c r="U265" s="25" t="inlineStr">
        <is>
          <t>What is the cheapest car to insure for a new driver in Canada? | Are SUVs more expensive to insure than sedans? | Why is my Honda CR-V so expensive to insure? | Does a used car cost less to insure than a new one?</t>
        </is>
      </c>
      <c r="V265" s="25" t="inlineStr">
        <is>
          <t>Model table (sedans, SUVs, pickups, EVs) with estimate ranges for one stated profile in Toronto and Calgary, plus columns for Équité theft-list status and repair-cost tier, labelled as modelled estimates with an 'as of' month.</t>
        </is>
      </c>
      <c r="W265" s="25" t="inlineStr">
        <is>
          <t>/car-insurance/; /car-insurance/new-drivers/; /guides/most-stolen-cars-canada/; /guides/insurance-for-a-new-car-canada/</t>
        </is>
      </c>
      <c r="X265" s="25" t="inlineStr">
        <is>
          <t>Instant car insurance estimate (/quote/car-insurance/)</t>
        </is>
      </c>
      <c r="Y265" s="36" t="inlineStr">
        <is>
          <t>Article; FAQPage; BreadcrumbList</t>
        </is>
      </c>
      <c r="Z265" s="37" t="n">
        <v>2000</v>
      </c>
      <c r="AA265" s="25" t="inlineStr">
        <is>
          <t>Ratehub has '10 cheapest used cars to insure' and five brand pages with model tables (35-year-old male, Toronto); Rates.ca lists the topic in its guide hub but no URL was seen. No one adds theft-list status or a second province.</t>
        </is>
      </c>
      <c r="AB265" s="25" t="inlineStr">
        <is>
          <t>Focus keyword in H1, slug, meta title, first 100 words and first H2; answer with the three lowest-estimate models and the profile in 40-60 words. Use a sortable table with clear labels, link 'theft list' to the most-stolen guide and 'new drivers' to the service page, and add model images with alt text such as 'Honda Civic insurance estimate Toronto'. Refresh twice a year.</t>
        </is>
      </c>
      <c r="AC265" s="25" t="inlineStr">
        <is>
          <t>Model-level figures need a stated profile, city, date and source; cite the Équité Association for theft-list status. Frame results as 'lowest estimates for this profile', never as the cheapest available price.</t>
        </is>
      </c>
      <c r="AD265" s="36" t="inlineStr">
        <is>
          <t>Semi-annual</t>
        </is>
      </c>
      <c r="AE265" s="38" t="n"/>
      <c r="AF265" s="38" t="n"/>
      <c r="AG265" s="38" t="n"/>
    </row>
    <row r="266" ht="46.25" customHeight="1" s="22">
      <c r="A266" s="36">
        <f>"B"&amp;TEXT(ROW()-1,"0000")</f>
        <v/>
      </c>
      <c r="B266" s="38" t="inlineStr">
        <is>
          <t>Planned</t>
        </is>
      </c>
      <c r="C266" s="36" t="n">
        <v>2</v>
      </c>
      <c r="D266" s="36" t="inlineStr">
        <is>
          <t>Car insurance</t>
        </is>
      </c>
      <c r="E266" s="36" t="inlineStr">
        <is>
          <t>Cost &amp; pricing</t>
        </is>
      </c>
      <c r="F266" s="25" t="inlineStr">
        <is>
          <t>Why Is Car Insurance So Expensive in Ontario?</t>
        </is>
      </c>
      <c r="G266" s="36" t="inlineStr">
        <is>
          <t>https://instasure.ca/guides/why-is-car-insurance-so-expensive-in-ontario/</t>
        </is>
      </c>
      <c r="H266" s="36" t="inlineStr">
        <is>
          <t>why is car insurance so expensive in ontario</t>
        </is>
      </c>
      <c r="I266" s="41">
        <f>IFERROR(INDEX('Nationwide KWs'!$D$2:$D$168,MATCH(H266,'Nationwide KWs'!$A$2:$A$168,0)),IFERROR(INDEX('Provincial KWs'!$E$2:$E$137,MATCH(H266,'Provincial KWs'!$A$2:$A$137,0)),IFERROR(INDEX('City KWs'!$F$2:$F$419,MATCH(H266,'City KWs'!$A$2:$A$419,0)),"")))</f>
        <v/>
      </c>
      <c r="J266" s="36" t="inlineStr">
        <is>
          <t>Medium</t>
        </is>
      </c>
      <c r="K266" s="25" t="inlineStr">
        <is>
          <t>why is car insurance so high in ontario; ontario car insurance most expensive; why is car insurance in toronto so expensive; gta car insurance cost</t>
        </is>
      </c>
      <c r="L266" s="36" t="inlineStr">
        <is>
          <t>Province: Ontario</t>
        </is>
      </c>
      <c r="M266" s="36" t="inlineStr">
        <is>
          <t>informational</t>
        </is>
      </c>
      <c r="N266" s="36" t="inlineStr">
        <is>
          <t>TOFU</t>
        </is>
      </c>
      <c r="O266" s="25" t="inlineStr">
        <is>
          <t>Why Is Car Insurance So Expensive in Ontario? Real Causes</t>
        </is>
      </c>
      <c r="P266" s="36">
        <f>LEN(O266)</f>
        <v/>
      </c>
      <c r="Q266" s="25" t="inlineStr">
        <is>
          <t>Why is car insurance so expensive in Ontario? Injury costs, theft, fraud, repairs and GTA density explained with dated sources. See what you can control.</t>
        </is>
      </c>
      <c r="R266" s="36">
        <f>LEN(Q266)</f>
        <v/>
      </c>
      <c r="S266" s="36">
        <f>IF(H266="","",IF(ISNUMBER(SEARCH(SUBSTITUTE(H266,"-"," "),SUBSTITUTE(O266,"-"," "))),"Yes","Check"))</f>
        <v/>
      </c>
      <c r="T266" s="25" t="inlineStr">
        <is>
          <t>Why is Ontario car insurance so expensive? The short answer | Injury and accident-benefit costs | Vehicle theft and fraud in the GTA | Repair and parts inflation | Density, traffic and claims frequency | What the July 2026 reform changes and doesn't | What you can control</t>
        </is>
      </c>
      <c r="U266" s="25" t="inlineStr">
        <is>
          <t>Is Ontario the most expensive province for car insurance? | Why is car insurance in Brampton higher than in Ottawa? | Did the 2026 reform lower Ontario premiums? | Will Ontario car insurance go down?</t>
        </is>
      </c>
      <c r="V266" s="25" t="inlineStr">
        <is>
          <t>Cause-by-cause breakdown with one dated source per cause (FSRA, IBC, Équité, Applied Rating Index), a GTA vs rest-of-Ontario estimate table and a 'what you control' checklist.</t>
        </is>
      </c>
      <c r="W266" s="25" t="inlineStr">
        <is>
          <t>/car-insurance/ontario/; /car-insurance/ontario/toronto/; /guides/ontario-auto-insurance-changes-july-2026/; /guides/why-is-my-car-insurance-going-up-2026/; /guides/why-is-car-insurance-so-expensive-in-brampton/</t>
        </is>
      </c>
      <c r="X266" s="25" t="inlineStr">
        <is>
          <t>Instant car insurance estimate (/quote/car-insurance/)</t>
        </is>
      </c>
      <c r="Y266" s="36" t="inlineStr">
        <is>
          <t>Article; FAQPage; BreadcrumbList</t>
        </is>
      </c>
      <c r="Z266" s="37" t="n">
        <v>1800</v>
      </c>
      <c r="AA266" s="25" t="inlineStr">
        <is>
          <t>Ratehub has 'Why is car insurance in Toronto so expensive?' and Rates.ca tracks rate filings; none explains the structural causes province-wide with a dated source per cause. Distinct from our renewal-focused 'why is my car insurance going up' guide.</t>
        </is>
      </c>
      <c r="AB266" s="25" t="inlineStr">
        <is>
          <t>Focus keyword in H1, slug, meta title, first 100 words and first H2; the 40-60 word answer names the top three structural causes with one dated figure. Use one H3 per cause with a cited stat, add a GTA vs rest-of-Ontario table, and link 'July 2026 reform' to the changes guide. Reviewed annually by a licensed advisor.</t>
        </is>
      </c>
      <c r="AC266" s="25" t="inlineStr">
        <is>
          <t>Verify each cause's figure against FSRA, IBC, Équité and Applied releases and show dates. Avoid blaming communities or groups for fraud, and do not predict future rate decreases.</t>
        </is>
      </c>
      <c r="AD266" s="36" t="inlineStr">
        <is>
          <t>Annual</t>
        </is>
      </c>
      <c r="AE266" s="38" t="n"/>
      <c r="AF266" s="38" t="n"/>
      <c r="AG266" s="38" t="n"/>
    </row>
    <row r="267" ht="46.25" customHeight="1" s="22">
      <c r="A267" s="36">
        <f>"B"&amp;TEXT(ROW()-1,"0000")</f>
        <v/>
      </c>
      <c r="B267" s="38" t="inlineStr">
        <is>
          <t>Planned</t>
        </is>
      </c>
      <c r="C267" s="36" t="n">
        <v>2</v>
      </c>
      <c r="D267" s="36" t="inlineStr">
        <is>
          <t>Car insurance</t>
        </is>
      </c>
      <c r="E267" s="36" t="inlineStr">
        <is>
          <t>Cost &amp; pricing</t>
        </is>
      </c>
      <c r="F267" s="25" t="inlineStr">
        <is>
          <t>Why Your Postal Code Changes Your Car Insurance Rate</t>
        </is>
      </c>
      <c r="G267" s="36" t="inlineStr">
        <is>
          <t>https://instasure.ca/guides/car-insurance-by-postal-code/</t>
        </is>
      </c>
      <c r="H267" s="36" t="inlineStr">
        <is>
          <t>car insurance by postal code</t>
        </is>
      </c>
      <c r="I267" s="41">
        <f>IFERROR(INDEX('Nationwide KWs'!$D$2:$D$168,MATCH(H267,'Nationwide KWs'!$A$2:$A$168,0)),IFERROR(INDEX('Provincial KWs'!$E$2:$E$137,MATCH(H267,'Provincial KWs'!$A$2:$A$137,0)),IFERROR(INDEX('City KWs'!$F$2:$F$419,MATCH(H267,'City KWs'!$A$2:$A$419,0)),"")))</f>
        <v/>
      </c>
      <c r="J267" s="36" t="inlineStr">
        <is>
          <t>Low</t>
        </is>
      </c>
      <c r="K267" s="25" t="inlineStr">
        <is>
          <t>car insurance rates by postal code ontario; fsa car insurance; why is car insurance higher in my area; car insurance territory rating</t>
        </is>
      </c>
      <c r="L267" s="36" t="inlineStr">
        <is>
          <t>Nationwide</t>
        </is>
      </c>
      <c r="M267" s="36" t="inlineStr">
        <is>
          <t>informational</t>
        </is>
      </c>
      <c r="N267" s="36" t="inlineStr">
        <is>
          <t>TOFU</t>
        </is>
      </c>
      <c r="O267" s="25" t="inlineStr">
        <is>
          <t>Car Insurance by Postal Code: Why Your Area Changes Rates</t>
        </is>
      </c>
      <c r="P267" s="36">
        <f>LEN(O267)</f>
        <v/>
      </c>
      <c r="Q267" s="25" t="inlineStr">
        <is>
          <t>Car insurance by postal code explained: how insurers rate your FSA, why rates differ within one city and what to check before you move. Get an estimate.</t>
        </is>
      </c>
      <c r="R267" s="36">
        <f>LEN(Q267)</f>
        <v/>
      </c>
      <c r="S267" s="36">
        <f>IF(H267="","",IF(ISNUMBER(SEARCH(SUBSTITUTE(H267,"-"," "),SUBSTITUTE(O267,"-"," "))),"Yes","Check"))</f>
        <v/>
      </c>
      <c r="T267" s="25" t="inlineStr">
        <is>
          <t>How does your postal code affect car insurance? | What an FSA is and how insurers use rating territories | Claims, theft and traffic data behind area rates | Same driver, different FSAs (example table) | Garaging address rules and why misstating them backfires | Moving soon? What to check before you sign a lease</t>
        </is>
      </c>
      <c r="U267" s="25" t="inlineStr">
        <is>
          <t>Why is car insurance so different across the same city? | Can I use my parents' address to get cheaper insurance? | Does parking in a garage lower my rate? | Do all insurers rate the same postal codes the same way?</t>
        </is>
      </c>
      <c r="V267" s="25" t="inlineStr">
        <is>
          <t>FSA comparison table for Brampton, Mississauga, Ottawa and Hamilton built from the public figures seen in SERP snippets (L6P, L5K/L4T, K1S/K1K, L9H/L8K) with sources, replaced by Instasure medians once each FSA has 25+ requests.</t>
        </is>
      </c>
      <c r="W267" s="25" t="inlineStr">
        <is>
          <t>/car-insurance/ontario/; /car-insurance/ontario/brampton/; /car-insurance/ontario/mississauga/; /insights/rate-index/; /guides/toronto-neighbourhoods-car-insurance-rates/</t>
        </is>
      </c>
      <c r="X267" s="25" t="inlineStr">
        <is>
          <t>Instant car insurance estimate (/quote/car-insurance/)</t>
        </is>
      </c>
      <c r="Y267" s="36" t="inlineStr">
        <is>
          <t>Article; FAQPage; BreadcrumbList</t>
        </is>
      </c>
      <c r="Z267" s="37" t="n">
        <v>1600</v>
      </c>
      <c r="AA267" s="25" t="inlineStr">
        <is>
          <t>Rates.ca puts FSA tables on Ontario city pages and runs an Insuramap; no competitor explains how territory rating works or warns about garaging-address misrepresentation.</t>
        </is>
      </c>
      <c r="AB267" s="25" t="inlineStr">
        <is>
          <t>Focus keyword in H1, slug, meta title, first 100 words and first H2; the 40-60 word answer defines an FSA and says why two streets can price differently. Put the FSA table mid-page with a map graphic (alt: 'car insurance estimate by postal code FSA'), and link each city name to its city page with 'car insurance in {City}' anchors. Refresh twice a year from Rate Index data.</t>
        </is>
      </c>
      <c r="AC267" s="25" t="inlineStr">
        <is>
          <t>FSA figures seen in competitor snippets must be re-verified at source or replaced with dated Instasure data. State plainly that a false garaging address is misrepresentation that can void coverage.</t>
        </is>
      </c>
      <c r="AD267" s="36" t="inlineStr">
        <is>
          <t>Semi-annual</t>
        </is>
      </c>
      <c r="AE267" s="38" t="n"/>
      <c r="AF267" s="38" t="n"/>
      <c r="AG267" s="38" t="n"/>
    </row>
    <row r="268" ht="35.05" customHeight="1" s="22">
      <c r="A268" s="36">
        <f>"B"&amp;TEXT(ROW()-1,"0000")</f>
        <v/>
      </c>
      <c r="B268" s="38" t="inlineStr">
        <is>
          <t>Planned</t>
        </is>
      </c>
      <c r="C268" s="36" t="n">
        <v>2</v>
      </c>
      <c r="D268" s="36" t="inlineStr">
        <is>
          <t>Car insurance</t>
        </is>
      </c>
      <c r="E268" s="36" t="inlineStr">
        <is>
          <t>Coverage explained</t>
        </is>
      </c>
      <c r="F268" s="25" t="inlineStr">
        <is>
          <t>Comprehensive vs Collision Insurance: What Each Covers</t>
        </is>
      </c>
      <c r="G268" s="36" t="inlineStr">
        <is>
          <t>https://instasure.ca/guides/comprehensive-vs-collision-insurance/</t>
        </is>
      </c>
      <c r="H268" s="36" t="inlineStr">
        <is>
          <t>comprehensive vs collision insurance</t>
        </is>
      </c>
      <c r="I268" s="41">
        <f>IFERROR(INDEX('Nationwide KWs'!$D$2:$D$168,MATCH(H268,'Nationwide KWs'!$A$2:$A$168,0)),IFERROR(INDEX('Provincial KWs'!$E$2:$E$137,MATCH(H268,'Provincial KWs'!$A$2:$A$137,0)),IFERROR(INDEX('City KWs'!$F$2:$F$419,MATCH(H268,'City KWs'!$A$2:$A$419,0)),"")))</f>
        <v/>
      </c>
      <c r="J268" s="36" t="inlineStr">
        <is>
          <t>Medium</t>
        </is>
      </c>
      <c r="K268" s="25" t="inlineStr">
        <is>
          <t>what does comprehensive car insurance cover; collision insurance canada; all perils car insurance; specified perils vs comprehensive; do i need collision on an old car</t>
        </is>
      </c>
      <c r="L268" s="36" t="inlineStr">
        <is>
          <t>Nationwide</t>
        </is>
      </c>
      <c r="M268" s="36" t="inlineStr">
        <is>
          <t>informational</t>
        </is>
      </c>
      <c r="N268" s="36" t="inlineStr">
        <is>
          <t>TOFU</t>
        </is>
      </c>
      <c r="O268" s="25" t="inlineStr">
        <is>
          <t>Comprehensive vs Collision Insurance: What Each Covers</t>
        </is>
      </c>
      <c r="P268" s="36">
        <f>LEN(O268)</f>
        <v/>
      </c>
      <c r="Q268" s="25" t="inlineStr">
        <is>
          <t>Comprehensive vs collision insurance explained: what each pays for, all perils vs specified perils, deductibles and when dropping one makes sense. Compare.</t>
        </is>
      </c>
      <c r="R268" s="36">
        <f>LEN(Q268)</f>
        <v/>
      </c>
      <c r="S268" s="36">
        <f>IF(H268="","",IF(ISNUMBER(SEARCH(SUBSTITUTE(H268,"-"," "),SUBSTITUTE(O268,"-"," "))),"Yes","Check"))</f>
        <v/>
      </c>
      <c r="T268" s="25" t="inlineStr">
        <is>
          <t>What is the difference between comprehensive and collision? | What collision covers | What comprehensive covers: theft, hail, fire and animals | All perils and specified perils explained | When it can make sense to drop collision | How deductibles change the cost</t>
        </is>
      </c>
      <c r="U268" s="25" t="inlineStr">
        <is>
          <t>Does comprehensive cover hitting a deer? | Is hail damage covered by collision or comprehensive? | Should I drop collision on a paid-off car? | Is comprehensive required by my lender?</t>
        </is>
      </c>
      <c r="V268" s="25" t="inlineStr">
        <is>
          <t>Side-by-side table of 15 common losses (theft, hail, deer, pothole, vandalism, flood) marked collision, comprehensive, all perils or not covered, plus a 'drop collision?' decision rule based on car value and deductible.</t>
        </is>
      </c>
      <c r="W268" s="25" t="inlineStr">
        <is>
          <t>/car-insurance/; /glossary/; /guides/calgary-hail-insurance-guide/; /guides/car-stolen-does-insurance-cover-theft/</t>
        </is>
      </c>
      <c r="X268" s="25" t="inlineStr">
        <is>
          <t>Instant car insurance estimate (/quote/car-insurance/)</t>
        </is>
      </c>
      <c r="Y268" s="36" t="inlineStr">
        <is>
          <t>Article; FAQPage; BreadcrumbList</t>
        </is>
      </c>
      <c r="Z268" s="37" t="n">
        <v>1500</v>
      </c>
      <c r="AA268" s="25" t="inlineStr">
        <is>
          <t>Rates.ca has separate comprehensive and collision quote pages, and the keyword map lists this as a planned guide; no competitor gives a loss-by-loss coverage table.</t>
        </is>
      </c>
      <c r="AB268" s="25" t="inlineStr">
        <is>
          <t>Focus keyword in H1, slug, meta title, first 100 words and first H2; answer in 40-60 words with one sentence per coverage. Put the 15-loss table second, link 'hail' to the Calgary hail guide and 'theft' to the theft guide, and add a glossary link for 'specified perils'. Review annually.</t>
        </is>
      </c>
      <c r="AC268" s="25" t="inlineStr">
        <is>
          <t>Coverage descriptions must match standard policy wordings (Ontario OAP 1 and provincial equivalents) and note that insurer wordings vary. Do not tell readers to drop coverage; frame it as questions for an advisor.</t>
        </is>
      </c>
      <c r="AD268" s="36" t="inlineStr">
        <is>
          <t>Annual</t>
        </is>
      </c>
      <c r="AE268" s="38" t="n"/>
      <c r="AF268" s="38" t="n"/>
      <c r="AG268" s="38" t="n"/>
    </row>
    <row r="269" ht="35.05" customHeight="1" s="22">
      <c r="A269" s="36">
        <f>"B"&amp;TEXT(ROW()-1,"0000")</f>
        <v/>
      </c>
      <c r="B269" s="38" t="inlineStr">
        <is>
          <t>Planned</t>
        </is>
      </c>
      <c r="C269" s="36" t="n">
        <v>2</v>
      </c>
      <c r="D269" s="36" t="inlineStr">
        <is>
          <t>Car insurance</t>
        </is>
      </c>
      <c r="E269" s="36" t="inlineStr">
        <is>
          <t>Coverage explained</t>
        </is>
      </c>
      <c r="F269" s="25" t="inlineStr">
        <is>
          <t>Does Your Car Insurance Cover Rental Cars in Canada?</t>
        </is>
      </c>
      <c r="G269" s="36" t="inlineStr">
        <is>
          <t>https://instasure.ca/guides/does-car-insurance-cover-rental-cars-opcf-27/</t>
        </is>
      </c>
      <c r="H269" s="36" t="inlineStr">
        <is>
          <t>does my car insurance cover rental cars</t>
        </is>
      </c>
      <c r="I269" s="41">
        <f>IFERROR(INDEX('Nationwide KWs'!$D$2:$D$168,MATCH(H269,'Nationwide KWs'!$A$2:$A$168,0)),IFERROR(INDEX('Provincial KWs'!$E$2:$E$137,MATCH(H269,'Provincial KWs'!$A$2:$A$137,0)),IFERROR(INDEX('City KWs'!$F$2:$F$419,MATCH(H269,'City KWs'!$A$2:$A$419,0)),"")))</f>
        <v/>
      </c>
      <c r="J269" s="36" t="inlineStr">
        <is>
          <t>Medium</t>
        </is>
      </c>
      <c r="K269" s="25" t="inlineStr">
        <is>
          <t>opcf 27; sef 27; rental car insurance canada; credit card rental car insurance; loss damage waiver</t>
        </is>
      </c>
      <c r="L269" s="36" t="inlineStr">
        <is>
          <t>Nationwide</t>
        </is>
      </c>
      <c r="M269" s="36" t="inlineStr">
        <is>
          <t>informational</t>
        </is>
      </c>
      <c r="N269" s="36" t="inlineStr">
        <is>
          <t>TOFU</t>
        </is>
      </c>
      <c r="O269" s="25" t="inlineStr">
        <is>
          <t>Does My Car Insurance Cover Rental Cars? OPCF 27 Explained</t>
        </is>
      </c>
      <c r="P269" s="36">
        <f>LEN(O269)</f>
        <v/>
      </c>
      <c r="Q269" s="25" t="inlineStr">
        <is>
          <t>Does my car insurance cover rental cars? See what OPCF 27 and SEF 27 add, when credit card cover applies and whether to buy the counter waiver. Read first.</t>
        </is>
      </c>
      <c r="R269" s="36">
        <f>LEN(Q269)</f>
        <v/>
      </c>
      <c r="S269" s="36">
        <f>IF(H269="","",IF(ISNUMBER(SEARCH(SUBSTITUTE(H269,"-"," "),SUBSTITUTE(O269,"-"," "))),"Yes","Check"))</f>
        <v/>
      </c>
      <c r="T269" s="25" t="inlineStr">
        <is>
          <t>Does your car insurance cover a rental car? | What OPCF 27 and SEF 27 cover | Credit card rental coverage: what it leaves out | Should you buy the rental counter's damage waiver? | Renting in the US or abroad | Car-sharing and peer-to-peer rentals</t>
        </is>
      </c>
      <c r="U269" s="25" t="inlineStr">
        <is>
          <t>Does OPCF 27 cover loss of use? | Is credit card rental insurance enough in Canada? | Does my insurance cover a rental car in the US? | Does OPCF 27 cover Turo cars?</t>
        </is>
      </c>
      <c r="V269" s="25" t="inlineStr">
        <is>
          <t>Comparison table of OPCF/SEF 27 vs a typical credit card benefit vs the rental-counter waiver across damage, loss of use, liability, vehicle types and territory, plus a rental-counter checklist.</t>
        </is>
      </c>
      <c r="W269" s="25" t="inlineStr">
        <is>
          <t>/car-insurance/; /guides/opcf-endorsements-ontario-list/; /guides/does-canadian-car-insurance-cover-usa/; /guides/turo-car-sharing-insurance-canada/</t>
        </is>
      </c>
      <c r="X269" s="25" t="inlineStr">
        <is>
          <t>Instant car insurance estimate (/quote/car-insurance/)</t>
        </is>
      </c>
      <c r="Y269" s="36" t="inlineStr">
        <is>
          <t>Article; FAQPage; BreadcrumbList</t>
        </is>
      </c>
      <c r="Z269" s="37" t="n">
        <v>1500</v>
      </c>
      <c r="AA269" s="25" t="inlineStr">
        <is>
          <t>No competitor coverage seen for OPCF 27; Ratehub's travel content compares credit card travel insurance but not rental car damage.</t>
        </is>
      </c>
      <c r="AB269" s="25" t="inlineStr">
        <is>
          <t>Focus keyword in H1, slug, meta title, first 100 words and first H2; answer in 40-60 words naming OPCF 27/SEF 27 and the credit card caveat. Put the three-way comparison table second, link 'OPCF endorsements' to the hub list, and add a printable counter checklist. Review annually.</t>
        </is>
      </c>
      <c r="AC269" s="25" t="inlineStr">
        <is>
          <t>Verify OPCF 27/SEF 27 limits, exclusions and vehicle types with FSRA and insurer forms. Credit card benefits vary, so describe typical terms and tell readers to check their certificate.</t>
        </is>
      </c>
      <c r="AD269" s="36" t="inlineStr">
        <is>
          <t>Annual</t>
        </is>
      </c>
      <c r="AE269" s="38" t="n"/>
      <c r="AF269" s="38" t="n"/>
      <c r="AG269" s="38" t="n"/>
    </row>
    <row r="270" ht="35.05" customHeight="1" s="22">
      <c r="A270" s="36">
        <f>"B"&amp;TEXT(ROW()-1,"0000")</f>
        <v/>
      </c>
      <c r="B270" s="38" t="inlineStr">
        <is>
          <t>Planned</t>
        </is>
      </c>
      <c r="C270" s="36" t="n">
        <v>2</v>
      </c>
      <c r="D270" s="36" t="inlineStr">
        <is>
          <t>Car insurance</t>
        </is>
      </c>
      <c r="E270" s="36" t="inlineStr">
        <is>
          <t>Coverage explained</t>
        </is>
      </c>
      <c r="F270" s="25" t="inlineStr">
        <is>
          <t>Mandatory Car Insurance in Canada: Minimums by Province</t>
        </is>
      </c>
      <c r="G270" s="36" t="inlineStr">
        <is>
          <t>https://instasure.ca/guides/mandatory-car-insurance-by-province/</t>
        </is>
      </c>
      <c r="H270" s="36" t="inlineStr">
        <is>
          <t>mandatory car insurance canada</t>
        </is>
      </c>
      <c r="I270" s="41">
        <f>IFERROR(INDEX('Nationwide KWs'!$D$2:$D$168,MATCH(H270,'Nationwide KWs'!$A$2:$A$168,0)),IFERROR(INDEX('Provincial KWs'!$E$2:$E$137,MATCH(H270,'Provincial KWs'!$A$2:$A$137,0)),IFERROR(INDEX('City KWs'!$F$2:$F$419,MATCH(H270,'City KWs'!$A$2:$A$419,0)),"")))</f>
        <v/>
      </c>
      <c r="J270" s="36" t="inlineStr">
        <is>
          <t>Medium</t>
        </is>
      </c>
      <c r="K270" s="25" t="inlineStr">
        <is>
          <t>minimum car insurance canada; minimum liability insurance ontario; is car insurance mandatory in canada; what car insurance is required by law</t>
        </is>
      </c>
      <c r="L270" s="36" t="inlineStr">
        <is>
          <t>Nationwide</t>
        </is>
      </c>
      <c r="M270" s="36" t="inlineStr">
        <is>
          <t>informational</t>
        </is>
      </c>
      <c r="N270" s="36" t="inlineStr">
        <is>
          <t>TOFU</t>
        </is>
      </c>
      <c r="O270" s="25" t="inlineStr">
        <is>
          <t>Mandatory Car Insurance in Canada: Minimums by Province</t>
        </is>
      </c>
      <c r="P270" s="36">
        <f>LEN(O270)</f>
        <v/>
      </c>
      <c r="Q270" s="25" t="inlineStr">
        <is>
          <t>Mandatory car insurance in Canada: minimum liability, accident benefits, uninsured motorist and DCPD rules for all 13 jurisdictions in one table. Check it.</t>
        </is>
      </c>
      <c r="R270" s="36">
        <f>LEN(Q270)</f>
        <v/>
      </c>
      <c r="S270" s="36">
        <f>IF(H270="","",IF(ISNUMBER(SEARCH(SUBSTITUTE(H270,"-"," "),SUBSTITUTE(O270,"-"," "))),"Yes","Check"))</f>
        <v/>
      </c>
      <c r="T270" s="25" t="inlineStr">
        <is>
          <t>What car insurance is mandatory in Canada? | Minimum coverage by province and territory (table) | Public vs private systems: who sells the mandatory part | Why the minimum liability limit is rarely enough | Penalties for driving without insurance | Optional coverage most drivers add</t>
        </is>
      </c>
      <c r="U270" s="25" t="inlineStr">
        <is>
          <t>What is the minimum car insurance in Ontario? | Is collision insurance mandatory in Canada? | What happens if you drive without insurance in Ontario? | Do I need insurance for a car I'm not driving?</t>
        </is>
      </c>
      <c r="V270" s="25" t="inlineStr">
        <is>
          <t>13-row table of minimum third-party liability, accident benefits model, uninsured motorist cover, DCPD and who sells basic coverage (private, ICBC, MPI, SGI, SAAQ plus private), each with a regulator link and verification date.</t>
        </is>
      </c>
      <c r="W270" s="25" t="inlineStr">
        <is>
          <t>/car-insurance/; /insurance/ontario/; /guides/how-much-car-insurance-liability-do-i-need/; /guides/who-regulates-car-insurance-by-province/</t>
        </is>
      </c>
      <c r="X270" s="25" t="inlineStr">
        <is>
          <t>Instant car insurance estimate (/quote/car-insurance/)</t>
        </is>
      </c>
      <c r="Y270" s="36" t="inlineStr">
        <is>
          <t>Article; FAQPage; BreadcrumbList</t>
        </is>
      </c>
      <c r="Z270" s="37" t="n">
        <v>1700</v>
      </c>
      <c r="AA270" s="25" t="inlineStr">
        <is>
          <t>Rates.ca has a minimum-coverage resource article and Ratehub a 'types of car insurance' page; neither gives a 13-jurisdiction table with sources.</t>
        </is>
      </c>
      <c r="AB270" s="25" t="inlineStr">
        <is>
          <t>Focus keyword in H1, slug, meta title, first 100 words and first H2; the 40-60 word answer lists the coverages required almost everywhere. Make the province table the featured element, link 'liability' to the liability guide with 'how much liability you need' anchor, and add a sources box citing each statute. Review annually.</t>
        </is>
      </c>
      <c r="AC270" s="25" t="inlineStr">
        <is>
          <t>Verify each minimum limit (Ontario's $200,000 was seen only in snippets) and each required coverage against provincial legislation and public insurers, and date the table. Quote penalties from the statute, not secondary sources.</t>
        </is>
      </c>
      <c r="AD270" s="36" t="inlineStr">
        <is>
          <t>Annual</t>
        </is>
      </c>
      <c r="AE270" s="38" t="n"/>
      <c r="AF270" s="38" t="n"/>
      <c r="AG270" s="38" t="n"/>
    </row>
    <row r="271" ht="35.05" customHeight="1" s="22">
      <c r="A271" s="36">
        <f>"B"&amp;TEXT(ROW()-1,"0000")</f>
        <v/>
      </c>
      <c r="B271" s="38" t="inlineStr">
        <is>
          <t>Planned</t>
        </is>
      </c>
      <c r="C271" s="36" t="n">
        <v>2</v>
      </c>
      <c r="D271" s="36" t="inlineStr">
        <is>
          <t>Car insurance</t>
        </is>
      </c>
      <c r="E271" s="36" t="inlineStr">
        <is>
          <t>Coverage explained</t>
        </is>
      </c>
      <c r="F271" s="25" t="inlineStr">
        <is>
          <t>Ontario OPCF Endorsements: A Plain-Language List</t>
        </is>
      </c>
      <c r="G271" s="36" t="inlineStr">
        <is>
          <t>https://instasure.ca/guides/opcf-endorsements-ontario-list/</t>
        </is>
      </c>
      <c r="H271" s="36" t="inlineStr">
        <is>
          <t>opcf endorsements ontario</t>
        </is>
      </c>
      <c r="I271" s="41">
        <f>IFERROR(INDEX('Nationwide KWs'!$D$2:$D$168,MATCH(H271,'Nationwide KWs'!$A$2:$A$168,0)),IFERROR(INDEX('Provincial KWs'!$E$2:$E$137,MATCH(H271,'Provincial KWs'!$A$2:$A$137,0)),IFERROR(INDEX('City KWs'!$F$2:$F$419,MATCH(H271,'City KWs'!$A$2:$A$419,0)),"")))</f>
        <v/>
      </c>
      <c r="J271" s="36" t="inlineStr">
        <is>
          <t>Low</t>
        </is>
      </c>
      <c r="K271" s="25" t="inlineStr">
        <is>
          <t>opcf 20; opcf 27; opcf 43; opcf 44r; opcf 6a; sef endorsements alberta</t>
        </is>
      </c>
      <c r="L271" s="36" t="inlineStr">
        <is>
          <t>Province: Ontario</t>
        </is>
      </c>
      <c r="M271" s="36" t="inlineStr">
        <is>
          <t>informational</t>
        </is>
      </c>
      <c r="N271" s="36" t="inlineStr">
        <is>
          <t>MOFU</t>
        </is>
      </c>
      <c r="O271" s="25" t="inlineStr">
        <is>
          <t>OPCF Endorsements in Ontario: The Plain-Language List</t>
        </is>
      </c>
      <c r="P271" s="36">
        <f>LEN(O271)</f>
        <v/>
      </c>
      <c r="Q271" s="25" t="inlineStr">
        <is>
          <t>OPCF endorsements in Ontario in plain language: what OPCF 20, 27, 43, 44R and 6A do, who needs them and the matching SEF forms elsewhere. See the list.</t>
        </is>
      </c>
      <c r="R271" s="36">
        <f>LEN(Q271)</f>
        <v/>
      </c>
      <c r="S271" s="36">
        <f>IF(H271="","",IF(ISNUMBER(SEARCH(SUBSTITUTE(H271,"-"," "),SUBSTITUTE(O271,"-"," "))),"Yes","Check"))</f>
        <v/>
      </c>
      <c r="T271" s="25" t="inlineStr">
        <is>
          <t>What is an OPCF endorsement? | The endorsements most drivers consider (table) | Endorsements for leased, financed and new cars | Endorsements for work, rideshare and rentals | Matching SEF forms in Alberta and Atlantic Canada | How to check which endorsements you have</t>
        </is>
      </c>
      <c r="U271" s="25" t="inlineStr">
        <is>
          <t>What is OPCF 20 on car insurance? | Do I need OPCF 44R? | What does OPCF 5 mean for a leased car? | Are OPCF endorsements the same as SEF endorsements?</t>
        </is>
      </c>
      <c r="V271" s="25" t="inlineStr">
        <is>
          <t>Table of the main OPCF forms (number, name, what it does, who needs it, SEF equivalent) linked to FSRA's approved forms list, plus a checklist for reading your pink slip and declarations page.</t>
        </is>
      </c>
      <c r="W271" s="25" t="inlineStr">
        <is>
          <t>/car-insurance/ontario/; /guides/does-car-insurance-cover-rental-cars-opcf-27/; /guides/opcf-43-waiver-of-depreciation/; /guides/opcf-44r-family-protection-coverage/; /guides/gig-driver-insurance-uber-doordash-ontario/</t>
        </is>
      </c>
      <c r="X271" s="25" t="inlineStr">
        <is>
          <t>Instant car insurance estimate (/quote/car-insurance/)</t>
        </is>
      </c>
      <c r="Y271" s="36" t="inlineStr">
        <is>
          <t>Article; FAQPage; BreadcrumbList</t>
        </is>
      </c>
      <c r="Z271" s="37" t="n">
        <v>1800</v>
      </c>
      <c r="AA271" s="25" t="inlineStr">
        <is>
          <t>No competitor coverage seen as a single list; Rates.ca covers family protection only and gig pages mention OPCF 6A in passing.</t>
        </is>
      </c>
      <c r="AB271" s="25" t="inlineStr">
        <is>
          <t>Focus keyword in H1, slug, meta title, first 100 words and first H2; define an OPCF in 40-60 words. Make the forms table the hub of the cluster, linking each form to its deep-dive guide with the form number as anchor, and cite FSRA's form list. Review annually.</t>
        </is>
      </c>
      <c r="AC271" s="25" t="inlineStr">
        <is>
          <t>Verify form numbers, names and current editions against FSRA's approved OPCF list, and SEF equivalents against provincial superintendents. State that endorsements are optional and that availability varies by insurer.</t>
        </is>
      </c>
      <c r="AD271" s="36" t="inlineStr">
        <is>
          <t>Annual</t>
        </is>
      </c>
      <c r="AE271" s="38" t="n"/>
      <c r="AF271" s="38" t="n"/>
      <c r="AG271" s="38" t="n"/>
    </row>
    <row r="272" ht="35.05" customHeight="1" s="22">
      <c r="A272" s="36">
        <f>"B"&amp;TEXT(ROW()-1,"0000")</f>
        <v/>
      </c>
      <c r="B272" s="38" t="inlineStr">
        <is>
          <t>Planned</t>
        </is>
      </c>
      <c r="C272" s="36" t="n">
        <v>2</v>
      </c>
      <c r="D272" s="36" t="inlineStr">
        <is>
          <t>Car insurance</t>
        </is>
      </c>
      <c r="E272" s="36" t="inlineStr">
        <is>
          <t>Data &amp; research</t>
        </is>
      </c>
      <c r="F272" s="25" t="inlineStr">
        <is>
          <t>Most Expensive Cities for Car Insurance in Ontario, Ranked</t>
        </is>
      </c>
      <c r="G272" s="36" t="inlineStr">
        <is>
          <t>https://instasure.ca/guides/most-expensive-cities-car-insurance-ontario/</t>
        </is>
      </c>
      <c r="H272" s="36" t="inlineStr">
        <is>
          <t>most expensive cities for car insurance ontario</t>
        </is>
      </c>
      <c r="I272" s="41">
        <f>IFERROR(INDEX('Nationwide KWs'!$D$2:$D$168,MATCH(H272,'Nationwide KWs'!$A$2:$A$168,0)),IFERROR(INDEX('Provincial KWs'!$E$2:$E$137,MATCH(H272,'Provincial KWs'!$A$2:$A$137,0)),IFERROR(INDEX('City KWs'!$F$2:$F$419,MATCH(H272,'City KWs'!$A$2:$A$419,0)),"")))</f>
        <v/>
      </c>
      <c r="J272" s="36" t="inlineStr">
        <is>
          <t>Low</t>
        </is>
      </c>
      <c r="K272" s="25" t="inlineStr">
        <is>
          <t>cheapest cities for car insurance ontario; ontario car insurance by city; gta car insurance rankings; car insurance rates by city ontario</t>
        </is>
      </c>
      <c r="L272" s="36" t="inlineStr">
        <is>
          <t>Province: Ontario</t>
        </is>
      </c>
      <c r="M272" s="36" t="inlineStr">
        <is>
          <t>informational</t>
        </is>
      </c>
      <c r="N272" s="36" t="inlineStr">
        <is>
          <t>TOFU</t>
        </is>
      </c>
      <c r="O272" s="25" t="inlineStr">
        <is>
          <t>Most Expensive Cities for Car Insurance in Ontario (Ranked)</t>
        </is>
      </c>
      <c r="P272" s="36">
        <f>LEN(O272)</f>
        <v/>
      </c>
      <c r="Q272" s="25" t="inlineStr">
        <is>
          <t>Most expensive cities for car insurance in Ontario ranked with one driver profile, plus the lowest-cost cities and the GTA gap. See where yours ranks.</t>
        </is>
      </c>
      <c r="R272" s="36">
        <f>LEN(Q272)</f>
        <v/>
      </c>
      <c r="S272" s="36">
        <f>IF(H272="","",IF(ISNUMBER(SEARCH(SUBSTITUTE(H272,"-"," "),SUBSTITUTE(O272,"-"," "))),"Yes","Check"))</f>
        <v/>
      </c>
      <c r="T272" s="25" t="inlineStr">
        <is>
          <t>Which Ontario cities have the most expensive car insurance? | Ranking of 26 Ontario cities (table) | The lowest-cost cities and why | The GTA premium: Peel, York, Toronto and Durham | How the ranking was built | What the ranking means for your quote</t>
        </is>
      </c>
      <c r="U272" s="25" t="inlineStr">
        <is>
          <t>What is the most expensive city for car insurance in Ontario? | Which Ontario city has the cheapest car insurance? | Why is the GTA more expensive than the rest of Ontario? | How often is this ranking updated?</t>
        </is>
      </c>
      <c r="V272" s="25" t="inlineStr">
        <is>
          <t>Ranking of the 26 Ontario cities with Instasure city pages using one profile and Instasure medians (cells with 25+ requests), with method notes and a downloadable CSV.</t>
        </is>
      </c>
      <c r="W272" s="25" t="inlineStr">
        <is>
          <t>/car-insurance/ontario/; /insights/rate-index/; /car-insurance/ontario/brampton/; /car-insurance/ontario/ottawa/; /guides/why-is-car-insurance-so-expensive-in-ontario/</t>
        </is>
      </c>
      <c r="X272" s="25" t="inlineStr">
        <is>
          <t>Instant car insurance estimate (/quote/car-insurance/)</t>
        </is>
      </c>
      <c r="Y272" s="36" t="inlineStr">
        <is>
          <t>Article; FAQPage; BreadcrumbList</t>
        </is>
      </c>
      <c r="Z272" s="37" t="n">
        <v>1500</v>
      </c>
      <c r="AA272" s="25" t="inlineStr">
        <is>
          <t>LowestRates ('15 most expensive cities'), Rates.ca (top-10 list and 181-community rank), Ratehub and Kanetix publish rankings with different profiles; none publishes its data file.</t>
        </is>
      </c>
      <c r="AB272" s="25" t="inlineStr">
        <is>
          <t>Focus keyword in H1, slug, meta title, first 100 words and first H2; the 40-60 word answer names the top three and bottom three cities for the profile. Make the ranking table sortable, link each city to its page with 'car insurance in {City}', and issue a press note with each quarterly refresh.</t>
        </is>
      </c>
      <c r="AC272" s="25" t="inlineStr">
        <is>
          <t>Publish only cities that meet the minimum sample, label figures as Instasure estimates with profile and date, and do not mix in competitor figures. Avoid 'cheapest' as a promise.</t>
        </is>
      </c>
      <c r="AD272" s="36" t="inlineStr">
        <is>
          <t>Quarterly</t>
        </is>
      </c>
      <c r="AE272" s="38" t="n"/>
      <c r="AF272" s="38" t="n"/>
      <c r="AG272" s="38" t="n"/>
    </row>
    <row r="273" ht="46.25" customHeight="1" s="22">
      <c r="A273" s="36">
        <f>"B"&amp;TEXT(ROW()-1,"0000")</f>
        <v/>
      </c>
      <c r="B273" s="38" t="inlineStr">
        <is>
          <t>Planned</t>
        </is>
      </c>
      <c r="C273" s="36" t="n">
        <v>2</v>
      </c>
      <c r="D273" s="36" t="inlineStr">
        <is>
          <t>Car insurance</t>
        </is>
      </c>
      <c r="E273" s="36" t="inlineStr">
        <is>
          <t>Data &amp; research</t>
        </is>
      </c>
      <c r="F273" s="25" t="inlineStr">
        <is>
          <t>Ontario Accident Benefits Opt-Out Tracker: Who Is Dropping Coverage</t>
        </is>
      </c>
      <c r="G273" s="36" t="inlineStr">
        <is>
          <t>https://instasure.ca/guides/ontario-accident-benefits-opt-out-tracker/</t>
        </is>
      </c>
      <c r="H273" s="36" t="inlineStr">
        <is>
          <t>ontario accident benefits opt out</t>
        </is>
      </c>
      <c r="I273" s="41">
        <f>IFERROR(INDEX('Nationwide KWs'!$D$2:$D$168,MATCH(H273,'Nationwide KWs'!$A$2:$A$168,0)),IFERROR(INDEX('Provincial KWs'!$E$2:$E$137,MATCH(H273,'Provincial KWs'!$A$2:$A$137,0)),IFERROR(INDEX('City KWs'!$F$2:$F$419,MATCH(H273,'City KWs'!$A$2:$A$419,0)),"")))</f>
        <v/>
      </c>
      <c r="J273" s="36" t="inlineStr">
        <is>
          <t>Low</t>
        </is>
      </c>
      <c r="K273" s="25" t="inlineStr">
        <is>
          <t>optional accident benefits ontario; how many drivers opted out of accident benefits; accident benefits opt out savings; ontario auto reform results</t>
        </is>
      </c>
      <c r="L273" s="36" t="inlineStr">
        <is>
          <t>Province: Ontario</t>
        </is>
      </c>
      <c r="M273" s="36" t="inlineStr">
        <is>
          <t>informational</t>
        </is>
      </c>
      <c r="N273" s="36" t="inlineStr">
        <is>
          <t>TOFU</t>
        </is>
      </c>
      <c r="O273" s="25" t="inlineStr">
        <is>
          <t>Ontario Accident Benefits Opt-Out Tracker: Quarterly Data</t>
        </is>
      </c>
      <c r="P273" s="36">
        <f>LEN(O273)</f>
        <v/>
      </c>
      <c r="Q273" s="25" t="inlineStr">
        <is>
          <t>Ontario accident benefits opt-out tracker: the share of Instasure quote requests dropping optional benefits each quarter and the estimated saving. See it.</t>
        </is>
      </c>
      <c r="R273" s="36">
        <f>LEN(Q273)</f>
        <v/>
      </c>
      <c r="S273" s="36">
        <f>IF(H273="","",IF(ISNUMBER(SEARCH(SUBSTITUTE(H273,"-"," "),SUBSTITUTE(O273,"-"," "))),"Yes","Check"))</f>
        <v/>
      </c>
      <c r="T273" s="25" t="inlineStr">
        <is>
          <t>How many Ontario drivers are opting out of optional accident benefits? | Opt-out share by quarter (table) | Which benefits are dropped most | Average estimated saving | Who opts out: age, city and work type | Methodology and sample sizes</t>
        </is>
      </c>
      <c r="U273" s="25" t="inlineStr">
        <is>
          <t>How much do Ontario drivers save by opting out of accident benefits? | Which optional benefit is dropped most often? | Are gig drivers opting out more than others? | Where does this data come from?</t>
        </is>
      </c>
      <c r="V273" s="25" t="inlineStr">
        <is>
          <t>Original quarterly data from anonymised Instasure Ontario quote requests (opt-out share, benefits dropped, estimated saving, by city and work type) with a methodology box, minimum cell size and a downloadable CSV.</t>
        </is>
      </c>
      <c r="W273" s="25" t="inlineStr">
        <is>
          <t>/insights/rate-index/; /guides/ontario-auto-insurance-changes-july-2026/; /car-insurance/accident-benefits-review/; /guides/ontario-accident-benefits-explained/</t>
        </is>
      </c>
      <c r="X273" s="25" t="inlineStr">
        <is>
          <t>Request a specialist call: Accident benefits review desk (/car-insurance/accident-benefits-review/)</t>
        </is>
      </c>
      <c r="Y273" s="36" t="inlineStr">
        <is>
          <t>Article; FAQPage; BreadcrumbList</t>
        </is>
      </c>
      <c r="Z273" s="37" t="n">
        <v>1300</v>
      </c>
      <c r="AA273" s="25" t="inlineStr">
        <is>
          <t>No competitor coverage seen; the strategy notes that no one owns opt-out data.</t>
        </is>
      </c>
      <c r="AB273" s="25" t="inlineStr">
        <is>
          <t>Focus keyword in H1, slug, meta title, first 100 words and first H2; the 40-60 word answer states the latest quarter's opt-out share and sample size. Lead with the quarterly table and a chart (alt: 'share of Ontario quotes opting out of optional accident benefits'), link the methodology to the Rate Index page, and send a press note each quarter.</t>
        </is>
      </c>
      <c r="AC273" s="25" t="inlineStr">
        <is>
          <t>Publish only cells that meet the 25-request minimum used by the Rate Index, and label savings as estimates rather than realized premiums. Say clearly that quote requests are not bound policies.</t>
        </is>
      </c>
      <c r="AD273" s="36" t="inlineStr">
        <is>
          <t>Quarterly</t>
        </is>
      </c>
      <c r="AE273" s="38" t="n"/>
      <c r="AF273" s="38" t="n"/>
      <c r="AG273" s="38" t="n"/>
    </row>
    <row r="274" ht="35.05" customHeight="1" s="22">
      <c r="A274" s="36">
        <f>"B"&amp;TEXT(ROW()-1,"0000")</f>
        <v/>
      </c>
      <c r="B274" s="38" t="inlineStr">
        <is>
          <t>Planned</t>
        </is>
      </c>
      <c r="C274" s="36" t="n">
        <v>2</v>
      </c>
      <c r="D274" s="36" t="inlineStr">
        <is>
          <t>Car insurance</t>
        </is>
      </c>
      <c r="E274" s="36" t="inlineStr">
        <is>
          <t>How-to &amp; shopping</t>
        </is>
      </c>
      <c r="F274" s="25" t="inlineStr">
        <is>
          <t>Car Insurance Renewal Checklist: What to Check Before You Auto-Renew</t>
        </is>
      </c>
      <c r="G274" s="36" t="inlineStr">
        <is>
          <t>https://instasure.ca/guides/car-insurance-renewal-checklist/</t>
        </is>
      </c>
      <c r="H274" s="36" t="inlineStr">
        <is>
          <t>car insurance renewal</t>
        </is>
      </c>
      <c r="I274" s="41">
        <f>IFERROR(INDEX('Nationwide KWs'!$D$2:$D$168,MATCH(H274,'Nationwide KWs'!$A$2:$A$168,0)),IFERROR(INDEX('Provincial KWs'!$E$2:$E$137,MATCH(H274,'Provincial KWs'!$A$2:$A$137,0)),IFERROR(INDEX('City KWs'!$F$2:$F$419,MATCH(H274,'City KWs'!$A$2:$A$419,0)),"")))</f>
        <v/>
      </c>
      <c r="J274" s="36" t="inlineStr">
        <is>
          <t>Medium</t>
        </is>
      </c>
      <c r="K274" s="25" t="inlineStr">
        <is>
          <t>car insurance renewal increase; should i shop around at renewal; car insurance renewal notice ontario; when to shop for car insurance; auto renew car insurance</t>
        </is>
      </c>
      <c r="L274" s="36" t="inlineStr">
        <is>
          <t>Nationwide</t>
        </is>
      </c>
      <c r="M274" s="36" t="inlineStr">
        <is>
          <t>commercial</t>
        </is>
      </c>
      <c r="N274" s="36" t="inlineStr">
        <is>
          <t>MOFU</t>
        </is>
      </c>
      <c r="O274" s="25" t="inlineStr">
        <is>
          <t>Car Insurance Renewal Checklist: What to Check First</t>
        </is>
      </c>
      <c r="P274" s="36">
        <f>LEN(O274)</f>
        <v/>
      </c>
      <c r="Q274" s="25" t="inlineStr">
        <is>
          <t>Car insurance renewal checklist: what to check on your notice, how far ahead to shop, Ontario accident-benefit choices and when to switch. Print the list.</t>
        </is>
      </c>
      <c r="R274" s="36">
        <f>LEN(Q274)</f>
        <v/>
      </c>
      <c r="S274" s="36">
        <f>IF(H274="","",IF(ISNUMBER(SEARCH(SUBSTITUTE(H274,"-"," "),SUBSTITUTE(O274,"-"," "))),"Yes","Check"))</f>
        <v/>
      </c>
      <c r="T274" s="25" t="inlineStr">
        <is>
          <t>What should you check at car insurance renewal? | Read the renewal notice line by line | When to start shopping, and why timing matters | Ontario renewals: accident-benefit decisions | Questions to ask your insurer before you switch | Printable renewal checklist</t>
        </is>
      </c>
      <c r="U274" s="25" t="inlineStr">
        <is>
          <t>How far before renewal should I shop for car insurance? | Why did my renewal go up when nothing changed? | Can I cancel at renewal without a penalty? | Do I have to accept my renewal offer?</t>
        </is>
      </c>
      <c r="V274" s="25" t="inlineStr">
        <is>
          <t>Printable 15-point renewal checklist with Ontario, Alberta and BC items, plus a 45-day shopping timeline.</t>
        </is>
      </c>
      <c r="W274" s="25" t="inlineStr">
        <is>
          <t>/car-insurance/; /guides/why-is-my-car-insurance-going-up-2026/; /guides/ontario-auto-insurance-changes-july-2026/; /guides/how-to-switch-car-insurance-cancellation-penalty/; /car-insurance/accident-benefits-review/</t>
        </is>
      </c>
      <c r="X274" s="25" t="inlineStr">
        <is>
          <t>Instant car insurance estimate (/quote/car-insurance/)</t>
        </is>
      </c>
      <c r="Y274" s="36" t="inlineStr">
        <is>
          <t>Article; FAQPage; BreadcrumbList</t>
        </is>
      </c>
      <c r="Z274" s="37" t="n">
        <v>1400</v>
      </c>
      <c r="AA274" s="25" t="inlineStr">
        <is>
          <t>Ratehub's 'The Hidden Costs of Car Insurance Renewals' and Sonnet's 'when to update car insurance' cover parts; no competitor offers a province-aware checklist.</t>
        </is>
      </c>
      <c r="AB274" s="25" t="inlineStr">
        <is>
          <t>Focus keyword in H1, slug, meta title, first 100 words and first H2; the 40-60 word answer gives the top three checks and when to start shopping. Make the checklist printable, link 'going up' to the existing rate-increase guide, and review annually.</t>
        </is>
      </c>
      <c r="AC274" s="25" t="inlineStr">
        <is>
          <t>Cite survey figures (e.g. Ratehub's 64% auto-renew finding) with source and date, or leave them out. Avoid promising savings from switching.</t>
        </is>
      </c>
      <c r="AD274" s="36" t="inlineStr">
        <is>
          <t>Annual</t>
        </is>
      </c>
      <c r="AE274" s="38" t="n"/>
      <c r="AF274" s="38" t="n"/>
      <c r="AG274" s="38" t="n"/>
    </row>
    <row r="275" ht="35.05" customHeight="1" s="22">
      <c r="A275" s="36">
        <f>"B"&amp;TEXT(ROW()-1,"0000")</f>
        <v/>
      </c>
      <c r="B275" s="38" t="inlineStr">
        <is>
          <t>Planned</t>
        </is>
      </c>
      <c r="C275" s="36" t="n">
        <v>2</v>
      </c>
      <c r="D275" s="36" t="inlineStr">
        <is>
          <t>Car insurance</t>
        </is>
      </c>
      <c r="E275" s="36" t="inlineStr">
        <is>
          <t>How-to &amp; shopping</t>
        </is>
      </c>
      <c r="F275" s="25" t="inlineStr">
        <is>
          <t>How to Compare Car Insurance Quotes Like for Like</t>
        </is>
      </c>
      <c r="G275" s="36" t="inlineStr">
        <is>
          <t>https://instasure.ca/guides/how-to-compare-car-insurance-quotes/</t>
        </is>
      </c>
      <c r="H275" s="36" t="inlineStr">
        <is>
          <t>how to compare car insurance quotes</t>
        </is>
      </c>
      <c r="I275" s="41">
        <f>IFERROR(INDEX('Nationwide KWs'!$D$2:$D$168,MATCH(H275,'Nationwide KWs'!$A$2:$A$168,0)),IFERROR(INDEX('Provincial KWs'!$E$2:$E$137,MATCH(H275,'Provincial KWs'!$A$2:$A$137,0)),IFERROR(INDEX('City KWs'!$F$2:$F$419,MATCH(H275,'City KWs'!$A$2:$A$419,0)),"")))</f>
        <v/>
      </c>
      <c r="J275" s="36" t="inlineStr">
        <is>
          <t>Low</t>
        </is>
      </c>
      <c r="K275" s="25" t="inlineStr">
        <is>
          <t>car insurance quote comparison checklist; why are car insurance quotes so different; what information do i need for a car insurance quote; compare car insurance quotes ontario</t>
        </is>
      </c>
      <c r="L275" s="36" t="inlineStr">
        <is>
          <t>Nationwide</t>
        </is>
      </c>
      <c r="M275" s="36" t="inlineStr">
        <is>
          <t>commercial</t>
        </is>
      </c>
      <c r="N275" s="36" t="inlineStr">
        <is>
          <t>MOFU</t>
        </is>
      </c>
      <c r="O275" s="25" t="inlineStr">
        <is>
          <t>How to Compare Car Insurance Quotes: A Like-for-Like Check</t>
        </is>
      </c>
      <c r="P275" s="36">
        <f>LEN(O275)</f>
        <v/>
      </c>
      <c r="Q275" s="25" t="inlineStr">
        <is>
          <t>How to compare car insurance quotes like for like: the limits, deductibles, endorsements and driver details to match before you choose. Get our template.</t>
        </is>
      </c>
      <c r="R275" s="36">
        <f>LEN(Q275)</f>
        <v/>
      </c>
      <c r="S275" s="36">
        <f>IF(H275="","",IF(ISNUMBER(SEARCH(SUBSTITUTE(H275,"-"," "),SUBSTITUTE(O275,"-"," "))),"Yes","Check"))</f>
        <v/>
      </c>
      <c r="T275" s="25" t="inlineStr">
        <is>
          <t>How do you compare car insurance quotes properly? | What to have ready before you quote | Match limits, deductibles and endorsements | Why quotes for the same driver differ | Estimate vs quote vs bound policy | A side-by-side comparison template</t>
        </is>
      </c>
      <c r="U275" s="25" t="inlineStr">
        <is>
          <t>Why are my car insurance quotes so different? | What information do I need for a car insurance quote? | Does getting quotes affect my credit? | Is an online estimate the final price?</t>
        </is>
      </c>
      <c r="V275" s="25" t="inlineStr">
        <is>
          <t>Downloadable side-by-side comparison template listing every line to match (liability, accident benefit options, deductibles, OPCF/SEF endorsements, drivers, use) plus a red-flag list.</t>
        </is>
      </c>
      <c r="W275" s="25" t="inlineStr">
        <is>
          <t>/quote/; /car-insurance/; /guides/opcf-endorsements-ontario-list/; /guides/insurance-broker-vs-direct-insurer/</t>
        </is>
      </c>
      <c r="X275" s="25" t="inlineStr">
        <is>
          <t>Instant car insurance estimate (/quote/car-insurance/)</t>
        </is>
      </c>
      <c r="Y275" s="36" t="inlineStr">
        <is>
          <t>Article; HowTo; FAQPage; BreadcrumbList</t>
        </is>
      </c>
      <c r="Z275" s="37" t="n">
        <v>1400</v>
      </c>
      <c r="AA275" s="25" t="inlineStr">
        <is>
          <t>Sonnet and Ratehub publish 'compare car insurance quotes' posts aimed at their own flows; no competitor offers a like-for-like template.</t>
        </is>
      </c>
      <c r="AB275" s="25" t="inlineStr">
        <is>
          <t>Focus keyword in H1, slug, meta title, first 100 words and first H2; the 40-60 word answer lists the four things to match. Mark the comparison steps up as HowTo, offer the template as a download, and link 'endorsements' to the OPCF hub. Review annually.</t>
        </is>
      </c>
      <c r="AC275" s="25" t="inlineStr">
        <is>
          <t>Explain that an Instasure estimate is not a quote and that insurers price after underwriting. Avoid 'save $X' claims.</t>
        </is>
      </c>
      <c r="AD275" s="36" t="inlineStr">
        <is>
          <t>Annual</t>
        </is>
      </c>
      <c r="AE275" s="38" t="n"/>
      <c r="AF275" s="38" t="n"/>
      <c r="AG275" s="38" t="n"/>
    </row>
    <row r="276" ht="35.05" customHeight="1" s="22">
      <c r="A276" s="36">
        <f>"B"&amp;TEXT(ROW()-1,"0000")</f>
        <v/>
      </c>
      <c r="B276" s="38" t="inlineStr">
        <is>
          <t>Planned</t>
        </is>
      </c>
      <c r="C276" s="36" t="n">
        <v>2</v>
      </c>
      <c r="D276" s="36" t="inlineStr">
        <is>
          <t>Car insurance</t>
        </is>
      </c>
      <c r="E276" s="36" t="inlineStr">
        <is>
          <t>How-to &amp; shopping</t>
        </is>
      </c>
      <c r="F276" s="25" t="inlineStr">
        <is>
          <t>How to Switch Car Insurance and What Cancelling Mid-Term Costs</t>
        </is>
      </c>
      <c r="G276" s="36" t="inlineStr">
        <is>
          <t>https://instasure.ca/guides/how-to-switch-car-insurance-cancellation-penalty/</t>
        </is>
      </c>
      <c r="H276" s="36" t="inlineStr">
        <is>
          <t>car insurance cancellation fee</t>
        </is>
      </c>
      <c r="I276" s="41">
        <f>IFERROR(INDEX('Nationwide KWs'!$D$2:$D$168,MATCH(H276,'Nationwide KWs'!$A$2:$A$168,0)),IFERROR(INDEX('Provincial KWs'!$E$2:$E$137,MATCH(H276,'Provincial KWs'!$A$2:$A$137,0)),IFERROR(INDEX('City KWs'!$F$2:$F$419,MATCH(H276,'City KWs'!$A$2:$A$419,0)),"")))</f>
        <v/>
      </c>
      <c r="J276" s="36" t="inlineStr">
        <is>
          <t>Low</t>
        </is>
      </c>
      <c r="K276" s="25" t="inlineStr">
        <is>
          <t>how to switch car insurance companies; short rate cancellation; cancel car insurance ontario; car insurance refund when cancelling; switch insurance mid term</t>
        </is>
      </c>
      <c r="L276" s="36" t="inlineStr">
        <is>
          <t>Nationwide</t>
        </is>
      </c>
      <c r="M276" s="36" t="inlineStr">
        <is>
          <t>commercial</t>
        </is>
      </c>
      <c r="N276" s="36" t="inlineStr">
        <is>
          <t>MOFU</t>
        </is>
      </c>
      <c r="O276" s="25" t="inlineStr">
        <is>
          <t>Car Insurance Cancellation Fee: How to Switch Without a Gap</t>
        </is>
      </c>
      <c r="P276" s="36">
        <f>LEN(O276)</f>
        <v/>
      </c>
      <c r="Q276" s="25" t="inlineStr">
        <is>
          <t>Car insurance cancellation fee explained: short-rate vs pro-rata refunds and how to switch insurers mid-term without a coverage gap. Follow our plan.</t>
        </is>
      </c>
      <c r="R276" s="36">
        <f>LEN(Q276)</f>
        <v/>
      </c>
      <c r="S276" s="36">
        <f>IF(H276="","",IF(ISNUMBER(SEARCH(SUBSTITUTE(H276,"-"," "),SUBSTITUTE(O276,"-"," "))),"Yes","Check"))</f>
        <v/>
      </c>
      <c r="T276" s="25" t="inlineStr">
        <is>
          <t>How much does it cost to cancel car insurance? | Short-rate vs pro-rata refunds | Step by step: switching without a coverage gap | Switching mid-term vs at renewal | Bundles, monthly plans and finance charges | Public-insurer provinces: what changes</t>
        </is>
      </c>
      <c r="U276" s="25" t="inlineStr">
        <is>
          <t>Is there a penalty to cancel car insurance in Ontario? | How do I switch car insurance without a gap? | Do I get a refund if I cancel car insurance? | Can I switch insurers in the middle of my policy?</t>
        </is>
      </c>
      <c r="V276" s="25" t="inlineStr">
        <is>
          <t>Illustrative refund table comparing short-rate and pro-rata refunds at months 2, 6 and 10 of an annual policy, plus a six-step switching plan.</t>
        </is>
      </c>
      <c r="W276" s="25" t="inlineStr">
        <is>
          <t>/car-insurance/; /guides/car-insurance-renewal-checklist/; /guides/is-bundling-home-and-auto-insurance-worth-it/; /quote/</t>
        </is>
      </c>
      <c r="X276" s="25" t="inlineStr">
        <is>
          <t>Instant car insurance estimate (/quote/car-insurance/)</t>
        </is>
      </c>
      <c r="Y276" s="36" t="inlineStr">
        <is>
          <t>Article; HowTo; FAQPage; BreadcrumbList</t>
        </is>
      </c>
      <c r="Z276" s="37" t="n">
        <v>1500</v>
      </c>
      <c r="AA276" s="25" t="inlineStr">
        <is>
          <t>Sonnet has a cancellation calculator and a cancellation-penalties post; no neutral guide combines refund maths with a no-gap switching plan.</t>
        </is>
      </c>
      <c r="AB276" s="25" t="inlineStr">
        <is>
          <t>Focus keyword in H1, slug, meta title, first 100 words and first H2; the 40-60 word answer explains short-rate vs pro-rata. Mark the six steps up as HowTo, show the refund table, and link 'renewal' to the renewal checklist. Review annually.</t>
        </is>
      </c>
      <c r="AC276" s="25" t="inlineStr">
        <is>
          <t>Short-rate tables vary by insurer: verify statutory cancellation conditions by province and label refund figures as illustrative.</t>
        </is>
      </c>
      <c r="AD276" s="36" t="inlineStr">
        <is>
          <t>Annual</t>
        </is>
      </c>
      <c r="AE276" s="38" t="n"/>
      <c r="AF276" s="38" t="n"/>
      <c r="AG276" s="38" t="n"/>
    </row>
    <row r="277" ht="35.05" customHeight="1" s="22">
      <c r="A277" s="36">
        <f>"B"&amp;TEXT(ROW()-1,"0000")</f>
        <v/>
      </c>
      <c r="B277" s="38" t="inlineStr">
        <is>
          <t>Planned</t>
        </is>
      </c>
      <c r="C277" s="36" t="n">
        <v>2</v>
      </c>
      <c r="D277" s="36" t="inlineStr">
        <is>
          <t>Car insurance</t>
        </is>
      </c>
      <c r="E277" s="36" t="inlineStr">
        <is>
          <t>Local (city/province)</t>
        </is>
      </c>
      <c r="F277" s="25" t="inlineStr">
        <is>
          <t>Alberta Car Insurance by City: Calgary, Edmonton, Red Deer and More</t>
        </is>
      </c>
      <c r="G277" s="36" t="inlineStr">
        <is>
          <t>https://instasure.ca/guides/alberta-car-insurance-by-city/</t>
        </is>
      </c>
      <c r="H277" s="36" t="inlineStr">
        <is>
          <t>alberta car insurance by city</t>
        </is>
      </c>
      <c r="I277" s="41">
        <f>IFERROR(INDEX('Nationwide KWs'!$D$2:$D$168,MATCH(H277,'Nationwide KWs'!$A$2:$A$168,0)),IFERROR(INDEX('Provincial KWs'!$E$2:$E$137,MATCH(H277,'Provincial KWs'!$A$2:$A$137,0)),IFERROR(INDEX('City KWs'!$F$2:$F$419,MATCH(H277,'City KWs'!$A$2:$A$419,0)),"")))</f>
        <v/>
      </c>
      <c r="J277" s="36" t="inlineStr">
        <is>
          <t>Low</t>
        </is>
      </c>
      <c r="K277" s="25" t="inlineStr">
        <is>
          <t>how much is car insurance in calgary; how much is car insurance in edmonton; car insurance red deer; car insurance airdrie; calgary vs edmonton car insurance</t>
        </is>
      </c>
      <c r="L277" s="36" t="inlineStr">
        <is>
          <t>Province: Alberta</t>
        </is>
      </c>
      <c r="M277" s="36" t="inlineStr">
        <is>
          <t>local</t>
        </is>
      </c>
      <c r="N277" s="36" t="inlineStr">
        <is>
          <t>MOFU</t>
        </is>
      </c>
      <c r="O277" s="25" t="inlineStr">
        <is>
          <t>Alberta Car Insurance by City: Calgary, Edmonton, Red Deer</t>
        </is>
      </c>
      <c r="P277" s="36">
        <f>LEN(O277)</f>
        <v/>
      </c>
      <c r="Q277" s="25" t="inlineStr">
        <is>
          <t>Alberta car insurance by city: dated estimates for Calgary, Edmonton, Red Deer, Airdrie and Lethbridge, and Care-First changes in 2027. Get an estimate.</t>
        </is>
      </c>
      <c r="R277" s="36">
        <f>LEN(Q277)</f>
        <v/>
      </c>
      <c r="S277" s="36">
        <f>IF(H277="","",IF(ISNUMBER(SEARCH(SUBSTITUTE(H277,"-"," "),SUBSTITUTE(O277,"-"," "))),"Yes","Check"))</f>
        <v/>
      </c>
      <c r="T277" s="25" t="inlineStr">
        <is>
          <t>How much is car insurance in Alberta's cities? | Calgary, Edmonton, Red Deer, Airdrie and Lethbridge compared (table) | Calgary vs Edmonton: hail, theft and commuting | Why smaller cities can cost more | Care-First countdown: what changes on January 1, 2027 | Ways Alberta drivers can save now</t>
        </is>
      </c>
      <c r="U277" s="25" t="inlineStr">
        <is>
          <t>Is car insurance cheaper in Calgary or Edmonton? | Why is car insurance expensive in Red Deer? | Will Alberta car insurance go down in 2027? | Does the 2026 rate cap apply in every city?</t>
        </is>
      </c>
      <c r="V277" s="25" t="inlineStr">
        <is>
          <t>Five-city table with Instasure estimate ranges for one stated profile, plus an 'Alberta Care-First countdown' box tracking the same profile each quarter before and after January 1, 2027.</t>
        </is>
      </c>
      <c r="W277" s="25" t="inlineStr">
        <is>
          <t>/car-insurance/alberta/; /car-insurance/alberta/calgary/; /car-insurance/alberta/edmonton/; /guides/alberta-car-insurance-2026-care-first/; /guides/calgary-hail-insurance-guide/</t>
        </is>
      </c>
      <c r="X277" s="25" t="inlineStr">
        <is>
          <t>Instant car insurance estimate (/quote/car-insurance/)</t>
        </is>
      </c>
      <c r="Y277" s="36" t="inlineStr">
        <is>
          <t>Article; FAQPage; BreadcrumbList</t>
        </is>
      </c>
      <c r="Z277" s="37" t="n">
        <v>1700</v>
      </c>
      <c r="AA277" s="25" t="inlineStr">
        <is>
          <t>Ratehub has Calgary, Edmonton, Red Deer and Lethbridge pages (some last modified May 2025) and cites Airdrie only in a blog ranking; Rates.ca covers Calgary and Edmonton. No Care-First countdown by city exists.</t>
        </is>
      </c>
      <c r="AB277" s="25" t="inlineStr">
        <is>
          <t>Focus keyword in H1, slug, meta title, first 100 words and first H2; the 40-60 word answer ranks the five cities for the profile with the month. Use the city table and countdown box, link the Care-First guide and each city page with 'car insurance in {City}' anchors, and refresh quarterly through 2027.</t>
        </is>
      </c>
      <c r="AC277" s="25" t="inlineStr">
        <is>
          <t>Verify the 7.5% good-driver cap and the Care-First start date with alberta.ca, and attribute Ratehub's Airdrie and Red Deer figures only if verified. Label Instasure figures as estimates.</t>
        </is>
      </c>
      <c r="AD277" s="36" t="inlineStr">
        <is>
          <t>Quarterly</t>
        </is>
      </c>
      <c r="AE277" s="38" t="n"/>
      <c r="AF277" s="38" t="n"/>
      <c r="AG277" s="38" t="n"/>
    </row>
    <row r="278" ht="35.05" customHeight="1" s="22">
      <c r="A278" s="36">
        <f>"B"&amp;TEXT(ROW()-1,"0000")</f>
        <v/>
      </c>
      <c r="B278" s="38" t="inlineStr">
        <is>
          <t>Planned</t>
        </is>
      </c>
      <c r="C278" s="36" t="n">
        <v>2</v>
      </c>
      <c r="D278" s="36" t="inlineStr">
        <is>
          <t>Car insurance</t>
        </is>
      </c>
      <c r="E278" s="36" t="inlineStr">
        <is>
          <t>Local (city/province)</t>
        </is>
      </c>
      <c r="F278" s="25" t="inlineStr">
        <is>
          <t>Car Insurance in Durham Region: Pickering, Ajax, Whitby and Oshawa</t>
        </is>
      </c>
      <c r="G278" s="36" t="inlineStr">
        <is>
          <t>https://instasure.ca/guides/durham-region-car-insurance/</t>
        </is>
      </c>
      <c r="H278" s="36" t="inlineStr">
        <is>
          <t>car insurance durham region</t>
        </is>
      </c>
      <c r="I278" s="41">
        <f>IFERROR(INDEX('Nationwide KWs'!$D$2:$D$168,MATCH(H278,'Nationwide KWs'!$A$2:$A$168,0)),IFERROR(INDEX('Provincial KWs'!$E$2:$E$137,MATCH(H278,'Provincial KWs'!$A$2:$A$137,0)),IFERROR(INDEX('City KWs'!$F$2:$F$419,MATCH(H278,'City KWs'!$A$2:$A$419,0)),"")))</f>
        <v/>
      </c>
      <c r="J278" s="36" t="inlineStr">
        <is>
          <t>Low</t>
        </is>
      </c>
      <c r="K278" s="25" t="inlineStr">
        <is>
          <t>car insurance pickering; car insurance ajax; car insurance whitby; car insurance oshawa; how much is car insurance in oshawa</t>
        </is>
      </c>
      <c r="L278" s="36" t="inlineStr">
        <is>
          <t>City: Oshawa, ON</t>
        </is>
      </c>
      <c r="M278" s="36" t="inlineStr">
        <is>
          <t>local</t>
        </is>
      </c>
      <c r="N278" s="36" t="inlineStr">
        <is>
          <t>MOFU</t>
        </is>
      </c>
      <c r="O278" s="25" t="inlineStr">
        <is>
          <t>Car Insurance Durham Region: Pickering, Ajax, Whitby, Oshawa</t>
        </is>
      </c>
      <c r="P278" s="36">
        <f>LEN(O278)</f>
        <v/>
      </c>
      <c r="Q278" s="25" t="inlineStr">
        <is>
          <t>Car insurance in Durham Region: dated estimates for Pickering, Ajax, Whitby and Oshawa by postal code and the cost of 401 commuting. Get an estimate.</t>
        </is>
      </c>
      <c r="R278" s="36">
        <f>LEN(Q278)</f>
        <v/>
      </c>
      <c r="S278" s="36">
        <f>IF(H278="","",IF(ISNUMBER(SEARCH(SUBSTITUTE(H278,"-"," "),SUBSTITUTE(O278,"-"," "))),"Yes","Check"))</f>
        <v/>
      </c>
      <c r="T278" s="25" t="inlineStr">
        <is>
          <t>How much is car insurance in Durham Region? | Pickering, Ajax, Whitby and Oshawa compared (table) | Why estimates fall as you move east | Highway 401 and 407 commuting | Postal codes that cost more or less | Ways Durham drivers can save</t>
        </is>
      </c>
      <c r="U278" s="25" t="inlineStr">
        <is>
          <t>Is car insurance cheaper in Oshawa than Pickering? | How much is car insurance in Ajax? | Does commuting to Toronto raise my Durham premium? | Which Durham town has the lowest car insurance?</t>
        </is>
      </c>
      <c r="V278" s="25" t="inlineStr">
        <is>
          <t>Four-town table with estimate ranges by FSA for one stated profile, plus a commute-distance sensitivity example.</t>
        </is>
      </c>
      <c r="W278" s="25" t="inlineStr">
        <is>
          <t>/car-insurance/ontario/pickering/; /car-insurance/ontario/ajax/; /car-insurance/ontario/whitby/; /car-insurance/ontario/oshawa/; /insurance/ontario/oshawa/</t>
        </is>
      </c>
      <c r="X278" s="25" t="inlineStr">
        <is>
          <t>Instant car insurance estimate (/quote/car-insurance/)</t>
        </is>
      </c>
      <c r="Y278" s="36" t="inlineStr">
        <is>
          <t>Article; FAQPage; BreadcrumbList</t>
        </is>
      </c>
      <c r="Z278" s="37" t="n">
        <v>1500</v>
      </c>
      <c r="AA278" s="25" t="inlineStr">
        <is>
          <t>Only Rates.ca has Pickering, Ajax and Whitby pages; Ratehub covers Oshawa only. No Durham-wide comparison seen.</t>
        </is>
      </c>
      <c r="AB278" s="25" t="inlineStr">
        <is>
          <t>Focus keyword in H1, slug, meta title, first 100 words and first H2; the 40-60 word answer ranks the four towns for the profile. Link each town page with 'car insurance in {Town}' anchors, coordinate launch with enrichment of the noindexed Ajax, Pickering and Whitby pages, and refresh quarterly.</t>
        </is>
      </c>
      <c r="AC278" s="25" t="inlineStr">
        <is>
          <t>Attribute Rates.ca figures (Ajax $2,692, Pickering $2,650, Whitby $2,483) only after verification and label Instasure estimates. The Ajax, Pickering and Whitby money pages stay noindex until enriched.</t>
        </is>
      </c>
      <c r="AD278" s="36" t="inlineStr">
        <is>
          <t>Quarterly</t>
        </is>
      </c>
      <c r="AE278" s="38" t="n"/>
      <c r="AF278" s="38" t="n"/>
      <c r="AG278" s="38" t="n"/>
    </row>
    <row r="279" ht="35.05" customHeight="1" s="22">
      <c r="A279" s="36">
        <f>"B"&amp;TEXT(ROW()-1,"0000")</f>
        <v/>
      </c>
      <c r="B279" s="38" t="inlineStr">
        <is>
          <t>Planned</t>
        </is>
      </c>
      <c r="C279" s="36" t="n">
        <v>2</v>
      </c>
      <c r="D279" s="36" t="inlineStr">
        <is>
          <t>Car insurance</t>
        </is>
      </c>
      <c r="E279" s="36" t="inlineStr">
        <is>
          <t>Local (city/province)</t>
        </is>
      </c>
      <c r="F279" s="25" t="inlineStr">
        <is>
          <t>Car Insurance in Etobicoke: Costs by Postal Code and How to Save</t>
        </is>
      </c>
      <c r="G279" s="36" t="inlineStr">
        <is>
          <t>https://instasure.ca/guides/car-insurance-etobicoke/</t>
        </is>
      </c>
      <c r="H279" s="36" t="inlineStr">
        <is>
          <t>car insurance etobicoke</t>
        </is>
      </c>
      <c r="I279" s="41">
        <f>IFERROR(INDEX('Nationwide KWs'!$D$2:$D$168,MATCH(H279,'Nationwide KWs'!$A$2:$A$168,0)),IFERROR(INDEX('Provincial KWs'!$E$2:$E$137,MATCH(H279,'Provincial KWs'!$A$2:$A$137,0)),IFERROR(INDEX('City KWs'!$F$2:$F$419,MATCH(H279,'City KWs'!$A$2:$A$419,0)),"")))</f>
        <v/>
      </c>
      <c r="J279" s="36" t="inlineStr">
        <is>
          <t>Medium</t>
        </is>
      </c>
      <c r="K279" s="25" t="inlineStr">
        <is>
          <t>how much is car insurance in etobicoke; cheap car insurance etobicoke; etobicoke car insurance quotes; m9w car insurance; rexdale car insurance</t>
        </is>
      </c>
      <c r="L279" s="36" t="inlineStr">
        <is>
          <t>City: Etobicoke, ON</t>
        </is>
      </c>
      <c r="M279" s="36" t="inlineStr">
        <is>
          <t>local</t>
        </is>
      </c>
      <c r="N279" s="36" t="inlineStr">
        <is>
          <t>BOFU</t>
        </is>
      </c>
      <c r="O279" s="25" t="inlineStr">
        <is>
          <t>Car Insurance Etobicoke, ON: Costs by Postal Code</t>
        </is>
      </c>
      <c r="P279" s="36">
        <f>LEN(O279)</f>
        <v/>
      </c>
      <c r="Q279" s="25" t="inlineStr">
        <is>
          <t>Car insurance in Etobicoke, ON: dated estimates by postal code from Rexdale to Mimico and why rates sit above Toronto's average. Get a 60-second estimate.</t>
        </is>
      </c>
      <c r="R279" s="36">
        <f>LEN(Q279)</f>
        <v/>
      </c>
      <c r="S279" s="36">
        <f>IF(H279="","",IF(ISNUMBER(SEARCH(SUBSTITUTE(H279,"-"," "),SUBSTITUTE(O279,"-"," "))),"Yes","Check"))</f>
        <v/>
      </c>
      <c r="T279" s="25" t="inlineStr">
        <is>
          <t>How much is car insurance in Etobicoke? | Estimates by Etobicoke postal code (M8 and M9) | Why Etobicoke rates run above Toronto's | Airport-area theft and highway traffic | Etobicoke vs Mississauga next door | Ways Etobicoke drivers can save</t>
        </is>
      </c>
      <c r="U279" s="25" t="inlineStr">
        <is>
          <t>Why is car insurance expensive in Etobicoke? | Is car insurance cheaper in Etobicoke or Mississauga? | Which Etobicoke postal codes are cheapest to insure? | Does a dash cam lower car insurance in Etobicoke?</t>
        </is>
      </c>
      <c r="V279" s="25" t="inlineStr">
        <is>
          <t>FSA table for Etobicoke M8 and M9 codes with estimate ranges (25+ request minimum), and an Etobicoke vs Mississauga border comparison.</t>
        </is>
      </c>
      <c r="W279" s="25" t="inlineStr">
        <is>
          <t>/car-insurance/ontario/toronto/; /car-insurance/ontario/mississauga/; /guides/car-insurance-north-york/; /guides/toronto-neighbourhoods-car-insurance-rates/</t>
        </is>
      </c>
      <c r="X279" s="25" t="inlineStr">
        <is>
          <t>Instant car insurance estimate with your Etobicoke postal code (/quote/car-insurance/)</t>
        </is>
      </c>
      <c r="Y279" s="36" t="inlineStr">
        <is>
          <t>Article; FAQPage; BreadcrumbList</t>
        </is>
      </c>
      <c r="Z279" s="37" t="n">
        <v>1400</v>
      </c>
      <c r="AA279" s="25" t="inlineStr">
        <is>
          <t>Rates.ca has an Etobicoke page (about $3,277 a year); Ratehub and Sonnet have none.</t>
        </is>
      </c>
      <c r="AB279" s="25" t="inlineStr">
        <is>
          <t>Focus keyword in H1, slug, meta title, first 100 words and first H2; the 40-60 word answer gives the range, profile and month. Lead with the FSA table, link Mississauga with 'car insurance in Mississauga' anchor, and refresh quarterly.</t>
        </is>
      </c>
      <c r="AC279" s="25" t="inlineStr">
        <is>
          <t>Use competitor averages only as attributed gap context after verification; publish Instasure postal-code figures only at the 25-request minimum, labelled as estimates with profile and date. No 'cheap' or 'lowest' promises in copy.</t>
        </is>
      </c>
      <c r="AD279" s="36" t="inlineStr">
        <is>
          <t>Quarterly</t>
        </is>
      </c>
      <c r="AE279" s="38" t="n"/>
      <c r="AF279" s="38" t="n"/>
      <c r="AG279" s="38" t="n"/>
    </row>
    <row r="280" ht="35.05" customHeight="1" s="22">
      <c r="A280" s="36">
        <f>"B"&amp;TEXT(ROW()-1,"0000")</f>
        <v/>
      </c>
      <c r="B280" s="38" t="inlineStr">
        <is>
          <t>Planned</t>
        </is>
      </c>
      <c r="C280" s="36" t="n">
        <v>2</v>
      </c>
      <c r="D280" s="36" t="inlineStr">
        <is>
          <t>Car insurance</t>
        </is>
      </c>
      <c r="E280" s="36" t="inlineStr">
        <is>
          <t>Local (city/province)</t>
        </is>
      </c>
      <c r="F280" s="25" t="inlineStr">
        <is>
          <t>Car Insurance in York Region: Vaughan, Richmond Hill and Markham Compared</t>
        </is>
      </c>
      <c r="G280" s="36" t="inlineStr">
        <is>
          <t>https://instasure.ca/guides/york-region-car-insurance-vaughan-richmond-hill-markham/</t>
        </is>
      </c>
      <c r="H280" s="36" t="inlineStr">
        <is>
          <t>car insurance york region</t>
        </is>
      </c>
      <c r="I280" s="41">
        <f>IFERROR(INDEX('Nationwide KWs'!$D$2:$D$168,MATCH(H280,'Nationwide KWs'!$A$2:$A$168,0)),IFERROR(INDEX('Provincial KWs'!$E$2:$E$137,MATCH(H280,'Provincial KWs'!$A$2:$A$137,0)),IFERROR(INDEX('City KWs'!$F$2:$F$419,MATCH(H280,'City KWs'!$A$2:$A$419,0)),"")))</f>
        <v/>
      </c>
      <c r="J280" s="36" t="inlineStr">
        <is>
          <t>Low</t>
        </is>
      </c>
      <c r="K280" s="25" t="inlineStr">
        <is>
          <t>how much is car insurance in vaughan; car insurance richmond hill; car insurance markham; cheap car insurance vaughan; vaughan vs markham car insurance</t>
        </is>
      </c>
      <c r="L280" s="36" t="inlineStr">
        <is>
          <t>City: Vaughan, ON</t>
        </is>
      </c>
      <c r="M280" s="36" t="inlineStr">
        <is>
          <t>local</t>
        </is>
      </c>
      <c r="N280" s="36" t="inlineStr">
        <is>
          <t>MOFU</t>
        </is>
      </c>
      <c r="O280" s="25" t="inlineStr">
        <is>
          <t>Car Insurance York Region: Vaughan, Richmond Hill, Markham</t>
        </is>
      </c>
      <c r="P280" s="36">
        <f>LEN(O280)</f>
        <v/>
      </c>
      <c r="Q280" s="25" t="inlineStr">
        <is>
          <t>Car insurance in York Region compared: dated estimates for Vaughan, Richmond Hill and Markham by postal code, theft and highway factors. Get an estimate.</t>
        </is>
      </c>
      <c r="R280" s="36">
        <f>LEN(Q280)</f>
        <v/>
      </c>
      <c r="S280" s="36">
        <f>IF(H280="","",IF(ISNUMBER(SEARCH(SUBSTITUTE(H280,"-"," "),SUBSTITUTE(O280,"-"," "))),"Yes","Check"))</f>
        <v/>
      </c>
      <c r="T280" s="25" t="inlineStr">
        <is>
          <t>How much is car insurance in York Region? | Vaughan, Richmond Hill and Markham side by side (table) | Why Vaughan sits near the top of the GTA | Postal codes that cost more or less | SUV theft and anti-theft requirements | Ways York Region drivers can save</t>
        </is>
      </c>
      <c r="U280" s="25" t="inlineStr">
        <is>
          <t>Is car insurance cheaper in Markham or Vaughan? | Why is car insurance so high in Vaughan? | How much is car insurance in Richmond Hill? | Do York Region insurers require trackers on SUVs?</t>
        </is>
      </c>
      <c r="V280" s="25" t="inlineStr">
        <is>
          <t>Three-city comparison table with estimate ranges by FSA and vehicle type (car, SUV, pickup) for one stated profile, plus links to each city page.</t>
        </is>
      </c>
      <c r="W280" s="25" t="inlineStr">
        <is>
          <t>/car-insurance/ontario/vaughan/; /car-insurance/ontario/richmond-hill/; /car-insurance/ontario/markham/; /guides/anti-theft-devices-car-insurance/</t>
        </is>
      </c>
      <c r="X280" s="25" t="inlineStr">
        <is>
          <t>Instant car insurance estimate (/quote/car-insurance/)</t>
        </is>
      </c>
      <c r="Y280" s="36" t="inlineStr">
        <is>
          <t>Article; FAQPage; BreadcrumbList</t>
        </is>
      </c>
      <c r="Z280" s="37" t="n">
        <v>1600</v>
      </c>
      <c r="AA280" s="25" t="inlineStr">
        <is>
          <t>Rates.ca alone has Vaughan and Richmond Hill pages; Ratehub has Markham but cites Vaughan only in a blog; Sonnet has none. No three-city comparison exists.</t>
        </is>
      </c>
      <c r="AB280" s="25" t="inlineStr">
        <is>
          <t>Focus keyword in H1, slug, meta title, first 100 words and first H2; the 40-60 word answer ranks the three cities for the stated profile. Use the comparison table, link each city page with 'car insurance in {City}' anchors (do not target the city head terms here), and refresh quarterly.</t>
        </is>
      </c>
      <c r="AC280" s="25" t="inlineStr">
        <is>
          <t>Attribute any Rates.ca figure (e.g. Vaughan $3,259) only after verification; label Instasure estimates with profile and date; no 'cheap' promises.</t>
        </is>
      </c>
      <c r="AD280" s="36" t="inlineStr">
        <is>
          <t>Quarterly</t>
        </is>
      </c>
      <c r="AE280" s="38" t="n"/>
      <c r="AF280" s="38" t="n"/>
      <c r="AG280" s="38" t="n"/>
    </row>
    <row r="281" ht="35.05" customHeight="1" s="22">
      <c r="A281" s="36">
        <f>"B"&amp;TEXT(ROW()-1,"0000")</f>
        <v/>
      </c>
      <c r="B281" s="38" t="inlineStr">
        <is>
          <t>Planned</t>
        </is>
      </c>
      <c r="C281" s="36" t="n">
        <v>2</v>
      </c>
      <c r="D281" s="36" t="inlineStr">
        <is>
          <t>Car insurance</t>
        </is>
      </c>
      <c r="E281" s="36" t="inlineStr">
        <is>
          <t>Local (city/province)</t>
        </is>
      </c>
      <c r="F281" s="25" t="inlineStr">
        <is>
          <t>Hamilton Car Insurance Rates by Area: Mountain, Lower City and Stoney Creek</t>
        </is>
      </c>
      <c r="G281" s="36" t="inlineStr">
        <is>
          <t>https://instasure.ca/guides/hamilton-car-insurance-by-area/</t>
        </is>
      </c>
      <c r="H281" s="36" t="inlineStr">
        <is>
          <t>hamilton car insurance rates</t>
        </is>
      </c>
      <c r="I281" s="41">
        <f>IFERROR(INDEX('Nationwide KWs'!$D$2:$D$168,MATCH(H281,'Nationwide KWs'!$A$2:$A$168,0)),IFERROR(INDEX('Provincial KWs'!$E$2:$E$137,MATCH(H281,'Provincial KWs'!$A$2:$A$137,0)),IFERROR(INDEX('City KWs'!$F$2:$F$419,MATCH(H281,'City KWs'!$A$2:$A$419,0)),"")))</f>
        <v/>
      </c>
      <c r="J281" s="36" t="inlineStr">
        <is>
          <t>Low</t>
        </is>
      </c>
      <c r="K281" s="25" t="inlineStr">
        <is>
          <t>how much is car insurance in hamilton; cheap car insurance hamilton; car insurance stoney creek; car insurance hamilton mountain; l8k car insurance</t>
        </is>
      </c>
      <c r="L281" s="36" t="inlineStr">
        <is>
          <t>City: Hamilton, ON</t>
        </is>
      </c>
      <c r="M281" s="36" t="inlineStr">
        <is>
          <t>local</t>
        </is>
      </c>
      <c r="N281" s="36" t="inlineStr">
        <is>
          <t>MOFU</t>
        </is>
      </c>
      <c r="O281" s="25" t="inlineStr">
        <is>
          <t>Hamilton Car Insurance Rates by Area: Mountain to Waterdown</t>
        </is>
      </c>
      <c r="P281" s="36">
        <f>LEN(O281)</f>
        <v/>
      </c>
      <c r="Q281" s="25" t="inlineStr">
        <is>
          <t>Hamilton car insurance rates by area: dated estimates for the Mountain, Lower City, Stoney Creek, Ancaster and Dundas postal codes. Get your estimate.</t>
        </is>
      </c>
      <c r="R281" s="36">
        <f>LEN(Q281)</f>
        <v/>
      </c>
      <c r="S281" s="36">
        <f>IF(H281="","",IF(ISNUMBER(SEARCH(SUBSTITUTE(H281,"-"," "),SUBSTITUTE(O281,"-"," "))),"Yes","Check"))</f>
        <v/>
      </c>
      <c r="T281" s="25" t="inlineStr">
        <is>
          <t>How much is car insurance in Hamilton? | Estimates by Hamilton area and postal code (table) | Mountain vs Lower City: why rates differ | Stoney Creek, Ancaster, Dundas and Waterdown | How Hamilton compares with Burlington and the GTA | Ways Hamilton drivers can save</t>
        </is>
      </c>
      <c r="U281" s="25" t="inlineStr">
        <is>
          <t>Which Hamilton area has the cheapest car insurance? | Is car insurance cheaper in Hamilton than Toronto? | How much is car insurance in Stoney Creek? | Why did my Hamilton premium change when I moved?</t>
        </is>
      </c>
      <c r="V281" s="25" t="inlineStr">
        <is>
          <t>Area-by-area FSA table (L8 and L9 codes) with estimate ranges for one stated profile (25+ request minimum) and a Hamilton vs Burlington vs Toronto comparison.</t>
        </is>
      </c>
      <c r="W281" s="25" t="inlineStr">
        <is>
          <t>/car-insurance/ontario/hamilton/; /insurance/ontario/hamilton/; /car-insurance/ontario/burlington/; /guides/car-insurance-by-postal-code/</t>
        </is>
      </c>
      <c r="X281" s="25" t="inlineStr">
        <is>
          <t>Instant car insurance estimate with your Hamilton postal code (/quote/car-insurance/)</t>
        </is>
      </c>
      <c r="Y281" s="36" t="inlineStr">
        <is>
          <t>Article; FAQPage; BreadcrumbList</t>
        </is>
      </c>
      <c r="Z281" s="37" t="n">
        <v>1500</v>
      </c>
      <c r="AA281" s="25" t="inlineStr">
        <is>
          <t>Hamilton is the weakest big-city car SERP seen: Rates.ca's page has a generic title with no city name and small brokers fill #3, #8 and #9. Snippets cite L9H vs L8K figures but no full area table.</t>
        </is>
      </c>
      <c r="AB281" s="25" t="inlineStr">
        <is>
          <t>Focus keyword in H1, slug, meta title, first 100 words and first H2; the 40-60 word answer gives the area range for the profile. Lead with the area table, link the Hamilton city page with 'car insurance in Hamilton' anchor, and refresh quarterly.</t>
        </is>
      </c>
      <c r="AC281" s="25" t="inlineStr">
        <is>
          <t>Attribute snippet figures (Rates.ca $2,457; L9H $2,046 vs L8K $2,594) only after verification, and label Instasure figures. No 'cheap' promise.</t>
        </is>
      </c>
      <c r="AD281" s="36" t="inlineStr">
        <is>
          <t>Quarterly</t>
        </is>
      </c>
      <c r="AE281" s="38" t="n"/>
      <c r="AF281" s="38" t="n"/>
      <c r="AG281" s="38" t="n"/>
    </row>
    <row r="282" ht="35.05" customHeight="1" s="22">
      <c r="A282" s="36">
        <f>"B"&amp;TEXT(ROW()-1,"0000")</f>
        <v/>
      </c>
      <c r="B282" s="38" t="inlineStr">
        <is>
          <t>Planned</t>
        </is>
      </c>
      <c r="C282" s="36" t="n">
        <v>2</v>
      </c>
      <c r="D282" s="36" t="inlineStr">
        <is>
          <t>Car insurance</t>
        </is>
      </c>
      <c r="E282" s="36" t="inlineStr">
        <is>
          <t>Local (city/province)</t>
        </is>
      </c>
      <c r="F282" s="25" t="inlineStr">
        <is>
          <t>Toronto Car Insurance by Neighbourhood: Where Rates Are Highest and Lowest</t>
        </is>
      </c>
      <c r="G282" s="36" t="inlineStr">
        <is>
          <t>https://instasure.ca/guides/toronto-neighbourhoods-car-insurance-rates/</t>
        </is>
      </c>
      <c r="H282" s="36" t="inlineStr">
        <is>
          <t>toronto car insurance by neighbourhood</t>
        </is>
      </c>
      <c r="I282" s="41">
        <f>IFERROR(INDEX('Nationwide KWs'!$D$2:$D$168,MATCH(H282,'Nationwide KWs'!$A$2:$A$168,0)),IFERROR(INDEX('Provincial KWs'!$E$2:$E$137,MATCH(H282,'Provincial KWs'!$A$2:$A$137,0)),IFERROR(INDEX('City KWs'!$F$2:$F$419,MATCH(H282,'City KWs'!$A$2:$A$419,0)),"")))</f>
        <v/>
      </c>
      <c r="J282" s="36" t="inlineStr">
        <is>
          <t>Low</t>
        </is>
      </c>
      <c r="K282" s="25" t="inlineStr">
        <is>
          <t>most expensive toronto neighbourhoods for car insurance; cheapest area in toronto for car insurance; car insurance by postal code toronto; how much is car insurance in toronto</t>
        </is>
      </c>
      <c r="L282" s="36" t="inlineStr">
        <is>
          <t>City: Toronto, ON</t>
        </is>
      </c>
      <c r="M282" s="36" t="inlineStr">
        <is>
          <t>local</t>
        </is>
      </c>
      <c r="N282" s="36" t="inlineStr">
        <is>
          <t>MOFU</t>
        </is>
      </c>
      <c r="O282" s="25" t="inlineStr">
        <is>
          <t>Toronto Car Insurance by Neighbourhood: Highest and Lowest</t>
        </is>
      </c>
      <c r="P282" s="36">
        <f>LEN(O282)</f>
        <v/>
      </c>
      <c r="Q282" s="25" t="inlineStr">
        <is>
          <t>Toronto car insurance by neighbourhood: estimate ranges for every M postal district, the highest- and lowest-cost areas and why. Check your neighbourhood.</t>
        </is>
      </c>
      <c r="R282" s="36">
        <f>LEN(Q282)</f>
        <v/>
      </c>
      <c r="S282" s="36">
        <f>IF(H282="","",IF(ISNUMBER(SEARCH(SUBSTITUTE(H282,"-"," "),SUBSTITUTE(O282,"-"," "))),"Yes","Check"))</f>
        <v/>
      </c>
      <c r="T282" s="25" t="inlineStr">
        <is>
          <t>Which Toronto neighbourhoods have the highest car insurance? | Estimates by postal district (table and map) | Highest-cost areas and why | Lowest-cost areas and why | Moving within Toronto: what to check first | How to lower your rate wherever you live</t>
        </is>
      </c>
      <c r="U282" s="25" t="inlineStr">
        <is>
          <t>Which Toronto neighbourhood has the cheapest car insurance? | Why does car insurance vary so much across Toronto? | How much is car insurance in Toronto per month? | Does moving within Toronto change my insurance?</t>
        </is>
      </c>
      <c r="V282" s="25" t="inlineStr">
        <is>
          <t>Toronto FSA heat map and table with Instasure estimate ranges by M district for one stated profile, refreshed quarterly with sample sizes shown.</t>
        </is>
      </c>
      <c r="W282" s="25" t="inlineStr">
        <is>
          <t>/car-insurance/ontario/toronto/; /insurance/ontario/toronto/; /guides/car-insurance-scarborough/; /guides/car-insurance-by-postal-code/</t>
        </is>
      </c>
      <c r="X282" s="25" t="inlineStr">
        <is>
          <t>Instant car insurance estimate (/quote/car-insurance/)</t>
        </is>
      </c>
      <c r="Y282" s="36" t="inlineStr">
        <is>
          <t>Article; FAQPage; BreadcrumbList</t>
        </is>
      </c>
      <c r="Z282" s="37" t="n">
        <v>1600</v>
      </c>
      <c r="AA282" s="25" t="inlineStr">
        <is>
          <t>Rates.ca has two Toronto-neighbourhood ranking posts and SERP snippets cite Beaches vs Jane and Finch ranges; none publishes a full FSA map with a stated profile and date.</t>
        </is>
      </c>
      <c r="AB282" s="25" t="inlineStr">
        <is>
          <t>Focus keyword in H1, slug, meta title, first 100 words and first H2; the 40-60 word answer names the highest- and lowest-estimate districts with the profile. Embed the heat map (alt: 'Toronto car insurance estimates by neighbourhood map'), link sub-area guides by name, and refresh quarterly.</t>
        </is>
      </c>
      <c r="AC282" s="25" t="inlineStr">
        <is>
          <t>Do not reuse neighbourhood ranges from snippets unless verified; show sample sizes and avoid stigmatising language about neighbourhoods.</t>
        </is>
      </c>
      <c r="AD282" s="36" t="inlineStr">
        <is>
          <t>Quarterly</t>
        </is>
      </c>
      <c r="AE282" s="38" t="n"/>
      <c r="AF282" s="38" t="n"/>
      <c r="AG282" s="38" t="n"/>
    </row>
    <row r="283" ht="35.05" customHeight="1" s="22">
      <c r="A283" s="36">
        <f>"B"&amp;TEXT(ROW()-1,"0000")</f>
        <v/>
      </c>
      <c r="B283" s="38" t="inlineStr">
        <is>
          <t>Planned</t>
        </is>
      </c>
      <c r="C283" s="36" t="n">
        <v>2</v>
      </c>
      <c r="D283" s="36" t="inlineStr">
        <is>
          <t>Car insurance</t>
        </is>
      </c>
      <c r="E283" s="36" t="inlineStr">
        <is>
          <t>Personas: high-risk drivers</t>
        </is>
      </c>
      <c r="F283" s="25" t="inlineStr">
        <is>
          <t>Car Insurance After a Licence Suspension: What Changes and for How Long</t>
        </is>
      </c>
      <c r="G283" s="36" t="inlineStr">
        <is>
          <t>https://instasure.ca/guides/car-insurance-after-licence-suspension/</t>
        </is>
      </c>
      <c r="H283" s="36" t="inlineStr">
        <is>
          <t>car insurance after licence suspension</t>
        </is>
      </c>
      <c r="I283" s="41">
        <f>IFERROR(INDEX('Nationwide KWs'!$D$2:$D$168,MATCH(H283,'Nationwide KWs'!$A$2:$A$168,0)),IFERROR(INDEX('Provincial KWs'!$E$2:$E$137,MATCH(H283,'Provincial KWs'!$A$2:$A$137,0)),IFERROR(INDEX('City KWs'!$F$2:$F$419,MATCH(H283,'City KWs'!$A$2:$A$419,0)),"")))</f>
        <v/>
      </c>
      <c r="J283" s="36" t="inlineStr">
        <is>
          <t>Low</t>
        </is>
      </c>
      <c r="K283" s="25" t="inlineStr">
        <is>
          <t>suspended licence car insurance ontario; insurance after licence reinstatement; non payment of fines suspension insurance; can you insure a car with a suspended licence</t>
        </is>
      </c>
      <c r="L283" s="36" t="inlineStr">
        <is>
          <t>Nationwide</t>
        </is>
      </c>
      <c r="M283" s="36" t="inlineStr">
        <is>
          <t>commercial</t>
        </is>
      </c>
      <c r="N283" s="36" t="inlineStr">
        <is>
          <t>MOFU</t>
        </is>
      </c>
      <c r="O283" s="25" t="inlineStr">
        <is>
          <t>Car Insurance After a Licence Suspension: What to Expect</t>
        </is>
      </c>
      <c r="P283" s="36">
        <f>LEN(O283)</f>
        <v/>
      </c>
      <c r="Q283" s="25" t="inlineStr">
        <is>
          <t>Car insurance after a licence suspension: how insurers treat each type, how long it counts, reinstatement steps and how to find coverage again. Get help.</t>
        </is>
      </c>
      <c r="R283" s="36">
        <f>LEN(Q283)</f>
        <v/>
      </c>
      <c r="S283" s="36">
        <f>IF(H283="","",IF(ISNUMBER(SEARCH(SUBSTITUTE(H283,"-"," "),SUBSTITUTE(O283,"-"," "))),"Yes","Check"))</f>
        <v/>
      </c>
      <c r="T283" s="25" t="inlineStr">
        <is>
          <t>Can you get car insurance after a licence suspension? | Suspension types and how insurers treat them | Insuring a car while your licence is suspended | Reinstatement and telling your insurer | How long a suspension affects premiums | Non-standard options and the Facility Association</t>
        </is>
      </c>
      <c r="U283" s="25" t="inlineStr">
        <is>
          <t>Do I have to tell my insurer my licence was suspended? | Can I keep my car insured while suspended? | Does a suspension for unpaid fines affect insurance? | How long does a suspension stay on my insurance record?</t>
        </is>
      </c>
      <c r="V283" s="25" t="inlineStr">
        <is>
          <t>Table of suspension types (demerit, medical, unpaid fines, impaired, stunt) with typical insurer treatment and lookback, plus a reinstatement checklist.</t>
        </is>
      </c>
      <c r="W283" s="25" t="inlineStr">
        <is>
          <t>/car-insurance/high-risk-drivers/; /guides/facility-association-car-insurance/; /guides/stunt-driving-insurance-ontario/; /guides/car-insurance-after-impaired-driving-conviction/</t>
        </is>
      </c>
      <c r="X283" s="25" t="inlineStr">
        <is>
          <t>Request a specialist call: High-risk auto desk (/car-insurance/high-risk-drivers/)</t>
        </is>
      </c>
      <c r="Y283" s="36" t="inlineStr">
        <is>
          <t>Article; FAQPage; BreadcrumbList</t>
        </is>
      </c>
      <c r="Z283" s="37" t="n">
        <v>1400</v>
      </c>
      <c r="AA283" s="25" t="inlineStr">
        <is>
          <t>The research found both aggregators with only one generic high-risk page; suspension-specific guidance is a gap.</t>
        </is>
      </c>
      <c r="AB283" s="25" t="inlineStr">
        <is>
          <t>Focus keyword in H1, slug, meta title, first 100 words and first H2; the 40-60 word answer says coverage is possible and depends on the suspension type. Use the suspension-type table, link the high-risk desk with 'high-risk car insurance' anchor, and review annually.</t>
        </is>
      </c>
      <c r="AC283" s="25" t="inlineStr">
        <is>
          <t>Describe insurer practice as typical and point to policy wording on material changes. Verify provincial suspension types with MTO and equivalents.</t>
        </is>
      </c>
      <c r="AD283" s="36" t="inlineStr">
        <is>
          <t>Annual</t>
        </is>
      </c>
      <c r="AE283" s="38" t="n"/>
      <c r="AF283" s="38" t="n"/>
      <c r="AG283" s="38" t="n"/>
    </row>
    <row r="284" ht="35.05" customHeight="1" s="22">
      <c r="A284" s="36">
        <f>"B"&amp;TEXT(ROW()-1,"0000")</f>
        <v/>
      </c>
      <c r="B284" s="38" t="inlineStr">
        <is>
          <t>Planned</t>
        </is>
      </c>
      <c r="C284" s="36" t="n">
        <v>2</v>
      </c>
      <c r="D284" s="36" t="inlineStr">
        <is>
          <t>Car insurance</t>
        </is>
      </c>
      <c r="E284" s="36" t="inlineStr">
        <is>
          <t>Personas: high-risk drivers</t>
        </is>
      </c>
      <c r="F284" s="25" t="inlineStr">
        <is>
          <t>Car Insurance After an Impaired Driving Conviction in Canada</t>
        </is>
      </c>
      <c r="G284" s="36" t="inlineStr">
        <is>
          <t>https://instasure.ca/guides/car-insurance-after-impaired-driving-conviction/</t>
        </is>
      </c>
      <c r="H284" s="36" t="inlineStr">
        <is>
          <t>car insurance after dui ontario</t>
        </is>
      </c>
      <c r="I284" s="41">
        <f>IFERROR(INDEX('Nationwide KWs'!$D$2:$D$168,MATCH(H284,'Nationwide KWs'!$A$2:$A$168,0)),IFERROR(INDEX('Provincial KWs'!$E$2:$E$137,MATCH(H284,'Provincial KWs'!$A$2:$A$137,0)),IFERROR(INDEX('City KWs'!$F$2:$F$419,MATCH(H284,'City KWs'!$A$2:$A$419,0)),"")))</f>
        <v/>
      </c>
      <c r="J284" s="36" t="inlineStr">
        <is>
          <t>Low</t>
        </is>
      </c>
      <c r="K284" s="25" t="inlineStr">
        <is>
          <t>impaired driving insurance canada; how long does a dui affect insurance in canada; ignition interlock insurance ontario; car insurance after dui alberta; over 80 conviction insurance</t>
        </is>
      </c>
      <c r="L284" s="36" t="inlineStr">
        <is>
          <t>Nationwide</t>
        </is>
      </c>
      <c r="M284" s="36" t="inlineStr">
        <is>
          <t>commercial</t>
        </is>
      </c>
      <c r="N284" s="36" t="inlineStr">
        <is>
          <t>MOFU</t>
        </is>
      </c>
      <c r="O284" s="25" t="inlineStr">
        <is>
          <t>Car Insurance After a DUI in Ontario and Across Canada</t>
        </is>
      </c>
      <c r="P284" s="36">
        <f>LEN(O284)</f>
        <v/>
      </c>
      <c r="Q284" s="25" t="inlineStr">
        <is>
          <t>Car insurance after a DUI in Ontario and other provinces: how long a conviction affects premiums, interlock rules and where to find cover. Get help.</t>
        </is>
      </c>
      <c r="R284" s="36">
        <f>LEN(Q284)</f>
        <v/>
      </c>
      <c r="S284" s="36">
        <f>IF(H284="","",IF(ISNUMBER(SEARCH(SUBSTITUTE(H284,"-"," "),SUBSTITUTE(O284,"-"," "))),"Yes","Check"))</f>
        <v/>
      </c>
      <c r="T284" s="25" t="inlineStr">
        <is>
          <t>Can you get car insurance after an impaired driving conviction? | Criminal convictions vs roadside suspensions | How long it affects your premium | Ignition interlock and insurance | Public insurers: ICBC, MPI and SGI penalties | Steps to get back to standard rates</t>
        </is>
      </c>
      <c r="U284" s="25" t="inlineStr">
        <is>
          <t>How long does a DUI stay on your insurance in Ontario? | Will my insurer cancel my policy after a DUI? | Does a warn-range roadside suspension affect insurance? | Can I get insurance with an ignition interlock?</t>
        </is>
      </c>
      <c r="V284" s="25" t="inlineStr">
        <is>
          <t>Province table of impaired-driving consequences that affect insurance (licence, interlock, public-insurer penalties) and a 3-6 year recovery plan.</t>
        </is>
      </c>
      <c r="W284" s="25" t="inlineStr">
        <is>
          <t>/car-insurance/high-risk-drivers/; /guides/facility-association-car-insurance/; /guides/car-insurance-after-licence-suspension/; /car-insurance/ontario/</t>
        </is>
      </c>
      <c r="X284" s="25" t="inlineStr">
        <is>
          <t>Request a specialist call: High-risk auto desk (/car-insurance/high-risk-drivers/)</t>
        </is>
      </c>
      <c r="Y284" s="36" t="inlineStr">
        <is>
          <t>Article; FAQPage; BreadcrumbList</t>
        </is>
      </c>
      <c r="Z284" s="37" t="n">
        <v>1500</v>
      </c>
      <c r="AA284" s="25" t="inlineStr">
        <is>
          <t>Not covered by Ratehub or Rates.ca beyond a generic high-risk page; the research names impaired driving as an open sub-niche.</t>
        </is>
      </c>
      <c r="AB284" s="25" t="inlineStr">
        <is>
          <t>Focus keyword in H1, slug, meta title, first 100 words and first H2, and use 'impaired driving' in body copy; the 40-60 word answer covers availability and duration. Use the province table, link the high-risk desk and Facility Association guide, and review annually.</t>
        </is>
      </c>
      <c r="AC284" s="25" t="inlineStr">
        <is>
          <t>Use 'impaired driving' (Criminal Code term) in the body and verify provincial administrative penalties and public-insurer surcharges at source. No legal advice and no promise of acceptance.</t>
        </is>
      </c>
      <c r="AD284" s="36" t="inlineStr">
        <is>
          <t>Annual</t>
        </is>
      </c>
      <c r="AE284" s="38" t="n"/>
      <c r="AF284" s="38" t="n"/>
      <c r="AG284" s="38" t="n"/>
    </row>
    <row r="285" ht="35.05" customHeight="1" s="22">
      <c r="A285" s="36">
        <f>"B"&amp;TEXT(ROW()-1,"0000")</f>
        <v/>
      </c>
      <c r="B285" s="38" t="inlineStr">
        <is>
          <t>Planned</t>
        </is>
      </c>
      <c r="C285" s="36" t="n">
        <v>2</v>
      </c>
      <c r="D285" s="36" t="inlineStr">
        <is>
          <t>Car insurance</t>
        </is>
      </c>
      <c r="E285" s="36" t="inlineStr">
        <is>
          <t>Personas: high-risk drivers</t>
        </is>
      </c>
      <c r="F285" s="25" t="inlineStr">
        <is>
          <t>Car Insurance Cancelled for Non-Payment or a Lapse: How to Recover</t>
        </is>
      </c>
      <c r="G285" s="36" t="inlineStr">
        <is>
          <t>https://instasure.ca/guides/car-insurance-cancelled-for-non-payment/</t>
        </is>
      </c>
      <c r="H285" s="36" t="inlineStr">
        <is>
          <t>car insurance cancelled for non payment</t>
        </is>
      </c>
      <c r="I285" s="41">
        <f>IFERROR(INDEX('Nationwide KWs'!$D$2:$D$168,MATCH(H285,'Nationwide KWs'!$A$2:$A$168,0)),IFERROR(INDEX('Provincial KWs'!$E$2:$E$137,MATCH(H285,'Provincial KWs'!$A$2:$A$137,0)),IFERROR(INDEX('City KWs'!$F$2:$F$419,MATCH(H285,'City KWs'!$A$2:$A$419,0)),"")))</f>
        <v/>
      </c>
      <c r="J285" s="36" t="inlineStr">
        <is>
          <t>Low</t>
        </is>
      </c>
      <c r="K285" s="25" t="inlineStr">
        <is>
          <t>lapse in car insurance; car insurance gap in coverage; insurance cancelled by insurer canada; how long does a cancellation stay on your record; reinstating car insurance</t>
        </is>
      </c>
      <c r="L285" s="36" t="inlineStr">
        <is>
          <t>Nationwide</t>
        </is>
      </c>
      <c r="M285" s="36" t="inlineStr">
        <is>
          <t>commercial</t>
        </is>
      </c>
      <c r="N285" s="36" t="inlineStr">
        <is>
          <t>MOFU</t>
        </is>
      </c>
      <c r="O285" s="25" t="inlineStr">
        <is>
          <t>Car Insurance Cancelled for Non-Payment? How to Recover</t>
        </is>
      </c>
      <c r="P285" s="36">
        <f>LEN(O285)</f>
        <v/>
      </c>
      <c r="Q285" s="25" t="inlineStr">
        <is>
          <t>Car insurance cancelled for non-payment or after a lapse: how insurers view the gap, how long it follows you and the way back to standard cover. Get help.</t>
        </is>
      </c>
      <c r="R285" s="36">
        <f>LEN(Q285)</f>
        <v/>
      </c>
      <c r="S285" s="36">
        <f>IF(H285="","",IF(ISNUMBER(SEARCH(SUBSTITUTE(H285,"-"," "),SUBSTITUTE(O285,"-"," "))),"Yes","Check"))</f>
        <v/>
      </c>
      <c r="T285" s="25" t="inlineStr">
        <is>
          <t>What happens when car insurance is cancelled for non-payment? | Cancellation notices and grace periods | Why a lapse raises premiums | How long a cancellation stays on your history | Getting insured again quickly | Avoiding a lapse when you sell, store or move</t>
        </is>
      </c>
      <c r="U285" s="25" t="inlineStr">
        <is>
          <t>How long does a non-payment cancellation affect car insurance? | Can I drive if my insurance was cancelled? | Is a short lapse in insurance a problem? | Will my next insurer know about the cancellation?</t>
        </is>
      </c>
      <c r="V285" s="25" t="inlineStr">
        <is>
          <t>Timeline from a missed payment to cancellation under statutory notice rules, plus a 'no-lapse' checklist for selling a car, storing it or moving.</t>
        </is>
      </c>
      <c r="W285" s="25" t="inlineStr">
        <is>
          <t>/car-insurance/high-risk-drivers/; /guides/facility-association-car-insurance/; /guides/car-storage-insurance-canada/; /guides/how-to-switch-car-insurance-cancellation-penalty/</t>
        </is>
      </c>
      <c r="X285" s="25" t="inlineStr">
        <is>
          <t>Request a specialist call: High-risk auto desk (/car-insurance/high-risk-drivers/)</t>
        </is>
      </c>
      <c r="Y285" s="36" t="inlineStr">
        <is>
          <t>Article; FAQPage; BreadcrumbList</t>
        </is>
      </c>
      <c r="Z285" s="37" t="n">
        <v>1300</v>
      </c>
      <c r="AA285" s="25" t="inlineStr">
        <is>
          <t>The research lists lapsed and non-payment cancellations as open high-risk sub-niches; no competitor page seen.</t>
        </is>
      </c>
      <c r="AB285" s="25" t="inlineStr">
        <is>
          <t>Focus keyword in H1, slug, meta title, first 100 words and first H2; the 40-60 word answer explains why insurers treat a cancellation as risk and what to do first. Show the timeline graphic, link 'storage' to the storage guide, and review annually.</t>
        </is>
      </c>
      <c r="AC285" s="25" t="inlineStr">
        <is>
          <t>Verify statutory notice periods for cancellation (Ontario statutory conditions and equivalents) and do not present any lookback period as universal.</t>
        </is>
      </c>
      <c r="AD285" s="36" t="inlineStr">
        <is>
          <t>Annual</t>
        </is>
      </c>
      <c r="AE285" s="38" t="n"/>
      <c r="AF285" s="38" t="n"/>
      <c r="AG285" s="38" t="n"/>
    </row>
    <row r="286" ht="35.05" customHeight="1" s="22">
      <c r="A286" s="36">
        <f>"B"&amp;TEXT(ROW()-1,"0000")</f>
        <v/>
      </c>
      <c r="B286" s="38" t="inlineStr">
        <is>
          <t>Planned</t>
        </is>
      </c>
      <c r="C286" s="36" t="n">
        <v>2</v>
      </c>
      <c r="D286" s="36" t="inlineStr">
        <is>
          <t>Car insurance</t>
        </is>
      </c>
      <c r="E286" s="36" t="inlineStr">
        <is>
          <t>Personas: high-risk drivers</t>
        </is>
      </c>
      <c r="F286" s="25" t="inlineStr">
        <is>
          <t>Facility Association Insurance: How It Works and How to Leave It</t>
        </is>
      </c>
      <c r="G286" s="36" t="inlineStr">
        <is>
          <t>https://instasure.ca/guides/facility-association-car-insurance/</t>
        </is>
      </c>
      <c r="H286" s="36" t="inlineStr">
        <is>
          <t>facility association insurance</t>
        </is>
      </c>
      <c r="I286" s="41">
        <f>IFERROR(INDEX('Nationwide KWs'!$D$2:$D$168,MATCH(H286,'Nationwide KWs'!$A$2:$A$168,0)),IFERROR(INDEX('Provincial KWs'!$E$2:$E$137,MATCH(H286,'Provincial KWs'!$A$2:$A$137,0)),IFERROR(INDEX('City KWs'!$F$2:$F$419,MATCH(H286,'City KWs'!$A$2:$A$419,0)),"")))</f>
        <v/>
      </c>
      <c r="J286" s="36" t="inlineStr">
        <is>
          <t>Low</t>
        </is>
      </c>
      <c r="K286" s="25" t="inlineStr">
        <is>
          <t>facility association ontario; high risk insurance pool canada; how long do you stay with facility association; non standard car insurance canada; refused car insurance canada</t>
        </is>
      </c>
      <c r="L286" s="36" t="inlineStr">
        <is>
          <t>Nationwide</t>
        </is>
      </c>
      <c r="M286" s="36" t="inlineStr">
        <is>
          <t>commercial</t>
        </is>
      </c>
      <c r="N286" s="36" t="inlineStr">
        <is>
          <t>MOFU</t>
        </is>
      </c>
      <c r="O286" s="25" t="inlineStr">
        <is>
          <t>Facility Association Insurance: How It Works and Leaving It</t>
        </is>
      </c>
      <c r="P286" s="36">
        <f>LEN(O286)</f>
        <v/>
      </c>
      <c r="Q286" s="25" t="inlineStr">
        <is>
          <t>Facility Association insurance explained: who ends up in Canada's residual market, how premiums are set and how to get back to standard cover. Get help.</t>
        </is>
      </c>
      <c r="R286" s="36">
        <f>LEN(Q286)</f>
        <v/>
      </c>
      <c r="S286" s="36">
        <f>IF(H286="","",IF(ISNUMBER(SEARCH(SUBSTITUTE(H286,"-"," "),SUBSTITUTE(O286,"-"," "))),"Yes","Check"))</f>
        <v/>
      </c>
      <c r="T286" s="25" t="inlineStr">
        <is>
          <t>What is the Facility Association? | Who gets placed there and why | Which provinces it operates in | How Facility Association premiums are set | Non-standard insurers: the step in between | A plan to return to standard insurance</t>
        </is>
      </c>
      <c r="U286" s="25" t="inlineStr">
        <is>
          <t>How long do you stay with the Facility Association? | Is the Facility Association more expensive? | Can an advisor place me with the Facility Association? | Does the Facility Association operate in BC or Quebec?</t>
        </is>
      </c>
      <c r="V286" s="25" t="inlineStr">
        <is>
          <t>Placement ladder diagram (standard, non-standard, Facility Association) with typical triggers, plus a 36-month plan for returning to standard insurance.</t>
        </is>
      </c>
      <c r="W286" s="25" t="inlineStr">
        <is>
          <t>/car-insurance/high-risk-drivers/; /guides/car-insurance-after-licence-suspension/; /guides/car-insurance-after-impaired-driving-conviction/; /guides/car-insurance-cancelled-for-non-payment/</t>
        </is>
      </c>
      <c r="X286" s="25" t="inlineStr">
        <is>
          <t>Request a specialist call: High-risk auto desk (/car-insurance/high-risk-drivers/)</t>
        </is>
      </c>
      <c r="Y286" s="36" t="inlineStr">
        <is>
          <t>Article; FAQPage; BreadcrumbList</t>
        </is>
      </c>
      <c r="Z286" s="37" t="n">
        <v>1500</v>
      </c>
      <c r="AA286" s="25" t="inlineStr">
        <is>
          <t>Ratehub and Rates.ca have Facility Association company pages; neither gives a placement ladder or a plan to return to standard rates.</t>
        </is>
      </c>
      <c r="AB286" s="25" t="inlineStr">
        <is>
          <t>Focus keyword in H1, slug, meta title, first 100 words and first H2; define the Facility Association in 40-60 words. Embed the ladder diagram (alt: 'standard, non-standard and Facility Association car insurance markets'), link the high-risk desk, and cite facilityassociation.com. Review annually.</t>
        </is>
      </c>
      <c r="AC286" s="25" t="inlineStr">
        <is>
          <t>Verify the Facility Association's mandate and provinces served at facilityassociation.com. Do not promise a timeline to leave; describe it as typical.</t>
        </is>
      </c>
      <c r="AD286" s="36" t="inlineStr">
        <is>
          <t>Annual</t>
        </is>
      </c>
      <c r="AE286" s="38" t="n"/>
      <c r="AF286" s="38" t="n"/>
      <c r="AG286" s="38" t="n"/>
    </row>
    <row r="287" ht="35.05" customHeight="1" s="22">
      <c r="A287" s="36">
        <f>"B"&amp;TEXT(ROW()-1,"0000")</f>
        <v/>
      </c>
      <c r="B287" s="38" t="inlineStr">
        <is>
          <t>Planned</t>
        </is>
      </c>
      <c r="C287" s="36" t="n">
        <v>2</v>
      </c>
      <c r="D287" s="36" t="inlineStr">
        <is>
          <t>Car insurance</t>
        </is>
      </c>
      <c r="E287" s="36" t="inlineStr">
        <is>
          <t>Personas: high-risk drivers</t>
        </is>
      </c>
      <c r="F287" s="25" t="inlineStr">
        <is>
          <t>How Much Does a Speeding Ticket Raise Insurance in Ontario?</t>
        </is>
      </c>
      <c r="G287" s="36" t="inlineStr">
        <is>
          <t>https://instasure.ca/guides/speeding-ticket-insurance-increase-ontario/</t>
        </is>
      </c>
      <c r="H287" s="36" t="inlineStr">
        <is>
          <t>how much does a speeding ticket raise insurance ontario</t>
        </is>
      </c>
      <c r="I287" s="41">
        <f>IFERROR(INDEX('Nationwide KWs'!$D$2:$D$168,MATCH(H287,'Nationwide KWs'!$A$2:$A$168,0)),IFERROR(INDEX('Provincial KWs'!$E$2:$E$137,MATCH(H287,'Provincial KWs'!$A$2:$A$137,0)),IFERROR(INDEX('City KWs'!$F$2:$F$419,MATCH(H287,'City KWs'!$A$2:$A$419,0)),"")))</f>
        <v/>
      </c>
      <c r="J287" s="36" t="inlineStr">
        <is>
          <t>Low</t>
        </is>
      </c>
      <c r="K287" s="25" t="inlineStr">
        <is>
          <t>do speeding tickets affect insurance ontario; minor vs major convictions insurance; how long do tickets stay on insurance ontario; demerit points insurance</t>
        </is>
      </c>
      <c r="L287" s="36" t="inlineStr">
        <is>
          <t>Province: Ontario</t>
        </is>
      </c>
      <c r="M287" s="36" t="inlineStr">
        <is>
          <t>informational</t>
        </is>
      </c>
      <c r="N287" s="36" t="inlineStr">
        <is>
          <t>MOFU</t>
        </is>
      </c>
      <c r="O287" s="25" t="inlineStr">
        <is>
          <t>How Much Does a Speeding Ticket Raise Insurance in Ontario?</t>
        </is>
      </c>
      <c r="P287" s="36">
        <f>LEN(O287)</f>
        <v/>
      </c>
      <c r="Q287" s="25" t="inlineStr">
        <is>
          <t>How much does a speeding ticket raise insurance in Ontario? Minor, major and serious convictions explained and how long tickets count. Get an estimate.</t>
        </is>
      </c>
      <c r="R287" s="36">
        <f>LEN(Q287)</f>
        <v/>
      </c>
      <c r="S287" s="36">
        <f>IF(H287="","",IF(ISNUMBER(SEARCH(SUBSTITUTE(H287,"-"," "),SUBSTITUTE(O287,"-"," "))),"Yes","Check"))</f>
        <v/>
      </c>
      <c r="T287" s="25" t="inlineStr">
        <is>
          <t>How much does a speeding ticket raise insurance in Ontario? | Minor, major and criminal convictions | Demerit points vs insurance convictions | How long tickets affect your premium | Ticket forgiveness and multiple tickets | Should you fight a ticket? Insurance considerations</t>
        </is>
      </c>
      <c r="U287" s="25" t="inlineStr">
        <is>
          <t>Does one speeding ticket raise insurance in Ontario? | How long does a speeding ticket stay on my insurance? | Do demerit points affect insurance? | Is paying a ticket an admission that affects insurance?</t>
        </is>
      </c>
      <c r="V287" s="25" t="inlineStr">
        <is>
          <t>Conviction-class table (examples, typical insurer classification, lookback) and the modelled premium impact of one and two minor tickets for a stated profile.</t>
        </is>
      </c>
      <c r="W287" s="25" t="inlineStr">
        <is>
          <t>/car-insurance/high-risk-drivers/; /car-insurance/ontario/; /guides/stunt-driving-insurance-ontario/; /guides/car-insurance-after-accident/</t>
        </is>
      </c>
      <c r="X287" s="25" t="inlineStr">
        <is>
          <t>Instant car insurance estimate (/quote/car-insurance/)</t>
        </is>
      </c>
      <c r="Y287" s="36" t="inlineStr">
        <is>
          <t>Article; FAQPage; BreadcrumbList</t>
        </is>
      </c>
      <c r="Z287" s="37" t="n">
        <v>1400</v>
      </c>
      <c r="AA287" s="25" t="inlineStr">
        <is>
          <t>The research lists 'after a speeding ticket' as an open high-risk sub-guide; Rates.ca and Ratehub cover tickets only in general terms.</t>
        </is>
      </c>
      <c r="AB287" s="25" t="inlineStr">
        <is>
          <t>Focus keyword in the H1, slug, meta title, first 100 words and first H2; the 40-60 word answer explains minor convictions and typical duration. Use the conviction table, link 'stunt driving' to its guide, and review annually.</t>
        </is>
      </c>
      <c r="AC287" s="25" t="inlineStr">
        <is>
          <t>Conviction classes vary by insurer, so describe typical practice; verify demerit rules with MTO. Label modelled increases and give no legal advice on fighting tickets.</t>
        </is>
      </c>
      <c r="AD287" s="36" t="inlineStr">
        <is>
          <t>Annual</t>
        </is>
      </c>
      <c r="AE287" s="38" t="n"/>
      <c r="AF287" s="38" t="n"/>
      <c r="AG287" s="38" t="n"/>
    </row>
    <row r="288" ht="35.05" customHeight="1" s="22">
      <c r="A288" s="36">
        <f>"B"&amp;TEXT(ROW()-1,"0000")</f>
        <v/>
      </c>
      <c r="B288" s="38" t="inlineStr">
        <is>
          <t>Planned</t>
        </is>
      </c>
      <c r="C288" s="36" t="n">
        <v>2</v>
      </c>
      <c r="D288" s="36" t="inlineStr">
        <is>
          <t>Car insurance</t>
        </is>
      </c>
      <c r="E288" s="36" t="inlineStr">
        <is>
          <t>Personas: high-risk drivers</t>
        </is>
      </c>
      <c r="F288" s="25" t="inlineStr">
        <is>
          <t>Stunt Driving in Ontario: Penalties and What Happens to Your Insurance</t>
        </is>
      </c>
      <c r="G288" s="36" t="inlineStr">
        <is>
          <t>https://instasure.ca/guides/stunt-driving-insurance-ontario/</t>
        </is>
      </c>
      <c r="H288" s="36" t="inlineStr">
        <is>
          <t>stunt driving insurance ontario</t>
        </is>
      </c>
      <c r="I288" s="41">
        <f>IFERROR(INDEX('Nationwide KWs'!$D$2:$D$168,MATCH(H288,'Nationwide KWs'!$A$2:$A$168,0)),IFERROR(INDEX('Provincial KWs'!$E$2:$E$137,MATCH(H288,'Provincial KWs'!$A$2:$A$137,0)),IFERROR(INDEX('City KWs'!$F$2:$F$419,MATCH(H288,'City KWs'!$A$2:$A$419,0)),"")))</f>
        <v/>
      </c>
      <c r="J288" s="36" t="inlineStr">
        <is>
          <t>Low</t>
        </is>
      </c>
      <c r="K288" s="25" t="inlineStr">
        <is>
          <t>stunt driving charge insurance; 50 over speeding ontario insurance; stunt driving licence suspension ontario; racing conviction insurance; insurance after stunt driving</t>
        </is>
      </c>
      <c r="L288" s="36" t="inlineStr">
        <is>
          <t>Province: Ontario</t>
        </is>
      </c>
      <c r="M288" s="36" t="inlineStr">
        <is>
          <t>informational</t>
        </is>
      </c>
      <c r="N288" s="36" t="inlineStr">
        <is>
          <t>MOFU</t>
        </is>
      </c>
      <c r="O288" s="25" t="inlineStr">
        <is>
          <t>Stunt Driving Insurance in Ontario: Penalties and Premiums</t>
        </is>
      </c>
      <c r="P288" s="36">
        <f>LEN(O288)</f>
        <v/>
      </c>
      <c r="Q288" s="25" t="inlineStr">
        <is>
          <t>Stunt driving insurance in Ontario: roadside penalties, what a conviction does to premiums, whether insurers cancel and how to find cover. Get help now.</t>
        </is>
      </c>
      <c r="R288" s="36">
        <f>LEN(Q288)</f>
        <v/>
      </c>
      <c r="S288" s="36">
        <f>IF(H288="","",IF(ISNUMBER(SEARCH(SUBSTITUTE(H288,"-"," "),SUBSTITUTE(O288,"-"," "))),"Yes","Check"))</f>
        <v/>
      </c>
      <c r="T288" s="25" t="inlineStr">
        <is>
          <t>What does a stunt driving charge do to your insurance? | Roadside penalties: suspension and impound | Charge vs conviction: when insurers react | Cancellation, non-renewal and high-risk markets | How long a stunt conviction affects premiums | Getting coverage while a charge is pending</t>
        </is>
      </c>
      <c r="U288" s="25" t="inlineStr">
        <is>
          <t>Will my insurance be cancelled for stunt driving in Ontario? | Does a stunt driving charge affect insurance before conviction? | How long does a stunt driving conviction stay on insurance? | Is 50 km/h over always stunt driving?</t>
        </is>
      </c>
      <c r="V288" s="25" t="inlineStr">
        <is>
          <t>Timeline from roadside stop to court outcome with insurance touchpoints, plus a table of Ontario stunt-driving penalties with Highway Traffic Act references.</t>
        </is>
      </c>
      <c r="W288" s="25" t="inlineStr">
        <is>
          <t>/car-insurance/high-risk-drivers/; /guides/car-insurance-after-licence-suspension/; /guides/facility-association-car-insurance/; /guides/speeding-ticket-insurance-increase-ontario/</t>
        </is>
      </c>
      <c r="X288" s="25" t="inlineStr">
        <is>
          <t>Request a specialist call: High-risk auto desk (/car-insurance/high-risk-drivers/)</t>
        </is>
      </c>
      <c r="Y288" s="36" t="inlineStr">
        <is>
          <t>Article; FAQPage; BreadcrumbList</t>
        </is>
      </c>
      <c r="Z288" s="37" t="n">
        <v>1400</v>
      </c>
      <c r="AA288" s="25" t="inlineStr">
        <is>
          <t>No competitor coverage seen.</t>
        </is>
      </c>
      <c r="AB288" s="25" t="inlineStr">
        <is>
          <t>Focus keyword in H1, slug, meta title, first 100 words and first H2; the 40-60 word answer separates roadside penalties from insurance effects. Use the timeline, link the high-risk desk, and update whenever HTA penalties change.</t>
        </is>
      </c>
      <c r="AC288" s="25" t="inlineStr">
        <is>
          <t>Verify current stunt-driving thresholds and penalties (suspension length, impound) in the Highway Traffic Act and on MTO pages. Give no legal advice.</t>
        </is>
      </c>
      <c r="AD288" s="36" t="inlineStr">
        <is>
          <t>On rule change</t>
        </is>
      </c>
      <c r="AE288" s="38" t="n"/>
      <c r="AF288" s="38" t="n"/>
      <c r="AG288" s="38" t="n"/>
    </row>
    <row r="289" ht="35.05" customHeight="1" s="22">
      <c r="A289" s="36">
        <f>"B"&amp;TEXT(ROW()-1,"0000")</f>
        <v/>
      </c>
      <c r="B289" s="38" t="inlineStr">
        <is>
          <t>Planned</t>
        </is>
      </c>
      <c r="C289" s="36" t="n">
        <v>2</v>
      </c>
      <c r="D289" s="36" t="inlineStr">
        <is>
          <t>Car insurance</t>
        </is>
      </c>
      <c r="E289" s="36" t="inlineStr">
        <is>
          <t>Personas: new drivers</t>
        </is>
      </c>
      <c r="F289" s="25" t="inlineStr">
        <is>
          <t>Adding a Teen Driver to Your Car Insurance: Costs and Smart Moves</t>
        </is>
      </c>
      <c r="G289" s="36" t="inlineStr">
        <is>
          <t>https://instasure.ca/guides/adding-teen-driver-to-car-insurance/</t>
        </is>
      </c>
      <c r="H289" s="36" t="inlineStr">
        <is>
          <t>adding a teenager to car insurance</t>
        </is>
      </c>
      <c r="I289" s="41">
        <f>IFERROR(INDEX('Nationwide KWs'!$D$2:$D$168,MATCH(H289,'Nationwide KWs'!$A$2:$A$168,0)),IFERROR(INDEX('Provincial KWs'!$E$2:$E$137,MATCH(H289,'Provincial KWs'!$A$2:$A$137,0)),IFERROR(INDEX('City KWs'!$F$2:$F$419,MATCH(H289,'City KWs'!$A$2:$A$419,0)),"")))</f>
        <v/>
      </c>
      <c r="J289" s="36" t="inlineStr">
        <is>
          <t>Low</t>
        </is>
      </c>
      <c r="K289" s="25" t="inlineStr">
        <is>
          <t>how much does it cost to add a teenager to car insurance; teen driver insurance canada; occasional driver teen; good student discount canada; cheapest car for teen driver</t>
        </is>
      </c>
      <c r="L289" s="36" t="inlineStr">
        <is>
          <t>Nationwide</t>
        </is>
      </c>
      <c r="M289" s="36" t="inlineStr">
        <is>
          <t>commercial</t>
        </is>
      </c>
      <c r="N289" s="36" t="inlineStr">
        <is>
          <t>MOFU</t>
        </is>
      </c>
      <c r="O289" s="25" t="inlineStr">
        <is>
          <t>Adding a Teenager to Car Insurance: Costs and Smart Moves</t>
        </is>
      </c>
      <c r="P289" s="36">
        <f>LEN(O289)</f>
        <v/>
      </c>
      <c r="Q289" s="25" t="inlineStr">
        <is>
          <t>Adding a teenager to car insurance in Canada: when to list, occasional vs principal, the likely cost increase and ways to keep it down. Estimate yours.</t>
        </is>
      </c>
      <c r="R289" s="36">
        <f>LEN(Q289)</f>
        <v/>
      </c>
      <c r="S289" s="36">
        <f>IF(H289="","",IF(ISNUMBER(SEARCH(SUBSTITUTE(H289,"-"," "),SUBSTITUTE(O289,"-"," "))),"Yes","Check"))</f>
        <v/>
      </c>
      <c r="T289" s="25" t="inlineStr">
        <is>
          <t>How much does adding a teen driver cost? | When you must list a teen driver | Occasional vs principal driver: getting it right | Which car the teen drives matters | Discounts for students and driver training | Teen drivers away at school</t>
        </is>
      </c>
      <c r="U289" s="25" t="inlineStr">
        <is>
          <t>Do I have to add my 16-year-old with a G1 to my policy? | Is it cheaper to add a teen to my policy or get their own? | Can I list my teen as an occasional driver? | Is there a good student discount in Canada?</t>
        </is>
      </c>
      <c r="V289" s="25" t="inlineStr">
        <is>
          <t>Before-and-after estimate table for one household profile in Ontario and Alberta, plus a decision checklist (which car, listing status, discounts).</t>
        </is>
      </c>
      <c r="W289" s="25" t="inlineStr">
        <is>
          <t>/car-insurance/new-drivers/; /guides/g1-g2-car-insurance-ontario/; /guides/does-my-insurance-cover-other-drivers/; /guides/student-car-insurance-canada/</t>
        </is>
      </c>
      <c r="X289" s="25" t="inlineStr">
        <is>
          <t>Instant car insurance estimate (/quote/car-insurance/)</t>
        </is>
      </c>
      <c r="Y289" s="36" t="inlineStr">
        <is>
          <t>Article; FAQPage; BreadcrumbList</t>
        </is>
      </c>
      <c r="Z289" s="37" t="n">
        <v>1600</v>
      </c>
      <c r="AA289" s="25" t="inlineStr">
        <is>
          <t>Rates.ca has 'how to insure your teenage driver' resources and Ratehub a young-drivers page; no competitor gives a modelled before-and-after household estimate.</t>
        </is>
      </c>
      <c r="AB289" s="25" t="inlineStr">
        <is>
          <t>Focus keyword in H1, slug, meta title, first 100 words and first H2; the 40-60 word answer explains listing and the occasional-driver rule. Show the household table, link 'G1/G2' to the Ontario stage guide, and add a fronting warning. Review annually.</t>
        </is>
      </c>
      <c r="AC289" s="25" t="inlineStr">
        <is>
          <t>Label estimates with profile and date, and warn that misrating a principal driver as occasional is misrepresentation. Discount availability varies by insurer.</t>
        </is>
      </c>
      <c r="AD289" s="36" t="inlineStr">
        <is>
          <t>Annual</t>
        </is>
      </c>
      <c r="AE289" s="38" t="n"/>
      <c r="AF289" s="38" t="n"/>
      <c r="AG289" s="38" t="n"/>
    </row>
    <row r="290" ht="35.05" customHeight="1" s="22">
      <c r="A290" s="36">
        <f>"B"&amp;TEXT(ROW()-1,"0000")</f>
        <v/>
      </c>
      <c r="B290" s="38" t="inlineStr">
        <is>
          <t>Planned</t>
        </is>
      </c>
      <c r="C290" s="36" t="n">
        <v>2</v>
      </c>
      <c r="D290" s="36" t="inlineStr">
        <is>
          <t>Car insurance</t>
        </is>
      </c>
      <c r="E290" s="36" t="inlineStr">
        <is>
          <t>Personas: new drivers</t>
        </is>
      </c>
      <c r="F290" s="25" t="inlineStr">
        <is>
          <t>G1, G2 and G Car Insurance in Ontario: Costs at Each Stage</t>
        </is>
      </c>
      <c r="G290" s="36" t="inlineStr">
        <is>
          <t>https://instasure.ca/guides/g1-g2-car-insurance-ontario/</t>
        </is>
      </c>
      <c r="H290" s="36" t="inlineStr">
        <is>
          <t>g2 car insurance ontario</t>
        </is>
      </c>
      <c r="I290" s="41">
        <f>IFERROR(INDEX('Nationwide KWs'!$D$2:$D$168,MATCH(H290,'Nationwide KWs'!$A$2:$A$168,0)),IFERROR(INDEX('Provincial KWs'!$E$2:$E$137,MATCH(H290,'Provincial KWs'!$A$2:$A$137,0)),IFERROR(INDEX('City KWs'!$F$2:$F$419,MATCH(H290,'City KWs'!$A$2:$A$419,0)),"")))</f>
        <v/>
      </c>
      <c r="J290" s="36" t="inlineStr">
        <is>
          <t>Medium</t>
        </is>
      </c>
      <c r="K290" s="25" t="inlineStr">
        <is>
          <t>g1 insurance ontario; do you need insurance with a g1; how much is insurance for a g2 driver; driver training discount ontario; new driver insurance ontario</t>
        </is>
      </c>
      <c r="L290" s="36" t="inlineStr">
        <is>
          <t>Province: Ontario</t>
        </is>
      </c>
      <c r="M290" s="36" t="inlineStr">
        <is>
          <t>commercial</t>
        </is>
      </c>
      <c r="N290" s="36" t="inlineStr">
        <is>
          <t>MOFU</t>
        </is>
      </c>
      <c r="O290" s="25" t="inlineStr">
        <is>
          <t>G2 Car Insurance in Ontario: Costs at G1, G2 and G Stages</t>
        </is>
      </c>
      <c r="P290" s="36">
        <f>LEN(O290)</f>
        <v/>
      </c>
      <c r="Q290" s="25" t="inlineStr">
        <is>
          <t>G2 car insurance in Ontario explained: whether G1 drivers need a policy, what G2 drivers typically pay and when a full G cuts rates. Get an estimate.</t>
        </is>
      </c>
      <c r="R290" s="36">
        <f>LEN(Q290)</f>
        <v/>
      </c>
      <c r="S290" s="36">
        <f>IF(H290="","",IF(ISNUMBER(SEARCH(SUBSTITUTE(H290,"-"," "),SUBSTITUTE(O290,"-"," "))),"Yes","Check"))</f>
        <v/>
      </c>
      <c r="T290" s="25" t="inlineStr">
        <is>
          <t>How much is car insurance for a G2 driver in Ontario? | Do G1 drivers need their own insurance? | G2: costs, restrictions and listing rules | Driver training certificates and years-licensed credit | When rates fall after your full G | Ways new Ontario drivers can lower the cost</t>
        </is>
      </c>
      <c r="U290" s="25" t="inlineStr">
        <is>
          <t>Do I need car insurance with a G1 in Ontario? | Is G2 insurance cheaper on my parents' policy? | Does a driver training course lower insurance in Ontario? | When does insurance go down after getting my G?</t>
        </is>
      </c>
      <c r="V290" s="25" t="inlineStr">
        <is>
          <t>Stage table (G1, G2, G under 3 years, G with 3+ years) with Instasure-modelled estimate ranges for one stated profile in two cities, labelled with an 'as of' month.</t>
        </is>
      </c>
      <c r="W290" s="25" t="inlineStr">
        <is>
          <t>/car-insurance/new-drivers/; /car-insurance/ontario/; /guides/adding-teen-driver-to-car-insurance/; /guides/car-insurance-cost-by-age-ontario/</t>
        </is>
      </c>
      <c r="X290" s="25" t="inlineStr">
        <is>
          <t>Instant car insurance estimate (/quote/car-insurance/)</t>
        </is>
      </c>
      <c r="Y290" s="36" t="inlineStr">
        <is>
          <t>Article; FAQPage; BreadcrumbList</t>
        </is>
      </c>
      <c r="Z290" s="37" t="n">
        <v>1700</v>
      </c>
      <c r="AA290" s="25" t="inlineStr">
        <is>
          <t>Rates.ca has a G2 money page and a G1 resource; Ratehub covers G1 and G2 only in blog posts. Neither shows modelled costs per stage across cities.</t>
        </is>
      </c>
      <c r="AB290" s="25" t="inlineStr">
        <is>
          <t>Focus keyword in H1, slug, meta title, first 100 words and first H2; the 40-60 word answer gives the typical G2 range for the stated profile and the listing rule. Lead with the stage table, link the new-drivers service page with 'car insurance for new drivers' anchor, and cite MTO for licence rules. Review annually.</t>
        </is>
      </c>
      <c r="AC290" s="25" t="inlineStr">
        <is>
          <t>Verify licensing rules with MTO/ServiceOntario and driver-training discount practice with insurers. Label estimates and avoid 'from $X' claims.</t>
        </is>
      </c>
      <c r="AD290" s="36" t="inlineStr">
        <is>
          <t>Annual</t>
        </is>
      </c>
      <c r="AE290" s="38" t="n"/>
      <c r="AF290" s="38" t="n"/>
      <c r="AG290" s="38" t="n"/>
    </row>
    <row r="291" ht="35.05" customHeight="1" s="22">
      <c r="A291" s="36">
        <f>"B"&amp;TEXT(ROW()-1,"0000")</f>
        <v/>
      </c>
      <c r="B291" s="38" t="inlineStr">
        <is>
          <t>Planned</t>
        </is>
      </c>
      <c r="C291" s="36" t="n">
        <v>2</v>
      </c>
      <c r="D291" s="36" t="inlineStr">
        <is>
          <t>Car insurance</t>
        </is>
      </c>
      <c r="E291" s="36" t="inlineStr">
        <is>
          <t>Personas: newcomers</t>
        </is>
      </c>
      <c r="F291" s="25" t="inlineStr">
        <is>
          <t>Car Insurance With Foreign Driving Experience: How to Get Credit</t>
        </is>
      </c>
      <c r="G291" s="36" t="inlineStr">
        <is>
          <t>https://instasure.ca/guides/car-insurance-foreign-driving-experience-canada/</t>
        </is>
      </c>
      <c r="H291" s="36" t="inlineStr">
        <is>
          <t>car insurance with foreign driving experience</t>
        </is>
      </c>
      <c r="I291" s="41">
        <f>IFERROR(INDEX('Nationwide KWs'!$D$2:$D$168,MATCH(H291,'Nationwide KWs'!$A$2:$A$168,0)),IFERROR(INDEX('Provincial KWs'!$E$2:$E$137,MATCH(H291,'Provincial KWs'!$A$2:$A$137,0)),IFERROR(INDEX('City KWs'!$F$2:$F$419,MATCH(H291,'City KWs'!$A$2:$A$419,0)),"")))</f>
        <v/>
      </c>
      <c r="J291" s="36" t="inlineStr">
        <is>
          <t>Low</t>
        </is>
      </c>
      <c r="K291" s="25" t="inlineStr">
        <is>
          <t>driving experience letter for insurance; international driving licence insurance canada; licence exchange ontario countries; new to canada car insurance; proof of driving experience</t>
        </is>
      </c>
      <c r="L291" s="36" t="inlineStr">
        <is>
          <t>Nationwide</t>
        </is>
      </c>
      <c r="M291" s="36" t="inlineStr">
        <is>
          <t>commercial</t>
        </is>
      </c>
      <c r="N291" s="36" t="inlineStr">
        <is>
          <t>MOFU</t>
        </is>
      </c>
      <c r="O291" s="25" t="inlineStr">
        <is>
          <t>Car Insurance With Foreign Driving Experience in Canada</t>
        </is>
      </c>
      <c r="P291" s="36">
        <f>LEN(O291)</f>
        <v/>
      </c>
      <c r="Q291" s="25" t="inlineStr">
        <is>
          <t>Car insurance with foreign driving experience: which licences exchange, how insurers credit years abroad and the proof letter you need. Talk to our desk.</t>
        </is>
      </c>
      <c r="R291" s="36">
        <f>LEN(Q291)</f>
        <v/>
      </c>
      <c r="S291" s="36">
        <f>IF(H291="","",IF(ISNUMBER(SEARCH(SUBSTITUTE(H291,"-"," "),SUBSTITUTE(O291,"-"," "))),"Yes","Check"))</f>
        <v/>
      </c>
      <c r="T291" s="25" t="inlineStr">
        <is>
          <t>Can foreign driving experience lower your car insurance? | Licence exchange: reciprocal countries by province | How insurers count years licensed abroad | The proof-of-experience letter: what it must say | Getting a letter from your old insurer | What to do if you have no proof</t>
        </is>
      </c>
      <c r="U291" s="25" t="inlineStr">
        <is>
          <t>Do Canadian insurers accept foreign driving experience? | How do I get a driving experience letter from India or the Philippines? | Can I drive in Ontario with an international licence? | Does an international driving permit help with insurance?</t>
        </is>
      </c>
      <c r="V291" s="25" t="inlineStr">
        <is>
          <t>Country-by-province table of licence-exchange status for 15 high-volume newcomer countries, plus a proof-of-experience letter template and translation tips.</t>
        </is>
      </c>
      <c r="W291" s="25" t="inlineStr">
        <is>
          <t>/car-insurance/newcomers/; /guides/car-insurance-newcomers-from-india/; /car-insurance/new-drivers/; /life-insurance/newcomers/</t>
        </is>
      </c>
      <c r="X291" s="25" t="inlineStr">
        <is>
          <t>Request a specialist call: Newcomer driver desk (/car-insurance/newcomers/)</t>
        </is>
      </c>
      <c r="Y291" s="36" t="inlineStr">
        <is>
          <t>Article; FAQPage; BreadcrumbList</t>
        </is>
      </c>
      <c r="Z291" s="37" t="n">
        <v>1800</v>
      </c>
      <c r="AA291" s="25" t="inlineStr">
        <is>
          <t>Ratehub and Rates.ca have one generic newcomer page each; no country-by-country proof-of-experience guidance exists (research gap).</t>
        </is>
      </c>
      <c r="AB291" s="25" t="inlineStr">
        <is>
          <t>Focus keyword in H1, slug, meta title, first 100 words and first H2; the 40-60 word answer explains that proof letters and licence history decide the credit. Lead with the country table, offer the letter template as a download, and link the newcomer desk with 'car insurance for newcomers' anchor. Review annually.</t>
        </is>
      </c>
      <c r="AC291" s="25" t="inlineStr">
        <is>
          <t>Verify reciprocal licence-exchange lists with MTO, Alberta Registries and ICBC. Insurer acceptance of foreign experience varies, so do not promise credit.</t>
        </is>
      </c>
      <c r="AD291" s="36" t="inlineStr">
        <is>
          <t>Annual</t>
        </is>
      </c>
      <c r="AE291" s="38" t="n"/>
      <c r="AF291" s="38" t="n"/>
      <c r="AG291" s="38" t="n"/>
    </row>
    <row r="292" ht="35.05" customHeight="1" s="22">
      <c r="A292" s="36">
        <f>"B"&amp;TEXT(ROW()-1,"0000")</f>
        <v/>
      </c>
      <c r="B292" s="38" t="inlineStr">
        <is>
          <t>Planned</t>
        </is>
      </c>
      <c r="C292" s="36" t="n">
        <v>2</v>
      </c>
      <c r="D292" s="36" t="inlineStr">
        <is>
          <t>Car insurance</t>
        </is>
      </c>
      <c r="E292" s="36" t="inlineStr">
        <is>
          <t>Personas: newcomers</t>
        </is>
      </c>
      <c r="F292" s="25" t="inlineStr">
        <is>
          <t>Car Insurance for Newcomers From India: Licence, Experience and Cost</t>
        </is>
      </c>
      <c r="G292" s="36" t="inlineStr">
        <is>
          <t>https://instasure.ca/guides/car-insurance-newcomers-from-india/</t>
        </is>
      </c>
      <c r="H292" s="36" t="inlineStr">
        <is>
          <t>car insurance for newcomers from india</t>
        </is>
      </c>
      <c r="I292" s="41">
        <f>IFERROR(INDEX('Nationwide KWs'!$D$2:$D$168,MATCH(H292,'Nationwide KWs'!$A$2:$A$168,0)),IFERROR(INDEX('Provincial KWs'!$E$2:$E$137,MATCH(H292,'Provincial KWs'!$A$2:$A$137,0)),IFERROR(INDEX('City KWs'!$F$2:$F$419,MATCH(H292,'City KWs'!$A$2:$A$419,0)),"")))</f>
        <v/>
      </c>
      <c r="J292" s="36" t="inlineStr">
        <is>
          <t>Niche</t>
        </is>
      </c>
      <c r="K292" s="25" t="inlineStr">
        <is>
          <t>indian driving licence in ontario; indian licence in canada; driving experience letter india; car insurance brampton newcomers; indian licence exchange alberta</t>
        </is>
      </c>
      <c r="L292" s="36" t="inlineStr">
        <is>
          <t>Nationwide</t>
        </is>
      </c>
      <c r="M292" s="36" t="inlineStr">
        <is>
          <t>commercial</t>
        </is>
      </c>
      <c r="N292" s="36" t="inlineStr">
        <is>
          <t>MOFU</t>
        </is>
      </c>
      <c r="O292" s="25" t="inlineStr">
        <is>
          <t>Car Insurance for Newcomers From India: Licence and Cost</t>
        </is>
      </c>
      <c r="P292" s="36">
        <f>LEN(O292)</f>
        <v/>
      </c>
      <c r="Q292" s="25" t="inlineStr">
        <is>
          <t>Car insurance for newcomers from India: using an Indian licence in Canada, road tests, experience letters from Indian insurers and cutting costs. Get help.</t>
        </is>
      </c>
      <c r="R292" s="36">
        <f>LEN(Q292)</f>
        <v/>
      </c>
      <c r="S292" s="36">
        <f>IF(H292="","",IF(ISNUMBER(SEARCH(SUBSTITUTE(H292,"-"," "),SUBSTITUTE(O292,"-"," "))),"Yes","Check"))</f>
        <v/>
      </c>
      <c r="T292" s="25" t="inlineStr">
        <is>
          <t>Can newcomers from India get affordable car insurance? | Using an Indian driving licence in Canada | Road tests and licence stages by province | Getting proof of insurance history from India | Brampton, Mississauga and Surrey: why rates differ | Ways to lower your first-year premium</t>
        </is>
      </c>
      <c r="U292" s="25" t="inlineStr">
        <is>
          <t>Can I drive in Ontario with an Indian licence? | Does Canada accept Indian driving experience for insurance? | How do I get a no-claims letter from an Indian insurer? | Why is car insurance so high for newcomers in Brampton?</t>
        </is>
      </c>
      <c r="V292" s="25" t="inlineStr">
        <is>
          <t>Step-by-step path from arrival to full licence in Ontario, Alberta and BC for Indian licence holders, plus a sample letter requesting insurance history, in English with Hindi and Punjabi versions.</t>
        </is>
      </c>
      <c r="W292" s="25" t="inlineStr">
        <is>
          <t>/car-insurance/newcomers/; /guides/car-insurance-foreign-driving-experience-canada/; /car-insurance/ontario/brampton/; /car-insurance/british-columbia/surrey/</t>
        </is>
      </c>
      <c r="X292" s="25" t="inlineStr">
        <is>
          <t>Request a specialist call: Newcomer driver desk (/car-insurance/newcomers/)</t>
        </is>
      </c>
      <c r="Y292" s="36" t="inlineStr">
        <is>
          <t>Article; FAQPage; BreadcrumbList</t>
        </is>
      </c>
      <c r="Z292" s="37" t="n">
        <v>1600</v>
      </c>
      <c r="AA292" s="25" t="inlineStr">
        <is>
          <t>No competitor coverage seen for country-specific newcomer pages.</t>
        </is>
      </c>
      <c r="AB292" s="25" t="inlineStr">
        <is>
          <t>Focus keyword in H1, slug, meta title, first 100 words and first H2; the 40-60 word answer covers licence use, road tests and proof letters. Use a three-province path table, link Brampton and Surrey with 'car insurance in {City}' anchors, and offer the letter in three languages. Review annually.</t>
        </is>
      </c>
      <c r="AC292" s="25" t="inlineStr">
        <is>
          <t>Verify in each province that India is not a reciprocal licence-exchange country and check current road-test rules. Offer language help only if advisors speak those languages ('matched where available').</t>
        </is>
      </c>
      <c r="AD292" s="36" t="inlineStr">
        <is>
          <t>Annual</t>
        </is>
      </c>
      <c r="AE292" s="38" t="n"/>
      <c r="AF292" s="38" t="n"/>
      <c r="AG292" s="38" t="n"/>
    </row>
    <row r="293" ht="35.05" customHeight="1" s="22">
      <c r="A293" s="36">
        <f>"B"&amp;TEXT(ROW()-1,"0000")</f>
        <v/>
      </c>
      <c r="B293" s="38" t="inlineStr">
        <is>
          <t>Planned</t>
        </is>
      </c>
      <c r="C293" s="36" t="n">
        <v>2</v>
      </c>
      <c r="D293" s="36" t="inlineStr">
        <is>
          <t>Car insurance</t>
        </is>
      </c>
      <c r="E293" s="36" t="inlineStr">
        <is>
          <t>Regulation</t>
        </is>
      </c>
      <c r="F293" s="25" t="inlineStr">
        <is>
          <t>Nova Scotia Car Insurance Rate Increases: UARB Decisions Tracked</t>
        </is>
      </c>
      <c r="G293" s="36" t="inlineStr">
        <is>
          <t>https://instasure.ca/guides/nova-scotia-car-insurance-rate-increases/</t>
        </is>
      </c>
      <c r="H293" s="36" t="inlineStr">
        <is>
          <t>nova scotia car insurance rate increase</t>
        </is>
      </c>
      <c r="I293" s="41">
        <f>IFERROR(INDEX('Nationwide KWs'!$D$2:$D$168,MATCH(H293,'Nationwide KWs'!$A$2:$A$168,0)),IFERROR(INDEX('Provincial KWs'!$E$2:$E$137,MATCH(H293,'Provincial KWs'!$A$2:$A$137,0)),IFERROR(INDEX('City KWs'!$F$2:$F$419,MATCH(H293,'City KWs'!$A$2:$A$419,0)),"")))</f>
        <v/>
      </c>
      <c r="J293" s="36" t="inlineStr">
        <is>
          <t>Low</t>
        </is>
      </c>
      <c r="K293" s="25" t="inlineStr">
        <is>
          <t>uarb car insurance rate decisions; nova scotia car insurance 2026; why is car insurance going up in nova scotia; halifax car insurance increase</t>
        </is>
      </c>
      <c r="L293" s="36" t="inlineStr">
        <is>
          <t>Province: Nova Scotia</t>
        </is>
      </c>
      <c r="M293" s="36" t="inlineStr">
        <is>
          <t>informational</t>
        </is>
      </c>
      <c r="N293" s="36" t="inlineStr">
        <is>
          <t>TOFU</t>
        </is>
      </c>
      <c r="O293" s="25" t="inlineStr">
        <is>
          <t>Nova Scotia Car Insurance Rate Increase Tracker by Insurer</t>
        </is>
      </c>
      <c r="P293" s="36">
        <f>LEN(O293)</f>
        <v/>
      </c>
      <c r="Q293" s="25" t="inlineStr">
        <is>
          <t>Nova Scotia car insurance rate increase tracker: approved changes by insurer from UARB decisions, what drives them and what to do at renewal. Check yours.</t>
        </is>
      </c>
      <c r="R293" s="36">
        <f>LEN(Q293)</f>
        <v/>
      </c>
      <c r="S293" s="36">
        <f>IF(H293="","",IF(ISNUMBER(SEARCH(SUBSTITUTE(H293,"-"," "),SUBSTITUTE(O293,"-"," "))),"Yes","Check"))</f>
        <v/>
      </c>
      <c r="T293" s="25" t="inlineStr">
        <is>
          <t>How much are Nova Scotia car insurance rates rising? | Approved rate changes by insurer (dated table) | How the UARB reviews rate filings | Why Nova Scotia rates are moving | What an approval means for your renewal | How to shop around in Nova Scotia</t>
        </is>
      </c>
      <c r="U293" s="25" t="inlineStr">
        <is>
          <t>Who approves car insurance rate increases in Nova Scotia? | Does an approved increase apply to every driver? | Why did my premium rise more than the approved rate? | How often does the UARB publish decisions?</t>
        </is>
      </c>
      <c r="V293" s="25" t="inlineStr">
        <is>
          <t>Quarterly table of UARB-approved rate changes by insurer with decision and effective dates, linked to each decision: the first Atlantic rate tracker of its kind.</t>
        </is>
      </c>
      <c r="W293" s="25" t="inlineStr">
        <is>
          <t>/car-insurance/nova-scotia/; /car-insurance/nova-scotia/halifax/; /guides/who-regulates-car-insurance-by-province/; /guides/car-insurance-renewal-checklist/</t>
        </is>
      </c>
      <c r="X293" s="25" t="inlineStr">
        <is>
          <t>Instant car insurance estimate (/quote/car-insurance/)</t>
        </is>
      </c>
      <c r="Y293" s="36" t="inlineStr">
        <is>
          <t>Article; FAQPage; BreadcrumbList</t>
        </is>
      </c>
      <c r="Z293" s="37" t="n">
        <v>1300</v>
      </c>
      <c r="AA293" s="25" t="inlineStr">
        <is>
          <t>No competitor coverage seen; Rates.ca tracks only Ontario and Alberta filings.</t>
        </is>
      </c>
      <c r="AB293" s="25" t="inlineStr">
        <is>
          <t>Focus keyword in H1, slug, meta title, first 100 words and first H2; the 40-60 word answer gives the latest quarter's range of approved changes with the date. Keep the table sortable by insurer and date, link Halifax with 'car insurance in Halifax' anchor, and update each quarter.</t>
        </is>
      </c>
      <c r="AC293" s="25" t="inlineStr">
        <is>
          <t>Before committing, confirm the UARB publishes auto rate decisions in a usable form; every row needs a decision reference and date. Say that an approved average change is not each driver's change.</t>
        </is>
      </c>
      <c r="AD293" s="36" t="inlineStr">
        <is>
          <t>Quarterly</t>
        </is>
      </c>
      <c r="AE293" s="38" t="n"/>
      <c r="AF293" s="38" t="n"/>
      <c r="AG293" s="38" t="n"/>
    </row>
    <row r="294" ht="35.05" customHeight="1" s="22">
      <c r="A294" s="36">
        <f>"B"&amp;TEXT(ROW()-1,"0000")</f>
        <v/>
      </c>
      <c r="B294" s="38" t="inlineStr">
        <is>
          <t>Planned</t>
        </is>
      </c>
      <c r="C294" s="36" t="n">
        <v>2</v>
      </c>
      <c r="D294" s="36" t="inlineStr">
        <is>
          <t>Car insurance</t>
        </is>
      </c>
      <c r="E294" s="36" t="inlineStr">
        <is>
          <t>Theft &amp; vehicles</t>
        </is>
      </c>
      <c r="F294" s="25" t="inlineStr">
        <is>
          <t>Anti-Theft Devices and Car Insurance: Discounts, Trackers and Requirements</t>
        </is>
      </c>
      <c r="G294" s="36" t="inlineStr">
        <is>
          <t>https://instasure.ca/guides/anti-theft-devices-car-insurance/</t>
        </is>
      </c>
      <c r="H294" s="36" t="inlineStr">
        <is>
          <t>anti theft device insurance discount</t>
        </is>
      </c>
      <c r="I294" s="41">
        <f>IFERROR(INDEX('Nationwide KWs'!$D$2:$D$168,MATCH(H294,'Nationwide KWs'!$A$2:$A$168,0)),IFERROR(INDEX('Provincial KWs'!$E$2:$E$137,MATCH(H294,'Provincial KWs'!$A$2:$A$137,0)),IFERROR(INDEX('City KWs'!$F$2:$F$419,MATCH(H294,'City KWs'!$A$2:$A$419,0)),"")))</f>
        <v/>
      </c>
      <c r="J294" s="36" t="inlineStr">
        <is>
          <t>Low</t>
        </is>
      </c>
      <c r="K294" s="25" t="inlineStr">
        <is>
          <t>tracking device car insurance ontario; insurance require tracker toyota highlander; steering wheel lock insurance discount; vin etching insurance; high theft vehicle surcharge</t>
        </is>
      </c>
      <c r="L294" s="36" t="inlineStr">
        <is>
          <t>Nationwide</t>
        </is>
      </c>
      <c r="M294" s="36" t="inlineStr">
        <is>
          <t>commercial</t>
        </is>
      </c>
      <c r="N294" s="36" t="inlineStr">
        <is>
          <t>MOFU</t>
        </is>
      </c>
      <c r="O294" s="25" t="inlineStr">
        <is>
          <t>Anti-Theft Device Insurance Discounts and Tracker Rules</t>
        </is>
      </c>
      <c r="P294" s="36">
        <f>LEN(O294)</f>
        <v/>
      </c>
      <c r="Q294" s="25" t="inlineStr">
        <is>
          <t>Anti-theft device insurance discounts explained: which devices insurers credit, when trackers are required for high-theft SUVs and what they cost. Read on.</t>
        </is>
      </c>
      <c r="R294" s="36">
        <f>LEN(Q294)</f>
        <v/>
      </c>
      <c r="S294" s="36">
        <f>IF(H294="","",IF(ISNUMBER(SEARCH(SUBSTITUTE(H294,"-"," "),SUBSTITUTE(O294,"-"," "))),"Yes","Check"))</f>
        <v/>
      </c>
      <c r="T294" s="25" t="inlineStr">
        <is>
          <t>Do anti-theft devices lower car insurance? | Devices insurers recognise, and those they don't | High-theft models: surcharges and mandatory trackers | What a tracker costs vs what it saves | Proving installation to your insurer | Parking, keys and other low-cost steps</t>
        </is>
      </c>
      <c r="U294" s="25" t="inlineStr">
        <is>
          <t>Which anti-theft devices give an insurance discount? | Can my insurer require a tracker on my car? | Does a steering wheel lock lower insurance? | Will my insurer refuse to cover a high-theft vehicle?</t>
        </is>
      </c>
      <c r="V294" s="25" t="inlineStr">
        <is>
          <t>Device table (type, typical cost, whether insurers commonly credit it, evidence needed) plus a list of high-theft models that commonly trigger tracker requirements, sourced to Équité and insurer notices.</t>
        </is>
      </c>
      <c r="W294" s="25" t="inlineStr">
        <is>
          <t>/car-insurance/; /guides/most-stolen-cars-canada/; /car-insurance/ontario/brampton/; /guides/car-stolen-does-insurance-cover-theft/</t>
        </is>
      </c>
      <c r="X294" s="25" t="inlineStr">
        <is>
          <t>Instant car insurance estimate (/quote/car-insurance/)</t>
        </is>
      </c>
      <c r="Y294" s="36" t="inlineStr">
        <is>
          <t>Article; FAQPage; BreadcrumbList</t>
        </is>
      </c>
      <c r="Z294" s="37" t="n">
        <v>1500</v>
      </c>
      <c r="AA294" s="25" t="inlineStr">
        <is>
          <t>Not covered as a dedicated page by Ratehub or Rates.ca; Sonnet's Brampton copy only recommends anti-theft devices.</t>
        </is>
      </c>
      <c r="AB294" s="25" t="inlineStr">
        <is>
          <t>Focus keyword in H1, slug, meta title, first 100 words and first H2; the 40-60 word answer says which device types are usually credited and when trackers are required. Use the device table, link 'most stolen' to the Équité guide and Brampton mentions to the city page, and refresh twice a year.</t>
        </is>
      </c>
      <c r="AC294" s="25" t="inlineStr">
        <is>
          <t>Insurer tracker requirements and discounts vary: cite insurer notices with dates and do not attribute a rule to a named insurer without a source. Do not endorse a device brand.</t>
        </is>
      </c>
      <c r="AD294" s="36" t="inlineStr">
        <is>
          <t>Semi-annual</t>
        </is>
      </c>
      <c r="AE294" s="38" t="n"/>
      <c r="AF294" s="38" t="n"/>
      <c r="AG294" s="38" t="n"/>
    </row>
    <row r="295" ht="35.05" customHeight="1" s="22">
      <c r="A295" s="36">
        <f>"B"&amp;TEXT(ROW()-1,"0000")</f>
        <v/>
      </c>
      <c r="B295" s="38" t="inlineStr">
        <is>
          <t>Planned</t>
        </is>
      </c>
      <c r="C295" s="36" t="n">
        <v>2</v>
      </c>
      <c r="D295" s="36" t="inlineStr">
        <is>
          <t>Car insurance</t>
        </is>
      </c>
      <c r="E295" s="36" t="inlineStr">
        <is>
          <t>Theft &amp; vehicles</t>
        </is>
      </c>
      <c r="F295" s="25" t="inlineStr">
        <is>
          <t>Most Stolen Cars in Canada: The Latest Équité List</t>
        </is>
      </c>
      <c r="G295" s="36" t="inlineStr">
        <is>
          <t>https://instasure.ca/guides/most-stolen-cars-canada/</t>
        </is>
      </c>
      <c r="H295" s="36" t="inlineStr">
        <is>
          <t>most stolen cars canada</t>
        </is>
      </c>
      <c r="I295" s="41">
        <f>IFERROR(INDEX('Nationwide KWs'!$D$2:$D$168,MATCH(H295,'Nationwide KWs'!$A$2:$A$168,0)),IFERROR(INDEX('Provincial KWs'!$E$2:$E$137,MATCH(H295,'Provincial KWs'!$A$2:$A$137,0)),IFERROR(INDEX('City KWs'!$F$2:$F$419,MATCH(H295,'City KWs'!$A$2:$A$419,0)),"")))</f>
        <v/>
      </c>
      <c r="J295" s="36" t="inlineStr">
        <is>
          <t>High</t>
        </is>
      </c>
      <c r="K295" s="25" t="inlineStr">
        <is>
          <t>most stolen cars ontario; most stolen cars in quebec; car theft statistics canada; most stolen suv canada; car theft insurance increase</t>
        </is>
      </c>
      <c r="L295" s="36" t="inlineStr">
        <is>
          <t>Nationwide</t>
        </is>
      </c>
      <c r="M295" s="36" t="inlineStr">
        <is>
          <t>informational</t>
        </is>
      </c>
      <c r="N295" s="36" t="inlineStr">
        <is>
          <t>TOFU</t>
        </is>
      </c>
      <c r="O295" s="25" t="inlineStr">
        <is>
          <t>Most Stolen Cars in Canada: The Latest List and the Cost</t>
        </is>
      </c>
      <c r="P295" s="36">
        <f>LEN(O295)</f>
        <v/>
      </c>
      <c r="Q295" s="25" t="inlineStr">
        <is>
          <t>Most stolen cars in Canada from the latest Équité list, theft trends by province, how theft affects premiums and steps that lower your risk. Check yours.</t>
        </is>
      </c>
      <c r="R295" s="36">
        <f>LEN(Q295)</f>
        <v/>
      </c>
      <c r="S295" s="36">
        <f>IF(H295="","",IF(ISNUMBER(SEARCH(SUBSTITUTE(H295,"-"," "),SUBSTITUTE(O295,"-"," "))),"Yes","Check"))</f>
        <v/>
      </c>
      <c r="T295" s="25" t="inlineStr">
        <is>
          <t>Which cars are stolen most in Canada? | Top stolen vehicles nationally and by region (table) | Theft trends by province | How theft drives premiums and tracker requirements | How thieves steal cars now: relay attacks, CAN bus and finance fraud | Ways to protect your car and your premium</t>
        </is>
      </c>
      <c r="U295" s="25" t="inlineStr">
        <is>
          <t>What is the most stolen car in Canada? | Is car theft going down in Canada? | Will my insurance go up if I own a high-theft car? | Do insurers require trackers on certain cars?</t>
        </is>
      </c>
      <c r="V295" s="25" t="inlineStr">
        <is>
          <t>Top-10 national and regional tables reproduced with attribution from Équité's latest report, a year-over-year trend chart and a model lookup linking to anti-theft guidance.</t>
        </is>
      </c>
      <c r="W295" s="25" t="inlineStr">
        <is>
          <t>/car-insurance/; /guides/anti-theft-devices-car-insurance/; /guides/car-stolen-does-insurance-cover-theft/; /guides/cheapest-cars-to-insure-canada/</t>
        </is>
      </c>
      <c r="X295" s="25" t="inlineStr">
        <is>
          <t>Instant car insurance estimate (/quote/car-insurance/)</t>
        </is>
      </c>
      <c r="Y295" s="36" t="inlineStr">
        <is>
          <t>Article; FAQPage; BreadcrumbList</t>
        </is>
      </c>
      <c r="Z295" s="37" t="n">
        <v>1600</v>
      </c>
      <c r="AA295" s="25" t="inlineStr">
        <is>
          <t>Sonnet publishes 'Most Stolen Cars in Canada' and a Quebec theft post, and the keyword map lists this exact guide as planned. No competitor connects the list to premium and tracker rules.</t>
        </is>
      </c>
      <c r="AB295" s="25" t="inlineStr">
        <is>
          <t>Focus keyword in H1, slug, meta title, first 100 words and first H2; the 40-60 word answer names the top three models and the report date. Put the national table first and regional tables after, link 'anti-theft' to the device guide, and refresh within a week of each Équité release.</t>
        </is>
      </c>
      <c r="AC295" s="25" t="inlineStr">
        <is>
          <t>Reproduce Équité figures exactly with the report date and attribution (2025: national thefts down 18%, about $900M annual cost; verify). Refresh with each semi-annual release.</t>
        </is>
      </c>
      <c r="AD295" s="36" t="inlineStr">
        <is>
          <t>Semi-annual</t>
        </is>
      </c>
      <c r="AE295" s="38" t="n"/>
      <c r="AF295" s="38" t="n"/>
      <c r="AG295" s="38" t="n"/>
    </row>
    <row r="296" ht="46.25" customHeight="1" s="22">
      <c r="A296" s="36">
        <f>"B"&amp;TEXT(ROW()-1,"0000")</f>
        <v/>
      </c>
      <c r="B296" s="38" t="inlineStr">
        <is>
          <t>Planned</t>
        </is>
      </c>
      <c r="C296" s="36" t="n">
        <v>3</v>
      </c>
      <c r="D296" s="36" t="inlineStr">
        <is>
          <t>Car insurance</t>
        </is>
      </c>
      <c r="E296" s="36" t="inlineStr">
        <is>
          <t>Claims</t>
        </is>
      </c>
      <c r="F296" s="25" t="inlineStr">
        <is>
          <t>Car Insurance Claim Denied? How to Appeal and Complain in Canada</t>
        </is>
      </c>
      <c r="G296" s="36" t="inlineStr">
        <is>
          <t>https://instasure.ca/guides/car-insurance-claim-denied-complaints/</t>
        </is>
      </c>
      <c r="H296" s="36" t="inlineStr">
        <is>
          <t>car insurance claim denied</t>
        </is>
      </c>
      <c r="I296" s="41">
        <f>IFERROR(INDEX('Nationwide KWs'!$D$2:$D$168,MATCH(H296,'Nationwide KWs'!$A$2:$A$168,0)),IFERROR(INDEX('Provincial KWs'!$E$2:$E$137,MATCH(H296,'Provincial KWs'!$A$2:$A$137,0)),IFERROR(INDEX('City KWs'!$F$2:$F$419,MATCH(H296,'City KWs'!$A$2:$A$419,0)),"")))</f>
        <v/>
      </c>
      <c r="J296" s="36" t="inlineStr">
        <is>
          <t>Low</t>
        </is>
      </c>
      <c r="K296" s="25" t="inlineStr">
        <is>
          <t>general insurance ombudservice; fsra complaint car insurance; dispute insurance claim canada; licence appeal tribunal accident benefits; insurance ombudsman canada</t>
        </is>
      </c>
      <c r="L296" s="36" t="inlineStr">
        <is>
          <t>Nationwide</t>
        </is>
      </c>
      <c r="M296" s="36" t="inlineStr">
        <is>
          <t>informational</t>
        </is>
      </c>
      <c r="N296" s="36" t="inlineStr">
        <is>
          <t>MOFU</t>
        </is>
      </c>
      <c r="O296" s="25" t="inlineStr">
        <is>
          <t>Car Insurance Claim Denied? How to Appeal in Canada</t>
        </is>
      </c>
      <c r="P296" s="36">
        <f>LEN(O296)</f>
        <v/>
      </c>
      <c r="Q296" s="25" t="inlineStr">
        <is>
          <t>Car insurance claim denied? Follow the appeal route in Canada, from your insurer's complaint officer to the OmbudService and regulators. Use our template.</t>
        </is>
      </c>
      <c r="R296" s="36">
        <f>LEN(Q296)</f>
        <v/>
      </c>
      <c r="S296" s="36">
        <f>IF(H296="","",IF(ISNUMBER(SEARCH(SUBSTITUTE(H296,"-"," "),SUBSTITUTE(O296,"-"," "))),"Yes","Check"))</f>
        <v/>
      </c>
      <c r="T296" s="25" t="inlineStr">
        <is>
          <t>What to do when a car insurance claim is denied | Common reasons claims are denied | Step 1: Get the decision and policy wording in writing | Step 2: The insurer's internal complaint process | Step 3: The General Insurance OmbudService and regulators | Accident benefit disputes: Ontario's Licence Appeal Tribunal | When to get legal help</t>
        </is>
      </c>
      <c r="U296" s="25" t="inlineStr">
        <is>
          <t>How do I complain about my car insurance company? | Is the General Insurance OmbudService free? | Who handles accident benefit disputes in Ontario? | Can I complain to FSRA about a claim?</t>
        </is>
      </c>
      <c r="V296" s="25" t="inlineStr">
        <is>
          <t>Escalation map by province (insurer ombudsman, GIO, FSRA/AIC/superintendents, public-insurer fairness offices, tribunals) with contact routes and typical timelines, plus a complaint-letter template.</t>
        </is>
      </c>
      <c r="W296" s="25" t="inlineStr">
        <is>
          <t>/car-insurance/; /guides/ontario-accident-benefits-explained/; /guides/car-written-off-insurance-payout/; /guides/category/claims-rules/</t>
        </is>
      </c>
      <c r="X296" s="25" t="inlineStr">
        <is>
          <t>Instant car insurance estimate (/quote/car-insurance/)</t>
        </is>
      </c>
      <c r="Y296" s="36" t="inlineStr">
        <is>
          <t>Article; FAQPage; BreadcrumbList</t>
        </is>
      </c>
      <c r="Z296" s="37" t="n">
        <v>1600</v>
      </c>
      <c r="AA296" s="25" t="inlineStr">
        <is>
          <t>No competitor coverage seen.</t>
        </is>
      </c>
      <c r="AB296" s="25" t="inlineStr">
        <is>
          <t>Focus keyword in H1, slug, meta title, first 100 words and first H2; the 40-60 word answer lists the escalation order. Present the escalation map as a table by province, add the letter template, and link 'accident benefits' to the SABS explainer. Review annually.</t>
        </is>
      </c>
      <c r="AC296" s="25" t="inlineStr">
        <is>
          <t>Verify each body's mandate (GIO membership, FSRA complaint scope, ICBC/MPI/SGI fairness processes, the LAT for Ontario accident benefits) at source. Give no legal advice.</t>
        </is>
      </c>
      <c r="AD296" s="36" t="inlineStr">
        <is>
          <t>Annual</t>
        </is>
      </c>
      <c r="AE296" s="38" t="n"/>
      <c r="AF296" s="38" t="n"/>
      <c r="AG296" s="38" t="n"/>
    </row>
    <row r="297" ht="35.05" customHeight="1" s="22">
      <c r="A297" s="36">
        <f>"B"&amp;TEXT(ROW()-1,"0000")</f>
        <v/>
      </c>
      <c r="B297" s="38" t="inlineStr">
        <is>
          <t>Planned</t>
        </is>
      </c>
      <c r="C297" s="36" t="n">
        <v>3</v>
      </c>
      <c r="D297" s="36" t="inlineStr">
        <is>
          <t>Car insurance</t>
        </is>
      </c>
      <c r="E297" s="36" t="inlineStr">
        <is>
          <t>Claims</t>
        </is>
      </c>
      <c r="F297" s="25" t="inlineStr">
        <is>
          <t>Car Written Off? How Total Loss Payouts Are Calculated in Canada</t>
        </is>
      </c>
      <c r="G297" s="36" t="inlineStr">
        <is>
          <t>https://instasure.ca/guides/car-written-off-insurance-payout/</t>
        </is>
      </c>
      <c r="H297" s="36" t="inlineStr">
        <is>
          <t>car written off insurance payout</t>
        </is>
      </c>
      <c r="I297" s="41">
        <f>IFERROR(INDEX('Nationwide KWs'!$D$2:$D$168,MATCH(H297,'Nationwide KWs'!$A$2:$A$168,0)),IFERROR(INDEX('Provincial KWs'!$E$2:$E$137,MATCH(H297,'Provincial KWs'!$A$2:$A$137,0)),IFERROR(INDEX('City KWs'!$F$2:$F$419,MATCH(H297,'City KWs'!$A$2:$A$419,0)),"")))</f>
        <v/>
      </c>
      <c r="J297" s="36" t="inlineStr">
        <is>
          <t>Low</t>
        </is>
      </c>
      <c r="K297" s="25" t="inlineStr">
        <is>
          <t>total loss car insurance canada; actual cash value car; dispute total loss offer; what happens when your car is written off; total loss loan balance</t>
        </is>
      </c>
      <c r="L297" s="36" t="inlineStr">
        <is>
          <t>Nationwide</t>
        </is>
      </c>
      <c r="M297" s="36" t="inlineStr">
        <is>
          <t>informational</t>
        </is>
      </c>
      <c r="N297" s="36" t="inlineStr">
        <is>
          <t>MOFU</t>
        </is>
      </c>
      <c r="O297" s="25" t="inlineStr">
        <is>
          <t>Car Written Off? How Total Loss Insurance Payouts Work</t>
        </is>
      </c>
      <c r="P297" s="36">
        <f>LEN(O297)</f>
        <v/>
      </c>
      <c r="Q297" s="25" t="inlineStr">
        <is>
          <t>Car written off? See how an insurance payout is set for a total loss in Canada, what actual cash value means and how to dispute a low offer. Get help.</t>
        </is>
      </c>
      <c r="R297" s="36">
        <f>LEN(Q297)</f>
        <v/>
      </c>
      <c r="S297" s="36">
        <f>IF(H297="","",IF(ISNUMBER(SEARCH(SUBSTITUTE(H297,"-"," "),SUBSTITUTE(O297,"-"," "))),"Yes","Check"))</f>
        <v/>
      </c>
      <c r="T297" s="25" t="inlineStr">
        <is>
          <t>How is a total loss payout calculated? | When insurers declare a car a total loss | Actual cash value: comparables and adjustments | Loans, leases and the gap problem | How to dispute a low settlement offer | Salvage, rebuilt titles and keeping the car</t>
        </is>
      </c>
      <c r="U297" s="25" t="inlineStr">
        <is>
          <t>Can I negotiate a total loss settlement? | What happens to my car loan if my car is written off? | Does a write-off affect my insurance premium? | Can I keep my car after a total loss?</t>
        </is>
      </c>
      <c r="V297" s="25" t="inlineStr">
        <is>
          <t>Worked settlement example using three comparable listings with adjustments for kilometres and options, and a dispute-letter template.</t>
        </is>
      </c>
      <c r="W297" s="25" t="inlineStr">
        <is>
          <t>/car-insurance/; /guides/opcf-43-waiver-of-depreciation/; /guides/gap-insurance-canada/; /guides/car-insurance-claim-denied-complaints/</t>
        </is>
      </c>
      <c r="X297" s="25" t="inlineStr">
        <is>
          <t>Instant car insurance estimate (/quote/car-insurance/)</t>
        </is>
      </c>
      <c r="Y297" s="36" t="inlineStr">
        <is>
          <t>Article; FAQPage; BreadcrumbList</t>
        </is>
      </c>
      <c r="Z297" s="37" t="n">
        <v>1500</v>
      </c>
      <c r="AA297" s="25" t="inlineStr">
        <is>
          <t>No competitor coverage seen among the six competitors.</t>
        </is>
      </c>
      <c r="AB297" s="25" t="inlineStr">
        <is>
          <t>Focus keyword in H1, slug, meta title, first 100 words and first H2; answer in 40-60 words defining actual cash value. Show the comparables table, offer the dispute letter as a template, and link 'gap' and 'OPCF 43' to their guides. Review annually.</t>
        </is>
      </c>
      <c r="AC297" s="25" t="inlineStr">
        <is>
          <t>Verify appraisal and dispute provisions in provincial statutory conditions; salvage and rebuilt branding rules vary, so cite provincial ministries. Do not promise a higher settlement.</t>
        </is>
      </c>
      <c r="AD297" s="36" t="inlineStr">
        <is>
          <t>Annual</t>
        </is>
      </c>
      <c r="AE297" s="38" t="n"/>
      <c r="AF297" s="38" t="n"/>
      <c r="AG297" s="38" t="n"/>
    </row>
    <row r="298" ht="35.05" customHeight="1" s="22">
      <c r="A298" s="36">
        <f>"B"&amp;TEXT(ROW()-1,"0000")</f>
        <v/>
      </c>
      <c r="B298" s="38" t="inlineStr">
        <is>
          <t>Planned</t>
        </is>
      </c>
      <c r="C298" s="36" t="n">
        <v>3</v>
      </c>
      <c r="D298" s="36" t="inlineStr">
        <is>
          <t>Car insurance</t>
        </is>
      </c>
      <c r="E298" s="36" t="inlineStr">
        <is>
          <t>Claims</t>
        </is>
      </c>
      <c r="F298" s="25" t="inlineStr">
        <is>
          <t>How to File a Car Insurance Claim in Canada, Step by Step</t>
        </is>
      </c>
      <c r="G298" s="36" t="inlineStr">
        <is>
          <t>https://instasure.ca/guides/how-to-file-car-insurance-claim/</t>
        </is>
      </c>
      <c r="H298" s="36" t="inlineStr">
        <is>
          <t>how to file a car insurance claim</t>
        </is>
      </c>
      <c r="I298" s="41">
        <f>IFERROR(INDEX('Nationwide KWs'!$D$2:$D$168,MATCH(H298,'Nationwide KWs'!$A$2:$A$168,0)),IFERROR(INDEX('Provincial KWs'!$E$2:$E$137,MATCH(H298,'Provincial KWs'!$A$2:$A$137,0)),IFERROR(INDEX('City KWs'!$F$2:$F$419,MATCH(H298,'City KWs'!$A$2:$A$419,0)),"")))</f>
        <v/>
      </c>
      <c r="J298" s="36" t="inlineStr">
        <is>
          <t>Low</t>
        </is>
      </c>
      <c r="K298" s="25" t="inlineStr">
        <is>
          <t>collision reporting centre toronto; car insurance claim process ontario; what to do after a car accident ontario; how long does a car insurance claim take</t>
        </is>
      </c>
      <c r="L298" s="36" t="inlineStr">
        <is>
          <t>Nationwide</t>
        </is>
      </c>
      <c r="M298" s="36" t="inlineStr">
        <is>
          <t>informational</t>
        </is>
      </c>
      <c r="N298" s="36" t="inlineStr">
        <is>
          <t>MOFU</t>
        </is>
      </c>
      <c r="O298" s="25" t="inlineStr">
        <is>
          <t>How to File a Car Insurance Claim in Canada: Step by Step</t>
        </is>
      </c>
      <c r="P298" s="36">
        <f>LEN(O298)</f>
        <v/>
      </c>
      <c r="Q298" s="25" t="inlineStr">
        <is>
          <t>How to file a car insurance claim in Canada: what to do at the scene, police and collision reporting centres, photos, appraisals and repairs. Keep this.</t>
        </is>
      </c>
      <c r="R298" s="36">
        <f>LEN(Q298)</f>
        <v/>
      </c>
      <c r="S298" s="36">
        <f>IF(H298="","",IF(ISNUMBER(SEARCH(SUBSTITUTE(H298,"-"," "),SUBSTITUTE(O298,"-"," "))),"Yes","Check"))</f>
        <v/>
      </c>
      <c r="T298" s="25" t="inlineStr">
        <is>
          <t>How do you file a car insurance claim? | Step 1: At the scene | Step 2: Police or a collision reporting centre | Step 3: Call your insurer and get a claim number | Step 4: Appraisal, estimates and choosing a shop | Step 5: Rental car, payment and closing the claim | Public insurers: ICBC, MPI, SGI and SAAQ claims</t>
        </is>
      </c>
      <c r="U298" s="25" t="inlineStr">
        <is>
          <t>When do I have to go to a collision reporting centre in Ontario? | How long do I have to report a car insurance claim? | Can I choose my own repair shop? | How long does a car insurance claim take in Canada?</t>
        </is>
      </c>
      <c r="V298" s="25" t="inlineStr">
        <is>
          <t>Printable at-the-scene checklist and a step-by-step HowTo with province notes (Ontario collision reporting centres, public-insurer claim lines), plus the document list an adjuster asks for.</t>
        </is>
      </c>
      <c r="W298" s="25" t="inlineStr">
        <is>
          <t>/car-insurance/; /guides/ontario-fault-determination-rules/; /guides/should-i-claim-minor-car-accident/; /guides/category/claims-rules/</t>
        </is>
      </c>
      <c r="X298" s="25" t="inlineStr">
        <is>
          <t>Instant car insurance estimate (/quote/car-insurance/)</t>
        </is>
      </c>
      <c r="Y298" s="36" t="inlineStr">
        <is>
          <t>Article; HowTo; FAQPage; BreadcrumbList</t>
        </is>
      </c>
      <c r="Z298" s="37" t="n">
        <v>1600</v>
      </c>
      <c r="AA298" s="25" t="inlineStr">
        <is>
          <t>Rates.ca and Sonnet cover claims for their own customers or in passing; no competitor publishes a province-aware step-by-step.</t>
        </is>
      </c>
      <c r="AB298" s="25" t="inlineStr">
        <is>
          <t>Focus keyword in H1, slug, meta title, first 100 words and first H2; answer in 40-60 words listing the five steps. Mark up steps with HowTo, add a downloadable checklist, and link 'fault' to the fault-rules guide. Review annually.</t>
        </is>
      </c>
      <c r="AC298" s="25" t="inlineStr">
        <is>
          <t>Verify police and collision-reporting thresholds by province and the list of Ontario collision reporting centres. Reporting deadlines come from policy wording, so tell readers to check their policy.</t>
        </is>
      </c>
      <c r="AD298" s="36" t="inlineStr">
        <is>
          <t>Annual</t>
        </is>
      </c>
      <c r="AE298" s="38" t="n"/>
      <c r="AF298" s="38" t="n"/>
      <c r="AG298" s="38" t="n"/>
    </row>
    <row r="299" ht="35.05" customHeight="1" s="22">
      <c r="A299" s="36">
        <f>"B"&amp;TEXT(ROW()-1,"0000")</f>
        <v/>
      </c>
      <c r="B299" s="38" t="inlineStr">
        <is>
          <t>Planned</t>
        </is>
      </c>
      <c r="C299" s="36" t="n">
        <v>3</v>
      </c>
      <c r="D299" s="36" t="inlineStr">
        <is>
          <t>Car insurance</t>
        </is>
      </c>
      <c r="E299" s="36" t="inlineStr">
        <is>
          <t>Claims</t>
        </is>
      </c>
      <c r="F299" s="25" t="inlineStr">
        <is>
          <t>Should You Claim a Minor Car Accident or Pay Out of Pocket?</t>
        </is>
      </c>
      <c r="G299" s="36" t="inlineStr">
        <is>
          <t>https://instasure.ca/guides/should-i-claim-minor-car-accident/</t>
        </is>
      </c>
      <c r="H299" s="36" t="inlineStr">
        <is>
          <t>should i claim a minor car accident</t>
        </is>
      </c>
      <c r="I299" s="41">
        <f>IFERROR(INDEX('Nationwide KWs'!$D$2:$D$168,MATCH(H299,'Nationwide KWs'!$A$2:$A$168,0)),IFERROR(INDEX('Provincial KWs'!$E$2:$E$137,MATCH(H299,'Provincial KWs'!$A$2:$A$137,0)),IFERROR(INDEX('City KWs'!$F$2:$F$419,MATCH(H299,'City KWs'!$A$2:$A$419,0)),"")))</f>
        <v/>
      </c>
      <c r="J299" s="36" t="inlineStr">
        <is>
          <t>Low</t>
        </is>
      </c>
      <c r="K299" s="25" t="inlineStr">
        <is>
          <t>pay out of pocket car accident; small claim car insurance; does reporting an accident raise insurance; do i have to report an accident to my insurance</t>
        </is>
      </c>
      <c r="L299" s="36" t="inlineStr">
        <is>
          <t>Nationwide</t>
        </is>
      </c>
      <c r="M299" s="36" t="inlineStr">
        <is>
          <t>informational</t>
        </is>
      </c>
      <c r="N299" s="36" t="inlineStr">
        <is>
          <t>MOFU</t>
        </is>
      </c>
      <c r="O299" s="25" t="inlineStr">
        <is>
          <t>Should I Claim a Minor Car Accident? A Break-Even Test</t>
        </is>
      </c>
      <c r="P299" s="36">
        <f>LEN(O299)</f>
        <v/>
      </c>
      <c r="Q299" s="25" t="inlineStr">
        <is>
          <t>Should I claim a minor car accident or pay myself? Use our break-even test with your deductible and likely increase, plus rules you can't skip. Try it.</t>
        </is>
      </c>
      <c r="R299" s="36">
        <f>LEN(Q299)</f>
        <v/>
      </c>
      <c r="S299" s="36">
        <f>IF(H299="","",IF(ISNUMBER(SEARCH(SUBSTITUTE(H299,"-"," "),SUBSTITUTE(O299,"-"," "))),"Yes","Check"))</f>
        <v/>
      </c>
      <c r="T299" s="25" t="inlineStr">
        <is>
          <t>Should you claim a minor accident? The short answer | Your duty to report vs choosing to claim | The break-even test: repair cost vs future premiums | When paying privately can backfire | Not-at-fault and DCPD claims | Worked examples</t>
        </is>
      </c>
      <c r="U299" s="25" t="inlineStr">
        <is>
          <t>Do I have to tell my insurer about a minor accident? | Will a claim under my deductible go on my record? | Can I pay the other driver directly? | How much does one claim raise my premium?</t>
        </is>
      </c>
      <c r="V299" s="25" t="inlineStr">
        <is>
          <t>Break-even table comparing repair cost, deductible and a modelled three-year premium increase for one profile, with three worked examples.</t>
        </is>
      </c>
      <c r="W299" s="25" t="inlineStr">
        <is>
          <t>/car-insurance/; /guides/car-insurance-after-accident/; /guides/accident-forgiveness-car-insurance-canada/; /guides/how-to-file-car-insurance-claim/</t>
        </is>
      </c>
      <c r="X299" s="25" t="inlineStr">
        <is>
          <t>Instant car insurance estimate (/quote/car-insurance/)</t>
        </is>
      </c>
      <c r="Y299" s="36" t="inlineStr">
        <is>
          <t>Article; FAQPage; BreadcrumbList</t>
        </is>
      </c>
      <c r="Z299" s="37" t="n">
        <v>1400</v>
      </c>
      <c r="AA299" s="25" t="inlineStr">
        <is>
          <t>No competitor coverage seen as a decision tool.</t>
        </is>
      </c>
      <c r="AB299" s="25" t="inlineStr">
        <is>
          <t>Focus keyword in H1, slug, meta title, first 100 words and first H2; answer in 40-60 words separating 'report' from 'claim'. Present the break-even table and three examples, and link 'accident forgiveness' to its guide. Review annually.</t>
        </is>
      </c>
      <c r="AC299" s="25" t="inlineStr">
        <is>
          <t>State that policy conditions usually require telling the insurer about accidents even when no claim is made, and verify police-reporting thresholds per province. Label modelled increases as estimates.</t>
        </is>
      </c>
      <c r="AD299" s="36" t="inlineStr">
        <is>
          <t>Annual</t>
        </is>
      </c>
      <c r="AE299" s="38" t="n"/>
      <c r="AF299" s="38" t="n"/>
      <c r="AG299" s="38" t="n"/>
    </row>
    <row r="300" ht="35.05" customHeight="1" s="22">
      <c r="A300" s="36">
        <f>"B"&amp;TEXT(ROW()-1,"0000")</f>
        <v/>
      </c>
      <c r="B300" s="38" t="inlineStr">
        <is>
          <t>Planned</t>
        </is>
      </c>
      <c r="C300" s="36" t="n">
        <v>3</v>
      </c>
      <c r="D300" s="36" t="inlineStr">
        <is>
          <t>Car insurance</t>
        </is>
      </c>
      <c r="E300" s="36" t="inlineStr">
        <is>
          <t>Comparisons</t>
        </is>
      </c>
      <c r="F300" s="25" t="inlineStr">
        <is>
          <t>Insurance Broker vs Direct Insurer vs Comparison Site: Which Fits You?</t>
        </is>
      </c>
      <c r="G300" s="36" t="inlineStr">
        <is>
          <t>https://instasure.ca/guides/insurance-broker-vs-direct-insurer/</t>
        </is>
      </c>
      <c r="H300" s="36" t="inlineStr">
        <is>
          <t>insurance broker vs direct insurer</t>
        </is>
      </c>
      <c r="I300" s="41">
        <f>IFERROR(INDEX('Nationwide KWs'!$D$2:$D$168,MATCH(H300,'Nationwide KWs'!$A$2:$A$168,0)),IFERROR(INDEX('Provincial KWs'!$E$2:$E$137,MATCH(H300,'Provincial KWs'!$A$2:$A$137,0)),IFERROR(INDEX('City KWs'!$F$2:$F$419,MATCH(H300,'City KWs'!$A$2:$A$419,0)),"")))</f>
        <v/>
      </c>
      <c r="J300" s="36" t="inlineStr">
        <is>
          <t>Low</t>
        </is>
      </c>
      <c r="K300" s="25" t="inlineStr">
        <is>
          <t>is it better to use an insurance broker; car insurance broker vs agent; comparison site vs broker; direct writer insurance canada; how do insurance brokers get paid</t>
        </is>
      </c>
      <c r="L300" s="36" t="inlineStr">
        <is>
          <t>Nationwide</t>
        </is>
      </c>
      <c r="M300" s="36" t="inlineStr">
        <is>
          <t>commercial</t>
        </is>
      </c>
      <c r="N300" s="36" t="inlineStr">
        <is>
          <t>MOFU</t>
        </is>
      </c>
      <c r="O300" s="25" t="inlineStr">
        <is>
          <t>Insurance Broker vs Direct Insurer: Which Is Right for You?</t>
        </is>
      </c>
      <c r="P300" s="36">
        <f>LEN(O300)</f>
        <v/>
      </c>
      <c r="Q300" s="25" t="inlineStr">
        <is>
          <t>Insurance broker vs direct insurer vs comparison site: how each is paid, which insurers each offers and who helps at claim time. Choose the right fit.</t>
        </is>
      </c>
      <c r="R300" s="36">
        <f>LEN(Q300)</f>
        <v/>
      </c>
      <c r="S300" s="36">
        <f>IF(H300="","",IF(ISNUMBER(SEARCH(SUBSTITUTE(H300,"-"," "),SUBSTITUTE(O300,"-"," "))),"Yes","Check"))</f>
        <v/>
      </c>
      <c r="T300" s="25" t="inlineStr">
        <is>
          <t>Broker, direct insurer or comparison site: which is better for you? | How brokers, agents and direct writers differ | How each one is paid | What happens at claim time | Hard-to-place drivers: who can help | Questions to ask before you buy</t>
        </is>
      </c>
      <c r="U300" s="25" t="inlineStr">
        <is>
          <t>Is it cheaper to buy car insurance directly? | Do brokers charge a fee in Canada? | Are comparison sites licensed? | Can a broker help if I have been refused insurance?</t>
        </is>
      </c>
      <c r="V300" s="25" t="inlineStr">
        <is>
          <t>Comparison table of channels (broker, captive agent, direct writer, comparison site, licensed advisor service) by insurers offered, compensation, advice and claim support, with licensing links.</t>
        </is>
      </c>
      <c r="W300" s="25" t="inlineStr">
        <is>
          <t>/how-we-make-money/; /licensing/; /advisors/; /car-insurance/</t>
        </is>
      </c>
      <c r="X300" s="25" t="inlineStr">
        <is>
          <t>Talk to a licensed advisor (/advisors/)</t>
        </is>
      </c>
      <c r="Y300" s="36" t="inlineStr">
        <is>
          <t>Article; FAQPage; BreadcrumbList</t>
        </is>
      </c>
      <c r="Z300" s="37" t="n">
        <v>1500</v>
      </c>
      <c r="AA300" s="25" t="inlineStr">
        <is>
          <t>No competitor coverage seen as a neutral comparison; aggregators and direct insurers each describe only their own model.</t>
        </is>
      </c>
      <c r="AB300" s="25" t="inlineStr">
        <is>
          <t>Focus keyword in H1, slug, meta title, first 100 words and first H2; the 40-60 word answer contrasts choice vs simplicity. Use the channel table, link 'how we make money' in a disclosure box, and review annually.</t>
        </is>
      </c>
      <c r="AC300" s="25" t="inlineStr">
        <is>
          <t>Describe compensation models accurately and disclose Instasure's own model per /how-we-make-money/. Use 'licensed advisor', not 'broker', for Instasure unless the entity is a registered brokerage.</t>
        </is>
      </c>
      <c r="AD300" s="36" t="inlineStr">
        <is>
          <t>Annual</t>
        </is>
      </c>
      <c r="AE300" s="38" t="n"/>
      <c r="AF300" s="38" t="n"/>
      <c r="AG300" s="38" t="n"/>
    </row>
    <row r="301" ht="46.25" customHeight="1" s="22">
      <c r="A301" s="36">
        <f>"B"&amp;TEXT(ROW()-1,"0000")</f>
        <v/>
      </c>
      <c r="B301" s="38" t="inlineStr">
        <is>
          <t>Planned</t>
        </is>
      </c>
      <c r="C301" s="36" t="n">
        <v>3</v>
      </c>
      <c r="D301" s="36" t="inlineStr">
        <is>
          <t>Car insurance</t>
        </is>
      </c>
      <c r="E301" s="36" t="inlineStr">
        <is>
          <t>Comparisons</t>
        </is>
      </c>
      <c r="F301" s="25" t="inlineStr">
        <is>
          <t>Intact vs Aviva Car Insurance: A Side-by-Side Comparison</t>
        </is>
      </c>
      <c r="G301" s="36" t="inlineStr">
        <is>
          <t>https://instasure.ca/guides/intact-vs-aviva-car-insurance/</t>
        </is>
      </c>
      <c r="H301" s="36" t="inlineStr">
        <is>
          <t>intact vs aviva</t>
        </is>
      </c>
      <c r="I301" s="41">
        <f>IFERROR(INDEX('Nationwide KWs'!$D$2:$D$168,MATCH(H301,'Nationwide KWs'!$A$2:$A$168,0)),IFERROR(INDEX('Provincial KWs'!$E$2:$E$137,MATCH(H301,'Provincial KWs'!$A$2:$A$137,0)),IFERROR(INDEX('City KWs'!$F$2:$F$419,MATCH(H301,'City KWs'!$A$2:$A$419,0)),"")))</f>
        <v/>
      </c>
      <c r="J301" s="36" t="inlineStr">
        <is>
          <t>Low</t>
        </is>
      </c>
      <c r="K301" s="25" t="inlineStr">
        <is>
          <t>intact insurance vs aviva canada; aviva car insurance review; intact car insurance review; intact or aviva home insurance</t>
        </is>
      </c>
      <c r="L301" s="36" t="inlineStr">
        <is>
          <t>Nationwide</t>
        </is>
      </c>
      <c r="M301" s="36" t="inlineStr">
        <is>
          <t>commercial</t>
        </is>
      </c>
      <c r="N301" s="36" t="inlineStr">
        <is>
          <t>MOFU</t>
        </is>
      </c>
      <c r="O301" s="25" t="inlineStr">
        <is>
          <t>Intact vs Aviva Car Insurance: A Side-by-Side Comparison</t>
        </is>
      </c>
      <c r="P301" s="36">
        <f>LEN(O301)</f>
        <v/>
      </c>
      <c r="Q301" s="25" t="inlineStr">
        <is>
          <t>Intact vs Aviva car insurance compared on provinces served, endorsements, claims service and complaint data, using our published method. See the table.</t>
        </is>
      </c>
      <c r="R301" s="36">
        <f>LEN(Q301)</f>
        <v/>
      </c>
      <c r="S301" s="36">
        <f>IF(H301="","",IF(ISNUMBER(SEARCH(SUBSTITUTE(H301,"-"," "),SUBSTITUTE(O301,"-"," "))),"Yes","Check"))</f>
        <v/>
      </c>
      <c r="T301" s="25" t="inlineStr">
        <is>
          <t>Intact vs Aviva: the short answer | How we compare insurers (method) | Where each sells and through whom | Coverage options and endorsements compared | Claims and complaints evidence | Which driver profiles might suit each | Get both quoted by a licensed advisor</t>
        </is>
      </c>
      <c r="U301" s="25" t="inlineStr">
        <is>
          <t>Is Intact or Aviva better for car insurance? | Are Intact and Aviva sold through brokers? | Which has better claims service, Intact or Aviva? | Do Intact and Aviva offer accident forgiveness?</t>
        </is>
      </c>
      <c r="V301" s="25" t="inlineStr">
        <is>
          <t>Feature-by-feature table scored against a published review method (coverage options, provinces, distribution, complaint and ombudsman data, financial strength), with sources and a review date.</t>
        </is>
      </c>
      <c r="W301" s="25" t="inlineStr">
        <is>
          <t>/compare/; /editorial-guidelines/; /how-we-make-money/; /car-insurance/</t>
        </is>
      </c>
      <c r="X301" s="25" t="inlineStr">
        <is>
          <t>Compare both with a licensed advisor (/quote/car-insurance/)</t>
        </is>
      </c>
      <c r="Y301" s="36" t="inlineStr">
        <is>
          <t>Article; FAQPage; BreadcrumbList</t>
        </is>
      </c>
      <c r="Z301" s="37" t="n">
        <v>2000</v>
      </c>
      <c r="AA301" s="25" t="inlineStr">
        <is>
          <t>No competitor coverage seen (keyword map: none seen); PolicyAdvisor runs head-to-heads for life insurance only.</t>
        </is>
      </c>
      <c r="AB301" s="25" t="inlineStr">
        <is>
          <t>Focus keyword in H1, slug, meta title, first 100 words and first H2; the 40-60 word answer summarises the main differences without a winner unless the method produces one. Put the method box above the table, link the editorial guidelines with 'how we review insurers' anchor, and refresh twice a year.</t>
        </is>
      </c>
      <c r="AC301" s="25" t="inlineStr">
        <is>
          <t>Publish only after the review method is live on /editorial-guidelines/ and legally reviewed; no 'better' or 'best' verdict beyond what the method shows. Disclose any commercial relationship with the insurers named and verify every product claim on the insurer's own pages with a date.</t>
        </is>
      </c>
      <c r="AD301" s="36" t="inlineStr">
        <is>
          <t>Semi-annual</t>
        </is>
      </c>
      <c r="AE301" s="38" t="n"/>
      <c r="AF301" s="38" t="n"/>
      <c r="AG301" s="38" t="n"/>
    </row>
    <row r="302" ht="46.25" customHeight="1" s="22">
      <c r="A302" s="36">
        <f>"B"&amp;TEXT(ROW()-1,"0000")</f>
        <v/>
      </c>
      <c r="B302" s="38" t="inlineStr">
        <is>
          <t>Planned</t>
        </is>
      </c>
      <c r="C302" s="36" t="n">
        <v>3</v>
      </c>
      <c r="D302" s="36" t="inlineStr">
        <is>
          <t>Car insurance</t>
        </is>
      </c>
      <c r="E302" s="36" t="inlineStr">
        <is>
          <t>Comparisons</t>
        </is>
      </c>
      <c r="F302" s="25" t="inlineStr">
        <is>
          <t>Sonnet Insurance Review: Car Coverage, Provinces and Online Buying</t>
        </is>
      </c>
      <c r="G302" s="36" t="inlineStr">
        <is>
          <t>https://instasure.ca/guides/sonnet-insurance-review/</t>
        </is>
      </c>
      <c r="H302" s="36" t="inlineStr">
        <is>
          <t>sonnet insurance review</t>
        </is>
      </c>
      <c r="I302" s="41">
        <f>IFERROR(INDEX('Nationwide KWs'!$D$2:$D$168,MATCH(H302,'Nationwide KWs'!$A$2:$A$168,0)),IFERROR(INDEX('Provincial KWs'!$E$2:$E$137,MATCH(H302,'Provincial KWs'!$A$2:$A$137,0)),IFERROR(INDEX('City KWs'!$F$2:$F$419,MATCH(H302,'City KWs'!$A$2:$A$419,0)),"")))</f>
        <v/>
      </c>
      <c r="J302" s="36" t="inlineStr">
        <is>
          <t>Medium</t>
        </is>
      </c>
      <c r="K302" s="25" t="inlineStr">
        <is>
          <t>sonnet car insurance review; is sonnet insurance good; sonnet insurance ontario; sonnet shift review; sonnet vs belairdirect</t>
        </is>
      </c>
      <c r="L302" s="36" t="inlineStr">
        <is>
          <t>Nationwide</t>
        </is>
      </c>
      <c r="M302" s="36" t="inlineStr">
        <is>
          <t>commercial</t>
        </is>
      </c>
      <c r="N302" s="36" t="inlineStr">
        <is>
          <t>MOFU</t>
        </is>
      </c>
      <c r="O302" s="25" t="inlineStr">
        <is>
          <t>Sonnet Insurance Review: Car Coverage and Online Buying</t>
        </is>
      </c>
      <c r="P302" s="36">
        <f>LEN(O302)</f>
        <v/>
      </c>
      <c r="Q302" s="25" t="inlineStr">
        <is>
          <t>Sonnet insurance review using our published method: where Sonnet sells car insurance, Shift and add-ons, online buying limits and who it suits. Compare.</t>
        </is>
      </c>
      <c r="R302" s="36">
        <f>LEN(Q302)</f>
        <v/>
      </c>
      <c r="S302" s="36">
        <f>IF(H302="","",IF(ISNUMBER(SEARCH(SUBSTITUTE(H302,"-"," "),SUBSTITUTE(O302,"-"," "))),"Yes","Check"))</f>
        <v/>
      </c>
      <c r="T302" s="25" t="inlineStr">
        <is>
          <t>Sonnet insurance review: the short answer | How we review insurers | Where Sonnet sells car insurance, and where it doesn't | Coverage, add-ons and the Shift program | Buying online, claims and complaints evidence | Who Sonnet may suit, and alternatives</t>
        </is>
      </c>
      <c r="U302" s="25" t="inlineStr">
        <is>
          <t>Is Sonnet a real insurance company? | Does Sonnet sell car insurance in Alberta or BC? | Does Sonnet cover Uber drivers? | Who owns Sonnet Insurance?</t>
        </is>
      </c>
      <c r="V302" s="25" t="inlineStr">
        <is>
          <t>Scorecard against the published review method with dated sources (product pages, provinces served, complaint and ombudsman data), plus a 'who it suits' matrix.</t>
        </is>
      </c>
      <c r="W302" s="25" t="inlineStr">
        <is>
          <t>/editorial-guidelines/; /how-we-make-money/; /car-insurance/ontario/; /guides/usage-based-car-insurance-canada/</t>
        </is>
      </c>
      <c r="X302" s="25" t="inlineStr">
        <is>
          <t>Compare Sonnet with other insurers (/quote/car-insurance/)</t>
        </is>
      </c>
      <c r="Y302" s="36" t="inlineStr">
        <is>
          <t>Article; FAQPage; BreadcrumbList</t>
        </is>
      </c>
      <c r="Z302" s="37" t="n">
        <v>1800</v>
      </c>
      <c r="AA302" s="25" t="inlineStr">
        <is>
          <t>PolicyMe, Comparewise, YouSet, LowestRates, Ratehub and Rates.ca rank for Sonnet review terms; the research found the SERP soft, with a spam page ranking.</t>
        </is>
      </c>
      <c r="AB302" s="25" t="inlineStr">
        <is>
          <t>Focus keyword in H1, slug, meta title, first 100 words and first H2; the 40-60 word answer states where Sonnet sells and its main trade-offs. Use the scorecard, link 'Shift' to the usage-based guide, and refresh twice a year.</t>
        </is>
      </c>
      <c r="AC302" s="25" t="inlineStr">
        <is>
          <t>Publish only with the review method live; verify Sonnet facts at source with dates (auto only in ON, QC, NB, NS and PEI; no rideshare cover; Definity/Economical ownership). No unverified review counts or ratings, and disclose any commercial relationship.</t>
        </is>
      </c>
      <c r="AD302" s="36" t="inlineStr">
        <is>
          <t>Semi-annual</t>
        </is>
      </c>
      <c r="AE302" s="38" t="n"/>
      <c r="AF302" s="38" t="n"/>
      <c r="AG302" s="38" t="n"/>
    </row>
    <row r="303" ht="46.25" customHeight="1" s="22">
      <c r="A303" s="36">
        <f>"B"&amp;TEXT(ROW()-1,"0000")</f>
        <v/>
      </c>
      <c r="B303" s="38" t="inlineStr">
        <is>
          <t>Planned</t>
        </is>
      </c>
      <c r="C303" s="36" t="n">
        <v>3</v>
      </c>
      <c r="D303" s="36" t="inlineStr">
        <is>
          <t>Car insurance</t>
        </is>
      </c>
      <c r="E303" s="36" t="inlineStr">
        <is>
          <t>Comparisons</t>
        </is>
      </c>
      <c r="F303" s="25" t="inlineStr">
        <is>
          <t>TD Insurance vs Intact: Car Insurance Compared</t>
        </is>
      </c>
      <c r="G303" s="36" t="inlineStr">
        <is>
          <t>https://instasure.ca/guides/td-insurance-vs-intact/</t>
        </is>
      </c>
      <c r="H303" s="36" t="inlineStr">
        <is>
          <t>td insurance vs intact</t>
        </is>
      </c>
      <c r="I303" s="41">
        <f>IFERROR(INDEX('Nationwide KWs'!$D$2:$D$168,MATCH(H303,'Nationwide KWs'!$A$2:$A$168,0)),IFERROR(INDEX('Provincial KWs'!$E$2:$E$137,MATCH(H303,'Provincial KWs'!$A$2:$A$137,0)),IFERROR(INDEX('City KWs'!$F$2:$F$419,MATCH(H303,'City KWs'!$A$2:$A$419,0)),"")))</f>
        <v/>
      </c>
      <c r="J303" s="36" t="inlineStr">
        <is>
          <t>Low</t>
        </is>
      </c>
      <c r="K303" s="25" t="inlineStr">
        <is>
          <t>td car insurance review; intact car insurance review; td insurance vs intact home insurance; direct insurer vs broker insurer</t>
        </is>
      </c>
      <c r="L303" s="36" t="inlineStr">
        <is>
          <t>Nationwide</t>
        </is>
      </c>
      <c r="M303" s="36" t="inlineStr">
        <is>
          <t>commercial</t>
        </is>
      </c>
      <c r="N303" s="36" t="inlineStr">
        <is>
          <t>MOFU</t>
        </is>
      </c>
      <c r="O303" s="25" t="inlineStr">
        <is>
          <t>TD Insurance vs Intact: Car Insurance Compared Side by Side</t>
        </is>
      </c>
      <c r="P303" s="36">
        <f>LEN(O303)</f>
        <v/>
      </c>
      <c r="Q303" s="25" t="inlineStr">
        <is>
          <t>TD Insurance vs Intact car insurance compared: direct vs broker sales, discounts, endorsements, claims evidence and fit by driver profile. See the table.</t>
        </is>
      </c>
      <c r="R303" s="36">
        <f>LEN(Q303)</f>
        <v/>
      </c>
      <c r="S303" s="36">
        <f>IF(H303="","",IF(ISNUMBER(SEARCH(SUBSTITUTE(H303,"-"," "),SUBSTITUTE(O303,"-"," "))),"Yes","Check"))</f>
        <v/>
      </c>
      <c r="T303" s="25" t="inlineStr">
        <is>
          <t>TD Insurance vs Intact: the short answer | Our comparison method | Direct insurer vs broker-sold: what it means for you | Discounts and endorsements compared | Claims and complaints evidence | Which drivers each may suit</t>
        </is>
      </c>
      <c r="U303" s="25" t="inlineStr">
        <is>
          <t>Is TD Insurance cheaper than Intact? | Can I buy Intact insurance directly? | Does TD Insurance offer accident forgiveness? | Which insurer has more complaints?</t>
        </is>
      </c>
      <c r="V303" s="25" t="inlineStr">
        <is>
          <t>Side-by-side table scored with the published review method and dated sources, plus a distribution explainer (direct vs broker) with pros and cons.</t>
        </is>
      </c>
      <c r="W303" s="25" t="inlineStr">
        <is>
          <t>/compare/; /editorial-guidelines/; /guides/insurance-broker-vs-direct-insurer/; /car-insurance/</t>
        </is>
      </c>
      <c r="X303" s="25" t="inlineStr">
        <is>
          <t>Compare both with a licensed advisor (/quote/car-insurance/)</t>
        </is>
      </c>
      <c r="Y303" s="36" t="inlineStr">
        <is>
          <t>Article; FAQPage; BreadcrumbList</t>
        </is>
      </c>
      <c r="Z303" s="37" t="n">
        <v>1800</v>
      </c>
      <c r="AA303" s="25" t="inlineStr">
        <is>
          <t>No competitor coverage seen.</t>
        </is>
      </c>
      <c r="AB303" s="25" t="inlineStr">
        <is>
          <t>Focus keyword in H1, slug, meta title, first 100 words and first H2; the 40-60 word answer explains the direct vs broker difference first. Use the scored table, link the broker-vs-direct guide, and refresh twice a year.</t>
        </is>
      </c>
      <c r="AC303" s="25" t="inlineStr">
        <is>
          <t>Publish only after the review method is live on /editorial-guidelines/ and legally reviewed; no 'better' or 'best' verdict beyond what the method shows. Disclose any commercial relationship with the insurers named and verify every product claim on the insurer's own pages with a date.</t>
        </is>
      </c>
      <c r="AD303" s="36" t="inlineStr">
        <is>
          <t>Semi-annual</t>
        </is>
      </c>
      <c r="AE303" s="38" t="n"/>
      <c r="AF303" s="38" t="n"/>
      <c r="AG303" s="38" t="n"/>
    </row>
    <row r="304" ht="35.05" customHeight="1" s="22">
      <c r="A304" s="36">
        <f>"B"&amp;TEXT(ROW()-1,"0000")</f>
        <v/>
      </c>
      <c r="B304" s="38" t="inlineStr">
        <is>
          <t>Planned</t>
        </is>
      </c>
      <c r="C304" s="36" t="n">
        <v>3</v>
      </c>
      <c r="D304" s="36" t="inlineStr">
        <is>
          <t>Car insurance</t>
        </is>
      </c>
      <c r="E304" s="36" t="inlineStr">
        <is>
          <t>Cost &amp; pricing</t>
        </is>
      </c>
      <c r="F304" s="25" t="inlineStr">
        <is>
          <t>Does Your Credit Score Affect Car Insurance in Canada?</t>
        </is>
      </c>
      <c r="G304" s="36" t="inlineStr">
        <is>
          <t>https://instasure.ca/guides/does-credit-score-affect-car-insurance-canada/</t>
        </is>
      </c>
      <c r="H304" s="36" t="inlineStr">
        <is>
          <t>does credit score affect car insurance canada</t>
        </is>
      </c>
      <c r="I304" s="41">
        <f>IFERROR(INDEX('Nationwide KWs'!$D$2:$D$168,MATCH(H304,'Nationwide KWs'!$A$2:$A$168,0)),IFERROR(INDEX('Provincial KWs'!$E$2:$E$137,MATCH(H304,'Provincial KWs'!$A$2:$A$137,0)),IFERROR(INDEX('City KWs'!$F$2:$F$419,MATCH(H304,'City KWs'!$A$2:$A$419,0)),"")))</f>
        <v/>
      </c>
      <c r="J304" s="36" t="inlineStr">
        <is>
          <t>Low</t>
        </is>
      </c>
      <c r="K304" s="25" t="inlineStr">
        <is>
          <t>credit check car insurance ontario; do insurers check credit canada; credit based insurance score canada; car insurance bad credit</t>
        </is>
      </c>
      <c r="L304" s="36" t="inlineStr">
        <is>
          <t>Nationwide</t>
        </is>
      </c>
      <c r="M304" s="36" t="inlineStr">
        <is>
          <t>informational</t>
        </is>
      </c>
      <c r="N304" s="36" t="inlineStr">
        <is>
          <t>TOFU</t>
        </is>
      </c>
      <c r="O304" s="25" t="inlineStr">
        <is>
          <t>Does Credit Score Affect Car Insurance in Canada? The Rules</t>
        </is>
      </c>
      <c r="P304" s="36">
        <f>LEN(O304)</f>
        <v/>
      </c>
      <c r="Q304" s="25" t="inlineStr">
        <is>
          <t>Does your credit score affect car insurance in Canada? See which provinces bar its use for auto, where consent applies and what else counts. Read more.</t>
        </is>
      </c>
      <c r="R304" s="36">
        <f>LEN(Q304)</f>
        <v/>
      </c>
      <c r="S304" s="36">
        <f>IF(H304="","",IF(ISNUMBER(SEARCH(SUBSTITUTE(H304,"-"," "),SUBSTITUTE(O304,"-"," "))),"Yes","Check"))</f>
        <v/>
      </c>
      <c r="T304" s="25" t="inlineStr">
        <is>
          <t>Does your credit score affect car insurance? The short answer | Province rules on credit in auto insurance | Credit, consent and home insurance, where rules differ | How missed payments and cancellations still affect you | What to do if an insurer asks to check your credit</t>
        </is>
      </c>
      <c r="U304" s="25" t="inlineStr">
        <is>
          <t>Can Ontario insurers use credit scores for car insurance? | Does a car insurance quote affect my credit score? | Can I be refused insurance for bad credit? | Does paying monthly cost more?</t>
        </is>
      </c>
      <c r="V304" s="25" t="inlineStr">
        <is>
          <t>Province-by-province table of credit-use rules for auto insurance (allowed, allowed with consent, prohibited) with the regulator source and verification date for each row.</t>
        </is>
      </c>
      <c r="W304" s="25" t="inlineStr">
        <is>
          <t>/car-insurance/; /guides/how-car-insurance-premiums-are-calculated/; /guides/car-insurance-cancelled-for-non-payment/; /car-insurance/high-risk-drivers/</t>
        </is>
      </c>
      <c r="X304" s="25" t="inlineStr">
        <is>
          <t>Instant car insurance estimate (/quote/car-insurance/)</t>
        </is>
      </c>
      <c r="Y304" s="36" t="inlineStr">
        <is>
          <t>Article; FAQPage; BreadcrumbList</t>
        </is>
      </c>
      <c r="Z304" s="37" t="n">
        <v>1300</v>
      </c>
      <c r="AA304" s="25" t="inlineStr">
        <is>
          <t>No competitor coverage seen.</t>
        </is>
      </c>
      <c r="AB304" s="25" t="inlineStr">
        <is>
          <t>Focus keyword in H1, slug, meta title, first 100 words and first H2; the 40-60 word answer gives the Ontario rule and says other provinces differ. Lead with the province table, link 'cancellation' to the non-payment guide, and cite each regulator in a sources box. Re-check on any rule change.</t>
        </is>
      </c>
      <c r="AC304" s="25" t="inlineStr">
        <is>
          <t>Verify each province's rule on using credit information in auto rating (FSRA for Ontario, other superintendents and public insurers) before publishing. Do not say credit 'never' matters where home insurance or financing rules differ.</t>
        </is>
      </c>
      <c r="AD304" s="36" t="inlineStr">
        <is>
          <t>On rule change</t>
        </is>
      </c>
      <c r="AE304" s="38" t="n"/>
      <c r="AF304" s="38" t="n"/>
      <c r="AG304" s="38" t="n"/>
    </row>
    <row r="305" ht="46.25" customHeight="1" s="22">
      <c r="A305" s="36">
        <f>"B"&amp;TEXT(ROW()-1,"0000")</f>
        <v/>
      </c>
      <c r="B305" s="38" t="inlineStr">
        <is>
          <t>Planned</t>
        </is>
      </c>
      <c r="C305" s="36" t="n">
        <v>3</v>
      </c>
      <c r="D305" s="36" t="inlineStr">
        <is>
          <t>Car insurance</t>
        </is>
      </c>
      <c r="E305" s="36" t="inlineStr">
        <is>
          <t>Cost &amp; pricing</t>
        </is>
      </c>
      <c r="F305" s="25" t="inlineStr">
        <is>
          <t>How Car Insurance Premiums Are Calculated in Canada</t>
        </is>
      </c>
      <c r="G305" s="36" t="inlineStr">
        <is>
          <t>https://instasure.ca/guides/how-car-insurance-premiums-are-calculated/</t>
        </is>
      </c>
      <c r="H305" s="36" t="inlineStr">
        <is>
          <t>how is car insurance calculated</t>
        </is>
      </c>
      <c r="I305" s="41">
        <f>IFERROR(INDEX('Nationwide KWs'!$D$2:$D$168,MATCH(H305,'Nationwide KWs'!$A$2:$A$168,0)),IFERROR(INDEX('Provincial KWs'!$E$2:$E$137,MATCH(H305,'Provincial KWs'!$A$2:$A$137,0)),IFERROR(INDEX('City KWs'!$F$2:$F$419,MATCH(H305,'City KWs'!$A$2:$A$419,0)),"")))</f>
        <v/>
      </c>
      <c r="J305" s="36" t="inlineStr">
        <is>
          <t>Low</t>
        </is>
      </c>
      <c r="K305" s="25" t="inlineStr">
        <is>
          <t>car insurance rating factors; what affects car insurance rates; why is my car insurance so high; car insurance factors canada</t>
        </is>
      </c>
      <c r="L305" s="36" t="inlineStr">
        <is>
          <t>Nationwide</t>
        </is>
      </c>
      <c r="M305" s="36" t="inlineStr">
        <is>
          <t>informational</t>
        </is>
      </c>
      <c r="N305" s="36" t="inlineStr">
        <is>
          <t>TOFU</t>
        </is>
      </c>
      <c r="O305" s="25" t="inlineStr">
        <is>
          <t>How Is Car Insurance Calculated? Rating Factors in Canada</t>
        </is>
      </c>
      <c r="P305" s="36">
        <f>LEN(O305)</f>
        <v/>
      </c>
      <c r="Q305" s="25" t="inlineStr">
        <is>
          <t>How is car insurance calculated in Canada? See each rating factor insurers use, which you can change and which ones provinces restrict. Get an estimate.</t>
        </is>
      </c>
      <c r="R305" s="36">
        <f>LEN(Q305)</f>
        <v/>
      </c>
      <c r="S305" s="36">
        <f>IF(H305="","",IF(ISNUMBER(SEARCH(SUBSTITUTE(H305,"-"," "),SUBSTITUTE(O305,"-"," "))),"Yes","Check"))</f>
        <v/>
      </c>
      <c r="T305" s="25" t="inlineStr">
        <is>
          <t>How is car insurance calculated? The short answer | Driver factors: licence history, claims and convictions | Vehicle factors: model, repair cost and theft risk | Location factors: postal code, commute and parking | Coverage choices: limits, deductibles and endorsements | Factors provinces restrict or ban | Which factors you can change this year</t>
        </is>
      </c>
      <c r="U305" s="25" t="inlineStr">
        <is>
          <t>Does my gender affect car insurance in Canada? | Can insurers use my credit score for car insurance? | Why did my rate change when I moved across town? | Does the colour of my car affect insurance?</t>
        </is>
      </c>
      <c r="V305" s="25" t="inlineStr">
        <is>
          <t>Factor-by-factor table showing each rating factor, whether you can change it, its usual direction of effect and which provinces restrict it (credit in Ontario, public-insurer driver scales in BC, MB and SK), plus one worked example showing how a single profile's estimate shifts when three factors change.</t>
        </is>
      </c>
      <c r="W305" s="25" t="inlineStr">
        <is>
          <t>/car-insurance/; /guides/car-insurance-by-postal-code/; /guides/does-credit-score-affect-car-insurance-canada/; /glossary/</t>
        </is>
      </c>
      <c r="X305" s="25" t="inlineStr">
        <is>
          <t>Instant car insurance estimate (/quote/car-insurance/)</t>
        </is>
      </c>
      <c r="Y305" s="36" t="inlineStr">
        <is>
          <t>Article; FAQPage; BreadcrumbList</t>
        </is>
      </c>
      <c r="Z305" s="37" t="n">
        <v>1800</v>
      </c>
      <c r="AA305" s="25" t="inlineStr">
        <is>
          <t>Ratehub city pages carry short factor explainers and Sonnet has a '5 car characteristics' post; neither shows which factors each province restricts or bans.</t>
        </is>
      </c>
      <c r="AB305" s="25" t="inlineStr">
        <is>
          <t>Use the focus keyword in the H1, slug, meta title, first 100 words and first H2, with a 40-60 word answer listing the four factor groups. Present the factor table early, link 'postal code' and 'credit score' mentions to the two sibling guides, and add an illustration of a premium 'stack' (alt text: 'how a car insurance premium is built from rating factors'). Reviewer: licensed general insurance advisor; review annually.</t>
        </is>
      </c>
      <c r="AC305" s="25" t="inlineStr">
        <is>
          <t>Verify province-specific restrictions (credit, gender, age) against FSRA, provincial regulations and public-insurer rate rules before stating them. Do not quantify a factor's effect without a dated source or a labelled Instasure model.</t>
        </is>
      </c>
      <c r="AD305" s="36" t="inlineStr">
        <is>
          <t>Annual</t>
        </is>
      </c>
      <c r="AE305" s="38" t="n"/>
      <c r="AF305" s="38" t="n"/>
      <c r="AG305" s="38" t="n"/>
    </row>
    <row r="306" ht="35.05" customHeight="1" s="22">
      <c r="A306" s="36">
        <f>"B"&amp;TEXT(ROW()-1,"0000")</f>
        <v/>
      </c>
      <c r="B306" s="38" t="inlineStr">
        <is>
          <t>Planned</t>
        </is>
      </c>
      <c r="C306" s="36" t="n">
        <v>3</v>
      </c>
      <c r="D306" s="36" t="inlineStr">
        <is>
          <t>Car insurance</t>
        </is>
      </c>
      <c r="E306" s="36" t="inlineStr">
        <is>
          <t>Coverage explained</t>
        </is>
      </c>
      <c r="F306" s="25" t="inlineStr">
        <is>
          <t>Accident Forgiveness in Canada: How It Works and Who Qualifies</t>
        </is>
      </c>
      <c r="G306" s="36" t="inlineStr">
        <is>
          <t>https://instasure.ca/guides/accident-forgiveness-car-insurance-canada/</t>
        </is>
      </c>
      <c r="H306" s="36" t="inlineStr">
        <is>
          <t>accident forgiveness car insurance</t>
        </is>
      </c>
      <c r="I306" s="41">
        <f>IFERROR(INDEX('Nationwide KWs'!$D$2:$D$168,MATCH(H306,'Nationwide KWs'!$A$2:$A$168,0)),IFERROR(INDEX('Provincial KWs'!$E$2:$E$137,MATCH(H306,'Provincial KWs'!$A$2:$A$137,0)),IFERROR(INDEX('City KWs'!$F$2:$F$419,MATCH(H306,'City KWs'!$A$2:$A$419,0)),"")))</f>
        <v/>
      </c>
      <c r="J306" s="36" t="inlineStr">
        <is>
          <t>Low</t>
        </is>
      </c>
      <c r="K306" s="25" t="inlineStr">
        <is>
          <t>is accident forgiveness worth it; accident forgiveness ontario; does accident forgiveness transfer to new insurer; minor conviction protection</t>
        </is>
      </c>
      <c r="L306" s="36" t="inlineStr">
        <is>
          <t>Nationwide</t>
        </is>
      </c>
      <c r="M306" s="36" t="inlineStr">
        <is>
          <t>commercial</t>
        </is>
      </c>
      <c r="N306" s="36" t="inlineStr">
        <is>
          <t>MOFU</t>
        </is>
      </c>
      <c r="O306" s="25" t="inlineStr">
        <is>
          <t>Accident Forgiveness Car Insurance: Is It Worth It?</t>
        </is>
      </c>
      <c r="P306" s="36">
        <f>LEN(O306)</f>
        <v/>
      </c>
      <c r="Q306" s="25" t="inlineStr">
        <is>
          <t>Accident forgiveness car insurance explained: who qualifies, what it protects, why it may not follow you to a new insurer and when it pays off. See how.</t>
        </is>
      </c>
      <c r="R306" s="36">
        <f>LEN(Q306)</f>
        <v/>
      </c>
      <c r="S306" s="36">
        <f>IF(H306="","",IF(ISNUMBER(SEARCH(SUBSTITUTE(H306,"-"," "),SUBSTITUTE(O306,"-"," "))),"Yes","Check"))</f>
        <v/>
      </c>
      <c r="T306" s="25" t="inlineStr">
        <is>
          <t>What is accident forgiveness? | Who qualifies: years licensed and claims-free | What it protects and what it doesn't | Does it transfer if you switch insurers? | Built-in vs paid add-on | Is accident forgiveness worth it? A worked example</t>
        </is>
      </c>
      <c r="U306" s="25" t="inlineStr">
        <is>
          <t>Does accident forgiveness remove the accident from my record? | Can I use accident forgiveness twice? | Does accident forgiveness cover tickets? | Will I lose accident forgiveness if I switch insurers?</t>
        </is>
      </c>
      <c r="V306" s="25" t="inlineStr">
        <is>
          <t>Worked example comparing three renewals after an at-fault claim with and without forgiveness (Instasure-modelled, dated), plus an eligibility checklist.</t>
        </is>
      </c>
      <c r="W306" s="25" t="inlineStr">
        <is>
          <t>/car-insurance/; /guides/car-insurance-after-accident/; /guides/how-to-switch-car-insurance-cancellation-penalty/; /car-insurance/high-risk-drivers/</t>
        </is>
      </c>
      <c r="X306" s="25" t="inlineStr">
        <is>
          <t>Instant car insurance estimate (/quote/car-insurance/)</t>
        </is>
      </c>
      <c r="Y306" s="36" t="inlineStr">
        <is>
          <t>Article; FAQPage; BreadcrumbList</t>
        </is>
      </c>
      <c r="Z306" s="37" t="n">
        <v>1400</v>
      </c>
      <c r="AA306" s="25" t="inlineStr">
        <is>
          <t>Sonnet has a blog post and FAQ on accident forgiveness tied to its own product; no neutral explainer compares built-in and add-on versions or covers switching.</t>
        </is>
      </c>
      <c r="AB306" s="25" t="inlineStr">
        <is>
          <t>Focus keyword in H1, slug, meta title, first 100 words and first H2; the 40-60 word answer explains what forgiveness protects and its usual conditions. Show the worked example as a three-row table, link 'switch insurers' to the switching guide, and add a reviewer line. Review annually.</t>
        </is>
      </c>
      <c r="AC306" s="25" t="inlineStr">
        <is>
          <t>Eligibility rules differ by insurer: describe typical conditions and cite insurer wordings, without presenting one insurer's feature as standard. Label modelled savings as estimates.</t>
        </is>
      </c>
      <c r="AD306" s="36" t="inlineStr">
        <is>
          <t>Annual</t>
        </is>
      </c>
      <c r="AE306" s="38" t="n"/>
      <c r="AF306" s="38" t="n"/>
      <c r="AG306" s="38" t="n"/>
    </row>
    <row r="307" ht="35.05" customHeight="1" s="22">
      <c r="A307" s="36">
        <f>"B"&amp;TEXT(ROW()-1,"0000")</f>
        <v/>
      </c>
      <c r="B307" s="38" t="inlineStr">
        <is>
          <t>Planned</t>
        </is>
      </c>
      <c r="C307" s="36" t="n">
        <v>3</v>
      </c>
      <c r="D307" s="36" t="inlineStr">
        <is>
          <t>Car insurance</t>
        </is>
      </c>
      <c r="E307" s="36" t="inlineStr">
        <is>
          <t>Coverage explained</t>
        </is>
      </c>
      <c r="F307" s="25" t="inlineStr">
        <is>
          <t>Direct Compensation Property Damage (DCPD), Explained</t>
        </is>
      </c>
      <c r="G307" s="36" t="inlineStr">
        <is>
          <t>https://instasure.ca/guides/direct-compensation-property-damage-dcpd/</t>
        </is>
      </c>
      <c r="H307" s="36" t="inlineStr">
        <is>
          <t>direct compensation property damage</t>
        </is>
      </c>
      <c r="I307" s="41">
        <f>IFERROR(INDEX('Nationwide KWs'!$D$2:$D$168,MATCH(H307,'Nationwide KWs'!$A$2:$A$168,0)),IFERROR(INDEX('Provincial KWs'!$E$2:$E$137,MATCH(H307,'Provincial KWs'!$A$2:$A$137,0)),IFERROR(INDEX('City KWs'!$F$2:$F$419,MATCH(H307,'City KWs'!$A$2:$A$419,0)),"")))</f>
        <v/>
      </c>
      <c r="J307" s="36" t="inlineStr">
        <is>
          <t>Low</t>
        </is>
      </c>
      <c r="K307" s="25" t="inlineStr">
        <is>
          <t>dcpd insurance ontario; dcpd vs collision; what is dcpd on car insurance; dcpd alberta; dcpd deductible</t>
        </is>
      </c>
      <c r="L307" s="36" t="inlineStr">
        <is>
          <t>Nationwide</t>
        </is>
      </c>
      <c r="M307" s="36" t="inlineStr">
        <is>
          <t>informational</t>
        </is>
      </c>
      <c r="N307" s="36" t="inlineStr">
        <is>
          <t>TOFU</t>
        </is>
      </c>
      <c r="O307" s="25" t="inlineStr">
        <is>
          <t>Direct Compensation Property Damage (DCPD) Explained</t>
        </is>
      </c>
      <c r="P307" s="36">
        <f>LEN(O307)</f>
        <v/>
      </c>
      <c r="Q307" s="25" t="inlineStr">
        <is>
          <t>Direct compensation property damage (DCPD) explained: which provinces use it, how fault sets what it pays and how it differs from collision. See examples.</t>
        </is>
      </c>
      <c r="R307" s="36">
        <f>LEN(Q307)</f>
        <v/>
      </c>
      <c r="S307" s="36">
        <f>IF(H307="","",IF(ISNUMBER(SEARCH(SUBSTITUTE(H307,"-"," "),SUBSTITUTE(O307,"-"," "))),"Yes","Check"))</f>
        <v/>
      </c>
      <c r="T307" s="25" t="inlineStr">
        <is>
          <t>What is direct compensation property damage? | Which provinces use DCPD | How your fault percentage sets what DCPD pays | DCPD vs collision: who pays when | DCPD deductibles and premiums | Three common crashes, worked through</t>
        </is>
      </c>
      <c r="U307" s="25" t="inlineStr">
        <is>
          <t>Is DCPD mandatory in Ontario? | Do I need collision if I have DCPD? | Does DCPD cover a hit and run? | Will a DCPD claim raise my premium?</t>
        </is>
      </c>
      <c r="V307" s="25" t="inlineStr">
        <is>
          <t>Three worked crash scenarios (0%, 50% and 100% at fault) showing which coverage pays and which deductible applies, plus a province table of DCPD status and start dates.</t>
        </is>
      </c>
      <c r="W307" s="25" t="inlineStr">
        <is>
          <t>/car-insurance/ontario/; /guides/ontario-fault-determination-rules/; /guides/comprehensive-vs-collision-insurance/; /glossary/</t>
        </is>
      </c>
      <c r="X307" s="25" t="inlineStr">
        <is>
          <t>Instant car insurance estimate (/quote/car-insurance/)</t>
        </is>
      </c>
      <c r="Y307" s="36" t="inlineStr">
        <is>
          <t>Article; FAQPage; BreadcrumbList</t>
        </is>
      </c>
      <c r="Z307" s="37" t="n">
        <v>1300</v>
      </c>
      <c r="AA307" s="25" t="inlineStr">
        <is>
          <t>Rates.ca has a resource article on DCPD; no competitor shows province status or worked fault scenarios.</t>
        </is>
      </c>
      <c r="AB307" s="25" t="inlineStr">
        <is>
          <t>Focus keyword in H1, slug, meta title, first 100 words and first H2; define DCPD in 40-60 words. Present the three scenarios as a table with a simple diagram (alt: 'DCPD claim example at 50% fault'), and link 'fault' to the fault-rules guide. Review annually.</t>
        </is>
      </c>
      <c r="AC307" s="25" t="inlineStr">
        <is>
          <t>Verify which provinces use DCPD and since when (Ontario, Atlantic provinces, Alberta's 2022 change) against regulator sources, and confirm deductible rules per province.</t>
        </is>
      </c>
      <c r="AD307" s="36" t="inlineStr">
        <is>
          <t>Annual</t>
        </is>
      </c>
      <c r="AE307" s="38" t="n"/>
      <c r="AF307" s="38" t="n"/>
      <c r="AG307" s="38" t="n"/>
    </row>
    <row r="308" ht="35.05" customHeight="1" s="22">
      <c r="A308" s="36">
        <f>"B"&amp;TEXT(ROW()-1,"0000")</f>
        <v/>
      </c>
      <c r="B308" s="38" t="inlineStr">
        <is>
          <t>Planned</t>
        </is>
      </c>
      <c r="C308" s="36" t="n">
        <v>3</v>
      </c>
      <c r="D308" s="36" t="inlineStr">
        <is>
          <t>Car insurance</t>
        </is>
      </c>
      <c r="E308" s="36" t="inlineStr">
        <is>
          <t>Coverage explained</t>
        </is>
      </c>
      <c r="F308" s="25" t="inlineStr">
        <is>
          <t>Does Canadian Car Insurance Cover You in the US?</t>
        </is>
      </c>
      <c r="G308" s="36" t="inlineStr">
        <is>
          <t>https://instasure.ca/guides/does-canadian-car-insurance-cover-usa/</t>
        </is>
      </c>
      <c r="H308" s="36" t="inlineStr">
        <is>
          <t>does canadian car insurance cover usa</t>
        </is>
      </c>
      <c r="I308" s="41">
        <f>IFERROR(INDEX('Nationwide KWs'!$D$2:$D$168,MATCH(H308,'Nationwide KWs'!$A$2:$A$168,0)),IFERROR(INDEX('Provincial KWs'!$E$2:$E$137,MATCH(H308,'Provincial KWs'!$A$2:$A$137,0)),IFERROR(INDEX('City KWs'!$F$2:$F$419,MATCH(H308,'City KWs'!$A$2:$A$419,0)),"")))</f>
        <v/>
      </c>
      <c r="J308" s="36" t="inlineStr">
        <is>
          <t>Medium</t>
        </is>
      </c>
      <c r="K308" s="25" t="inlineStr">
        <is>
          <t>driving in the us with canadian insurance; car insurance out of province; pink slip in the us; rental car in the us canadian insurance; driving to florida insurance</t>
        </is>
      </c>
      <c r="L308" s="36" t="inlineStr">
        <is>
          <t>Nationwide</t>
        </is>
      </c>
      <c r="M308" s="36" t="inlineStr">
        <is>
          <t>informational</t>
        </is>
      </c>
      <c r="N308" s="36" t="inlineStr">
        <is>
          <t>TOFU</t>
        </is>
      </c>
      <c r="O308" s="25" t="inlineStr">
        <is>
          <t>Does Canadian Car Insurance Cover You in the USA? The Rules</t>
        </is>
      </c>
      <c r="P308" s="36">
        <f>LEN(O308)</f>
        <v/>
      </c>
      <c r="Q308" s="25" t="inlineStr">
        <is>
          <t>Does Canadian car insurance cover you in the USA? What travels with you, why liability limits matter and what to carry at the border. Check before you go.</t>
        </is>
      </c>
      <c r="R308" s="36">
        <f>LEN(Q308)</f>
        <v/>
      </c>
      <c r="S308" s="36">
        <f>IF(H308="","",IF(ISNUMBER(SEARCH(SUBSTITUTE(H308,"-"," "),SUBSTITUTE(O308,"-"," "))),"Yes","Check"))</f>
        <v/>
      </c>
      <c r="T308" s="25" t="inlineStr">
        <is>
          <t>Does your Canadian car insurance work in the US? | What coverage travels with you, and what doesn't | Liability limits and US lawsuit exposure | Pink slip and proof of insurance at the border | Accidents in the US: what to do | Snowbirds: long stays and car storage | Driving in Mexico</t>
        </is>
      </c>
      <c r="U308" s="25" t="inlineStr">
        <is>
          <t>Do I need extra car insurance to drive to the US? | Is my pink slip valid in the United States? | Does my insurance cover a US rental car? | Do I need Mexican car insurance?</t>
        </is>
      </c>
      <c r="V308" s="25" t="inlineStr">
        <is>
          <t>Coverage-travels table by coverage type (liability, accident benefits, collision, comprehensive) for the US and Mexico, plus a pre-trip checklist and a US accident checklist.</t>
        </is>
      </c>
      <c r="W308" s="25" t="inlineStr">
        <is>
          <t>/car-insurance/; /guides/how-much-car-insurance-liability-do-i-need/; /travel-insurance/snowbirds/; /guides/does-car-insurance-cover-rental-cars-opcf-27/</t>
        </is>
      </c>
      <c r="X308" s="25" t="inlineStr">
        <is>
          <t>Instant car insurance estimate (/quote/car-insurance/)</t>
        </is>
      </c>
      <c r="Y308" s="36" t="inlineStr">
        <is>
          <t>Article; FAQPage; BreadcrumbList</t>
        </is>
      </c>
      <c r="Z308" s="37" t="n">
        <v>1400</v>
      </c>
      <c r="AA308" s="25" t="inlineStr">
        <is>
          <t>Rates.ca has a resource article on out-of-province travel; no competitor ties liability limits, snowbird stays and Mexico rules together.</t>
        </is>
      </c>
      <c r="AB308" s="25" t="inlineStr">
        <is>
          <t>Focus keyword in H1, slug, meta title, first 100 words and first H2; the 40-60 word answer says what travels and the liability caveat. Put the coverage-travels table second, link 'snowbirds' to the snowbird travel page, and add a printable pre-trip checklist. Review annually before snowbird season.</t>
        </is>
      </c>
      <c r="AC308" s="25" t="inlineStr">
        <is>
          <t>Verify territorial clauses in standard policy wordings (OAP 1 and provincial equivalents) and public-insurer rules (ICBC, MPI, SGI, SAAQ). Mexico liability requirements must come from an official source.</t>
        </is>
      </c>
      <c r="AD308" s="36" t="inlineStr">
        <is>
          <t>Annual</t>
        </is>
      </c>
      <c r="AE308" s="38" t="n"/>
      <c r="AF308" s="38" t="n"/>
      <c r="AG308" s="38" t="n"/>
    </row>
    <row r="309" ht="46.25" customHeight="1" s="22">
      <c r="A309" s="36">
        <f>"B"&amp;TEXT(ROW()-1,"0000")</f>
        <v/>
      </c>
      <c r="B309" s="38" t="inlineStr">
        <is>
          <t>Planned</t>
        </is>
      </c>
      <c r="C309" s="36" t="n">
        <v>3</v>
      </c>
      <c r="D309" s="36" t="inlineStr">
        <is>
          <t>Car insurance</t>
        </is>
      </c>
      <c r="E309" s="36" t="inlineStr">
        <is>
          <t>Coverage explained</t>
        </is>
      </c>
      <c r="F309" s="25" t="inlineStr">
        <is>
          <t>Does Car Insurance Cover Flood Damage in Canada?</t>
        </is>
      </c>
      <c r="G309" s="36" t="inlineStr">
        <is>
          <t>https://instasure.ca/guides/does-car-insurance-cover-flood-damage/</t>
        </is>
      </c>
      <c r="H309" s="36" t="inlineStr">
        <is>
          <t>does car insurance cover flood damage</t>
        </is>
      </c>
      <c r="I309" s="41">
        <f>IFERROR(INDEX('Nationwide KWs'!$D$2:$D$168,MATCH(H309,'Nationwide KWs'!$A$2:$A$168,0)),IFERROR(INDEX('Provincial KWs'!$E$2:$E$137,MATCH(H309,'Provincial KWs'!$A$2:$A$137,0)),IFERROR(INDEX('City KWs'!$F$2:$F$419,MATCH(H309,'City KWs'!$A$2:$A$419,0)),"")))</f>
        <v/>
      </c>
      <c r="J309" s="36" t="inlineStr">
        <is>
          <t>Low</t>
        </is>
      </c>
      <c r="K309" s="25" t="inlineStr">
        <is>
          <t>flooded car insurance claim; water damage car insurance; comprehensive flood coverage; car damaged in flood ontario</t>
        </is>
      </c>
      <c r="L309" s="36" t="inlineStr">
        <is>
          <t>Nationwide</t>
        </is>
      </c>
      <c r="M309" s="36" t="inlineStr">
        <is>
          <t>informational</t>
        </is>
      </c>
      <c r="N309" s="36" t="inlineStr">
        <is>
          <t>TOFU</t>
        </is>
      </c>
      <c r="O309" s="25" t="inlineStr">
        <is>
          <t>Does Car Insurance Cover Flood Damage? What Pays in Canada</t>
        </is>
      </c>
      <c r="P309" s="36">
        <f>LEN(O309)</f>
        <v/>
      </c>
      <c r="Q309" s="25" t="inlineStr">
        <is>
          <t>Does car insurance cover flood damage? See which coverage pays for a flooded car in Canada, when it is written off and what to do first. Get the checklist.</t>
        </is>
      </c>
      <c r="R309" s="36">
        <f>LEN(Q309)</f>
        <v/>
      </c>
      <c r="S309" s="36">
        <f>IF(H309="","",IF(ISNUMBER(SEARCH(SUBSTITUTE(H309,"-"," "),SUBSTITUTE(O309,"-"," "))),"Yes","Check"))</f>
        <v/>
      </c>
      <c r="T309" s="25" t="inlineStr">
        <is>
          <t>Does car insurance cover flood damage? | Comprehensive, all perils and specified perils | Flooded underground garages and basement parking | When a flooded car is written off | First 48 hours after a flood: what to do | Buying a used car: spotting flood damage</t>
        </is>
      </c>
      <c r="U309" s="25" t="inlineStr">
        <is>
          <t>Is a flooded car covered by collision? | Will my insurance pay if my car flooded in a parking garage? | Does home insurance cover my car in a flood? | Can I start a flooded car before the adjuster sees it?</t>
        </is>
      </c>
      <c r="V309" s="25" t="inlineStr">
        <is>
          <t>Coverage matrix for flood scenarios (street flooding, garage flooding, driving into water) by coverage type, and a 48-hour action checklist covering photos and documents.</t>
        </is>
      </c>
      <c r="W309" s="25" t="inlineStr">
        <is>
          <t>/car-insurance/; /guides/comprehensive-vs-collision-insurance/; /guides/does-home-insurance-cover-water-damage-canada/; /guides/car-written-off-insurance-payout/</t>
        </is>
      </c>
      <c r="X309" s="25" t="inlineStr">
        <is>
          <t>Instant car insurance estimate (/quote/car-insurance/)</t>
        </is>
      </c>
      <c r="Y309" s="36" t="inlineStr">
        <is>
          <t>Article; FAQPage; BreadcrumbList</t>
        </is>
      </c>
      <c r="Z309" s="37" t="n">
        <v>1300</v>
      </c>
      <c r="AA309" s="25" t="inlineStr">
        <is>
          <t>No competitor coverage seen for car flood damage; home-flood content (Ratehub, RBC, brokers) dominates the related SERP.</t>
        </is>
      </c>
      <c r="AB309" s="25" t="inlineStr">
        <is>
          <t>Focus keyword in H1, slug, meta title, first 100 words and first H2; the 40-60 word answer names comprehensive or all perils as the usual source. Present the scenario matrix, link 'home insurance' water-damage mentions to the existing water-damage guide, and add a photo of a flooded garage (alt: 'car damaged in underground garage flood'). Review annually.</t>
        </is>
      </c>
      <c r="AC309" s="25" t="inlineStr">
        <is>
          <t>Coverage descriptions must match standard policy wordings and note insurer variation. Cite IBC for any severe-weather loss figures with the year.</t>
        </is>
      </c>
      <c r="AD309" s="36" t="inlineStr">
        <is>
          <t>Annual</t>
        </is>
      </c>
      <c r="AE309" s="38" t="n"/>
      <c r="AF309" s="38" t="n"/>
      <c r="AG309" s="38" t="n"/>
    </row>
    <row r="310" ht="35.05" customHeight="1" s="22">
      <c r="A310" s="36">
        <f>"B"&amp;TEXT(ROW()-1,"0000")</f>
        <v/>
      </c>
      <c r="B310" s="38" t="inlineStr">
        <is>
          <t>Planned</t>
        </is>
      </c>
      <c r="C310" s="36" t="n">
        <v>3</v>
      </c>
      <c r="D310" s="36" t="inlineStr">
        <is>
          <t>Car insurance</t>
        </is>
      </c>
      <c r="E310" s="36" t="inlineStr">
        <is>
          <t>Coverage explained</t>
        </is>
      </c>
      <c r="F310" s="25" t="inlineStr">
        <is>
          <t>Does My Car Insurance Cover Someone Else Driving My Car?</t>
        </is>
      </c>
      <c r="G310" s="36" t="inlineStr">
        <is>
          <t>https://instasure.ca/guides/does-my-insurance-cover-other-drivers/</t>
        </is>
      </c>
      <c r="H310" s="36" t="inlineStr">
        <is>
          <t>does my car insurance cover other drivers</t>
        </is>
      </c>
      <c r="I310" s="41">
        <f>IFERROR(INDEX('Nationwide KWs'!$D$2:$D$168,MATCH(H310,'Nationwide KWs'!$A$2:$A$168,0)),IFERROR(INDEX('Provincial KWs'!$E$2:$E$137,MATCH(H310,'Provincial KWs'!$A$2:$A$137,0)),IFERROR(INDEX('City KWs'!$F$2:$F$419,MATCH(H310,'City KWs'!$A$2:$A$419,0)),"")))</f>
        <v/>
      </c>
      <c r="J310" s="36" t="inlineStr">
        <is>
          <t>Medium</t>
        </is>
      </c>
      <c r="K310" s="25" t="inlineStr">
        <is>
          <t>occasional driver car insurance; principal driver vs occasional driver; fronting car insurance; lending your car insurance canada; adding a driver to car insurance</t>
        </is>
      </c>
      <c r="L310" s="36" t="inlineStr">
        <is>
          <t>Nationwide</t>
        </is>
      </c>
      <c r="M310" s="36" t="inlineStr">
        <is>
          <t>informational</t>
        </is>
      </c>
      <c r="N310" s="36" t="inlineStr">
        <is>
          <t>TOFU</t>
        </is>
      </c>
      <c r="O310" s="25" t="inlineStr">
        <is>
          <t>Does My Car Insurance Cover Other Drivers? Lending Rules</t>
        </is>
      </c>
      <c r="P310" s="36">
        <f>LEN(O310)</f>
        <v/>
      </c>
      <c r="Q310" s="25" t="inlineStr">
        <is>
          <t>Does my car insurance cover other drivers? How lending your car works, when to list occasional drivers and why fronting voids claims. Check yours.</t>
        </is>
      </c>
      <c r="R310" s="36">
        <f>LEN(Q310)</f>
        <v/>
      </c>
      <c r="S310" s="36">
        <f>IF(H310="","",IF(ISNUMBER(SEARCH(SUBSTITUTE(H310,"-"," "),SUBSTITUTE(O310,"-"," "))),"Yes","Check"))</f>
        <v/>
      </c>
      <c r="T310" s="25" t="inlineStr">
        <is>
          <t>Does your insurance cover other people driving your car? | Insurance follows the car: what that means | Principal vs occasional drivers | Household members and listed drivers | Fronting: why it counts as misrepresentation | Lending to new drivers, visitors and friends</t>
        </is>
      </c>
      <c r="U310" s="25" t="inlineStr">
        <is>
          <t>Can my friend drive my car with my insurance? | Do I need to list my teenager as a driver? | What is fronting in car insurance? | Is a visitor with a foreign licence covered to drive my car?</t>
        </is>
      </c>
      <c r="V310" s="25" t="inlineStr">
        <is>
          <t>Decision table (who is driving, how often, in the household or not) showing whether to list them, plus three claim scenarios showing what happens when a driver was not listed.</t>
        </is>
      </c>
      <c r="W310" s="25" t="inlineStr">
        <is>
          <t>/car-insurance/; /guides/adding-teen-driver-to-car-insurance/; /car-insurance/new-drivers/; /car-insurance/high-risk-drivers/</t>
        </is>
      </c>
      <c r="X310" s="25" t="inlineStr">
        <is>
          <t>Instant car insurance estimate (/quote/car-insurance/)</t>
        </is>
      </c>
      <c r="Y310" s="36" t="inlineStr">
        <is>
          <t>Article; FAQPage; BreadcrumbList</t>
        </is>
      </c>
      <c r="Z310" s="37" t="n">
        <v>1400</v>
      </c>
      <c r="AA310" s="25" t="inlineStr">
        <is>
          <t>No competitor coverage seen as a dedicated guide; listing rules appear only in passing on persona pages.</t>
        </is>
      </c>
      <c r="AB310" s="25" t="inlineStr">
        <is>
          <t>Focus keyword in H1, slug, meta title, first 100 words and first H2; answer in 40-60 words with the 'insurance follows the car' rule and the listing caveat. Use the decision table, link 'teen driver' to the teen guide, and add a fronting warning box. Review annually.</t>
        </is>
      </c>
      <c r="AC310" s="25" t="inlineStr">
        <is>
          <t>Describe listing rules generally and point to policy wording; verify the permission-to-drive wording in Ontario's OAP 1. Do not imply fronting is low-risk: it is misrepresentation and can void coverage.</t>
        </is>
      </c>
      <c r="AD310" s="36" t="inlineStr">
        <is>
          <t>Annual</t>
        </is>
      </c>
      <c r="AE310" s="38" t="n"/>
      <c r="AF310" s="38" t="n"/>
      <c r="AG310" s="38" t="n"/>
    </row>
    <row r="311" ht="35.05" customHeight="1" s="22">
      <c r="A311" s="36">
        <f>"B"&amp;TEXT(ROW()-1,"0000")</f>
        <v/>
      </c>
      <c r="B311" s="38" t="inlineStr">
        <is>
          <t>Planned</t>
        </is>
      </c>
      <c r="C311" s="36" t="n">
        <v>3</v>
      </c>
      <c r="D311" s="36" t="inlineStr">
        <is>
          <t>Car insurance</t>
        </is>
      </c>
      <c r="E311" s="36" t="inlineStr">
        <is>
          <t>Coverage explained</t>
        </is>
      </c>
      <c r="F311" s="25" t="inlineStr">
        <is>
          <t>Gap Insurance in Canada: How It Works and Who Can Sell It</t>
        </is>
      </c>
      <c r="G311" s="36" t="inlineStr">
        <is>
          <t>https://instasure.ca/guides/gap-insurance-canada/</t>
        </is>
      </c>
      <c r="H311" s="36" t="inlineStr">
        <is>
          <t>gap insurance canada</t>
        </is>
      </c>
      <c r="I311" s="41">
        <f>IFERROR(INDEX('Nationwide KWs'!$D$2:$D$168,MATCH(H311,'Nationwide KWs'!$A$2:$A$168,0)),IFERROR(INDEX('Provincial KWs'!$E$2:$E$137,MATCH(H311,'Provincial KWs'!$A$2:$A$137,0)),IFERROR(INDEX('City KWs'!$F$2:$F$419,MATCH(H311,'City KWs'!$A$2:$A$419,0)),"")))</f>
        <v/>
      </c>
      <c r="J311" s="36" t="inlineStr">
        <is>
          <t>Medium</t>
        </is>
      </c>
      <c r="K311" s="25" t="inlineStr">
        <is>
          <t>gap insurance ontario; is gap insurance worth it; dealer gap insurance; gap insurance vs opcf 43; fsra gap insurance</t>
        </is>
      </c>
      <c r="L311" s="36" t="inlineStr">
        <is>
          <t>Nationwide</t>
        </is>
      </c>
      <c r="M311" s="36" t="inlineStr">
        <is>
          <t>informational</t>
        </is>
      </c>
      <c r="N311" s="36" t="inlineStr">
        <is>
          <t>MOFU</t>
        </is>
      </c>
      <c r="O311" s="25" t="inlineStr">
        <is>
          <t>Gap Insurance in Canada: How It Works and Is It Worth It?</t>
        </is>
      </c>
      <c r="P311" s="36">
        <f>LEN(O311)</f>
        <v/>
      </c>
      <c r="Q311" s="25" t="inlineStr">
        <is>
          <t>Gap insurance in Canada explained: what it pays when you owe more than your car is worth, dealer vs insurer options and FSRA's 2026 warning. Check first.</t>
        </is>
      </c>
      <c r="R311" s="36">
        <f>LEN(Q311)</f>
        <v/>
      </c>
      <c r="S311" s="36">
        <f>IF(H311="","",IF(ISNUMBER(SEARCH(SUBSTITUTE(H311,"-"," "),SUBSTITUTE(O311,"-"," "))),"Yes","Check"))</f>
        <v/>
      </c>
      <c r="T311" s="25" t="inlineStr">
        <is>
          <t>What is gap insurance? | When negative equity creates a gap | Dealer gap, insurer replacement cover and OPCF 43 | FSRA's 2026 warning on unlicensed gap sales | Is gap insurance worth it? Checklist | How to cancel dealer gap coverage</t>
        </is>
      </c>
      <c r="U311" s="25" t="inlineStr">
        <is>
          <t>Is gap insurance worth it in Canada? | Can I cancel gap insurance and get a refund? | Is gap insurance mandatory for a lease? | Who is allowed to sell gap insurance in Ontario?</t>
        </is>
      </c>
      <c r="V311" s="25" t="inlineStr">
        <is>
          <t>Negative-equity worked example over a 72-month loan, a three-way comparison (dealer gap, insurer replacement endorsement, no cover) and a pre-signing checklist.</t>
        </is>
      </c>
      <c r="W311" s="25" t="inlineStr">
        <is>
          <t>/car-insurance/; /guides/opcf-43-waiver-of-depreciation/; /guides/leased-car-insurance-canada/; /guides/car-written-off-insurance-payout/</t>
        </is>
      </c>
      <c r="X311" s="25" t="inlineStr">
        <is>
          <t>Instant car insurance estimate (/quote/car-insurance/)</t>
        </is>
      </c>
      <c r="Y311" s="36" t="inlineStr">
        <is>
          <t>Article; FAQPage; BreadcrumbList</t>
        </is>
      </c>
      <c r="Z311" s="37" t="n">
        <v>1500</v>
      </c>
      <c r="AA311" s="25" t="inlineStr">
        <is>
          <t>Ratehub and Rates.ca both have gap pages; neither covers FSRA's 2026 licensing expectations for gap products sold by dealers and lenders.</t>
        </is>
      </c>
      <c r="AB311" s="25" t="inlineStr">
        <is>
          <t>Focus keyword in H1, slug, meta title, first 100 words and first H2; answer in 40-60 words with a one-line negative-equity example. Add a loan-balance vs car-value chart (alt: 'negative equity gap on a car loan'), link 'OPCF 43' to its guide and cite FSRA's notice. Update on any FSRA change.</t>
        </is>
      </c>
      <c r="AC311" s="25" t="inlineStr">
        <is>
          <t>Verify FSRA's 2026 gap guidance and its date (research cites July 23, 2026, unverified) at fsrao.ca. Do not suggest that a named dealer product is unlicensed, and keep 'worth it' framed as a checklist rather than advice.</t>
        </is>
      </c>
      <c r="AD311" s="36" t="inlineStr">
        <is>
          <t>On rule change</t>
        </is>
      </c>
      <c r="AE311" s="38" t="n"/>
      <c r="AF311" s="38" t="n"/>
      <c r="AG311" s="38" t="n"/>
    </row>
    <row r="312" ht="35.05" customHeight="1" s="22">
      <c r="A312" s="36">
        <f>"B"&amp;TEXT(ROW()-1,"0000")</f>
        <v/>
      </c>
      <c r="B312" s="38" t="inlineStr">
        <is>
          <t>Planned</t>
        </is>
      </c>
      <c r="C312" s="36" t="n">
        <v>3</v>
      </c>
      <c r="D312" s="36" t="inlineStr">
        <is>
          <t>Car insurance</t>
        </is>
      </c>
      <c r="E312" s="36" t="inlineStr">
        <is>
          <t>Coverage explained</t>
        </is>
      </c>
      <c r="F312" s="25" t="inlineStr">
        <is>
          <t>Hit and Run and Uninsured Drivers: What Your Policy Pays</t>
        </is>
      </c>
      <c r="G312" s="36" t="inlineStr">
        <is>
          <t>https://instasure.ca/guides/uninsured-motorist-hit-and-run-coverage/</t>
        </is>
      </c>
      <c r="H312" s="36" t="inlineStr">
        <is>
          <t>hit and run car insurance canada</t>
        </is>
      </c>
      <c r="I312" s="41">
        <f>IFERROR(INDEX('Nationwide KWs'!$D$2:$D$168,MATCH(H312,'Nationwide KWs'!$A$2:$A$168,0)),IFERROR(INDEX('Provincial KWs'!$E$2:$E$137,MATCH(H312,'Provincial KWs'!$A$2:$A$137,0)),IFERROR(INDEX('City KWs'!$F$2:$F$419,MATCH(H312,'City KWs'!$A$2:$A$419,0)),"")))</f>
        <v/>
      </c>
      <c r="J312" s="36" t="inlineStr">
        <is>
          <t>Low</t>
        </is>
      </c>
      <c r="K312" s="25" t="inlineStr">
        <is>
          <t>uninsured motorist coverage canada; hit and run claim ontario; motor vehicle accident claims fund; uninsured automobile coverage; hit by uninsured driver</t>
        </is>
      </c>
      <c r="L312" s="36" t="inlineStr">
        <is>
          <t>Nationwide</t>
        </is>
      </c>
      <c r="M312" s="36" t="inlineStr">
        <is>
          <t>informational</t>
        </is>
      </c>
      <c r="N312" s="36" t="inlineStr">
        <is>
          <t>TOFU</t>
        </is>
      </c>
      <c r="O312" s="25" t="inlineStr">
        <is>
          <t>Hit and Run Car Insurance in Canada: Who Pays for Damage?</t>
        </is>
      </c>
      <c r="P312" s="36">
        <f>LEN(O312)</f>
        <v/>
      </c>
      <c r="Q312" s="25" t="inlineStr">
        <is>
          <t>Hit and run car insurance in Canada explained: uninsured automobile cover, collision, provincial claim funds and the reporting deadlines to meet. Read on.</t>
        </is>
      </c>
      <c r="R312" s="36">
        <f>LEN(Q312)</f>
        <v/>
      </c>
      <c r="S312" s="36">
        <f>IF(H312="","",IF(ISNUMBER(SEARCH(SUBSTITUTE(H312,"-"," "),SUBSTITUTE(O312,"-"," "))),"Yes","Check"))</f>
        <v/>
      </c>
      <c r="T312" s="25" t="inlineStr">
        <is>
          <t>Who pays after a hit and run in Canada? | Uninsured automobile coverage: what it pays | When collision or DCPD applies instead | Provincial claim funds for injuries | Reporting deadlines and evidence | Family protection for underinsured drivers</t>
        </is>
      </c>
      <c r="U312" s="25" t="inlineStr">
        <is>
          <t>Does insurance cover a hit and run if I don't have collision? | How long do I have to report a hit and run in Ontario? | Will a hit and run raise my premium? | What if the other driver has no insurance?</t>
        </is>
      </c>
      <c r="V312" s="25" t="inlineStr">
        <is>
          <t>Flowchart separating hit and run, identified uninsured driver and underinsured driver, showing which coverage pays property damage and injuries in each province, with reporting deadlines.</t>
        </is>
      </c>
      <c r="W312" s="25" t="inlineStr">
        <is>
          <t>/car-insurance/; /guides/opcf-44r-family-protection-coverage/; /guides/how-to-file-car-insurance-claim/; /guides/direct-compensation-property-damage-dcpd/</t>
        </is>
      </c>
      <c r="X312" s="25" t="inlineStr">
        <is>
          <t>Instant car insurance estimate (/quote/car-insurance/)</t>
        </is>
      </c>
      <c r="Y312" s="36" t="inlineStr">
        <is>
          <t>Article; FAQPage; BreadcrumbList</t>
        </is>
      </c>
      <c r="Z312" s="37" t="n">
        <v>1400</v>
      </c>
      <c r="AA312" s="25" t="inlineStr">
        <is>
          <t>Rates.ca has resource articles on uninsured drivers and hit and run; none maps coverage by province or links to underinsured-driver protection.</t>
        </is>
      </c>
      <c r="AB312" s="25" t="inlineStr">
        <is>
          <t>Focus keyword in H1, slug, meta title, first 100 words and first H2; answer in 40-60 words naming the coverage that usually pays. Embed the flowchart (alt: 'who pays after a hit and run in Canada'), link 'family protection' to the OPCF 44R guide, and cite provincial fund pages. Review annually.</t>
        </is>
      </c>
      <c r="AC312" s="25" t="inlineStr">
        <is>
          <t>Verify uninsured automobile limits, reporting deadlines and provincial fund names (e.g. Ontario's Motor Vehicle Accident Claims Fund) at source, and note that insurer wording varies.</t>
        </is>
      </c>
      <c r="AD312" s="36" t="inlineStr">
        <is>
          <t>Annual</t>
        </is>
      </c>
      <c r="AE312" s="38" t="n"/>
      <c r="AF312" s="38" t="n"/>
      <c r="AG312" s="38" t="n"/>
    </row>
    <row r="313" ht="35.05" customHeight="1" s="22">
      <c r="A313" s="36">
        <f>"B"&amp;TEXT(ROW()-1,"0000")</f>
        <v/>
      </c>
      <c r="B313" s="38" t="inlineStr">
        <is>
          <t>Planned</t>
        </is>
      </c>
      <c r="C313" s="36" t="n">
        <v>3</v>
      </c>
      <c r="D313" s="36" t="inlineStr">
        <is>
          <t>Car insurance</t>
        </is>
      </c>
      <c r="E313" s="36" t="inlineStr">
        <is>
          <t>Coverage explained</t>
        </is>
      </c>
      <c r="F313" s="25" t="inlineStr">
        <is>
          <t>How Much Car Insurance Liability Do You Need: $1M or $2M?</t>
        </is>
      </c>
      <c r="G313" s="36" t="inlineStr">
        <is>
          <t>https://instasure.ca/guides/how-much-car-insurance-liability-do-i-need/</t>
        </is>
      </c>
      <c r="H313" s="36" t="inlineStr">
        <is>
          <t>how much liability car insurance do i need</t>
        </is>
      </c>
      <c r="I313" s="41">
        <f>IFERROR(INDEX('Nationwide KWs'!$D$2:$D$168,MATCH(H313,'Nationwide KWs'!$A$2:$A$168,0)),IFERROR(INDEX('Provincial KWs'!$E$2:$E$137,MATCH(H313,'Provincial KWs'!$A$2:$A$137,0)),IFERROR(INDEX('City KWs'!$F$2:$F$419,MATCH(H313,'City KWs'!$A$2:$A$419,0)),"")))</f>
        <v/>
      </c>
      <c r="J313" s="36" t="inlineStr">
        <is>
          <t>Low</t>
        </is>
      </c>
      <c r="K313" s="25" t="inlineStr">
        <is>
          <t>1 million vs 2 million liability car insurance; third party liability canada; minimum liability ontario; umbrella insurance car</t>
        </is>
      </c>
      <c r="L313" s="36" t="inlineStr">
        <is>
          <t>Nationwide</t>
        </is>
      </c>
      <c r="M313" s="36" t="inlineStr">
        <is>
          <t>commercial</t>
        </is>
      </c>
      <c r="N313" s="36" t="inlineStr">
        <is>
          <t>MOFU</t>
        </is>
      </c>
      <c r="O313" s="25" t="inlineStr">
        <is>
          <t>How Much Liability Car Insurance Do I Need? $1M vs $2M</t>
        </is>
      </c>
      <c r="P313" s="36">
        <f>LEN(O313)</f>
        <v/>
      </c>
      <c r="Q313" s="25" t="inlineStr">
        <is>
          <t>How much liability car insurance do I need? Compare provincial minimums with $1M and $2M limits, US travel risk and umbrella cover. Use our quick guide.</t>
        </is>
      </c>
      <c r="R313" s="36">
        <f>LEN(Q313)</f>
        <v/>
      </c>
      <c r="S313" s="36">
        <f>IF(H313="","",IF(ISNUMBER(SEARCH(SUBSTITUTE(H313,"-"," "),SUBSTITUTE(O313,"-"," "))),"Yes","Check"))</f>
        <v/>
      </c>
      <c r="T313" s="25" t="inlineStr">
        <is>
          <t>How much liability coverage do you need? The short answer | Provincial minimums vs what most drivers carry | What third-party liability actually pays | When $2M or more makes sense | Driving in the US and liability | Umbrella policies on top of auto | Cost difference between limits</t>
        </is>
      </c>
      <c r="U313" s="25" t="inlineStr">
        <is>
          <t>Is $1 million liability enough in Canada? | How much more does $2 million liability cost? | Does liability cover my own injuries? | Do I need more liability if I drive in the US?</t>
        </is>
      </c>
      <c r="V313" s="25" t="inlineStr">
        <is>
          <t>Decision table matching household situations (assets, US travel, teen drivers, rideshare) to a suggested limit range, plus the Instasure-modelled price difference between $1M and $2M for one stated profile.</t>
        </is>
      </c>
      <c r="W313" s="25" t="inlineStr">
        <is>
          <t>/car-insurance/; /umbrella-insurance/; /guides/mandatory-car-insurance-by-province/; /guides/does-canadian-car-insurance-cover-usa/</t>
        </is>
      </c>
      <c r="X313" s="25" t="inlineStr">
        <is>
          <t>Instant car insurance estimate (/quote/car-insurance/)</t>
        </is>
      </c>
      <c r="Y313" s="36" t="inlineStr">
        <is>
          <t>Article; FAQPage; BreadcrumbList</t>
        </is>
      </c>
      <c r="Z313" s="37" t="n">
        <v>1400</v>
      </c>
      <c r="AA313" s="25" t="inlineStr">
        <is>
          <t>Rates.ca has a third-party liability quote page; no competitor gives a household-based decision table or links auto limits to umbrella cover.</t>
        </is>
      </c>
      <c r="AB313" s="25" t="inlineStr">
        <is>
          <t>Focus keyword in H1, slug, meta title, first 100 words and first H2; the 40-60 word answer gives the usual recommendation range and why. Use the decision table, link 'umbrella' to the umbrella page with 'umbrella liability insurance' anchor, and cite provincial minimums. Review annually.</t>
        </is>
      </c>
      <c r="AC313" s="25" t="inlineStr">
        <is>
          <t>Verify provincial minimums at source and label price differences as estimates with profile and date. Avoid advising a specific limit for an individual; point to an advisor review.</t>
        </is>
      </c>
      <c r="AD313" s="36" t="inlineStr">
        <is>
          <t>Annual</t>
        </is>
      </c>
      <c r="AE313" s="38" t="n"/>
      <c r="AF313" s="38" t="n"/>
      <c r="AG313" s="38" t="n"/>
    </row>
    <row r="314" ht="35.05" customHeight="1" s="22">
      <c r="A314" s="36">
        <f>"B"&amp;TEXT(ROW()-1,"0000")</f>
        <v/>
      </c>
      <c r="B314" s="38" t="inlineStr">
        <is>
          <t>Planned</t>
        </is>
      </c>
      <c r="C314" s="36" t="n">
        <v>3</v>
      </c>
      <c r="D314" s="36" t="inlineStr">
        <is>
          <t>Car insurance</t>
        </is>
      </c>
      <c r="E314" s="36" t="inlineStr">
        <is>
          <t>Coverage explained</t>
        </is>
      </c>
      <c r="F314" s="25" t="inlineStr">
        <is>
          <t>OPCF 43 Waiver of Depreciation: New Car Replacement Explained</t>
        </is>
      </c>
      <c r="G314" s="36" t="inlineStr">
        <is>
          <t>https://instasure.ca/guides/opcf-43-waiver-of-depreciation/</t>
        </is>
      </c>
      <c r="H314" s="36" t="inlineStr">
        <is>
          <t>opcf 43</t>
        </is>
      </c>
      <c r="I314" s="41">
        <f>IFERROR(INDEX('Nationwide KWs'!$D$2:$D$168,MATCH(H314,'Nationwide KWs'!$A$2:$A$168,0)),IFERROR(INDEX('Provincial KWs'!$E$2:$E$137,MATCH(H314,'Provincial KWs'!$A$2:$A$137,0)),IFERROR(INDEX('City KWs'!$F$2:$F$419,MATCH(H314,'City KWs'!$A$2:$A$419,0)),"")))</f>
        <v/>
      </c>
      <c r="J314" s="36" t="inlineStr">
        <is>
          <t>Low</t>
        </is>
      </c>
      <c r="K314" s="25" t="inlineStr">
        <is>
          <t>waiver of depreciation ontario; new car replacement insurance; replacement cost car insurance canada; sef 43; is opcf 43 worth it</t>
        </is>
      </c>
      <c r="L314" s="36" t="inlineStr">
        <is>
          <t>Province: Ontario</t>
        </is>
      </c>
      <c r="M314" s="36" t="inlineStr">
        <is>
          <t>commercial</t>
        </is>
      </c>
      <c r="N314" s="36" t="inlineStr">
        <is>
          <t>MOFU</t>
        </is>
      </c>
      <c r="O314" s="25" t="inlineStr">
        <is>
          <t>OPCF 43 Waiver of Depreciation: Is It Worth Adding?</t>
        </is>
      </c>
      <c r="P314" s="36">
        <f>LEN(O314)</f>
        <v/>
      </c>
      <c r="Q314" s="25" t="inlineStr">
        <is>
          <t>OPCF 43 waiver of depreciation explained: how it pays a new car's price after a total loss, how long it lasts and how it compares with gap cover. See more.</t>
        </is>
      </c>
      <c r="R314" s="36">
        <f>LEN(Q314)</f>
        <v/>
      </c>
      <c r="S314" s="36">
        <f>IF(H314="","",IF(ISNUMBER(SEARCH(SUBSTITUTE(H314,"-"," "),SUBSTITUTE(O314,"-"," "))),"Yes","Check"))</f>
        <v/>
      </c>
      <c r="T314" s="25" t="inlineStr">
        <is>
          <t>What is OPCF 43? | How a total loss is paid with and without it | How long you can keep it: time and mileage limits | OPCF 43 vs gap insurance vs dealer replacement plans | Leased and financed cars: OPCF 43A | Is it worth adding? Decision checklist</t>
        </is>
      </c>
      <c r="U314" s="25" t="inlineStr">
        <is>
          <t>How long can I have OPCF 43? | Does OPCF 43 cover used cars? | Is OPCF 43 the same as gap insurance? | What is OPCF 43A?</t>
        </is>
      </c>
      <c r="V314" s="25" t="inlineStr">
        <is>
          <t>Worked total-loss example for a 14-month-old vehicle showing the payout under actual cash value vs OPCF 43, and a comparison table of OPCF 43, gap insurance and dealer replacement products.</t>
        </is>
      </c>
      <c r="W314" s="25" t="inlineStr">
        <is>
          <t>/car-insurance/; /guides/gap-insurance-canada/; /guides/car-written-off-insurance-payout/; /guides/insurance-for-a-new-car-canada/</t>
        </is>
      </c>
      <c r="X314" s="25" t="inlineStr">
        <is>
          <t>Instant car insurance estimate (/quote/car-insurance/)</t>
        </is>
      </c>
      <c r="Y314" s="36" t="inlineStr">
        <is>
          <t>Article; FAQPage; BreadcrumbList</t>
        </is>
      </c>
      <c r="Z314" s="37" t="n">
        <v>1400</v>
      </c>
      <c r="AA314" s="25" t="inlineStr">
        <is>
          <t>Ratehub has 'How does replacement car insurance work' and gap pages exist on Ratehub and Rates.ca; none walks through OPCF 43 limits with a worked payout.</t>
        </is>
      </c>
      <c r="AB314" s="25" t="inlineStr">
        <is>
          <t>Focus keyword in H1, slug, meta title, first 100 words and first H2; define OPCF 43 in 40-60 words with its usual time window. Show the payout example as a two-column table, link 'gap insurance' to the gap guide, and cite FSRA's form. Review annually.</t>
        </is>
      </c>
      <c r="AC314" s="25" t="inlineStr">
        <is>
          <t>Verify OPCF 43/43A eligibility windows and mileage limits with FSRA forms and insurer underwriting. If FSRA's 2026 warning on unlicensed gap sales is mentioned, confirm its date at fsrao.ca first.</t>
        </is>
      </c>
      <c r="AD314" s="36" t="inlineStr">
        <is>
          <t>Annual</t>
        </is>
      </c>
      <c r="AE314" s="38" t="n"/>
      <c r="AF314" s="38" t="n"/>
      <c r="AG314" s="38" t="n"/>
    </row>
    <row r="315" ht="35.05" customHeight="1" s="22">
      <c r="A315" s="36">
        <f>"B"&amp;TEXT(ROW()-1,"0000")</f>
        <v/>
      </c>
      <c r="B315" s="38" t="inlineStr">
        <is>
          <t>Planned</t>
        </is>
      </c>
      <c r="C315" s="36" t="n">
        <v>3</v>
      </c>
      <c r="D315" s="36" t="inlineStr">
        <is>
          <t>Car insurance</t>
        </is>
      </c>
      <c r="E315" s="36" t="inlineStr">
        <is>
          <t>Coverage explained</t>
        </is>
      </c>
      <c r="F315" s="25" t="inlineStr">
        <is>
          <t>OPCF 44R Family Protection: Cover When the Other Driver Can't Pay</t>
        </is>
      </c>
      <c r="G315" s="36" t="inlineStr">
        <is>
          <t>https://instasure.ca/guides/opcf-44r-family-protection-coverage/</t>
        </is>
      </c>
      <c r="H315" s="36" t="inlineStr">
        <is>
          <t>opcf 44r family protection</t>
        </is>
      </c>
      <c r="I315" s="41">
        <f>IFERROR(INDEX('Nationwide KWs'!$D$2:$D$168,MATCH(H315,'Nationwide KWs'!$A$2:$A$168,0)),IFERROR(INDEX('Provincial KWs'!$E$2:$E$137,MATCH(H315,'Provincial KWs'!$A$2:$A$137,0)),IFERROR(INDEX('City KWs'!$F$2:$F$419,MATCH(H315,'City KWs'!$A$2:$A$419,0)),"")))</f>
        <v/>
      </c>
      <c r="J315" s="36" t="inlineStr">
        <is>
          <t>Low</t>
        </is>
      </c>
      <c r="K315" s="25" t="inlineStr">
        <is>
          <t>family protection endorsement; underinsured motorist coverage canada; sef 44; is opcf 44r worth it</t>
        </is>
      </c>
      <c r="L315" s="36" t="inlineStr">
        <is>
          <t>Province: Ontario</t>
        </is>
      </c>
      <c r="M315" s="36" t="inlineStr">
        <is>
          <t>informational</t>
        </is>
      </c>
      <c r="N315" s="36" t="inlineStr">
        <is>
          <t>MOFU</t>
        </is>
      </c>
      <c r="O315" s="25" t="inlineStr">
        <is>
          <t>OPCF 44R Family Protection Coverage: What It Pays You</t>
        </is>
      </c>
      <c r="P315" s="36">
        <f>LEN(O315)</f>
        <v/>
      </c>
      <c r="Q315" s="25" t="inlineStr">
        <is>
          <t>OPCF 44R family protection explained: how it tops up compensation when an at-fault driver is underinsured, what it costs and how to add it. Learn more.</t>
        </is>
      </c>
      <c r="R315" s="36">
        <f>LEN(Q315)</f>
        <v/>
      </c>
      <c r="S315" s="36">
        <f>IF(H315="","",IF(ISNUMBER(SEARCH(SUBSTITUTE(H315,"-"," "),SUBSTITUTE(O315,"-"," "))),"Yes","Check"))</f>
        <v/>
      </c>
      <c r="T315" s="25" t="inlineStr">
        <is>
          <t>What does OPCF 44R family protection cover? | How underinsured claims work | Who in your household is protected | SEF 44 in Alberta and Atlantic Canada | What it costs and why advisors suggest it | How to add it at renewal</t>
        </is>
      </c>
      <c r="U315" s="25" t="inlineStr">
        <is>
          <t>Is OPCF 44R worth it? | Does OPCF 44R cover me as a pedestrian or cyclist? | What is the SEF 44 endorsement? | Does family protection cover crashes with US drivers?</t>
        </is>
      </c>
      <c r="V315" s="25" t="inlineStr">
        <is>
          <t>Worked injury-claim example showing compensation when the at-fault driver carries only the minimum limit, with and without 44R, plus a household-coverage checklist.</t>
        </is>
      </c>
      <c r="W315" s="25" t="inlineStr">
        <is>
          <t>/car-insurance/; /guides/opcf-endorsements-ontario-list/; /guides/how-much-car-insurance-liability-do-i-need/; /guides/uninsured-motorist-hit-and-run-coverage/</t>
        </is>
      </c>
      <c r="X315" s="25" t="inlineStr">
        <is>
          <t>Instant car insurance estimate (/quote/car-insurance/)</t>
        </is>
      </c>
      <c r="Y315" s="36" t="inlineStr">
        <is>
          <t>Article; FAQPage; BreadcrumbList</t>
        </is>
      </c>
      <c r="Z315" s="37" t="n">
        <v>1300</v>
      </c>
      <c r="AA315" s="25" t="inlineStr">
        <is>
          <t>Rates.ca has a resource article on adding family protection coverage; no competitor gives a worked claim example or the SEF 44 equivalent.</t>
        </is>
      </c>
      <c r="AB315" s="25" t="inlineStr">
        <is>
          <t>Focus keyword in H1, slug, meta title, first 100 words and first H2; the 40-60 word answer explains underinsured top-up in plain words. Present the claim example as a table, link to the OPCF hub with 'Ontario OPCF endorsements' anchor, and cite FSRA. Review annually.</t>
        </is>
      </c>
      <c r="AC315" s="25" t="inlineStr">
        <is>
          <t>Verify OPCF 44R and SEF 44 wording and limits against FSRA and provincial forms. Do not quote costs without a dated source or labelled estimate.</t>
        </is>
      </c>
      <c r="AD315" s="36" t="inlineStr">
        <is>
          <t>Annual</t>
        </is>
      </c>
      <c r="AE315" s="38" t="n"/>
      <c r="AF315" s="38" t="n"/>
      <c r="AG315" s="38" t="n"/>
    </row>
    <row r="316" ht="35.05" customHeight="1" s="22">
      <c r="A316" s="36">
        <f>"B"&amp;TEXT(ROW()-1,"0000")</f>
        <v/>
      </c>
      <c r="B316" s="38" t="inlineStr">
        <is>
          <t>Planned</t>
        </is>
      </c>
      <c r="C316" s="36" t="n">
        <v>3</v>
      </c>
      <c r="D316" s="36" t="inlineStr">
        <is>
          <t>Car insurance</t>
        </is>
      </c>
      <c r="E316" s="36" t="inlineStr">
        <is>
          <t>Coverage explained</t>
        </is>
      </c>
      <c r="F316" s="25" t="inlineStr">
        <is>
          <t>Usage-Based Car Insurance in Canada: How Telematics Programs Work</t>
        </is>
      </c>
      <c r="G316" s="36" t="inlineStr">
        <is>
          <t>https://instasure.ca/guides/usage-based-car-insurance-canada/</t>
        </is>
      </c>
      <c r="H316" s="36" t="inlineStr">
        <is>
          <t>usage based insurance canada</t>
        </is>
      </c>
      <c r="I316" s="41">
        <f>IFERROR(INDEX('Nationwide KWs'!$D$2:$D$168,MATCH(H316,'Nationwide KWs'!$A$2:$A$168,0)),IFERROR(INDEX('Provincial KWs'!$E$2:$E$137,MATCH(H316,'Provincial KWs'!$A$2:$A$137,0)),IFERROR(INDEX('City KWs'!$F$2:$F$419,MATCH(H316,'City KWs'!$A$2:$A$419,0)),"")))</f>
        <v/>
      </c>
      <c r="J316" s="36" t="inlineStr">
        <is>
          <t>Medium</t>
        </is>
      </c>
      <c r="K316" s="25" t="inlineStr">
        <is>
          <t>telematics car insurance canada; pay per km car insurance; can usage based insurance raise my rate; driving app insurance discount; low mileage car insurance canada</t>
        </is>
      </c>
      <c r="L316" s="36" t="inlineStr">
        <is>
          <t>Nationwide</t>
        </is>
      </c>
      <c r="M316" s="36" t="inlineStr">
        <is>
          <t>commercial</t>
        </is>
      </c>
      <c r="N316" s="36" t="inlineStr">
        <is>
          <t>MOFU</t>
        </is>
      </c>
      <c r="O316" s="25" t="inlineStr">
        <is>
          <t>Usage Based Insurance in Canada: How Telematics Works</t>
        </is>
      </c>
      <c r="P316" s="36">
        <f>LEN(O316)</f>
        <v/>
      </c>
      <c r="Q316" s="25" t="inlineStr">
        <is>
          <t>Usage based insurance in Canada explained: how telematics apps score your driving, whether rates can rise, privacy and pay-per-km options. Compare them.</t>
        </is>
      </c>
      <c r="R316" s="36">
        <f>LEN(Q316)</f>
        <v/>
      </c>
      <c r="S316" s="36">
        <f>IF(H316="","",IF(ISNUMBER(SEARCH(SUBSTITUTE(H316,"-"," "),SUBSTITUTE(O316,"-"," "))),"Yes","Check"))</f>
        <v/>
      </c>
      <c r="T316" s="25" t="inlineStr">
        <is>
          <t>How does usage-based insurance work in Canada? | What telematics apps measure | Discounts, surcharges and how scores are applied | Pay-per-kilometre and low-mileage options | Privacy: what data is collected and kept | Who benefits most from usage-based insurance</t>
        </is>
      </c>
      <c r="U316" s="25" t="inlineStr">
        <is>
          <t>Can usage-based insurance increase my premium in Canada? | Is pay-per-km insurance available in Ontario? | What data do telematics apps collect? | Can I quit a usage-based program?</t>
        </is>
      </c>
      <c r="V316" s="25" t="inlineStr">
        <is>
          <t>Program comparison table by feature (enrolment discount, surcharge possible, data collected, re-scoring period, provinces) built from insurer program terms, with dates.</t>
        </is>
      </c>
      <c r="W316" s="25" t="inlineStr">
        <is>
          <t>/car-insurance/; /guides/car-insurance-discounts-canada/; /car-insurance/senior-drivers/; /guides/icbc-optional-insurance-explained/</t>
        </is>
      </c>
      <c r="X316" s="25" t="inlineStr">
        <is>
          <t>Instant car insurance estimate (/quote/car-insurance/)</t>
        </is>
      </c>
      <c r="Y316" s="36" t="inlineStr">
        <is>
          <t>Article; FAQPage; BreadcrumbList</t>
        </is>
      </c>
      <c r="Z316" s="37" t="n">
        <v>1600</v>
      </c>
      <c r="AA316" s="25" t="inlineStr">
        <is>
          <t>Sonnet promotes its own Shift program and Ratehub ran a UBI survey; the keyword map lists this exact guide as planned. No neutral cross-program comparison seen.</t>
        </is>
      </c>
      <c r="AB316" s="25" t="inlineStr">
        <is>
          <t>Focus keyword in H1, slug, meta title, first 100 words and first H2; the 40-60 word answer explains scoring and whether surcharges exist. Use the program table, link 'discounts' to the checklist guide, and cite each program's terms page. Refresh twice a year.</t>
        </is>
      </c>
      <c r="AC316" s="25" t="inlineStr">
        <is>
          <t>Cite program terms (e.g. Sonnet Shift's 'save up to 35%') from the insurer's page with a date, and do not present them as typical. Check whether FSRA and other regulators allow surcharges before stating it.</t>
        </is>
      </c>
      <c r="AD316" s="36" t="inlineStr">
        <is>
          <t>Semi-annual</t>
        </is>
      </c>
      <c r="AE316" s="38" t="n"/>
      <c r="AF316" s="38" t="n"/>
      <c r="AG316" s="38" t="n"/>
    </row>
    <row r="317" ht="35.05" customHeight="1" s="22">
      <c r="A317" s="36">
        <f>"B"&amp;TEXT(ROW()-1,"0000")</f>
        <v/>
      </c>
      <c r="B317" s="38" t="inlineStr">
        <is>
          <t>Planned</t>
        </is>
      </c>
      <c r="C317" s="36" t="n">
        <v>3</v>
      </c>
      <c r="D317" s="36" t="inlineStr">
        <is>
          <t>Car insurance</t>
        </is>
      </c>
      <c r="E317" s="36" t="inlineStr">
        <is>
          <t>How-to &amp; shopping</t>
        </is>
      </c>
      <c r="F317" s="25" t="inlineStr">
        <is>
          <t>Car Storage Insurance: Pausing Coverage Without a Lapse</t>
        </is>
      </c>
      <c r="G317" s="36" t="inlineStr">
        <is>
          <t>https://instasure.ca/guides/car-storage-insurance-canada/</t>
        </is>
      </c>
      <c r="H317" s="36" t="inlineStr">
        <is>
          <t>car storage insurance</t>
        </is>
      </c>
      <c r="I317" s="41">
        <f>IFERROR(INDEX('Nationwide KWs'!$D$2:$D$168,MATCH(H317,'Nationwide KWs'!$A$2:$A$168,0)),IFERROR(INDEX('Provincial KWs'!$E$2:$E$137,MATCH(H317,'Provincial KWs'!$A$2:$A$137,0)),IFERROR(INDEX('City KWs'!$F$2:$F$419,MATCH(H317,'City KWs'!$A$2:$A$419,0)),"")))</f>
        <v/>
      </c>
      <c r="J317" s="36" t="inlineStr">
        <is>
          <t>Low</t>
        </is>
      </c>
      <c r="K317" s="25" t="inlineStr">
        <is>
          <t>can i suspend car insurance; remove collision while car stored; comprehensive only car insurance; snowbird car storage insurance; reduce insurance on car not driven</t>
        </is>
      </c>
      <c r="L317" s="36" t="inlineStr">
        <is>
          <t>Nationwide</t>
        </is>
      </c>
      <c r="M317" s="36" t="inlineStr">
        <is>
          <t>informational</t>
        </is>
      </c>
      <c r="N317" s="36" t="inlineStr">
        <is>
          <t>MOFU</t>
        </is>
      </c>
      <c r="O317" s="25" t="inlineStr">
        <is>
          <t>Car Storage Insurance in Canada: Pause Without a Lapse</t>
        </is>
      </c>
      <c r="P317" s="36">
        <f>LEN(O317)</f>
        <v/>
      </c>
      <c r="Q317" s="25" t="inlineStr">
        <is>
          <t>Car storage insurance in Canada: how to cut coverage on a car you won't drive, keep comprehensive and avoid a lapse that raises rates. See your options.</t>
        </is>
      </c>
      <c r="R317" s="36">
        <f>LEN(Q317)</f>
        <v/>
      </c>
      <c r="S317" s="36">
        <f>IF(H317="","",IF(ISNUMBER(SEARCH(SUBSTITUTE(H317,"-"," "),SUBSTITUTE(O317,"-"," "))),"Yes","Check"))</f>
        <v/>
      </c>
      <c r="T317" s="25" t="inlineStr">
        <is>
          <t>Can you pause car insurance while your car is stored? | Storage coverage: what stays and what goes | Why cancelling outright can cost more later | Snowbirds, students and seasonal cars | Plates, registration and public insurers | Restoring coverage before you drive</t>
        </is>
      </c>
      <c r="U317" s="25" t="inlineStr">
        <is>
          <t>Can I cancel car insurance while my car is in storage? | Is comprehensive-only coverage allowed on a parked car? | Do I need insurance on a car I'm not driving in Ontario? | Does storing my car lower my premium?</t>
        </is>
      </c>
      <c r="V317" s="25" t="inlineStr">
        <is>
          <t>Option table (keep full cover, storage/comprehensive-only, cancel and remove plates) showing the effect on cost, lapse history and legal driving status by province type.</t>
        </is>
      </c>
      <c r="W317" s="25" t="inlineStr">
        <is>
          <t>/car-insurance/; /travel-insurance/snowbirds/; /guides/car-insurance-cancelled-for-non-payment/; /guides/classic-car-agreed-value-insurance/</t>
        </is>
      </c>
      <c r="X317" s="25" t="inlineStr">
        <is>
          <t>Instant car insurance estimate (/quote/car-insurance/)</t>
        </is>
      </c>
      <c r="Y317" s="36" t="inlineStr">
        <is>
          <t>Article; FAQPage; BreadcrumbList</t>
        </is>
      </c>
      <c r="Z317" s="37" t="n">
        <v>1200</v>
      </c>
      <c r="AA317" s="25" t="inlineStr">
        <is>
          <t>Ratehub has a post on cancelling motorcycle insurance in winter; no car-storage guide seen.</t>
        </is>
      </c>
      <c r="AB317" s="25" t="inlineStr">
        <is>
          <t>Focus keyword in H1, slug, meta title, first 100 words and first H2; the 40-60 word answer explains storage coverage and the lapse risk. Use the option table, link 'snowbirds' to the snowbird travel page, and publish before November each year.</t>
        </is>
      </c>
      <c r="AC317" s="25" t="inlineStr">
        <is>
          <t>Verify public-insurer storage and plate rules (ICBC, MPI, SGI) and insurer storage-endorsement availability. Stress that driving on storage coverage is uninsured driving.</t>
        </is>
      </c>
      <c r="AD317" s="36" t="inlineStr">
        <is>
          <t>Annual</t>
        </is>
      </c>
      <c r="AE317" s="38" t="n"/>
      <c r="AF317" s="38" t="n"/>
      <c r="AG317" s="38" t="n"/>
    </row>
    <row r="318" ht="35.05" customHeight="1" s="22">
      <c r="A318" s="36">
        <f>"B"&amp;TEXT(ROW()-1,"0000")</f>
        <v/>
      </c>
      <c r="B318" s="38" t="inlineStr">
        <is>
          <t>Planned</t>
        </is>
      </c>
      <c r="C318" s="36" t="n">
        <v>3</v>
      </c>
      <c r="D318" s="36" t="inlineStr">
        <is>
          <t>Car insurance</t>
        </is>
      </c>
      <c r="E318" s="36" t="inlineStr">
        <is>
          <t>How-to &amp; shopping</t>
        </is>
      </c>
      <c r="F318" s="25" t="inlineStr">
        <is>
          <t>Insuring a New Car in Canada: Quote Before You Buy, Then Drive Away</t>
        </is>
      </c>
      <c r="G318" s="36" t="inlineStr">
        <is>
          <t>https://instasure.ca/guides/insurance-for-a-new-car-canada/</t>
        </is>
      </c>
      <c r="H318" s="36" t="inlineStr">
        <is>
          <t>insurance for a new car</t>
        </is>
      </c>
      <c r="I318" s="41">
        <f>IFERROR(INDEX('Nationwide KWs'!$D$2:$D$168,MATCH(H318,'Nationwide KWs'!$A$2:$A$168,0)),IFERROR(INDEX('Provincial KWs'!$E$2:$E$137,MATCH(H318,'Provincial KWs'!$A$2:$A$137,0)),IFERROR(INDEX('City KWs'!$F$2:$F$419,MATCH(H318,'City KWs'!$A$2:$A$419,0)),"")))</f>
        <v/>
      </c>
      <c r="J318" s="36" t="inlineStr">
        <is>
          <t>Low</t>
        </is>
      </c>
      <c r="K318" s="25" t="inlineStr">
        <is>
          <t>get insurance quote before buying car; do i need insurance to drive a new car off the lot; grace period new car insurance; how to add a new car to insurance; dealer insurance</t>
        </is>
      </c>
      <c r="L318" s="36" t="inlineStr">
        <is>
          <t>Nationwide</t>
        </is>
      </c>
      <c r="M318" s="36" t="inlineStr">
        <is>
          <t>commercial</t>
        </is>
      </c>
      <c r="N318" s="36" t="inlineStr">
        <is>
          <t>MOFU</t>
        </is>
      </c>
      <c r="O318" s="25" t="inlineStr">
        <is>
          <t>Insurance for a New Car: Quote Before You Buy in Canada</t>
        </is>
      </c>
      <c r="P318" s="36">
        <f>LEN(O318)</f>
        <v/>
      </c>
      <c r="Q318" s="25" t="inlineStr">
        <is>
          <t>Insurance for a new car in Canada: get an estimate before you buy, add or replace a vehicle, grace periods, OPCF 43 and lender rules. Get an estimate.</t>
        </is>
      </c>
      <c r="R318" s="36">
        <f>LEN(Q318)</f>
        <v/>
      </c>
      <c r="S318" s="36">
        <f>IF(H318="","",IF(ISNUMBER(SEARCH(SUBSTITUTE(H318,"-"," "),SUBSTITUTE(O318,"-"," "))),"Yes","Check"))</f>
        <v/>
      </c>
      <c r="T318" s="25" t="inlineStr">
        <is>
          <t>How do you insure a new car in Canada? | Get an estimate before you choose a model | Adding a vehicle vs replacing one | Grace periods for newly acquired cars | Lender and lease requirements | New-car add-ons: depreciation waiver and gap</t>
        </is>
      </c>
      <c r="U318" s="25" t="inlineStr">
        <is>
          <t>Do I need insurance before I pick up a new car? | Is there a grace period to insure a new car? | Does a new car cost more to insure than a used one? | Can the dealer arrange my insurance?</t>
        </is>
      </c>
      <c r="V318" s="25" t="inlineStr">
        <is>
          <t>Pre-purchase checklist plus an estimate comparison of three popular models for one stated profile, labelled modelled.</t>
        </is>
      </c>
      <c r="W318" s="25" t="inlineStr">
        <is>
          <t>/quote/; /guides/cheapest-cars-to-insure-canada/; /guides/opcf-43-waiver-of-depreciation/; /guides/leased-car-insurance-canada/</t>
        </is>
      </c>
      <c r="X318" s="25" t="inlineStr">
        <is>
          <t>Instant car insurance estimate (/quote/car-insurance/)</t>
        </is>
      </c>
      <c r="Y318" s="36" t="inlineStr">
        <is>
          <t>Article; FAQPage; BreadcrumbList</t>
        </is>
      </c>
      <c r="Z318" s="37" t="n">
        <v>1400</v>
      </c>
      <c r="AA318" s="25" t="inlineStr">
        <is>
          <t>Ratehub ('get a car insurance quote before buying a new car', 'buy new or used') and Sonnet ('When to Get Insurance For a New Car') cover parts; none adds newly-acquired-vehicle rules and OPCF 43 in one guide.</t>
        </is>
      </c>
      <c r="AB318" s="25" t="inlineStr">
        <is>
          <t>Focus keyword in H1, slug, meta title, first 100 words and first H2; the 40-60 word answer covers quoting first and adding the car before pickup. Use the checklist, link 'cheapest cars' to the model guide, and review annually.</t>
        </is>
      </c>
      <c r="AC318" s="25" t="inlineStr">
        <is>
          <t>Verify newly acquired automobile provisions in standard policy wording (OAP 1 and provincial equivalents) and do not state a fixed grace period as universal.</t>
        </is>
      </c>
      <c r="AD318" s="36" t="inlineStr">
        <is>
          <t>Annual</t>
        </is>
      </c>
      <c r="AE318" s="38" t="n"/>
      <c r="AF318" s="38" t="n"/>
      <c r="AG318" s="38" t="n"/>
    </row>
    <row r="319" ht="35.05" customHeight="1" s="22">
      <c r="A319" s="36">
        <f>"B"&amp;TEXT(ROW()-1,"0000")</f>
        <v/>
      </c>
      <c r="B319" s="38" t="inlineStr">
        <is>
          <t>Planned</t>
        </is>
      </c>
      <c r="C319" s="36" t="n">
        <v>3</v>
      </c>
      <c r="D319" s="36" t="inlineStr">
        <is>
          <t>Car insurance</t>
        </is>
      </c>
      <c r="E319" s="36" t="inlineStr">
        <is>
          <t>How-to &amp; shopping</t>
        </is>
      </c>
      <c r="F319" s="25" t="inlineStr">
        <is>
          <t>Is Bundling Home and Auto Insurance Worth It?</t>
        </is>
      </c>
      <c r="G319" s="36" t="inlineStr">
        <is>
          <t>https://instasure.ca/guides/is-bundling-home-and-auto-insurance-worth-it/</t>
        </is>
      </c>
      <c r="H319" s="36" t="inlineStr">
        <is>
          <t>is bundling home and auto insurance worth it</t>
        </is>
      </c>
      <c r="I319" s="41">
        <f>IFERROR(INDEX('Nationwide KWs'!$D$2:$D$168,MATCH(H319,'Nationwide KWs'!$A$2:$A$168,0)),IFERROR(INDEX('Provincial KWs'!$E$2:$E$137,MATCH(H319,'Provincial KWs'!$A$2:$A$137,0)),IFERROR(INDEX('City KWs'!$F$2:$F$419,MATCH(H319,'City KWs'!$A$2:$A$419,0)),"")))</f>
        <v/>
      </c>
      <c r="J319" s="36" t="inlineStr">
        <is>
          <t>Low</t>
        </is>
      </c>
      <c r="K319" s="25" t="inlineStr">
        <is>
          <t>home and auto bundle discount; bundle tenant and car insurance; condo and auto bundle; multi line discount</t>
        </is>
      </c>
      <c r="L319" s="36" t="inlineStr">
        <is>
          <t>Nationwide</t>
        </is>
      </c>
      <c r="M319" s="36" t="inlineStr">
        <is>
          <t>commercial</t>
        </is>
      </c>
      <c r="N319" s="36" t="inlineStr">
        <is>
          <t>MOFU</t>
        </is>
      </c>
      <c r="O319" s="25" t="inlineStr">
        <is>
          <t>Is Bundling Home and Auto Insurance Worth It? Run the Test</t>
        </is>
      </c>
      <c r="P319" s="36">
        <f>LEN(O319)</f>
        <v/>
      </c>
      <c r="Q319" s="25" t="inlineStr">
        <is>
          <t>Is bundling home and auto insurance worth it? Use our three-quote test to see if a multi-line discount beats separate policies. Try the test.</t>
        </is>
      </c>
      <c r="R319" s="36">
        <f>LEN(Q319)</f>
        <v/>
      </c>
      <c r="S319" s="36">
        <f>IF(H319="","",IF(ISNUMBER(SEARCH(SUBSTITUTE(H319,"-"," "),SUBSTITUTE(O319,"-"," "))),"Yes","Check"))</f>
        <v/>
      </c>
      <c r="T319" s="25" t="inlineStr">
        <is>
          <t>Is bundling home and auto insurance worth it? | How multi-line discounts work | The three-quote test: bundle vs best separate policies | Tenant, condo and car bundles | When splitting policies saves more | Switching a bundle mid-term</t>
        </is>
      </c>
      <c r="U319" s="25" t="inlineStr">
        <is>
          <t>How much can you save by bundling home and auto? | Can I bundle tenant insurance with car insurance? | Is it a hassle to switch a bundled policy? | Does bundling make claims easier?</t>
        </is>
      </c>
      <c r="V319" s="25" t="inlineStr">
        <is>
          <t>Three-quote worksheet (bundle, best separate auto, best separate home) with a worked example using Instasure estimates, and a mid-term switching cost check.</t>
        </is>
      </c>
      <c r="W319" s="25" t="inlineStr">
        <is>
          <t>/car-insurance/home-and-auto-bundle/; /home-insurance/; /tenant-insurance/; /guides/how-to-switch-car-insurance-cancellation-penalty/</t>
        </is>
      </c>
      <c r="X319" s="25" t="inlineStr">
        <is>
          <t>Instant home and auto bundle estimate (/car-insurance/home-and-auto-bundle/)</t>
        </is>
      </c>
      <c r="Y319" s="36" t="inlineStr">
        <is>
          <t>Article; FAQPage; BreadcrumbList</t>
        </is>
      </c>
      <c r="Z319" s="37" t="n">
        <v>1300</v>
      </c>
      <c r="AA319" s="25" t="inlineStr">
        <is>
          <t>Ratehub and Rates.ca run bundle quote pages; neither shows a worksheet for testing whether a bundle beats separate policies.</t>
        </is>
      </c>
      <c r="AB319" s="25" t="inlineStr">
        <is>
          <t>Focus keyword in H1, slug, meta title, first 100 words and first H2; the 40-60 word answer says 'often, but test it' and explains the three-quote method. Offer the worksheet as a table, link the bundle page with 'home and auto insurance bundle' anchor, and review annually.</t>
        </is>
      </c>
      <c r="AC319" s="25" t="inlineStr">
        <is>
          <t>Discount figures (such as multi-line percentages seen in snippets) must be sourced and dated. Avoid 'always saves' claims.</t>
        </is>
      </c>
      <c r="AD319" s="36" t="inlineStr">
        <is>
          <t>Annual</t>
        </is>
      </c>
      <c r="AE319" s="38" t="n"/>
      <c r="AF319" s="38" t="n"/>
      <c r="AG319" s="38" t="n"/>
    </row>
    <row r="320" ht="35.05" customHeight="1" s="22">
      <c r="A320" s="36">
        <f>"B"&amp;TEXT(ROW()-1,"0000")</f>
        <v/>
      </c>
      <c r="B320" s="38" t="inlineStr">
        <is>
          <t>Planned</t>
        </is>
      </c>
      <c r="C320" s="36" t="n">
        <v>3</v>
      </c>
      <c r="D320" s="36" t="inlineStr">
        <is>
          <t>Car insurance</t>
        </is>
      </c>
      <c r="E320" s="36" t="inlineStr">
        <is>
          <t>How-to &amp; shopping</t>
        </is>
      </c>
      <c r="F320" s="25" t="inlineStr">
        <is>
          <t>Leased and Financed Car Insurance in Canada: What Lenders Require</t>
        </is>
      </c>
      <c r="G320" s="36" t="inlineStr">
        <is>
          <t>https://instasure.ca/guides/leased-car-insurance-canada/</t>
        </is>
      </c>
      <c r="H320" s="36" t="inlineStr">
        <is>
          <t>leased car insurance canada</t>
        </is>
      </c>
      <c r="I320" s="41">
        <f>IFERROR(INDEX('Nationwide KWs'!$D$2:$D$168,MATCH(H320,'Nationwide KWs'!$A$2:$A$168,0)),IFERROR(INDEX('Provincial KWs'!$E$2:$E$137,MATCH(H320,'Provincial KWs'!$A$2:$A$137,0)),IFERROR(INDEX('City KWs'!$F$2:$F$419,MATCH(H320,'City KWs'!$A$2:$A$419,0)),"")))</f>
        <v/>
      </c>
      <c r="J320" s="36" t="inlineStr">
        <is>
          <t>Low</t>
        </is>
      </c>
      <c r="K320" s="25" t="inlineStr">
        <is>
          <t>financed car insurance requirements; opcf 5 lease; opcf 23a lienholder; lease insurance requirements ontario; does a leased car cost more to insure</t>
        </is>
      </c>
      <c r="L320" s="36" t="inlineStr">
        <is>
          <t>Nationwide</t>
        </is>
      </c>
      <c r="M320" s="36" t="inlineStr">
        <is>
          <t>commercial</t>
        </is>
      </c>
      <c r="N320" s="36" t="inlineStr">
        <is>
          <t>MOFU</t>
        </is>
      </c>
      <c r="O320" s="25" t="inlineStr">
        <is>
          <t>Leased Car Insurance in Canada: What Lenders Require</t>
        </is>
      </c>
      <c r="P320" s="36">
        <f>LEN(O320)</f>
        <v/>
      </c>
      <c r="Q320" s="25" t="inlineStr">
        <is>
          <t>Leased car insurance in Canada: the liability limits and deductibles lessors require, OPCF 5 and 23A, gap options and write-off rules. Check your lease.</t>
        </is>
      </c>
      <c r="R320" s="36">
        <f>LEN(Q320)</f>
        <v/>
      </c>
      <c r="S320" s="36">
        <f>IF(H320="","",IF(ISNUMBER(SEARCH(SUBSTITUTE(H320,"-"," "),SUBSTITUTE(O320,"-"," "))),"Yes","Check"))</f>
        <v/>
      </c>
      <c r="T320" s="25" t="inlineStr">
        <is>
          <t>What insurance do you need for a leased car? | Typical lessor requirements: liability, deductibles and named insureds | OPCF 5 and OPCF 23A explained | Financed cars: lienholder clauses | Gap coverage and depreciation waivers | Ending a lease early after a total loss</t>
        </is>
      </c>
      <c r="U320" s="25" t="inlineStr">
        <is>
          <t>Does a leased car cost more to insure? | What is OPCF 5 on a lease? | Do I need gap insurance on a lease? | Who gets the money if my leased car is written off?</t>
        </is>
      </c>
      <c r="V320" s="25" t="inlineStr">
        <is>
          <t>Requirement table (common lessor minimums vs typical personal choices) and a who-gets-paid flow for a leased car total loss.</t>
        </is>
      </c>
      <c r="W320" s="25" t="inlineStr">
        <is>
          <t>/car-insurance/; /guides/gap-insurance-canada/; /guides/opcf-43-waiver-of-depreciation/; /guides/opcf-endorsements-ontario-list/</t>
        </is>
      </c>
      <c r="X320" s="25" t="inlineStr">
        <is>
          <t>Instant car insurance estimate (/quote/car-insurance/)</t>
        </is>
      </c>
      <c r="Y320" s="36" t="inlineStr">
        <is>
          <t>Article; FAQPage; BreadcrumbList</t>
        </is>
      </c>
      <c r="Z320" s="37" t="n">
        <v>1400</v>
      </c>
      <c r="AA320" s="25" t="inlineStr">
        <is>
          <t>Not seen on Ratehub or Rates.ca (the research lists leased and financed car pages as a gap); Rates.ca lists 'leased car' as a guide topic with no URL seen.</t>
        </is>
      </c>
      <c r="AB320" s="25" t="inlineStr">
        <is>
          <t>Focus keyword in H1, slug, meta title, first 100 words and first H2; the 40-60 word answer lists the usual lessor requirements. Use the requirement table and payout flow, link 'gap' and 'OPCF 43' to their guides, and review annually.</t>
        </is>
      </c>
      <c r="AC320" s="25" t="inlineStr">
        <is>
          <t>Lessor requirements vary, so describe them as common and tell readers to check their lease. Verify OPCF 5 and 23A names and functions with FSRA.</t>
        </is>
      </c>
      <c r="AD320" s="36" t="inlineStr">
        <is>
          <t>Annual</t>
        </is>
      </c>
      <c r="AE320" s="38" t="n"/>
      <c r="AF320" s="38" t="n"/>
      <c r="AG320" s="38" t="n"/>
    </row>
    <row r="321" ht="35.05" customHeight="1" s="22">
      <c r="A321" s="36">
        <f>"B"&amp;TEXT(ROW()-1,"0000")</f>
        <v/>
      </c>
      <c r="B321" s="38" t="inlineStr">
        <is>
          <t>Planned</t>
        </is>
      </c>
      <c r="C321" s="36" t="n">
        <v>3</v>
      </c>
      <c r="D321" s="36" t="inlineStr">
        <is>
          <t>Car insurance</t>
        </is>
      </c>
      <c r="E321" s="36" t="inlineStr">
        <is>
          <t>How-to &amp; shopping</t>
        </is>
      </c>
      <c r="F321" s="25" t="inlineStr">
        <is>
          <t>Moving to Another Province: How to Transfer Your Car Insurance</t>
        </is>
      </c>
      <c r="G321" s="36" t="inlineStr">
        <is>
          <t>https://instasure.ca/guides/moving-provinces-car-insurance/</t>
        </is>
      </c>
      <c r="H321" s="36" t="inlineStr">
        <is>
          <t>moving to another province car insurance</t>
        </is>
      </c>
      <c r="I321" s="41">
        <f>IFERROR(INDEX('Nationwide KWs'!$D$2:$D$168,MATCH(H321,'Nationwide KWs'!$A$2:$A$168,0)),IFERROR(INDEX('Provincial KWs'!$E$2:$E$137,MATCH(H321,'Provincial KWs'!$A$2:$A$137,0)),IFERROR(INDEX('City KWs'!$F$2:$F$419,MATCH(H321,'City KWs'!$A$2:$A$419,0)),"")))</f>
        <v/>
      </c>
      <c r="J321" s="36" t="inlineStr">
        <is>
          <t>Low</t>
        </is>
      </c>
      <c r="K321" s="25" t="inlineStr">
        <is>
          <t>transfer car insurance to another province; moving from ontario to alberta car insurance; moving to bc icbc insurance; register car in new province; how long can i drive with out of province insurance</t>
        </is>
      </c>
      <c r="L321" s="36" t="inlineStr">
        <is>
          <t>Nationwide</t>
        </is>
      </c>
      <c r="M321" s="36" t="inlineStr">
        <is>
          <t>informational</t>
        </is>
      </c>
      <c r="N321" s="36" t="inlineStr">
        <is>
          <t>MOFU</t>
        </is>
      </c>
      <c r="O321" s="25" t="inlineStr">
        <is>
          <t>Moving to Another Province? Car Insurance Steps by Province</t>
        </is>
      </c>
      <c r="P321" s="36">
        <f>LEN(O321)</f>
        <v/>
      </c>
      <c r="Q321" s="25" t="inlineStr">
        <is>
          <t>Moving to another province? Car insurance deadlines to register and insure, how your record transfers and public insurer steps. See the province table.</t>
        </is>
      </c>
      <c r="R321" s="36">
        <f>LEN(Q321)</f>
        <v/>
      </c>
      <c r="S321" s="36">
        <f>IF(H321="","",IF(ISNUMBER(SEARCH(SUBSTITUTE(H321,"-"," "),SUBSTITUTE(O321,"-"," "))),"Yes","Check"))</f>
        <v/>
      </c>
      <c r="T321" s="25" t="inlineStr">
        <is>
          <t>How do you move your car insurance to another province? | Deadlines to register and insure, by province | Private-to-public moves: ICBC, MPI, SGI and SAAQ | Public-to-private moves: getting your record recognised | Cancelling your old policy without a gap | Moving-day checklist</t>
        </is>
      </c>
      <c r="U321" s="25" t="inlineStr">
        <is>
          <t>How long can I drive with out-of-province insurance? | Does my driving record transfer to another province? | Do I need a safety inspection when I move provinces? | Will my insurance be cheaper after I move?</t>
        </is>
      </c>
      <c r="V321" s="25" t="inlineStr">
        <is>
          <t>13-row deadline table (licence, registration, insurance, inspection) with official sources, and a moving-day checklist.</t>
        </is>
      </c>
      <c r="W321" s="25" t="inlineStr">
        <is>
          <t>/car-insurance/; /insurance/; /guides/saaq-quebec-car-insurance-explained/; /guides/how-to-switch-car-insurance-cancellation-penalty/</t>
        </is>
      </c>
      <c r="X321" s="25" t="inlineStr">
        <is>
          <t>Instant car insurance estimate (/quote/car-insurance/)</t>
        </is>
      </c>
      <c r="Y321" s="36" t="inlineStr">
        <is>
          <t>Article; FAQPage; BreadcrumbList</t>
        </is>
      </c>
      <c r="Z321" s="37" t="n">
        <v>1500</v>
      </c>
      <c r="AA321" s="25" t="inlineStr">
        <is>
          <t>No competitor coverage seen.</t>
        </is>
      </c>
      <c r="AB321" s="25" t="inlineStr">
        <is>
          <t>Focus keyword in H1, slug, meta title, first 100 words and first H2; the 40-60 word answer gives the general sequence and the deadline caveat. Use the deadline table, link each province to its /insurance/{province}/ hub, and review annually.</t>
        </is>
      </c>
      <c r="AC321" s="25" t="inlineStr">
        <is>
          <t>Verify every deadline with provincial licensing and registration authorities and public insurers, and date the table.</t>
        </is>
      </c>
      <c r="AD321" s="36" t="inlineStr">
        <is>
          <t>Annual</t>
        </is>
      </c>
      <c r="AE321" s="38" t="n"/>
      <c r="AF321" s="38" t="n"/>
      <c r="AG321" s="38" t="n"/>
    </row>
    <row r="322" ht="35.05" customHeight="1" s="22">
      <c r="A322" s="36">
        <f>"B"&amp;TEXT(ROW()-1,"0000")</f>
        <v/>
      </c>
      <c r="B322" s="38" t="inlineStr">
        <is>
          <t>Planned</t>
        </is>
      </c>
      <c r="C322" s="36" t="n">
        <v>3</v>
      </c>
      <c r="D322" s="36" t="inlineStr">
        <is>
          <t>Car insurance</t>
        </is>
      </c>
      <c r="E322" s="36" t="inlineStr">
        <is>
          <t>Local (city/province)</t>
        </is>
      </c>
      <c r="F322" s="25" t="inlineStr">
        <is>
          <t>Car Insurance in Halton: Milton, Oakville and Burlington Compared</t>
        </is>
      </c>
      <c r="G322" s="36" t="inlineStr">
        <is>
          <t>https://instasure.ca/guides/halton-car-insurance-milton-oakville-burlington/</t>
        </is>
      </c>
      <c r="H322" s="36" t="inlineStr">
        <is>
          <t>car insurance halton region</t>
        </is>
      </c>
      <c r="I322" s="41">
        <f>IFERROR(INDEX('Nationwide KWs'!$D$2:$D$168,MATCH(H322,'Nationwide KWs'!$A$2:$A$168,0)),IFERROR(INDEX('Provincial KWs'!$E$2:$E$137,MATCH(H322,'Provincial KWs'!$A$2:$A$137,0)),IFERROR(INDEX('City KWs'!$F$2:$F$419,MATCH(H322,'City KWs'!$A$2:$A$419,0)),"")))</f>
        <v/>
      </c>
      <c r="J322" s="36" t="inlineStr">
        <is>
          <t>Low</t>
        </is>
      </c>
      <c r="K322" s="25" t="inlineStr">
        <is>
          <t>car insurance milton; car insurance oakville; car insurance burlington; how much is car insurance in oakville; cheapest car insurance gta</t>
        </is>
      </c>
      <c r="L322" s="36" t="inlineStr">
        <is>
          <t>City: Milton, ON</t>
        </is>
      </c>
      <c r="M322" s="36" t="inlineStr">
        <is>
          <t>local</t>
        </is>
      </c>
      <c r="N322" s="36" t="inlineStr">
        <is>
          <t>MOFU</t>
        </is>
      </c>
      <c r="O322" s="25" t="inlineStr">
        <is>
          <t>Car Insurance Halton Region: Milton, Oakville, Burlington</t>
        </is>
      </c>
      <c r="P322" s="36">
        <f>LEN(O322)</f>
        <v/>
      </c>
      <c r="Q322" s="25" t="inlineStr">
        <is>
          <t>Car insurance in Halton Region: dated estimates for Milton, Oakville and Burlington by postal code and why Burlington ranks low in the GTA. Get yours.</t>
        </is>
      </c>
      <c r="R322" s="36">
        <f>LEN(Q322)</f>
        <v/>
      </c>
      <c r="S322" s="36">
        <f>IF(H322="","",IF(ISNUMBER(SEARCH(SUBSTITUTE(H322,"-"," "),SUBSTITUTE(O322,"-"," "))),"Yes","Check"))</f>
        <v/>
      </c>
      <c r="T322" s="25" t="inlineStr">
        <is>
          <t>How much is car insurance in Halton Region? | Milton, Oakville and Burlington side by side (table) | Why Burlington is among the lowest in the GTA | Milton's growth and new-driver mix | Postal codes that cost more or less | Ways Halton drivers can save</t>
        </is>
      </c>
      <c r="U322" s="25" t="inlineStr">
        <is>
          <t>Is Burlington the cheapest place in the GTA for car insurance? | How much is car insurance in Milton? | Is Oakville car insurance cheaper than Mississauga? | Does commuting on the 401 raise Halton premiums?</t>
        </is>
      </c>
      <c r="V322" s="25" t="inlineStr">
        <is>
          <t>Three-town FSA table with estimate ranges for one stated profile and a GTA context line using Rates.ca's published Burlington-vs-Toronto difference (attributed).</t>
        </is>
      </c>
      <c r="W322" s="25" t="inlineStr">
        <is>
          <t>/car-insurance/ontario/milton/; /car-insurance/ontario/oakville/; /car-insurance/ontario/burlington/; /guides/most-expensive-cities-car-insurance-ontario/</t>
        </is>
      </c>
      <c r="X322" s="25" t="inlineStr">
        <is>
          <t>Instant car insurance estimate (/quote/car-insurance/)</t>
        </is>
      </c>
      <c r="Y322" s="36" t="inlineStr">
        <is>
          <t>Article; FAQPage; BreadcrumbList</t>
        </is>
      </c>
      <c r="Z322" s="37" t="n">
        <v>1400</v>
      </c>
      <c r="AA322" s="25" t="inlineStr">
        <is>
          <t>Rates.ca covers all three and calls Burlington the lowest-cost GTA city; Ratehub covers Oakville and Burlington but not Milton. No Halton comparison exists.</t>
        </is>
      </c>
      <c r="AB322" s="25" t="inlineStr">
        <is>
          <t>Focus keyword in H1, slug, meta title, first 100 words and first H2; the 40-60 word answer ranks the three towns for the profile. Link each town page with 'car insurance in {Town}' anchors, coordinate with enrichment of the noindexed Milton page, and refresh quarterly.</t>
        </is>
      </c>
      <c r="AC322" s="25" t="inlineStr">
        <is>
          <t>Verify and attribute Rates.ca's Burlington vs Toronto claim (-26.97%) before use; label Instasure estimates. The Milton money page stays noindex until enriched.</t>
        </is>
      </c>
      <c r="AD322" s="36" t="inlineStr">
        <is>
          <t>Quarterly</t>
        </is>
      </c>
      <c r="AE322" s="38" t="n"/>
      <c r="AF322" s="38" t="n"/>
      <c r="AG322" s="38" t="n"/>
    </row>
    <row r="323" ht="35.05" customHeight="1" s="22">
      <c r="A323" s="36">
        <f>"B"&amp;TEXT(ROW()-1,"0000")</f>
        <v/>
      </c>
      <c r="B323" s="38" t="inlineStr">
        <is>
          <t>Planned</t>
        </is>
      </c>
      <c r="C323" s="36" t="n">
        <v>3</v>
      </c>
      <c r="D323" s="36" t="inlineStr">
        <is>
          <t>Car insurance</t>
        </is>
      </c>
      <c r="E323" s="36" t="inlineStr">
        <is>
          <t>Personas: gig and work drivers</t>
        </is>
      </c>
      <c r="F323" s="25" t="inlineStr">
        <is>
          <t>Rideshare Insurance by Province: Uber and Lyft Outside Ontario</t>
        </is>
      </c>
      <c r="G323" s="36" t="inlineStr">
        <is>
          <t>https://instasure.ca/guides/rideshare-insurance-by-province/</t>
        </is>
      </c>
      <c r="H323" s="36" t="inlineStr">
        <is>
          <t>rideshare insurance by province</t>
        </is>
      </c>
      <c r="I323" s="41">
        <f>IFERROR(INDEX('Nationwide KWs'!$D$2:$D$168,MATCH(H323,'Nationwide KWs'!$A$2:$A$168,0)),IFERROR(INDEX('Provincial KWs'!$E$2:$E$137,MATCH(H323,'Provincial KWs'!$A$2:$A$137,0)),IFERROR(INDEX('City KWs'!$F$2:$F$419,MATCH(H323,'City KWs'!$A$2:$A$419,0)),"")))</f>
        <v/>
      </c>
      <c r="J323" s="36" t="inlineStr">
        <is>
          <t>Niche</t>
        </is>
      </c>
      <c r="K323" s="25" t="inlineStr">
        <is>
          <t>uber insurance canada; rideshare insurance alberta; icbc ride hailing insurance; lyft insurance bc; rideshare endorsement sef</t>
        </is>
      </c>
      <c r="L323" s="36" t="inlineStr">
        <is>
          <t>Nationwide</t>
        </is>
      </c>
      <c r="M323" s="36" t="inlineStr">
        <is>
          <t>commercial</t>
        </is>
      </c>
      <c r="N323" s="36" t="inlineStr">
        <is>
          <t>MOFU</t>
        </is>
      </c>
      <c r="O323" s="25" t="inlineStr">
        <is>
          <t>Rideshare Insurance by Province: Uber and Lyft Rules</t>
        </is>
      </c>
      <c r="P323" s="36">
        <f>LEN(O323)</f>
        <v/>
      </c>
      <c r="Q323" s="25" t="inlineStr">
        <is>
          <t>Rideshare insurance by province: how Uber and Lyft drivers are covered in Alberta, BC, Manitoba, Quebec and Atlantic Canada. See which endorsement fits.</t>
        </is>
      </c>
      <c r="R323" s="36">
        <f>LEN(Q323)</f>
        <v/>
      </c>
      <c r="S323" s="36">
        <f>IF(H323="","",IF(ISNUMBER(SEARCH(SUBSTITUTE(H323,"-"," "),SUBSTITUTE(O323,"-"," "))),"Yes","Check"))</f>
        <v/>
      </c>
      <c r="T323" s="25" t="inlineStr">
        <is>
          <t>How does rideshare insurance work outside Ontario? | Province-by-province rules (table) | Alberta and Atlantic Canada: private rideshare endorsements | BC: ICBC ride-hailing coverage | Manitoba, Saskatchewan and Quebec | The three periods of a rideshare trip</t>
        </is>
      </c>
      <c r="U323" s="25" t="inlineStr">
        <is>
          <t>Do I need special insurance to drive for Uber in Alberta? | How does ICBC cover ride-hailing drivers? | Does my personal policy cover me while waiting for a ride request? | Is rideshare insurance available in every province?</t>
        </is>
      </c>
      <c r="V323" s="25" t="inlineStr">
        <is>
          <t>Province table (who sells rideshare cover, endorsement name, period-by-period coverage, platform coverage) with official sources.</t>
        </is>
      </c>
      <c r="W323" s="25" t="inlineStr">
        <is>
          <t>/car-insurance/rideshare-and-delivery/; /guides/gig-driver-insurance-uber-doordash-ontario/; /guides/business-use-personal-car-insurance/; /car-insurance/alberta/</t>
        </is>
      </c>
      <c r="X323" s="25" t="inlineStr">
        <is>
          <t>Request a specialist call: Gig driver desk (/car-insurance/rideshare-and-delivery/)</t>
        </is>
      </c>
      <c r="Y323" s="36" t="inlineStr">
        <is>
          <t>Article; FAQPage; BreadcrumbList</t>
        </is>
      </c>
      <c r="Z323" s="37" t="n">
        <v>1600</v>
      </c>
      <c r="AA323" s="25" t="inlineStr">
        <is>
          <t>Ratehub, MyChoice, ThinkInsure and Everlance cover Uber insurance mostly for Ontario; no province-by-province table seen. Complements our Ontario gig-driver guide.</t>
        </is>
      </c>
      <c r="AB323" s="25" t="inlineStr">
        <is>
          <t>Focus keyword in H1, slug, meta title, first 100 words and first H2; the 40-60 word answer explains the three trip periods and that rules differ by province. Use the province table, link the Ontario gig guide with 'Uber and DoorDash insurance in Ontario' anchor, and refresh twice a year.</t>
        </is>
      </c>
      <c r="AC323" s="25" t="inlineStr">
        <is>
          <t>Verify endorsement names and availability per province with regulators and public insurers (ICBC, MPI, SGI, SAAQ). Platform coverage changes, so cite platform terms with dates [verify].</t>
        </is>
      </c>
      <c r="AD323" s="36" t="inlineStr">
        <is>
          <t>Semi-annual</t>
        </is>
      </c>
      <c r="AE323" s="38" t="n"/>
      <c r="AF323" s="38" t="n"/>
      <c r="AG323" s="38" t="n"/>
    </row>
    <row r="324" ht="35.05" customHeight="1" s="22">
      <c r="A324" s="36">
        <f>"B"&amp;TEXT(ROW()-1,"0000")</f>
        <v/>
      </c>
      <c r="B324" s="38" t="inlineStr">
        <is>
          <t>Planned</t>
        </is>
      </c>
      <c r="C324" s="36" t="n">
        <v>3</v>
      </c>
      <c r="D324" s="36" t="inlineStr">
        <is>
          <t>Car insurance</t>
        </is>
      </c>
      <c r="E324" s="36" t="inlineStr">
        <is>
          <t>Personas: gig and work drivers</t>
        </is>
      </c>
      <c r="F324" s="25" t="inlineStr">
        <is>
          <t>Turo and Car-Sharing Insurance in Canada: Hosts and Guests</t>
        </is>
      </c>
      <c r="G324" s="36" t="inlineStr">
        <is>
          <t>https://instasure.ca/guides/turo-car-sharing-insurance-canada/</t>
        </is>
      </c>
      <c r="H324" s="36" t="inlineStr">
        <is>
          <t>turo insurance canada</t>
        </is>
      </c>
      <c r="I324" s="41">
        <f>IFERROR(INDEX('Nationwide KWs'!$D$2:$D$168,MATCH(H324,'Nationwide KWs'!$A$2:$A$168,0)),IFERROR(INDEX('Provincial KWs'!$E$2:$E$137,MATCH(H324,'Provincial KWs'!$A$2:$A$137,0)),IFERROR(INDEX('City KWs'!$F$2:$F$419,MATCH(H324,'City KWs'!$A$2:$A$419,0)),"")))</f>
        <v/>
      </c>
      <c r="J324" s="36" t="inlineStr">
        <is>
          <t>Low</t>
        </is>
      </c>
      <c r="K324" s="25" t="inlineStr">
        <is>
          <t>peer to peer car sharing insurance; renting out my car insurance canada; does my insurance cover turo; turo host insurance ontario</t>
        </is>
      </c>
      <c r="L324" s="36" t="inlineStr">
        <is>
          <t>Nationwide</t>
        </is>
      </c>
      <c r="M324" s="36" t="inlineStr">
        <is>
          <t>commercial</t>
        </is>
      </c>
      <c r="N324" s="36" t="inlineStr">
        <is>
          <t>MOFU</t>
        </is>
      </c>
      <c r="O324" s="25" t="inlineStr">
        <is>
          <t>Turo Insurance in Canada: What Hosts and Guests Need to Know</t>
        </is>
      </c>
      <c r="P324" s="36">
        <f>LEN(O324)</f>
        <v/>
      </c>
      <c r="Q324" s="25" t="inlineStr">
        <is>
          <t>Turo insurance in Canada for hosts and guests: why personal policies exclude car sharing, what the platform covers and gaps to close. Read before you list.</t>
        </is>
      </c>
      <c r="R324" s="36">
        <f>LEN(Q324)</f>
        <v/>
      </c>
      <c r="S324" s="36">
        <f>IF(H324="","",IF(ISNUMBER(SEARCH(SUBSTITUTE(H324,"-"," "),SUBSTITUTE(O324,"-"," "))),"Yes","Check"))</f>
        <v/>
      </c>
      <c r="T324" s="25" t="inlineStr">
        <is>
          <t>Does personal car insurance cover Turo? | What the platform's coverage includes | Hosts: gaps, deductibles and loss of income | Guests: does your own policy or credit card help? | Province differences and commercial use | Checklist before listing your car</t>
        </is>
      </c>
      <c r="U324" s="25" t="inlineStr">
        <is>
          <t>Will my insurer cancel me if I list my car on Turo? | Does OPCF 27 cover a Turo rental? | Who pays the deductible on a Turo claim? | Do I need commercial insurance to rent out my car?</t>
        </is>
      </c>
      <c r="V324" s="25" t="inlineStr">
        <is>
          <t>Coverage-gap table for hosts and guests (damage, liability, theft, loss of income) comparing a personal policy, the platform plan and commercial cover, plus a pre-listing checklist.</t>
        </is>
      </c>
      <c r="W324" s="25" t="inlineStr">
        <is>
          <t>/car-insurance/; /guides/does-car-insurance-cover-rental-cars-opcf-27/; /guides/business-use-personal-car-insurance/; /business-insurance/commercial-auto/</t>
        </is>
      </c>
      <c r="X324" s="25" t="inlineStr">
        <is>
          <t>Instant car insurance estimate (/quote/car-insurance/)</t>
        </is>
      </c>
      <c r="Y324" s="36" t="inlineStr">
        <is>
          <t>Article; FAQPage; BreadcrumbList</t>
        </is>
      </c>
      <c r="Z324" s="37" t="n">
        <v>1400</v>
      </c>
      <c r="AA324" s="25" t="inlineStr">
        <is>
          <t>Not seen on Ratehub or Rates.ca; the research lists peer-to-peer and rental use as a gap.</t>
        </is>
      </c>
      <c r="AB324" s="25" t="inlineStr">
        <is>
          <t>Focus keyword in H1, slug, meta title, first 100 words and first H2; the 40-60 word answer says personal policies usually exclude it and the platform plan applies during trips. Use the gap table, link 'OPCF 27' to the rental guide, and refresh twice a year.</t>
        </is>
      </c>
      <c r="AC324" s="25" t="inlineStr">
        <is>
          <t>Platform terms change: cite the platform's Canadian protection page with a date and verify what it provides by province. Do not describe insurer exclusions without policy wording.</t>
        </is>
      </c>
      <c r="AD324" s="36" t="inlineStr">
        <is>
          <t>Semi-annual</t>
        </is>
      </c>
      <c r="AE324" s="38" t="n"/>
      <c r="AF324" s="38" t="n"/>
      <c r="AG324" s="38" t="n"/>
    </row>
    <row r="325" ht="35.05" customHeight="1" s="22">
      <c r="A325" s="36">
        <f>"B"&amp;TEXT(ROW()-1,"0000")</f>
        <v/>
      </c>
      <c r="B325" s="38" t="inlineStr">
        <is>
          <t>Planned</t>
        </is>
      </c>
      <c r="C325" s="36" t="n">
        <v>3</v>
      </c>
      <c r="D325" s="36" t="inlineStr">
        <is>
          <t>Car insurance</t>
        </is>
      </c>
      <c r="E325" s="36" t="inlineStr">
        <is>
          <t>Personas: gig and work drivers</t>
        </is>
      </c>
      <c r="F325" s="25" t="inlineStr">
        <is>
          <t>Using Your Personal Car for Work: Business Use Insurance Explained</t>
        </is>
      </c>
      <c r="G325" s="36" t="inlineStr">
        <is>
          <t>https://instasure.ca/guides/business-use-personal-car-insurance/</t>
        </is>
      </c>
      <c r="H325" s="36" t="inlineStr">
        <is>
          <t>business use car insurance</t>
        </is>
      </c>
      <c r="I325" s="41">
        <f>IFERROR(INDEX('Nationwide KWs'!$D$2:$D$168,MATCH(H325,'Nationwide KWs'!$A$2:$A$168,0)),IFERROR(INDEX('Provincial KWs'!$E$2:$E$137,MATCH(H325,'Provincial KWs'!$A$2:$A$137,0)),IFERROR(INDEX('City KWs'!$F$2:$F$419,MATCH(H325,'City KWs'!$A$2:$A$419,0)),"")))</f>
        <v/>
      </c>
      <c r="J325" s="36" t="inlineStr">
        <is>
          <t>Low</t>
        </is>
      </c>
      <c r="K325" s="25" t="inlineStr">
        <is>
          <t>commuting vs business use car insurance; pleasure use car insurance; do i need commercial car insurance; real estate agent car insurance; tradesperson personal vehicle insurance</t>
        </is>
      </c>
      <c r="L325" s="36" t="inlineStr">
        <is>
          <t>Nationwide</t>
        </is>
      </c>
      <c r="M325" s="36" t="inlineStr">
        <is>
          <t>commercial</t>
        </is>
      </c>
      <c r="N325" s="36" t="inlineStr">
        <is>
          <t>MOFU</t>
        </is>
      </c>
      <c r="O325" s="25" t="inlineStr">
        <is>
          <t>Business Use Car Insurance: When Work Driving Needs It</t>
        </is>
      </c>
      <c r="P325" s="36">
        <f>LEN(O325)</f>
        <v/>
      </c>
      <c r="Q325" s="25" t="inlineStr">
        <is>
          <t>Business use car insurance explained: pleasure vs commuting vs business use, when work driving needs a rating change and when to go commercial. Check it.</t>
        </is>
      </c>
      <c r="R325" s="36">
        <f>LEN(Q325)</f>
        <v/>
      </c>
      <c r="S325" s="36">
        <f>IF(H325="","",IF(ISNUMBER(SEARCH(SUBSTITUTE(H325,"-"," "),SUBSTITUTE(O325,"-"," "))),"Yes","Check"))</f>
        <v/>
      </c>
      <c r="T325" s="25" t="inlineStr">
        <is>
          <t>When do you need business use car insurance? | Pleasure, commuting and business use defined | Jobs that usually need business use rating | When personal auto isn't enough: commercial auto | Delivery, rideshare and gig work | What happens if you misstate use</t>
        </is>
      </c>
      <c r="U325" s="25" t="inlineStr">
        <is>
          <t>Is driving to different job sites business use? | Do real estate agents need business use insurance? | Is commuting to work business use? | When do I need commercial auto instead of personal?</t>
        </is>
      </c>
      <c r="V325" s="25" t="inlineStr">
        <is>
          <t>Use-classification decision tree with 12 job examples (sales rep, home-care nurse, contractor with tools, real estate agent) mapped to pleasure, commute, business or commercial.</t>
        </is>
      </c>
      <c r="W325" s="25" t="inlineStr">
        <is>
          <t>/car-insurance/; /business-insurance/commercial-auto/; /car-insurance/rideshare-and-delivery/; /guides/rideshare-insurance-by-province/</t>
        </is>
      </c>
      <c r="X325" s="25" t="inlineStr">
        <is>
          <t>Request a specialist call: Commercial auto &amp; trucking desk (/business-insurance/commercial-auto/)</t>
        </is>
      </c>
      <c r="Y325" s="36" t="inlineStr">
        <is>
          <t>Article; FAQPage; BreadcrumbList</t>
        </is>
      </c>
      <c r="Z325" s="37" t="n">
        <v>1400</v>
      </c>
      <c r="AA325" s="25" t="inlineStr">
        <is>
          <t>Rates.ca has a resource on insuring a company vehicle; no competitor explains personal-policy use classes with job examples.</t>
        </is>
      </c>
      <c r="AB325" s="25" t="inlineStr">
        <is>
          <t>Focus keyword in H1, slug, meta title, first 100 words and first H2; define the three use classes in 40-60 words. Present the decision tree as a graphic plus table, link 'commercial auto' to the desk page, and review annually.</t>
        </is>
      </c>
      <c r="AC325" s="25" t="inlineStr">
        <is>
          <t>Use classes and definitions vary by insurer, so describe typical practice. Warn that misstating use can lead to a denied claim without overstating outcomes.</t>
        </is>
      </c>
      <c r="AD325" s="36" t="inlineStr">
        <is>
          <t>Annual</t>
        </is>
      </c>
      <c r="AE325" s="38" t="n"/>
      <c r="AF325" s="38" t="n"/>
      <c r="AG325" s="38" t="n"/>
    </row>
    <row r="326" ht="35.05" customHeight="1" s="22">
      <c r="A326" s="36">
        <f>"B"&amp;TEXT(ROW()-1,"0000")</f>
        <v/>
      </c>
      <c r="B326" s="38" t="inlineStr">
        <is>
          <t>Planned</t>
        </is>
      </c>
      <c r="C326" s="36" t="n">
        <v>3</v>
      </c>
      <c r="D326" s="36" t="inlineStr">
        <is>
          <t>Car insurance</t>
        </is>
      </c>
      <c r="E326" s="36" t="inlineStr">
        <is>
          <t>Personas: new drivers</t>
        </is>
      </c>
      <c r="F326" s="25" t="inlineStr">
        <is>
          <t>New Driver Insurance in Alberta and BC: Class 7, GDL, L and N</t>
        </is>
      </c>
      <c r="G326" s="36" t="inlineStr">
        <is>
          <t>https://instasure.ca/guides/class-7-and-bc-new-driver-insurance/</t>
        </is>
      </c>
      <c r="H326" s="36" t="inlineStr">
        <is>
          <t>class 7 licence insurance alberta</t>
        </is>
      </c>
      <c r="I326" s="41">
        <f>IFERROR(INDEX('Nationwide KWs'!$D$2:$D$168,MATCH(H326,'Nationwide KWs'!$A$2:$A$168,0)),IFERROR(INDEX('Provincial KWs'!$E$2:$E$137,MATCH(H326,'Provincial KWs'!$A$2:$A$137,0)),IFERROR(INDEX('City KWs'!$F$2:$F$419,MATCH(H326,'City KWs'!$A$2:$A$419,0)),"")))</f>
        <v/>
      </c>
      <c r="J326" s="36" t="inlineStr">
        <is>
          <t>Low</t>
        </is>
      </c>
      <c r="K326" s="25" t="inlineStr">
        <is>
          <t>gdl insurance alberta; n driver insurance bc; l driver insurance bc; new driver insurance alberta; icbc new driver premium</t>
        </is>
      </c>
      <c r="L326" s="36" t="inlineStr">
        <is>
          <t>Province: Alberta</t>
        </is>
      </c>
      <c r="M326" s="36" t="inlineStr">
        <is>
          <t>commercial</t>
        </is>
      </c>
      <c r="N326" s="36" t="inlineStr">
        <is>
          <t>MOFU</t>
        </is>
      </c>
      <c r="O326" s="25" t="inlineStr">
        <is>
          <t>Class 7 Licence Insurance in Alberta, Plus BC L and N Rules</t>
        </is>
      </c>
      <c r="P326" s="36">
        <f>LEN(O326)</f>
        <v/>
      </c>
      <c r="Q326" s="25" t="inlineStr">
        <is>
          <t>Class 7 licence insurance in Alberta and BC's L and N stages explained: who needs a policy, how years licensed count and how to cut costs. Get an estimate.</t>
        </is>
      </c>
      <c r="R326" s="36">
        <f>LEN(Q326)</f>
        <v/>
      </c>
      <c r="S326" s="36">
        <f>IF(H326="","",IF(ISNUMBER(SEARCH(SUBSTITUTE(H326,"-"," "),SUBSTITUTE(O326,"-"," "))),"Yes","Check"))</f>
        <v/>
      </c>
      <c r="T326" s="25" t="inlineStr">
        <is>
          <t>Do Class 7 and L drivers need their own insurance? | Alberta: Class 7, Class 5-GDL and full Class 5 | BC: L, N and full licence with ICBC | How insurers count years licensed | Care-First in Alberta from 2027 and new drivers | Ways new drivers can lower premiums</t>
        </is>
      </c>
      <c r="U326" s="25" t="inlineStr">
        <is>
          <t>Do I need insurance with a Class 7 learner's licence in Alberta? | Is car insurance more expensive for N drivers in BC? | Does GDL experience count as years licensed? | Can a new driver be added to a parent's ICBC policy?</t>
        </is>
      </c>
      <c r="V326" s="25" t="inlineStr">
        <is>
          <t>Two-province stage table (licence stage, supervision rules, insurance listing practice, years-licensed credit) with Alberta Transportation and ICBC sources.</t>
        </is>
      </c>
      <c r="W326" s="25" t="inlineStr">
        <is>
          <t>/car-insurance/new-drivers/; /car-insurance/alberta/; /car-insurance/british-columbia/; /guides/alberta-car-insurance-2026-care-first/</t>
        </is>
      </c>
      <c r="X326" s="25" t="inlineStr">
        <is>
          <t>Instant car insurance estimate (/quote/car-insurance/)</t>
        </is>
      </c>
      <c r="Y326" s="36" t="inlineStr">
        <is>
          <t>Article; FAQPage; BreadcrumbList</t>
        </is>
      </c>
      <c r="Z326" s="37" t="n">
        <v>1500</v>
      </c>
      <c r="AA326" s="25" t="inlineStr">
        <is>
          <t>Not seen on Ratehub or Rates.ca; the research flags Alberta Class 7/GDL and BC L/N pages as open.</t>
        </is>
      </c>
      <c r="AB326" s="25" t="inlineStr">
        <is>
          <t>Focus keyword in H1, slug, meta title, first 100 words and first H2; the 40-60 word answer covers listing on an insured vehicle for both provinces. Use the two-province table, link 'Care-First' to the Alberta guide, and cite Alberta Transportation and ICBC. Review annually.</t>
        </is>
      </c>
      <c r="AC326" s="25" t="inlineStr">
        <is>
          <t>Verify licence-stage rules with Alberta Transportation and ICBC; quote ICBC listing and new-driver premium rules from icbc.com. Label estimates.</t>
        </is>
      </c>
      <c r="AD326" s="36" t="inlineStr">
        <is>
          <t>Annual</t>
        </is>
      </c>
      <c r="AE326" s="38" t="n"/>
      <c r="AF326" s="38" t="n"/>
      <c r="AG326" s="38" t="n"/>
    </row>
    <row r="327" ht="35.05" customHeight="1" s="22">
      <c r="A327" s="36">
        <f>"B"&amp;TEXT(ROW()-1,"0000")</f>
        <v/>
      </c>
      <c r="B327" s="38" t="inlineStr">
        <is>
          <t>Planned</t>
        </is>
      </c>
      <c r="C327" s="36" t="n">
        <v>3</v>
      </c>
      <c r="D327" s="36" t="inlineStr">
        <is>
          <t>Car insurance</t>
        </is>
      </c>
      <c r="E327" s="36" t="inlineStr">
        <is>
          <t>Personas: new drivers</t>
        </is>
      </c>
      <c r="F327" s="25" t="inlineStr">
        <is>
          <t>Student Car Insurance in Canada: Away at School, Discounts and Costs</t>
        </is>
      </c>
      <c r="G327" s="36" t="inlineStr">
        <is>
          <t>https://instasure.ca/guides/student-car-insurance-canada/</t>
        </is>
      </c>
      <c r="H327" s="36" t="inlineStr">
        <is>
          <t>student car insurance</t>
        </is>
      </c>
      <c r="I327" s="41">
        <f>IFERROR(INDEX('Nationwide KWs'!$D$2:$D$168,MATCH(H327,'Nationwide KWs'!$A$2:$A$168,0)),IFERROR(INDEX('Provincial KWs'!$E$2:$E$137,MATCH(H327,'Provincial KWs'!$A$2:$A$137,0)),IFERROR(INDEX('City KWs'!$F$2:$F$419,MATCH(H327,'City KWs'!$A$2:$A$419,0)),"")))</f>
        <v/>
      </c>
      <c r="J327" s="36" t="inlineStr">
        <is>
          <t>Low</t>
        </is>
      </c>
      <c r="K327" s="25" t="inlineStr">
        <is>
          <t>car insurance for university students; distant student discount; good student discount car insurance; international student car insurance canada; student driving parents car</t>
        </is>
      </c>
      <c r="L327" s="36" t="inlineStr">
        <is>
          <t>Nationwide</t>
        </is>
      </c>
      <c r="M327" s="36" t="inlineStr">
        <is>
          <t>commercial</t>
        </is>
      </c>
      <c r="N327" s="36" t="inlineStr">
        <is>
          <t>MOFU</t>
        </is>
      </c>
      <c r="O327" s="25" t="inlineStr">
        <is>
          <t>Student Car Insurance in Canada: Discounts and Moving Away</t>
        </is>
      </c>
      <c r="P327" s="36">
        <f>LEN(O327)</f>
        <v/>
      </c>
      <c r="Q327" s="25" t="inlineStr">
        <is>
          <t>Student car insurance in Canada: staying on a parent's policy, distant-student discounts, taking a car to campus and international student rules. Read on.</t>
        </is>
      </c>
      <c r="R327" s="36">
        <f>LEN(Q327)</f>
        <v/>
      </c>
      <c r="S327" s="36">
        <f>IF(H327="","",IF(ISNUMBER(SEARCH(SUBSTITUTE(H327,"-"," "),SUBSTITUTE(O327,"-"," "))),"Yes","Check"))</f>
        <v/>
      </c>
      <c r="T327" s="25" t="inlineStr">
        <is>
          <t>How does student car insurance work? | Staying on a parent's policy vs your own | Away at school: with or without a car | Student discounts insurers offer | International students and foreign licences | Renting near campus: tenant and car insurance together</t>
        </is>
      </c>
      <c r="U327" s="25" t="inlineStr">
        <is>
          <t>Can a student stay on their parents' car insurance? | Is there a discount if I go to school without a car? | Do international students need Canadian car insurance? | Does my car insurance change if I move for school?</t>
        </is>
      </c>
      <c r="V327" s="25" t="inlineStr">
        <is>
          <t>Scenario table (student at home, away without a car, away with a car, international student) showing listing rules and the discounts to ask about.</t>
        </is>
      </c>
      <c r="W327" s="25" t="inlineStr">
        <is>
          <t>/car-insurance/new-drivers/; /tenant-insurance/students/; /guides/adding-teen-driver-to-car-insurance/; /guides/car-insurance-foreign-driving-experience-canada/</t>
        </is>
      </c>
      <c r="X327" s="25" t="inlineStr">
        <is>
          <t>Instant car insurance estimate (/quote/car-insurance/)</t>
        </is>
      </c>
      <c r="Y327" s="36" t="inlineStr">
        <is>
          <t>Article; FAQPage; BreadcrumbList</t>
        </is>
      </c>
      <c r="Z327" s="37" t="n">
        <v>1400</v>
      </c>
      <c r="AA327" s="25" t="inlineStr">
        <is>
          <t>Ratehub has a student car insurance page; neither aggregator covers international students or pairs it with tenant cover.</t>
        </is>
      </c>
      <c r="AB327" s="25" t="inlineStr">
        <is>
          <t>Focus keyword in H1, slug, meta title, first 100 words and first H2; the 40-60 word answer covers the two main set-ups. Use the scenario table, link 'tenant insurance for students' to the student tenant page, and publish before September each year.</t>
        </is>
      </c>
      <c r="AC327" s="25" t="inlineStr">
        <is>
          <t>Discounts vary by insurer, so do not promise them. Verify how long international students may drive on a foreign licence with each province's licensing authority.</t>
        </is>
      </c>
      <c r="AD327" s="36" t="inlineStr">
        <is>
          <t>Annual</t>
        </is>
      </c>
      <c r="AE327" s="38" t="n"/>
      <c r="AF327" s="38" t="n"/>
      <c r="AG327" s="38" t="n"/>
    </row>
    <row r="328" ht="35.05" customHeight="1" s="22">
      <c r="A328" s="36">
        <f>"B"&amp;TEXT(ROW()-1,"0000")</f>
        <v/>
      </c>
      <c r="B328" s="38" t="inlineStr">
        <is>
          <t>Planned</t>
        </is>
      </c>
      <c r="C328" s="36" t="n">
        <v>3</v>
      </c>
      <c r="D328" s="36" t="inlineStr">
        <is>
          <t>Car insurance</t>
        </is>
      </c>
      <c r="E328" s="36" t="inlineStr">
        <is>
          <t>Personas: seniors</t>
        </is>
      </c>
      <c r="F328" s="25" t="inlineStr">
        <is>
          <t>Senior Drivers in Ontario: 80+ Licence Renewal and Your Insurance</t>
        </is>
      </c>
      <c r="G328" s="36" t="inlineStr">
        <is>
          <t>https://instasure.ca/guides/senior-drivers-ontario-licence-renewal-insurance/</t>
        </is>
      </c>
      <c r="H328" s="36" t="inlineStr">
        <is>
          <t>senior driver licence renewal ontario</t>
        </is>
      </c>
      <c r="I328" s="41">
        <f>IFERROR(INDEX('Nationwide KWs'!$D$2:$D$168,MATCH(H328,'Nationwide KWs'!$A$2:$A$168,0)),IFERROR(INDEX('Provincial KWs'!$E$2:$E$137,MATCH(H328,'Provincial KWs'!$A$2:$A$137,0)),IFERROR(INDEX('City KWs'!$F$2:$F$419,MATCH(H328,'City KWs'!$A$2:$A$419,0)),"")))</f>
        <v/>
      </c>
      <c r="J328" s="36" t="inlineStr">
        <is>
          <t>Low</t>
        </is>
      </c>
      <c r="K328" s="25" t="inlineStr">
        <is>
          <t>car insurance for seniors ontario; senior driver renewal program ontario; retiree car insurance discount; do seniors pay more for car insurance; accident benefits for retirees ontario</t>
        </is>
      </c>
      <c r="L328" s="36" t="inlineStr">
        <is>
          <t>Province: Ontario</t>
        </is>
      </c>
      <c r="M328" s="36" t="inlineStr">
        <is>
          <t>informational</t>
        </is>
      </c>
      <c r="N328" s="36" t="inlineStr">
        <is>
          <t>MOFU</t>
        </is>
      </c>
      <c r="O328" s="25" t="inlineStr">
        <is>
          <t>Senior Driver Licence Renewal in Ontario and Your Insurance</t>
        </is>
      </c>
      <c r="P328" s="36">
        <f>LEN(O328)</f>
        <v/>
      </c>
      <c r="Q328" s="25" t="inlineStr">
        <is>
          <t>Senior driver licence renewal in Ontario at 80+: what the screening involves, how it affects insurance and accident benefits after 2026. Book a review.</t>
        </is>
      </c>
      <c r="R328" s="36">
        <f>LEN(Q328)</f>
        <v/>
      </c>
      <c r="S328" s="36">
        <f>IF(H328="","",IF(ISNUMBER(SEARCH(SUBSTITUTE(H328,"-"," "),SUBSTITUTE(O328,"-"," "))),"Yes","Check"))</f>
        <v/>
      </c>
      <c r="T328" s="25" t="inlineStr">
        <is>
          <t>What happens at senior driver licence renewal in Ontario? | The 80+ renewal steps: vision test and screening | Does age raise car insurance for seniors? | Retiree, low-mileage and mature driver discounts | Accident benefits for retirees after July 2026 | Helping a parent decide about driving</t>
        </is>
      </c>
      <c r="U328" s="25" t="inlineStr">
        <is>
          <t>How often do seniors renew their licence in Ontario? | Do seniors pay more for car insurance in Ontario? | Should retirees drop income replacement benefits? | What happens to insurance if a senior's licence is suspended?</t>
        </is>
      </c>
      <c r="V328" s="25" t="inlineStr">
        <is>
          <t>Renewal timeline and checklist, a modelled premium table for ages 65, 75 and 85 with one stated profile, and a retiree accident-benefits decision table.</t>
        </is>
      </c>
      <c r="W328" s="25" t="inlineStr">
        <is>
          <t>/car-insurance/senior-drivers/; /guides/ontario-accident-benefits-explained/; /guides/usage-based-car-insurance-canada/; /car-insurance/accident-benefits-review/</t>
        </is>
      </c>
      <c r="X328" s="25" t="inlineStr">
        <is>
          <t>Request a specialist call: Accident benefits review desk (/car-insurance/accident-benefits-review/)</t>
        </is>
      </c>
      <c r="Y328" s="36" t="inlineStr">
        <is>
          <t>Article; FAQPage; BreadcrumbList</t>
        </is>
      </c>
      <c r="Z328" s="37" t="n">
        <v>1500</v>
      </c>
      <c r="AA328" s="25" t="inlineStr">
        <is>
          <t>Ratehub and Rates.ca have senior car insurance pages; none ties the 80+ renewal program to accident-benefit choices after the 2026 reform.</t>
        </is>
      </c>
      <c r="AB328" s="25" t="inlineStr">
        <is>
          <t>Focus keyword in H1, slug, meta title, first 100 words and first H2; the 40-60 word answer lists the renewal steps and frequency. Add the renewal checklist, link the senior-drivers service page with 'car insurance for senior drivers' anchor, and use respectful, non-ageist wording. Review annually.</t>
        </is>
      </c>
      <c r="AC328" s="25" t="inlineStr">
        <is>
          <t>Verify the 80+ renewal rules (every two years, vision test, screening) with ServiceOntario. Label premium figures as estimates.</t>
        </is>
      </c>
      <c r="AD328" s="36" t="inlineStr">
        <is>
          <t>Annual</t>
        </is>
      </c>
      <c r="AE328" s="38" t="n"/>
      <c r="AF328" s="38" t="n"/>
      <c r="AG328" s="38" t="n"/>
    </row>
    <row r="329" ht="35.05" customHeight="1" s="22">
      <c r="A329" s="36">
        <f>"B"&amp;TEXT(ROW()-1,"0000")</f>
        <v/>
      </c>
      <c r="B329" s="38" t="inlineStr">
        <is>
          <t>Planned</t>
        </is>
      </c>
      <c r="C329" s="36" t="n">
        <v>3</v>
      </c>
      <c r="D329" s="36" t="inlineStr">
        <is>
          <t>Car insurance</t>
        </is>
      </c>
      <c r="E329" s="36" t="inlineStr">
        <is>
          <t>Regulation</t>
        </is>
      </c>
      <c r="F329" s="25" t="inlineStr">
        <is>
          <t>New Brunswick Car Insurance Rate Increases: Insurance Board Decisions</t>
        </is>
      </c>
      <c r="G329" s="36" t="inlineStr">
        <is>
          <t>https://instasure.ca/guides/new-brunswick-car-insurance-rate-increases/</t>
        </is>
      </c>
      <c r="H329" s="36" t="inlineStr">
        <is>
          <t>new brunswick car insurance rate increase</t>
        </is>
      </c>
      <c r="I329" s="41">
        <f>IFERROR(INDEX('Nationwide KWs'!$D$2:$D$168,MATCH(H329,'Nationwide KWs'!$A$2:$A$168,0)),IFERROR(INDEX('Provincial KWs'!$E$2:$E$137,MATCH(H329,'Provincial KWs'!$A$2:$A$137,0)),IFERROR(INDEX('City KWs'!$F$2:$F$419,MATCH(H329,'City KWs'!$A$2:$A$419,0)),"")))</f>
        <v/>
      </c>
      <c r="J329" s="36" t="inlineStr">
        <is>
          <t>Low</t>
        </is>
      </c>
      <c r="K329" s="25" t="inlineStr">
        <is>
          <t>new brunswick insurance board decisions; car insurance new brunswick 2026; moncton car insurance increase; why is car insurance going up in new brunswick</t>
        </is>
      </c>
      <c r="L329" s="36" t="inlineStr">
        <is>
          <t>Province: New Brunswick</t>
        </is>
      </c>
      <c r="M329" s="36" t="inlineStr">
        <is>
          <t>informational</t>
        </is>
      </c>
      <c r="N329" s="36" t="inlineStr">
        <is>
          <t>TOFU</t>
        </is>
      </c>
      <c r="O329" s="25" t="inlineStr">
        <is>
          <t>New Brunswick Car Insurance Rate Increase Tracker</t>
        </is>
      </c>
      <c r="P329" s="36">
        <f>LEN(O329)</f>
        <v/>
      </c>
      <c r="Q329" s="25" t="inlineStr">
        <is>
          <t>New Brunswick car insurance rate increase tracker: approved changes by insurer from Insurance Board decisions and what to do at renewal. Check yours.</t>
        </is>
      </c>
      <c r="R329" s="36">
        <f>LEN(Q329)</f>
        <v/>
      </c>
      <c r="S329" s="36">
        <f>IF(H329="","",IF(ISNUMBER(SEARCH(SUBSTITUTE(H329,"-"," "),SUBSTITUTE(O329,"-"," "))),"Yes","Check"))</f>
        <v/>
      </c>
      <c r="T329" s="25" t="inlineStr">
        <is>
          <t>How much are New Brunswick car insurance rates rising? | Approved rate changes by insurer (dated table) | How the New Brunswick Insurance Board reviews filings | Why rates are moving in New Brunswick | Moncton, Saint John and Fredericton: does location matter? | How to shop before renewal</t>
        </is>
      </c>
      <c r="U329" s="25" t="inlineStr">
        <is>
          <t>Who approves car insurance rates in New Brunswick? | Is car insurance going up in New Brunswick in 2026? | Does an approved increase apply to everyone? | Can I get a car insurance quote in French in New Brunswick?</t>
        </is>
      </c>
      <c r="V329" s="25" t="inlineStr">
        <is>
          <t>Dated table of approved rate changes by insurer with decision references, plus city context from the Moncton, Saint John and Fredericton pages.</t>
        </is>
      </c>
      <c r="W329" s="25" t="inlineStr">
        <is>
          <t>/car-insurance/new-brunswick/; /car-insurance/new-brunswick/moncton/; /car-insurance/new-brunswick/saint-john/; /guides/who-regulates-car-insurance-by-province/</t>
        </is>
      </c>
      <c r="X329" s="25" t="inlineStr">
        <is>
          <t>Instant car insurance estimate (/quote/car-insurance/)</t>
        </is>
      </c>
      <c r="Y329" s="36" t="inlineStr">
        <is>
          <t>Article; FAQPage; BreadcrumbList</t>
        </is>
      </c>
      <c r="Z329" s="37" t="n">
        <v>1200</v>
      </c>
      <c r="AA329" s="25" t="inlineStr">
        <is>
          <t>No competitor coverage seen.</t>
        </is>
      </c>
      <c r="AB329" s="25" t="inlineStr">
        <is>
          <t>Focus keyword in H1, slug, meta title, first 100 words and first H2; the 40-60 word answer gives the latest approved range with dates. Keep the table current, link the three city pages with city-name anchors, and update quarterly.</t>
        </is>
      </c>
      <c r="AC329" s="25" t="inlineStr">
        <is>
          <t>Verify that the New Brunswick Insurance Board publishes decisions and cite each with its date. Do not imply French-language service unless advisors actually provide it.</t>
        </is>
      </c>
      <c r="AD329" s="36" t="inlineStr">
        <is>
          <t>Quarterly</t>
        </is>
      </c>
      <c r="AE329" s="38" t="n"/>
      <c r="AF329" s="38" t="n"/>
      <c r="AG329" s="38" t="n"/>
    </row>
    <row r="330" ht="46.25" customHeight="1" s="22">
      <c r="A330" s="36">
        <f>"B"&amp;TEXT(ROW()-1,"0000")</f>
        <v/>
      </c>
      <c r="B330" s="38" t="inlineStr">
        <is>
          <t>Planned</t>
        </is>
      </c>
      <c r="C330" s="36" t="n">
        <v>3</v>
      </c>
      <c r="D330" s="36" t="inlineStr">
        <is>
          <t>Car insurance</t>
        </is>
      </c>
      <c r="E330" s="36" t="inlineStr">
        <is>
          <t>Regulation</t>
        </is>
      </c>
      <c r="F330" s="25" t="inlineStr">
        <is>
          <t>Who Regulates Car Insurance in Each Province?</t>
        </is>
      </c>
      <c r="G330" s="36" t="inlineStr">
        <is>
          <t>https://instasure.ca/guides/who-regulates-car-insurance-by-province/</t>
        </is>
      </c>
      <c r="H330" s="36" t="inlineStr">
        <is>
          <t>who regulates car insurance in canada</t>
        </is>
      </c>
      <c r="I330" s="41">
        <f>IFERROR(INDEX('Nationwide KWs'!$D$2:$D$168,MATCH(H330,'Nationwide KWs'!$A$2:$A$168,0)),IFERROR(INDEX('Provincial KWs'!$E$2:$E$137,MATCH(H330,'Provincial KWs'!$A$2:$A$137,0)),IFERROR(INDEX('City KWs'!$F$2:$F$419,MATCH(H330,'City KWs'!$A$2:$A$419,0)),"")))</f>
        <v/>
      </c>
      <c r="J330" s="36" t="inlineStr">
        <is>
          <t>Niche</t>
        </is>
      </c>
      <c r="K330" s="25" t="inlineStr">
        <is>
          <t>fsra car insurance; alberta automobile insurance rate board; nova scotia uarb car insurance; new brunswick insurance board; car insurance regulator ontario</t>
        </is>
      </c>
      <c r="L330" s="36" t="inlineStr">
        <is>
          <t>Nationwide</t>
        </is>
      </c>
      <c r="M330" s="36" t="inlineStr">
        <is>
          <t>informational</t>
        </is>
      </c>
      <c r="N330" s="36" t="inlineStr">
        <is>
          <t>TOFU</t>
        </is>
      </c>
      <c r="O330" s="25" t="inlineStr">
        <is>
          <t>Who Regulates Car Insurance in Canada? Province by Province</t>
        </is>
      </c>
      <c r="P330" s="36">
        <f>LEN(O330)</f>
        <v/>
      </c>
      <c r="Q330" s="25" t="inlineStr">
        <is>
          <t>Who regulates car insurance in Canada? Find the regulator, rate board and public insurer for each province and territory and where to complain. See table.</t>
        </is>
      </c>
      <c r="R330" s="36">
        <f>LEN(Q330)</f>
        <v/>
      </c>
      <c r="S330" s="36">
        <f>IF(H330="","",IF(ISNUMBER(SEARCH(SUBSTITUTE(H330,"-"," "),SUBSTITUTE(O330,"-"," "))),"Yes","Check"))</f>
        <v/>
      </c>
      <c r="T330" s="25" t="inlineStr">
        <is>
          <t>Who regulates car insurance in Canada? | Regulator and rate-setting body by province (table) | Private, public and hybrid systems | How rate increases get approved | Atlantic rate boards and their hearings | Where to complain in your province</t>
        </is>
      </c>
      <c r="U330" s="25" t="inlineStr">
        <is>
          <t>Who approves car insurance rate increases in Ontario? | Who regulates ICBC rates? | Who regulates car insurance in Nova Scotia? | Does the federal government regulate car insurance?</t>
        </is>
      </c>
      <c r="V330" s="25" t="inlineStr">
        <is>
          <t>13-row table of regulator, rate-approval body, public insurer (if any) and complaint route, each with an official link and verification date.</t>
        </is>
      </c>
      <c r="W330" s="25" t="inlineStr">
        <is>
          <t>/insurance/; /guides/mandatory-car-insurance-by-province/; /guides/nova-scotia-car-insurance-rate-increases/; /guides/car-insurance-claim-denied-complaints/</t>
        </is>
      </c>
      <c r="X330" s="25" t="inlineStr">
        <is>
          <t>Instant car insurance estimate (/quote/car-insurance/)</t>
        </is>
      </c>
      <c r="Y330" s="36" t="inlineStr">
        <is>
          <t>Article; FAQPage; BreadcrumbList</t>
        </is>
      </c>
      <c r="Z330" s="37" t="n">
        <v>1500</v>
      </c>
      <c r="AA330" s="25" t="inlineStr">
        <is>
          <t>No competitor coverage seen; Rates.ca links FSRA and Alberta rate filings only for its own trackers.</t>
        </is>
      </c>
      <c r="AB330" s="25" t="inlineStr">
        <is>
          <t>Focus keyword in H1, slug, meta title, first 100 words and first H2; the 40-60 word answer says regulation is provincial and names the Ontario and Alberta bodies as examples. Make the table the main element, link each province to its /insurance/{province}/ hub, and cite every body. Review annually.</t>
        </is>
      </c>
      <c r="AC330" s="25" t="inlineStr">
        <is>
          <t>Verify every body's name and role (FSRA, Alberta Automobile Insurance Rate Board, BCUC for ICBC basic rates, Manitoba PUB, Saskatchewan Rate Review Panel, AMF, NS UARB, New Brunswick Insurance Board, NL PUB, PEI IRAC, territorial superintendents) at source.</t>
        </is>
      </c>
      <c r="AD330" s="36" t="inlineStr">
        <is>
          <t>Annual</t>
        </is>
      </c>
      <c r="AE330" s="38" t="n"/>
      <c r="AF330" s="38" t="n"/>
      <c r="AG330" s="38" t="n"/>
    </row>
    <row r="331" ht="35.05" customHeight="1" s="22">
      <c r="A331" s="36">
        <f>"B"&amp;TEXT(ROW()-1,"0000")</f>
        <v/>
      </c>
      <c r="B331" s="38" t="inlineStr">
        <is>
          <t>Planned</t>
        </is>
      </c>
      <c r="C331" s="36" t="n">
        <v>3</v>
      </c>
      <c r="D331" s="36" t="inlineStr">
        <is>
          <t>Car insurance</t>
        </is>
      </c>
      <c r="E331" s="36" t="inlineStr">
        <is>
          <t>Regulation</t>
        </is>
      </c>
      <c r="F331" s="25" t="inlineStr">
        <is>
          <t>Winter Tire Insurance Discounts: Ontario Rules and Other Provinces</t>
        </is>
      </c>
      <c r="G331" s="36" t="inlineStr">
        <is>
          <t>https://instasure.ca/guides/winter-tire-insurance-discount/</t>
        </is>
      </c>
      <c r="H331" s="36" t="inlineStr">
        <is>
          <t>winter tire discount insurance ontario</t>
        </is>
      </c>
      <c r="I331" s="41">
        <f>IFERROR(INDEX('Nationwide KWs'!$D$2:$D$168,MATCH(H331,'Nationwide KWs'!$A$2:$A$168,0)),IFERROR(INDEX('Provincial KWs'!$E$2:$E$137,MATCH(H331,'Provincial KWs'!$A$2:$A$137,0)),IFERROR(INDEX('City KWs'!$F$2:$F$419,MATCH(H331,'City KWs'!$A$2:$A$419,0)),"")))</f>
        <v/>
      </c>
      <c r="J331" s="36" t="inlineStr">
        <is>
          <t>Low</t>
        </is>
      </c>
      <c r="K331" s="25" t="inlineStr">
        <is>
          <t>winter tire discount; do winter tires lower insurance; quebec winter tire law; bc winter tire requirement; all weather tires insurance discount</t>
        </is>
      </c>
      <c r="L331" s="36" t="inlineStr">
        <is>
          <t>Nationwide</t>
        </is>
      </c>
      <c r="M331" s="36" t="inlineStr">
        <is>
          <t>informational</t>
        </is>
      </c>
      <c r="N331" s="36" t="inlineStr">
        <is>
          <t>TOFU</t>
        </is>
      </c>
      <c r="O331" s="25" t="inlineStr">
        <is>
          <t>Winter Tire Discount Insurance in Ontario and Elsewhere</t>
        </is>
      </c>
      <c r="P331" s="36">
        <f>LEN(O331)</f>
        <v/>
      </c>
      <c r="Q331" s="25" t="inlineStr">
        <is>
          <t>Winter tire discount insurance rules in Ontario, where insurers must offer one, plus Quebec and BC tire laws and all-weather tires. See how to claim it.</t>
        </is>
      </c>
      <c r="R331" s="36">
        <f>LEN(Q331)</f>
        <v/>
      </c>
      <c r="S331" s="36">
        <f>IF(H331="","",IF(ISNUMBER(SEARCH(SUBSTITUTE(H331,"-"," "),SUBSTITUTE(O331,"-"," "))),"Yes","Check"))</f>
        <v/>
      </c>
      <c r="T331" s="25" t="inlineStr">
        <is>
          <t>Do winter tires lower your car insurance? | Ontario: insurers must offer a winter tire discount | Quebec and BC: when winter tires are the law | Do all-weather tires qualify? | How to claim the discount and prove it | Other winter-driving coverage tips</t>
        </is>
      </c>
      <c r="U331" s="25" t="inlineStr">
        <is>
          <t>Is the winter tire discount mandatory in Ontario? | Do all-weather tires count for the discount? | Do I lose the discount if I take winter tires off in April? | Can my insurer check that I have winter tires?</t>
        </is>
      </c>
      <c r="V331" s="25" t="inlineStr">
        <is>
          <t>Province table of winter tire rules (insurer discount requirement, legal requirement, dates, accepted tire symbols) with official sources.</t>
        </is>
      </c>
      <c r="W331" s="25" t="inlineStr">
        <is>
          <t>/car-insurance/ontario/; /guides/car-insurance-discounts-canada/; /car-insurance/quebec/; /car-insurance/british-columbia/</t>
        </is>
      </c>
      <c r="X331" s="25" t="inlineStr">
        <is>
          <t>Instant car insurance estimate (/quote/car-insurance/)</t>
        </is>
      </c>
      <c r="Y331" s="36" t="inlineStr">
        <is>
          <t>Article; FAQPage; BreadcrumbList</t>
        </is>
      </c>
      <c r="Z331" s="37" t="n">
        <v>1200</v>
      </c>
      <c r="AA331" s="25" t="inlineStr">
        <is>
          <t>Not seen on Ratehub or Rates.ca; the research lists winter tire discount pages as a gap.</t>
        </is>
      </c>
      <c r="AB331" s="25" t="inlineStr">
        <is>
          <t>Focus keyword in H1, slug, meta title, first 100 words and first H2; the 40-60 word answer states the Ontario requirement and that the discount size varies. Use the province table, add an image of the mountain-snowflake symbol (alt: 'three-peak mountain snowflake winter tire symbol'), and publish each October.</t>
        </is>
      </c>
      <c r="AC331" s="25" t="inlineStr">
        <is>
          <t>Verify Ontario's requirement for insurers to offer a winter tire discount (in effect since 2016) with FSRA, and Quebec and BC tire laws with the SAAQ and BC Ministry of Transportation. Do not quote discount sizes unless sourced.</t>
        </is>
      </c>
      <c r="AD331" s="36" t="inlineStr">
        <is>
          <t>Annual</t>
        </is>
      </c>
      <c r="AE331" s="38" t="n"/>
      <c r="AF331" s="38" t="n"/>
      <c r="AG331" s="38" t="n"/>
    </row>
    <row r="332" ht="46.25" customHeight="1" s="22">
      <c r="A332" s="36">
        <f>"B"&amp;TEXT(ROW()-1,"0000")</f>
        <v/>
      </c>
      <c r="B332" s="38" t="inlineStr">
        <is>
          <t>Planned</t>
        </is>
      </c>
      <c r="C332" s="36" t="n">
        <v>3</v>
      </c>
      <c r="D332" s="36" t="inlineStr">
        <is>
          <t>Car insurance</t>
        </is>
      </c>
      <c r="E332" s="36" t="inlineStr">
        <is>
          <t>Theft &amp; vehicles</t>
        </is>
      </c>
      <c r="F332" s="25" t="inlineStr">
        <is>
          <t>Are Electric Cars More Expensive to Insure in Canada?</t>
        </is>
      </c>
      <c r="G332" s="36" t="inlineStr">
        <is>
          <t>https://instasure.ca/guides/are-electric-cars-more-expensive-to-insure/</t>
        </is>
      </c>
      <c r="H332" s="36" t="inlineStr">
        <is>
          <t>are electric cars more expensive to insure</t>
        </is>
      </c>
      <c r="I332" s="41">
        <f>IFERROR(INDEX('Nationwide KWs'!$D$2:$D$168,MATCH(H332,'Nationwide KWs'!$A$2:$A$168,0)),IFERROR(INDEX('Provincial KWs'!$E$2:$E$137,MATCH(H332,'Provincial KWs'!$A$2:$A$137,0)),IFERROR(INDEX('City KWs'!$F$2:$F$419,MATCH(H332,'City KWs'!$A$2:$A$419,0)),"")))</f>
        <v/>
      </c>
      <c r="J332" s="36" t="inlineStr">
        <is>
          <t>Low</t>
        </is>
      </c>
      <c r="K332" s="25" t="inlineStr">
        <is>
          <t>tesla insurance canada; ev insurance cost canada; hybrid car insurance; ev battery damage insurance; home charger insurance</t>
        </is>
      </c>
      <c r="L332" s="36" t="inlineStr">
        <is>
          <t>Nationwide</t>
        </is>
      </c>
      <c r="M332" s="36" t="inlineStr">
        <is>
          <t>commercial</t>
        </is>
      </c>
      <c r="N332" s="36" t="inlineStr">
        <is>
          <t>MOFU</t>
        </is>
      </c>
      <c r="O332" s="25" t="inlineStr">
        <is>
          <t>Are Electric Cars More Expensive to Insure? Canada Guide</t>
        </is>
      </c>
      <c r="P332" s="36">
        <f>LEN(O332)</f>
        <v/>
      </c>
      <c r="Q332" s="25" t="inlineStr">
        <is>
          <t>Are electric cars more expensive to insure? Why repairs and batteries push EV premiums up, with Tesla and hybrid examples and discounts. Get an estimate.</t>
        </is>
      </c>
      <c r="R332" s="36">
        <f>LEN(Q332)</f>
        <v/>
      </c>
      <c r="S332" s="36">
        <f>IF(H332="","",IF(ISNUMBER(SEARCH(SUBSTITUTE(H332,"-"," "),SUBSTITUTE(O332,"-"," "))),"Yes","Check"))</f>
        <v/>
      </c>
      <c r="T332" s="25" t="inlineStr">
        <is>
          <t>Do electric cars cost more to insure? | Why EV repairs and batteries change the price | Tesla, hybrid and other EV examples (dated table) | EV and green-vehicle discounts | Battery damage, charging cables and home chargers | Tips for lowering EV insurance</t>
        </is>
      </c>
      <c r="U332" s="25" t="inlineStr">
        <is>
          <t>Is Tesla insurance expensive in Canada? | Are hybrids cheaper to insure than EVs? | Does car insurance cover EV battery damage? | Is a home EV charger covered by home insurance?</t>
        </is>
      </c>
      <c r="V332" s="25" t="inlineStr">
        <is>
          <t>Table comparing estimate ranges for five EVs or hybrids against gas equivalents for one stated profile, plus a coverage checklist for batteries, cables and wall chargers.</t>
        </is>
      </c>
      <c r="W332" s="25" t="inlineStr">
        <is>
          <t>/car-insurance/electric-and-hybrid/; /car-insurance/; /home-insurance/; /guides/cheapest-cars-to-insure-canada/</t>
        </is>
      </c>
      <c r="X332" s="25" t="inlineStr">
        <is>
          <t>Instant car insurance estimate (/quote/car-insurance/)</t>
        </is>
      </c>
      <c r="Y332" s="36" t="inlineStr">
        <is>
          <t>Article; FAQPage; BreadcrumbList</t>
        </is>
      </c>
      <c r="Z332" s="37" t="n">
        <v>1500</v>
      </c>
      <c r="AA332" s="25" t="inlineStr">
        <is>
          <t>Ratehub has electric and hybrid quote pages without model comparisons; Rates.ca lists hybrid as a guide topic only.</t>
        </is>
      </c>
      <c r="AB332" s="25" t="inlineStr">
        <is>
          <t>Focus keyword in H1, slug, meta title, first 100 words and first H2; the 40-60 word answer gives the usual direction and the repair-cost reason. Use the EV vs gas table, link the EV service page with 'electric and hybrid car insurance' anchor, and add a charger photo (alt: 'home EV charger and insurance coverage'). Refresh twice a year.</t>
        </is>
      </c>
      <c r="AC332" s="25" t="inlineStr">
        <is>
          <t>Label model estimates as modelled, with profile and date. Verify any EV discount claim against insurer pages and do not name a specific insurer's discount without a source.</t>
        </is>
      </c>
      <c r="AD332" s="36" t="inlineStr">
        <is>
          <t>Semi-annual</t>
        </is>
      </c>
      <c r="AE332" s="38" t="n"/>
      <c r="AF332" s="38" t="n"/>
      <c r="AG332" s="38" t="n"/>
    </row>
    <row r="333" ht="46.25" customHeight="1" s="22">
      <c r="A333" s="36">
        <f>"B"&amp;TEXT(ROW()-1,"0000")</f>
        <v/>
      </c>
      <c r="B333" s="38" t="inlineStr">
        <is>
          <t>Planned</t>
        </is>
      </c>
      <c r="C333" s="36" t="n">
        <v>4</v>
      </c>
      <c r="D333" s="36" t="inlineStr">
        <is>
          <t>Car insurance</t>
        </is>
      </c>
      <c r="E333" s="36" t="inlineStr">
        <is>
          <t>Comparisons</t>
        </is>
      </c>
      <c r="F333" s="25" t="inlineStr">
        <is>
          <t>Best Car Insurance Companies in Canada: Ranked by a Published Method</t>
        </is>
      </c>
      <c r="G333" s="36" t="inlineStr">
        <is>
          <t>https://instasure.ca/guides/best-car-insurance-companies-canada/</t>
        </is>
      </c>
      <c r="H333" s="36" t="inlineStr">
        <is>
          <t>best car insurance companies canada</t>
        </is>
      </c>
      <c r="I333" s="41">
        <f>IFERROR(INDEX('Nationwide KWs'!$D$2:$D$168,MATCH(H333,'Nationwide KWs'!$A$2:$A$168,0)),IFERROR(INDEX('Provincial KWs'!$E$2:$E$137,MATCH(H333,'Provincial KWs'!$A$2:$A$137,0)),IFERROR(INDEX('City KWs'!$F$2:$F$419,MATCH(H333,'City KWs'!$A$2:$A$419,0)),"")))</f>
        <v/>
      </c>
      <c r="J333" s="36" t="inlineStr">
        <is>
          <t>Medium</t>
        </is>
      </c>
      <c r="K333" s="25" t="inlineStr">
        <is>
          <t>top car insurance companies canada; car insurance company ratings canada; car insurance companies ontario; largest car insurance companies canada; car insurance customer satisfaction canada</t>
        </is>
      </c>
      <c r="L333" s="36" t="inlineStr">
        <is>
          <t>Nationwide</t>
        </is>
      </c>
      <c r="M333" s="36" t="inlineStr">
        <is>
          <t>commercial</t>
        </is>
      </c>
      <c r="N333" s="36" t="inlineStr">
        <is>
          <t>MOFU</t>
        </is>
      </c>
      <c r="O333" s="25" t="inlineStr">
        <is>
          <t>Best Car Insurance Companies in Canada: Our Ranking Method</t>
        </is>
      </c>
      <c r="P333" s="36">
        <f>LEN(O333)</f>
        <v/>
      </c>
      <c r="Q333" s="25" t="inlineStr">
        <is>
          <t>Best car insurance companies in Canada ranked by a published method: provinces served, coverage, claims and complaint evidence, all dated. See results.</t>
        </is>
      </c>
      <c r="R333" s="36">
        <f>LEN(Q333)</f>
        <v/>
      </c>
      <c r="S333" s="36">
        <f>IF(H333="","",IF(ISNUMBER(SEARCH(SUBSTITUTE(H333,"-"," "),SUBSTITUTE(O333,"-"," "))),"Yes","Check"))</f>
        <v/>
      </c>
      <c r="T333" s="25" t="inlineStr">
        <is>
          <t>Which car insurance companies rank highest in Canada? | Our ranking method and weights | Rankings by province | Results by category: claims, coverage options and digital service | Largest insurers by market share | How to use this ranking when you shop</t>
        </is>
      </c>
      <c r="U333" s="25" t="inlineStr">
        <is>
          <t>Who is the largest car insurance company in Canada? | How were these insurers ranked? | Is the cheapest insurer the best one for me? | Do rankings differ by province?</t>
        </is>
      </c>
      <c r="V333" s="25" t="inlineStr">
        <is>
          <t>Published ranking method (criteria, weights and data sources such as complaint volumes, ombudsman data, financial strength and coverage options) with a province-by-province results table and review date.</t>
        </is>
      </c>
      <c r="W333" s="25" t="inlineStr">
        <is>
          <t>/editorial-guidelines/; /how-we-make-money/; /compare/; /car-insurance/; /guides/sonnet-insurance-review/</t>
        </is>
      </c>
      <c r="X333" s="25" t="inlineStr">
        <is>
          <t>Instant car insurance estimate (/quote/car-insurance/)</t>
        </is>
      </c>
      <c r="Y333" s="36" t="inlineStr">
        <is>
          <t>Article; FAQPage; BreadcrumbList</t>
        </is>
      </c>
      <c r="Z333" s="37" t="n">
        <v>2800</v>
      </c>
      <c r="AA333" s="25" t="inlineStr">
        <is>
          <t>Ratehub's blog, MyChoice, MoneyGeek and Wealthnorth publish 'best' lists without a transparent method; the keyword map notes a published methodology is required first (Competition Act, RIBO).</t>
        </is>
      </c>
      <c r="AB333" s="25" t="inlineStr">
        <is>
          <t>Focus keyword in H1, slug, meta title, first 100 words and first H2; the 40-60 word answer names the method and the top-ranked insurers per the method only. Put the method above the results, link each insurer review and the editorial guidelines, and refresh annually.</t>
        </is>
      </c>
      <c r="AC333" s="25" t="inlineStr">
        <is>
          <t>Do not publish until the ranking methodology is live and legal-reviewed; use 'best' only within the method's scope. Disclose commercial relationships and use no ratings from unverified sources.</t>
        </is>
      </c>
      <c r="AD333" s="36" t="inlineStr">
        <is>
          <t>Annual</t>
        </is>
      </c>
      <c r="AE333" s="38" t="n"/>
      <c r="AF333" s="38" t="n"/>
      <c r="AG333" s="38" t="n"/>
    </row>
    <row r="334" ht="46.25" customHeight="1" s="22">
      <c r="A334" s="36">
        <f>"B"&amp;TEXT(ROW()-1,"0000")</f>
        <v/>
      </c>
      <c r="B334" s="38" t="inlineStr">
        <is>
          <t>Planned</t>
        </is>
      </c>
      <c r="C334" s="36" t="n">
        <v>4</v>
      </c>
      <c r="D334" s="36" t="inlineStr">
        <is>
          <t>Car insurance</t>
        </is>
      </c>
      <c r="E334" s="36" t="inlineStr">
        <is>
          <t>Comparisons</t>
        </is>
      </c>
      <c r="F334" s="25" t="inlineStr">
        <is>
          <t>Intact Insurance Review: Car Coverage, Claims and How to Buy</t>
        </is>
      </c>
      <c r="G334" s="36" t="inlineStr">
        <is>
          <t>https://instasure.ca/guides/intact-insurance-review/</t>
        </is>
      </c>
      <c r="H334" s="36" t="inlineStr">
        <is>
          <t>intact insurance review</t>
        </is>
      </c>
      <c r="I334" s="41">
        <f>IFERROR(INDEX('Nationwide KWs'!$D$2:$D$168,MATCH(H334,'Nationwide KWs'!$A$2:$A$168,0)),IFERROR(INDEX('Provincial KWs'!$E$2:$E$137,MATCH(H334,'Provincial KWs'!$A$2:$A$137,0)),IFERROR(INDEX('City KWs'!$F$2:$F$419,MATCH(H334,'City KWs'!$A$2:$A$419,0)),"")))</f>
        <v/>
      </c>
      <c r="J334" s="36" t="inlineStr">
        <is>
          <t>Low</t>
        </is>
      </c>
      <c r="K334" s="25" t="inlineStr">
        <is>
          <t>intact car insurance review; intact my drive review; intact insurance claims review; is intact insurance good</t>
        </is>
      </c>
      <c r="L334" s="36" t="inlineStr">
        <is>
          <t>Nationwide</t>
        </is>
      </c>
      <c r="M334" s="36" t="inlineStr">
        <is>
          <t>commercial</t>
        </is>
      </c>
      <c r="N334" s="36" t="inlineStr">
        <is>
          <t>MOFU</t>
        </is>
      </c>
      <c r="O334" s="25" t="inlineStr">
        <is>
          <t>Intact Insurance Review: Car Coverage, Claims and Buying</t>
        </is>
      </c>
      <c r="P334" s="36">
        <f>LEN(O334)</f>
        <v/>
      </c>
      <c r="Q334" s="25" t="inlineStr">
        <is>
          <t>Intact insurance review using our published method: car coverage options, broker distribution, telematics and claims evidence. See who it suits.</t>
        </is>
      </c>
      <c r="R334" s="36">
        <f>LEN(Q334)</f>
        <v/>
      </c>
      <c r="S334" s="36">
        <f>IF(H334="","",IF(ISNUMBER(SEARCH(SUBSTITUTE(H334,"-"," "),SUBSTITUTE(O334,"-"," "))),"Yes","Check"))</f>
        <v/>
      </c>
      <c r="T334" s="25" t="inlineStr">
        <is>
          <t>Intact insurance review: the short answer | How we review insurers | How Intact is sold and in which provinces | Coverage options and telematics | Claims and complaints evidence | Who Intact may suit, and alternatives</t>
        </is>
      </c>
      <c r="U334" s="25" t="inlineStr">
        <is>
          <t>Is Intact a good car insurance company? | Can I buy Intact directly? | Does Intact offer usage-based insurance? | Is belairdirect part of Intact?</t>
        </is>
      </c>
      <c r="V334" s="25" t="inlineStr">
        <is>
          <t>Scorecard against the published review method with dated sources (coverage options, provinces, distribution, complaint and ombudsman data), plus a 'who it suits' matrix.</t>
        </is>
      </c>
      <c r="W334" s="25" t="inlineStr">
        <is>
          <t>/editorial-guidelines/; /how-we-make-money/; /guides/intact-vs-aviva-car-insurance/; /car-insurance/</t>
        </is>
      </c>
      <c r="X334" s="25" t="inlineStr">
        <is>
          <t>Compare Intact with other insurers (/quote/car-insurance/)</t>
        </is>
      </c>
      <c r="Y334" s="36" t="inlineStr">
        <is>
          <t>Article; FAQPage; BreadcrumbList</t>
        </is>
      </c>
      <c r="Z334" s="37" t="n">
        <v>1600</v>
      </c>
      <c r="AA334" s="25" t="inlineStr">
        <is>
          <t>Ratehub and Rates.ca run Intact company pages; neither publishes a scored review method.</t>
        </is>
      </c>
      <c r="AB334" s="25" t="inlineStr">
        <is>
          <t>Focus keyword in H1, slug, meta title, first 100 words and first H2; the 40-60 word answer covers how Intact is sold and its main features. Use the scorecard, link the Intact vs Aviva comparison, and refresh twice a year.</t>
        </is>
      </c>
      <c r="AC334" s="25" t="inlineStr">
        <is>
          <t>Publish only after the review method is live on /editorial-guidelines/ and legally reviewed; no 'better' or 'best' verdict beyond what the method shows. Disclose any commercial relationship with the insurers named and verify every product claim on the insurer's own pages with a date.</t>
        </is>
      </c>
      <c r="AD334" s="36" t="inlineStr">
        <is>
          <t>Semi-annual</t>
        </is>
      </c>
      <c r="AE334" s="38" t="n"/>
      <c r="AF334" s="38" t="n"/>
      <c r="AG334" s="38" t="n"/>
    </row>
    <row r="335" ht="35.05" customHeight="1" s="22">
      <c r="A335" s="36">
        <f>"B"&amp;TEXT(ROW()-1,"0000")</f>
        <v/>
      </c>
      <c r="B335" s="38" t="inlineStr">
        <is>
          <t>Planned</t>
        </is>
      </c>
      <c r="C335" s="36" t="n">
        <v>4</v>
      </c>
      <c r="D335" s="36" t="inlineStr">
        <is>
          <t>Car insurance</t>
        </is>
      </c>
      <c r="E335" s="36" t="inlineStr">
        <is>
          <t>Regulation</t>
        </is>
      </c>
      <c r="F335" s="25" t="inlineStr">
        <is>
          <t>ICBC Enhanced Care Explained: Injury Benefits and the Right to Sue</t>
        </is>
      </c>
      <c r="G335" s="36" t="inlineStr">
        <is>
          <t>https://instasure.ca/guides/icbc-enhanced-care-explained/</t>
        </is>
      </c>
      <c r="H335" s="36" t="inlineStr">
        <is>
          <t>icbc enhanced care</t>
        </is>
      </c>
      <c r="I335" s="41">
        <f>IFERROR(INDEX('Nationwide KWs'!$D$2:$D$168,MATCH(H335,'Nationwide KWs'!$A$2:$A$168,0)),IFERROR(INDEX('Provincial KWs'!$E$2:$E$137,MATCH(H335,'Provincial KWs'!$A$2:$A$137,0)),IFERROR(INDEX('City KWs'!$F$2:$F$419,MATCH(H335,'City KWs'!$A$2:$A$419,0)),"")))</f>
        <v/>
      </c>
      <c r="J335" s="36" t="inlineStr">
        <is>
          <t>Low</t>
        </is>
      </c>
      <c r="K335" s="25" t="inlineStr">
        <is>
          <t>bc no fault insurance; icbc injury benefits; can you sue after a car accident in bc; icbc enhanced accident benefits; icbc income replacement</t>
        </is>
      </c>
      <c r="L335" s="36" t="inlineStr">
        <is>
          <t>Province: British Columbia</t>
        </is>
      </c>
      <c r="M335" s="36" t="inlineStr">
        <is>
          <t>informational</t>
        </is>
      </c>
      <c r="N335" s="36" t="inlineStr">
        <is>
          <t>TOFU</t>
        </is>
      </c>
      <c r="O335" s="25" t="inlineStr">
        <is>
          <t>ICBC Enhanced Care Explained: BC Injury Benefits and Suing</t>
        </is>
      </c>
      <c r="P335" s="36">
        <f>LEN(O335)</f>
        <v/>
      </c>
      <c r="Q335" s="25" t="inlineStr">
        <is>
          <t>ICBC Enhanced Care explained: what BC's no-fault model pays after a crash, the few cases where you can still sue and where optional cover fits. Read on.</t>
        </is>
      </c>
      <c r="R335" s="36">
        <f>LEN(Q335)</f>
        <v/>
      </c>
      <c r="S335" s="36">
        <f>IF(H335="","",IF(ISNUMBER(SEARCH(SUBSTITUTE(H335,"-"," "),SUBSTITUTE(O335,"-"," "))),"Yes","Check"))</f>
        <v/>
      </c>
      <c r="T335" s="25" t="inlineStr">
        <is>
          <t>What is ICBC Enhanced Care? | Injury benefits: medical, income and care | Can you still sue after a crash in BC? | How fault still affects your premium | What Enhanced Care doesn't cover outside BC | Where optional and private coverage fits</t>
        </is>
      </c>
      <c r="U335" s="25" t="inlineStr">
        <is>
          <t>Can I sue after a car accident in BC? | Does ICBC Enhanced Care cover me in the US? | How much income replacement does ICBC pay? | Is Enhanced Care the same as Basic Autoplan?</t>
        </is>
      </c>
      <c r="V335" s="25" t="inlineStr">
        <is>
          <t>Before-and-after table (pre-May 2021 tort model vs Enhanced Care) and a benefit summary linked to ICBC sources, plus an out-of-province travel note.</t>
        </is>
      </c>
      <c r="W335" s="25" t="inlineStr">
        <is>
          <t>/car-insurance/british-columbia/; /guides/icbc-optional-insurance-explained/; /car-insurance/british-columbia/vancouver/; /guides/does-canadian-car-insurance-cover-usa/</t>
        </is>
      </c>
      <c r="X335" s="25" t="inlineStr">
        <is>
          <t>Talk to a licensed advisor in BC (/car-insurance/british-columbia/)</t>
        </is>
      </c>
      <c r="Y335" s="36" t="inlineStr">
        <is>
          <t>Article; FAQPage; BreadcrumbList</t>
        </is>
      </c>
      <c r="Z335" s="37" t="n">
        <v>1400</v>
      </c>
      <c r="AA335" s="25" t="inlineStr">
        <is>
          <t>ICBC and BC law firms explain Enhanced Care; aggregators (Ratehub's BC page) do not, and no competitor links it to optional-coverage choices. Distinct from our ICBC optional guide, which covers add-ons.</t>
        </is>
      </c>
      <c r="AB335" s="25" t="inlineStr">
        <is>
          <t>Focus keyword in H1, slug, meta title, first 100 words and first H2; the 40-60 word answer defines Enhanced Care and the start date. Use the before-and-after table, link 'optional coverage' to the ICBC optional guide, and cite icbc.com. Update on any ICBC rule change.</t>
        </is>
      </c>
      <c r="AC335" s="25" t="inlineStr">
        <is>
          <t>Verify the Enhanced Care start date (May 1, 2021), benefit amounts and the exceptions to the no-suing rule at icbc.com. Give no legal advice.</t>
        </is>
      </c>
      <c r="AD335" s="36" t="inlineStr">
        <is>
          <t>On rule change</t>
        </is>
      </c>
      <c r="AE335" s="38" t="n"/>
      <c r="AF335" s="38" t="n"/>
      <c r="AG335" s="38" t="n"/>
    </row>
    <row r="336" ht="35.05" customHeight="1" s="22">
      <c r="A336" s="36">
        <f>"B"&amp;TEXT(ROW()-1,"0000")</f>
        <v/>
      </c>
      <c r="B336" s="38" t="inlineStr">
        <is>
          <t>Planned</t>
        </is>
      </c>
      <c r="C336" s="36" t="n">
        <v>4</v>
      </c>
      <c r="D336" s="36" t="inlineStr">
        <is>
          <t>Car insurance</t>
        </is>
      </c>
      <c r="E336" s="36" t="inlineStr">
        <is>
          <t>Regulation</t>
        </is>
      </c>
      <c r="F336" s="25" t="inlineStr">
        <is>
          <t>MPI Autopac Optional Coverage Explained: What to Add in Manitoba</t>
        </is>
      </c>
      <c r="G336" s="36" t="inlineStr">
        <is>
          <t>https://instasure.ca/guides/mpi-autopac-optional-coverage-explained/</t>
        </is>
      </c>
      <c r="H336" s="36" t="inlineStr">
        <is>
          <t>mpi optional insurance</t>
        </is>
      </c>
      <c r="I336" s="41">
        <f>IFERROR(INDEX('Nationwide KWs'!$D$2:$D$168,MATCH(H336,'Nationwide KWs'!$A$2:$A$168,0)),IFERROR(INDEX('Provincial KWs'!$E$2:$E$137,MATCH(H336,'Provincial KWs'!$A$2:$A$137,0)),IFERROR(INDEX('City KWs'!$F$2:$F$419,MATCH(H336,'City KWs'!$A$2:$A$419,0)),"")))</f>
        <v/>
      </c>
      <c r="J336" s="36" t="inlineStr">
        <is>
          <t>Low</t>
        </is>
      </c>
      <c r="K336" s="25" t="inlineStr">
        <is>
          <t>autopac extension coverage; mpi basic autopac coverage; manitoba car insurance deductible; private extension insurance manitoba; mpi driver safety rating</t>
        </is>
      </c>
      <c r="L336" s="36" t="inlineStr">
        <is>
          <t>Province: Manitoba</t>
        </is>
      </c>
      <c r="M336" s="36" t="inlineStr">
        <is>
          <t>informational</t>
        </is>
      </c>
      <c r="N336" s="36" t="inlineStr">
        <is>
          <t>MOFU</t>
        </is>
      </c>
      <c r="O336" s="25" t="inlineStr">
        <is>
          <t>MPI Optional Insurance: Autopac Extension Coverage Explained</t>
        </is>
      </c>
      <c r="P336" s="36">
        <f>LEN(O336)</f>
        <v/>
      </c>
      <c r="Q336" s="25" t="inlineStr">
        <is>
          <t>MPI optional insurance explained: what Basic Autopac covers, which Extension options cut your deductible or add liability, and what to add. See the table.</t>
        </is>
      </c>
      <c r="R336" s="36">
        <f>LEN(Q336)</f>
        <v/>
      </c>
      <c r="S336" s="36">
        <f>IF(H336="","",IF(ISNUMBER(SEARCH(SUBSTITUTE(H336,"-"," "),SUBSTITUTE(O336,"-"," "))),"Yes","Check"))</f>
        <v/>
      </c>
      <c r="T336" s="25" t="inlineStr">
        <is>
          <t>What does MPI Basic Autopac cover? | Autopac Extension: deductible, liability and loss-of-use options | Driver Safety Rating and your premium | Can you buy optional coverage privately in Manitoba? | Coverage checklist by driver type | How to change coverage at renewal</t>
        </is>
      </c>
      <c r="U336" s="25" t="inlineStr">
        <is>
          <t>Is MPI extension coverage worth it? | What is the Basic Autopac deductible? | Can I buy car insurance in Manitoba from a private company? | How does the Driver Safety Rating work?</t>
        </is>
      </c>
      <c r="V336" s="25" t="inlineStr">
        <is>
          <t>Table of Basic Autopac vs each Extension option (what it adds, who it suits) with MPI source links, plus a renewal checklist, in the style of our ICBC optional guide.</t>
        </is>
      </c>
      <c r="W336" s="25" t="inlineStr">
        <is>
          <t>/car-insurance/manitoba/; /car-insurance/manitoba/winnipeg/; /insurance/manitoba/; /guides/icbc-optional-insurance-explained/</t>
        </is>
      </c>
      <c r="X336" s="25" t="inlineStr">
        <is>
          <t>Talk to a licensed advisor in Manitoba (/car-insurance/manitoba/)</t>
        </is>
      </c>
      <c r="Y336" s="36" t="inlineStr">
        <is>
          <t>Article; FAQPage; BreadcrumbList</t>
        </is>
      </c>
      <c r="Z336" s="37" t="n">
        <v>1400</v>
      </c>
      <c r="AA336" s="25" t="inlineStr">
        <is>
          <t>No competitor coverage seen beyond Ratehub's thin Manitoba page and MPI's own site.</t>
        </is>
      </c>
      <c r="AB336" s="25" t="inlineStr">
        <is>
          <t>Focus keyword in H1, slug, meta title, first 100 words and first H2; the 40-60 word answer explains Basic vs Extension. Mirror the ICBC guide's structure and link to it with 'ICBC optional insurance' anchor, cite MPI pages, and review annually after MPI's rate decision.</t>
        </is>
      </c>
      <c r="AC336" s="25" t="inlineStr">
        <is>
          <t>Verify the Basic deductible, liability amounts, Extension products and whether private insurers may sell optional auto in Manitoba against MPI and PUB sources. Manitoba lead value is low, so keep claims general.</t>
        </is>
      </c>
      <c r="AD336" s="36" t="inlineStr">
        <is>
          <t>Annual</t>
        </is>
      </c>
      <c r="AE336" s="38" t="n"/>
      <c r="AF336" s="38" t="n"/>
      <c r="AG336" s="38" t="n"/>
    </row>
    <row r="337" ht="35.05" customHeight="1" s="22">
      <c r="A337" s="36">
        <f>"B"&amp;TEXT(ROW()-1,"0000")</f>
        <v/>
      </c>
      <c r="B337" s="38" t="inlineStr">
        <is>
          <t>Planned</t>
        </is>
      </c>
      <c r="C337" s="36" t="n">
        <v>4</v>
      </c>
      <c r="D337" s="36" t="inlineStr">
        <is>
          <t>Car insurance</t>
        </is>
      </c>
      <c r="E337" s="36" t="inlineStr">
        <is>
          <t>Regulation</t>
        </is>
      </c>
      <c r="F337" s="25" t="inlineStr">
        <is>
          <t>SAAQ and Quebec Car Insurance Explained in English</t>
        </is>
      </c>
      <c r="G337" s="36" t="inlineStr">
        <is>
          <t>https://instasure.ca/guides/saaq-quebec-car-insurance-explained/</t>
        </is>
      </c>
      <c r="H337" s="36" t="inlineStr">
        <is>
          <t>saaq car insurance</t>
        </is>
      </c>
      <c r="I337" s="41">
        <f>IFERROR(INDEX('Nationwide KWs'!$D$2:$D$168,MATCH(H337,'Nationwide KWs'!$A$2:$A$168,0)),IFERROR(INDEX('Provincial KWs'!$E$2:$E$137,MATCH(H337,'Provincial KWs'!$A$2:$A$137,0)),IFERROR(INDEX('City KWs'!$F$2:$F$419,MATCH(H337,'City KWs'!$A$2:$A$419,0)),"")))</f>
        <v/>
      </c>
      <c r="J337" s="36" t="inlineStr">
        <is>
          <t>Medium</t>
        </is>
      </c>
      <c r="K337" s="25" t="inlineStr">
        <is>
          <t>how does car insurance work in quebec; quebec public auto insurance; saaq injury coverage; car insurance quebec civil liability; moving to quebec car insurance</t>
        </is>
      </c>
      <c r="L337" s="36" t="inlineStr">
        <is>
          <t>Province: Quebec</t>
        </is>
      </c>
      <c r="M337" s="36" t="inlineStr">
        <is>
          <t>informational</t>
        </is>
      </c>
      <c r="N337" s="36" t="inlineStr">
        <is>
          <t>TOFU</t>
        </is>
      </c>
      <c r="O337" s="25" t="inlineStr">
        <is>
          <t>SAAQ Car Insurance Explained: How Quebec's System Works</t>
        </is>
      </c>
      <c r="P337" s="36">
        <f>LEN(O337)</f>
        <v/>
      </c>
      <c r="Q337" s="25" t="inlineStr">
        <is>
          <t>SAAQ car insurance explained in English: what Quebec's public plan pays for injuries, what private insurers cover and what movers should know. Read on.</t>
        </is>
      </c>
      <c r="R337" s="36">
        <f>LEN(Q337)</f>
        <v/>
      </c>
      <c r="S337" s="36">
        <f>IF(H337="","",IF(ISNUMBER(SEARCH(SUBSTITUTE(H337,"-"," "),SUBSTITUTE(O337,"-"," "))),"Yes","Check"))</f>
        <v/>
      </c>
      <c r="T337" s="25" t="inlineStr">
        <is>
          <t>How does car insurance work in Quebec? | What the SAAQ covers: bodily injury | What private insurers cover: civil liability and damage | Driving outside Quebec: what changes | Moving to or from Quebec | How Quebec premiums compare with other provinces</t>
        </is>
      </c>
      <c r="U337" s="25" t="inlineStr">
        <is>
          <t>Is the SAAQ the same as car insurance? | Do I need private car insurance in Quebec? | Does the SAAQ cover me outside Quebec? | Why is car insurance cheaper in Quebec?</t>
        </is>
      </c>
      <c r="V337" s="25" t="inlineStr">
        <is>
          <t>Two-column table of SAAQ vs private coverage with SAAQ source links, plus a checklist for people moving to or from Quebec.</t>
        </is>
      </c>
      <c r="W337" s="25" t="inlineStr">
        <is>
          <t>/car-insurance/quebec/; /insurance/quebec/; /guides/moving-provinces-car-insurance/; /guides/average-car-insurance-cost-canada-by-province/</t>
        </is>
      </c>
      <c r="X337" s="25" t="inlineStr">
        <is>
          <t>Join the Quebec waitlist (/car-insurance/quebec/)</t>
        </is>
      </c>
      <c r="Y337" s="36" t="inlineStr">
        <is>
          <t>Article; FAQPage; BreadcrumbList</t>
        </is>
      </c>
      <c r="Z337" s="37" t="n">
        <v>1500</v>
      </c>
      <c r="AA337" s="25" t="inlineStr">
        <is>
          <t>Sonnet has three or more SAAQ posts, including 'A complete guide to SAAQ car insurance in Quebec'; English explainers that pair SAAQ with moving guidance are missing.</t>
        </is>
      </c>
      <c r="AB337" s="25" t="inlineStr">
        <is>
          <t>Focus keyword in H1, slug, meta title, first 100 words and first H2; the 40-60 word answer splits injury (SAAQ) from property and liability (private). Keep it English-only, link 'moving' to the moving guide, and cite saaq.gouv.qc.ca. Review annually.</t>
        </is>
      </c>
      <c r="AC337" s="25" t="inlineStr">
        <is>
          <t>English explainer only: no solicitation of Quebec residents until AMF registration, so the CTA goes to the waitlist. Verify SAAQ coverage scope and out-of-province rules at saaq.gouv.qc.ca.</t>
        </is>
      </c>
      <c r="AD337" s="36" t="inlineStr">
        <is>
          <t>Annual</t>
        </is>
      </c>
      <c r="AE337" s="38" t="n"/>
      <c r="AF337" s="38" t="n"/>
      <c r="AG337" s="38" t="n"/>
    </row>
    <row r="338" ht="35.05" customHeight="1" s="22">
      <c r="A338" s="36">
        <f>"B"&amp;TEXT(ROW()-1,"0000")</f>
        <v/>
      </c>
      <c r="B338" s="38" t="inlineStr">
        <is>
          <t>Planned</t>
        </is>
      </c>
      <c r="C338" s="36" t="n">
        <v>4</v>
      </c>
      <c r="D338" s="36" t="inlineStr">
        <is>
          <t>Car insurance</t>
        </is>
      </c>
      <c r="E338" s="36" t="inlineStr">
        <is>
          <t>Regulation</t>
        </is>
      </c>
      <c r="F338" s="25" t="inlineStr">
        <is>
          <t>SGI Auto Fund and Optional Coverage: What to Add in Saskatchewan</t>
        </is>
      </c>
      <c r="G338" s="36" t="inlineStr">
        <is>
          <t>https://instasure.ca/guides/sgi-auto-fund-optional-coverage-explained/</t>
        </is>
      </c>
      <c r="H338" s="36" t="inlineStr">
        <is>
          <t>sgi auto fund optional coverage</t>
        </is>
      </c>
      <c r="I338" s="41">
        <f>IFERROR(INDEX('Nationwide KWs'!$D$2:$D$168,MATCH(H338,'Nationwide KWs'!$A$2:$A$168,0)),IFERROR(INDEX('Provincial KWs'!$E$2:$E$137,MATCH(H338,'Provincial KWs'!$A$2:$A$137,0)),IFERROR(INDEX('City KWs'!$F$2:$F$419,MATCH(H338,'City KWs'!$A$2:$A$419,0)),"")))</f>
        <v/>
      </c>
      <c r="J338" s="36" t="inlineStr">
        <is>
          <t>Low</t>
        </is>
      </c>
      <c r="K338" s="25" t="inlineStr">
        <is>
          <t>sgi package policy; sgi canada auto pac; saskatchewan car insurance deductible; sgi safe driver recognition; no fault vs tort saskatchewan</t>
        </is>
      </c>
      <c r="L338" s="36" t="inlineStr">
        <is>
          <t>Province: Saskatchewan</t>
        </is>
      </c>
      <c r="M338" s="36" t="inlineStr">
        <is>
          <t>informational</t>
        </is>
      </c>
      <c r="N338" s="36" t="inlineStr">
        <is>
          <t>MOFU</t>
        </is>
      </c>
      <c r="O338" s="25" t="inlineStr">
        <is>
          <t>SGI Auto Fund Optional Coverage: Saskatchewan Explained</t>
        </is>
      </c>
      <c r="P338" s="36">
        <f>LEN(O338)</f>
        <v/>
      </c>
      <c r="Q338" s="25" t="inlineStr">
        <is>
          <t>SGI Auto Fund optional coverage explained: what basic plate insurance covers, package policies that cut your deductible and the tort choice. See the table.</t>
        </is>
      </c>
      <c r="R338" s="36">
        <f>LEN(Q338)</f>
        <v/>
      </c>
      <c r="S338" s="36">
        <f>IF(H338="","",IF(ISNUMBER(SEARCH(SUBSTITUTE(H338,"-"," "),SUBSTITUTE(O338,"-"," "))),"Yes","Check"))</f>
        <v/>
      </c>
      <c r="T338" s="25" t="inlineStr">
        <is>
          <t>What does SGI Auto Fund basic insurance cover? | Package policies: lowering the deductible and adding liability | No-fault vs tort: the Saskatchewan choice | Safe Driver Recognition and the driver scale | Who sells optional coverage in Saskatchewan | Renewal checklist</t>
        </is>
      </c>
      <c r="U338" s="25" t="inlineStr">
        <is>
          <t>Do I need a package policy on top of SGI basic? | What is the SGI deductible? | Should I choose tort or no-fault in Saskatchewan? | Can private insurers sell car insurance in Saskatchewan?</t>
        </is>
      </c>
      <c r="V338" s="25" t="inlineStr">
        <is>
          <t>Table comparing basic Auto Fund coverage, typical package additions and the no-fault vs tort options, each linked to SGI pages, plus a renewal checklist.</t>
        </is>
      </c>
      <c r="W338" s="25" t="inlineStr">
        <is>
          <t>/car-insurance/saskatchewan/; /car-insurance/saskatchewan/saskatoon/; /car-insurance/saskatchewan/regina/; /insurance/saskatchewan/</t>
        </is>
      </c>
      <c r="X338" s="25" t="inlineStr">
        <is>
          <t>Talk to a licensed advisor in Saskatchewan (/car-insurance/saskatchewan/)</t>
        </is>
      </c>
      <c r="Y338" s="36" t="inlineStr">
        <is>
          <t>Article; FAQPage; BreadcrumbList</t>
        </is>
      </c>
      <c r="Z338" s="37" t="n">
        <v>1400</v>
      </c>
      <c r="AA338" s="25" t="inlineStr">
        <is>
          <t>No competitor coverage seen beyond Ratehub's thin Saskatchewan page and SGI's own site.</t>
        </is>
      </c>
      <c r="AB338" s="25" t="inlineStr">
        <is>
          <t>Focus keyword in H1, slug, meta title, first 100 words and first H2; the 40-60 word answer explains plate insurance vs package. Use the comparison table, link Saskatoon and Regina pages with 'car insurance in {City}' anchors, and cite SGI. Review annually.</t>
        </is>
      </c>
      <c r="AC338" s="25" t="inlineStr">
        <is>
          <t>Verify the basic deductible, liability amounts, tort-option rules and who sells package policies against SGI sources. Do not recommend tort or no-fault for any reader.</t>
        </is>
      </c>
      <c r="AD338" s="36" t="inlineStr">
        <is>
          <t>Annual</t>
        </is>
      </c>
      <c r="AE338" s="38" t="n"/>
      <c r="AF338" s="38" t="n"/>
      <c r="AG338" s="38" t="n"/>
    </row>
    <row r="339" ht="35.05" customHeight="1" s="22">
      <c r="A339" s="36">
        <f>"B"&amp;TEXT(ROW()-1,"0000")</f>
        <v/>
      </c>
      <c r="B339" s="38" t="inlineStr">
        <is>
          <t>Planned</t>
        </is>
      </c>
      <c r="C339" s="36" t="n">
        <v>4</v>
      </c>
      <c r="D339" s="36" t="inlineStr">
        <is>
          <t>Car insurance</t>
        </is>
      </c>
      <c r="E339" s="36" t="inlineStr">
        <is>
          <t>Theft &amp; vehicles</t>
        </is>
      </c>
      <c r="F339" s="25" t="inlineStr">
        <is>
          <t>Agreed Value vs Actual Cash Value for Classic Cars</t>
        </is>
      </c>
      <c r="G339" s="36" t="inlineStr">
        <is>
          <t>https://instasure.ca/guides/classic-car-agreed-value-insurance/</t>
        </is>
      </c>
      <c r="H339" s="36" t="inlineStr">
        <is>
          <t>agreed value car insurance</t>
        </is>
      </c>
      <c r="I339" s="41">
        <f>IFERROR(INDEX('Nationwide KWs'!$D$2:$D$168,MATCH(H339,'Nationwide KWs'!$A$2:$A$168,0)),IFERROR(INDEX('Provincial KWs'!$E$2:$E$137,MATCH(H339,'Provincial KWs'!$A$2:$A$137,0)),IFERROR(INDEX('City KWs'!$F$2:$F$419,MATCH(H339,'City KWs'!$A$2:$A$419,0)),"")))</f>
        <v/>
      </c>
      <c r="J339" s="36" t="inlineStr">
        <is>
          <t>Niche</t>
        </is>
      </c>
      <c r="K339" s="25" t="inlineStr">
        <is>
          <t>classic car insurance canada; antique car insurance ontario; collector car appraisal insurance; historic vehicle plates ontario; limited use car insurance</t>
        </is>
      </c>
      <c r="L339" s="36" t="inlineStr">
        <is>
          <t>Nationwide</t>
        </is>
      </c>
      <c r="M339" s="36" t="inlineStr">
        <is>
          <t>commercial</t>
        </is>
      </c>
      <c r="N339" s="36" t="inlineStr">
        <is>
          <t>MOFU</t>
        </is>
      </c>
      <c r="O339" s="25" t="inlineStr">
        <is>
          <t>Agreed Value Car Insurance for Classic Cars in Canada</t>
        </is>
      </c>
      <c r="P339" s="36">
        <f>LEN(O339)</f>
        <v/>
      </c>
      <c r="Q339" s="25" t="inlineStr">
        <is>
          <t>Agreed value car insurance for classic cars explained: how appraisals set the payout, usage and storage rules, and when a collector policy fits. Learn how.</t>
        </is>
      </c>
      <c r="R339" s="36">
        <f>LEN(Q339)</f>
        <v/>
      </c>
      <c r="S339" s="36">
        <f>IF(H339="","",IF(ISNUMBER(SEARCH(SUBSTITUTE(H339,"-"," "),SUBSTITUTE(O339,"-"," "))),"Yes","Check"))</f>
        <v/>
      </c>
      <c r="T339" s="25" t="inlineStr">
        <is>
          <t>What is agreed value car insurance? | Agreed value vs actual cash value: a payout example | Appraisals: who does them and how often | Usage, mileage and storage conditions | Historic plates and provincial rules | Is a collector policy right for your car?</t>
        </is>
      </c>
      <c r="U339" s="25" t="inlineStr">
        <is>
          <t>How do I get an agreed value policy? | Can I drive my classic car every day? | Do I need an appraisal for classic car insurance? | Does a historic plate change my insurance?</t>
        </is>
      </c>
      <c r="V339" s="25" t="inlineStr">
        <is>
          <t>Worked total-loss payout comparing agreed value and actual cash value for a restored car, plus an eligibility checklist (age, storage, other vehicles, mileage).</t>
        </is>
      </c>
      <c r="W339" s="25" t="inlineStr">
        <is>
          <t>/car-insurance/classic-cars/; /car-insurance/; /guides/car-written-off-insurance-payout/; /guides/opcf-endorsements-ontario-list/</t>
        </is>
      </c>
      <c r="X339" s="25" t="inlineStr">
        <is>
          <t>Request an advisor quote: Classic &amp; collector car insurance (/car-insurance/classic-cars/)</t>
        </is>
      </c>
      <c r="Y339" s="36" t="inlineStr">
        <is>
          <t>Article; FAQPage; BreadcrumbList</t>
        </is>
      </c>
      <c r="Z339" s="37" t="n">
        <v>1300</v>
      </c>
      <c r="AA339" s="25" t="inlineStr">
        <is>
          <t>Ratehub has a classic car quote page and Rates.ca lists classic cars as a guide topic; neither shows an agreed vs actual cash value payout example.</t>
        </is>
      </c>
      <c r="AB339" s="25" t="inlineStr">
        <is>
          <t>Focus keyword in H1, slug, meta title, first 100 words and first H2; define agreed value in 40-60 words. Show the payout example as a two-column table, link the classic car service page with 'classic car insurance' anchor, and add a photo (alt: 'restored classic car insured at agreed value'). Review annually.</t>
        </is>
      </c>
      <c r="AC339" s="25" t="inlineStr">
        <is>
          <t>Eligibility rules vary by insurer. Verify Ontario historic vehicle plate rules with ServiceOntario and the agreed-value endorsement (OPCF 19A) with FSRA.</t>
        </is>
      </c>
      <c r="AD339" s="36" t="inlineStr">
        <is>
          <t>Annual</t>
        </is>
      </c>
      <c r="AE339" s="38" t="n"/>
      <c r="AF339" s="38" t="n"/>
      <c r="AG339" s="38" t="n"/>
    </row>
    <row r="340" ht="35.05" customHeight="1" s="22">
      <c r="A340" s="36">
        <f>"B"&amp;TEXT(ROW()-1,"0000")</f>
        <v/>
      </c>
      <c r="B340" s="38" t="inlineStr">
        <is>
          <t>Planned</t>
        </is>
      </c>
      <c r="C340" s="36" t="n">
        <v>3</v>
      </c>
      <c r="D340" s="36" t="inlineStr">
        <is>
          <t>Recreational vehicles</t>
        </is>
      </c>
      <c r="E340" s="36" t="inlineStr">
        <is>
          <t>Motorcycle</t>
        </is>
      </c>
      <c r="F340" s="25" t="inlineStr">
        <is>
          <t>How Much Is Motorcycle Insurance in Canada? Costs by Province and Bike</t>
        </is>
      </c>
      <c r="G340" s="36" t="inlineStr">
        <is>
          <t>https://instasure.ca/guides/how-much-is-motorcycle-insurance-canada/</t>
        </is>
      </c>
      <c r="H340" s="36" t="inlineStr">
        <is>
          <t>how much is motorcycle insurance</t>
        </is>
      </c>
      <c r="I340" s="41">
        <f>IFERROR(INDEX('Nationwide KWs'!$D$2:$D$168,MATCH(H340,'Nationwide KWs'!$A$2:$A$168,0)),IFERROR(INDEX('Provincial KWs'!$E$2:$E$137,MATCH(H340,'Provincial KWs'!$A$2:$A$137,0)),IFERROR(INDEX('City KWs'!$F$2:$F$419,MATCH(H340,'City KWs'!$A$2:$A$419,0)),"")))</f>
        <v/>
      </c>
      <c r="J340" s="36" t="inlineStr">
        <is>
          <t>Medium</t>
        </is>
      </c>
      <c r="K340" s="25" t="inlineStr">
        <is>
          <t>motorcycle insurance cost ontario; motorcycle insurance cost alberta; cheap motorcycle insurance; motorcycle insurance for new riders; motorcycle insurance calculator</t>
        </is>
      </c>
      <c r="L340" s="36" t="inlineStr">
        <is>
          <t>Nationwide</t>
        </is>
      </c>
      <c r="M340" s="36" t="inlineStr">
        <is>
          <t>commercial</t>
        </is>
      </c>
      <c r="N340" s="36" t="inlineStr">
        <is>
          <t>MOFU</t>
        </is>
      </c>
      <c r="O340" s="25" t="inlineStr">
        <is>
          <t>How Much Is Motorcycle Insurance in Canada? Costs Explained</t>
        </is>
      </c>
      <c r="P340" s="36">
        <f>LEN(O340)</f>
        <v/>
      </c>
      <c r="Q340" s="25" t="inlineStr">
        <is>
          <t>How much is motorcycle insurance in Canada? Dated estimates by province, bike type and rider experience, and ways new riders can save. Ask an advisor.</t>
        </is>
      </c>
      <c r="R340" s="36">
        <f>LEN(Q340)</f>
        <v/>
      </c>
      <c r="S340" s="36">
        <f>IF(H340="","",IF(ISNUMBER(SEARCH(SUBSTITUTE(H340,"-"," "),SUBSTITUTE(O340,"-"," "))),"Yes","Check"))</f>
        <v/>
      </c>
      <c r="T340" s="25" t="inlineStr">
        <is>
          <t>How much does motorcycle insurance cost in Canada? | Estimates by province (table) | Bike type and engine size | Rider age, licence level and training | Seasonal pricing and storage | Ways to lower motorcycle insurance</t>
        </is>
      </c>
      <c r="U340" s="25" t="inlineStr">
        <is>
          <t>Why is motorcycle insurance so expensive in Ontario? | Is motorcycle insurance cheaper than car insurance? | Does a rider training course lower insurance? | Can I insure a motorcycle only for the summer?</t>
        </is>
      </c>
      <c r="V340" s="25" t="inlineStr">
        <is>
          <t>Province-by-rider-profile table (new rider on a 300cc bike, experienced cruiser rider, sport bike) with Instasure estimate ranges labelled as modelled, plus public-insurer notes for BC, MB and SK.</t>
        </is>
      </c>
      <c r="W340" s="25" t="inlineStr">
        <is>
          <t>/motorcycle-insurance/; /guides/m1-m2-motorcycle-insurance-ontario/; /guides/sport-bike-insurance-canada/; /guides/motorcycle-insurance-winter-storage/</t>
        </is>
      </c>
      <c r="X340" s="25" t="inlineStr">
        <is>
          <t>Request an advisor quote: Motorcycle insurance (/motorcycle-insurance/)</t>
        </is>
      </c>
      <c r="Y340" s="36" t="inlineStr">
        <is>
          <t>Article; FAQPage; BreadcrumbList</t>
        </is>
      </c>
      <c r="Z340" s="37" t="n">
        <v>1700</v>
      </c>
      <c r="AA340" s="25" t="inlineStr">
        <is>
          <t>Ratehub has motorcycle pages for Ontario and Alberta and a 'cheap motorcycle insurance Ontario' post; no competitor shows estimates across all provinces and bike types.</t>
        </is>
      </c>
      <c r="AB340" s="25" t="inlineStr">
        <is>
          <t>Focus keyword in H1, slug, meta title, first 100 words and first H2; the 40-60 word answer gives the estimate range for two stated profiles and the 'as of' month. Lead with the province table, link the motorcycle page with 'motorcycle insurance' anchor, and publish the refresh in February before the March-May search peak.</t>
        </is>
      </c>
      <c r="AC340" s="25" t="inlineStr">
        <is>
          <t>Label estimates with profile and date and verify public-insurer motorcycle rules (ICBC, MPI, SGI). No 'cheapest' claims.</t>
        </is>
      </c>
      <c r="AD340" s="36" t="inlineStr">
        <is>
          <t>Annual</t>
        </is>
      </c>
      <c r="AE340" s="38" t="n"/>
      <c r="AF340" s="38" t="n"/>
      <c r="AG340" s="38" t="n"/>
    </row>
    <row r="341" ht="35.05" customHeight="1" s="22">
      <c r="A341" s="36">
        <f>"B"&amp;TEXT(ROW()-1,"0000")</f>
        <v/>
      </c>
      <c r="B341" s="38" t="inlineStr">
        <is>
          <t>Planned</t>
        </is>
      </c>
      <c r="C341" s="36" t="n">
        <v>3</v>
      </c>
      <c r="D341" s="36" t="inlineStr">
        <is>
          <t>Recreational vehicles</t>
        </is>
      </c>
      <c r="E341" s="36" t="inlineStr">
        <is>
          <t>Motorcycle</t>
        </is>
      </c>
      <c r="F341" s="25" t="inlineStr">
        <is>
          <t>M1, M2 and M Motorcycle Insurance in Ontario: What Each Stage Needs</t>
        </is>
      </c>
      <c r="G341" s="36" t="inlineStr">
        <is>
          <t>https://instasure.ca/guides/m1-m2-motorcycle-insurance-ontario/</t>
        </is>
      </c>
      <c r="H341" s="36" t="inlineStr">
        <is>
          <t>m2 motorcycle insurance ontario</t>
        </is>
      </c>
      <c r="I341" s="41">
        <f>IFERROR(INDEX('Nationwide KWs'!$D$2:$D$168,MATCH(H341,'Nationwide KWs'!$A$2:$A$168,0)),IFERROR(INDEX('Provincial KWs'!$E$2:$E$137,MATCH(H341,'Provincial KWs'!$A$2:$A$137,0)),IFERROR(INDEX('City KWs'!$F$2:$F$419,MATCH(H341,'City KWs'!$A$2:$A$419,0)),"")))</f>
        <v/>
      </c>
      <c r="J341" s="36" t="inlineStr">
        <is>
          <t>Low</t>
        </is>
      </c>
      <c r="K341" s="25" t="inlineStr">
        <is>
          <t>m1 motorcycle insurance; do you need insurance with an m1; m2 insurance cost ontario; motorcycle safety course insurance discount; m licence ontario</t>
        </is>
      </c>
      <c r="L341" s="36" t="inlineStr">
        <is>
          <t>Province: Ontario</t>
        </is>
      </c>
      <c r="M341" s="36" t="inlineStr">
        <is>
          <t>commercial</t>
        </is>
      </c>
      <c r="N341" s="36" t="inlineStr">
        <is>
          <t>MOFU</t>
        </is>
      </c>
      <c r="O341" s="25" t="inlineStr">
        <is>
          <t>M2 Motorcycle Insurance in Ontario: M1, M2 and M Stages</t>
        </is>
      </c>
      <c r="P341" s="36">
        <f>LEN(O341)</f>
        <v/>
      </c>
      <c r="Q341" s="25" t="inlineStr">
        <is>
          <t>M2 motorcycle insurance in Ontario: whether M1 riders need a policy, what M2 riders typically pay and when full M status lowers rates. Ask an advisor.</t>
        </is>
      </c>
      <c r="R341" s="36">
        <f>LEN(Q341)</f>
        <v/>
      </c>
      <c r="S341" s="36">
        <f>IF(H341="","",IF(ISNUMBER(SEARCH(SUBSTITUTE(H341,"-"," "),SUBSTITUTE(O341,"-"," "))),"Yes","Check"))</f>
        <v/>
      </c>
      <c r="T341" s="25" t="inlineStr">
        <is>
          <t>Do you need insurance with an M1 or M2 in Ontario? | M1: rules, restrictions and the insured bike | M2: costs and what insurers look for | Rider training courses and insurance credit | Full M licence: when premiums ease | Choosing a first bike that is cheaper to insure</t>
        </is>
      </c>
      <c r="U341" s="25" t="inlineStr">
        <is>
          <t>Can I get motorcycle insurance with an M1 licence? | How much is insurance for an M2 rider in Ontario? | Does a motorcycle safety course lower insurance? | Can an M2 rider carry passengers?</t>
        </is>
      </c>
      <c r="V341" s="25" t="inlineStr">
        <is>
          <t>Stage table (M1, M2, M) with licence restrictions, insurer listing practice and Instasure estimate ranges for two bike types, plus a first-bike checklist.</t>
        </is>
      </c>
      <c r="W341" s="25" t="inlineStr">
        <is>
          <t>/motorcycle-insurance/; /guides/how-much-is-motorcycle-insurance-canada/; /car-insurance/ontario/; /guides/g1-g2-car-insurance-ontario/</t>
        </is>
      </c>
      <c r="X341" s="25" t="inlineStr">
        <is>
          <t>Request an advisor quote: Motorcycle insurance (/motorcycle-insurance/)</t>
        </is>
      </c>
      <c r="Y341" s="36" t="inlineStr">
        <is>
          <t>Article; FAQPage; BreadcrumbList</t>
        </is>
      </c>
      <c r="Z341" s="37" t="n">
        <v>1400</v>
      </c>
      <c r="AA341" s="25" t="inlineStr">
        <is>
          <t>The research lists M1/M2 licence-stage pages as open; Ratehub has only Ontario and Alberta motorcycle pages.</t>
        </is>
      </c>
      <c r="AB341" s="25" t="inlineStr">
        <is>
          <t>Focus keyword in H1, slug, meta title, first 100 words and first H2; the 40-60 word answer covers M1 listing and typical M2 pricing factors. Use the stage table, link the cost guide with 'motorcycle insurance cost' anchor, and refresh each February.</t>
        </is>
      </c>
      <c r="AC341" s="25" t="inlineStr">
        <is>
          <t>Verify M1, M2 and M rules with MTO/ServiceOntario; insurer acceptance of M1 riders varies. Label estimates.</t>
        </is>
      </c>
      <c r="AD341" s="36" t="inlineStr">
        <is>
          <t>Annual</t>
        </is>
      </c>
      <c r="AE341" s="38" t="n"/>
      <c r="AF341" s="38" t="n"/>
      <c r="AG341" s="38" t="n"/>
    </row>
    <row r="342" ht="35.05" customHeight="1" s="22">
      <c r="A342" s="36">
        <f>"B"&amp;TEXT(ROW()-1,"0000")</f>
        <v/>
      </c>
      <c r="B342" s="38" t="inlineStr">
        <is>
          <t>Planned</t>
        </is>
      </c>
      <c r="C342" s="36" t="n">
        <v>3</v>
      </c>
      <c r="D342" s="36" t="inlineStr">
        <is>
          <t>Recreational vehicles</t>
        </is>
      </c>
      <c r="E342" s="36" t="inlineStr">
        <is>
          <t>RV and trailer</t>
        </is>
      </c>
      <c r="F342" s="25" t="inlineStr">
        <is>
          <t>RV Insurance in Canada: Costs for Motorhomes, Trailers and Full-Timers</t>
        </is>
      </c>
      <c r="G342" s="36" t="inlineStr">
        <is>
          <t>https://instasure.ca/guides/rv-insurance-cost-canada/</t>
        </is>
      </c>
      <c r="H342" s="36" t="inlineStr">
        <is>
          <t>rv insurance cost canada</t>
        </is>
      </c>
      <c r="I342" s="41">
        <f>IFERROR(INDEX('Nationwide KWs'!$D$2:$D$168,MATCH(H342,'Nationwide KWs'!$A$2:$A$168,0)),IFERROR(INDEX('Provincial KWs'!$E$2:$E$137,MATCH(H342,'Provincial KWs'!$A$2:$A$137,0)),IFERROR(INDEX('City KWs'!$F$2:$F$419,MATCH(H342,'City KWs'!$A$2:$A$419,0)),"")))</f>
        <v/>
      </c>
      <c r="J342" s="36" t="inlineStr">
        <is>
          <t>Low</t>
        </is>
      </c>
      <c r="K342" s="25" t="inlineStr">
        <is>
          <t>motorhome insurance canada; how much is rv insurance; class a motorhome insurance; full time rv insurance canada; rv insurance ontario</t>
        </is>
      </c>
      <c r="L342" s="36" t="inlineStr">
        <is>
          <t>Nationwide</t>
        </is>
      </c>
      <c r="M342" s="36" t="inlineStr">
        <is>
          <t>commercial</t>
        </is>
      </c>
      <c r="N342" s="36" t="inlineStr">
        <is>
          <t>MOFU</t>
        </is>
      </c>
      <c r="O342" s="25" t="inlineStr">
        <is>
          <t>RV Insurance Cost in Canada: Motorhomes, Trailers, Full-Time</t>
        </is>
      </c>
      <c r="P342" s="36">
        <f>LEN(O342)</f>
        <v/>
      </c>
      <c r="Q342" s="25" t="inlineStr">
        <is>
          <t>RV insurance cost in Canada for Class A, B and C motorhomes, travel trailers and fifth wheels, and what full-time RVers need. Get an advisor quote.</t>
        </is>
      </c>
      <c r="R342" s="36">
        <f>LEN(Q342)</f>
        <v/>
      </c>
      <c r="S342" s="36">
        <f>IF(H342="","",IF(ISNUMBER(SEARCH(SUBSTITUTE(H342,"-"," "),SUBSTITUTE(O342,"-"," "))),"Yes","Check"))</f>
        <v/>
      </c>
      <c r="T342" s="25" t="inlineStr">
        <is>
          <t>How much does RV insurance cost in Canada? | Estimates by RV type (table) | Motorhome vs towable: how coverage differs | Contents, emergency expenses and roadside help | Full-time RVers and living in your RV | Ways to lower RV insurance</t>
        </is>
      </c>
      <c r="U342" s="25" t="inlineStr">
        <is>
          <t>How much is insurance for a Class A motorhome in Canada? | Does RV insurance cover my belongings? | Can I live full-time in my RV and stay insured? | Is RV insurance cheaper if I only use it in summer?</t>
        </is>
      </c>
      <c r="V342" s="25" t="inlineStr">
        <is>
          <t>RV-type table (Class A, B, C, travel trailer, fifth wheel, tent trailer) with estimate ranges labelled as modelled, plus a full-timer coverage checklist.</t>
        </is>
      </c>
      <c r="W342" s="25" t="inlineStr">
        <is>
          <t>/rv-insurance/; /guides/does-car-insurance-cover-trailer/; /guides/seasonal-trailer-insurance-ontario/; /quote/</t>
        </is>
      </c>
      <c r="X342" s="25" t="inlineStr">
        <is>
          <t>Request an advisor quote: RV &amp; trailer insurance (/rv-insurance/)</t>
        </is>
      </c>
      <c r="Y342" s="36" t="inlineStr">
        <is>
          <t>Article; FAQPage; BreadcrumbList</t>
        </is>
      </c>
      <c r="Z342" s="37" t="n">
        <v>1500</v>
      </c>
      <c r="AA342" s="25" t="inlineStr">
        <is>
          <t>Ratehub has RV and trailer pages; no competitor publishes estimates by RV class or full-timer guidance.</t>
        </is>
      </c>
      <c r="AB342" s="25" t="inlineStr">
        <is>
          <t>Focus keyword in H1, slug, meta title, first 100 words and first H2; the 40-60 word answer gives ranges by class with the profile and month. Use the RV-type table, link the RV page with 'RV and trailer insurance' anchor, and refresh each March.</t>
        </is>
      </c>
      <c r="AC342" s="25" t="inlineStr">
        <is>
          <t>Label estimates with profile and date; full-timer eligibility varies by insurer, so do not promise availability.</t>
        </is>
      </c>
      <c r="AD342" s="36" t="inlineStr">
        <is>
          <t>Annual</t>
        </is>
      </c>
      <c r="AE342" s="38" t="n"/>
      <c r="AF342" s="38" t="n"/>
      <c r="AG342" s="38" t="n"/>
    </row>
    <row r="343" ht="35.05" customHeight="1" s="22">
      <c r="A343" s="36">
        <f>"B"&amp;TEXT(ROW()-1,"0000")</f>
        <v/>
      </c>
      <c r="B343" s="38" t="inlineStr">
        <is>
          <t>Planned</t>
        </is>
      </c>
      <c r="C343" s="36" t="n">
        <v>4</v>
      </c>
      <c r="D343" s="36" t="inlineStr">
        <is>
          <t>Recreational vehicles</t>
        </is>
      </c>
      <c r="E343" s="36" t="inlineStr">
        <is>
          <t>ATV and snowmobile</t>
        </is>
      </c>
      <c r="F343" s="25" t="inlineStr">
        <is>
          <t>Do You Need Insurance for an ATV or Side-by-Side? Rules by Province</t>
        </is>
      </c>
      <c r="G343" s="36" t="inlineStr">
        <is>
          <t>https://instasure.ca/guides/atv-insurance-requirements-by-province/</t>
        </is>
      </c>
      <c r="H343" s="36" t="inlineStr">
        <is>
          <t>do you need insurance for an atv</t>
        </is>
      </c>
      <c r="I343" s="41">
        <f>IFERROR(INDEX('Nationwide KWs'!$D$2:$D$168,MATCH(H343,'Nationwide KWs'!$A$2:$A$168,0)),IFERROR(INDEX('Provincial KWs'!$E$2:$E$137,MATCH(H343,'Provincial KWs'!$A$2:$A$137,0)),IFERROR(INDEX('City KWs'!$F$2:$F$419,MATCH(H343,'City KWs'!$A$2:$A$419,0)),"")))</f>
        <v/>
      </c>
      <c r="J343" s="36" t="inlineStr">
        <is>
          <t>Low</t>
        </is>
      </c>
      <c r="K343" s="25" t="inlineStr">
        <is>
          <t>atv insurance ontario; side by side insurance; utv insurance canada; atv on road ontario insurance; farm atv insurance</t>
        </is>
      </c>
      <c r="L343" s="36" t="inlineStr">
        <is>
          <t>Nationwide</t>
        </is>
      </c>
      <c r="M343" s="36" t="inlineStr">
        <is>
          <t>informational</t>
        </is>
      </c>
      <c r="N343" s="36" t="inlineStr">
        <is>
          <t>TOFU</t>
        </is>
      </c>
      <c r="O343" s="25" t="inlineStr">
        <is>
          <t>Do You Need Insurance for an ATV? Province-by-Province Rules</t>
        </is>
      </c>
      <c r="P343" s="36">
        <f>LEN(O343)</f>
        <v/>
      </c>
      <c r="Q343" s="25" t="inlineStr">
        <is>
          <t>Do you need insurance for an ATV or side-by-side? Province rules for riding off your land, road crossings and trails, and home policy limits. Check yours.</t>
        </is>
      </c>
      <c r="R343" s="36">
        <f>LEN(Q343)</f>
        <v/>
      </c>
      <c r="S343" s="36">
        <f>IF(H343="","",IF(ISNUMBER(SEARCH(SUBSTITUTE(H343,"-"," "),SUBSTITUTE(O343,"-"," "))),"Yes","Check"))</f>
        <v/>
      </c>
      <c r="T343" s="25" t="inlineStr">
        <is>
          <t>Do you need insurance for an ATV? | Province-by-province rules (table) | Riding on roads, shoulders and crossings | Trails and club permits | Farm and work use | What home insurance covers, and doesn't</t>
        </is>
      </c>
      <c r="U343" s="25" t="inlineStr">
        <is>
          <t>Do I need insurance to ride an ATV on my own land? | Can I drive a side-by-side on the road in Ontario? | Does home insurance cover my ATV? | Do kids riding ATVs need to be insured?</t>
        </is>
      </c>
      <c r="V343" s="25" t="inlineStr">
        <is>
          <t>13-row table of off-road vehicle insurance, registration and road-use rules with official sources and verification dates.</t>
        </is>
      </c>
      <c r="W343" s="25" t="inlineStr">
        <is>
          <t>/atv-snowmobile-insurance/; /guides/snowmobile-insurance-ontario-trail-permit/; /home-insurance/cottage-and-seasonal/; /home-insurance/</t>
        </is>
      </c>
      <c r="X343" s="25" t="inlineStr">
        <is>
          <t>Request an advisor quote: ATV &amp; snowmobile insurance (/atv-snowmobile-insurance/)</t>
        </is>
      </c>
      <c r="Y343" s="36" t="inlineStr">
        <is>
          <t>Article; FAQPage; BreadcrumbList</t>
        </is>
      </c>
      <c r="Z343" s="37" t="n">
        <v>1400</v>
      </c>
      <c r="AA343" s="25" t="inlineStr">
        <is>
          <t>Ratehub has ATV and snowmobile quote pages; no competitor publishes a province rule table.</t>
        </is>
      </c>
      <c r="AB343" s="25" t="inlineStr">
        <is>
          <t>Focus keyword in H1, slug, meta title, first 100 words and first H2; the 40-60 word answer explains the off-your-property rule. Use the province table, link the ATV and snowmobile page with 'ATV insurance' anchor, and review annually.</t>
        </is>
      </c>
      <c r="AC343" s="25" t="inlineStr">
        <is>
          <t>Verify each province's off-road vehicle act (e.g. Ontario's Off-Road Vehicles Act) for insurance and road-use rules. Give no advice on underage riding beyond what the law says.</t>
        </is>
      </c>
      <c r="AD343" s="36" t="inlineStr">
        <is>
          <t>Annual</t>
        </is>
      </c>
      <c r="AE343" s="38" t="n"/>
      <c r="AF343" s="38" t="n"/>
      <c r="AG343" s="38" t="n"/>
    </row>
    <row r="344" ht="35.05" customHeight="1" s="22">
      <c r="A344" s="36">
        <f>"B"&amp;TEXT(ROW()-1,"0000")</f>
        <v/>
      </c>
      <c r="B344" s="38" t="inlineStr">
        <is>
          <t>Planned</t>
        </is>
      </c>
      <c r="C344" s="36" t="n">
        <v>4</v>
      </c>
      <c r="D344" s="36" t="inlineStr">
        <is>
          <t>Recreational vehicles</t>
        </is>
      </c>
      <c r="E344" s="36" t="inlineStr">
        <is>
          <t>ATV and snowmobile</t>
        </is>
      </c>
      <c r="F344" s="25" t="inlineStr">
        <is>
          <t>Snowmobile Insurance in Ontario: Trail Permits, Liability and Cost</t>
        </is>
      </c>
      <c r="G344" s="36" t="inlineStr">
        <is>
          <t>https://instasure.ca/guides/snowmobile-insurance-ontario-trail-permit/</t>
        </is>
      </c>
      <c r="H344" s="36" t="inlineStr">
        <is>
          <t>snowmobile insurance ontario</t>
        </is>
      </c>
      <c r="I344" s="41">
        <f>IFERROR(INDEX('Nationwide KWs'!$D$2:$D$168,MATCH(H344,'Nationwide KWs'!$A$2:$A$168,0)),IFERROR(INDEX('Provincial KWs'!$E$2:$E$137,MATCH(H344,'Provincial KWs'!$A$2:$A$137,0)),IFERROR(INDEX('City KWs'!$F$2:$F$419,MATCH(H344,'City KWs'!$A$2:$A$419,0)),"")))</f>
        <v/>
      </c>
      <c r="J344" s="36" t="inlineStr">
        <is>
          <t>Low</t>
        </is>
      </c>
      <c r="K344" s="25" t="inlineStr">
        <is>
          <t>ofsc trail permit insurance; snowmobile insurance cost; snowmobile insurance quebec; do you need insurance for a snowmobile; snowmobile liability insurance</t>
        </is>
      </c>
      <c r="L344" s="36" t="inlineStr">
        <is>
          <t>Province: Ontario</t>
        </is>
      </c>
      <c r="M344" s="36" t="inlineStr">
        <is>
          <t>commercial</t>
        </is>
      </c>
      <c r="N344" s="36" t="inlineStr">
        <is>
          <t>MOFU</t>
        </is>
      </c>
      <c r="O344" s="25" t="inlineStr">
        <is>
          <t>Snowmobile Insurance in Ontario: Trail Permits and Cost</t>
        </is>
      </c>
      <c r="P344" s="36">
        <f>LEN(O344)</f>
        <v/>
      </c>
      <c r="Q344" s="25" t="inlineStr">
        <is>
          <t>Snowmobile insurance in Ontario: when it's legally required, proof needed for an OFSC trail permit and liability and damage options. Get a quote.</t>
        </is>
      </c>
      <c r="R344" s="36">
        <f>LEN(Q344)</f>
        <v/>
      </c>
      <c r="S344" s="36">
        <f>IF(H344="","",IF(ISNUMBER(SEARCH(SUBSTITUTE(H344,"-"," "),SUBSTITUTE(O344,"-"," "))),"Yes","Check"))</f>
        <v/>
      </c>
      <c r="T344" s="25" t="inlineStr">
        <is>
          <t>Do you need snowmobile insurance in Ontario? | Legal requirements under the Motorized Snow Vehicles Act | OFSC trail permits and proof of insurance | Liability, collision and comprehensive for sleds | Riding in Quebec and other provinces | Seasonal pricing and off-season storage</t>
        </is>
      </c>
      <c r="U344" s="25" t="inlineStr">
        <is>
          <t>Is snowmobile insurance mandatory in Ontario? | Do I need insurance to buy an OFSC trail permit? | Does my snowmobile insurance work in Quebec? | How much is snowmobile insurance in Ontario?</t>
        </is>
      </c>
      <c r="V344" s="25" t="inlineStr">
        <is>
          <t>Pre-season checklist (insurance card, permit, registration, licence) and a coverage table for trail, frozen-lake and private-property riding.</t>
        </is>
      </c>
      <c r="W344" s="25" t="inlineStr">
        <is>
          <t>/atv-snowmobile-insurance/; /guides/atv-insurance-requirements-by-province/; /home-insurance/cottage-and-seasonal/; /insurance/ontario/</t>
        </is>
      </c>
      <c r="X344" s="25" t="inlineStr">
        <is>
          <t>Request an advisor quote: ATV &amp; snowmobile insurance (/atv-snowmobile-insurance/)</t>
        </is>
      </c>
      <c r="Y344" s="36" t="inlineStr">
        <is>
          <t>Article; FAQPage; BreadcrumbList</t>
        </is>
      </c>
      <c r="Z344" s="37" t="n">
        <v>1300</v>
      </c>
      <c r="AA344" s="25" t="inlineStr">
        <is>
          <t>Ratehub has a snowmobile page; no competitor connects insurance to the trail-permit process or out-of-province riding.</t>
        </is>
      </c>
      <c r="AB344" s="25" t="inlineStr">
        <is>
          <t>Focus keyword in H1, slug, meta title, first 100 words and first H2; the 40-60 word answer states the legal requirement and permit link. Use the pre-season checklist, link the ATV rules guide, and publish each November.</t>
        </is>
      </c>
      <c r="AC344" s="25" t="inlineStr">
        <is>
          <t>Verify the Motorized Snow Vehicles Act insurance rules and OFSC permit requirements at source, and Quebec rules from official Quebec sources.</t>
        </is>
      </c>
      <c r="AD344" s="36" t="inlineStr">
        <is>
          <t>Annual</t>
        </is>
      </c>
      <c r="AE344" s="38" t="n"/>
      <c r="AF344" s="38" t="n"/>
      <c r="AG344" s="38" t="n"/>
    </row>
    <row r="345" ht="35.05" customHeight="1" s="22">
      <c r="A345" s="36">
        <f>"B"&amp;TEXT(ROW()-1,"0000")</f>
        <v/>
      </c>
      <c r="B345" s="38" t="inlineStr">
        <is>
          <t>Planned</t>
        </is>
      </c>
      <c r="C345" s="36" t="n">
        <v>4</v>
      </c>
      <c r="D345" s="36" t="inlineStr">
        <is>
          <t>Recreational vehicles</t>
        </is>
      </c>
      <c r="E345" s="36" t="inlineStr">
        <is>
          <t>Boat and personal watercraft</t>
        </is>
      </c>
      <c r="F345" s="25" t="inlineStr">
        <is>
          <t>Does Home Insurance Cover Boats? Limits and When You Need a Boat Policy</t>
        </is>
      </c>
      <c r="G345" s="36" t="inlineStr">
        <is>
          <t>https://instasure.ca/guides/does-home-insurance-cover-boats/</t>
        </is>
      </c>
      <c r="H345" s="36" t="inlineStr">
        <is>
          <t>does home insurance cover boats</t>
        </is>
      </c>
      <c r="I345" s="41">
        <f>IFERROR(INDEX('Nationwide KWs'!$D$2:$D$168,MATCH(H345,'Nationwide KWs'!$A$2:$A$168,0)),IFERROR(INDEX('Provincial KWs'!$E$2:$E$137,MATCH(H345,'Provincial KWs'!$A$2:$A$137,0)),IFERROR(INDEX('City KWs'!$F$2:$F$419,MATCH(H345,'City KWs'!$A$2:$A$419,0)),"")))</f>
        <v/>
      </c>
      <c r="J345" s="36" t="inlineStr">
        <is>
          <t>Low</t>
        </is>
      </c>
      <c r="K345" s="25" t="inlineStr">
        <is>
          <t>boat coverage home insurance; canoe kayak home insurance; small boat liability home policy; cottage boat insurance; when do you need separate boat insurance</t>
        </is>
      </c>
      <c r="L345" s="36" t="inlineStr">
        <is>
          <t>Nationwide</t>
        </is>
      </c>
      <c r="M345" s="36" t="inlineStr">
        <is>
          <t>informational</t>
        </is>
      </c>
      <c r="N345" s="36" t="inlineStr">
        <is>
          <t>TOFU</t>
        </is>
      </c>
      <c r="O345" s="25" t="inlineStr">
        <is>
          <t>Does Home Insurance Cover Boats? Limits and Exclusions</t>
        </is>
      </c>
      <c r="P345" s="36">
        <f>LEN(O345)</f>
        <v/>
      </c>
      <c r="Q345" s="25" t="inlineStr">
        <is>
          <t>Does home insurance cover boats? Typical limits for canoes, kayaks and small motors, length and horsepower cut-offs and when to add a boat policy. Read on.</t>
        </is>
      </c>
      <c r="R345" s="36">
        <f>LEN(Q345)</f>
        <v/>
      </c>
      <c r="S345" s="36">
        <f>IF(H345="","",IF(ISNUMBER(SEARCH(SUBSTITUTE(H345,"-"," "),SUBSTITUTE(O345,"-"," "))),"Yes","Check"))</f>
        <v/>
      </c>
      <c r="T345" s="25" t="inlineStr">
        <is>
          <t>Does home insurance cover your boat? | What home policies typically cover: property and liability | Horsepower, length and speed limits | Canoes, kayaks and paddleboards | Cottage boats and boathouses | When to buy a separate boat policy</t>
        </is>
      </c>
      <c r="U345" s="25" t="inlineStr">
        <is>
          <t>Is my kayak covered by home insurance? | Does home insurance cover a boat motor? | Does my cottage policy cover my boat? | Is a personal watercraft covered by home insurance?</t>
        </is>
      </c>
      <c r="V345" s="25" t="inlineStr">
        <is>
          <t>Decision chart by craft type, horsepower and length showing home policy vs boat policy, plus questions to ask your insurer.</t>
        </is>
      </c>
      <c r="W345" s="25" t="inlineStr">
        <is>
          <t>/boat-insurance/; /home-insurance/; /home-insurance/cottage-and-seasonal/; /guides/boat-insurance-cost-canada/</t>
        </is>
      </c>
      <c r="X345" s="25" t="inlineStr">
        <is>
          <t>Request an advisor quote: Boat insurance (/boat-insurance/)</t>
        </is>
      </c>
      <c r="Y345" s="36" t="inlineStr">
        <is>
          <t>Article; FAQPage; BreadcrumbList</t>
        </is>
      </c>
      <c r="Z345" s="37" t="n">
        <v>1200</v>
      </c>
      <c r="AA345" s="25" t="inlineStr">
        <is>
          <t>No competitor coverage seen as a dedicated guide; our boat money page raises the endorsement question.</t>
        </is>
      </c>
      <c r="AB345" s="25" t="inlineStr">
        <is>
          <t>Focus keyword in H1, slug, meta title, first 100 words and first H2; the 40-60 word answer explains small-craft limits and the separate-policy threshold. Use the decision chart, link the cottage desk, and review annually.</t>
        </is>
      </c>
      <c r="AC345" s="25" t="inlineStr">
        <is>
          <t>Home-policy boat limits vary by insurer; present typical thresholds as examples and tell readers to check their wording.</t>
        </is>
      </c>
      <c r="AD345" s="36" t="inlineStr">
        <is>
          <t>Annual</t>
        </is>
      </c>
      <c r="AE345" s="38" t="n"/>
      <c r="AF345" s="38" t="n"/>
      <c r="AG345" s="38" t="n"/>
    </row>
    <row r="346" ht="35.05" customHeight="1" s="22">
      <c r="A346" s="36">
        <f>"B"&amp;TEXT(ROW()-1,"0000")</f>
        <v/>
      </c>
      <c r="B346" s="38" t="inlineStr">
        <is>
          <t>Planned</t>
        </is>
      </c>
      <c r="C346" s="36" t="n">
        <v>4</v>
      </c>
      <c r="D346" s="36" t="inlineStr">
        <is>
          <t>Recreational vehicles</t>
        </is>
      </c>
      <c r="E346" s="36" t="inlineStr">
        <is>
          <t>Boat and personal watercraft</t>
        </is>
      </c>
      <c r="F346" s="25" t="inlineStr">
        <is>
          <t>How Much Is Boat Insurance in Canada? Costs and What Drives Them</t>
        </is>
      </c>
      <c r="G346" s="36" t="inlineStr">
        <is>
          <t>https://instasure.ca/guides/boat-insurance-cost-canada/</t>
        </is>
      </c>
      <c r="H346" s="36" t="inlineStr">
        <is>
          <t>how much is boat insurance</t>
        </is>
      </c>
      <c r="I346" s="41">
        <f>IFERROR(INDEX('Nationwide KWs'!$D$2:$D$168,MATCH(H346,'Nationwide KWs'!$A$2:$A$168,0)),IFERROR(INDEX('Provincial KWs'!$E$2:$E$137,MATCH(H346,'Provincial KWs'!$A$2:$A$137,0)),IFERROR(INDEX('City KWs'!$F$2:$F$419,MATCH(H346,'City KWs'!$A$2:$A$419,0)),"")))</f>
        <v/>
      </c>
      <c r="J346" s="36" t="inlineStr">
        <is>
          <t>Low</t>
        </is>
      </c>
      <c r="K346" s="25" t="inlineStr">
        <is>
          <t>boat insurance cost canada; boat insurance ontario; is boat insurance mandatory in canada; marina insurance requirements; boat liability insurance canada</t>
        </is>
      </c>
      <c r="L346" s="36" t="inlineStr">
        <is>
          <t>Nationwide</t>
        </is>
      </c>
      <c r="M346" s="36" t="inlineStr">
        <is>
          <t>commercial</t>
        </is>
      </c>
      <c r="N346" s="36" t="inlineStr">
        <is>
          <t>MOFU</t>
        </is>
      </c>
      <c r="O346" s="25" t="inlineStr">
        <is>
          <t>How Much Is Boat Insurance in Canada? Costs and Factors</t>
        </is>
      </c>
      <c r="P346" s="36">
        <f>LEN(O346)</f>
        <v/>
      </c>
      <c r="Q346" s="25" t="inlineStr">
        <is>
          <t>How much is boat insurance in Canada? Estimates by boat type and value, whether it's mandatory and what marinas require. Get an advisor quote.</t>
        </is>
      </c>
      <c r="R346" s="36">
        <f>LEN(Q346)</f>
        <v/>
      </c>
      <c r="S346" s="36">
        <f>IF(H346="","",IF(ISNUMBER(SEARCH(SUBSTITUTE(H346,"-"," "),SUBSTITUTE(O346,"-"," "))),"Yes","Check"))</f>
        <v/>
      </c>
      <c r="T346" s="25" t="inlineStr">
        <is>
          <t>How much does boat insurance cost in Canada? | Estimates by boat type and value (table) | Is boat insurance mandatory? | Marina, lender and launch requirements | Liability, hull, equipment and towing | Ways to lower boat insurance</t>
        </is>
      </c>
      <c r="U346" s="25" t="inlineStr">
        <is>
          <t>Is boat insurance mandatory in Canada? | How much is insurance for a 20-foot powerboat? | Do marinas require boat insurance? | Is boat insurance cheaper if I store it in winter?</t>
        </is>
      </c>
      <c r="V346" s="25" t="inlineStr">
        <is>
          <t>Boat-type table (canoe or kayak, fishing boat, bowrider, pontoon, sailboat, cruiser) with estimate ranges labelled as modelled, plus a marina requirements checklist.</t>
        </is>
      </c>
      <c r="W346" s="25" t="inlineStr">
        <is>
          <t>/boat-insurance/; /guides/does-home-insurance-cover-boats/; /guides/personal-watercraft-sea-doo-insurance/; /home-insurance/cottage-and-seasonal/</t>
        </is>
      </c>
      <c r="X346" s="25" t="inlineStr">
        <is>
          <t>Request an advisor quote: Boat insurance (/boat-insurance/)</t>
        </is>
      </c>
      <c r="Y346" s="36" t="inlineStr">
        <is>
          <t>Article; FAQPage; BreadcrumbList</t>
        </is>
      </c>
      <c r="Z346" s="37" t="n">
        <v>1400</v>
      </c>
      <c r="AA346" s="25" t="inlineStr">
        <is>
          <t>Ratehub has boat and marine pages; no competitor shows estimates by boat type or marina requirements.</t>
        </is>
      </c>
      <c r="AB346" s="25" t="inlineStr">
        <is>
          <t>Focus keyword in H1, slug, meta title, first 100 words and first H2; the 40-60 word answer gives ranges by type and the 'not federally required' note. Use the boat-type table, link the boat page with 'boat insurance' anchor, and publish each April.</t>
        </is>
      </c>
      <c r="AC346" s="25" t="inlineStr">
        <is>
          <t>Verify with Transport Canada that pleasure craft insurance is not federally required, and check PCOC rules. Label estimates.</t>
        </is>
      </c>
      <c r="AD346" s="36" t="inlineStr">
        <is>
          <t>Annual</t>
        </is>
      </c>
      <c r="AE346" s="38" t="n"/>
      <c r="AF346" s="38" t="n"/>
      <c r="AG346" s="38" t="n"/>
    </row>
    <row r="347" ht="35.05" customHeight="1" s="22">
      <c r="A347" s="36">
        <f>"B"&amp;TEXT(ROW()-1,"0000")</f>
        <v/>
      </c>
      <c r="B347" s="38" t="inlineStr">
        <is>
          <t>Planned</t>
        </is>
      </c>
      <c r="C347" s="36" t="n">
        <v>4</v>
      </c>
      <c r="D347" s="36" t="inlineStr">
        <is>
          <t>Recreational vehicles</t>
        </is>
      </c>
      <c r="E347" s="36" t="inlineStr">
        <is>
          <t>Boat and personal watercraft</t>
        </is>
      </c>
      <c r="F347" s="25" t="inlineStr">
        <is>
          <t>Personal Watercraft Insurance: Sea-Doo and Jet Ski Coverage in Canada</t>
        </is>
      </c>
      <c r="G347" s="36" t="inlineStr">
        <is>
          <t>https://instasure.ca/guides/personal-watercraft-sea-doo-insurance/</t>
        </is>
      </c>
      <c r="H347" s="36" t="inlineStr">
        <is>
          <t>sea doo insurance</t>
        </is>
      </c>
      <c r="I347" s="41">
        <f>IFERROR(INDEX('Nationwide KWs'!$D$2:$D$168,MATCH(H347,'Nationwide KWs'!$A$2:$A$168,0)),IFERROR(INDEX('Provincial KWs'!$E$2:$E$137,MATCH(H347,'Provincial KWs'!$A$2:$A$137,0)),IFERROR(INDEX('City KWs'!$F$2:$F$419,MATCH(H347,'City KWs'!$A$2:$A$419,0)),"")))</f>
        <v/>
      </c>
      <c r="J347" s="36" t="inlineStr">
        <is>
          <t>Low</t>
        </is>
      </c>
      <c r="K347" s="25" t="inlineStr">
        <is>
          <t>jet ski insurance canada; personal watercraft insurance ontario; pwc liability insurance; sea doo insurance cost; renting out a sea doo insurance</t>
        </is>
      </c>
      <c r="L347" s="36" t="inlineStr">
        <is>
          <t>Nationwide</t>
        </is>
      </c>
      <c r="M347" s="36" t="inlineStr">
        <is>
          <t>commercial</t>
        </is>
      </c>
      <c r="N347" s="36" t="inlineStr">
        <is>
          <t>MOFU</t>
        </is>
      </c>
      <c r="O347" s="25" t="inlineStr">
        <is>
          <t>Sea-Doo Insurance in Canada: Personal Watercraft Coverage</t>
        </is>
      </c>
      <c r="P347" s="36">
        <f>LEN(O347)</f>
        <v/>
      </c>
      <c r="Q347" s="25" t="inlineStr">
        <is>
          <t>Sea-Doo insurance in Canada: why personal watercraft need their own policy, liability for guests and towing, theft and trailer cover. Get an advisor quote.</t>
        </is>
      </c>
      <c r="R347" s="36">
        <f>LEN(Q347)</f>
        <v/>
      </c>
      <c r="S347" s="36">
        <f>IF(H347="","",IF(ISNUMBER(SEARCH(SUBSTITUTE(H347,"-"," "),SUBSTITUTE(O347,"-"," "))),"Yes","Check"))</f>
        <v/>
      </c>
      <c r="T347" s="25" t="inlineStr">
        <is>
          <t>Do you need insurance for a Sea-Doo or jet ski? | Why home policies usually exclude personal watercraft | Liability: guests, towing and other boaters | Theft, damage and trailer coverage | Operator age and PCOC rules | Ways to lower PWC insurance</t>
        </is>
      </c>
      <c r="U347" s="25" t="inlineStr">
        <is>
          <t>Does home insurance cover a Sea-Doo? | Am I covered if a friend drives my jet ski? | How much is Sea-Doo insurance in Canada? | Do I need a boating licence for a Sea-Doo?</t>
        </is>
      </c>
      <c r="V347" s="25" t="inlineStr">
        <is>
          <t>Coverage table for personal watercraft scenarios (a friend operating, towing a tuber, theft from the dock, trailer on the highway) and an operator-rules checklist.</t>
        </is>
      </c>
      <c r="W347" s="25" t="inlineStr">
        <is>
          <t>/boat-insurance/; /guides/does-home-insurance-cover-boats/; /guides/pleasure-craft-operator-card-insurance/; /home-insurance/cottage-and-seasonal/</t>
        </is>
      </c>
      <c r="X347" s="25" t="inlineStr">
        <is>
          <t>Request an advisor quote: Boat insurance (/boat-insurance/)</t>
        </is>
      </c>
      <c r="Y347" s="36" t="inlineStr">
        <is>
          <t>Article; FAQPage; BreadcrumbList</t>
        </is>
      </c>
      <c r="Z347" s="37" t="n">
        <v>1200</v>
      </c>
      <c r="AA347" s="25" t="inlineStr">
        <is>
          <t>No competitor coverage seen for personal watercraft specifically.</t>
        </is>
      </c>
      <c r="AB347" s="25" t="inlineStr">
        <is>
          <t>Focus keyword in H1, slug, meta title, first 100 words and first H2, and use 'jet ski' as a secondary term in an H2; the 40-60 word answer explains the home-policy exclusion. Use the scenario table, link the PCOC guide, and publish each May.</t>
        </is>
      </c>
      <c r="AC347" s="25" t="inlineStr">
        <is>
          <t>Verify Transport Canada PCOC and operator age and horsepower rules; describe home-policy exclusions as typical. 'Sea-Doo' is a trademark: use it descriptively only.</t>
        </is>
      </c>
      <c r="AD347" s="36" t="inlineStr">
        <is>
          <t>Annual</t>
        </is>
      </c>
      <c r="AE347" s="38" t="n"/>
      <c r="AF347" s="38" t="n"/>
      <c r="AG347" s="38" t="n"/>
    </row>
    <row r="348" ht="35.05" customHeight="1" s="22">
      <c r="A348" s="36">
        <f>"B"&amp;TEXT(ROW()-1,"0000")</f>
        <v/>
      </c>
      <c r="B348" s="38" t="inlineStr">
        <is>
          <t>Planned</t>
        </is>
      </c>
      <c r="C348" s="36" t="n">
        <v>4</v>
      </c>
      <c r="D348" s="36" t="inlineStr">
        <is>
          <t>Recreational vehicles</t>
        </is>
      </c>
      <c r="E348" s="36" t="inlineStr">
        <is>
          <t>Motorcycle</t>
        </is>
      </c>
      <c r="F348" s="25" t="inlineStr">
        <is>
          <t>E-Bike, E-Scooter and Moped Insurance in Canada: What the Law Requires</t>
        </is>
      </c>
      <c r="G348" s="36" t="inlineStr">
        <is>
          <t>https://instasure.ca/guides/e-bike-scooter-moped-insurance-canada/</t>
        </is>
      </c>
      <c r="H348" s="36" t="inlineStr">
        <is>
          <t>do you need insurance for an e-bike</t>
        </is>
      </c>
      <c r="I348" s="41">
        <f>IFERROR(INDEX('Nationwide KWs'!$D$2:$D$168,MATCH(H348,'Nationwide KWs'!$A$2:$A$168,0)),IFERROR(INDEX('Provincial KWs'!$E$2:$E$137,MATCH(H348,'Provincial KWs'!$A$2:$A$137,0)),IFERROR(INDEX('City KWs'!$F$2:$F$419,MATCH(H348,'City KWs'!$A$2:$A$419,0)),"")))</f>
        <v/>
      </c>
      <c r="J348" s="36" t="inlineStr">
        <is>
          <t>Low</t>
        </is>
      </c>
      <c r="K348" s="25" t="inlineStr">
        <is>
          <t>e-bike insurance canada; moped insurance ontario; e-scooter insurance; limited speed motorcycle insurance; does home insurance cover e-bike</t>
        </is>
      </c>
      <c r="L348" s="36" t="inlineStr">
        <is>
          <t>Nationwide</t>
        </is>
      </c>
      <c r="M348" s="36" t="inlineStr">
        <is>
          <t>informational</t>
        </is>
      </c>
      <c r="N348" s="36" t="inlineStr">
        <is>
          <t>TOFU</t>
        </is>
      </c>
      <c r="O348" s="25" t="inlineStr">
        <is>
          <t>Do You Need Insurance for an E-Bike? Rules Across Canada</t>
        </is>
      </c>
      <c r="P348" s="36">
        <f>LEN(O348)</f>
        <v/>
      </c>
      <c r="Q348" s="25" t="inlineStr">
        <is>
          <t>Do you need insurance for an e-bike in Canada? Province rules for e-bikes, e-scooters and mopeds, and what home and tenant policies cover. Check yours.</t>
        </is>
      </c>
      <c r="R348" s="36">
        <f>LEN(Q348)</f>
        <v/>
      </c>
      <c r="S348" s="36">
        <f>IF(H348="","",IF(ISNUMBER(SEARCH(SUBSTITUTE(H348,"-"," "),SUBSTITUTE(O348,"-"," "))),"Yes","Check"))</f>
        <v/>
      </c>
      <c r="T348" s="25" t="inlineStr">
        <is>
          <t>Do you need insurance for an e-bike? | E-bike, e-scooter and moped definitions by province | When motor vehicle insurance is required | Theft and damage: home and tenant policy limits | Liability if you injure someone | Battery fire risk and your home policy</t>
        </is>
      </c>
      <c r="U348" s="25" t="inlineStr">
        <is>
          <t>Do e-bikes need insurance in Ontario? | Is a moped the same as a motorcycle for insurance? | Does tenant insurance cover a stolen e-bike? | Am I covered if my e-bike hits a pedestrian?</t>
        </is>
      </c>
      <c r="V348" s="25" t="inlineStr">
        <is>
          <t>Province table classifying e-bikes, e-scooters and mopeds (insurance required, licence, plate, helmet) with official sources, plus a home and tenant coverage checklist.</t>
        </is>
      </c>
      <c r="W348" s="25" t="inlineStr">
        <is>
          <t>/motorcycle-insurance/; /tenant-insurance/; /home-insurance/; /umbrella-insurance/</t>
        </is>
      </c>
      <c r="X348" s="25" t="inlineStr">
        <is>
          <t>Request an advisor quote: Motorcycle insurance (/motorcycle-insurance/)</t>
        </is>
      </c>
      <c r="Y348" s="36" t="inlineStr">
        <is>
          <t>Article; FAQPage; BreadcrumbList</t>
        </is>
      </c>
      <c r="Z348" s="37" t="n">
        <v>1400</v>
      </c>
      <c r="AA348" s="25" t="inlineStr">
        <is>
          <t>No competitor coverage seen.</t>
        </is>
      </c>
      <c r="AB348" s="25" t="inlineStr">
        <is>
          <t>Focus keyword in H1, slug, meta title, first 100 words and first H2; the 40-60 word answer covers e-bikes vs mopeds and the home-policy caveat. Use the province table, link tenant and home pages for theft cover, and update on any rule change.</t>
        </is>
      </c>
      <c r="AC348" s="25" t="inlineStr">
        <is>
          <t>Verify every province's e-bike, e-scooter and limited-speed motorcycle rules at source (e.g. Ontario's e-scooter pilot status). Home policy coverage varies, so describe it as typical.</t>
        </is>
      </c>
      <c r="AD348" s="36" t="inlineStr">
        <is>
          <t>On rule change</t>
        </is>
      </c>
      <c r="AE348" s="38" t="n"/>
      <c r="AF348" s="38" t="n"/>
      <c r="AG348" s="38" t="n"/>
    </row>
    <row r="349" ht="35.05" customHeight="1" s="22">
      <c r="A349" s="36">
        <f>"B"&amp;TEXT(ROW()-1,"0000")</f>
        <v/>
      </c>
      <c r="B349" s="38" t="inlineStr">
        <is>
          <t>Planned</t>
        </is>
      </c>
      <c r="C349" s="36" t="n">
        <v>4</v>
      </c>
      <c r="D349" s="36" t="inlineStr">
        <is>
          <t>Recreational vehicles</t>
        </is>
      </c>
      <c r="E349" s="36" t="inlineStr">
        <is>
          <t>Motorcycle</t>
        </is>
      </c>
      <c r="F349" s="25" t="inlineStr">
        <is>
          <t>Motorcycle Insurance in BC, Manitoba and Saskatchewan: Public Insurer Rules</t>
        </is>
      </c>
      <c r="G349" s="36" t="inlineStr">
        <is>
          <t>https://instasure.ca/guides/motorcycle-insurance-bc-manitoba-saskatchewan/</t>
        </is>
      </c>
      <c r="H349" s="36" t="inlineStr">
        <is>
          <t>icbc motorcycle insurance</t>
        </is>
      </c>
      <c r="I349" s="41">
        <f>IFERROR(INDEX('Nationwide KWs'!$D$2:$D$168,MATCH(H349,'Nationwide KWs'!$A$2:$A$168,0)),IFERROR(INDEX('Provincial KWs'!$E$2:$E$137,MATCH(H349,'Provincial KWs'!$A$2:$A$137,0)),IFERROR(INDEX('City KWs'!$F$2:$F$419,MATCH(H349,'City KWs'!$A$2:$A$419,0)),"")))</f>
        <v/>
      </c>
      <c r="J349" s="36" t="inlineStr">
        <is>
          <t>Low</t>
        </is>
      </c>
      <c r="K349" s="25" t="inlineStr">
        <is>
          <t>mpi motorcycle insurance; sgi motorcycle insurance; motorcycle insurance bc cost; motorcycle optional insurance bc; seasonal motorcycle plates manitoba</t>
        </is>
      </c>
      <c r="L349" s="36" t="inlineStr">
        <is>
          <t>Province: British Columbia</t>
        </is>
      </c>
      <c r="M349" s="36" t="inlineStr">
        <is>
          <t>informational</t>
        </is>
      </c>
      <c r="N349" s="36" t="inlineStr">
        <is>
          <t>MOFU</t>
        </is>
      </c>
      <c r="O349" s="25" t="inlineStr">
        <is>
          <t>ICBC Motorcycle Insurance, Plus MPI and SGI Rules Explained</t>
        </is>
      </c>
      <c r="P349" s="36">
        <f>LEN(O349)</f>
        <v/>
      </c>
      <c r="Q349" s="25" t="inlineStr">
        <is>
          <t>ICBC motorcycle insurance explained alongside MPI and SGI rules: what basic covers, optional add-ons, seasonal plates and rider training. Plan ahead.</t>
        </is>
      </c>
      <c r="R349" s="36">
        <f>LEN(Q349)</f>
        <v/>
      </c>
      <c r="S349" s="36">
        <f>IF(H349="","",IF(ISNUMBER(SEARCH(SUBSTITUTE(H349,"-"," "),SUBSTITUTE(O349,"-"," "))),"Yes","Check"))</f>
        <v/>
      </c>
      <c r="T349" s="25" t="inlineStr">
        <is>
          <t>How does motorcycle insurance work with public insurers? | ICBC: basic, optional and rider training | MPI: Autopac for motorcycles and seasonal plating | SGI: plate insurance and package options | What private insurers can add | Checklist before riding season</t>
        </is>
      </c>
      <c r="U349" s="25" t="inlineStr">
        <is>
          <t>How much is ICBC motorcycle insurance? | Can I insure my motorcycle for part of the year in Manitoba? | Does SGI cover motorcycle gear? | Can I buy optional motorcycle coverage privately in BC?</t>
        </is>
      </c>
      <c r="V349" s="25" t="inlineStr">
        <is>
          <t>Three-province table (basic coverage, optional add-ons, seasonal or part-year plating, rider training credits) with links to ICBC, MPI and SGI pages.</t>
        </is>
      </c>
      <c r="W349" s="25" t="inlineStr">
        <is>
          <t>/motorcycle-insurance/; /car-insurance/british-columbia/; /car-insurance/manitoba/; /car-insurance/saskatchewan/</t>
        </is>
      </c>
      <c r="X349" s="25" t="inlineStr">
        <is>
          <t>Request an advisor quote: Motorcycle insurance (/motorcycle-insurance/)</t>
        </is>
      </c>
      <c r="Y349" s="36" t="inlineStr">
        <is>
          <t>Article; FAQPage; BreadcrumbList</t>
        </is>
      </c>
      <c r="Z349" s="37" t="n">
        <v>1300</v>
      </c>
      <c r="AA349" s="25" t="inlineStr">
        <is>
          <t>No competitor coverage seen; Ratehub's motorcycle pages cover only Ontario and Alberta.</t>
        </is>
      </c>
      <c r="AB349" s="25" t="inlineStr">
        <is>
          <t>Focus keyword in H1, slug, meta title, first 100 words and first H2; the 40-60 word answer explains public basic plus optional cover. Use the three-province table, link the province car pages, and refresh before spring.</t>
        </is>
      </c>
      <c r="AC349" s="25" t="inlineStr">
        <is>
          <t>Verify each public insurer's motorcycle rules, seasonal options and discounts at source. Lead value is low, so do not promise private alternatives.</t>
        </is>
      </c>
      <c r="AD349" s="36" t="inlineStr">
        <is>
          <t>Annual</t>
        </is>
      </c>
      <c r="AE349" s="38" t="n"/>
      <c r="AF349" s="38" t="n"/>
      <c r="AG349" s="38" t="n"/>
    </row>
    <row r="350" ht="35.05" customHeight="1" s="22">
      <c r="A350" s="36">
        <f>"B"&amp;TEXT(ROW()-1,"0000")</f>
        <v/>
      </c>
      <c r="B350" s="38" t="inlineStr">
        <is>
          <t>Planned</t>
        </is>
      </c>
      <c r="C350" s="36" t="n">
        <v>4</v>
      </c>
      <c r="D350" s="36" t="inlineStr">
        <is>
          <t>Recreational vehicles</t>
        </is>
      </c>
      <c r="E350" s="36" t="inlineStr">
        <is>
          <t>Motorcycle</t>
        </is>
      </c>
      <c r="F350" s="25" t="inlineStr">
        <is>
          <t>Motorcycle Insurance in Winter: Storage Coverage vs Cancelling</t>
        </is>
      </c>
      <c r="G350" s="36" t="inlineStr">
        <is>
          <t>https://instasure.ca/guides/motorcycle-insurance-winter-storage/</t>
        </is>
      </c>
      <c r="H350" s="36" t="inlineStr">
        <is>
          <t>motorcycle insurance in winter</t>
        </is>
      </c>
      <c r="I350" s="41">
        <f>IFERROR(INDEX('Nationwide KWs'!$D$2:$D$168,MATCH(H350,'Nationwide KWs'!$A$2:$A$168,0)),IFERROR(INDEX('Provincial KWs'!$E$2:$E$137,MATCH(H350,'Provincial KWs'!$A$2:$A$137,0)),IFERROR(INDEX('City KWs'!$F$2:$F$419,MATCH(H350,'City KWs'!$A$2:$A$419,0)),"")))</f>
        <v/>
      </c>
      <c r="J350" s="36" t="inlineStr">
        <is>
          <t>Low</t>
        </is>
      </c>
      <c r="K350" s="25" t="inlineStr">
        <is>
          <t>can i cancel motorcycle insurance in winter; motorcycle lay up coverage; seasonal motorcycle insurance; motorcycle storage insurance ontario; icbc motorcycle storage</t>
        </is>
      </c>
      <c r="L350" s="36" t="inlineStr">
        <is>
          <t>Nationwide</t>
        </is>
      </c>
      <c r="M350" s="36" t="inlineStr">
        <is>
          <t>informational</t>
        </is>
      </c>
      <c r="N350" s="36" t="inlineStr">
        <is>
          <t>MOFU</t>
        </is>
      </c>
      <c r="O350" s="25" t="inlineStr">
        <is>
          <t>Motorcycle Insurance in Winter: Storage Coverage or Cancel?</t>
        </is>
      </c>
      <c r="P350" s="36">
        <f>LEN(O350)</f>
        <v/>
      </c>
      <c r="Q350" s="25" t="inlineStr">
        <is>
          <t>Motorcycle insurance in winter: storage cover vs cancelling, theft and fire risk while stored, lapse effects and public-insurer rules. Plan your season.</t>
        </is>
      </c>
      <c r="R350" s="36">
        <f>LEN(Q350)</f>
        <v/>
      </c>
      <c r="S350" s="36">
        <f>IF(H350="","",IF(ISNUMBER(SEARCH(SUBSTITUTE(H350,"-"," "),SUBSTITUTE(O350,"-"," "))),"Yes","Check"))</f>
        <v/>
      </c>
      <c r="T350" s="25" t="inlineStr">
        <is>
          <t>Should you cancel motorcycle insurance in winter? | Storage coverage: what it keeps | Why cancelling can cost more next spring | Theft, fire and damage while the bike is stored | Public insurers: ICBC, MPI and SGI rules | Restoring coverage before your first ride</t>
        </is>
      </c>
      <c r="U350" s="25" t="inlineStr">
        <is>
          <t>Can I cancel my motorcycle insurance in the winter? | Is my motorcycle covered for theft while stored? | Will cancelling create a gap in my insurance history? | Can I ride on a warm winter day with storage coverage?</t>
        </is>
      </c>
      <c r="V350" s="25" t="inlineStr">
        <is>
          <t>Option table (keep full coverage, storage-only, cancel) comparing cost, theft protection and lapse history, plus a spring restore checklist.</t>
        </is>
      </c>
      <c r="W350" s="25" t="inlineStr">
        <is>
          <t>/motorcycle-insurance/; /guides/car-storage-insurance-canada/; /guides/how-much-is-motorcycle-insurance-canada/; /home-insurance/</t>
        </is>
      </c>
      <c r="X350" s="25" t="inlineStr">
        <is>
          <t>Request an advisor quote: Motorcycle insurance (/motorcycle-insurance/)</t>
        </is>
      </c>
      <c r="Y350" s="36" t="inlineStr">
        <is>
          <t>Article; FAQPage; BreadcrumbList</t>
        </is>
      </c>
      <c r="Z350" s="37" t="n">
        <v>1200</v>
      </c>
      <c r="AA350" s="25" t="inlineStr">
        <is>
          <t>Ratehub has 'Can I cancel motorcycle insurance in winter?'; it does not cover public-insurer provinces or theft risk in storage.</t>
        </is>
      </c>
      <c r="AB350" s="25" t="inlineStr">
        <is>
          <t>Focus keyword in H1, slug, meta title, first 100 words and first H2; the 40-60 word answer compares storage cover with cancelling. Use the option table, link the car storage guide, and publish each October.</t>
        </is>
      </c>
      <c r="AC350" s="25" t="inlineStr">
        <is>
          <t>Verify public-insurer storage rules (ICBC, MPI, SGI) and do not imply that every insurer offers storage coverage.</t>
        </is>
      </c>
      <c r="AD350" s="36" t="inlineStr">
        <is>
          <t>Annual</t>
        </is>
      </c>
      <c r="AE350" s="38" t="n"/>
      <c r="AF350" s="38" t="n"/>
      <c r="AG350" s="38" t="n"/>
    </row>
    <row r="351" ht="35.05" customHeight="1" s="22">
      <c r="A351" s="36">
        <f>"B"&amp;TEXT(ROW()-1,"0000")</f>
        <v/>
      </c>
      <c r="B351" s="38" t="inlineStr">
        <is>
          <t>Planned</t>
        </is>
      </c>
      <c r="C351" s="36" t="n">
        <v>4</v>
      </c>
      <c r="D351" s="36" t="inlineStr">
        <is>
          <t>Recreational vehicles</t>
        </is>
      </c>
      <c r="E351" s="36" t="inlineStr">
        <is>
          <t>Motorcycle</t>
        </is>
      </c>
      <c r="F351" s="25" t="inlineStr">
        <is>
          <t>Sport Bike vs Cruiser vs Touring: How Bike Type Changes Insurance</t>
        </is>
      </c>
      <c r="G351" s="36" t="inlineStr">
        <is>
          <t>https://instasure.ca/guides/sport-bike-insurance-canada/</t>
        </is>
      </c>
      <c r="H351" s="36" t="inlineStr">
        <is>
          <t>sport bike insurance canada</t>
        </is>
      </c>
      <c r="I351" s="41">
        <f>IFERROR(INDEX('Nationwide KWs'!$D$2:$D$168,MATCH(H351,'Nationwide KWs'!$A$2:$A$168,0)),IFERROR(INDEX('Provincial KWs'!$E$2:$E$137,MATCH(H351,'Provincial KWs'!$A$2:$A$137,0)),IFERROR(INDEX('City KWs'!$F$2:$F$419,MATCH(H351,'City KWs'!$A$2:$A$419,0)),"")))</f>
        <v/>
      </c>
      <c r="J351" s="36" t="inlineStr">
        <is>
          <t>Low</t>
        </is>
      </c>
      <c r="K351" s="25" t="inlineStr">
        <is>
          <t>cruiser motorcycle insurance; touring motorcycle insurance; cheapest motorcycle to insure canada; 600cc motorcycle insurance; dual sport insurance</t>
        </is>
      </c>
      <c r="L351" s="36" t="inlineStr">
        <is>
          <t>Nationwide</t>
        </is>
      </c>
      <c r="M351" s="36" t="inlineStr">
        <is>
          <t>commercial</t>
        </is>
      </c>
      <c r="N351" s="36" t="inlineStr">
        <is>
          <t>MOFU</t>
        </is>
      </c>
      <c r="O351" s="25" t="inlineStr">
        <is>
          <t>Sport Bike Insurance in Canada vs Cruisers and Tourers</t>
        </is>
      </c>
      <c r="P351" s="36">
        <f>LEN(O351)</f>
        <v/>
      </c>
      <c r="Q351" s="25" t="inlineStr">
        <is>
          <t>Sport bike insurance in Canada usually costs more than cruisers or tourers. See how engine size, theft and claims drive the gap. Compare bike types.</t>
        </is>
      </c>
      <c r="R351" s="36">
        <f>LEN(Q351)</f>
        <v/>
      </c>
      <c r="S351" s="36">
        <f>IF(H351="","",IF(ISNUMBER(SEARCH(SUBSTITUTE(H351,"-"," "),SUBSTITUTE(O351,"-"," "))),"Yes","Check"))</f>
        <v/>
      </c>
      <c r="T351" s="25" t="inlineStr">
        <is>
          <t>Why is sport bike insurance so expensive? | Bike categories insurers use | Estimates by bike type (table) | Engine size, power and theft risk | Lower-cost first bikes for new riders | Modifications, gear and accessory coverage</t>
        </is>
      </c>
      <c r="U351" s="25" t="inlineStr">
        <is>
          <t>What type of motorcycle is cheapest to insure? | Is a 600cc sport bike hard to insure for a new rider? | Do cruisers cost less to insure than sport bikes? | Does motorcycle insurance cover my helmet and gear?</t>
        </is>
      </c>
      <c r="V351" s="25" t="inlineStr">
        <is>
          <t>Bike-type table (sport, naked, cruiser, touring, dual-sport, scooter) with estimate ranges for a new and an experienced rider, labelled as modelled.</t>
        </is>
      </c>
      <c r="W351" s="25" t="inlineStr">
        <is>
          <t>/motorcycle-insurance/; /guides/how-much-is-motorcycle-insurance-canada/; /guides/m1-m2-motorcycle-insurance-ontario/; /quote/</t>
        </is>
      </c>
      <c r="X351" s="25" t="inlineStr">
        <is>
          <t>Request an advisor quote: Motorcycle insurance (/motorcycle-insurance/)</t>
        </is>
      </c>
      <c r="Y351" s="36" t="inlineStr">
        <is>
          <t>Article; FAQPage; BreadcrumbList</t>
        </is>
      </c>
      <c r="Z351" s="37" t="n">
        <v>1300</v>
      </c>
      <c r="AA351" s="25" t="inlineStr">
        <is>
          <t>Ratehub has a sports car page but no bike-type motorcycle comparison was seen.</t>
        </is>
      </c>
      <c r="AB351" s="25" t="inlineStr">
        <is>
          <t>Focus keyword in H1, slug, meta title, first 100 words and first H2; the 40-60 word answer names power, theft and claims as the drivers. Use the bike-type table with photos (alt: 'sport bike vs cruiser insurance estimate'), link the M1/M2 guide, and refresh each February.</t>
        </is>
      </c>
      <c r="AC351" s="25" t="inlineStr">
        <is>
          <t>Label estimates with profile and date; do not call any bike 'uninsurable'. Gear coverage varies by insurer.</t>
        </is>
      </c>
      <c r="AD351" s="36" t="inlineStr">
        <is>
          <t>Annual</t>
        </is>
      </c>
      <c r="AE351" s="38" t="n"/>
      <c r="AF351" s="38" t="n"/>
      <c r="AG351" s="38" t="n"/>
    </row>
    <row r="352" ht="23.85" customHeight="1" s="22">
      <c r="A352" s="36">
        <f>"B"&amp;TEXT(ROW()-1,"0000")</f>
        <v/>
      </c>
      <c r="B352" s="38" t="inlineStr">
        <is>
          <t>Planned</t>
        </is>
      </c>
      <c r="C352" s="36" t="n">
        <v>4</v>
      </c>
      <c r="D352" s="36" t="inlineStr">
        <is>
          <t>Recreational vehicles</t>
        </is>
      </c>
      <c r="E352" s="36" t="inlineStr">
        <is>
          <t>RV and trailer</t>
        </is>
      </c>
      <c r="F352" s="25" t="inlineStr">
        <is>
          <t>Does Your Car Insurance Cover a Trailer You Tow?</t>
        </is>
      </c>
      <c r="G352" s="36" t="inlineStr">
        <is>
          <t>https://instasure.ca/guides/does-car-insurance-cover-trailer/</t>
        </is>
      </c>
      <c r="H352" s="36" t="inlineStr">
        <is>
          <t>does my car insurance cover my trailer</t>
        </is>
      </c>
      <c r="I352" s="41">
        <f>IFERROR(INDEX('Nationwide KWs'!$D$2:$D$168,MATCH(H352,'Nationwide KWs'!$A$2:$A$168,0)),IFERROR(INDEX('Provincial KWs'!$E$2:$E$137,MATCH(H352,'Provincial KWs'!$A$2:$A$137,0)),IFERROR(INDEX('City KWs'!$F$2:$F$419,MATCH(H352,'City KWs'!$A$2:$A$419,0)),"")))</f>
        <v/>
      </c>
      <c r="J352" s="36" t="inlineStr">
        <is>
          <t>Low</t>
        </is>
      </c>
      <c r="K352" s="25" t="inlineStr">
        <is>
          <t>travel trailer insurance canada; utility trailer insurance; towing insurance canada; boat trailer insurance; trailer liability ontario</t>
        </is>
      </c>
      <c r="L352" s="36" t="inlineStr">
        <is>
          <t>Nationwide</t>
        </is>
      </c>
      <c r="M352" s="36" t="inlineStr">
        <is>
          <t>informational</t>
        </is>
      </c>
      <c r="N352" s="36" t="inlineStr">
        <is>
          <t>TOFU</t>
        </is>
      </c>
      <c r="O352" s="25" t="inlineStr">
        <is>
          <t>Does My Car Insurance Cover My Trailer? Towing Rules</t>
        </is>
      </c>
      <c r="P352" s="36">
        <f>LEN(O352)</f>
        <v/>
      </c>
      <c r="Q352" s="25" t="inlineStr">
        <is>
          <t>Does my car insurance cover my trailer? What liability extends while towing, why trailer damage needs its own cover and utility trailer rules. Check yours.</t>
        </is>
      </c>
      <c r="R352" s="36">
        <f>LEN(Q352)</f>
        <v/>
      </c>
      <c r="S352" s="36">
        <f>IF(H352="","",IF(ISNUMBER(SEARCH(SUBSTITUTE(H352,"-"," "),SUBSTITUTE(O352,"-"," "))),"Yes","Check"))</f>
        <v/>
      </c>
      <c r="T352" s="25" t="inlineStr">
        <is>
          <t>Does car insurance cover a trailer? | Liability while towing: what extends | Damage to the trailer itself | Contents and gear in the trailer | Utility, boat and cargo trailers | When the trailer is unhitched or parked</t>
        </is>
      </c>
      <c r="U352" s="25" t="inlineStr">
        <is>
          <t>Is my utility trailer covered by my car insurance? | Do I need separate insurance for a travel trailer? | Does my policy cover a rented trailer? | Is a boat trailer covered by boat insurance?</t>
        </is>
      </c>
      <c r="V352" s="25" t="inlineStr">
        <is>
          <t>Coverage matrix by trailer type (utility, travel, boat, rental) and situation (towing, parked, stored) showing which policy responds.</t>
        </is>
      </c>
      <c r="W352" s="25" t="inlineStr">
        <is>
          <t>/rv-insurance/; /boat-insurance/; /car-insurance/; /guides/rv-insurance-cost-canada/</t>
        </is>
      </c>
      <c r="X352" s="25" t="inlineStr">
        <is>
          <t>Request an advisor quote: RV &amp; trailer insurance (/rv-insurance/)</t>
        </is>
      </c>
      <c r="Y352" s="36" t="inlineStr">
        <is>
          <t>Article; FAQPage; BreadcrumbList</t>
        </is>
      </c>
      <c r="Z352" s="37" t="n">
        <v>1200</v>
      </c>
      <c r="AA352" s="25" t="inlineStr">
        <is>
          <t>No competitor coverage seen as a dedicated guide; Ratehub's trailer page is product-led.</t>
        </is>
      </c>
      <c r="AB352" s="25" t="inlineStr">
        <is>
          <t>Focus keyword in H1, slug, meta title, first 100 words and first H2; the 40-60 word answer separates towing liability from trailer damage. Use the coverage matrix, link the RV and boat pages, and review annually.</t>
        </is>
      </c>
      <c r="AC352" s="25" t="inlineStr">
        <is>
          <t>Describe liability extension as typical and point to policy wording; verify provincial trailer registration rules.</t>
        </is>
      </c>
      <c r="AD352" s="36" t="inlineStr">
        <is>
          <t>Annual</t>
        </is>
      </c>
      <c r="AE352" s="38" t="n"/>
      <c r="AF352" s="38" t="n"/>
      <c r="AG352" s="38" t="n"/>
    </row>
    <row r="353" ht="35.05" customHeight="1" s="22">
      <c r="A353" s="36">
        <f>"B"&amp;TEXT(ROW()-1,"0000")</f>
        <v/>
      </c>
      <c r="B353" s="38" t="inlineStr">
        <is>
          <t>Planned</t>
        </is>
      </c>
      <c r="C353" s="36" t="n">
        <v>4</v>
      </c>
      <c r="D353" s="36" t="inlineStr">
        <is>
          <t>Recreational vehicles</t>
        </is>
      </c>
      <c r="E353" s="36" t="inlineStr">
        <is>
          <t>RV and trailer</t>
        </is>
      </c>
      <c r="F353" s="25" t="inlineStr">
        <is>
          <t>Seasonal Campsite Trailer Insurance: Park Models and Fixed Sites</t>
        </is>
      </c>
      <c r="G353" s="36" t="inlineStr">
        <is>
          <t>https://instasure.ca/guides/seasonal-trailer-insurance-ontario/</t>
        </is>
      </c>
      <c r="H353" s="36" t="inlineStr">
        <is>
          <t>seasonal trailer insurance</t>
        </is>
      </c>
      <c r="I353" s="41">
        <f>IFERROR(INDEX('Nationwide KWs'!$D$2:$D$168,MATCH(H353,'Nationwide KWs'!$A$2:$A$168,0)),IFERROR(INDEX('Provincial KWs'!$E$2:$E$137,MATCH(H353,'Provincial KWs'!$A$2:$A$137,0)),IFERROR(INDEX('City KWs'!$F$2:$F$419,MATCH(H353,'City KWs'!$A$2:$A$419,0)),"")))</f>
        <v/>
      </c>
      <c r="J353" s="36" t="inlineStr">
        <is>
          <t>Niche</t>
        </is>
      </c>
      <c r="K353" s="25" t="inlineStr">
        <is>
          <t>seasonal campsite insurance ontario; park model trailer insurance; trailer at campground insurance; campground liability insurance requirement; deck and shed coverage trailer</t>
        </is>
      </c>
      <c r="L353" s="36" t="inlineStr">
        <is>
          <t>Province: Ontario</t>
        </is>
      </c>
      <c r="M353" s="36" t="inlineStr">
        <is>
          <t>commercial</t>
        </is>
      </c>
      <c r="N353" s="36" t="inlineStr">
        <is>
          <t>MOFU</t>
        </is>
      </c>
      <c r="O353" s="25" t="inlineStr">
        <is>
          <t>Seasonal Trailer Insurance: Park Models and Campsite Rules</t>
        </is>
      </c>
      <c r="P353" s="36">
        <f>LEN(O353)</f>
        <v/>
      </c>
      <c r="Q353" s="25" t="inlineStr">
        <is>
          <t>Seasonal trailer insurance for park models and trailers on a fixed site: campground liability rules, decks and sheds, weather and theft. Ask an advisor.</t>
        </is>
      </c>
      <c r="R353" s="36">
        <f>LEN(Q353)</f>
        <v/>
      </c>
      <c r="S353" s="36">
        <f>IF(H353="","",IF(ISNUMBER(SEARCH(SUBSTITUTE(H353,"-"," "),SUBSTITUTE(O353,"-"," "))),"Yes","Check"))</f>
        <v/>
      </c>
      <c r="T353" s="25" t="inlineStr">
        <is>
          <t>What insurance does a seasonal campsite trailer need? | Campground liability requirements | Park model trailers vs travel trailers | Decks, sheds and golf carts | Weather, theft and winter at the site | Using the trailer as a cottage</t>
        </is>
      </c>
      <c r="U353" s="25" t="inlineStr">
        <is>
          <t>Does my campground require liability insurance? | Is a park model trailer insured like a cottage? | Are decks and sheds covered at a seasonal site? | Is my trailer covered over the winter at the campground?</t>
        </is>
      </c>
      <c r="V353" s="25" t="inlineStr">
        <is>
          <t>Site checklist (trailer, deck, shed, golf cart, contents, liability) showing which policy typically covers each item, plus questions to ask the campground.</t>
        </is>
      </c>
      <c r="W353" s="25" t="inlineStr">
        <is>
          <t>/rv-insurance/; /home-insurance/cottage-and-seasonal/; /home-insurance/mobile-and-manufactured/; /guides/rv-insurance-cost-canada/</t>
        </is>
      </c>
      <c r="X353" s="25" t="inlineStr">
        <is>
          <t>Request a specialist call: Cottage &amp; rural property desk (/home-insurance/cottage-and-seasonal/)</t>
        </is>
      </c>
      <c r="Y353" s="36" t="inlineStr">
        <is>
          <t>Article; FAQPage; BreadcrumbList</t>
        </is>
      </c>
      <c r="Z353" s="37" t="n">
        <v>1200</v>
      </c>
      <c r="AA353" s="25" t="inlineStr">
        <is>
          <t>No competitor coverage seen; Rates.ca covers cottage rental only.</t>
        </is>
      </c>
      <c r="AB353" s="25" t="inlineStr">
        <is>
          <t>Focus keyword in H1, slug, meta title, first 100 words and first H2; the 40-60 word answer lists campground liability plus damage cover. Use the site checklist, link the cottage desk with 'cottage and seasonal insurance' anchor, and publish each April.</t>
        </is>
      </c>
      <c r="AC353" s="25" t="inlineStr">
        <is>
          <t>Campground requirements vary, so describe them as common. Verify whether insurers treat park models as dwellings or as vehicles.</t>
        </is>
      </c>
      <c r="AD353" s="36" t="inlineStr">
        <is>
          <t>Annual</t>
        </is>
      </c>
      <c r="AE353" s="38" t="n"/>
      <c r="AF353" s="38" t="n"/>
      <c r="AG353" s="38" t="n"/>
    </row>
    <row r="354" ht="35.05" customHeight="1" s="22">
      <c r="A354" s="36">
        <f>"B"&amp;TEXT(ROW()-1,"0000")</f>
        <v/>
      </c>
      <c r="B354" s="38" t="inlineStr">
        <is>
          <t>Planned</t>
        </is>
      </c>
      <c r="C354" s="36" t="n">
        <v>5</v>
      </c>
      <c r="D354" s="36" t="inlineStr">
        <is>
          <t>Recreational vehicles</t>
        </is>
      </c>
      <c r="E354" s="36" t="inlineStr">
        <is>
          <t>Boat and personal watercraft</t>
        </is>
      </c>
      <c r="F354" s="25" t="inlineStr">
        <is>
          <t>Pleasure Craft Operator Card, Boat Licence and Insurance: What Boaters Need</t>
        </is>
      </c>
      <c r="G354" s="36" t="inlineStr">
        <is>
          <t>https://instasure.ca/guides/pleasure-craft-operator-card-insurance/</t>
        </is>
      </c>
      <c r="H354" s="36" t="inlineStr">
        <is>
          <t>pleasure craft operator card</t>
        </is>
      </c>
      <c r="I354" s="41">
        <f>IFERROR(INDEX('Nationwide KWs'!$D$2:$D$168,MATCH(H354,'Nationwide KWs'!$A$2:$A$168,0)),IFERROR(INDEX('Provincial KWs'!$E$2:$E$137,MATCH(H354,'Provincial KWs'!$A$2:$A$137,0)),IFERROR(INDEX('City KWs'!$F$2:$F$419,MATCH(H354,'City KWs'!$A$2:$A$419,0)),"")))</f>
        <v/>
      </c>
      <c r="J354" s="36" t="inlineStr">
        <is>
          <t>Medium</t>
        </is>
      </c>
      <c r="K354" s="25" t="inlineStr">
        <is>
          <t>boat licence canada; pleasure craft licence vs registration; do you need a boat licence in ontario; pcoc insurance discount; boating safety course canada</t>
        </is>
      </c>
      <c r="L354" s="36" t="inlineStr">
        <is>
          <t>Nationwide</t>
        </is>
      </c>
      <c r="M354" s="36" t="inlineStr">
        <is>
          <t>informational</t>
        </is>
      </c>
      <c r="N354" s="36" t="inlineStr">
        <is>
          <t>TOFU</t>
        </is>
      </c>
      <c r="O354" s="25" t="inlineStr">
        <is>
          <t>Pleasure Craft Operator Card vs Boat Licence: What You Need</t>
        </is>
      </c>
      <c r="P354" s="36">
        <f>LEN(O354)</f>
        <v/>
      </c>
      <c r="Q354" s="25" t="inlineStr">
        <is>
          <t>Pleasure craft operator card, licence and registration explained: who needs each, age and horsepower rules and how they affect boat insurance. Read more.</t>
        </is>
      </c>
      <c r="R354" s="36">
        <f>LEN(Q354)</f>
        <v/>
      </c>
      <c r="S354" s="36">
        <f>IF(H354="","",IF(ISNUMBER(SEARCH(SUBSTITUTE(H354,"-"," "),SUBSTITUTE(O354,"-"," "))),"Yes","Check"))</f>
        <v/>
      </c>
      <c r="T354" s="25" t="inlineStr">
        <is>
          <t>What do Canadian boaters need: PCOC, licence or registration? | The Pleasure Craft Operator Card (proof of competency) | Pleasure craft licence vs vessel registration | Age and horsepower restrictions | Rentals, visitors and non-residents | How proof of competency affects boat insurance</t>
        </is>
      </c>
      <c r="U354" s="25" t="inlineStr">
        <is>
          <t>Is a PCOC the same as a boat licence? | Do I need a PCOC to drive a Sea-Doo? | Does a boating course lower insurance? | Do rental boats require a PCOC?</t>
        </is>
      </c>
      <c r="V354" s="25" t="inlineStr">
        <is>
          <t>Comparison table of the PCOC, pleasure craft licence and registration (who needs it, cost, validity, source), plus a pre-season boater checklist.</t>
        </is>
      </c>
      <c r="W354" s="25" t="inlineStr">
        <is>
          <t>/boat-insurance/; /guides/boat-insurance-cost-canada/; /guides/personal-watercraft-sea-doo-insurance/; /home-insurance/cottage-and-seasonal/</t>
        </is>
      </c>
      <c r="X354" s="25" t="inlineStr">
        <is>
          <t>Request an advisor quote: Boat insurance (/boat-insurance/)</t>
        </is>
      </c>
      <c r="Y354" s="36" t="inlineStr">
        <is>
          <t>Article; FAQPage; BreadcrumbList</t>
        </is>
      </c>
      <c r="Z354" s="37" t="n">
        <v>1200</v>
      </c>
      <c r="AA354" s="25" t="inlineStr">
        <is>
          <t>No competitor coverage seen among the six competitors; the topic is held by Transport Canada and course providers.</t>
        </is>
      </c>
      <c r="AB354" s="25" t="inlineStr">
        <is>
          <t>Focus keyword in H1, slug, meta title, first 100 words and first H2; the 40-60 word answer separates the PCOC from licence and registration. Use the comparison table, link the boat cost guide, and update on any Transport Canada change.</t>
        </is>
      </c>
      <c r="AC354" s="25" t="inlineStr">
        <is>
          <t>Verify every PCOC, licensing, registration, age and horsepower rule at Transport Canada. Do not imply that a PCOC guarantees an insurance discount.</t>
        </is>
      </c>
      <c r="AD354" s="36" t="inlineStr">
        <is>
          <t>On rule change</t>
        </is>
      </c>
      <c r="AE354" s="38" t="n"/>
      <c r="AF354" s="38" t="n"/>
      <c r="AG354" s="38" t="n"/>
    </row>
    <row r="355" ht="57.45" customHeight="1" s="22">
      <c r="A355" s="36">
        <f>"B"&amp;TEXT(ROW()-1,"0000")</f>
        <v/>
      </c>
      <c r="B355" s="38" t="inlineStr">
        <is>
          <t>Planned</t>
        </is>
      </c>
      <c r="C355" s="36" t="n">
        <v>1</v>
      </c>
      <c r="D355" s="36" t="inlineStr">
        <is>
          <t>Home insurance</t>
        </is>
      </c>
      <c r="E355" s="36" t="inlineStr">
        <is>
          <t>Claims</t>
        </is>
      </c>
      <c r="F355" s="25" t="inlineStr">
        <is>
          <t>Home Insurance Non-Renewal: Why It Happens and What to Do Next</t>
        </is>
      </c>
      <c r="G355" s="36" t="inlineStr">
        <is>
          <t>https://instasure.ca/guides/home-insurance-non-renewal/</t>
        </is>
      </c>
      <c r="H355" s="36" t="inlineStr">
        <is>
          <t>home insurance non renewal</t>
        </is>
      </c>
      <c r="I355" s="41">
        <f>IFERROR(INDEX('Nationwide KWs'!$D$2:$D$168,MATCH(H355,'Nationwide KWs'!$A$2:$A$168,0)),IFERROR(INDEX('Provincial KWs'!$E$2:$E$137,MATCH(H355,'Provincial KWs'!$A$2:$A$137,0)),IFERROR(INDEX('City KWs'!$F$2:$F$419,MATCH(H355,'City KWs'!$A$2:$A$419,0)),"")))</f>
        <v/>
      </c>
      <c r="J355" s="36" t="inlineStr">
        <is>
          <t>Low</t>
        </is>
      </c>
      <c r="K355" s="25" t="inlineStr">
        <is>
          <t>home insurance cancelled what to do; insurer won't renew home insurance; home insurance cancelled after claim; notice of non-renewal ontario; find home insurance after cancellation</t>
        </is>
      </c>
      <c r="L355" s="36" t="inlineStr">
        <is>
          <t>Nationwide</t>
        </is>
      </c>
      <c r="M355" s="36" t="inlineStr">
        <is>
          <t>commercial</t>
        </is>
      </c>
      <c r="N355" s="36" t="inlineStr">
        <is>
          <t>BOFU</t>
        </is>
      </c>
      <c r="O355" s="25" t="inlineStr">
        <is>
          <t>Home Insurance Non-Renewal: Why It Happens, What to Do</t>
        </is>
      </c>
      <c r="P355" s="36">
        <f>LEN(O355)</f>
        <v/>
      </c>
      <c r="Q355" s="25" t="inlineStr">
        <is>
          <t>Got a home insurance non-renewal notice? Common reasons, notice rules, how to disclose it to new insurers and how a specialist can help. Get help today.</t>
        </is>
      </c>
      <c r="R355" s="36">
        <f>LEN(Q355)</f>
        <v/>
      </c>
      <c r="S355" s="36">
        <f>IF(H355="","",IF(ISNUMBER(SEARCH(SUBSTITUTE(H355,"-"," "),SUBSTITUTE(O355,"-"," "))),"Yes","Check"))</f>
        <v/>
      </c>
      <c r="T355" s="25" t="inlineStr">
        <is>
          <t>What a non-renewal notice means | Common reasons: claims, perils, home condition, vacancy | Notice periods and your rights | How to answer 'have you been cancelled or declined?' | Where to find coverage next | Fixing the cause to return to standard rates | Get help from the hard-to-insure desk</t>
        </is>
      </c>
      <c r="U355" s="25" t="inlineStr">
        <is>
          <t>Why would an insurer not renew my home insurance? | How much notice must an insurer give before non-renewal? | Do I have to tell a new insurer I was non-renewed? | Can I get standard home insurance again after a non-renewal?</t>
        </is>
      </c>
      <c r="V355" s="25" t="inlineStr">
        <is>
          <t>Decision tree from the reason on the notice (claims frequency, roof age, wiring, oil tank, vacancy, flood zone) to the fix and the market most likely to write the home, plus a 30-day action timeline.</t>
        </is>
      </c>
      <c r="W355" s="25" t="inlineStr">
        <is>
          <t>/home-insurance/hard-to-insure/; /guides/high-risk-home-insurance/; /guides/knob-and-tube-wiring-home-insurance/; /guides/oil-tank-home-insurance/; /home-insurance/</t>
        </is>
      </c>
      <c r="X355" s="25" t="inlineStr">
        <is>
          <t>Request a specialist call: Hard-to-insure property desk (/home-insurance/hard-to-insure/)</t>
        </is>
      </c>
      <c r="Y355" s="36" t="inlineStr">
        <is>
          <t>Article; FAQPage; BreadcrumbList</t>
        </is>
      </c>
      <c r="Z355" s="37" t="n">
        <v>1600</v>
      </c>
      <c r="AA355" s="25" t="inlineStr">
        <is>
          <t>The keyword map notes no comparison site has a page for declined or non-renewed homes; local brokers cover it thinly and none offers a staffed desk.</t>
        </is>
      </c>
      <c r="AB355" s="25" t="inlineStr">
        <is>
          <t>Use 'home insurance non-renewal' in the H1, slug, meta title, first 100 words and first H2, with a 40–60 word answer on what the notice means and the first three steps. Add the decision tree as a table and the 30-day timeline; link 'hard-to-insure property desk' to /home-insurance/hard-to-insure/ and 'knob-and-tube wiring' to that guide; alt text 'decision tree after a home insurance non-renewal'. Licensed P&amp;C reviewer; cite provincial Insurance Act statutory conditions and GIO; refresh annually.</t>
        </is>
      </c>
      <c r="AC355" s="25" t="inlineStr">
        <is>
          <t>Verify statutory notice periods for non-renewal and cancellation in each province's Insurance Act before stating them. Never imply a placement is guaranteed.</t>
        </is>
      </c>
      <c r="AD355" s="36" t="inlineStr">
        <is>
          <t>Annual</t>
        </is>
      </c>
      <c r="AE355" s="38" t="n"/>
      <c r="AF355" s="38" t="n"/>
      <c r="AG355" s="38" t="n"/>
    </row>
    <row r="356" ht="68.65000000000001" customHeight="1" s="22">
      <c r="A356" s="36">
        <f>"B"&amp;TEXT(ROW()-1,"0000")</f>
        <v/>
      </c>
      <c r="B356" s="38" t="inlineStr">
        <is>
          <t>Published</t>
        </is>
      </c>
      <c r="C356" s="36" t="n">
        <v>1</v>
      </c>
      <c r="D356" s="36" t="inlineStr">
        <is>
          <t>Home insurance</t>
        </is>
      </c>
      <c r="E356" s="36" t="inlineStr">
        <is>
          <t>Cost &amp; pricing</t>
        </is>
      </c>
      <c r="F356" s="25" t="inlineStr">
        <is>
          <t>Average Home Insurance Cost in Canada by Province and City</t>
        </is>
      </c>
      <c r="G356" s="36" t="inlineStr">
        <is>
          <t>https://instasure.ca/guides/average-home-insurance-cost-canada/</t>
        </is>
      </c>
      <c r="H356" s="36" t="inlineStr">
        <is>
          <t>average home insurance cost canada</t>
        </is>
      </c>
      <c r="I356" s="41">
        <f>IFERROR(INDEX('Nationwide KWs'!$D$2:$D$168,MATCH(H356,'Nationwide KWs'!$A$2:$A$168,0)),IFERROR(INDEX('Provincial KWs'!$E$2:$E$137,MATCH(H356,'Provincial KWs'!$A$2:$A$137,0)),IFERROR(INDEX('City KWs'!$F$2:$F$419,MATCH(H356,'City KWs'!$A$2:$A$419,0)),"")))</f>
        <v/>
      </c>
      <c r="J356" s="36" t="inlineStr">
        <is>
          <t>Medium</t>
        </is>
      </c>
      <c r="K356" s="25" t="inlineStr">
        <is>
          <t>how much is home insurance in canada; home insurance cost by province; home insurance cost per month canada; average home insurance ontario; average home insurance alberta</t>
        </is>
      </c>
      <c r="L356" s="36" t="inlineStr">
        <is>
          <t>Nationwide</t>
        </is>
      </c>
      <c r="M356" s="36" t="inlineStr">
        <is>
          <t>informational</t>
        </is>
      </c>
      <c r="N356" s="36" t="inlineStr">
        <is>
          <t>MOFU</t>
        </is>
      </c>
      <c r="O356" s="25" t="inlineStr">
        <is>
          <t>Average Home Insurance Cost in Canada by Province</t>
        </is>
      </c>
      <c r="P356" s="36">
        <f>LEN(O356)</f>
        <v/>
      </c>
      <c r="Q356" s="25" t="inlineStr">
        <is>
          <t>See the average home insurance cost in Canada by province and major city, what drives the gaps, and a dated example table. Get your own estimate.</t>
        </is>
      </c>
      <c r="R356" s="36">
        <f>LEN(Q356)</f>
        <v/>
      </c>
      <c r="S356" s="36">
        <f>IF(H356="","",IF(ISNUMBER(SEARCH(SUBSTITUTE(H356,"-"," "),SUBSTITUTE(O356,"-"," "))),"Yes","Check"))</f>
        <v/>
      </c>
      <c r="T356" s="25" t="inlineStr">
        <is>
          <t>What is the average home insurance cost in Canada? | Home insurance cost by province (dated table) | Costs in major cities | Why premiums differ between provinces | What a typical policy includes at that price | How to pay less than the average | How we built these estimates</t>
        </is>
      </c>
      <c r="U356" s="25" t="inlineStr">
        <is>
          <t>How much is home insurance per month in Canada? | Which province has the most expensive home insurance? | Why is home insurance in Alberta so high? | Does the average include sewer backup and overland flood coverage?</t>
        </is>
      </c>
      <c r="V356" s="25" t="inlineStr">
        <is>
          <t>Province-by-province table (10 provinces plus territories) of modelled annual and monthly estimates for one stated profile (detached house, $2M liability, $1,000 deductible, sewer backup included) next to the latest Applied Rating Index regional change, with an 'as of' date and a city table fed by the Instasure Rate Index.</t>
        </is>
      </c>
      <c r="W356" s="25" t="inlineStr">
        <is>
          <t>/home-insurance/; /insights/rate-index/; /home-insurance/ontario/; /home-insurance/alberta/; /guides/why-is-home-insurance-going-up/</t>
        </is>
      </c>
      <c r="X356" s="25" t="inlineStr">
        <is>
          <t>Instant home insurance estimate (/quote/home-insurance/)</t>
        </is>
      </c>
      <c r="Y356" s="36" t="inlineStr">
        <is>
          <t>Article; FAQPage; BreadcrumbList</t>
        </is>
      </c>
      <c r="Z356" s="37" t="n">
        <v>2200</v>
      </c>
      <c r="AA356" s="25" t="inlineStr">
        <is>
          <t>Ratehub publishes single-market average posts (average-home-insurance-cost-calgary, -edmonton, -alberta) and Rates.ca quotes Ontario at $2,235 (Q2 2026), but nobody has one dated national table with a stated profile; Sonnet shows single first-party city figures only.</t>
        </is>
      </c>
      <c r="AB356" s="25" t="inlineStr">
        <is>
          <t>Use 'average home insurance cost' plus 'Canada' in the H1, slug, meta title, first 100 words and first H2, then answer in 40–60 words with the national range, the profile and the 'as of' month. Build one province table and one city table with labelled rows and columns; link 'home insurance in Ontario' to /home-insurance/ontario/ and 'Instasure Rate Index' to /insights/rate-index/; alt text 'table of average home insurance cost by province in Canada'. Add a 'Reviewed by' licensed P&amp;C advisor, cite the Applied Rating Index, IBC and insurer filings, and refresh every quarter.</t>
        </is>
      </c>
      <c r="AC356" s="25" t="inlineStr">
        <is>
          <t>Verify every figure (Applied Q2 2026 personal property +5.8% and regional changes; any Rates.ca or Ratehub averages quoted) against the primary release and date it. Label Instasure figures as modelled estimates for a stated profile and avoid 'cheapest province' wording.</t>
        </is>
      </c>
      <c r="AD356" s="36" t="inlineStr">
        <is>
          <t>Quarterly</t>
        </is>
      </c>
      <c r="AE356" s="38" t="inlineStr">
        <is>
          <t>Michael Le Chi</t>
        </is>
      </c>
      <c r="AF356" s="38" t="n"/>
      <c r="AG356" s="38" t="inlineStr">
        <is>
          <t>2026-10-03</t>
        </is>
      </c>
    </row>
    <row r="357" ht="57.45" customHeight="1" s="22">
      <c r="A357" s="36">
        <f>"B"&amp;TEXT(ROW()-1,"0000")</f>
        <v/>
      </c>
      <c r="B357" s="38" t="inlineStr">
        <is>
          <t>Published</t>
        </is>
      </c>
      <c r="C357" s="36" t="n">
        <v>1</v>
      </c>
      <c r="D357" s="36" t="inlineStr">
        <is>
          <t>Home insurance</t>
        </is>
      </c>
      <c r="E357" s="36" t="inlineStr">
        <is>
          <t>Cost &amp; pricing</t>
        </is>
      </c>
      <c r="F357" s="25" t="inlineStr">
        <is>
          <t>Why Is Home Insurance Going Up? 2026 Causes by Province</t>
        </is>
      </c>
      <c r="G357" s="36" t="inlineStr">
        <is>
          <t>https://instasure.ca/guides/why-is-home-insurance-going-up/</t>
        </is>
      </c>
      <c r="H357" s="36" t="inlineStr">
        <is>
          <t>why is home insurance going up</t>
        </is>
      </c>
      <c r="I357" s="41">
        <f>IFERROR(INDEX('Nationwide KWs'!$D$2:$D$168,MATCH(H357,'Nationwide KWs'!$A$2:$A$168,0)),IFERROR(INDEX('Provincial KWs'!$E$2:$E$137,MATCH(H357,'Provincial KWs'!$A$2:$A$137,0)),IFERROR(INDEX('City KWs'!$F$2:$F$419,MATCH(H357,'City KWs'!$A$2:$A$419,0)),"")))</f>
        <v/>
      </c>
      <c r="J357" s="36" t="inlineStr">
        <is>
          <t>Medium</t>
        </is>
      </c>
      <c r="K357" s="25" t="inlineStr">
        <is>
          <t>home insurance increase 2026; why did my home insurance go up; home insurance renewal increase; home insurance rates canada 2026; climate change home insurance canada</t>
        </is>
      </c>
      <c r="L357" s="36" t="inlineStr">
        <is>
          <t>Nationwide</t>
        </is>
      </c>
      <c r="M357" s="36" t="inlineStr">
        <is>
          <t>informational</t>
        </is>
      </c>
      <c r="N357" s="36" t="inlineStr">
        <is>
          <t>TOFU</t>
        </is>
      </c>
      <c r="O357" s="25" t="inlineStr">
        <is>
          <t>Why Is Home Insurance Going Up? 2026 Causes by Province</t>
        </is>
      </c>
      <c r="P357" s="36">
        <f>LEN(O357)</f>
        <v/>
      </c>
      <c r="Q357" s="25" t="inlineStr">
        <is>
          <t>Why is home insurance going up? Storm losses, rebuild costs and water claims explained by province, with steps to cut your renewal. Get an estimate.</t>
        </is>
      </c>
      <c r="R357" s="36">
        <f>LEN(Q357)</f>
        <v/>
      </c>
      <c r="S357" s="36">
        <f>IF(H357="","",IF(ISNUMBER(SEARCH(SUBSTITUTE(H357,"-"," "),SUBSTITUTE(O357,"-"," "))),"Yes","Check"))</f>
        <v/>
      </c>
      <c r="T357" s="25" t="inlineStr">
        <is>
          <t>Why home insurance is going up: the short answer | Catastrophe losses: hail, wildfire, flood and ice storms | Rebuilding, materials and labour costs | Water damage and sewer backup claims | How much premiums rose by province | What you can do at renewal | When to ask an advisor to shop your policy</t>
        </is>
      </c>
      <c r="U357" s="25" t="inlineStr">
        <is>
          <t>How much did home insurance go up in 2026? | Will home insurance go down in 2027? | Why did my premium rise if I made no claims? | Is it worth switching insurers at renewal?</t>
        </is>
      </c>
      <c r="V357" s="25" t="inlineStr">
        <is>
          <t>Quarterly-updated table of personal property premium change by region from the Applied Rating Index (AB, BC, ON, QC, Atlantic, SK/MB) beside IBC/CatIQ insured catastrophe losses by year, plus a one-page renewal-notice checklist.</t>
        </is>
      </c>
      <c r="W357" s="25" t="inlineStr">
        <is>
          <t>/home-insurance/; /guides/average-home-insurance-cost-canada/; /guides/how-to-lower-home-insurance-premiums/; /guides/does-home-insurance-cover-water-damage-canada/; /insights/rate-index/</t>
        </is>
      </c>
      <c r="X357" s="25" t="inlineStr">
        <is>
          <t>Instant home insurance estimate to compare against your renewal notice (/quote/home-insurance/)</t>
        </is>
      </c>
      <c r="Y357" s="36" t="inlineStr">
        <is>
          <t>Article; FAQPage; BreadcrumbList</t>
        </is>
      </c>
      <c r="Z357" s="37" t="n">
        <v>1800</v>
      </c>
      <c r="AA357" s="25" t="inlineStr">
        <is>
          <t>The keyword map shows only news coverage; Rates.ca has a survey post (frustrated-rising-home-insurance-premiums-blame-climate-change) and Sonnet a keep-home-insurance-from-increasing post, but nobody publishes a dated province breakdown refreshed each quarter.</t>
        </is>
      </c>
      <c r="AB357" s="25" t="inlineStr">
        <is>
          <t>Put 'why is home insurance going up' in the H1, slug, meta title, first sentence and first H2, then answer in 40–60 words naming the three main causes and the latest national change with its quarter. Add a province change table and a renewal checklist; link 'average home insurance cost' to the cost guide and 'water damage' to the existing water guide; alt text 'chart of home insurance premium change by province'. Licensed P&amp;C reviewer; cite Applied Rating Index, IBC and CatIQ; refresh with each quarterly Applied release.</t>
        </is>
      </c>
      <c r="AC357" s="25" t="inlineStr">
        <is>
          <t>Verify Applied Q2 2026 property figures (+5.8% national; AB +11.9%, SK/MB +10.8%, Atlantic +8.9%) and IBC's 2025 severe-weather losses above $2.4B before publishing. Do not forecast future rates as fact.</t>
        </is>
      </c>
      <c r="AD357" s="36" t="inlineStr">
        <is>
          <t>Quarterly</t>
        </is>
      </c>
      <c r="AE357" s="38" t="inlineStr">
        <is>
          <t>Michael Le Chi</t>
        </is>
      </c>
      <c r="AF357" s="38" t="n"/>
      <c r="AG357" s="38" t="inlineStr">
        <is>
          <t>2026-10-12</t>
        </is>
      </c>
    </row>
    <row r="358" ht="57.45" customHeight="1" s="22">
      <c r="A358" s="36">
        <f>"B"&amp;TEXT(ROW()-1,"0000")</f>
        <v/>
      </c>
      <c r="B358" s="38" t="inlineStr">
        <is>
          <t>Planned</t>
        </is>
      </c>
      <c r="C358" s="36" t="n">
        <v>1</v>
      </c>
      <c r="D358" s="36" t="inlineStr">
        <is>
          <t>Home insurance</t>
        </is>
      </c>
      <c r="E358" s="36" t="inlineStr">
        <is>
          <t>Hard-to-insure</t>
        </is>
      </c>
      <c r="F358" s="25" t="inlineStr">
        <is>
          <t>High-Risk Home Insurance: Why Homes Get Declined and Who Insures Them</t>
        </is>
      </c>
      <c r="G358" s="36" t="inlineStr">
        <is>
          <t>https://instasure.ca/guides/high-risk-home-insurance/</t>
        </is>
      </c>
      <c r="H358" s="36" t="inlineStr">
        <is>
          <t>high risk home insurance</t>
        </is>
      </c>
      <c r="I358" s="41">
        <f>IFERROR(INDEX('Nationwide KWs'!$D$2:$D$168,MATCH(H358,'Nationwide KWs'!$A$2:$A$168,0)),IFERROR(INDEX('Provincial KWs'!$E$2:$E$137,MATCH(H358,'Provincial KWs'!$A$2:$A$137,0)),IFERROR(INDEX('City KWs'!$F$2:$F$419,MATCH(H358,'City KWs'!$A$2:$A$419,0)),"")))</f>
        <v/>
      </c>
      <c r="J358" s="36" t="inlineStr">
        <is>
          <t>Low</t>
        </is>
      </c>
      <c r="K358" s="25" t="inlineStr">
        <is>
          <t>cant get home insurance; declined home insurance; non-standard home insurance canada; specialty home insurance; home insurance after multiple claims</t>
        </is>
      </c>
      <c r="L358" s="36" t="inlineStr">
        <is>
          <t>Nationwide</t>
        </is>
      </c>
      <c r="M358" s="36" t="inlineStr">
        <is>
          <t>commercial</t>
        </is>
      </c>
      <c r="N358" s="36" t="inlineStr">
        <is>
          <t>BOFU</t>
        </is>
      </c>
      <c r="O358" s="25" t="inlineStr">
        <is>
          <t>High-Risk Home Insurance: Why Homes Get Declined in Canada</t>
        </is>
      </c>
      <c r="P358" s="36">
        <f>LEN(O358)</f>
        <v/>
      </c>
      <c r="Q358" s="25" t="inlineStr">
        <is>
          <t>High-risk home insurance in Canada: 10 reasons homes get declined, how specialty insurers price them and the fixes that get you back to standard. Get help.</t>
        </is>
      </c>
      <c r="R358" s="36">
        <f>LEN(Q358)</f>
        <v/>
      </c>
      <c r="S358" s="36">
        <f>IF(H358="","",IF(ISNUMBER(SEARCH(SUBSTITUTE(H358,"-"," "),SUBSTITUTE(O358,"-"," "))),"Yes","Check"))</f>
        <v/>
      </c>
      <c r="T358" s="25" t="inlineStr">
        <is>
          <t>What makes a home high-risk to insure? | The 10 most common decline reasons | Specialty and non-standard insurers: how they differ | What high-risk coverage costs and excludes | Steps that move you back to a standard policy | How the hard-to-insure desk places a home</t>
        </is>
      </c>
      <c r="U358" s="25" t="inlineStr">
        <is>
          <t>Why can't I get home insurance? | Is high-risk home insurance more expensive? | How long do claims affect my home insurance? | Can a broker find coverage after several insurers decline me?</t>
        </is>
      </c>
      <c r="V358" s="25" t="inlineStr">
        <is>
          <t>Table of 10 decline reasons (claims history, wiring, oil tank, wood heat, roof age, vacancy, flood zone, short-term rental, business use, unrepaired damage) with the documents insurers ask for and the usual fix.</t>
        </is>
      </c>
      <c r="W358" s="25" t="inlineStr">
        <is>
          <t>/home-insurance/hard-to-insure/; /guides/home-insurance-non-renewal/; /guides/insuring-an-older-home/; /guides/comprehensive-vs-named-perils-home-insurance/</t>
        </is>
      </c>
      <c r="X358" s="25" t="inlineStr">
        <is>
          <t>Request a specialist call: Hard-to-insure property desk (/home-insurance/hard-to-insure/)</t>
        </is>
      </c>
      <c r="Y358" s="36" t="inlineStr">
        <is>
          <t>Article; FAQPage; BreadcrumbList</t>
        </is>
      </c>
      <c r="Z358" s="37" t="n">
        <v>1700</v>
      </c>
      <c r="AA358" s="25" t="inlineStr">
        <is>
          <t>The keyword map shows 'cant get home insurance' and 'high risk home insurance' held by local brokers and specialty MGAs; no comparison site has a declined-home page and none staffs a desk.</t>
        </is>
      </c>
      <c r="AB358" s="25" t="inlineStr">
        <is>
          <t>Use 'high-risk home insurance' in the H1, slug, meta title, first 100 words and first H2, with a 40–60 word answer on what makes a home high-risk and where coverage comes from. Put the 10-reason table near the top; link 'hard-to-insure desk' to /home-insurance/hard-to-insure/ and 'non-renewal' to that guide; alt text 'table of reasons homes get declined for insurance'. Licensed P&amp;C reviewer; cite IBC and provincial regulators; refresh annually.</t>
        </is>
      </c>
      <c r="AC358" s="25" t="inlineStr">
        <is>
          <t>Describe specialty pricing qualitatively; do not quote surcharges without a dated source. Never promise placement.</t>
        </is>
      </c>
      <c r="AD358" s="36" t="inlineStr">
        <is>
          <t>Annual</t>
        </is>
      </c>
      <c r="AE358" s="38" t="n"/>
      <c r="AF358" s="38" t="n"/>
      <c r="AG358" s="38" t="n"/>
    </row>
    <row r="359" ht="57.45" customHeight="1" s="22">
      <c r="A359" s="36">
        <f>"B"&amp;TEXT(ROW()-1,"0000")</f>
        <v/>
      </c>
      <c r="B359" s="38" t="inlineStr">
        <is>
          <t>Planned</t>
        </is>
      </c>
      <c r="C359" s="36" t="n">
        <v>1</v>
      </c>
      <c r="D359" s="36" t="inlineStr">
        <is>
          <t>Home insurance</t>
        </is>
      </c>
      <c r="E359" s="36" t="inlineStr">
        <is>
          <t>Perils</t>
        </is>
      </c>
      <c r="F359" s="25" t="inlineStr">
        <is>
          <t>Does Home Insurance Cover Wildfire? Evacuation, Living Costs and Rebuilding</t>
        </is>
      </c>
      <c r="G359" s="36" t="inlineStr">
        <is>
          <t>https://instasure.ca/guides/wildfire-home-insurance-canada/</t>
        </is>
      </c>
      <c r="H359" s="36" t="inlineStr">
        <is>
          <t>does home insurance cover wildfire</t>
        </is>
      </c>
      <c r="I359" s="41">
        <f>IFERROR(INDEX('Nationwide KWs'!$D$2:$D$168,MATCH(H359,'Nationwide KWs'!$A$2:$A$168,0)),IFERROR(INDEX('Provincial KWs'!$E$2:$E$137,MATCH(H359,'Provincial KWs'!$A$2:$A$137,0)),IFERROR(INDEX('City KWs'!$F$2:$F$419,MATCH(H359,'City KWs'!$A$2:$A$419,0)),"")))</f>
        <v/>
      </c>
      <c r="J359" s="36" t="inlineStr">
        <is>
          <t>Low</t>
        </is>
      </c>
      <c r="K359" s="25" t="inlineStr">
        <is>
          <t>wildfire insurance canada; evacuation order insurance coverage; additional living expenses wildfire; wildfire home insurance bc; wildfire home insurance alberta</t>
        </is>
      </c>
      <c r="L359" s="36" t="inlineStr">
        <is>
          <t>Nationwide</t>
        </is>
      </c>
      <c r="M359" s="36" t="inlineStr">
        <is>
          <t>informational</t>
        </is>
      </c>
      <c r="N359" s="36" t="inlineStr">
        <is>
          <t>TOFU</t>
        </is>
      </c>
      <c r="O359" s="25" t="inlineStr">
        <is>
          <t>Does Home Insurance Cover Wildfire? Evacuation and ALE</t>
        </is>
      </c>
      <c r="P359" s="36">
        <f>LEN(O359)</f>
        <v/>
      </c>
      <c r="Q359" s="25" t="inlineStr">
        <is>
          <t>Does home insurance cover wildfire in Canada? Fire and smoke damage, evacuation costs, rebuild limits and new-policy freezes explained. Check your cover.</t>
        </is>
      </c>
      <c r="R359" s="36">
        <f>LEN(Q359)</f>
        <v/>
      </c>
      <c r="S359" s="36">
        <f>IF(H359="","",IF(ISNUMBER(SEARCH(SUBSTITUTE(H359,"-"," "),SUBSTITUTE(O359,"-"," "))),"Yes","Check"))</f>
        <v/>
      </c>
      <c r="T359" s="25" t="inlineStr">
        <is>
          <t>Does home insurance cover wildfire? | Fire and smoke damage to your home and belongings | Additional living expenses during evacuation orders | Underinsurance and rebuild costs after a wildfire | Why insurers pause new policies when fires are near | FireSmart upgrades that lower risk | Making a wildfire claim</t>
        </is>
      </c>
      <c r="U359" s="25" t="inlineStr">
        <is>
          <t>Am I covered if I'm under an evacuation order but my home isn't damaged? | Does home insurance cover smoke damage? | Can I buy home insurance when a wildfire is nearby? | Does tenant insurance cover wildfire evacuation costs?</t>
        </is>
      </c>
      <c r="V359" s="25" t="inlineStr">
        <is>
          <t>Evacuation-day checklist (documents, video inventory, living-expense receipts) plus a table of what home, condo and tenant policies typically pay during a mandatory evacuation order.</t>
        </is>
      </c>
      <c r="W359" s="25" t="inlineStr">
        <is>
          <t>/home-insurance/; /home-insurance/alberta/; /home-insurance/british-columbia/; /home-insurance/cottage-and-seasonal/; /guides/how-to-file-a-home-insurance-claim/</t>
        </is>
      </c>
      <c r="X359" s="25" t="inlineStr">
        <is>
          <t>Instant home insurance estimate (/quote/home-insurance/); cottage owners: Request a specialist call: Cottage &amp; rural property desk</t>
        </is>
      </c>
      <c r="Y359" s="36" t="inlineStr">
        <is>
          <t>Article; FAQPage; BreadcrumbList</t>
        </is>
      </c>
      <c r="Z359" s="37" t="n">
        <v>1700</v>
      </c>
      <c r="AA359" s="25" t="inlineStr">
        <is>
          <t>No wildfire guide was seen on Ratehub, Rates.ca or Sonnet (the research lists AB/BC wildfire as a gap); Sonnet has only a general natural-disaster-insurance post.</t>
        </is>
      </c>
      <c r="AB359" s="25" t="inlineStr">
        <is>
          <t>Use 'does home insurance cover wildfire' in the H1, slug, meta title, first 100 words and first H2, with a 40–60 word answer covering fire, smoke and evacuation costs. Add the evacuation checklist and the home/condo/tenant table; link 'additional living expenses' to /glossary/ and 'filing a claim' to the claims guide; alt text 'checklist for a wildfire evacuation and insurance claim'. Licensed P&amp;C reviewer; cite IBC, CatIQ and FireSmart Canada; refresh annually before fire season.</t>
        </is>
      </c>
      <c r="AC359" s="25" t="inlineStr">
        <is>
          <t>Verify IBC/CatIQ wildfire loss figures (for example Flin Flon/La Ronge, about $300M in 2025) and FireSmart programme details. Describe freezes on new policies near active fires as insurer practice, not law.</t>
        </is>
      </c>
      <c r="AD359" s="36" t="inlineStr">
        <is>
          <t>Annual</t>
        </is>
      </c>
      <c r="AE359" s="38" t="n"/>
      <c r="AF359" s="38" t="n"/>
      <c r="AG359" s="38" t="n"/>
    </row>
    <row r="360" ht="68.65000000000001" customHeight="1" s="22">
      <c r="A360" s="36">
        <f>"B"&amp;TEXT(ROW()-1,"0000")</f>
        <v/>
      </c>
      <c r="B360" s="38" t="inlineStr">
        <is>
          <t>Planned</t>
        </is>
      </c>
      <c r="C360" s="36" t="n">
        <v>1</v>
      </c>
      <c r="D360" s="36" t="inlineStr">
        <is>
          <t>Home insurance</t>
        </is>
      </c>
      <c r="E360" s="36" t="inlineStr">
        <is>
          <t>Perils</t>
        </is>
      </c>
      <c r="F360" s="25" t="inlineStr">
        <is>
          <t>Earthquake Insurance in BC: Cost, Deductibles and Who Needs It</t>
        </is>
      </c>
      <c r="G360" s="36" t="inlineStr">
        <is>
          <t>https://instasure.ca/guides/earthquake-insurance-bc/</t>
        </is>
      </c>
      <c r="H360" s="36" t="inlineStr">
        <is>
          <t>earthquake insurance bc</t>
        </is>
      </c>
      <c r="I360" s="41">
        <f>IFERROR(INDEX('Nationwide KWs'!$D$2:$D$168,MATCH(H360,'Nationwide KWs'!$A$2:$A$168,0)),IFERROR(INDEX('Provincial KWs'!$E$2:$E$137,MATCH(H360,'Provincial KWs'!$A$2:$A$137,0)),IFERROR(INDEX('City KWs'!$F$2:$F$419,MATCH(H360,'City KWs'!$A$2:$A$419,0)),"")))</f>
        <v/>
      </c>
      <c r="J360" s="36" t="inlineStr">
        <is>
          <t>Medium</t>
        </is>
      </c>
      <c r="K360" s="25" t="inlineStr">
        <is>
          <t>is earthquake insurance worth it in vancouver; earthquake deductible bc; strata earthquake deductible; does home insurance cover earthquakes; earthquake insurance victoria</t>
        </is>
      </c>
      <c r="L360" s="36" t="inlineStr">
        <is>
          <t>Province: British Columbia</t>
        </is>
      </c>
      <c r="M360" s="36" t="inlineStr">
        <is>
          <t>informational</t>
        </is>
      </c>
      <c r="N360" s="36" t="inlineStr">
        <is>
          <t>MOFU</t>
        </is>
      </c>
      <c r="O360" s="25" t="inlineStr">
        <is>
          <t>Earthquake Insurance in BC: Cost, Deductibles, Who Needs It</t>
        </is>
      </c>
      <c r="P360" s="36">
        <f>LEN(O360)</f>
        <v/>
      </c>
      <c r="Q360" s="25" t="inlineStr">
        <is>
          <t>Earthquake insurance in BC: how the endorsement works, percentage deductibles, strata earthquake deductibles and who should add it. Get a BC estimate.</t>
        </is>
      </c>
      <c r="R360" s="36">
        <f>LEN(Q360)</f>
        <v/>
      </c>
      <c r="S360" s="36">
        <f>IF(H360="","",IF(ISNUMBER(SEARCH(SUBSTITUTE(H360,"-"," "),SUBSTITUTE(O360,"-"," "))),"Yes","Check"))</f>
        <v/>
      </c>
      <c r="T360" s="25" t="inlineStr">
        <is>
          <t>Does home insurance cover earthquakes in BC? | How the earthquake endorsement works | Percentage deductibles, with an example | Strata earthquake deductibles and unit owners | What it costs and what drives the price | Fire following an earthquake | Who should buy it</t>
        </is>
      </c>
      <c r="U360" s="25" t="inlineStr">
        <is>
          <t>Is earthquake insurance worth it in Vancouver? | How does an earthquake deductible work? | Does my strata's earthquake coverage protect my unit? | Is fire after an earthquake covered without the endorsement?</t>
        </is>
      </c>
      <c r="V360" s="25" t="inlineStr">
        <is>
          <t>Worked example of a percentage deductible on an illustrative rebuild limit vs a flat deductible, plus a strata-owner checklist comparing the strata's earthquake deductible with the owner's deductible-assessment limit.</t>
        </is>
      </c>
      <c r="W360" s="25" t="inlineStr">
        <is>
          <t>/home-insurance/british-columbia/; /condo-insurance/british-columbia/; /home-insurance/british-columbia/vancouver/; /guides/condo-insurance-deductible-assessment-explained/</t>
        </is>
      </c>
      <c r="X360" s="25" t="inlineStr">
        <is>
          <t>Instant home insurance estimate for BC (/quote/home-insurance/)</t>
        </is>
      </c>
      <c r="Y360" s="36" t="inlineStr">
        <is>
          <t>Article; FAQPage; BreadcrumbList</t>
        </is>
      </c>
      <c r="Z360" s="37" t="n">
        <v>1700</v>
      </c>
      <c r="AA360" s="25" t="inlineStr">
        <is>
          <t>Sonnet only notes that earthquake cover is optional in BC; the keyword map shows no competitor guide, and nobody explains strata earthquake deductibles for unit owners.</t>
        </is>
      </c>
      <c r="AB360" s="25" t="inlineStr">
        <is>
          <t>Use 'earthquake insurance BC' in the H1, slug, meta title, first 100 words and first H2, with a 40–60 word answer on whether standard policies cover quakes and what the endorsement adds. Add the deductible worked example and the strata checklist; link 'home insurance in BC' to /home-insurance/british-columbia/ and 'deductible assessment' to the condo deductible guide; alt text 'example of a BC earthquake percentage deductible'. Licensed BC general insurance reviewer; cite Natural Resources Canada, IBC and BC insurer wordings; refresh annually.</t>
        </is>
      </c>
      <c r="AC360" s="25" t="inlineStr">
        <is>
          <t>Verify typical earthquake deductible structures and whether fire following earthquake is covered under standard BC wordings. Cite Natural Resources Canada for seismic risk and do not quantify quake probability.</t>
        </is>
      </c>
      <c r="AD360" s="36" t="inlineStr">
        <is>
          <t>Annual</t>
        </is>
      </c>
      <c r="AE360" s="38" t="n"/>
      <c r="AF360" s="38" t="n"/>
      <c r="AG360" s="38" t="n"/>
    </row>
    <row r="361" ht="57.45" customHeight="1" s="22">
      <c r="A361" s="36">
        <f>"B"&amp;TEXT(ROW()-1,"0000")</f>
        <v/>
      </c>
      <c r="B361" s="38" t="inlineStr">
        <is>
          <t>Planned</t>
        </is>
      </c>
      <c r="C361" s="36" t="n">
        <v>1</v>
      </c>
      <c r="D361" s="36" t="inlineStr">
        <is>
          <t>Home insurance</t>
        </is>
      </c>
      <c r="E361" s="36" t="inlineStr">
        <is>
          <t>Regulation</t>
        </is>
      </c>
      <c r="F361" s="25" t="inlineStr">
        <is>
          <t>Canada's National Flood Insurance Program: Status and Your Options</t>
        </is>
      </c>
      <c r="G361" s="36" t="inlineStr">
        <is>
          <t>https://instasure.ca/guides/national-flood-insurance-program-canada/</t>
        </is>
      </c>
      <c r="H361" s="36" t="inlineStr">
        <is>
          <t>national flood insurance program canada</t>
        </is>
      </c>
      <c r="I361" s="41">
        <f>IFERROR(INDEX('Nationwide KWs'!$D$2:$D$168,MATCH(H361,'Nationwide KWs'!$A$2:$A$168,0)),IFERROR(INDEX('Provincial KWs'!$E$2:$E$137,MATCH(H361,'Provincial KWs'!$A$2:$A$137,0)),IFERROR(INDEX('City KWs'!$F$2:$F$419,MATCH(H361,'City KWs'!$A$2:$A$419,0)),"")))</f>
        <v/>
      </c>
      <c r="J361" s="36" t="inlineStr">
        <is>
          <t>Low</t>
        </is>
      </c>
      <c r="K361" s="25" t="inlineStr">
        <is>
          <t>cant get flood insurance canada; overland flood insurance cost; flood insurance high risk canada; flood insurance update 2026; flood zone home insurance</t>
        </is>
      </c>
      <c r="L361" s="36" t="inlineStr">
        <is>
          <t>Nationwide</t>
        </is>
      </c>
      <c r="M361" s="36" t="inlineStr">
        <is>
          <t>informational</t>
        </is>
      </c>
      <c r="N361" s="36" t="inlineStr">
        <is>
          <t>TOFU</t>
        </is>
      </c>
      <c r="O361" s="25" t="inlineStr">
        <is>
          <t>National Flood Insurance Program Canada: 2026 Status</t>
        </is>
      </c>
      <c r="P361" s="36">
        <f>LEN(O361)</f>
        <v/>
      </c>
      <c r="Q361" s="25" t="inlineStr">
        <is>
          <t>Where Canada's national flood insurance program stands, who it is for, and what high-risk homeowners can do now if flood cover is out of reach. Get help.</t>
        </is>
      </c>
      <c r="R361" s="36">
        <f>LEN(Q361)</f>
        <v/>
      </c>
      <c r="S361" s="36">
        <f>IF(H361="","",IF(ISNUMBER(SEARCH(SUBSTITUTE(H361,"-"," "),SUBSTITUTE(O361,"-"," "))),"Yes","Check"))</f>
        <v/>
      </c>
      <c r="T361" s="25" t="inlineStr">
        <is>
          <t>National flood insurance program: where it stands now | Who the program is designed for | Overland flood vs sewer backup vs storm surge | If you can't get flood cover today | Disaster financial assistance as a last resort | Flood-proofing steps insurers notice | Timeline tracker (updated)</t>
        </is>
      </c>
      <c r="U361" s="25" t="inlineStr">
        <is>
          <t>When will Canada's national flood insurance program start? | Who will qualify for the national flood program? | What can I do if no insurer offers me overland flood coverage? | Does disaster financial assistance replace insurance?</t>
        </is>
      </c>
      <c r="V361" s="25" t="inlineStr">
        <is>
          <t>Dated timeline tracker of federal announcements (funding commitments, the missed April 2026 target, next milestones) with Public Safety Canada sources, plus a decision tree for homeowners declined overland flood cover.</t>
        </is>
      </c>
      <c r="W361" s="25" t="inlineStr">
        <is>
          <t>/guides/does-home-insurance-cover-water-damage-canada/; /home-insurance/hard-to-insure/; /home-insurance/; /guides/basement-flood-insurance-toronto/</t>
        </is>
      </c>
      <c r="X361" s="25" t="inlineStr">
        <is>
          <t>Request a specialist call: Hard-to-insure property desk (/home-insurance/hard-to-insure/)</t>
        </is>
      </c>
      <c r="Y361" s="36" t="inlineStr">
        <is>
          <t>Article; FAQPage; BreadcrumbList</t>
        </is>
      </c>
      <c r="Z361" s="37" t="n">
        <v>1500</v>
      </c>
      <c r="AA361" s="25" t="inlineStr">
        <is>
          <t>MyChoice, money.ca and The Narwhal cover the delay as news; no comparison site runs a maintained tracker with options for declined homeowners.</t>
        </is>
      </c>
      <c r="AB361" s="25" t="inlineStr">
        <is>
          <t>Use 'national flood insurance program' plus 'Canada' in the H1, slug, meta title, first 100 words and first H2, with a 40–60 word status answer dated to the month. Keep the tracker as a dated table at the top and the decision tree below; link 'overland flood and sewer backup' to the water damage guide and 'hard-to-insure desk' to /home-insurance/hard-to-insure/; alt text 'timeline of Canada's national flood insurance program'. Licensed P&amp;C reviewer; cite Public Safety Canada and IBC; update on every federal announcement.</t>
        </is>
      </c>
      <c r="AC361" s="25" t="inlineStr">
        <is>
          <t>Verify the program's reported funding ($450M), the missed April 2026 target and current status with Public Safety Canada. Verify IBC's '94% can access overland flood coverage' claim before citing it.</t>
        </is>
      </c>
      <c r="AD361" s="36" t="inlineStr">
        <is>
          <t>On rule change</t>
        </is>
      </c>
      <c r="AE361" s="38" t="n"/>
      <c r="AF361" s="38" t="n"/>
      <c r="AG361" s="38" t="n"/>
    </row>
    <row r="362" ht="57.45" customHeight="1" s="22">
      <c r="A362" s="36">
        <f>"B"&amp;TEXT(ROW()-1,"0000")</f>
        <v/>
      </c>
      <c r="B362" s="38" t="inlineStr">
        <is>
          <t>Planned</t>
        </is>
      </c>
      <c r="C362" s="36" t="n">
        <v>2</v>
      </c>
      <c r="D362" s="36" t="inlineStr">
        <is>
          <t>Home insurance</t>
        </is>
      </c>
      <c r="E362" s="36" t="inlineStr">
        <is>
          <t>Claims</t>
        </is>
      </c>
      <c r="F362" s="25" t="inlineStr">
        <is>
          <t>Will a Home Insurance Claim Raise My Premium? When to Claim</t>
        </is>
      </c>
      <c r="G362" s="36" t="inlineStr">
        <is>
          <t>https://instasure.ca/guides/does-a-home-insurance-claim-raise-premium/</t>
        </is>
      </c>
      <c r="H362" s="36" t="inlineStr">
        <is>
          <t>will a home insurance claim raise my premium</t>
        </is>
      </c>
      <c r="I362" s="41">
        <f>IFERROR(INDEX('Nationwide KWs'!$D$2:$D$168,MATCH(H362,'Nationwide KWs'!$A$2:$A$168,0)),IFERROR(INDEX('Provincial KWs'!$E$2:$E$137,MATCH(H362,'Provincial KWs'!$A$2:$A$137,0)),IFERROR(INDEX('City KWs'!$F$2:$F$419,MATCH(H362,'City KWs'!$A$2:$A$419,0)),"")))</f>
        <v/>
      </c>
      <c r="J362" s="36" t="inlineStr">
        <is>
          <t>Low</t>
        </is>
      </c>
      <c r="K362" s="25" t="inlineStr">
        <is>
          <t>should i make a home insurance claim; small home insurance claims; claims free discount home insurance; home insurance claim history canada; how long do claims stay on record home insurance</t>
        </is>
      </c>
      <c r="L362" s="36" t="inlineStr">
        <is>
          <t>Nationwide</t>
        </is>
      </c>
      <c r="M362" s="36" t="inlineStr">
        <is>
          <t>informational</t>
        </is>
      </c>
      <c r="N362" s="36" t="inlineStr">
        <is>
          <t>MOFU</t>
        </is>
      </c>
      <c r="O362" s="25" t="inlineStr">
        <is>
          <t>Home Insurance Claim: Will It Raise Your Premium?</t>
        </is>
      </c>
      <c r="P362" s="36">
        <f>LEN(O362)</f>
        <v/>
      </c>
      <c r="Q362" s="25" t="inlineStr">
        <is>
          <t>Will a home insurance claim raise your premium? How long claims stay on file, how water claims are treated, and when to pay a small loss. Ask an advisor.</t>
        </is>
      </c>
      <c r="R362" s="36">
        <f>LEN(Q362)</f>
        <v/>
      </c>
      <c r="S362" s="36">
        <f>IF(H362="","",IF(ISNUMBER(SEARCH(SUBSTITUTE(H362,"-"," "),SUBSTITUTE(O362,"-"," "))),"Yes","Check"))</f>
        <v/>
      </c>
      <c r="T362" s="25" t="inlineStr">
        <is>
          <t>Does a home insurance claim raise premiums? | How insurers track claims history | Water claims vs weather claims | Losing a claims-free discount | When paying a small loss yourself makes sense | A second claim and non-renewal risk | Talk to your advisor before you report</t>
        </is>
      </c>
      <c r="U362" s="25" t="inlineStr">
        <is>
          <t>How long does a home insurance claim stay on my record? | Do weather claims raise premiums? | Should I report damage I'm not going to claim? | Is a claim for a neighbour's damage counted against me?</t>
        </is>
      </c>
      <c r="V362" s="25" t="inlineStr">
        <is>
          <t>Claim-or-pay worksheet comparing the loss amount, deductible, likely loss of claims-free discount over several renewals and the non-renewal risk after a second water claim.</t>
        </is>
      </c>
      <c r="W362" s="25" t="inlineStr">
        <is>
          <t>/home-insurance/; /guides/home-insurance-deductible-explained/; /guides/how-to-file-a-home-insurance-claim/; /guides/home-insurance-non-renewal/</t>
        </is>
      </c>
      <c r="X362" s="25" t="inlineStr">
        <is>
          <t>Instant home insurance estimate (/quote/home-insurance/)</t>
        </is>
      </c>
      <c r="Y362" s="36" t="inlineStr">
        <is>
          <t>Article; FAQPage; BreadcrumbList</t>
        </is>
      </c>
      <c r="Z362" s="37" t="n">
        <v>1400</v>
      </c>
      <c r="AA362" s="25" t="inlineStr">
        <is>
          <t>Not seen as a standalone guide on Ratehub, Rates.ca or Sonnet in the research; brokers answer it only in FAQs.</t>
        </is>
      </c>
      <c r="AB362" s="25" t="inlineStr">
        <is>
          <t>Use 'will a home insurance claim raise my premium' (or the 'your premium' variant) in the H1, slug, meta title, first 100 words and first H2, with a 40–60 word answer explaining that it depends on claim type and frequency. Add the claim-or-pay worksheet; link 'deductible' to the deductible guide and 'non-renewal' to that guide; alt text 'worksheet for deciding whether to make a home insurance claim'. Licensed P&amp;C reviewer; cite IBC and insurer practice notes; refresh annually.</t>
        </is>
      </c>
      <c r="AC362" s="25" t="inlineStr">
        <is>
          <t>Claims databases and look-back periods vary by insurer; verify industry claims-history practice before naming any database, and avoid fixed surcharge percentages.</t>
        </is>
      </c>
      <c r="AD362" s="36" t="inlineStr">
        <is>
          <t>Annual</t>
        </is>
      </c>
      <c r="AE362" s="38" t="n"/>
      <c r="AF362" s="38" t="n"/>
      <c r="AG362" s="38" t="n"/>
    </row>
    <row r="363" ht="57.45" customHeight="1" s="22">
      <c r="A363" s="36">
        <f>"B"&amp;TEXT(ROW()-1,"0000")</f>
        <v/>
      </c>
      <c r="B363" s="38" t="inlineStr">
        <is>
          <t>Planned</t>
        </is>
      </c>
      <c r="C363" s="36" t="n">
        <v>2</v>
      </c>
      <c r="D363" s="36" t="inlineStr">
        <is>
          <t>Home insurance</t>
        </is>
      </c>
      <c r="E363" s="36" t="inlineStr">
        <is>
          <t>Cost &amp; pricing</t>
        </is>
      </c>
      <c r="F363" s="25" t="inlineStr">
        <is>
          <t>How Much Is Cottage Insurance? Seasonal vs Year-Round Coverage</t>
        </is>
      </c>
      <c r="G363" s="36" t="inlineStr">
        <is>
          <t>https://instasure.ca/guides/cottage-insurance-cost/</t>
        </is>
      </c>
      <c r="H363" s="36" t="inlineStr">
        <is>
          <t>cottage insurance cost</t>
        </is>
      </c>
      <c r="I363" s="41">
        <f>IFERROR(INDEX('Nationwide KWs'!$D$2:$D$168,MATCH(H363,'Nationwide KWs'!$A$2:$A$168,0)),IFERROR(INDEX('Provincial KWs'!$E$2:$E$137,MATCH(H363,'Provincial KWs'!$A$2:$A$137,0)),IFERROR(INDEX('City KWs'!$F$2:$F$419,MATCH(H363,'City KWs'!$A$2:$A$419,0)),"")))</f>
        <v/>
      </c>
      <c r="J363" s="36" t="inlineStr">
        <is>
          <t>Low</t>
        </is>
      </c>
      <c r="K363" s="25" t="inlineStr">
        <is>
          <t>seasonal home insurance; cottage insurance ontario; water access cottage insurance; wood stove cottage insurance; secondary home insurance canada</t>
        </is>
      </c>
      <c r="L363" s="36" t="inlineStr">
        <is>
          <t>Nationwide</t>
        </is>
      </c>
      <c r="M363" s="36" t="inlineStr">
        <is>
          <t>commercial</t>
        </is>
      </c>
      <c r="N363" s="36" t="inlineStr">
        <is>
          <t>MOFU</t>
        </is>
      </c>
      <c r="O363" s="25" t="inlineStr">
        <is>
          <t>Cottage Insurance Cost: Seasonal vs Year-Round Coverage</t>
        </is>
      </c>
      <c r="P363" s="36">
        <f>LEN(O363)</f>
        <v/>
      </c>
      <c r="Q363" s="25" t="inlineStr">
        <is>
          <t>Cottage insurance cost explained: seasonal vs year-round policies, fire hall distance, water access, wood stoves and break-ins. Talk to the cottage desk.</t>
        </is>
      </c>
      <c r="R363" s="36">
        <f>LEN(Q363)</f>
        <v/>
      </c>
      <c r="S363" s="36">
        <f>IF(H363="","",IF(ISNUMBER(SEARCH(SUBSTITUTE(H363,"-"," "),SUBSTITUTE(O363,"-"," "))),"Yes","Check"))</f>
        <v/>
      </c>
      <c r="T363" s="25" t="inlineStr">
        <is>
          <t>How much is cottage insurance? | Seasonal vs year-round policies | Fire protection, road access and water access | Wood stoves, heating and WETT inspections | Break-ins, vacancy and opening/closing | Docks, boats and outbuildings | How to lower the premium</t>
        </is>
      </c>
      <c r="U363" s="25" t="inlineStr">
        <is>
          <t>Is cottage insurance more expensive than home insurance? | Do I need a WETT inspection for a wood stove? | Is my boat covered by my cottage policy? | What if my cottage is only reachable by water?</t>
        </is>
      </c>
      <c r="V363" s="25" t="inlineStr">
        <is>
          <t>Cottage rating-factor table (fire protection grade, hydrant distance, road vs water access, heating, months occupied, rental use) and a seasonal opening/closing checklist tied to policy conditions.</t>
        </is>
      </c>
      <c r="W363" s="25" t="inlineStr">
        <is>
          <t>/home-insurance/cottage-and-seasonal/; /guides/cottage-rental-insurance/; /boat-insurance/; /guides/vacant-home-insurance/</t>
        </is>
      </c>
      <c r="X363" s="25" t="inlineStr">
        <is>
          <t>Request a specialist call: Cottage &amp; rural property desk (/home-insurance/cottage-and-seasonal/)</t>
        </is>
      </c>
      <c r="Y363" s="36" t="inlineStr">
        <is>
          <t>Article; FAQPage; BreadcrumbList</t>
        </is>
      </c>
      <c r="Z363" s="37" t="n">
        <v>1600</v>
      </c>
      <c r="AA363" s="25" t="inlineStr">
        <is>
          <t>Rates.ca covers only cottage rental insurance; the keyword map shows no seasonal-home cost guide on Ratehub or Sonnet.</t>
        </is>
      </c>
      <c r="AB363" s="25" t="inlineStr">
        <is>
          <t>Use 'cottage insurance cost' in the H1, slug, meta title, first 100 words and first H2, with a 40–60 word answer on what drives cottage premiums. Add the rating-factor table and seasonal checklist; link 'cottage &amp; rural property desk' to /home-insurance/cottage-and-seasonal/ and 'boat insurance' to /boat-insurance/; alt text 'lakeside cottage with a dock in Ontario'. Licensed P&amp;C reviewer; cite WETT and insurer guidelines; refresh annually before cottage season.</t>
        </is>
      </c>
      <c r="AC363" s="25" t="inlineStr">
        <is>
          <t>Do not quote cottage premiums without a dated source; verify fire protection grading terms and describe insurer requirements as typical.</t>
        </is>
      </c>
      <c r="AD363" s="36" t="inlineStr">
        <is>
          <t>Annual</t>
        </is>
      </c>
      <c r="AE363" s="38" t="n"/>
      <c r="AF363" s="38" t="n"/>
      <c r="AG363" s="38" t="n"/>
    </row>
    <row r="364" ht="57.45" customHeight="1" s="22">
      <c r="A364" s="36">
        <f>"B"&amp;TEXT(ROW()-1,"0000")</f>
        <v/>
      </c>
      <c r="B364" s="38" t="inlineStr">
        <is>
          <t>Planned</t>
        </is>
      </c>
      <c r="C364" s="36" t="n">
        <v>2</v>
      </c>
      <c r="D364" s="36" t="inlineStr">
        <is>
          <t>Home insurance</t>
        </is>
      </c>
      <c r="E364" s="36" t="inlineStr">
        <is>
          <t>Cost &amp; pricing</t>
        </is>
      </c>
      <c r="F364" s="25" t="inlineStr">
        <is>
          <t>How to Lower Your Home Insurance Premium Without Losing Coverage</t>
        </is>
      </c>
      <c r="G364" s="36" t="inlineStr">
        <is>
          <t>https://instasure.ca/guides/how-to-lower-home-insurance-premiums/</t>
        </is>
      </c>
      <c r="H364" s="36" t="inlineStr">
        <is>
          <t>how to lower home insurance</t>
        </is>
      </c>
      <c r="I364" s="41">
        <f>IFERROR(INDEX('Nationwide KWs'!$D$2:$D$168,MATCH(H364,'Nationwide KWs'!$A$2:$A$168,0)),IFERROR(INDEX('Provincial KWs'!$E$2:$E$137,MATCH(H364,'Provincial KWs'!$A$2:$A$137,0)),IFERROR(INDEX('City KWs'!$F$2:$F$419,MATCH(H364,'City KWs'!$A$2:$A$419,0)),"")))</f>
        <v/>
      </c>
      <c r="J364" s="36" t="inlineStr">
        <is>
          <t>Low</t>
        </is>
      </c>
      <c r="K364" s="25" t="inlineStr">
        <is>
          <t>home insurance discounts canada; reduce home insurance premium; claims-free discount home insurance; multi-line discount; backwater valve discount</t>
        </is>
      </c>
      <c r="L364" s="36" t="inlineStr">
        <is>
          <t>Nationwide</t>
        </is>
      </c>
      <c r="M364" s="36" t="inlineStr">
        <is>
          <t>informational</t>
        </is>
      </c>
      <c r="N364" s="36" t="inlineStr">
        <is>
          <t>MOFU</t>
        </is>
      </c>
      <c r="O364" s="25" t="inlineStr">
        <is>
          <t>How to Lower Home Insurance: 14 Ways That Keep Coverage</t>
        </is>
      </c>
      <c r="P364" s="36">
        <f>LEN(O364)</f>
        <v/>
      </c>
      <c r="Q364" s="25" t="inlineStr">
        <is>
          <t>How to lower home insurance in Canada: 14 ways, from deductibles and bundling to backwater valves and roof upgrades, plus cuts to avoid. Compare options.</t>
        </is>
      </c>
      <c r="R364" s="36">
        <f>LEN(Q364)</f>
        <v/>
      </c>
      <c r="S364" s="36">
        <f>IF(H364="","",IF(ISNUMBER(SEARCH(SUBSTITUTE(H364,"-"," "),SUBSTITUTE(O364,"-"," "))),"Yes","Check"))</f>
        <v/>
      </c>
      <c r="T364" s="25" t="inlineStr">
        <is>
          <t>How to lower home insurance: the quickest wins | Raise your deductible the right way | Bundle and multi-line discounts | Claims-free, mortgage-free and loyalty discounts | Upgrades insurers reward: roof, backwater valve, monitored alarms | Coverage you should not cut | Shop your renewal with an advisor</t>
        </is>
      </c>
      <c r="U364" s="25" t="inlineStr">
        <is>
          <t>What is the biggest discount on home insurance? | Does a monitored alarm lower home insurance? | Should I pay small claims myself? | Is it cheaper to bundle home and car insurance?</t>
        </is>
      </c>
      <c r="V364" s="25" t="inlineStr">
        <is>
          <t>Ranked checklist of 14 savings moves showing effort, whether it reduces cover, and where it matters most (backwater valves in flood-prone Toronto wards, impact-resistant roofs in Alberta, heating upgrades in older homes).</t>
        </is>
      </c>
      <c r="W364" s="25" t="inlineStr">
        <is>
          <t>/home-insurance/; /car-insurance/home-and-auto-bundle/; /guides/is-bundling-home-and-car-insurance-worth-it/; /guides/home-insurance-deductible-explained/; /guides/basement-flood-insurance-toronto/</t>
        </is>
      </c>
      <c r="X364" s="25" t="inlineStr">
        <is>
          <t>Instant home insurance estimate (/quote/home-insurance/)</t>
        </is>
      </c>
      <c r="Y364" s="36" t="inlineStr">
        <is>
          <t>Article; FAQPage; BreadcrumbList</t>
        </is>
      </c>
      <c r="Z364" s="37" t="n">
        <v>1600</v>
      </c>
      <c r="AA364" s="25" t="inlineStr">
        <is>
          <t>Rates.ca (10-ways-reduce-your-home-insurance-premium) and Sonnet (keep-home-insurance-from-increasing) give generic tips; neither ties savings to regional perils or flags which cuts leave dangerous gaps.</t>
        </is>
      </c>
      <c r="AB364" s="25" t="inlineStr">
        <is>
          <t>Use 'how to lower home insurance' in the H1, slug, meta title, first 100 words and first H2, with a 40–60 word answer naming the three fastest savings. Present the ranked checklist as a numbered table; link 'bundle home and auto' to /car-insurance/home-and-auto-bundle/ and 'deductible' to the deductible guide; alt text 'checklist of ways to lower home insurance premiums'. Licensed P&amp;C reviewer; cite IBC and insurer discount pages; refresh annually.</t>
        </is>
      </c>
      <c r="AC364" s="25" t="inlineStr">
        <is>
          <t>Discount names and sizes vary by insurer; describe them generally and verify any percentage (such as the multi-line 11.4% and claims-free 16.5% figures seen in Hamilton snippets) before use. No 'cheapest' promises.</t>
        </is>
      </c>
      <c r="AD364" s="36" t="inlineStr">
        <is>
          <t>Annual</t>
        </is>
      </c>
      <c r="AE364" s="38" t="n"/>
      <c r="AF364" s="38" t="n"/>
      <c r="AG364" s="38" t="n"/>
    </row>
    <row r="365" ht="46.25" customHeight="1" s="22">
      <c r="A365" s="36">
        <f>"B"&amp;TEXT(ROW()-1,"0000")</f>
        <v/>
      </c>
      <c r="B365" s="38" t="inlineStr">
        <is>
          <t>Planned</t>
        </is>
      </c>
      <c r="C365" s="36" t="n">
        <v>2</v>
      </c>
      <c r="D365" s="36" t="inlineStr">
        <is>
          <t>Home insurance</t>
        </is>
      </c>
      <c r="E365" s="36" t="inlineStr">
        <is>
          <t>Cost &amp; pricing</t>
        </is>
      </c>
      <c r="F365" s="25" t="inlineStr">
        <is>
          <t>What Affects Home Insurance Rates in Canada? 12 Rating Factors</t>
        </is>
      </c>
      <c r="G365" s="36" t="inlineStr">
        <is>
          <t>https://instasure.ca/guides/what-affects-home-insurance-rates/</t>
        </is>
      </c>
      <c r="H365" s="36" t="inlineStr">
        <is>
          <t>what affects home insurance rates</t>
        </is>
      </c>
      <c r="I365" s="41">
        <f>IFERROR(INDEX('Nationwide KWs'!$D$2:$D$168,MATCH(H365,'Nationwide KWs'!$A$2:$A$168,0)),IFERROR(INDEX('Provincial KWs'!$E$2:$E$137,MATCH(H365,'Provincial KWs'!$A$2:$A$137,0)),IFERROR(INDEX('City KWs'!$F$2:$F$419,MATCH(H365,'City KWs'!$A$2:$A$419,0)),"")))</f>
        <v/>
      </c>
      <c r="J365" s="36" t="inlineStr">
        <is>
          <t>Low</t>
        </is>
      </c>
      <c r="K365" s="25" t="inlineStr">
        <is>
          <t>home insurance rating factors; how is home insurance calculated; home insurance calculator; does credit score affect home insurance canada; postal code home insurance</t>
        </is>
      </c>
      <c r="L365" s="36" t="inlineStr">
        <is>
          <t>Nationwide</t>
        </is>
      </c>
      <c r="M365" s="36" t="inlineStr">
        <is>
          <t>informational</t>
        </is>
      </c>
      <c r="N365" s="36" t="inlineStr">
        <is>
          <t>MOFU</t>
        </is>
      </c>
      <c r="O365" s="25" t="inlineStr">
        <is>
          <t>What Affects Home Insurance Rates? 12 Factors in Canada</t>
        </is>
      </c>
      <c r="P365" s="36">
        <f>LEN(O365)</f>
        <v/>
      </c>
      <c r="Q365" s="25" t="inlineStr">
        <is>
          <t>What affects home insurance rates: rebuild cost, postal code, claims, roof, wiring and deductible. See how each moves your premium, then try an estimate.</t>
        </is>
      </c>
      <c r="R365" s="36">
        <f>LEN(Q365)</f>
        <v/>
      </c>
      <c r="S365" s="36">
        <f>IF(H365="","",IF(ISNUMBER(SEARCH(SUBSTITUTE(H365,"-"," "),SUBSTITUTE(O365,"-"," "))),"Yes","Check"))</f>
        <v/>
      </c>
      <c r="T365" s="25" t="inlineStr">
        <is>
          <t>What affects home insurance rates: the main factors | Rebuild cost and home size | Location, postal code and local perils | Age and condition of roof, wiring, plumbing and heating | Claims history and insurance score | Coverage choices: deductible, limits and endorsements | Discounts that offset the factors | Try it: estimate your own premium</t>
        </is>
      </c>
      <c r="U365" s="25" t="inlineStr">
        <is>
          <t>Does my credit score affect home insurance in Canada? | Why does my postal code change my home insurance price? | Does a newer roof lower home insurance? | Do fire hydrants and fire halls affect home insurance?</t>
        </is>
      </c>
      <c r="V365" s="25" t="inlineStr">
        <is>
          <t>Factor-impact matrix rating 12 factors as high, medium or low influence with what the homeowner can change, plus an embedded instant estimate where the reader changes the deductible and coverage to see the range move.</t>
        </is>
      </c>
      <c r="W365" s="25" t="inlineStr">
        <is>
          <t>/home-insurance/; /quote/; /guides/insuring-an-older-home/; /guides/home-insurance-deductible-explained/; /guides/how-to-lower-home-insurance-premiums/</t>
        </is>
      </c>
      <c r="X365" s="25" t="inlineStr">
        <is>
          <t>Instant home insurance estimate (/quote/home-insurance/)</t>
        </is>
      </c>
      <c r="Y365" s="36" t="inlineStr">
        <is>
          <t>Article; FAQPage; BreadcrumbList</t>
        </is>
      </c>
      <c r="Z365" s="37" t="n">
        <v>1700</v>
      </c>
      <c r="AA365" s="25" t="inlineStr">
        <is>
          <t>Rates.ca has a home insurance calculator only for Alberta and Sonnet's five-moves-that-can-affect-your-insurance-rate is a short list; no competitor shows how much each factor moves the price.</t>
        </is>
      </c>
      <c r="AB365" s="25" t="inlineStr">
        <is>
          <t>Use 'what affects home insurance rates' in the H1, slug, meta title, first 100 words and first H2, with a 40–60 word answer listing the five biggest factors. Include the factor matrix table, link 'instant estimate' to /quote/ and 'older homes' to the older-home guide; alt text 'matrix of home insurance rating factors'. Licensed P&amp;C reviewer; cite IBC consumer guidance and regulator notes on credit-score use; refresh annually.</t>
        </is>
      </c>
      <c r="AC365" s="25" t="inlineStr">
        <is>
          <t>Verify provincial rules on using credit information in property pricing (consent requirements vary; check with FSRA and other regulators). Describe factor influence qualitatively, never as fixed percentages.</t>
        </is>
      </c>
      <c r="AD365" s="36" t="inlineStr">
        <is>
          <t>Annual</t>
        </is>
      </c>
      <c r="AE365" s="38" t="n"/>
      <c r="AF365" s="38" t="n"/>
      <c r="AG365" s="38" t="n"/>
    </row>
    <row r="366" ht="57.45" customHeight="1" s="22">
      <c r="A366" s="36">
        <f>"B"&amp;TEXT(ROW()-1,"0000")</f>
        <v/>
      </c>
      <c r="B366" s="38" t="inlineStr">
        <is>
          <t>Planned</t>
        </is>
      </c>
      <c r="C366" s="36" t="n">
        <v>2</v>
      </c>
      <c r="D366" s="36" t="inlineStr">
        <is>
          <t>Home insurance</t>
        </is>
      </c>
      <c r="E366" s="36" t="inlineStr">
        <is>
          <t>Coverage explained</t>
        </is>
      </c>
      <c r="F366" s="25" t="inlineStr">
        <is>
          <t>Does Home Insurance Cover a Home-Based Business?</t>
        </is>
      </c>
      <c r="G366" s="36" t="inlineStr">
        <is>
          <t>https://instasure.ca/guides/home-based-business-home-insurance/</t>
        </is>
      </c>
      <c r="H366" s="36" t="inlineStr">
        <is>
          <t>does home insurance cover home business</t>
        </is>
      </c>
      <c r="I366" s="41">
        <f>IFERROR(INDEX('Nationwide KWs'!$D$2:$D$168,MATCH(H366,'Nationwide KWs'!$A$2:$A$168,0)),IFERROR(INDEX('Provincial KWs'!$E$2:$E$137,MATCH(H366,'Provincial KWs'!$A$2:$A$137,0)),IFERROR(INDEX('City KWs'!$F$2:$F$419,MATCH(H366,'City KWs'!$A$2:$A$419,0)),"")))</f>
        <v/>
      </c>
      <c r="J366" s="36" t="inlineStr">
        <is>
          <t>Low</t>
        </is>
      </c>
      <c r="K366" s="25" t="inlineStr">
        <is>
          <t>home based business insurance endorsement; home business insurance canada; business equipment home insurance; clients visiting home liability; home daycare insurance</t>
        </is>
      </c>
      <c r="L366" s="36" t="inlineStr">
        <is>
          <t>Nationwide</t>
        </is>
      </c>
      <c r="M366" s="36" t="inlineStr">
        <is>
          <t>commercial</t>
        </is>
      </c>
      <c r="N366" s="36" t="inlineStr">
        <is>
          <t>MOFU</t>
        </is>
      </c>
      <c r="O366" s="25" t="inlineStr">
        <is>
          <t>Does Home Insurance Cover a Home-Based Business?</t>
        </is>
      </c>
      <c r="P366" s="36">
        <f>LEN(O366)</f>
        <v/>
      </c>
      <c r="Q366" s="25" t="inlineStr">
        <is>
          <t>Does home insurance cover a home-based business? Equipment limits, client-visit liability and when an endorsement beats a business policy. Compare options.</t>
        </is>
      </c>
      <c r="R366" s="36">
        <f>LEN(Q366)</f>
        <v/>
      </c>
      <c r="S366" s="36">
        <f>IF(H366="","",IF(ISNUMBER(SEARCH(SUBSTITUTE(H366,"-"," "),SUBSTITUTE(O366,"-"," "))),"Yes","Check"))</f>
        <v/>
      </c>
      <c r="T366" s="25" t="inlineStr">
        <is>
          <t>Does home insurance cover a home-based business? | What a home policy excludes for business use | Home business endorsements | When you need a commercial policy instead | Examples by business type | Questions to ask your insurer</t>
        </is>
      </c>
      <c r="U366" s="25" t="inlineStr">
        <is>
          <t>Is my work laptop covered by home insurance? | Am I covered if a client is hurt at my home office? | What is a home-based business endorsement? | Do I need business insurance for a side hustle?</t>
        </is>
      </c>
      <c r="V366" s="25" t="inlineStr">
        <is>
          <t>Decision table by business type (consultant, online seller with inventory, hair stylist with clients, home daycare, tradesperson storing tools) showing endorsement vs standalone commercial policy.</t>
        </is>
      </c>
      <c r="W366" s="25" t="inlineStr">
        <is>
          <t>/business-insurance/home-based/; /home-insurance/; /business-insurance/; /professional-liability-insurance/</t>
        </is>
      </c>
      <c r="X366" s="25" t="inlineStr">
        <is>
          <t>Advisor quote for a home-based business (/business-insurance/home-based/)</t>
        </is>
      </c>
      <c r="Y366" s="36" t="inlineStr">
        <is>
          <t>Article; FAQPage; BreadcrumbList</t>
        </is>
      </c>
      <c r="Z366" s="37" t="n">
        <v>1500</v>
      </c>
      <c r="AA366" s="25" t="inlineStr">
        <is>
          <t>Ratehub (home-based-business-insurance-in-canada), Rates.ca (home-based-business-insurance-add-on-vs-commercial-property) and Sonnet (home-business-insurance) cover it generically; none gives a decision table by business type.</t>
        </is>
      </c>
      <c r="AB366" s="25" t="inlineStr">
        <is>
          <t>Use 'does home insurance cover a home business' in the H1, slug, meta title, first 100 words and first H2, with a 40–60 word answer on the business-use exclusion and the two fixes. Add the decision table; link 'home-based business insurance' to /business-insurance/home-based/ and 'professional liability' to /professional-liability-insurance/; alt text 'home office with business equipment'. Licensed P&amp;C reviewer; cite insurer endorsement wordings; refresh annually.</t>
        </is>
      </c>
      <c r="AC366" s="25" t="inlineStr">
        <is>
          <t>Endorsement limits vary by insurer; describe them qualitatively. Home daycare rules are provincial, so verify licensing references before mentioning them.</t>
        </is>
      </c>
      <c r="AD366" s="36" t="inlineStr">
        <is>
          <t>Annual</t>
        </is>
      </c>
      <c r="AE366" s="38" t="n"/>
      <c r="AF366" s="38" t="n"/>
      <c r="AG366" s="38" t="n"/>
    </row>
    <row r="367" ht="46.25" customHeight="1" s="22">
      <c r="A367" s="36">
        <f>"B"&amp;TEXT(ROW()-1,"0000")</f>
        <v/>
      </c>
      <c r="B367" s="38" t="inlineStr">
        <is>
          <t>Planned</t>
        </is>
      </c>
      <c r="C367" s="36" t="n">
        <v>2</v>
      </c>
      <c r="D367" s="36" t="inlineStr">
        <is>
          <t>Home insurance</t>
        </is>
      </c>
      <c r="E367" s="36" t="inlineStr">
        <is>
          <t>Coverage explained</t>
        </is>
      </c>
      <c r="F367" s="25" t="inlineStr">
        <is>
          <t>How Much Home Insurance Do I Need? Rebuild Cost vs Market Value</t>
        </is>
      </c>
      <c r="G367" s="36" t="inlineStr">
        <is>
          <t>https://instasure.ca/guides/how-much-home-insurance-do-i-need/</t>
        </is>
      </c>
      <c r="H367" s="36" t="inlineStr">
        <is>
          <t>how much home insurance do i need</t>
        </is>
      </c>
      <c r="I367" s="41">
        <f>IFERROR(INDEX('Nationwide KWs'!$D$2:$D$168,MATCH(H367,'Nationwide KWs'!$A$2:$A$168,0)),IFERROR(INDEX('Provincial KWs'!$E$2:$E$137,MATCH(H367,'Provincial KWs'!$A$2:$A$137,0)),IFERROR(INDEX('City KWs'!$F$2:$F$419,MATCH(H367,'City KWs'!$A$2:$A$419,0)),"")))</f>
        <v/>
      </c>
      <c r="J367" s="36" t="inlineStr">
        <is>
          <t>Low</t>
        </is>
      </c>
      <c r="K367" s="25" t="inlineStr">
        <is>
          <t>rebuild cost vs market value; how to calculate rebuilding cost; dwelling coverage amount; underinsured home; contents coverage amount</t>
        </is>
      </c>
      <c r="L367" s="36" t="inlineStr">
        <is>
          <t>Nationwide</t>
        </is>
      </c>
      <c r="M367" s="36" t="inlineStr">
        <is>
          <t>informational</t>
        </is>
      </c>
      <c r="N367" s="36" t="inlineStr">
        <is>
          <t>MOFU</t>
        </is>
      </c>
      <c r="O367" s="25" t="inlineStr">
        <is>
          <t>How Much Home Insurance Do I Need? Rebuild Cost Explained</t>
        </is>
      </c>
      <c r="P367" s="36">
        <f>LEN(O367)</f>
        <v/>
      </c>
      <c r="Q367" s="25" t="inlineStr">
        <is>
          <t>How much home insurance do you need? Why rebuild cost, not market value, sets your dwelling limit, plus contents and liability amounts. Use the worksheet.</t>
        </is>
      </c>
      <c r="R367" s="36">
        <f>LEN(Q367)</f>
        <v/>
      </c>
      <c r="S367" s="36">
        <f>IF(H367="","",IF(ISNUMBER(SEARCH(SUBSTITUTE(H367,"-"," "),SUBSTITUTE(O367,"-"," "))),"Yes","Check"))</f>
        <v/>
      </c>
      <c r="T367" s="25" t="inlineStr">
        <is>
          <t>How much home insurance do you need? | Rebuild cost vs market value | How insurers estimate rebuild cost | Setting contents coverage with an inventory | Liability: $1 million, $2 million or an umbrella | Additional living expenses limits | Signs you are underinsured</t>
        </is>
      </c>
      <c r="U367" s="25" t="inlineStr">
        <is>
          <t>Should I insure my home for its market value? | How do I find my home's rebuild cost? | Is $2 million liability enough? | What happens if I'm underinsured after a total loss?</t>
        </is>
      </c>
      <c r="V367" s="25" t="inlineStr">
        <is>
          <t>Sizing worksheet covering dwelling (rebuild inputs with a regional note), contents (room-by-room inventory template), liability ($1M vs $2M vs umbrella) and living expenses, linked to the tenant and condo coverage calculator for contents.</t>
        </is>
      </c>
      <c r="W367" s="25" t="inlineStr">
        <is>
          <t>/home-insurance/; /calculators/tenant-condo-coverage/; /guides/replacement-cost-vs-actual-cash-value/; /guides/how-much-umbrella-insurance-do-i-need/</t>
        </is>
      </c>
      <c r="X367" s="25" t="inlineStr">
        <is>
          <t>Instant home insurance estimate (/quote/home-insurance/)</t>
        </is>
      </c>
      <c r="Y367" s="36" t="inlineStr">
        <is>
          <t>Article; FAQPage; BreadcrumbList</t>
        </is>
      </c>
      <c r="Z367" s="37" t="n">
        <v>1700</v>
      </c>
      <c r="AA367" s="25" t="inlineStr">
        <is>
          <t>Ratehub covers how-much-condo-insurance-do-you-actually-need but not houses; no competitor offers a dwelling-plus-contents worksheet.</t>
        </is>
      </c>
      <c r="AB367" s="25" t="inlineStr">
        <is>
          <t>Use 'how much home insurance do I need' in the H1, slug, meta title, first 100 words and first H2, with a 40–60 word answer explaining rebuild cost and the other four limits. Add the worksheet as a table and embed or link the coverage calculator with anchor 'contents coverage calculator'; alt text 'worksheet for sizing home insurance limits'. Licensed P&amp;C reviewer; cite insurer valuation guidance and IBC; refresh annually.</t>
        </is>
      </c>
      <c r="AC367" s="25" t="inlineStr">
        <is>
          <t>Do not publish per-square-foot rebuild costs without a dated source (insurer valuation tools or a construction cost index); state that the insurer's valuation sets the final limit.</t>
        </is>
      </c>
      <c r="AD367" s="36" t="inlineStr">
        <is>
          <t>Annual</t>
        </is>
      </c>
      <c r="AE367" s="38" t="n"/>
      <c r="AF367" s="38" t="n"/>
      <c r="AG367" s="38" t="n"/>
    </row>
    <row r="368" ht="57.45" customHeight="1" s="22">
      <c r="A368" s="36">
        <f>"B"&amp;TEXT(ROW()-1,"0000")</f>
        <v/>
      </c>
      <c r="B368" s="38" t="inlineStr">
        <is>
          <t>Planned</t>
        </is>
      </c>
      <c r="C368" s="36" t="n">
        <v>2</v>
      </c>
      <c r="D368" s="36" t="inlineStr">
        <is>
          <t>Home insurance</t>
        </is>
      </c>
      <c r="E368" s="36" t="inlineStr">
        <is>
          <t>Coverage explained</t>
        </is>
      </c>
      <c r="F368" s="25" t="inlineStr">
        <is>
          <t>Replacement Cost vs Actual Cash Value: Home Insurance Explained</t>
        </is>
      </c>
      <c r="G368" s="36" t="inlineStr">
        <is>
          <t>https://instasure.ca/guides/replacement-cost-vs-actual-cash-value/</t>
        </is>
      </c>
      <c r="H368" s="36" t="inlineStr">
        <is>
          <t>replacement cost vs actual cash value</t>
        </is>
      </c>
      <c r="I368" s="41">
        <f>IFERROR(INDEX('Nationwide KWs'!$D$2:$D$168,MATCH(H368,'Nationwide KWs'!$A$2:$A$168,0)),IFERROR(INDEX('Provincial KWs'!$E$2:$E$137,MATCH(H368,'Provincial KWs'!$A$2:$A$137,0)),IFERROR(INDEX('City KWs'!$F$2:$F$419,MATCH(H368,'City KWs'!$A$2:$A$419,0)),"")))</f>
        <v/>
      </c>
      <c r="J368" s="36" t="inlineStr">
        <is>
          <t>Low</t>
        </is>
      </c>
      <c r="K368" s="25" t="inlineStr">
        <is>
          <t>actual cash value home insurance; guaranteed replacement cost; depreciation insurance claim; replacement cost contents; rebuild requirement replacement cost</t>
        </is>
      </c>
      <c r="L368" s="36" t="inlineStr">
        <is>
          <t>Nationwide</t>
        </is>
      </c>
      <c r="M368" s="36" t="inlineStr">
        <is>
          <t>informational</t>
        </is>
      </c>
      <c r="N368" s="36" t="inlineStr">
        <is>
          <t>MOFU</t>
        </is>
      </c>
      <c r="O368" s="25" t="inlineStr">
        <is>
          <t>Replacement Cost vs Actual Cash Value: Home Insurance</t>
        </is>
      </c>
      <c r="P368" s="36">
        <f>LEN(O368)</f>
        <v/>
      </c>
      <c r="Q368" s="25" t="inlineStr">
        <is>
          <t>Replacement cost vs actual cash value: how each pays on a home or contents claim, a worked depreciation example, and when insurers use ACV. Check yours.</t>
        </is>
      </c>
      <c r="R368" s="36">
        <f>LEN(Q368)</f>
        <v/>
      </c>
      <c r="S368" s="36">
        <f>IF(H368="","",IF(ISNUMBER(SEARCH(SUBSTITUTE(H368,"-"," "),SUBSTITUTE(O368,"-"," "))),"Yes","Check"))</f>
        <v/>
      </c>
      <c r="T368" s="25" t="inlineStr">
        <is>
          <t>Replacement cost vs actual cash value: the short answer | How actual cash value is calculated | Replacement cost and the rebuild condition | Guaranteed replacement cost and its limits | Worked example: roof and TV claim three ways | When insurers switch older homes or items to ACV | How to check which basis your policy uses</t>
        </is>
      </c>
      <c r="U368" s="25" t="inlineStr">
        <is>
          <t>What is the difference between replacement cost and actual cash value? | Is guaranteed replacement cost still available in Canada? | Do I have to rebuild to get replacement cost? | Why would my roof be paid at actual cash value?</t>
        </is>
      </c>
      <c r="V368" s="25" t="inlineStr">
        <is>
          <t>Worked claim example (a 12-year-old roof and a 5-year-old TV) paid under replacement cost, guaranteed replacement cost and actual cash value, showing the payout gap and the rebuild-or-not rule.</t>
        </is>
      </c>
      <c r="W368" s="25" t="inlineStr">
        <is>
          <t>/home-insurance/; /glossary/; /guides/how-much-home-insurance-do-i-need/; /guides/insuring-an-older-home/</t>
        </is>
      </c>
      <c r="X368" s="25" t="inlineStr">
        <is>
          <t>Instant home insurance estimate (/quote/home-insurance/)</t>
        </is>
      </c>
      <c r="Y368" s="36" t="inlineStr">
        <is>
          <t>Article; FAQPage; BreadcrumbList</t>
        </is>
      </c>
      <c r="Z368" s="37" t="n">
        <v>1500</v>
      </c>
      <c r="AA368" s="25" t="inlineStr">
        <is>
          <t>Not seen as a standalone explainer on Ratehub, Rates.ca or Sonnet in the research; Rates.ca's roof-replacement claims guide touches depreciation for roofs only.</t>
        </is>
      </c>
      <c r="AB368" s="25" t="inlineStr">
        <is>
          <t>Use 'replacement cost vs actual cash value' in the H1, slug, meta title, first 100 words and first H2, with a 40–60 word answer contrasting the two payouts. Add the three-way worked example table; link 'actual cash value' and 'guaranteed replacement cost' to /glossary/ and 'how much home insurance' to the sizing guide; alt text 'worked example comparing replacement cost and actual cash value'. Licensed P&amp;C reviewer; cite sample wordings and IBC; refresh annually.</t>
        </is>
      </c>
      <c r="AC368" s="25" t="inlineStr">
        <is>
          <t>Rebuild conditions and time limits vary by wording; verify against current insurer wordings and do not imply guaranteed replacement cost is universally available.</t>
        </is>
      </c>
      <c r="AD368" s="36" t="inlineStr">
        <is>
          <t>Annual</t>
        </is>
      </c>
      <c r="AE368" s="38" t="n"/>
      <c r="AF368" s="38" t="n"/>
      <c r="AG368" s="38" t="n"/>
    </row>
    <row r="369" ht="57.45" customHeight="1" s="22">
      <c r="A369" s="36">
        <f>"B"&amp;TEXT(ROW()-1,"0000")</f>
        <v/>
      </c>
      <c r="B369" s="38" t="inlineStr">
        <is>
          <t>Planned</t>
        </is>
      </c>
      <c r="C369" s="36" t="n">
        <v>2</v>
      </c>
      <c r="D369" s="36" t="inlineStr">
        <is>
          <t>Home insurance</t>
        </is>
      </c>
      <c r="E369" s="36" t="inlineStr">
        <is>
          <t>Coverage explained</t>
        </is>
      </c>
      <c r="F369" s="25" t="inlineStr">
        <is>
          <t>What Does Home Insurance Cover in Canada? A Plain-Language Guide</t>
        </is>
      </c>
      <c r="G369" s="36" t="inlineStr">
        <is>
          <t>https://instasure.ca/guides/what-does-home-insurance-cover/</t>
        </is>
      </c>
      <c r="H369" s="36" t="inlineStr">
        <is>
          <t>what does home insurance cover</t>
        </is>
      </c>
      <c r="I369" s="41">
        <f>IFERROR(INDEX('Nationwide KWs'!$D$2:$D$168,MATCH(H369,'Nationwide KWs'!$A$2:$A$168,0)),IFERROR(INDEX('Provincial KWs'!$E$2:$E$137,MATCH(H369,'Provincial KWs'!$A$2:$A$137,0)),IFERROR(INDEX('City KWs'!$F$2:$F$419,MATCH(H369,'City KWs'!$A$2:$A$419,0)),"")))</f>
        <v/>
      </c>
      <c r="J369" s="36" t="inlineStr">
        <is>
          <t>Medium</t>
        </is>
      </c>
      <c r="K369" s="25" t="inlineStr">
        <is>
          <t>home insurance coverage explained; dwelling coverage; contents coverage; additional living expenses; personal liability home insurance; detached structures coverage</t>
        </is>
      </c>
      <c r="L369" s="36" t="inlineStr">
        <is>
          <t>Nationwide</t>
        </is>
      </c>
      <c r="M369" s="36" t="inlineStr">
        <is>
          <t>informational</t>
        </is>
      </c>
      <c r="N369" s="36" t="inlineStr">
        <is>
          <t>TOFU</t>
        </is>
      </c>
      <c r="O369" s="25" t="inlineStr">
        <is>
          <t>What Does Home Insurance Cover in Canada? Plain Guide</t>
        </is>
      </c>
      <c r="P369" s="36">
        <f>LEN(O369)</f>
        <v/>
      </c>
      <c r="Q369" s="25" t="inlineStr">
        <is>
          <t>What does home insurance cover? Dwelling, outbuildings, contents, living expenses and liability explained with sublimits and add-ons. Get an estimate.</t>
        </is>
      </c>
      <c r="R369" s="36">
        <f>LEN(Q369)</f>
        <v/>
      </c>
      <c r="S369" s="36">
        <f>IF(H369="","",IF(ISNUMBER(SEARCH(SUBSTITUTE(H369,"-"," "),SUBSTITUTE(O369,"-"," "))),"Yes","Check"))</f>
        <v/>
      </c>
      <c r="T369" s="25" t="inlineStr">
        <is>
          <t>What home insurance covers: the six parts of a policy | Dwelling and detached structures | Personal property (contents) and special limits | Additional living expenses | Personal liability and voluntary medical payments | Optional endorsements worth considering | What is usually excluded</t>
        </is>
      </c>
      <c r="U369" s="25" t="inlineStr">
        <is>
          <t>Does home insurance cover theft outside the home? | Are jewellery and bikes fully covered? | Does home insurance pay for a hotel after a fire? | Does home insurance cover my garage and shed?</t>
        </is>
      </c>
      <c r="V369" s="25" t="inlineStr">
        <is>
          <t>One-page coverage map table listing each policy section, what it pays, the sublimits to check (jewellery, cash, bikes, electronics) and the endorsement that fills each gap.</t>
        </is>
      </c>
      <c r="W369" s="25" t="inlineStr">
        <is>
          <t>/home-insurance/; /glossary/; /guides/what-home-insurance-does-not-cover/; /guides/comprehensive-vs-named-perils-home-insurance/; /guides/does-home-insurance-cover-water-damage-canada/</t>
        </is>
      </c>
      <c r="X369" s="25" t="inlineStr">
        <is>
          <t>Instant home insurance estimate (/quote/home-insurance/)</t>
        </is>
      </c>
      <c r="Y369" s="36" t="inlineStr">
        <is>
          <t>Article; FAQPage; BreadcrumbList</t>
        </is>
      </c>
      <c r="Z369" s="37" t="n">
        <v>1800</v>
      </c>
      <c r="AA369" s="25" t="inlineStr">
        <is>
          <t>Ratehub (home-insurance-basics) and Sonnet (home-insurance-coverage-you-didnt-know-you-had) explain basics; neither gives a sublimit table or links each gap to the endorsement that fills it.</t>
        </is>
      </c>
      <c r="AB369" s="25" t="inlineStr">
        <is>
          <t>Use 'what does home insurance cover' in the H1, slug, meta title, first 100 words and first H2, with a 40–60 word answer listing the six coverage parts. Add the coverage map table and a sublimit checklist; link 'additional living expenses' and 'guaranteed replacement cost' to /glossary/ and 'exclusions' to the exclusions guide; alt text 'diagram of what a Canadian home insurance policy covers'. Licensed P&amp;C reviewer; cite IBC and sample insurer wordings; refresh annually.</t>
        </is>
      </c>
      <c r="AC369" s="25" t="inlineStr">
        <is>
          <t>Coverage sections and sublimits vary by insurer; use 'typically' and verify every example against a current sample wording.</t>
        </is>
      </c>
      <c r="AD369" s="36" t="inlineStr">
        <is>
          <t>Annual</t>
        </is>
      </c>
      <c r="AE369" s="38" t="n"/>
      <c r="AF369" s="38" t="n"/>
      <c r="AG369" s="38" t="n"/>
    </row>
    <row r="370" ht="57.45" customHeight="1" s="22">
      <c r="A370" s="36">
        <f>"B"&amp;TEXT(ROW()-1,"0000")</f>
        <v/>
      </c>
      <c r="B370" s="38" t="inlineStr">
        <is>
          <t>Planned</t>
        </is>
      </c>
      <c r="C370" s="36" t="n">
        <v>2</v>
      </c>
      <c r="D370" s="36" t="inlineStr">
        <is>
          <t>Home insurance</t>
        </is>
      </c>
      <c r="E370" s="36" t="inlineStr">
        <is>
          <t>Exclusions</t>
        </is>
      </c>
      <c r="F370" s="25" t="inlineStr">
        <is>
          <t>What Home Insurance Doesn't Cover: 15 Common Exclusions</t>
        </is>
      </c>
      <c r="G370" s="36" t="inlineStr">
        <is>
          <t>https://instasure.ca/guides/what-home-insurance-does-not-cover/</t>
        </is>
      </c>
      <c r="H370" s="36" t="inlineStr">
        <is>
          <t>what does home insurance not cover</t>
        </is>
      </c>
      <c r="I370" s="41">
        <f>IFERROR(INDEX('Nationwide KWs'!$D$2:$D$168,MATCH(H370,'Nationwide KWs'!$A$2:$A$168,0)),IFERROR(INDEX('Provincial KWs'!$E$2:$E$137,MATCH(H370,'Provincial KWs'!$A$2:$A$137,0)),IFERROR(INDEX('City KWs'!$F$2:$F$419,MATCH(H370,'City KWs'!$A$2:$A$419,0)),"")))</f>
        <v/>
      </c>
      <c r="J370" s="36" t="inlineStr">
        <is>
          <t>Low</t>
        </is>
      </c>
      <c r="K370" s="25" t="inlineStr">
        <is>
          <t>home insurance exclusions canada; is mould covered by home insurance; wear and tear home insurance; pest damage home insurance; gradual leak exclusion</t>
        </is>
      </c>
      <c r="L370" s="36" t="inlineStr">
        <is>
          <t>Nationwide</t>
        </is>
      </c>
      <c r="M370" s="36" t="inlineStr">
        <is>
          <t>informational</t>
        </is>
      </c>
      <c r="N370" s="36" t="inlineStr">
        <is>
          <t>TOFU</t>
        </is>
      </c>
      <c r="O370" s="25" t="inlineStr">
        <is>
          <t>What Does Home Insurance Not Cover? 15 Common Exclusions</t>
        </is>
      </c>
      <c r="P370" s="36">
        <f>LEN(O370)</f>
        <v/>
      </c>
      <c r="Q370" s="25" t="inlineStr">
        <is>
          <t>What does home insurance not cover? 15 exclusions Canadians hit, from slow leaks and mould to pests and vacancy, and which you can buy back. Check yours.</t>
        </is>
      </c>
      <c r="R370" s="36">
        <f>LEN(Q370)</f>
        <v/>
      </c>
      <c r="S370" s="36">
        <f>IF(H370="","",IF(ISNUMBER(SEARCH(SUBSTITUTE(H370,"-"," "),SUBSTITUTE(O370,"-"," "))),"Yes","Check"))</f>
        <v/>
      </c>
      <c r="T370" s="25" t="inlineStr">
        <is>
          <t>What home insurance doesn't cover: the short list | Gradual damage, wear and tear and maintenance | Water exclusions without add-ons | Mould, pests and vermin | Vacancy and business use | Earthquake, flood and other perils sold separately | How to buy back cover</t>
        </is>
      </c>
      <c r="U370" s="25" t="inlineStr">
        <is>
          <t>Is mould covered by home insurance in Canada? | Does home insurance cover a roof that is old and leaking? | Are mice and raccoon damage covered? | Is my home-based business covered by my home policy?</t>
        </is>
      </c>
      <c r="V370" s="25" t="inlineStr">
        <is>
          <t>Exclusion table with three columns per item: the excluded loss, whether it can be bought back (endorsement or separate policy) and the prevention step that avoids the claim.</t>
        </is>
      </c>
      <c r="W370" s="25" t="inlineStr">
        <is>
          <t>/home-insurance/; /guides/what-does-home-insurance-cover/; /guides/vacant-home-insurance/; /home-insurance/hard-to-insure/</t>
        </is>
      </c>
      <c r="X370" s="25" t="inlineStr">
        <is>
          <t>Instant home insurance estimate (/quote/home-insurance/)</t>
        </is>
      </c>
      <c r="Y370" s="36" t="inlineStr">
        <is>
          <t>Article; FAQPage; BreadcrumbList</t>
        </is>
      </c>
      <c r="Z370" s="37" t="n">
        <v>1600</v>
      </c>
      <c r="AA370" s="25" t="inlineStr">
        <is>
          <t>Sonnet's what-isnt-covered-by-the-typical-home-insurance post is short and generic; no competitor maps each exclusion to a buy-back option.</t>
        </is>
      </c>
      <c r="AB370" s="25" t="inlineStr">
        <is>
          <t>Use 'what does home insurance not cover' in the H1, slug, meta title, first 100 words and first H2, with a 40–60 word answer naming the five most common exclusions. Add the three-column exclusion table; link 'vacancy' to the vacant home guide and 'what home insurance covers' to the coverage guide; alt text 'table of common home insurance exclusions in Canada'. Licensed P&amp;C reviewer; cite IBC and sample wordings; refresh annually.</t>
        </is>
      </c>
      <c r="AC370" s="25" t="inlineStr">
        <is>
          <t>Exclusion wording differs by insurer; verify each item against current sample wordings and avoid saying an exclusion applies to every policy.</t>
        </is>
      </c>
      <c r="AD370" s="36" t="inlineStr">
        <is>
          <t>Annual</t>
        </is>
      </c>
      <c r="AE370" s="38" t="n"/>
      <c r="AF370" s="38" t="n"/>
      <c r="AG370" s="38" t="n"/>
    </row>
    <row r="371" ht="57.45" customHeight="1" s="22">
      <c r="A371" s="36">
        <f>"B"&amp;TEXT(ROW()-1,"0000")</f>
        <v/>
      </c>
      <c r="B371" s="38" t="inlineStr">
        <is>
          <t>Planned</t>
        </is>
      </c>
      <c r="C371" s="36" t="n">
        <v>2</v>
      </c>
      <c r="D371" s="36" t="inlineStr">
        <is>
          <t>Home insurance</t>
        </is>
      </c>
      <c r="E371" s="36" t="inlineStr">
        <is>
          <t>Hard-to-insure</t>
        </is>
      </c>
      <c r="F371" s="25" t="inlineStr">
        <is>
          <t>Insuring an Older Home: Roof, Wiring, Plumbing and Heating Rules</t>
        </is>
      </c>
      <c r="G371" s="36" t="inlineStr">
        <is>
          <t>https://instasure.ca/guides/insuring-an-older-home/</t>
        </is>
      </c>
      <c r="H371" s="36" t="inlineStr">
        <is>
          <t>home insurance for older homes</t>
        </is>
      </c>
      <c r="I371" s="41">
        <f>IFERROR(INDEX('Nationwide KWs'!$D$2:$D$168,MATCH(H371,'Nationwide KWs'!$A$2:$A$168,0)),IFERROR(INDEX('Provincial KWs'!$E$2:$E$137,MATCH(H371,'Provincial KWs'!$A$2:$A$137,0)),IFERROR(INDEX('City KWs'!$F$2:$F$419,MATCH(H371,'City KWs'!$A$2:$A$419,0)),"")))</f>
        <v/>
      </c>
      <c r="J371" s="36" t="inlineStr">
        <is>
          <t>Low</t>
        </is>
      </c>
      <c r="K371" s="25" t="inlineStr">
        <is>
          <t>century home insurance; roof age home insurance; galvanized plumbing insurance; aluminum wiring insurance canada; home insurance updates required</t>
        </is>
      </c>
      <c r="L371" s="36" t="inlineStr">
        <is>
          <t>Nationwide</t>
        </is>
      </c>
      <c r="M371" s="36" t="inlineStr">
        <is>
          <t>commercial</t>
        </is>
      </c>
      <c r="N371" s="36" t="inlineStr">
        <is>
          <t>MOFU</t>
        </is>
      </c>
      <c r="O371" s="25" t="inlineStr">
        <is>
          <t>Home Insurance for Older Homes: Roof, Wiring and Plumbing</t>
        </is>
      </c>
      <c r="P371" s="36">
        <f>LEN(O371)</f>
        <v/>
      </c>
      <c r="Q371" s="25" t="inlineStr">
        <is>
          <t>Home insurance for older homes: how roof age, wiring, plumbing and heating updates affect cover and price, and the proof insurers want. Get an estimate.</t>
        </is>
      </c>
      <c r="R371" s="36">
        <f>LEN(Q371)</f>
        <v/>
      </c>
      <c r="S371" s="36">
        <f>IF(H371="","",IF(ISNUMBER(SEARCH(SUBSTITUTE(H371,"-"," "),SUBSTITUTE(O371,"-"," "))),"Yes","Check"))</f>
        <v/>
      </c>
      <c r="T371" s="25" t="inlineStr">
        <is>
          <t>What insurers ask about older homes | Roof age, material and depreciation | Electrical: knob-and-tube, aluminum and panel size | Plumbing: galvanized, lead and polybutylene | Heating: oil, wood and older furnaces | Upgrades that pay off on your premium | Keeping proof of updates</t>
        </is>
      </c>
      <c r="U371" s="25" t="inlineStr">
        <is>
          <t>How old is too old for home insurance? | Does roof age affect home insurance in Canada? | Will galvanized pipes stop me from getting insured? | Do I need receipts for past renovations?</t>
        </is>
      </c>
      <c r="V371" s="25" t="inlineStr">
        <is>
          <t>Update-year checklist (roof, electrical, plumbing, heating) mirroring insurer application questions, with the proof to keep and the coverage impact if a system is not updated.</t>
        </is>
      </c>
      <c r="W371" s="25" t="inlineStr">
        <is>
          <t>/home-insurance/; /guides/knob-and-tube-wiring-home-insurance/; /guides/replacement-cost-vs-actual-cash-value/; /home-insurance/ontario/hamilton/; /home-insurance/hard-to-insure/</t>
        </is>
      </c>
      <c r="X371" s="25" t="inlineStr">
        <is>
          <t>Instant home insurance estimate (/quote/home-insurance/)</t>
        </is>
      </c>
      <c r="Y371" s="36" t="inlineStr">
        <is>
          <t>Article; FAQPage; BreadcrumbList</t>
        </is>
      </c>
      <c r="Z371" s="37" t="n">
        <v>1700</v>
      </c>
      <c r="AA371" s="25" t="inlineStr">
        <is>
          <t>Rates.ca has a roof-replacement claims guide; no competitor covers the full set of update questions insurers ask about older homes.</t>
        </is>
      </c>
      <c r="AB371" s="25" t="inlineStr">
        <is>
          <t>Use 'home insurance for older homes' in the H1, slug, meta title, first 100 words and first H2, with a 40–60 word answer naming the four systems insurers check. Add the update-year checklist table; link 'knob-and-tube wiring' to that guide and 'actual cash value' to the RC vs ACV guide; alt text 'century home with updated roof and electrical'. Licensed P&amp;C reviewer; cite IBC and provincial electrical safety authorities; refresh annually.</t>
        </is>
      </c>
      <c r="AC371" s="25" t="inlineStr">
        <is>
          <t>Update thresholds (roof age, panel size) are insurer practice and vary; present them as typical questions, not rules.</t>
        </is>
      </c>
      <c r="AD371" s="36" t="inlineStr">
        <is>
          <t>Annual</t>
        </is>
      </c>
      <c r="AE371" s="38" t="n"/>
      <c r="AF371" s="38" t="n"/>
      <c r="AG371" s="38" t="n"/>
    </row>
    <row r="372" ht="57.45" customHeight="1" s="22">
      <c r="A372" s="36">
        <f>"B"&amp;TEXT(ROW()-1,"0000")</f>
        <v/>
      </c>
      <c r="B372" s="38" t="inlineStr">
        <is>
          <t>Planned</t>
        </is>
      </c>
      <c r="C372" s="36" t="n">
        <v>2</v>
      </c>
      <c r="D372" s="36" t="inlineStr">
        <is>
          <t>Home insurance</t>
        </is>
      </c>
      <c r="E372" s="36" t="inlineStr">
        <is>
          <t>Hard-to-insure</t>
        </is>
      </c>
      <c r="F372" s="25" t="inlineStr">
        <is>
          <t>Knob-and-Tube Wiring and Home Insurance: Can You Get Covered?</t>
        </is>
      </c>
      <c r="G372" s="36" t="inlineStr">
        <is>
          <t>https://instasure.ca/guides/knob-and-tube-wiring-home-insurance/</t>
        </is>
      </c>
      <c r="H372" s="36" t="inlineStr">
        <is>
          <t>knob and tube wiring insurance</t>
        </is>
      </c>
      <c r="I372" s="41">
        <f>IFERROR(INDEX('Nationwide KWs'!$D$2:$D$168,MATCH(H372,'Nationwide KWs'!$A$2:$A$168,0)),IFERROR(INDEX('Provincial KWs'!$E$2:$E$137,MATCH(H372,'Provincial KWs'!$A$2:$A$137,0)),IFERROR(INDEX('City KWs'!$F$2:$F$419,MATCH(H372,'City KWs'!$A$2:$A$419,0)),"")))</f>
        <v/>
      </c>
      <c r="J372" s="36" t="inlineStr">
        <is>
          <t>Low</t>
        </is>
      </c>
      <c r="K372" s="25" t="inlineStr">
        <is>
          <t>knob and tube insurance ontario; insurance companies that cover knob and tube; electrical inspection for insurance; aluminum wiring insurance; replacing knob and tube for insurance</t>
        </is>
      </c>
      <c r="L372" s="36" t="inlineStr">
        <is>
          <t>Nationwide</t>
        </is>
      </c>
      <c r="M372" s="36" t="inlineStr">
        <is>
          <t>commercial</t>
        </is>
      </c>
      <c r="N372" s="36" t="inlineStr">
        <is>
          <t>MOFU</t>
        </is>
      </c>
      <c r="O372" s="25" t="inlineStr">
        <is>
          <t>Knob-and-Tube Wiring Insurance: Can You Get Covered?</t>
        </is>
      </c>
      <c r="P372" s="36">
        <f>LEN(O372)</f>
        <v/>
      </c>
      <c r="Q372" s="25" t="inlineStr">
        <is>
          <t>Knob-and-tube wiring insurance: why insurers decline it, the electrical inspection they want, rewiring timelines and options while you upgrade. Get help.</t>
        </is>
      </c>
      <c r="R372" s="36">
        <f>LEN(Q372)</f>
        <v/>
      </c>
      <c r="S372" s="36">
        <f>IF(H372="","",IF(ISNUMBER(SEARCH(SUBSTITUTE(H372,"-"," "),SUBSTITUTE(O372,"-"," "))),"Yes","Check"))</f>
        <v/>
      </c>
      <c r="T372" s="25" t="inlineStr">
        <is>
          <t>Can you insure a home with knob-and-tube wiring? | Why insurers worry about old wiring | The electrical inspection insurers ask for | Partial vs full rewiring | Coverage options while you upgrade | Buying a home with knob-and-tube | Getting back to a standard policy</t>
        </is>
      </c>
      <c r="U372" s="25" t="inlineStr">
        <is>
          <t>Will insurance companies cover a house with knob-and-tube wiring? | Do I have to replace all knob-and-tube wiring to get insured? | What does an electrician's letter for insurance need to say? | Does aluminum wiring cause the same problem?</t>
        </is>
      </c>
      <c r="V372" s="25" t="inlineStr">
        <is>
          <t>Older-home buyer checklist for Toronto, Hamilton and Ottawa: the electrical inspection letter, partial vs full rewire, insurer conditions, and a timeline from specialty to standard coverage.</t>
        </is>
      </c>
      <c r="W372" s="25" t="inlineStr">
        <is>
          <t>/home-insurance/hard-to-insure/; /guides/insuring-an-older-home/; /home-insurance/ontario/hamilton/; /home-insurance/ontario/toronto/</t>
        </is>
      </c>
      <c r="X372" s="25" t="inlineStr">
        <is>
          <t>Request a specialist call: Hard-to-insure property desk (/home-insurance/hard-to-insure/)</t>
        </is>
      </c>
      <c r="Y372" s="36" t="inlineStr">
        <is>
          <t>Article; FAQPage; BreadcrumbList</t>
        </is>
      </c>
      <c r="Z372" s="37" t="n">
        <v>1400</v>
      </c>
      <c r="AA372" s="25" t="inlineStr">
        <is>
          <t>No coverage seen on Ratehub, Rates.ca or Sonnet in the research; demand is concentrated in older housing stock in Toronto, Hamilton and Ottawa.</t>
        </is>
      </c>
      <c r="AB372" s="25" t="inlineStr">
        <is>
          <t>Use 'knob and tube wiring insurance' in the H1, slug, meta title, first 100 words and first H2, with a 40–60 word answer on whether coverage is possible and what insurers require. Add the buyer checklist and a 'what the electrician's letter must say' box; link 'hard-to-insure property desk' to /home-insurance/hard-to-insure/ and 'older homes' to that guide; alt text 'knob-and-tube wiring in a century home attic'. Licensed P&amp;C reviewer; cite the Electrical Safety Authority and IBC; refresh annually.</t>
        </is>
      </c>
      <c r="AC372" s="25" t="inlineStr">
        <is>
          <t>Verify Electrical Safety Authority (Ontario) inspection processes and other provinces' equivalents. Do not quote rewiring costs without a dated source or name insurers that accept knob-and-tube without confirmation.</t>
        </is>
      </c>
      <c r="AD372" s="36" t="inlineStr">
        <is>
          <t>Annual</t>
        </is>
      </c>
      <c r="AE372" s="38" t="n"/>
      <c r="AF372" s="38" t="n"/>
      <c r="AG372" s="38" t="n"/>
    </row>
    <row r="373" ht="57.45" customHeight="1" s="22">
      <c r="A373" s="36">
        <f>"B"&amp;TEXT(ROW()-1,"0000")</f>
        <v/>
      </c>
      <c r="B373" s="38" t="inlineStr">
        <is>
          <t>Planned</t>
        </is>
      </c>
      <c r="C373" s="36" t="n">
        <v>2</v>
      </c>
      <c r="D373" s="36" t="inlineStr">
        <is>
          <t>Home insurance</t>
        </is>
      </c>
      <c r="E373" s="36" t="inlineStr">
        <is>
          <t>Hard-to-insure</t>
        </is>
      </c>
      <c r="F373" s="25" t="inlineStr">
        <is>
          <t>Oil Tanks and Home Insurance: Age Limits, Leaks and Removal</t>
        </is>
      </c>
      <c r="G373" s="36" t="inlineStr">
        <is>
          <t>https://instasure.ca/guides/oil-tank-home-insurance/</t>
        </is>
      </c>
      <c r="H373" s="36" t="inlineStr">
        <is>
          <t>oil tank home insurance</t>
        </is>
      </c>
      <c r="I373" s="41">
        <f>IFERROR(INDEX('Nationwide KWs'!$D$2:$D$168,MATCH(H373,'Nationwide KWs'!$A$2:$A$168,0)),IFERROR(INDEX('Provincial KWs'!$E$2:$E$137,MATCH(H373,'Provincial KWs'!$A$2:$A$137,0)),IFERROR(INDEX('City KWs'!$F$2:$F$419,MATCH(H373,'City KWs'!$A$2:$A$419,0)),"")))</f>
        <v/>
      </c>
      <c r="J373" s="36" t="inlineStr">
        <is>
          <t>Low</t>
        </is>
      </c>
      <c r="K373" s="25" t="inlineStr">
        <is>
          <t>oil tank age insurance; underground oil tank insurance; oil tank leak coverage; oil tank insurance nova scotia; buying a house with an oil tank</t>
        </is>
      </c>
      <c r="L373" s="36" t="inlineStr">
        <is>
          <t>Nationwide</t>
        </is>
      </c>
      <c r="M373" s="36" t="inlineStr">
        <is>
          <t>commercial</t>
        </is>
      </c>
      <c r="N373" s="36" t="inlineStr">
        <is>
          <t>MOFU</t>
        </is>
      </c>
      <c r="O373" s="25" t="inlineStr">
        <is>
          <t>Oil Tank Home Insurance: Age Limits, Leaks and Removal</t>
        </is>
      </c>
      <c r="P373" s="36">
        <f>LEN(O373)</f>
        <v/>
      </c>
      <c r="Q373" s="25" t="inlineStr">
        <is>
          <t>Oil tank home insurance: the tank age limits insurers use, why leak cleanup is often excluded and what to check before buying a home with one. Get help.</t>
        </is>
      </c>
      <c r="R373" s="36">
        <f>LEN(Q373)</f>
        <v/>
      </c>
      <c r="S373" s="36">
        <f>IF(H373="","",IF(ISNUMBER(SEARCH(SUBSTITUTE(H373,"-"," "),SUBSTITUTE(O373,"-"," "))),"Yes","Check"))</f>
        <v/>
      </c>
      <c r="T373" s="25" t="inlineStr">
        <is>
          <t>Can you insure a home with an oil tank? | Tank age, material and location rules | Why leak and cleanup costs are often excluded | Underground tanks and buying a home | Replacing or removing a tank | Atlantic Canada: what insurers commonly ask</t>
        </is>
      </c>
      <c r="U373" s="25" t="inlineStr">
        <is>
          <t>How old can an oil tank be for home insurance? | Does home insurance cover an oil tank leak? | Do I need to remove an underground oil tank to get insured? | What documents prove my oil tank was replaced?</t>
        </is>
      </c>
      <c r="V373" s="25" t="inlineStr">
        <is>
          <t>Province table (NS, NB, PEI, NL, ON, QC) of tank standards and the documents insurers commonly request, plus a pre-purchase checklist for homes heated with oil.</t>
        </is>
      </c>
      <c r="W373" s="25" t="inlineStr">
        <is>
          <t>/home-insurance/nova-scotia/; /home-insurance/hard-to-insure/; /guides/home-insurance-when-buying-a-house/; /home-insurance/new-brunswick/</t>
        </is>
      </c>
      <c r="X373" s="25" t="inlineStr">
        <is>
          <t>Request a specialist call: Hard-to-insure property desk (/home-insurance/hard-to-insure/)</t>
        </is>
      </c>
      <c r="Y373" s="36" t="inlineStr">
        <is>
          <t>Article; FAQPage; BreadcrumbList</t>
        </is>
      </c>
      <c r="Z373" s="37" t="n">
        <v>1400</v>
      </c>
      <c r="AA373" s="25" t="inlineStr">
        <is>
          <t>Not seen on Ratehub, Rates.ca or Sonnet in the research; Atlantic Canada has no aggregator content on this common decline reason.</t>
        </is>
      </c>
      <c r="AB373" s="25" t="inlineStr">
        <is>
          <t>Use 'oil tank home insurance' in the H1, slug, meta title, first 100 words and first H2, with a 40–60 word answer on tank age and documentation. Add the province table and pre-purchase checklist; link 'home insurance in Nova Scotia' to /home-insurance/nova-scotia/ and 'buying a house' to the closing guide; alt text 'indoor residential heating oil tank'. Licensed Atlantic P&amp;C reviewer; cite CSA B139 and provincial environment departments; refresh annually.</t>
        </is>
      </c>
      <c r="AC373" s="25" t="inlineStr">
        <is>
          <t>Tank age thresholds are insurer practice and vary; say so. Verify the CSA B139 reference and provincial rules, and do not state cleanup costs without a dated source.</t>
        </is>
      </c>
      <c r="AD373" s="36" t="inlineStr">
        <is>
          <t>Annual</t>
        </is>
      </c>
      <c r="AE373" s="38" t="n"/>
      <c r="AF373" s="38" t="n"/>
      <c r="AG373" s="38" t="n"/>
    </row>
    <row r="374" ht="57.45" customHeight="1" s="22">
      <c r="A374" s="36">
        <f>"B"&amp;TEXT(ROW()-1,"0000")</f>
        <v/>
      </c>
      <c r="B374" s="38" t="inlineStr">
        <is>
          <t>Planned</t>
        </is>
      </c>
      <c r="C374" s="36" t="n">
        <v>2</v>
      </c>
      <c r="D374" s="36" t="inlineStr">
        <is>
          <t>Home insurance</t>
        </is>
      </c>
      <c r="E374" s="36" t="inlineStr">
        <is>
          <t>How-to</t>
        </is>
      </c>
      <c r="F374" s="25" t="inlineStr">
        <is>
          <t>Home Renovations and Insurance: What to Tell Your Insurer First</t>
        </is>
      </c>
      <c r="G374" s="36" t="inlineStr">
        <is>
          <t>https://instasure.ca/guides/home-renovation-insurance/</t>
        </is>
      </c>
      <c r="H374" s="36" t="inlineStr">
        <is>
          <t>home renovation insurance</t>
        </is>
      </c>
      <c r="I374" s="41">
        <f>IFERROR(INDEX('Nationwide KWs'!$D$2:$D$168,MATCH(H374,'Nationwide KWs'!$A$2:$A$168,0)),IFERROR(INDEX('Provincial KWs'!$E$2:$E$137,MATCH(H374,'Provincial KWs'!$A$2:$A$137,0)),IFERROR(INDEX('City KWs'!$F$2:$F$419,MATCH(H374,'City KWs'!$A$2:$A$419,0)),"")))</f>
        <v/>
      </c>
      <c r="J374" s="36" t="inlineStr">
        <is>
          <t>Low</t>
        </is>
      </c>
      <c r="K374" s="25" t="inlineStr">
        <is>
          <t>do i need to tell my insurer about renovations; builders risk insurance canada; contractor liability home renovation; renovation increase home insurance; living elsewhere during renovation insurance</t>
        </is>
      </c>
      <c r="L374" s="36" t="inlineStr">
        <is>
          <t>Nationwide</t>
        </is>
      </c>
      <c r="M374" s="36" t="inlineStr">
        <is>
          <t>informational</t>
        </is>
      </c>
      <c r="N374" s="36" t="inlineStr">
        <is>
          <t>MOFU</t>
        </is>
      </c>
      <c r="O374" s="25" t="inlineStr">
        <is>
          <t>Home Renovation Insurance: What to Tell Your Insurer</t>
        </is>
      </c>
      <c r="P374" s="36">
        <f>LEN(O374)</f>
        <v/>
      </c>
      <c r="Q374" s="25" t="inlineStr">
        <is>
          <t>Home renovation insurance: when to notify your insurer, when you need builder's risk, how to check a contractor's liability and raising limits. Plan now.</t>
        </is>
      </c>
      <c r="R374" s="36">
        <f>LEN(Q374)</f>
        <v/>
      </c>
      <c r="S374" s="36">
        <f>IF(H374="","",IF(ISNUMBER(SEARCH(SUBSTITUTE(H374,"-"," "),SUBSTITUTE(O374,"-"," "))),"Yes","Check"))</f>
        <v/>
      </c>
      <c r="T374" s="25" t="inlineStr">
        <is>
          <t>Do you need to tell your insurer about renovations? | Small projects vs major renovations | Builder's risk and course-of-construction policies | Checking your contractor's insurance | Living elsewhere during the work | Updating your limits after the renovation</t>
        </is>
      </c>
      <c r="U374" s="25" t="inlineStr">
        <is>
          <t>Do I need to tell my home insurer about a renovation? | What is builder's risk insurance? | What if my contractor damages my house? | Should I raise my coverage after renovating?</t>
        </is>
      </c>
      <c r="V374" s="25" t="inlineStr">
        <is>
          <t>Renovation insurance timeline (before, during, after) with a contractor certificate-of-insurance checklist and a table of renovation types that typically need insurer notice or a builder's risk policy.</t>
        </is>
      </c>
      <c r="W374" s="25" t="inlineStr">
        <is>
          <t>/home-insurance/; /contractor-insurance/; /guides/how-much-home-insurance-do-i-need/; /guides/vacant-home-insurance/</t>
        </is>
      </c>
      <c r="X374" s="25" t="inlineStr">
        <is>
          <t>Instant home insurance estimate (/quote/home-insurance/)</t>
        </is>
      </c>
      <c r="Y374" s="36" t="inlineStr">
        <is>
          <t>Article; FAQPage; BreadcrumbList</t>
        </is>
      </c>
      <c r="Z374" s="37" t="n">
        <v>1500</v>
      </c>
      <c r="AA374" s="25" t="inlineStr">
        <is>
          <t>Ratehub has a builders-risk-insurance page aimed at construction; no competitor gives homeowners a renovation-stage checklist.</t>
        </is>
      </c>
      <c r="AB374" s="25" t="inlineStr">
        <is>
          <t>Use 'home renovation insurance' in the H1, slug, meta title, first 100 words and first H2, with a 40–60 word answer on when to call your insurer. Add the timeline table and the contractor certificate checklist; link 'contractor insurance' to /contractor-insurance/ and 'how much home insurance' to the sizing guide; alt text 'kitchen renovation in progress in a Canadian home'. Licensed P&amp;C reviewer; cite IBC and insurer wordings on unoccupancy and alterations; refresh annually.</t>
        </is>
      </c>
      <c r="AC374" s="25" t="inlineStr">
        <is>
          <t>Describe renovation and unoccupancy clauses generically. Confirm builder's risk availability for owner-occupied renovations before stating it, and don't advise on specific contractor policies.</t>
        </is>
      </c>
      <c r="AD374" s="36" t="inlineStr">
        <is>
          <t>Annual</t>
        </is>
      </c>
      <c r="AE374" s="38" t="n"/>
      <c r="AF374" s="38" t="n"/>
      <c r="AG374" s="38" t="n"/>
    </row>
    <row r="375" ht="57.45" customHeight="1" s="22">
      <c r="A375" s="36">
        <f>"B"&amp;TEXT(ROW()-1,"0000")</f>
        <v/>
      </c>
      <c r="B375" s="38" t="inlineStr">
        <is>
          <t>Planned</t>
        </is>
      </c>
      <c r="C375" s="36" t="n">
        <v>2</v>
      </c>
      <c r="D375" s="36" t="inlineStr">
        <is>
          <t>Home insurance</t>
        </is>
      </c>
      <c r="E375" s="36" t="inlineStr">
        <is>
          <t>Local (city/province)</t>
        </is>
      </c>
      <c r="F375" s="25" t="inlineStr">
        <is>
          <t>Basement Flood Insurance in Toronto: Coverage, Subsidies and Claims</t>
        </is>
      </c>
      <c r="G375" s="36" t="inlineStr">
        <is>
          <t>https://instasure.ca/guides/basement-flood-insurance-toronto/</t>
        </is>
      </c>
      <c r="H375" s="36" t="inlineStr">
        <is>
          <t>basement flood insurance toronto</t>
        </is>
      </c>
      <c r="I375" s="41">
        <f>IFERROR(INDEX('Nationwide KWs'!$D$2:$D$168,MATCH(H375,'Nationwide KWs'!$A$2:$A$168,0)),IFERROR(INDEX('Provincial KWs'!$E$2:$E$137,MATCH(H375,'Provincial KWs'!$A$2:$A$137,0)),IFERROR(INDEX('City KWs'!$F$2:$F$419,MATCH(H375,'City KWs'!$A$2:$A$419,0)),"")))</f>
        <v/>
      </c>
      <c r="J375" s="36" t="inlineStr">
        <is>
          <t>Low</t>
        </is>
      </c>
      <c r="K375" s="25" t="inlineStr">
        <is>
          <t>sewer backup insurance toronto; toronto basement flooding protection subsidy; backwater valve toronto insurance; flooded basement claim ontario; toronto flood home insurance</t>
        </is>
      </c>
      <c r="L375" s="36" t="inlineStr">
        <is>
          <t>City: Toronto, ON</t>
        </is>
      </c>
      <c r="M375" s="36" t="inlineStr">
        <is>
          <t>local</t>
        </is>
      </c>
      <c r="N375" s="36" t="inlineStr">
        <is>
          <t>MOFU</t>
        </is>
      </c>
      <c r="O375" s="25" t="inlineStr">
        <is>
          <t>Basement Flood Insurance Toronto: Coverage and Subsidies</t>
        </is>
      </c>
      <c r="P375" s="36">
        <f>LEN(O375)</f>
        <v/>
      </c>
      <c r="Q375" s="25" t="inlineStr">
        <is>
          <t>Basement flood insurance in Toronto: sewer backup vs overland water cover, the city's backwater valve subsidy and how to claim. Get an instant estimate.</t>
        </is>
      </c>
      <c r="R375" s="36">
        <f>LEN(Q375)</f>
        <v/>
      </c>
      <c r="S375" s="36">
        <f>IF(H375="","",IF(ISNUMBER(SEARCH(SUBSTITUTE(H375,"-"," "),SUBSTITUTE(O375,"-"," "))),"Yes","Check"))</f>
        <v/>
      </c>
      <c r="T375" s="25" t="inlineStr">
        <is>
          <t>Is a flooded basement covered in Toronto? | Sewer backup vs overland water vs groundwater | Toronto's Basement Flooding Protection Subsidy Program | Backwater valves, sump pumps and insurer discounts | Areas with repeat basement flooding | Filing a flooded-basement claim | Getting coverage after past floods</t>
        </is>
      </c>
      <c r="U375" s="25" t="inlineStr">
        <is>
          <t>Does home insurance cover a flooded basement in Toronto? | How much is Toronto's backwater valve subsidy? | Will a backwater valve lower my insurance? | Can I get sewer backup coverage after a previous claim?</t>
        </is>
      </c>
      <c r="V375" s="25" t="inlineStr">
        <is>
          <t>Table of the city subsidy (eligible devices, maximum amounts, application steps) next to what insurers ask for as proof of a backwater valve, plus a claim-day photo checklist for flooded basements.</t>
        </is>
      </c>
      <c r="W375" s="25" t="inlineStr">
        <is>
          <t>/home-insurance/ontario/toronto/; /guides/does-home-insurance-cover-water-damage-canada/; /home-insurance/hard-to-insure/; /tenant-insurance/ontario/toronto/</t>
        </is>
      </c>
      <c r="X375" s="25" t="inlineStr">
        <is>
          <t>Instant home insurance estimate for Toronto (/quote/home-insurance/)</t>
        </is>
      </c>
      <c r="Y375" s="36" t="inlineStr">
        <is>
          <t>Article; FAQPage; BreadcrumbList</t>
        </is>
      </c>
      <c r="Z375" s="37" t="n">
        <v>1600</v>
      </c>
      <c r="AA375" s="25" t="inlineStr">
        <is>
          <t>McDougall Insurance's Ontario basement flood post ranks for this, but no aggregator ties Toronto's subsidy program to policy terms and claims.</t>
        </is>
      </c>
      <c r="AB375" s="25" t="inlineStr">
        <is>
          <t>Use 'basement flood insurance Toronto' in the H1, slug, meta title, first 100 words and first H2, with a 40–60 word answer on which add-ons a flooded basement needs. Add the subsidy table and the claim checklist; link 'home insurance in Toronto' to /home-insurance/ontario/toronto/ and 'sewer backup vs overland flood' to the water damage guide; alt text 'backwater valve installed in a Toronto basement'. Licensed Ontario P&amp;C reviewer; cite toronto.ca and IBC; refresh annually and after major storms.</t>
        </is>
      </c>
      <c r="AC375" s="25" t="inlineStr">
        <is>
          <t>Verify current subsidy amounts and eligibility on toronto.ca before publishing. Describe backwater valve discounts as offered by some insurers only.</t>
        </is>
      </c>
      <c r="AD375" s="36" t="inlineStr">
        <is>
          <t>Annual</t>
        </is>
      </c>
      <c r="AE375" s="38" t="n"/>
      <c r="AF375" s="38" t="n"/>
      <c r="AG375" s="38" t="n"/>
    </row>
    <row r="376" ht="57.45" customHeight="1" s="22">
      <c r="A376" s="36">
        <f>"B"&amp;TEXT(ROW()-1,"0000")</f>
        <v/>
      </c>
      <c r="B376" s="38" t="inlineStr">
        <is>
          <t>Planned</t>
        </is>
      </c>
      <c r="C376" s="36" t="n">
        <v>2</v>
      </c>
      <c r="D376" s="36" t="inlineStr">
        <is>
          <t>Home insurance</t>
        </is>
      </c>
      <c r="E376" s="36" t="inlineStr">
        <is>
          <t>Local (city/province)</t>
        </is>
      </c>
      <c r="F376" s="25" t="inlineStr">
        <is>
          <t>How Much Is Home Insurance in Brampton? Costs and Local Risks</t>
        </is>
      </c>
      <c r="G376" s="36" t="inlineStr">
        <is>
          <t>https://instasure.ca/guides/home-insurance-cost-brampton/</t>
        </is>
      </c>
      <c r="H376" s="36" t="inlineStr">
        <is>
          <t>how much is home insurance in brampton</t>
        </is>
      </c>
      <c r="I376" s="41">
        <f>IFERROR(INDEX('Nationwide KWs'!$D$2:$D$168,MATCH(H376,'Nationwide KWs'!$A$2:$A$168,0)),IFERROR(INDEX('Provincial KWs'!$E$2:$E$137,MATCH(H376,'Provincial KWs'!$A$2:$A$137,0)),IFERROR(INDEX('City KWs'!$F$2:$F$419,MATCH(H376,'City KWs'!$A$2:$A$419,0)),"")))</f>
        <v/>
      </c>
      <c r="J376" s="36" t="inlineStr">
        <is>
          <t>Low</t>
        </is>
      </c>
      <c r="K376" s="25" t="inlineStr">
        <is>
          <t>average home insurance cost brampton; home insurance brampton; brampton basement apartment home insurance; brampton sewer backup coverage; home insurance brampton postal code</t>
        </is>
      </c>
      <c r="L376" s="36" t="inlineStr">
        <is>
          <t>City: Brampton, ON</t>
        </is>
      </c>
      <c r="M376" s="36" t="inlineStr">
        <is>
          <t>local</t>
        </is>
      </c>
      <c r="N376" s="36" t="inlineStr">
        <is>
          <t>BOFU</t>
        </is>
      </c>
      <c r="O376" s="25" t="inlineStr">
        <is>
          <t>How Much Is Home Insurance in Brampton? Costs and Risks</t>
        </is>
      </c>
      <c r="P376" s="36">
        <f>LEN(O376)</f>
        <v/>
      </c>
      <c r="Q376" s="25" t="inlineStr">
        <is>
          <t>How much is home insurance in Brampton? Dated example costs by home type, postal-code gaps, basement suites and sewer backup. Get an instant estimate.</t>
        </is>
      </c>
      <c r="R376" s="36">
        <f>LEN(Q376)</f>
        <v/>
      </c>
      <c r="S376" s="36">
        <f>IF(H376="","",IF(ISNUMBER(SEARCH(SUBSTITUTE(H376,"-"," "),SUBSTITUTE(O376,"-"," "))),"Yes","Check"))</f>
        <v/>
      </c>
      <c r="T376" s="25" t="inlineStr">
        <is>
          <t>How much is home insurance in Brampton? | Example costs by home type | Postal code differences across Brampton | Basement apartments and second units | Sewer backup and water claims | Discounts Brampton homeowners can ask for | Compare quotes with a licensed advisor</t>
        </is>
      </c>
      <c r="U376" s="25" t="inlineStr">
        <is>
          <t>What is the average cost of home insurance in Brampton? | Why does my Brampton postal code change my premium? | Does a basement apartment raise home insurance in Brampton? | Is sewer backup coverage worth it in Brampton?</t>
        </is>
      </c>
      <c r="V376" s="25" t="inlineStr">
        <is>
          <t>Dated table of modelled premiums by home type (detached, semi, townhouse, with and without a registered second unit) and an FSA comparison across Brampton postal codes, labelled as Instasure estimates with the profile stated.</t>
        </is>
      </c>
      <c r="W376" s="25" t="inlineStr">
        <is>
          <t>/home-insurance/ontario/brampton/; /insurance/ontario/brampton/; /guides/brampton-second-unit-insurance/; /guides/is-bundling-home-and-car-insurance-worth-it/</t>
        </is>
      </c>
      <c r="X376" s="25" t="inlineStr">
        <is>
          <t>Instant home insurance estimate for Brampton (/quote/home-insurance/)</t>
        </is>
      </c>
      <c r="Y376" s="36" t="inlineStr">
        <is>
          <t>Article; FAQPage; BreadcrumbList</t>
        </is>
      </c>
      <c r="Z376" s="37" t="n">
        <v>1500</v>
      </c>
      <c r="AA376" s="25" t="inlineStr">
        <is>
          <t>Ratehub and Rates.ca have Brampton home money pages; acera (a regional broker) holds #1 and htwilson's malformed titles sit at #8–9, and no informational cost post exists.</t>
        </is>
      </c>
      <c r="AB376" s="25" t="inlineStr">
        <is>
          <t>Use 'how much is home insurance in Brampton' in the H1, slug, meta title, first 100 words and first H2, with a 40–60 word answer giving the dated example range and profile. Add the home-type and FSA tables; link 'home insurance in Brampton' to /home-insurance/ontario/brampton/ and 'second units' to the Brampton second-unit guide; alt text 'detached homes on a Brampton street'. Licensed Ontario P&amp;C reviewer; cite Instasure Rate Index methodology and City of Brampton; refresh quarterly.</t>
        </is>
      </c>
      <c r="AC376" s="25" t="inlineStr">
        <is>
          <t>Verify the snippet figure ($1,619/yr in Q1 2026 vs Ontario $1,796) before quoting and attribute it. Label Instasure FSA figures as modelled estimates with a stated profile.</t>
        </is>
      </c>
      <c r="AD376" s="36" t="inlineStr">
        <is>
          <t>Quarterly</t>
        </is>
      </c>
      <c r="AE376" s="38" t="n"/>
      <c r="AF376" s="38" t="n"/>
      <c r="AG376" s="38" t="n"/>
    </row>
    <row r="377" ht="57.45" customHeight="1" s="22">
      <c r="A377" s="36">
        <f>"B"&amp;TEXT(ROW()-1,"0000")</f>
        <v/>
      </c>
      <c r="B377" s="38" t="inlineStr">
        <is>
          <t>Planned</t>
        </is>
      </c>
      <c r="C377" s="36" t="n">
        <v>2</v>
      </c>
      <c r="D377" s="36" t="inlineStr">
        <is>
          <t>Home insurance</t>
        </is>
      </c>
      <c r="E377" s="36" t="inlineStr">
        <is>
          <t>Local (city/province)</t>
        </is>
      </c>
      <c r="F377" s="25" t="inlineStr">
        <is>
          <t>How Much Is Home Insurance in Calgary? Hail, Costs and Discounts</t>
        </is>
      </c>
      <c r="G377" s="36" t="inlineStr">
        <is>
          <t>https://instasure.ca/guides/home-insurance-cost-calgary/</t>
        </is>
      </c>
      <c r="H377" s="36" t="inlineStr">
        <is>
          <t>average home insurance cost calgary</t>
        </is>
      </c>
      <c r="I377" s="41">
        <f>IFERROR(INDEX('Nationwide KWs'!$D$2:$D$168,MATCH(H377,'Nationwide KWs'!$A$2:$A$168,0)),IFERROR(INDEX('Provincial KWs'!$E$2:$E$137,MATCH(H377,'Provincial KWs'!$A$2:$A$137,0)),IFERROR(INDEX('City KWs'!$F$2:$F$419,MATCH(H377,'City KWs'!$A$2:$A$419,0)),"")))</f>
        <v/>
      </c>
      <c r="J377" s="36" t="inlineStr">
        <is>
          <t>Low</t>
        </is>
      </c>
      <c r="K377" s="25" t="inlineStr">
        <is>
          <t>how much is home insurance in calgary; calgary home insurance hail; home insurance calgary increase; impact resistant roof discount calgary; calgary home insurance by community</t>
        </is>
      </c>
      <c r="L377" s="36" t="inlineStr">
        <is>
          <t>City: Calgary, AB</t>
        </is>
      </c>
      <c r="M377" s="36" t="inlineStr">
        <is>
          <t>local</t>
        </is>
      </c>
      <c r="N377" s="36" t="inlineStr">
        <is>
          <t>BOFU</t>
        </is>
      </c>
      <c r="O377" s="25" t="inlineStr">
        <is>
          <t>Average Home Insurance Cost in Calgary: Hail and Discounts</t>
        </is>
      </c>
      <c r="P377" s="36">
        <f>LEN(O377)</f>
        <v/>
      </c>
      <c r="Q377" s="25" t="inlineStr">
        <is>
          <t>Average home insurance cost in Calgary, why hail keeps pushing premiums up, how roof type and community change price, and discounts. Get an estimate.</t>
        </is>
      </c>
      <c r="R377" s="36">
        <f>LEN(Q377)</f>
        <v/>
      </c>
      <c r="S377" s="36">
        <f>IF(H377="","",IF(ISNUMBER(SEARCH(SUBSTITUTE(H377,"-"," "),SUBSTITUTE(O377,"-"," "))),"Yes","Check"))</f>
        <v/>
      </c>
      <c r="T377" s="25" t="inlineStr">
        <is>
          <t>What is the average home insurance cost in Calgary? | Example costs by quadrant and roof type | How hail shapes Calgary premiums | Impact-resistant roofing and other discounts | Sewer backup and overland flood in Calgary | Compare quotes with a licensed advisor</t>
        </is>
      </c>
      <c r="U377" s="25" t="inlineStr">
        <is>
          <t>How much is home insurance in Calgary? | Why did my Calgary home insurance go up after a hailstorm year? | Do impact-resistant shingles lower home insurance in Calgary? | Is overland flood coverage available near the Bow and Elbow rivers?</t>
        </is>
      </c>
      <c r="V377" s="25" t="inlineStr">
        <is>
          <t>Dated table of modelled premiums by quadrant and roof type (standard vs impact-resistant) beside CatIQ's Calgary hail loss history, with Ratehub's and Rates.ca's published averages shown separately and sourced.</t>
        </is>
      </c>
      <c r="W377" s="25" t="inlineStr">
        <is>
          <t>/home-insurance/alberta/calgary/; /guides/calgary-hail-insurance-guide/; /insurance/alberta/calgary/; /guides/why-is-home-insurance-expensive-alberta/</t>
        </is>
      </c>
      <c r="X377" s="25" t="inlineStr">
        <is>
          <t>Instant home insurance estimate for Calgary (/quote/home-insurance/)</t>
        </is>
      </c>
      <c r="Y377" s="36" t="inlineStr">
        <is>
          <t>Article; FAQPage; BreadcrumbList</t>
        </is>
      </c>
      <c r="Z377" s="37" t="n">
        <v>1500</v>
      </c>
      <c r="AA377" s="25" t="inlineStr">
        <is>
          <t>Ratehub (average-home-insurance-cost-calgary: $2,374, 2024) and Rates.ca ($2,484) publish single averages; neither breaks cost down by roof type or community.</t>
        </is>
      </c>
      <c r="AB377" s="25" t="inlineStr">
        <is>
          <t>Use 'average home insurance cost Calgary' in the H1, slug, meta title, first 100 words and first H2, with a 40–60 word answer giving the dated range and profile. Add the quadrant and roof-type table; link 'Calgary hail insurance guide' to the hail guide and 'home insurance in Calgary' to /home-insurance/alberta/calgary/; alt text 'hail-damaged roof shingles in Calgary'. Licensed Alberta P&amp;C reviewer; cite CatIQ, IBC and the Instasure Rate Index; refresh quarterly.</t>
        </is>
      </c>
      <c r="AC377" s="25" t="inlineStr">
        <is>
          <t>Verify and date Ratehub's and Rates.ca's Calgary figures if quoted, and CatIQ's August 5, 2024 estimate ($3.29B, 130,000+ claims). Label community estimates as modelled.</t>
        </is>
      </c>
      <c r="AD377" s="36" t="inlineStr">
        <is>
          <t>Quarterly</t>
        </is>
      </c>
      <c r="AE377" s="38" t="n"/>
      <c r="AF377" s="38" t="n"/>
      <c r="AG377" s="38" t="n"/>
    </row>
    <row r="378" ht="57.45" customHeight="1" s="22">
      <c r="A378" s="36">
        <f>"B"&amp;TEXT(ROW()-1,"0000")</f>
        <v/>
      </c>
      <c r="B378" s="38" t="inlineStr">
        <is>
          <t>Planned</t>
        </is>
      </c>
      <c r="C378" s="36" t="n">
        <v>2</v>
      </c>
      <c r="D378" s="36" t="inlineStr">
        <is>
          <t>Home insurance</t>
        </is>
      </c>
      <c r="E378" s="36" t="inlineStr">
        <is>
          <t>Local (city/province)</t>
        </is>
      </c>
      <c r="F378" s="25" t="inlineStr">
        <is>
          <t>How Much Is Home Insurance in Hamilton? Costs and Older Homes</t>
        </is>
      </c>
      <c r="G378" s="36" t="inlineStr">
        <is>
          <t>https://instasure.ca/guides/home-insurance-cost-hamilton/</t>
        </is>
      </c>
      <c r="H378" s="36" t="inlineStr">
        <is>
          <t>how much is home insurance in hamilton</t>
        </is>
      </c>
      <c r="I378" s="41">
        <f>IFERROR(INDEX('Nationwide KWs'!$D$2:$D$168,MATCH(H378,'Nationwide KWs'!$A$2:$A$168,0)),IFERROR(INDEX('Provincial KWs'!$E$2:$E$137,MATCH(H378,'Provincial KWs'!$A$2:$A$137,0)),IFERROR(INDEX('City KWs'!$F$2:$F$419,MATCH(H378,'City KWs'!$A$2:$A$419,0)),"")))</f>
        <v/>
      </c>
      <c r="J378" s="36" t="inlineStr">
        <is>
          <t>Low</t>
        </is>
      </c>
      <c r="K378" s="25" t="inlineStr">
        <is>
          <t>average home insurance cost hamilton; home insurance hamilton ontario; hamilton knob and tube insurance; hamilton basement flooding insurance; hamilton home insurance discounts</t>
        </is>
      </c>
      <c r="L378" s="36" t="inlineStr">
        <is>
          <t>City: Hamilton, ON</t>
        </is>
      </c>
      <c r="M378" s="36" t="inlineStr">
        <is>
          <t>local</t>
        </is>
      </c>
      <c r="N378" s="36" t="inlineStr">
        <is>
          <t>BOFU</t>
        </is>
      </c>
      <c r="O378" s="25" t="inlineStr">
        <is>
          <t>How Much Is Home Insurance in Hamilton? Costs, Older Homes</t>
        </is>
      </c>
      <c r="P378" s="36">
        <f>LEN(O378)</f>
        <v/>
      </c>
      <c r="Q378" s="25" t="inlineStr">
        <is>
          <t>How much is home insurance in Hamilton? Dated example costs by area, why older lower-city homes cost more, basement flooding and discounts. Get a quote.</t>
        </is>
      </c>
      <c r="R378" s="36">
        <f>LEN(Q378)</f>
        <v/>
      </c>
      <c r="S378" s="36">
        <f>IF(H378="","",IF(ISNUMBER(SEARCH(SUBSTITUTE(H378,"-"," "),SUBSTITUTE(O378,"-"," "))),"Yes","Check"))</f>
        <v/>
      </c>
      <c r="T378" s="25" t="inlineStr">
        <is>
          <t>How much is home insurance in Hamilton? | Example costs: lower city, Mountain, Stoney Creek and Ancaster | Older homes: wiring, plumbing and roofs | Basement flooding and sewer backup | Discounts worth asking about | Compare quotes with a licensed advisor</t>
        </is>
      </c>
      <c r="U378" s="25" t="inlineStr">
        <is>
          <t>What is the average cost of home insurance in Hamilton? | Why are older Hamilton homes harder to insure? | Is basement flooding covered in Hamilton? | Which discounts lower home insurance in Hamilton?</t>
        </is>
      </c>
      <c r="V378" s="25" t="inlineStr">
        <is>
          <t>Dated table of modelled premiums for lower city vs Mountain vs Stoney Creek and Ancaster homes, with an older-home update checklist (wiring, plumbing, roof) common in Hamilton housing stock.</t>
        </is>
      </c>
      <c r="W378" s="25" t="inlineStr">
        <is>
          <t>/home-insurance/ontario/hamilton/; /insurance/ontario/hamilton/; /guides/knob-and-tube-wiring-home-insurance/; /guides/insuring-an-older-home/</t>
        </is>
      </c>
      <c r="X378" s="25" t="inlineStr">
        <is>
          <t>Instant home insurance estimate for Hamilton (/quote/home-insurance/)</t>
        </is>
      </c>
      <c r="Y378" s="36" t="inlineStr">
        <is>
          <t>Article; FAQPage; BreadcrumbList</t>
        </is>
      </c>
      <c r="Z378" s="37" t="n">
        <v>1500</v>
      </c>
      <c r="AA378" s="25" t="inlineStr">
        <is>
          <t>The Hamilton home SERP has four local brokers in the top nine (Morison, Acumen, Lawrie Group, Insureye); MyChoice leads with a 'from $103/month' title but no area-level detail.</t>
        </is>
      </c>
      <c r="AB378" s="25" t="inlineStr">
        <is>
          <t>Use 'how much is home insurance in Hamilton' in the H1, slug, meta title, first 100 words and first H2, with a 40–60 word answer giving the dated example range and profile. Add the area table and older-home checklist; link 'home insurance in Hamilton' to /home-insurance/ontario/hamilton/ and 'knob-and-tube wiring' to that guide; alt text 'brick century homes in Hamilton's lower city'. Licensed Ontario P&amp;C reviewer; cite Instasure Rate Index methodology and City of Hamilton; refresh quarterly.</t>
        </is>
      </c>
      <c r="AC378" s="25" t="inlineStr">
        <is>
          <t>Verify snippet figures ($2,161/yr in Q2 2026; L9K vs L8V; multi-line 11.4% and claims-free 16.5% discounts) and attribute them. Avoid 'from $X' framing.</t>
        </is>
      </c>
      <c r="AD378" s="36" t="inlineStr">
        <is>
          <t>Quarterly</t>
        </is>
      </c>
      <c r="AE378" s="38" t="n"/>
      <c r="AF378" s="38" t="n"/>
      <c r="AG378" s="38" t="n"/>
    </row>
    <row r="379" ht="57.45" customHeight="1" s="22">
      <c r="A379" s="36">
        <f>"B"&amp;TEXT(ROW()-1,"0000")</f>
        <v/>
      </c>
      <c r="B379" s="38" t="inlineStr">
        <is>
          <t>Planned</t>
        </is>
      </c>
      <c r="C379" s="36" t="n">
        <v>2</v>
      </c>
      <c r="D379" s="36" t="inlineStr">
        <is>
          <t>Home insurance</t>
        </is>
      </c>
      <c r="E379" s="36" t="inlineStr">
        <is>
          <t>Local (city/province)</t>
        </is>
      </c>
      <c r="F379" s="25" t="inlineStr">
        <is>
          <t>How Much Is Home Insurance in Ottawa? Flood Plains and Costs</t>
        </is>
      </c>
      <c r="G379" s="36" t="inlineStr">
        <is>
          <t>https://instasure.ca/guides/home-insurance-cost-ottawa/</t>
        </is>
      </c>
      <c r="H379" s="36" t="inlineStr">
        <is>
          <t>how much is home insurance in ottawa</t>
        </is>
      </c>
      <c r="I379" s="41">
        <f>IFERROR(INDEX('Nationwide KWs'!$D$2:$D$168,MATCH(H379,'Nationwide KWs'!$A$2:$A$168,0)),IFERROR(INDEX('Provincial KWs'!$E$2:$E$137,MATCH(H379,'Provincial KWs'!$A$2:$A$137,0)),IFERROR(INDEX('City KWs'!$F$2:$F$419,MATCH(H379,'City KWs'!$A$2:$A$419,0)),"")))</f>
        <v/>
      </c>
      <c r="J379" s="36" t="inlineStr">
        <is>
          <t>Low</t>
        </is>
      </c>
      <c r="K379" s="25" t="inlineStr">
        <is>
          <t>average home insurance cost ottawa; ottawa flood zone insurance; ottawa river flood insurance; home insurance ottawa postal code; ottawa tornado home insurance</t>
        </is>
      </c>
      <c r="L379" s="36" t="inlineStr">
        <is>
          <t>City: Ottawa, ON</t>
        </is>
      </c>
      <c r="M379" s="36" t="inlineStr">
        <is>
          <t>local</t>
        </is>
      </c>
      <c r="N379" s="36" t="inlineStr">
        <is>
          <t>BOFU</t>
        </is>
      </c>
      <c r="O379" s="25" t="inlineStr">
        <is>
          <t>How Much Is Home Insurance in Ottawa? Costs and Flood Risk</t>
        </is>
      </c>
      <c r="P379" s="36">
        <f>LEN(O379)</f>
        <v/>
      </c>
      <c r="Q379" s="25" t="inlineStr">
        <is>
          <t>How much is home insurance in Ottawa? Dated example costs, why postal codes differ, flood plains along the rivers and storm claims. Get an estimate.</t>
        </is>
      </c>
      <c r="R379" s="36">
        <f>LEN(Q379)</f>
        <v/>
      </c>
      <c r="S379" s="36">
        <f>IF(H379="","",IF(ISNUMBER(SEARCH(SUBSTITUTE(H379,"-"," "),SUBSTITUTE(O379,"-"," "))),"Yes","Check"))</f>
        <v/>
      </c>
      <c r="T379" s="25" t="inlineStr">
        <is>
          <t>How much is home insurance in Ottawa? | Example costs by home type and area | Why K1 and K2 postal codes differ | Ottawa River and Rideau flood plains | Tornado, ice storm and wind claims | Discounts and ways to save | Compare quotes with a licensed advisor</t>
        </is>
      </c>
      <c r="U379" s="25" t="inlineStr">
        <is>
          <t>What is the average cost of home insurance in Ottawa? | Can I get flood insurance near the Ottawa River? | Does home insurance cover tornado damage? | Why is my Ottawa neighbourhood more expensive to insure?</t>
        </is>
      </c>
      <c r="V379" s="25" t="inlineStr">
        <is>
          <t>Dated FSA comparison table for Ottawa built from Instasure estimates, plus a list of flood-prone areas with the coverage each needs, sourced to City of Ottawa and conservation authority maps.</t>
        </is>
      </c>
      <c r="W379" s="25" t="inlineStr">
        <is>
          <t>/home-insurance/ontario/ottawa/; /insurance/ontario/ottawa/; /guides/national-flood-insurance-program-canada/; /guides/does-home-insurance-cover-water-damage-canada/</t>
        </is>
      </c>
      <c r="X379" s="25" t="inlineStr">
        <is>
          <t>Instant home insurance estimate for Ottawa (/quote/home-insurance/)</t>
        </is>
      </c>
      <c r="Y379" s="36" t="inlineStr">
        <is>
          <t>Article; FAQPage; BreadcrumbList</t>
        </is>
      </c>
      <c r="Z379" s="37" t="n">
        <v>1500</v>
      </c>
      <c r="AA379" s="25" t="inlineStr">
        <is>
          <t>The Ottawa home SERP has no Ratehub or MyChoice; five of nine results are local brokers (BrokerLink, Sharp, Insurely, McDougall, ThinkInsure) and none publishes a dated cost post.</t>
        </is>
      </c>
      <c r="AB379" s="25" t="inlineStr">
        <is>
          <t>Use 'how much is home insurance in Ottawa' in the H1, slug, meta title, first 100 words and first H2, with a 40–60 word answer giving the dated example range and profile. Add the FSA table and flood-area list; link 'home insurance in Ottawa' to /home-insurance/ontario/ottawa/ and 'national flood program' to the tracker; alt text 'Ottawa River shoreline homes after spring flooding'. Licensed Ontario P&amp;C reviewer; cite City of Ottawa, conservation authorities and IBC; refresh quarterly.</t>
        </is>
      </c>
      <c r="AC379" s="25" t="inlineStr">
        <is>
          <t>Verify snippet figures ($2,163/yr in Q2 2026; K1S $1,691 vs K1K $2,973) before use and attribute them. Flood-plain references must cite official maps.</t>
        </is>
      </c>
      <c r="AD379" s="36" t="inlineStr">
        <is>
          <t>Quarterly</t>
        </is>
      </c>
      <c r="AE379" s="38" t="n"/>
      <c r="AF379" s="38" t="n"/>
      <c r="AG379" s="38" t="n"/>
    </row>
    <row r="380" ht="57.45" customHeight="1" s="22">
      <c r="A380" s="36">
        <f>"B"&amp;TEXT(ROW()-1,"0000")</f>
        <v/>
      </c>
      <c r="B380" s="38" t="inlineStr">
        <is>
          <t>Planned</t>
        </is>
      </c>
      <c r="C380" s="36" t="n">
        <v>2</v>
      </c>
      <c r="D380" s="36" t="inlineStr">
        <is>
          <t>Home insurance</t>
        </is>
      </c>
      <c r="E380" s="36" t="inlineStr">
        <is>
          <t>Local (city/province)</t>
        </is>
      </c>
      <c r="F380" s="25" t="inlineStr">
        <is>
          <t>Why Is Home Insurance So Expensive in Alberta?</t>
        </is>
      </c>
      <c r="G380" s="36" t="inlineStr">
        <is>
          <t>https://instasure.ca/guides/why-is-home-insurance-expensive-alberta/</t>
        </is>
      </c>
      <c r="H380" s="36" t="inlineStr">
        <is>
          <t>why is home insurance so expensive in alberta</t>
        </is>
      </c>
      <c r="I380" s="41">
        <f>IFERROR(INDEX('Nationwide KWs'!$D$2:$D$168,MATCH(H380,'Nationwide KWs'!$A$2:$A$168,0)),IFERROR(INDEX('Provincial KWs'!$E$2:$E$137,MATCH(H380,'Provincial KWs'!$A$2:$A$137,0)),IFERROR(INDEX('City KWs'!$F$2:$F$419,MATCH(H380,'City KWs'!$A$2:$A$419,0)),"")))</f>
        <v/>
      </c>
      <c r="J380" s="36" t="inlineStr">
        <is>
          <t>Low</t>
        </is>
      </c>
      <c r="K380" s="25" t="inlineStr">
        <is>
          <t>alberta home insurance increase 2026; home insurance alberta; hail insurance alberta; alberta wildfire home insurance; red deer home insurance</t>
        </is>
      </c>
      <c r="L380" s="36" t="inlineStr">
        <is>
          <t>Province: Alberta</t>
        </is>
      </c>
      <c r="M380" s="36" t="inlineStr">
        <is>
          <t>informational</t>
        </is>
      </c>
      <c r="N380" s="36" t="inlineStr">
        <is>
          <t>TOFU</t>
        </is>
      </c>
      <c r="O380" s="25" t="inlineStr">
        <is>
          <t>Why Is Home Insurance So Expensive in Alberta? 2026 Guide</t>
        </is>
      </c>
      <c r="P380" s="36">
        <f>LEN(O380)</f>
        <v/>
      </c>
      <c r="Q380" s="25" t="inlineStr">
        <is>
          <t>Why is home insurance so expensive in Alberta? Hail, wildfire and water losses, how Alberta compares and what owners can do. Get a second opinion.</t>
        </is>
      </c>
      <c r="R380" s="36">
        <f>LEN(Q380)</f>
        <v/>
      </c>
      <c r="S380" s="36">
        <f>IF(H380="","",IF(ISNUMBER(SEARCH(SUBSTITUTE(H380,"-"," "),SUBSTITUTE(O380,"-"," "))),"Yes","Check"))</f>
        <v/>
      </c>
      <c r="T380" s="25" t="inlineStr">
        <is>
          <t>Why is home insurance so expensive in Alberta? | Hail: the biggest driver | Wildfire and smoke losses | Water, sewer backup and overland flood | How Alberta compares with other provinces | What Calgary, Edmonton and Red Deer owners can do | Get a second opinion on your renewal</t>
        </is>
      </c>
      <c r="U380" s="25" t="inlineStr">
        <is>
          <t>How much did home insurance go up in Alberta in 2026? | Is Calgary more expensive than Edmonton for home insurance? | Will hail-resistant roofing lower my Alberta premium? | Is home insurance in Alberta likely to keep rising?</t>
        </is>
      </c>
      <c r="V380" s="25" t="inlineStr">
        <is>
          <t>Chart of the Applied Rating Index property change for Alberta vs national over recent quarters, plus a table of major Alberta catastrophe events and insured losses from CatIQ/IBC.</t>
        </is>
      </c>
      <c r="W380" s="25" t="inlineStr">
        <is>
          <t>/home-insurance/alberta/; /guides/home-insurance-cost-calgary/; /guides/calgary-hail-insurance-guide/; /home-insurance/alberta/red-deer/; /guides/wildfire-home-insurance-canada/</t>
        </is>
      </c>
      <c r="X380" s="25" t="inlineStr">
        <is>
          <t>Instant home insurance estimate for Alberta (/quote/home-insurance/)</t>
        </is>
      </c>
      <c r="Y380" s="36" t="inlineStr">
        <is>
          <t>Article; FAQPage; BreadcrumbList</t>
        </is>
      </c>
      <c r="Z380" s="37" t="n">
        <v>1500</v>
      </c>
      <c r="AA380" s="25" t="inlineStr">
        <is>
          <t>Ratehub has average-home-insurance-cost-alberta and Rates.ca an Alberta home calculator, but neither explains the causes with dated loss data.</t>
        </is>
      </c>
      <c r="AB380" s="25" t="inlineStr">
        <is>
          <t>Use 'why is home insurance so expensive in Alberta' in the H1, slug, meta title, first 100 words and first H2, with a 40–60 word answer naming hail, wildfire and water and the latest Applied change. Add the Applied chart and the catastrophe table; link 'home insurance in Alberta' to /home-insurance/alberta/ and 'Calgary home insurance costs' to the Calgary guide; alt text 'chart of Alberta home insurance increases vs Canada'. Licensed Alberta P&amp;C reviewer; cite Applied, CatIQ and IBC; refresh quarterly.</t>
        </is>
      </c>
      <c r="AC380" s="25" t="inlineStr">
        <is>
          <t>Verify Applied Q2 2026 Alberta property +11.9% and CatIQ event figures. Keep causes factual and avoid forecasting rates.</t>
        </is>
      </c>
      <c r="AD380" s="36" t="inlineStr">
        <is>
          <t>Quarterly</t>
        </is>
      </c>
      <c r="AE380" s="38" t="n"/>
      <c r="AF380" s="38" t="n"/>
      <c r="AG380" s="38" t="n"/>
    </row>
    <row r="381" ht="57.45" customHeight="1" s="22">
      <c r="A381" s="36">
        <f>"B"&amp;TEXT(ROW()-1,"0000")</f>
        <v/>
      </c>
      <c r="B381" s="38" t="inlineStr">
        <is>
          <t>Planned</t>
        </is>
      </c>
      <c r="C381" s="36" t="n">
        <v>2</v>
      </c>
      <c r="D381" s="36" t="inlineStr">
        <is>
          <t>Home insurance</t>
        </is>
      </c>
      <c r="E381" s="36" t="inlineStr">
        <is>
          <t>Personas</t>
        </is>
      </c>
      <c r="F381" s="25" t="inlineStr">
        <is>
          <t>Home Insurance When Buying a House: Closing Checklist for Canadians</t>
        </is>
      </c>
      <c r="G381" s="36" t="inlineStr">
        <is>
          <t>https://instasure.ca/guides/home-insurance-when-buying-a-house/</t>
        </is>
      </c>
      <c r="H381" s="36" t="inlineStr">
        <is>
          <t>home insurance when buying a house</t>
        </is>
      </c>
      <c r="I381" s="41">
        <f>IFERROR(INDEX('Nationwide KWs'!$D$2:$D$168,MATCH(H381,'Nationwide KWs'!$A$2:$A$168,0)),IFERROR(INDEX('Provincial KWs'!$E$2:$E$137,MATCH(H381,'Provincial KWs'!$A$2:$A$137,0)),IFERROR(INDEX('City KWs'!$F$2:$F$419,MATCH(H381,'City KWs'!$A$2:$A$419,0)),"")))</f>
        <v/>
      </c>
      <c r="J381" s="36" t="inlineStr">
        <is>
          <t>Low</t>
        </is>
      </c>
      <c r="K381" s="25" t="inlineStr">
        <is>
          <t>when to get home insurance when buying a house; proof of home insurance for mortgage; insurance binder canada; first time home buyer insurance; home inspection insurance issues</t>
        </is>
      </c>
      <c r="L381" s="36" t="inlineStr">
        <is>
          <t>Nationwide</t>
        </is>
      </c>
      <c r="M381" s="36" t="inlineStr">
        <is>
          <t>transactional</t>
        </is>
      </c>
      <c r="N381" s="36" t="inlineStr">
        <is>
          <t>BOFU</t>
        </is>
      </c>
      <c r="O381" s="25" t="inlineStr">
        <is>
          <t>Home Insurance When Buying a House: Closing Checklist</t>
        </is>
      </c>
      <c r="P381" s="36">
        <f>LEN(O381)</f>
        <v/>
      </c>
      <c r="Q381" s="25" t="inlineStr">
        <is>
          <t>Home insurance when buying a house: when to shop, what your lender and lawyer need at closing and inspection red flags insurers ask about. Get an estimate.</t>
        </is>
      </c>
      <c r="R381" s="36">
        <f>LEN(Q381)</f>
        <v/>
      </c>
      <c r="S381" s="36">
        <f>IF(H381="","",IF(ISNUMBER(SEARCH(SUBSTITUTE(H381,"-"," "),SUBSTITUTE(O381,"-"," "))),"Yes","Check"))</f>
        <v/>
      </c>
      <c r="T381" s="25" t="inlineStr">
        <is>
          <t>When to get home insurance when buying a house | Quote before your conditions expire | Inspection findings that affect insurability | What your lender and lawyer need at closing | Mortgage protection: lender vs personal coverage | Key-day checklist</t>
        </is>
      </c>
      <c r="U381" s="25" t="inlineStr">
        <is>
          <t>When should I get home insurance when buying a house? | What proof of insurance does my lawyer need? | Can a home inspection issue stop me getting insured? | Do I need mortgage life insurance from my lender?</t>
        </is>
      </c>
      <c r="V381" s="25" t="inlineStr">
        <is>
          <t>Closing timeline from accepted offer to key day with the insurance step at each stage (quote after inspection, binder to lawyer, lender named as mortgagee) and a red-flag list from home inspections that affect insurability.</t>
        </is>
      </c>
      <c r="W381" s="25" t="inlineStr">
        <is>
          <t>/home-insurance/; /mortgage-life-insurance/; /guides/mortgage-life-insurance-vs-term-life-insurance/; /guides/oil-tank-home-insurance/; /guides/knob-and-tube-wiring-home-insurance/</t>
        </is>
      </c>
      <c r="X381" s="25" t="inlineStr">
        <is>
          <t>Instant home insurance estimate before your conditions expire (/quote/home-insurance/)</t>
        </is>
      </c>
      <c r="Y381" s="36" t="inlineStr">
        <is>
          <t>Article; FAQPage; BreadcrumbList</t>
        </is>
      </c>
      <c r="Z381" s="37" t="n">
        <v>1600</v>
      </c>
      <c r="AA381" s="25" t="inlineStr">
        <is>
          <t>Sonnet has a step-by-step-home quoting FAQ; no competitor ties the insurance steps to the purchase timeline and inspection findings.</t>
        </is>
      </c>
      <c r="AB381" s="25" t="inlineStr">
        <is>
          <t>Use 'home insurance when buying a house' in the H1, slug, meta title, first 100 words and first H2, with a 40–60 word answer on timing (before conditions expire). Add the closing timeline table and inspection red-flag list; link 'mortgage protection' to /mortgage-life-insurance/ and 'oil tank' to that guide; alt text 'keys handed over at a home closing'. Licensed P&amp;C reviewer, with a life-licensed reviewer for the mortgage protection section; cite CMHC and lender guidance; refresh annually.</t>
        </is>
      </c>
      <c r="AC381" s="25" t="inlineStr">
        <is>
          <t>Describe lender proof-of-insurance (mortgagee clause) requirements generically. Mortgage protection content must route to a life-licensed advisor.</t>
        </is>
      </c>
      <c r="AD381" s="36" t="inlineStr">
        <is>
          <t>Annual</t>
        </is>
      </c>
      <c r="AE381" s="38" t="n"/>
      <c r="AF381" s="38" t="n"/>
      <c r="AG381" s="38" t="n"/>
    </row>
    <row r="382" ht="57.45" customHeight="1" s="22">
      <c r="A382" s="36">
        <f>"B"&amp;TEXT(ROW()-1,"0000")</f>
        <v/>
      </c>
      <c r="B382" s="38" t="inlineStr">
        <is>
          <t>Planned</t>
        </is>
      </c>
      <c r="C382" s="36" t="n">
        <v>2</v>
      </c>
      <c r="D382" s="36" t="inlineStr">
        <is>
          <t>Home insurance</t>
        </is>
      </c>
      <c r="E382" s="36" t="inlineStr">
        <is>
          <t>Personas</t>
        </is>
      </c>
      <c r="F382" s="25" t="inlineStr">
        <is>
          <t>Vacant Home Insurance: Moving, Estates and Homes Left Empty</t>
        </is>
      </c>
      <c r="G382" s="36" t="inlineStr">
        <is>
          <t>https://instasure.ca/guides/vacant-home-insurance/</t>
        </is>
      </c>
      <c r="H382" s="36" t="inlineStr">
        <is>
          <t>vacant home insurance</t>
        </is>
      </c>
      <c r="I382" s="41">
        <f>IFERROR(INDEX('Nationwide KWs'!$D$2:$D$168,MATCH(H382,'Nationwide KWs'!$A$2:$A$168,0)),IFERROR(INDEX('Provincial KWs'!$E$2:$E$137,MATCH(H382,'Provincial KWs'!$A$2:$A$137,0)),IFERROR(INDEX('City KWs'!$F$2:$F$419,MATCH(H382,'City KWs'!$A$2:$A$419,0)),"")))</f>
        <v/>
      </c>
      <c r="J382" s="36" t="inlineStr">
        <is>
          <t>Low</t>
        </is>
      </c>
      <c r="K382" s="25" t="inlineStr">
        <is>
          <t>unoccupied home insurance canada; home insurance when house is empty; insurance for inherited house; estate home insurance executor; vacancy clause home insurance</t>
        </is>
      </c>
      <c r="L382" s="36" t="inlineStr">
        <is>
          <t>Nationwide</t>
        </is>
      </c>
      <c r="M382" s="36" t="inlineStr">
        <is>
          <t>commercial</t>
        </is>
      </c>
      <c r="N382" s="36" t="inlineStr">
        <is>
          <t>MOFU</t>
        </is>
      </c>
      <c r="O382" s="25" t="inlineStr">
        <is>
          <t>Vacant Home Insurance: Estates, Moves and Empty Houses</t>
        </is>
      </c>
      <c r="P382" s="36">
        <f>LEN(O382)</f>
        <v/>
      </c>
      <c r="Q382" s="25" t="inlineStr">
        <is>
          <t>Vacant home insurance: vacancy vs unoccupancy clauses, what changes after 30 days, insuring an estate home or a house for sale. Talk to an advisor.</t>
        </is>
      </c>
      <c r="R382" s="36">
        <f>LEN(Q382)</f>
        <v/>
      </c>
      <c r="S382" s="36">
        <f>IF(H382="","",IF(ISNUMBER(SEARCH(SUBSTITUTE(H382,"-"," "),SUBSTITUTE(O382,"-"," "))),"Yes","Check"))</f>
        <v/>
      </c>
      <c r="T382" s="25" t="inlineStr">
        <is>
          <t>What counts as a vacant home? | Vacancy vs unoccupancy clauses | Insuring an estate home after a death | Homes listed for sale or between moves | Owners in long-term care or away for winter | Vacancy permits and vacant-dwelling policies | Inspection checklist insurers expect</t>
        </is>
      </c>
      <c r="U382" s="25" t="inlineStr">
        <is>
          <t>Does home insurance cover a vacant house? | How long can a house be empty before insurance is affected? | Who insures a house after the owner dies? | Can I insure a house I've already moved out of while it's for sale?</t>
        </is>
      </c>
      <c r="V382" s="25" t="inlineStr">
        <is>
          <t>Table of vacancy scenarios (estate after a death, home for sale, owner in care, snowbird absence, between moves) with the policy issue and the fix (permit, endorsement or vacant-dwelling policy).</t>
        </is>
      </c>
      <c r="W382" s="25" t="inlineStr">
        <is>
          <t>/home-insurance/; /home-insurance/hard-to-insure/; /guides/ice-dams-frozen-pipes-home-insurance/; /travel-insurance/snowbirds/</t>
        </is>
      </c>
      <c r="X382" s="25" t="inlineStr">
        <is>
          <t>Request a specialist call: Hard-to-insure property desk (/home-insurance/hard-to-insure/)</t>
        </is>
      </c>
      <c r="Y382" s="36" t="inlineStr">
        <is>
          <t>Article; FAQPage; BreadcrumbList</t>
        </is>
      </c>
      <c r="Z382" s="37" t="n">
        <v>1500</v>
      </c>
      <c r="AA382" s="25" t="inlineStr">
        <is>
          <t>Not seen on Ratehub, Rates.ca or Sonnet in the research; executors and snowbirds get no aggregator guidance.</t>
        </is>
      </c>
      <c r="AB382" s="25" t="inlineStr">
        <is>
          <t>Use 'vacant home insurance' in the H1, slug, meta title, first 100 words and first H2, with a 40–60 word answer defining vacancy and the usual day threshold to check. Add the scenario table and inspection checklist; link 'frozen pipes' to the winter claims guide and 'snowbird travel insurance' to /travel-insurance/snowbirds/; alt text 'empty house in winter with snow on the walkway'. Licensed P&amp;C reviewer; cite statutory conditions and insurer wordings; refresh annually.</t>
        </is>
      </c>
      <c r="AC382" s="25" t="inlineStr">
        <is>
          <t>Verify vacancy definitions and day thresholds against current insurer wordings and provincial statutory conditions; never state one threshold applies everywhere.</t>
        </is>
      </c>
      <c r="AD382" s="36" t="inlineStr">
        <is>
          <t>Annual</t>
        </is>
      </c>
      <c r="AE382" s="38" t="n"/>
      <c r="AF382" s="38" t="n"/>
      <c r="AG382" s="38" t="n"/>
    </row>
    <row r="383" ht="57.45" customHeight="1" s="22">
      <c r="A383" s="36">
        <f>"B"&amp;TEXT(ROW()-1,"0000")</f>
        <v/>
      </c>
      <c r="B383" s="38" t="inlineStr">
        <is>
          <t>Planned</t>
        </is>
      </c>
      <c r="C383" s="36" t="n">
        <v>2</v>
      </c>
      <c r="D383" s="36" t="inlineStr">
        <is>
          <t>Home insurance</t>
        </is>
      </c>
      <c r="E383" s="36" t="inlineStr">
        <is>
          <t>Regulation</t>
        </is>
      </c>
      <c r="F383" s="25" t="inlineStr">
        <is>
          <t>Is Home Insurance Mandatory in Canada? Province-by-Province Answer</t>
        </is>
      </c>
      <c r="G383" s="36" t="inlineStr">
        <is>
          <t>https://instasure.ca/guides/is-home-insurance-mandatory-canada/</t>
        </is>
      </c>
      <c r="H383" s="36" t="inlineStr">
        <is>
          <t>is home insurance mandatory in canada</t>
        </is>
      </c>
      <c r="I383" s="41">
        <f>IFERROR(INDEX('Nationwide KWs'!$D$2:$D$168,MATCH(H383,'Nationwide KWs'!$A$2:$A$168,0)),IFERROR(INDEX('Provincial KWs'!$E$2:$E$137,MATCH(H383,'Provincial KWs'!$A$2:$A$137,0)),IFERROR(INDEX('City KWs'!$F$2:$F$419,MATCH(H383,'City KWs'!$A$2:$A$419,0)),"")))</f>
        <v/>
      </c>
      <c r="J383" s="36" t="inlineStr">
        <is>
          <t>Medium</t>
        </is>
      </c>
      <c r="K383" s="25" t="inlineStr">
        <is>
          <t>is home insurance mandatory in ontario; is home insurance mandatory in bc; do you need home insurance with a mortgage; home insurance required by lender; is home insurance required by law</t>
        </is>
      </c>
      <c r="L383" s="36" t="inlineStr">
        <is>
          <t>Nationwide</t>
        </is>
      </c>
      <c r="M383" s="36" t="inlineStr">
        <is>
          <t>informational</t>
        </is>
      </c>
      <c r="N383" s="36" t="inlineStr">
        <is>
          <t>TOFU</t>
        </is>
      </c>
      <c r="O383" s="25" t="inlineStr">
        <is>
          <t>Is Home Insurance Mandatory in Canada? Every Province</t>
        </is>
      </c>
      <c r="P383" s="36">
        <f>LEN(O383)</f>
        <v/>
      </c>
      <c r="Q383" s="25" t="inlineStr">
        <is>
          <t>Is home insurance mandatory in Canada? Not by law, but lenders and condo boards can require it. See the rules by province, then get an estimate.</t>
        </is>
      </c>
      <c r="R383" s="36">
        <f>LEN(Q383)</f>
        <v/>
      </c>
      <c r="S383" s="36">
        <f>IF(H383="","",IF(ISNUMBER(SEARCH(SUBSTITUTE(H383,"-"," "),SUBSTITUTE(O383,"-"," "))),"Yes","Check"))</f>
        <v/>
      </c>
      <c r="T383" s="25" t="inlineStr">
        <is>
          <t>Is home insurance mandatory? The short answer | When your mortgage lender requires it | Condo and strata rules for unit owners | Province-by-province table | What happens if you go without | Proof of insurance at closing</t>
        </is>
      </c>
      <c r="U383" s="25" t="inlineStr">
        <is>
          <t>Is home insurance mandatory in Ontario? | Is home insurance required in BC? | Do I need home insurance if my house is paid off? | What proof of insurance does my lender need at closing?</t>
        </is>
      </c>
      <c r="V383" s="25" t="inlineStr">
        <is>
          <t>Province table covering legal requirement, lender requirement, condo or strata statute duties for unit owners and Quebec civil-law notes, each with a source link.</t>
        </is>
      </c>
      <c r="W383" s="25" t="inlineStr">
        <is>
          <t>/home-insurance/; /home-insurance/ontario/; /home-insurance/british-columbia/; /guides/home-insurance-when-buying-a-house/; /guides/ontario-condominium-act-insurance-requirements/</t>
        </is>
      </c>
      <c r="X383" s="25" t="inlineStr">
        <is>
          <t>Instant home insurance estimate (/quote/home-insurance/)</t>
        </is>
      </c>
      <c r="Y383" s="36" t="inlineStr">
        <is>
          <t>Article; FAQPage; BreadcrumbList</t>
        </is>
      </c>
      <c r="Z383" s="37" t="n">
        <v>1300</v>
      </c>
      <c r="AA383" s="25" t="inlineStr">
        <is>
          <t>Sonnet answers this with one FAQ page per province (home-insurance-mandatory-ontario, -british-columbia, -quebec) whose descriptions run past 1,000 characters; nobody puts every province in one sourced table.</t>
        </is>
      </c>
      <c r="AB383" s="25" t="inlineStr">
        <is>
          <t>Use 'is home insurance mandatory' in the H1, slug, meta title, first 100 words and first H2, with a 40–60 word yes/no answer and the lender exception. Add the province table with FAQ markup for each province question; link 'home insurance in Ontario' to /home-insurance/ontario/ and 'buying a house' to the closing checklist; alt text 'table of home insurance requirements by province'. Licensed P&amp;C reviewer; cite provincial statutes and CMHC lender guidance; refresh annually.</t>
        </is>
      </c>
      <c r="AC383" s="25" t="inlineStr">
        <is>
          <t>Verify that no province mandates homeowner insurance by statute and check condo and strata statutes for unit-owner duties. Keep Quebec notes in English and general.</t>
        </is>
      </c>
      <c r="AD383" s="36" t="inlineStr">
        <is>
          <t>Annual</t>
        </is>
      </c>
      <c r="AE383" s="38" t="n"/>
      <c r="AF383" s="38" t="n"/>
      <c r="AG383" s="38" t="n"/>
    </row>
    <row r="384" ht="57.45" customHeight="1" s="22">
      <c r="A384" s="36">
        <f>"B"&amp;TEXT(ROW()-1,"0000")</f>
        <v/>
      </c>
      <c r="B384" s="38" t="inlineStr">
        <is>
          <t>Planned</t>
        </is>
      </c>
      <c r="C384" s="36" t="n">
        <v>3</v>
      </c>
      <c r="D384" s="36" t="inlineStr">
        <is>
          <t>Home insurance</t>
        </is>
      </c>
      <c r="E384" s="36" t="inlineStr">
        <is>
          <t>Claims</t>
        </is>
      </c>
      <c r="F384" s="25" t="inlineStr">
        <is>
          <t>How to File a Home Insurance Claim in Canada, Step by Step</t>
        </is>
      </c>
      <c r="G384" s="36" t="inlineStr">
        <is>
          <t>https://instasure.ca/guides/how-to-file-a-home-insurance-claim/</t>
        </is>
      </c>
      <c r="H384" s="36" t="inlineStr">
        <is>
          <t>how to file a home insurance claim</t>
        </is>
      </c>
      <c r="I384" s="41">
        <f>IFERROR(INDEX('Nationwide KWs'!$D$2:$D$168,MATCH(H384,'Nationwide KWs'!$A$2:$A$168,0)),IFERROR(INDEX('Provincial KWs'!$E$2:$E$137,MATCH(H384,'Provincial KWs'!$A$2:$A$137,0)),IFERROR(INDEX('City KWs'!$F$2:$F$419,MATCH(H384,'City KWs'!$A$2:$A$419,0)),"")))</f>
        <v/>
      </c>
      <c r="J384" s="36" t="inlineStr">
        <is>
          <t>Low</t>
        </is>
      </c>
      <c r="K384" s="25" t="inlineStr">
        <is>
          <t>home insurance claim process canada; home insurance claim denied; insurance adjuster home claim; proof of loss form; general insurance ombudservice complaint</t>
        </is>
      </c>
      <c r="L384" s="36" t="inlineStr">
        <is>
          <t>Nationwide</t>
        </is>
      </c>
      <c r="M384" s="36" t="inlineStr">
        <is>
          <t>informational</t>
        </is>
      </c>
      <c r="N384" s="36" t="inlineStr">
        <is>
          <t>TOFU</t>
        </is>
      </c>
      <c r="O384" s="25" t="inlineStr">
        <is>
          <t>How to File a Home Insurance Claim in Canada: Step by Step</t>
        </is>
      </c>
      <c r="P384" s="36">
        <f>LEN(O384)</f>
        <v/>
      </c>
      <c r="Q384" s="25" t="inlineStr">
        <is>
          <t>How to file a home insurance claim: the first 24 hours, working with the adjuster, proof of loss and what to do if your claim is denied. Use the checklist.</t>
        </is>
      </c>
      <c r="R384" s="36">
        <f>LEN(Q384)</f>
        <v/>
      </c>
      <c r="S384" s="36">
        <f>IF(H384="","",IF(ISNUMBER(SEARCH(SUBSTITUTE(H384,"-"," "),SUBSTITUTE(O384,"-"," "))),"Yes","Check"))</f>
        <v/>
      </c>
      <c r="T384" s="25" t="inlineStr">
        <is>
          <t>How to file a home insurance claim: the steps | The first 24 hours: safety, mitigation and photos | Reporting the claim and what to say | Working with the adjuster | Proof of loss and your contents inventory | Settlement, holdbacks and repairs | If your claim is denied or underpaid</t>
        </is>
      </c>
      <c r="U384" s="25" t="inlineStr">
        <is>
          <t>How long do I have to file a home insurance claim? | Should I call my broker or the insurer first? | Can I choose my own contractor? | What can I do if my home insurance claim is denied?</t>
        </is>
      </c>
      <c r="V384" s="25" t="inlineStr">
        <is>
          <t>Printable claim-day checklist and a timeline from first call to settlement, with a contents inventory template and the escalation path (insurer ombudsman, General Insurance OmbudService, provincial regulator).</t>
        </is>
      </c>
      <c r="W384" s="25" t="inlineStr">
        <is>
          <t>/home-insurance/; /guides/does-a-home-insurance-claim-raise-premium/; /guides/does-home-insurance-cover-water-damage-canada/; /guides/wildfire-home-insurance-canada/</t>
        </is>
      </c>
      <c r="X384" s="25" t="inlineStr">
        <is>
          <t>Instant home insurance estimate (/quote/home-insurance/)</t>
        </is>
      </c>
      <c r="Y384" s="36" t="inlineStr">
        <is>
          <t>Article; HowTo; FAQPage; BreadcrumbList</t>
        </is>
      </c>
      <c r="Z384" s="37" t="n">
        <v>1800</v>
      </c>
      <c r="AA384" s="25" t="inlineStr">
        <is>
          <t>Sonnet has a claims page for its own customers and Rates.ca a roof-replacement claims guide; no neutral step-by-step covers all perils plus escalation routes.</t>
        </is>
      </c>
      <c r="AB384" s="25" t="inlineStr">
        <is>
          <t>Use 'how to file a home insurance claim' in the H1, slug, meta title, first 100 words and first H2, with a 40–60 word answer listing the first five steps. Mark up the numbered steps with HowTo and add the printable checklist; link 'will a claim raise my premium' to that guide and 'water damage' to the water guide; alt text 'checklist for filing a home insurance claim in Canada'. Licensed P&amp;C reviewer; cite GIO, provincial statutory conditions and IBC; refresh annually.</t>
        </is>
      </c>
      <c r="AC384" s="25" t="inlineStr">
        <is>
          <t>Verify the General Insurance OmbudService's scope by province (Quebec complaints go through the AMF) and proof-of-loss timelines in the statutory conditions. Keep guidance general; claim-specific advice needs a licensed adjuster or advisor.</t>
        </is>
      </c>
      <c r="AD384" s="36" t="inlineStr">
        <is>
          <t>Annual</t>
        </is>
      </c>
      <c r="AE384" s="38" t="n"/>
      <c r="AF384" s="38" t="n"/>
      <c r="AG384" s="38" t="n"/>
    </row>
    <row r="385" ht="57.45" customHeight="1" s="22">
      <c r="A385" s="36">
        <f>"B"&amp;TEXT(ROW()-1,"0000")</f>
        <v/>
      </c>
      <c r="B385" s="38" t="inlineStr">
        <is>
          <t>Planned</t>
        </is>
      </c>
      <c r="C385" s="36" t="n">
        <v>3</v>
      </c>
      <c r="D385" s="36" t="inlineStr">
        <is>
          <t>Home insurance</t>
        </is>
      </c>
      <c r="E385" s="36" t="inlineStr">
        <is>
          <t>Comparisons</t>
        </is>
      </c>
      <c r="F385" s="25" t="inlineStr">
        <is>
          <t>Comprehensive vs Named Perils vs Basic Home Insurance</t>
        </is>
      </c>
      <c r="G385" s="36" t="inlineStr">
        <is>
          <t>https://instasure.ca/guides/comprehensive-vs-named-perils-home-insurance/</t>
        </is>
      </c>
      <c r="H385" s="36" t="inlineStr">
        <is>
          <t>comprehensive vs named perils home insurance</t>
        </is>
      </c>
      <c r="I385" s="41">
        <f>IFERROR(INDEX('Nationwide KWs'!$D$2:$D$168,MATCH(H385,'Nationwide KWs'!$A$2:$A$168,0)),IFERROR(INDEX('Provincial KWs'!$E$2:$E$137,MATCH(H385,'Provincial KWs'!$A$2:$A$137,0)),IFERROR(INDEX('City KWs'!$F$2:$F$419,MATCH(H385,'City KWs'!$A$2:$A$419,0)),"")))</f>
        <v/>
      </c>
      <c r="J385" s="36" t="inlineStr">
        <is>
          <t>Low</t>
        </is>
      </c>
      <c r="K385" s="25" t="inlineStr">
        <is>
          <t>types of home insurance policies canada; broad form home insurance; all risks home insurance; basic home insurance; no frills home insurance</t>
        </is>
      </c>
      <c r="L385" s="36" t="inlineStr">
        <is>
          <t>Nationwide</t>
        </is>
      </c>
      <c r="M385" s="36" t="inlineStr">
        <is>
          <t>informational</t>
        </is>
      </c>
      <c r="N385" s="36" t="inlineStr">
        <is>
          <t>MOFU</t>
        </is>
      </c>
      <c r="O385" s="25" t="inlineStr">
        <is>
          <t>Comprehensive vs Named Perils Home Insurance in Canada</t>
        </is>
      </c>
      <c r="P385" s="36">
        <f>LEN(O385)</f>
        <v/>
      </c>
      <c r="Q385" s="25" t="inlineStr">
        <is>
          <t>Comprehensive vs named perils home insurance: how all-risks, broad and basic policies differ, who gets each, and a side-by-side table. Compare options.</t>
        </is>
      </c>
      <c r="R385" s="36">
        <f>LEN(Q385)</f>
        <v/>
      </c>
      <c r="S385" s="36">
        <f>IF(H385="","",IF(ISNUMBER(SEARCH(SUBSTITUTE(H385,"-"," "),SUBSTITUTE(O385,"-"," "))),"Yes","Check"))</f>
        <v/>
      </c>
      <c r="T385" s="25" t="inlineStr">
        <is>
          <t>Comprehensive vs named perils: the short answer | Comprehensive (all-risks) policies | Broad form policies | Named perils (basic) policies | No-frills policies for hard-to-insure homes | Side-by-side comparison table | How to tell which form you have</t>
        </is>
      </c>
      <c r="U385" s="25" t="inlineStr">
        <is>
          <t>What is the difference between comprehensive and named perils home insurance? | Is broad form home insurance good enough? | Why was I only offered a named perils policy? | Can I upgrade from named perils to comprehensive?</t>
        </is>
      </c>
      <c r="V385" s="25" t="inlineStr">
        <is>
          <t>Comparison table of comprehensive, broad, named perils and no-frills forms by building cover, contents cover, typical buyer and relative price position.</t>
        </is>
      </c>
      <c r="W385" s="25" t="inlineStr">
        <is>
          <t>/home-insurance/; /guides/what-does-home-insurance-cover/; /home-insurance/hard-to-insure/; /guides/high-risk-home-insurance/</t>
        </is>
      </c>
      <c r="X385" s="25" t="inlineStr">
        <is>
          <t>Instant home insurance estimate (/quote/home-insurance/)</t>
        </is>
      </c>
      <c r="Y385" s="36" t="inlineStr">
        <is>
          <t>Article; FAQPage; BreadcrumbList</t>
        </is>
      </c>
      <c r="Z385" s="37" t="n">
        <v>1400</v>
      </c>
      <c r="AA385" s="25" t="inlineStr">
        <is>
          <t>No standalone comparison seen on Ratehub, Rates.ca or Sonnet; brokers mention policy forms only in passing.</t>
        </is>
      </c>
      <c r="AB385" s="25" t="inlineStr">
        <is>
          <t>Use 'comprehensive vs named perils home insurance' in the H1, slug, meta title, first 100 words and first H2, with a 40–60 word answer defining both. Make the four-form table the centrepiece; link 'hard-to-insure homes' to /home-insurance/hard-to-insure/ and 'what home insurance covers' to the coverage guide; alt text 'table comparing home insurance policy forms'. Licensed P&amp;C reviewer; cite IBC and sample wordings; refresh annually.</t>
        </is>
      </c>
      <c r="AC385" s="25" t="inlineStr">
        <is>
          <t>Form names differ by insurer ('broad', 'standard', 'basic'); define them generically and avoid fixed price differences.</t>
        </is>
      </c>
      <c r="AD385" s="36" t="inlineStr">
        <is>
          <t>Annual</t>
        </is>
      </c>
      <c r="AE385" s="38" t="n"/>
      <c r="AF385" s="38" t="n"/>
      <c r="AG385" s="38" t="n"/>
    </row>
    <row r="386" ht="57.45" customHeight="1" s="22">
      <c r="A386" s="36">
        <f>"B"&amp;TEXT(ROW()-1,"0000")</f>
        <v/>
      </c>
      <c r="B386" s="38" t="inlineStr">
        <is>
          <t>Planned</t>
        </is>
      </c>
      <c r="C386" s="36" t="n">
        <v>3</v>
      </c>
      <c r="D386" s="36" t="inlineStr">
        <is>
          <t>Home insurance</t>
        </is>
      </c>
      <c r="E386" s="36" t="inlineStr">
        <is>
          <t>Comparisons</t>
        </is>
      </c>
      <c r="F386" s="25" t="inlineStr">
        <is>
          <t>Is Bundling Home and Car Insurance Worth It in Canada?</t>
        </is>
      </c>
      <c r="G386" s="36" t="inlineStr">
        <is>
          <t>https://instasure.ca/guides/is-bundling-home-and-car-insurance-worth-it/</t>
        </is>
      </c>
      <c r="H386" s="36" t="inlineStr">
        <is>
          <t>bundle home and auto insurance</t>
        </is>
      </c>
      <c r="I386" s="41">
        <f>IFERROR(INDEX('Nationwide KWs'!$D$2:$D$168,MATCH(H386,'Nationwide KWs'!$A$2:$A$168,0)),IFERROR(INDEX('Provincial KWs'!$E$2:$E$137,MATCH(H386,'Provincial KWs'!$A$2:$A$137,0)),IFERROR(INDEX('City KWs'!$F$2:$F$419,MATCH(H386,'City KWs'!$A$2:$A$419,0)),"")))</f>
        <v/>
      </c>
      <c r="J386" s="36" t="inlineStr">
        <is>
          <t>Low</t>
        </is>
      </c>
      <c r="K386" s="25" t="inlineStr">
        <is>
          <t>home and auto bundle discount; multi-line discount canada; is bundling insurance cheaper; bundle tenant and car insurance; bundle home insurance with icbc</t>
        </is>
      </c>
      <c r="L386" s="36" t="inlineStr">
        <is>
          <t>Nationwide</t>
        </is>
      </c>
      <c r="M386" s="36" t="inlineStr">
        <is>
          <t>commercial</t>
        </is>
      </c>
      <c r="N386" s="36" t="inlineStr">
        <is>
          <t>MOFU</t>
        </is>
      </c>
      <c r="O386" s="25" t="inlineStr">
        <is>
          <t>Bundle Home and Auto Insurance: Is It Worth It in Canada?</t>
        </is>
      </c>
      <c r="P386" s="36">
        <f>LEN(O386)</f>
        <v/>
      </c>
      <c r="Q386" s="25" t="inlineStr">
        <is>
          <t>Should you bundle home and auto insurance? How multi-line discounts work, when two insurers cost less, and what changes in BC, MB and SK. Compare quotes.</t>
        </is>
      </c>
      <c r="R386" s="36">
        <f>LEN(Q386)</f>
        <v/>
      </c>
      <c r="S386" s="36">
        <f>IF(H386="","",IF(ISNUMBER(SEARCH(SUBSTITUTE(H386,"-"," "),SUBSTITUTE(O386,"-"," "))),"Yes","Check"))</f>
        <v/>
      </c>
      <c r="T386" s="25" t="inlineStr">
        <is>
          <t>Is bundling home and car insurance worth it? | How multi-line discounts are applied | When two insurers can still cost less | Bundling in BC, Manitoba and Saskatchewan (public auto) | Bundling tenant or condo insurance with your car | Claims and cancellation: the downsides | How to compare a bundle fairly</t>
        </is>
      </c>
      <c r="U386" s="25" t="inlineStr">
        <is>
          <t>How much do you save by bundling home and auto insurance? | Can you bundle if your car is insured with ICBC, MPI or SGI? | Does bundling tenant insurance with car insurance save money? | What happens to my discount if I cancel one policy?</t>
        </is>
      </c>
      <c r="V386" s="25" t="inlineStr">
        <is>
          <t>Side-by-side worked comparison of one household quoted as a bundle vs split between two insurers, plus a province table showing where basic auto is public (BC, MB, SK) and what can still be bundled.</t>
        </is>
      </c>
      <c r="W386" s="25" t="inlineStr">
        <is>
          <t>/car-insurance/home-and-auto-bundle/; /home-insurance/; /tenant-insurance/; /guides/icbc-optional-insurance-explained/</t>
        </is>
      </c>
      <c r="X386" s="25" t="inlineStr">
        <is>
          <t>Instant home insurance estimate, then an advisor compares bundle vs split (/quote/home-insurance/)</t>
        </is>
      </c>
      <c r="Y386" s="36" t="inlineStr">
        <is>
          <t>Article; FAQPage; BreadcrumbList</t>
        </is>
      </c>
      <c r="Z386" s="37" t="n">
        <v>1500</v>
      </c>
      <c r="AA386" s="25" t="inlineStr">
        <is>
          <t>Ratehub (home-and-auto-bundle) and Rates.ca (home-auto-insurance-bundle, titled for Ontario) run money pages; neither explains public-auto provinces or tests when splitting is cheaper.</t>
        </is>
      </c>
      <c r="AB386" s="25" t="inlineStr">
        <is>
          <t>Use 'bundle home and auto insurance' in the H1, slug, meta title, first 100 words and first H2, with a 40–60 word answer that says when bundling pays and when it doesn't. Add the bundle-vs-split table and the public-auto province table; link 'home and auto bundle' to /car-insurance/home-and-auto-bundle/ and 'ICBC optional coverage' to the ICBC guide; alt text 'comparison of bundled vs separate home and car insurance'. Licensed P&amp;C reviewer; cite insurer discount pages and ICBC, MPI and SGI; refresh annually.</t>
        </is>
      </c>
      <c r="AC386" s="25" t="inlineStr">
        <is>
          <t>Do not state a fixed bundle saving; Ratehub's '15-25%' line is a competitor claim to verify, not a fact. Confirm which optional coverages private insurers sell alongside ICBC, MPI and SGI before publishing.</t>
        </is>
      </c>
      <c r="AD386" s="36" t="inlineStr">
        <is>
          <t>Annual</t>
        </is>
      </c>
      <c r="AE386" s="38" t="n"/>
      <c r="AF386" s="38" t="n"/>
      <c r="AG386" s="38" t="n"/>
    </row>
    <row r="387" ht="57.45" customHeight="1" s="22">
      <c r="A387" s="36">
        <f>"B"&amp;TEXT(ROW()-1,"0000")</f>
        <v/>
      </c>
      <c r="B387" s="38" t="inlineStr">
        <is>
          <t>Planned</t>
        </is>
      </c>
      <c r="C387" s="36" t="n">
        <v>3</v>
      </c>
      <c r="D387" s="36" t="inlineStr">
        <is>
          <t>Home insurance</t>
        </is>
      </c>
      <c r="E387" s="36" t="inlineStr">
        <is>
          <t>Coverage explained</t>
        </is>
      </c>
      <c r="F387" s="25" t="inlineStr">
        <is>
          <t>Home Insurance Deductibles Explained: How to Choose Yours</t>
        </is>
      </c>
      <c r="G387" s="36" t="inlineStr">
        <is>
          <t>https://instasure.ca/guides/home-insurance-deductible-explained/</t>
        </is>
      </c>
      <c r="H387" s="36" t="inlineStr">
        <is>
          <t>home insurance deductible</t>
        </is>
      </c>
      <c r="I387" s="41">
        <f>IFERROR(INDEX('Nationwide KWs'!$D$2:$D$168,MATCH(H387,'Nationwide KWs'!$A$2:$A$168,0)),IFERROR(INDEX('Provincial KWs'!$E$2:$E$137,MATCH(H387,'Provincial KWs'!$A$2:$A$137,0)),IFERROR(INDEX('City KWs'!$F$2:$F$419,MATCH(H387,'City KWs'!$A$2:$A$419,0)),"")))</f>
        <v/>
      </c>
      <c r="J387" s="36" t="inlineStr">
        <is>
          <t>Low</t>
        </is>
      </c>
      <c r="K387" s="25" t="inlineStr">
        <is>
          <t>how does a home insurance deductible work; separate water deductible; hail deductible alberta; percentage deductible earthquake; higher deductible lower premium</t>
        </is>
      </c>
      <c r="L387" s="36" t="inlineStr">
        <is>
          <t>Nationwide</t>
        </is>
      </c>
      <c r="M387" s="36" t="inlineStr">
        <is>
          <t>informational</t>
        </is>
      </c>
      <c r="N387" s="36" t="inlineStr">
        <is>
          <t>MOFU</t>
        </is>
      </c>
      <c r="O387" s="25" t="inlineStr">
        <is>
          <t>Home Insurance Deductible: How It Works and How to Choose</t>
        </is>
      </c>
      <c r="P387" s="36">
        <f>LEN(O387)</f>
        <v/>
      </c>
      <c r="Q387" s="25" t="inlineStr">
        <is>
          <t>How a home insurance deductible works, when separate water, hail or earthquake deductibles apply, and a break-even test to choose yours. Get an estimate.</t>
        </is>
      </c>
      <c r="R387" s="36">
        <f>LEN(Q387)</f>
        <v/>
      </c>
      <c r="S387" s="36">
        <f>IF(H387="","",IF(ISNUMBER(SEARCH(SUBSTITUTE(H387,"-"," "),SUBSTITUTE(O387,"-"," "))),"Yes","Check"))</f>
        <v/>
      </c>
      <c r="T387" s="25" t="inlineStr">
        <is>
          <t>What is a home insurance deductible? | How the deductible is applied to a claim | Separate deductibles for water, wind and hail, and earthquake | Choosing a deductible: break-even worked example | Deductibles on condo and tenant policies | Questions to ask before you change it</t>
        </is>
      </c>
      <c r="U387" s="25" t="inlineStr">
        <is>
          <t>Do you pay the deductible if the claim is not your fault? | Can I have different deductibles for different perils? | Is a higher deductible worth it? | What is a percentage deductible?</t>
        </is>
      </c>
      <c r="V387" s="25" t="inlineStr">
        <is>
          <t>Break-even worked example showing how many claim-free years a higher deductible's premium saving needs to cover the extra out-of-pocket cost, with a fill-in template readers can reuse.</t>
        </is>
      </c>
      <c r="W387" s="25" t="inlineStr">
        <is>
          <t>/home-insurance/; /guides/calgary-hail-insurance-guide/; /guides/earthquake-insurance-bc/; /guides/condo-insurance-deductible-assessment-explained/</t>
        </is>
      </c>
      <c r="X387" s="25" t="inlineStr">
        <is>
          <t>Instant home insurance estimate with deductible options (/quote/home-insurance/)</t>
        </is>
      </c>
      <c r="Y387" s="36" t="inlineStr">
        <is>
          <t>Article; FAQPage; BreadcrumbList</t>
        </is>
      </c>
      <c r="Z387" s="37" t="n">
        <v>1400</v>
      </c>
      <c r="AA387" s="25" t="inlineStr">
        <is>
          <t>Sonnet has a car-insurance-deductible post and the Instasure hail guide touches hail deductibles, but no competitor explains home deductibles across perils with a break-even example.</t>
        </is>
      </c>
      <c r="AB387" s="25" t="inlineStr">
        <is>
          <t>Use 'home insurance deductible' in the H1, slug, meta title, first 100 words and first H2, with a 40–60 word definition plus how it is applied. Add the break-even table and a peril-by-peril deductible list; link 'hail deductible' to the Calgary hail guide and 'earthquake deductible' to the BC earthquake guide; alt text 'worked example of a home insurance deductible break-even'. Licensed P&amp;C reviewer; cite insurer wordings and IBC; refresh annually.</t>
        </is>
      </c>
      <c r="AC387" s="25" t="inlineStr">
        <is>
          <t>Premium savings from deductible changes are insurer-specific; present the example as illustrative with stated assumptions. Verify how earthquake percentage deductibles are calculated in current BC wordings.</t>
        </is>
      </c>
      <c r="AD387" s="36" t="inlineStr">
        <is>
          <t>Annual</t>
        </is>
      </c>
      <c r="AE387" s="38" t="n"/>
      <c r="AF387" s="38" t="n"/>
      <c r="AG387" s="38" t="n"/>
    </row>
    <row r="388" ht="46.25" customHeight="1" s="22">
      <c r="A388" s="36">
        <f>"B"&amp;TEXT(ROW()-1,"0000")</f>
        <v/>
      </c>
      <c r="B388" s="38" t="inlineStr">
        <is>
          <t>Planned</t>
        </is>
      </c>
      <c r="C388" s="36" t="n">
        <v>3</v>
      </c>
      <c r="D388" s="36" t="inlineStr">
        <is>
          <t>Home insurance</t>
        </is>
      </c>
      <c r="E388" s="36" t="inlineStr">
        <is>
          <t>Coverage explained</t>
        </is>
      </c>
      <c r="F388" s="25" t="inlineStr">
        <is>
          <t>How Much Umbrella Insurance Do You Need in Canada?</t>
        </is>
      </c>
      <c r="G388" s="36" t="inlineStr">
        <is>
          <t>https://instasure.ca/guides/how-much-umbrella-insurance-do-i-need/</t>
        </is>
      </c>
      <c r="H388" s="36" t="inlineStr">
        <is>
          <t>how much umbrella insurance do i need</t>
        </is>
      </c>
      <c r="I388" s="41">
        <f>IFERROR(INDEX('Nationwide KWs'!$D$2:$D$168,MATCH(H388,'Nationwide KWs'!$A$2:$A$168,0)),IFERROR(INDEX('Provincial KWs'!$E$2:$E$137,MATCH(H388,'Provincial KWs'!$A$2:$A$137,0)),IFERROR(INDEX('City KWs'!$F$2:$F$419,MATCH(H388,'City KWs'!$A$2:$A$419,0)),"")))</f>
        <v/>
      </c>
      <c r="J388" s="36" t="inlineStr">
        <is>
          <t>Low</t>
        </is>
      </c>
      <c r="K388" s="25" t="inlineStr">
        <is>
          <t>personal liability insurance canada; umbrella insurance cost canada; is $2 million liability enough; umbrella insurance for landlords; personal umbrella policy</t>
        </is>
      </c>
      <c r="L388" s="36" t="inlineStr">
        <is>
          <t>Nationwide</t>
        </is>
      </c>
      <c r="M388" s="36" t="inlineStr">
        <is>
          <t>commercial</t>
        </is>
      </c>
      <c r="N388" s="36" t="inlineStr">
        <is>
          <t>MOFU</t>
        </is>
      </c>
      <c r="O388" s="25" t="inlineStr">
        <is>
          <t>How Much Umbrella Insurance Do I Need? A Canadian Guide</t>
        </is>
      </c>
      <c r="P388" s="36">
        <f>LEN(O388)</f>
        <v/>
      </c>
      <c r="Q388" s="25" t="inlineStr">
        <is>
          <t>How much umbrella insurance do you need? Size liability above home and auto limits using assets, income, pools, rentals and teen drivers. Ask an advisor.</t>
        </is>
      </c>
      <c r="R388" s="36">
        <f>LEN(Q388)</f>
        <v/>
      </c>
      <c r="S388" s="36">
        <f>IF(H388="","",IF(ISNUMBER(SEARCH(SUBSTITUTE(H388,"-"," "),SUBSTITUTE(O388,"-"," "))),"Yes","Check"))</f>
        <v/>
      </c>
      <c r="T388" s="25" t="inlineStr">
        <is>
          <t>How much umbrella insurance do you need? | What personal liability on home and auto already covers | When liability claims exceed $2 million | Exposures that raise your need: pools, rentals, boats, teen drivers | Required underlying limits | What umbrellas exclude | Sizing worksheet</t>
        </is>
      </c>
      <c r="U388" s="25" t="inlineStr">
        <is>
          <t>Is $2 million liability on my home policy enough? | How much does umbrella insurance cost in Canada? | Do landlords need umbrella insurance? | Does an umbrella cover my business?</t>
        </is>
      </c>
      <c r="V388" s="25" t="inlineStr">
        <is>
          <t>Liability sizing worksheet (assets, future income, exposures such as pools, rentals, boats and teen drivers) that suggests an umbrella limit band, plus a table of typical required underlying limits.</t>
        </is>
      </c>
      <c r="W388" s="25" t="inlineStr">
        <is>
          <t>/umbrella-insurance/; /home-insurance/; /landlord-insurance/; /boat-insurance/</t>
        </is>
      </c>
      <c r="X388" s="25" t="inlineStr">
        <is>
          <t>Advisor quote for umbrella liability (/umbrella-insurance/)</t>
        </is>
      </c>
      <c r="Y388" s="36" t="inlineStr">
        <is>
          <t>Article; FAQPage; BreadcrumbList</t>
        </is>
      </c>
      <c r="Z388" s="37" t="n">
        <v>1400</v>
      </c>
      <c r="AA388" s="25" t="inlineStr">
        <is>
          <t>Ratehub has an umbrella-insurance product page only; no worked sizing guide was seen.</t>
        </is>
      </c>
      <c r="AB388" s="25" t="inlineStr">
        <is>
          <t>Use 'how much umbrella insurance do I need' in the H1, slug, meta title, first 100 words and first H2, with a 40–60 word answer giving the sizing logic. Add the worksheet and underlying-limits table; link 'umbrella insurance' to /umbrella-insurance/ and 'landlord insurance' to /landlord-insurance/; alt text 'worksheet for sizing personal umbrella liability'. Licensed P&amp;C reviewer; cite insurer umbrella wordings; refresh annually.</t>
        </is>
      </c>
      <c r="AC388" s="25" t="inlineStr">
        <is>
          <t>Do not quote umbrella prices without a dated source; required underlying limits are insurer-specific; keep liability examples hypothetical.</t>
        </is>
      </c>
      <c r="AD388" s="36" t="inlineStr">
        <is>
          <t>Annual</t>
        </is>
      </c>
      <c r="AE388" s="38" t="n"/>
      <c r="AF388" s="38" t="n"/>
      <c r="AG388" s="38" t="n"/>
    </row>
    <row r="389" ht="57.45" customHeight="1" s="22">
      <c r="A389" s="36">
        <f>"B"&amp;TEXT(ROW()-1,"0000")</f>
        <v/>
      </c>
      <c r="B389" s="38" t="inlineStr">
        <is>
          <t>Planned</t>
        </is>
      </c>
      <c r="C389" s="36" t="n">
        <v>3</v>
      </c>
      <c r="D389" s="36" t="inlineStr">
        <is>
          <t>Home insurance</t>
        </is>
      </c>
      <c r="E389" s="36" t="inlineStr">
        <is>
          <t>Hard-to-insure</t>
        </is>
      </c>
      <c r="F389" s="25" t="inlineStr">
        <is>
          <t>Mobile and Manufactured Home Insurance: Costs, Age Limits and Parks</t>
        </is>
      </c>
      <c r="G389" s="36" t="inlineStr">
        <is>
          <t>https://instasure.ca/guides/mobile-home-insurance-cost/</t>
        </is>
      </c>
      <c r="H389" s="36" t="inlineStr">
        <is>
          <t>mobile home insurance cost</t>
        </is>
      </c>
      <c r="I389" s="41">
        <f>IFERROR(INDEX('Nationwide KWs'!$D$2:$D$168,MATCH(H389,'Nationwide KWs'!$A$2:$A$168,0)),IFERROR(INDEX('Provincial KWs'!$E$2:$E$137,MATCH(H389,'Provincial KWs'!$A$2:$A$137,0)),IFERROR(INDEX('City KWs'!$F$2:$F$419,MATCH(H389,'City KWs'!$A$2:$A$419,0)),"")))</f>
        <v/>
      </c>
      <c r="J389" s="36" t="inlineStr">
        <is>
          <t>Low</t>
        </is>
      </c>
      <c r="K389" s="25" t="inlineStr">
        <is>
          <t>manufactured home insurance canada; mobile home insurance age limit; csa z240 mobile home; mobile home park insurance requirement; mini home insurance</t>
        </is>
      </c>
      <c r="L389" s="36" t="inlineStr">
        <is>
          <t>Nationwide</t>
        </is>
      </c>
      <c r="M389" s="36" t="inlineStr">
        <is>
          <t>commercial</t>
        </is>
      </c>
      <c r="N389" s="36" t="inlineStr">
        <is>
          <t>MOFU</t>
        </is>
      </c>
      <c r="O389" s="25" t="inlineStr">
        <is>
          <t>Mobile Home Insurance Cost: Age Limits, Parks and Coverage</t>
        </is>
      </c>
      <c r="P389" s="36">
        <f>LEN(O389)</f>
        <v/>
      </c>
      <c r="Q389" s="25" t="inlineStr">
        <is>
          <t>Mobile home insurance cost in Canada: what drives the price, CSA Z240 labels and age limits, park rules and tie-downs, and how modular differs. Get help.</t>
        </is>
      </c>
      <c r="R389" s="36">
        <f>LEN(Q389)</f>
        <v/>
      </c>
      <c r="S389" s="36">
        <f>IF(H389="","",IF(ISNUMBER(SEARCH(SUBSTITUTE(H389,"-"," "),SUBSTITUTE(O389,"-"," "))),"Yes","Check"))</f>
        <v/>
      </c>
      <c r="T389" s="25" t="inlineStr">
        <is>
          <t>How much does mobile home insurance cost? | What drives the price | CSA Z240 labels and age limits | Park lease requirements | Tie-downs, skirting and heating | Mobile vs mini vs modular homes | Documents to have ready</t>
        </is>
      </c>
      <c r="U389" s="25" t="inlineStr">
        <is>
          <t>Is it hard to insure an older mobile home? | What is a CSA Z240 label? | Does my park require me to carry liability insurance? | Is a modular home insured like a regular house?</t>
        </is>
      </c>
      <c r="V389" s="25" t="inlineStr">
        <is>
          <t>Checklist of documents insurers ask for (CSA Z240 label, year built, tie-downs, skirting, heating type, park lease clause) and a comparison of mobile, mini, modular and park-model homes.</t>
        </is>
      </c>
      <c r="W389" s="25" t="inlineStr">
        <is>
          <t>/home-insurance/mobile-and-manufactured/; /home-insurance/hard-to-insure/; /home-insurance/; /home-insurance/nova-scotia/</t>
        </is>
      </c>
      <c r="X389" s="25" t="inlineStr">
        <is>
          <t>Advisor quote for a mobile or manufactured home (/home-insurance/mobile-and-manufactured/)</t>
        </is>
      </c>
      <c r="Y389" s="36" t="inlineStr">
        <is>
          <t>Article; FAQPage; BreadcrumbList</t>
        </is>
      </c>
      <c r="Z389" s="37" t="n">
        <v>1400</v>
      </c>
      <c r="AA389" s="25" t="inlineStr">
        <is>
          <t>Ratehub has a mobile home page and Sonnet a mobile-home FAQ; neither explains age limits, CSA labels or park requirements.</t>
        </is>
      </c>
      <c r="AB389" s="25" t="inlineStr">
        <is>
          <t>Use 'mobile home insurance cost' in the H1, slug, meta title, first 100 words and first H2, with a 40–60 word answer on the main price drivers. Add the document checklist and home-type comparison table; link 'mobile and manufactured home insurance' to /home-insurance/mobile-and-manufactured/; alt text 'manufactured home with skirting and tie-downs'. Licensed P&amp;C reviewer; cite the CSA Z240 standard and insurer guidelines; refresh annually.</t>
        </is>
      </c>
      <c r="AC389" s="25" t="inlineStr">
        <is>
          <t>Verify the CSA Z240 standard reference; do not quote premiums without a dated, stated profile; describe age limits as insurer-specific.</t>
        </is>
      </c>
      <c r="AD389" s="36" t="inlineStr">
        <is>
          <t>Annual</t>
        </is>
      </c>
      <c r="AE389" s="38" t="n"/>
      <c r="AF389" s="38" t="n"/>
      <c r="AG389" s="38" t="n"/>
    </row>
    <row r="390" ht="57.45" customHeight="1" s="22">
      <c r="A390" s="36">
        <f>"B"&amp;TEXT(ROW()-1,"0000")</f>
        <v/>
      </c>
      <c r="B390" s="38" t="inlineStr">
        <is>
          <t>Planned</t>
        </is>
      </c>
      <c r="C390" s="36" t="n">
        <v>3</v>
      </c>
      <c r="D390" s="36" t="inlineStr">
        <is>
          <t>Home insurance</t>
        </is>
      </c>
      <c r="E390" s="36" t="inlineStr">
        <is>
          <t>Local (city/province)</t>
        </is>
      </c>
      <c r="F390" s="25" t="inlineStr">
        <is>
          <t>How Much Is Home Insurance in Halifax? Hurricanes, Oil Tanks and Costs</t>
        </is>
      </c>
      <c r="G390" s="36" t="inlineStr">
        <is>
          <t>https://instasure.ca/guides/home-insurance-cost-halifax/</t>
        </is>
      </c>
      <c r="H390" s="36" t="inlineStr">
        <is>
          <t>how much is home insurance in halifax</t>
        </is>
      </c>
      <c r="I390" s="41">
        <f>IFERROR(INDEX('Nationwide KWs'!$D$2:$D$168,MATCH(H390,'Nationwide KWs'!$A$2:$A$168,0)),IFERROR(INDEX('Provincial KWs'!$E$2:$E$137,MATCH(H390,'Provincial KWs'!$A$2:$A$137,0)),IFERROR(INDEX('City KWs'!$F$2:$F$419,MATCH(H390,'City KWs'!$A$2:$A$419,0)),"")))</f>
        <v/>
      </c>
      <c r="J390" s="36" t="inlineStr">
        <is>
          <t>Low</t>
        </is>
      </c>
      <c r="K390" s="25" t="inlineStr">
        <is>
          <t>average home insurance cost halifax; home insurance nova scotia; hurricane insurance nova scotia; halifax flood insurance; oil tank insurance halifax</t>
        </is>
      </c>
      <c r="L390" s="36" t="inlineStr">
        <is>
          <t>City: Halifax, NS</t>
        </is>
      </c>
      <c r="M390" s="36" t="inlineStr">
        <is>
          <t>local</t>
        </is>
      </c>
      <c r="N390" s="36" t="inlineStr">
        <is>
          <t>BOFU</t>
        </is>
      </c>
      <c r="O390" s="25" t="inlineStr">
        <is>
          <t>How Much Is Home Insurance in Halifax? Costs and Risks</t>
        </is>
      </c>
      <c r="P390" s="36">
        <f>LEN(O390)</f>
        <v/>
      </c>
      <c r="Q390" s="25" t="inlineStr">
        <is>
          <t>How much is home insurance in Halifax? Dated example costs, hurricane and storm-surge cover, oil tank rules and flood risk in HRM. Get an instant estimate.</t>
        </is>
      </c>
      <c r="R390" s="36">
        <f>LEN(Q390)</f>
        <v/>
      </c>
      <c r="S390" s="36">
        <f>IF(H390="","",IF(ISNUMBER(SEARCH(SUBSTITUTE(H390,"-"," "),SUBSTITUTE(O390,"-"," "))),"Yes","Check"))</f>
        <v/>
      </c>
      <c r="T390" s="25" t="inlineStr">
        <is>
          <t>How much is home insurance in Halifax? | Example costs: peninsula, Dartmouth, Bedford and Sackville | Hurricanes: wind, rain and storm surge | Oil tanks and older heating systems | Flood risk and overland water | Compare quotes with a licensed advisor</t>
        </is>
      </c>
      <c r="U390" s="25" t="inlineStr">
        <is>
          <t>What is the average cost of home insurance in Halifax? | Does home insurance cover hurricane damage in Nova Scotia? | Is storm surge covered by home insurance? | Will my oil tank affect my Halifax home insurance?</t>
        </is>
      </c>
      <c r="V390" s="25" t="inlineStr">
        <is>
          <t>Dated table of modelled premiums for the Halifax peninsula, Dartmouth and Bedford/Sackville, plus a storm-season checklist and a table of what hurricane wind, rain and storm-surge damage each policy typically pays.</t>
        </is>
      </c>
      <c r="W390" s="25" t="inlineStr">
        <is>
          <t>/home-insurance/nova-scotia/halifax/; /home-insurance/nova-scotia/; /guides/oil-tank-home-insurance/; /insurance/nova-scotia/halifax/</t>
        </is>
      </c>
      <c r="X390" s="25" t="inlineStr">
        <is>
          <t>Instant home insurance estimate for Halifax (/quote/home-insurance/)</t>
        </is>
      </c>
      <c r="Y390" s="36" t="inlineStr">
        <is>
          <t>Article; FAQPage; BreadcrumbList</t>
        </is>
      </c>
      <c r="Z390" s="37" t="n">
        <v>1500</v>
      </c>
      <c r="AA390" s="25" t="inlineStr">
        <is>
          <t>Ratehub covers Nova Scotia and Halifax home with thin pages; Sonnet has province pages only and no Atlantic city URLs surfaced in the research.</t>
        </is>
      </c>
      <c r="AB390" s="25" t="inlineStr">
        <is>
          <t>Use 'how much is home insurance in Halifax' in the H1, slug, meta title, first 100 words and first H2, with a 40–60 word answer giving the dated range and profile. Add the area table and the hurricane coverage table; link 'home insurance in Halifax' to /home-insurance/nova-scotia/halifax/ and 'oil tank' to that guide; alt text 'Halifax waterfront homes after a fall storm'. Licensed Nova Scotia P&amp;C reviewer; cite IBC, CatIQ and Nova Scotia flood mapping; refresh quarterly.</t>
        </is>
      </c>
      <c r="AC390" s="25" t="inlineStr">
        <is>
          <t>Verify storm-surge exclusion wording and Nova Scotia flood mapping sources; label all Halifax figures as modelled estimates with an 'as of' date.</t>
        </is>
      </c>
      <c r="AD390" s="36" t="inlineStr">
        <is>
          <t>Quarterly</t>
        </is>
      </c>
      <c r="AE390" s="38" t="n"/>
      <c r="AF390" s="38" t="n"/>
      <c r="AG390" s="38" t="n"/>
    </row>
    <row r="391" ht="46.25" customHeight="1" s="22">
      <c r="A391" s="36">
        <f>"B"&amp;TEXT(ROW()-1,"0000")</f>
        <v/>
      </c>
      <c r="B391" s="38" t="inlineStr">
        <is>
          <t>Planned</t>
        </is>
      </c>
      <c r="C391" s="36" t="n">
        <v>3</v>
      </c>
      <c r="D391" s="36" t="inlineStr">
        <is>
          <t>Home insurance</t>
        </is>
      </c>
      <c r="E391" s="36" t="inlineStr">
        <is>
          <t>Perils</t>
        </is>
      </c>
      <c r="F391" s="25" t="inlineStr">
        <is>
          <t>Ice Dams, Frozen Pipes and Snow Load: Winter Home Insurance Claims</t>
        </is>
      </c>
      <c r="G391" s="36" t="inlineStr">
        <is>
          <t>https://instasure.ca/guides/ice-dams-frozen-pipes-home-insurance/</t>
        </is>
      </c>
      <c r="H391" s="36" t="inlineStr">
        <is>
          <t>does home insurance cover ice dams</t>
        </is>
      </c>
      <c r="I391" s="41">
        <f>IFERROR(INDEX('Nationwide KWs'!$D$2:$D$168,MATCH(H391,'Nationwide KWs'!$A$2:$A$168,0)),IFERROR(INDEX('Provincial KWs'!$E$2:$E$137,MATCH(H391,'Provincial KWs'!$A$2:$A$137,0)),IFERROR(INDEX('City KWs'!$F$2:$F$419,MATCH(H391,'City KWs'!$A$2:$A$419,0)),"")))</f>
        <v/>
      </c>
      <c r="J391" s="36" t="inlineStr">
        <is>
          <t>Low</t>
        </is>
      </c>
      <c r="K391" s="25" t="inlineStr">
        <is>
          <t>frozen pipes insurance canada; burst pipe while away insurance; snow load roof collapse insurance; ice storm home insurance; heat maintenance condition home insurance</t>
        </is>
      </c>
      <c r="L391" s="36" t="inlineStr">
        <is>
          <t>Nationwide</t>
        </is>
      </c>
      <c r="M391" s="36" t="inlineStr">
        <is>
          <t>informational</t>
        </is>
      </c>
      <c r="N391" s="36" t="inlineStr">
        <is>
          <t>TOFU</t>
        </is>
      </c>
      <c r="O391" s="25" t="inlineStr">
        <is>
          <t>Does Home Insurance Cover Ice Dams and Frozen Pipes?</t>
        </is>
      </c>
      <c r="P391" s="36">
        <f>LEN(O391)</f>
        <v/>
      </c>
      <c r="Q391" s="25" t="inlineStr">
        <is>
          <t>Does home insurance cover ice dams, frozen pipes and snow load? What policies pay, the heat-maintained rule and avoiding a denial. Check yours.</t>
        </is>
      </c>
      <c r="R391" s="36">
        <f>LEN(Q391)</f>
        <v/>
      </c>
      <c r="S391" s="36">
        <f>IF(H391="","",IF(ISNUMBER(SEARCH(SUBSTITUTE(H391,"-"," "),SUBSTITUTE(O391,"-"," "))),"Yes","Check"))</f>
        <v/>
      </c>
      <c r="T391" s="25" t="inlineStr">
        <is>
          <t>Does home insurance cover ice dams? | Frozen and burst pipes | The heat-maintained condition when you're away | Snow load and roof collapse | Ice storms and falling trees | Winter checklist that protects your claim</t>
        </is>
      </c>
      <c r="U391" s="25" t="inlineStr">
        <is>
          <t>Is water from an ice dam covered by home insurance? | Are burst pipes covered if I was away on vacation? | Does home insurance cover a roof collapse from snow? | Who pays if my neighbour's tree falls on my house in an ice storm?</t>
        </is>
      </c>
      <c r="V391" s="25" t="inlineStr">
        <is>
          <t>Winter checklist tied to policy conditions (heat maintained or water shut off, check frequency when away) and a table of what each winter claim type typically pays.</t>
        </is>
      </c>
      <c r="W391" s="25" t="inlineStr">
        <is>
          <t>/home-insurance/; /guides/does-home-insurance-cover-water-damage-canada/; /guides/vacant-home-insurance/; /home-insurance/cottage-and-seasonal/</t>
        </is>
      </c>
      <c r="X391" s="25" t="inlineStr">
        <is>
          <t>Instant home insurance estimate (/quote/home-insurance/)</t>
        </is>
      </c>
      <c r="Y391" s="36" t="inlineStr">
        <is>
          <t>Article; FAQPage; BreadcrumbList</t>
        </is>
      </c>
      <c r="Z391" s="37" t="n">
        <v>1400</v>
      </c>
      <c r="AA391" s="25" t="inlineStr">
        <is>
          <t>No winter-peril guide seen on Ratehub, Rates.ca or Sonnet; the 2025 Ontario/Quebec ice storm drew only news coverage.</t>
        </is>
      </c>
      <c r="AB391" s="25" t="inlineStr">
        <is>
          <t>Use 'does home insurance cover ice dams' in the H1, slug, meta title, first 100 words and first H2, with a 40–60 word answer on ice dams and frozen pipes together. Add the claim-type table and checklist; link 'water damage' to the water guide and 'leaving your home empty' to the vacant home guide; alt text 'ice dam forming on a Canadian roof'. Licensed P&amp;C reviewer; cite IBC and insurer wordings; refresh each autumn.</t>
        </is>
      </c>
      <c r="AC391" s="25" t="inlineStr">
        <is>
          <t>Verify the 2025 Ontario/Quebec ice storm loss figure (about $490M) with IBC/CatIQ. Quote the heat-maintained condition generically because wording differs by insurer.</t>
        </is>
      </c>
      <c r="AD391" s="36" t="inlineStr">
        <is>
          <t>Annual</t>
        </is>
      </c>
      <c r="AE391" s="38" t="n"/>
      <c r="AF391" s="38" t="n"/>
      <c r="AG391" s="38" t="n"/>
    </row>
    <row r="392" ht="57.45" customHeight="1" s="22">
      <c r="A392" s="36">
        <f>"B"&amp;TEXT(ROW()-1,"0000")</f>
        <v/>
      </c>
      <c r="B392" s="38" t="inlineStr">
        <is>
          <t>Planned</t>
        </is>
      </c>
      <c r="C392" s="36" t="n">
        <v>3</v>
      </c>
      <c r="D392" s="36" t="inlineStr">
        <is>
          <t>Home insurance</t>
        </is>
      </c>
      <c r="E392" s="36" t="inlineStr">
        <is>
          <t>Personas</t>
        </is>
      </c>
      <c r="F392" s="25" t="inlineStr">
        <is>
          <t>Home Insurance for Newcomers to Canada: No Insurance History?</t>
        </is>
      </c>
      <c r="G392" s="36" t="inlineStr">
        <is>
          <t>https://instasure.ca/guides/home-insurance-for-newcomers/</t>
        </is>
      </c>
      <c r="H392" s="36" t="inlineStr">
        <is>
          <t>home insurance for newcomers canada</t>
        </is>
      </c>
      <c r="I392" s="41">
        <f>IFERROR(INDEX('Nationwide KWs'!$D$2:$D$168,MATCH(H392,'Nationwide KWs'!$A$2:$A$168,0)),IFERROR(INDEX('Provincial KWs'!$E$2:$E$137,MATCH(H392,'Provincial KWs'!$A$2:$A$137,0)),IFERROR(INDEX('City KWs'!$F$2:$F$419,MATCH(H392,'City KWs'!$A$2:$A$419,0)),"")))</f>
        <v/>
      </c>
      <c r="J392" s="36" t="inlineStr">
        <is>
          <t>Niche</t>
        </is>
      </c>
      <c r="K392" s="25" t="inlineStr">
        <is>
          <t>home insurance no insurance history; first home insurance newcomer; proof of prior insurance home; tenant insurance for newcomers; insurance letter from previous country</t>
        </is>
      </c>
      <c r="L392" s="36" t="inlineStr">
        <is>
          <t>Nationwide</t>
        </is>
      </c>
      <c r="M392" s="36" t="inlineStr">
        <is>
          <t>commercial</t>
        </is>
      </c>
      <c r="N392" s="36" t="inlineStr">
        <is>
          <t>MOFU</t>
        </is>
      </c>
      <c r="O392" s="25" t="inlineStr">
        <is>
          <t>Home Insurance for Newcomers to Canada: No History Needed?</t>
        </is>
      </c>
      <c r="P392" s="36">
        <f>LEN(O392)</f>
        <v/>
      </c>
      <c r="Q392" s="25" t="inlineStr">
        <is>
          <t>Home insurance for newcomers to Canada: how insurers treat no Canadian history, documents that help, and renting vs buying first. Talk to an advisor.</t>
        </is>
      </c>
      <c r="R392" s="36">
        <f>LEN(Q392)</f>
        <v/>
      </c>
      <c r="S392" s="36">
        <f>IF(H392="","",IF(ISNUMBER(SEARCH(SUBSTITUTE(H392,"-"," "),SUBSTITUTE(O392,"-"," "))),"Yes","Check"))</f>
        <v/>
      </c>
      <c r="T392" s="25" t="inlineStr">
        <is>
          <t>Can newcomers get home insurance in Canada? | How insurers treat no Canadian insurance history | Documents that help: prior insurance letters and claims history | Tenant insurance as your first policy | Buying your first home in Canada | Bundling with car insurance as a newcomer</t>
        </is>
      </c>
      <c r="U392" s="25" t="inlineStr">
        <is>
          <t>Can I get home insurance without Canadian insurance history? | Will my insurance history from another country count? | Do newcomers pay more for home insurance? | Should I start with tenant insurance?</t>
        </is>
      </c>
      <c r="V392" s="25" t="inlineStr">
        <is>
          <t>Document checklist (prior insurance letters from abroad, translated claims history, ID) and a first-year roadmap from tenant insurance to a home and auto bundle.</t>
        </is>
      </c>
      <c r="W392" s="25" t="inlineStr">
        <is>
          <t>/home-insurance/; /tenant-insurance/; /car-insurance/newcomers/; /guides/life-insurance-for-newcomers-to-canada/</t>
        </is>
      </c>
      <c r="X392" s="25" t="inlineStr">
        <is>
          <t>Instant home insurance estimate (/quote/home-insurance/)</t>
        </is>
      </c>
      <c r="Y392" s="36" t="inlineStr">
        <is>
          <t>Article; FAQPage; BreadcrumbList</t>
        </is>
      </c>
      <c r="Z392" s="37" t="n">
        <v>1300</v>
      </c>
      <c r="AA392" s="25" t="inlineStr">
        <is>
          <t>Ratehub and Rates.ca cover newcomer car insurance only; no newcomer home or tenant guide was seen.</t>
        </is>
      </c>
      <c r="AB392" s="25" t="inlineStr">
        <is>
          <t>Use 'home insurance for newcomers' plus 'Canada' in the H1, slug, meta title, first 100 words and first H2, with a 40–60 word answer on how no history is handled. Add the document checklist and roadmap; link 'car insurance for newcomers' to /car-insurance/newcomers/ and 'tenant insurance' to /tenant-insurance/; alt text 'newcomer family receiving keys to a rental home'. Licensed P&amp;C reviewer; cite insurer underwriting guides; refresh annually.</t>
        </is>
      </c>
      <c r="AC392" s="25" t="inlineStr">
        <is>
          <t>Language support must read 'matched where available'. Verify whether insurers accept foreign claims-history letters rather than stating it as a rule.</t>
        </is>
      </c>
      <c r="AD392" s="36" t="inlineStr">
        <is>
          <t>Annual</t>
        </is>
      </c>
      <c r="AE392" s="38" t="n"/>
      <c r="AF392" s="38" t="n"/>
      <c r="AG392" s="38" t="n"/>
    </row>
    <row r="393" ht="57.45" customHeight="1" s="22">
      <c r="A393" s="36">
        <f>"B"&amp;TEXT(ROW()-1,"0000")</f>
        <v/>
      </c>
      <c r="B393" s="38" t="inlineStr">
        <is>
          <t>Planned</t>
        </is>
      </c>
      <c r="C393" s="36" t="n">
        <v>4</v>
      </c>
      <c r="D393" s="36" t="inlineStr">
        <is>
          <t>Home insurance</t>
        </is>
      </c>
      <c r="E393" s="36" t="inlineStr">
        <is>
          <t>Comparisons</t>
        </is>
      </c>
      <c r="F393" s="25" t="inlineStr">
        <is>
          <t>Intact vs Aviva Home Insurance: How the Policies Compare</t>
        </is>
      </c>
      <c r="G393" s="36" t="inlineStr">
        <is>
          <t>https://instasure.ca/guides/intact-vs-aviva-home-insurance/</t>
        </is>
      </c>
      <c r="H393" s="36" t="inlineStr">
        <is>
          <t>intact vs aviva home insurance</t>
        </is>
      </c>
      <c r="I393" s="41">
        <f>IFERROR(INDEX('Nationwide KWs'!$D$2:$D$168,MATCH(H393,'Nationwide KWs'!$A$2:$A$168,0)),IFERROR(INDEX('Provincial KWs'!$E$2:$E$137,MATCH(H393,'Provincial KWs'!$A$2:$A$137,0)),IFERROR(INDEX('City KWs'!$F$2:$F$419,MATCH(H393,'City KWs'!$A$2:$A$419,0)),"")))</f>
        <v/>
      </c>
      <c r="J393" s="36" t="inlineStr">
        <is>
          <t>Low</t>
        </is>
      </c>
      <c r="K393" s="25" t="inlineStr">
        <is>
          <t>intact vs aviva; intact home insurance review; aviva home insurance review; intact vs aviva water damage coverage; intact vs aviva claims; aviva or intact home insurance ontario</t>
        </is>
      </c>
      <c r="L393" s="36" t="inlineStr">
        <is>
          <t>Nationwide</t>
        </is>
      </c>
      <c r="M393" s="36" t="inlineStr">
        <is>
          <t>commercial</t>
        </is>
      </c>
      <c r="N393" s="36" t="inlineStr">
        <is>
          <t>MOFU</t>
        </is>
      </c>
      <c r="O393" s="25" t="inlineStr">
        <is>
          <t>Intact vs Aviva Home Insurance: Coverage and Claims Compared</t>
        </is>
      </c>
      <c r="P393" s="36">
        <f>LEN(O393)</f>
        <v/>
      </c>
      <c r="Q393" s="25" t="inlineStr">
        <is>
          <t>Intact vs Aviva home insurance: coverage forms, water endorsements, claims service and complaint data side by side, using our published method. Compare.</t>
        </is>
      </c>
      <c r="R393" s="36">
        <f>LEN(Q393)</f>
        <v/>
      </c>
      <c r="S393" s="36">
        <f>IF(H393="","",IF(ISNUMBER(SEARCH(SUBSTITUTE(H393,"-"," "),SUBSTITUTE(O393,"-"," "))),"Yes","Check"))</f>
        <v/>
      </c>
      <c r="T393" s="25" t="inlineStr">
        <is>
          <t>Intact vs Aviva: the short answer | How we compared them (published method) | Policy forms and core coverage | Water, sewer backup and overland flood endorsements | Claims service and complaint data | Where each is sold and how to buy | Which suits your home?</t>
        </is>
      </c>
      <c r="U393" s="25" t="inlineStr">
        <is>
          <t>Is Intact or Aviva better for home insurance? | Do Intact and Aviva both offer overland flood coverage? | Can I buy Intact or Aviva home insurance through a broker? | How do Intact and Aviva handle water damage claims?</t>
        </is>
      </c>
      <c r="V393" s="25" t="inlineStr">
        <is>
          <t>Side-by-side table built from each insurer's published wordings and endorsements (water, sewer backup, overland flood, guaranteed replacement) plus public complaint and ombudsman data, scored under a published method.</t>
        </is>
      </c>
      <c r="W393" s="25" t="inlineStr">
        <is>
          <t>/compare/; /home-insurance/; /guides/what-does-home-insurance-cover/; /guides/does-home-insurance-cover-water-damage-canada/</t>
        </is>
      </c>
      <c r="X393" s="25" t="inlineStr">
        <is>
          <t>Instant home insurance estimate, then an advisor compares both insurers for your address (/quote/home-insurance/)</t>
        </is>
      </c>
      <c r="Y393" s="36" t="inlineStr">
        <is>
          <t>Article; FAQPage; BreadcrumbList</t>
        </is>
      </c>
      <c r="Z393" s="37" t="n">
        <v>2000</v>
      </c>
      <c r="AA393" s="25" t="inlineStr">
        <is>
          <t>The keyword map lists no competitor for 'intact vs aviva'; Ratehub and Rates.ca run single-insurer review pages only.</t>
        </is>
      </c>
      <c r="AB393" s="25" t="inlineStr">
        <is>
          <t>Use 'Intact vs Aviva' in the H1, slug, meta title, first 100 words and first H2, with a 40–60 word answer that summarises the documented differences without a verdict. Put the method box above the table and link it; link 'compare' to /compare/ and 'water damage coverage' to the water guide; alt text 'side-by-side table comparing Intact and Aviva home insurance features'. Licensed P&amp;C reviewer; cite insurer wordings, GIO and regulator complaint data; refresh semi-annually.</t>
        </is>
      </c>
      <c r="AC393" s="25" t="inlineStr">
        <is>
          <t>Needs a published review method before launch; compare only documented wording features and public data, give no 'better' verdict outside the method, and disclose carrier relationships (carriers_confirmed setting).</t>
        </is>
      </c>
      <c r="AD393" s="36" t="inlineStr">
        <is>
          <t>Semi-annual</t>
        </is>
      </c>
      <c r="AE393" s="38" t="n"/>
      <c r="AF393" s="38" t="n"/>
      <c r="AG393" s="38" t="n"/>
    </row>
    <row r="394" ht="57.45" customHeight="1" s="22">
      <c r="A394" s="36">
        <f>"B"&amp;TEXT(ROW()-1,"0000")</f>
        <v/>
      </c>
      <c r="B394" s="38" t="inlineStr">
        <is>
          <t>Planned</t>
        </is>
      </c>
      <c r="C394" s="36" t="n">
        <v>1</v>
      </c>
      <c r="D394" s="36" t="inlineStr">
        <is>
          <t>Condo insurance</t>
        </is>
      </c>
      <c r="E394" s="36" t="inlineStr">
        <is>
          <t>Claims</t>
        </is>
      </c>
      <c r="F394" s="25" t="inlineStr">
        <is>
          <t>Condo Water Leak From the Unit Above: Who Pays?</t>
        </is>
      </c>
      <c r="G394" s="36" t="inlineStr">
        <is>
          <t>https://instasure.ca/guides/condo-water-leak-who-pays/</t>
        </is>
      </c>
      <c r="H394" s="36" t="inlineStr">
        <is>
          <t>condo water damage who pays</t>
        </is>
      </c>
      <c r="I394" s="41">
        <f>IFERROR(INDEX('Nationwide KWs'!$D$2:$D$168,MATCH(H394,'Nationwide KWs'!$A$2:$A$168,0)),IFERROR(INDEX('Provincial KWs'!$E$2:$E$137,MATCH(H394,'Provincial KWs'!$A$2:$A$137,0)),IFERROR(INDEX('City KWs'!$F$2:$F$419,MATCH(H394,'City KWs'!$A$2:$A$419,0)),"")))</f>
        <v/>
      </c>
      <c r="J394" s="36" t="inlineStr">
        <is>
          <t>Low</t>
        </is>
      </c>
      <c r="K394" s="25" t="inlineStr">
        <is>
          <t>water leak from upstairs condo; condo leak insurance claim; neighbour flooded my condo; condo corporation water damage responsibility; strata water damage bc</t>
        </is>
      </c>
      <c r="L394" s="36" t="inlineStr">
        <is>
          <t>Nationwide</t>
        </is>
      </c>
      <c r="M394" s="36" t="inlineStr">
        <is>
          <t>informational</t>
        </is>
      </c>
      <c r="N394" s="36" t="inlineStr">
        <is>
          <t>MOFU</t>
        </is>
      </c>
      <c r="O394" s="25" t="inlineStr">
        <is>
          <t>Condo Water Damage: Who Pays When the Unit Above Leaks?</t>
        </is>
      </c>
      <c r="P394" s="36">
        <f>LEN(O394)</f>
        <v/>
      </c>
      <c r="Q394" s="25" t="inlineStr">
        <is>
          <t>Condo water damage: who pays when the unit above leaks? How the building policy, both owners' policies and deductible charge-backs apply. See examples.</t>
        </is>
      </c>
      <c r="R394" s="36">
        <f>LEN(Q394)</f>
        <v/>
      </c>
      <c r="S394" s="36">
        <f>IF(H394="","",IF(ISNUMBER(SEARCH(SUBSTITUTE(H394,"-"," "),SUBSTITUTE(O394,"-"," "))),"Yes","Check"))</f>
        <v/>
      </c>
      <c r="T394" s="25" t="inlineStr">
        <is>
          <t>Who pays for condo water damage? | Damage inside the standard unit vs your upgrades vs contents | When the corporation charges back its deductible | The upstairs owner's liability | Ontario worked example | BC strata worked example | What to do in the first 24 hours</t>
        </is>
      </c>
      <c r="U394" s="25" t="inlineStr">
        <is>
          <t>Who pays when the condo above me leaks? | Can my condo corporation charge me its deductible for a leak I didn't cause? | Does my condo insurance cover my neighbour's damage if my pipe bursts? | Should I claim on my policy or the building's?</t>
        </is>
      </c>
      <c r="V394" s="25" t="inlineStr">
        <is>
          <t>Scenario flowchart (source unit, cause, damage to standard unit vs improvements vs contents) ending in who pays, with Ontario and BC worked examples and the deductible charge-back path.</t>
        </is>
      </c>
      <c r="W394" s="25" t="inlineStr">
        <is>
          <t>/condo-insurance/; /guides/condo-insurance-deductible-assessment-explained/; /guides/does-home-insurance-cover-water-damage-canada/; /guides/condo-improvements-and-betterments/</t>
        </is>
      </c>
      <c r="X394" s="25" t="inlineStr">
        <is>
          <t>Instant condo insurance estimate (/quote/condo-insurance/)</t>
        </is>
      </c>
      <c r="Y394" s="36" t="inlineStr">
        <is>
          <t>Article; FAQPage; BreadcrumbList</t>
        </is>
      </c>
      <c r="Z394" s="37" t="n">
        <v>1600</v>
      </c>
      <c r="AA394" s="25" t="inlineStr">
        <is>
          <t>Not seen as a standalone guide on Ratehub, Rates.ca or Sonnet; condo lawyers and property managers own this query.</t>
        </is>
      </c>
      <c r="AB394" s="25" t="inlineStr">
        <is>
          <t>Use 'condo water damage' and 'who pays' in the H1, slug, meta title, first 100 words and first H2, with a 40–60 word answer on the usual split. Present the flowchart as a table with both worked examples; link 'deductible assessment' to the existing guide and 'improvements and betterments' to that guide; alt text 'water stain on a condo ceiling from the unit above'. Licensed P&amp;C reviewer; cite the Ontario Condominium Act and BC Strata Property Act; refresh annually.</t>
        </is>
      </c>
      <c r="AC394" s="25" t="inlineStr">
        <is>
          <t>Verify charge-back rules (Ontario Condominium Act s.105, BC Strata Property Act s.158) and present examples as illustrative; no legal advice on disputes.</t>
        </is>
      </c>
      <c r="AD394" s="36" t="inlineStr">
        <is>
          <t>Annual</t>
        </is>
      </c>
      <c r="AE394" s="38" t="n"/>
      <c r="AF394" s="38" t="n"/>
      <c r="AG394" s="38" t="n"/>
    </row>
    <row r="395" ht="57.45" customHeight="1" s="22">
      <c r="A395" s="36">
        <f>"B"&amp;TEXT(ROW()-1,"0000")</f>
        <v/>
      </c>
      <c r="B395" s="38" t="inlineStr">
        <is>
          <t>Published</t>
        </is>
      </c>
      <c r="C395" s="36" t="n">
        <v>1</v>
      </c>
      <c r="D395" s="36" t="inlineStr">
        <is>
          <t>Condo insurance</t>
        </is>
      </c>
      <c r="E395" s="36" t="inlineStr">
        <is>
          <t>Cost &amp; pricing</t>
        </is>
      </c>
      <c r="F395" s="25" t="inlineStr">
        <is>
          <t>How Much Is Condo Insurance in Canada? Costs by City</t>
        </is>
      </c>
      <c r="G395" s="36" t="inlineStr">
        <is>
          <t>https://instasure.ca/guides/how-much-is-condo-insurance/</t>
        </is>
      </c>
      <c r="H395" s="36" t="inlineStr">
        <is>
          <t>condo insurance cost</t>
        </is>
      </c>
      <c r="I395" s="41">
        <f>IFERROR(INDEX('Nationwide KWs'!$D$2:$D$168,MATCH(H395,'Nationwide KWs'!$A$2:$A$168,0)),IFERROR(INDEX('Provincial KWs'!$E$2:$E$137,MATCH(H395,'Provincial KWs'!$A$2:$A$137,0)),IFERROR(INDEX('City KWs'!$F$2:$F$419,MATCH(H395,'City KWs'!$A$2:$A$419,0)),"")))</f>
        <v/>
      </c>
      <c r="J395" s="36" t="inlineStr">
        <is>
          <t>Medium</t>
        </is>
      </c>
      <c r="K395" s="25" t="inlineStr">
        <is>
          <t>how much is condo insurance; average condo insurance cost ontario; condo insurance per month; condo insurance cost canada; condo insurance price by city</t>
        </is>
      </c>
      <c r="L395" s="36" t="inlineStr">
        <is>
          <t>Nationwide</t>
        </is>
      </c>
      <c r="M395" s="36" t="inlineStr">
        <is>
          <t>commercial</t>
        </is>
      </c>
      <c r="N395" s="36" t="inlineStr">
        <is>
          <t>MOFU</t>
        </is>
      </c>
      <c r="O395" s="25" t="inlineStr">
        <is>
          <t>Condo Insurance Cost in Canada: Estimates by City</t>
        </is>
      </c>
      <c r="P395" s="36">
        <f>LEN(O395)</f>
        <v/>
      </c>
      <c r="Q395" s="25" t="inlineStr">
        <is>
          <t>Condo insurance cost in Canada: dated example estimates by city and coverage level, and what pushes price up in Toronto and Vancouver. Get an estimate.</t>
        </is>
      </c>
      <c r="R395" s="36">
        <f>LEN(Q395)</f>
        <v/>
      </c>
      <c r="S395" s="36">
        <f>IF(H395="","",IF(ISNUMBER(SEARCH(SUBSTITUTE(H395,"-"," "),SUBSTITUTE(O395,"-"," "))),"Yes","Check"))</f>
        <v/>
      </c>
      <c r="T395" s="25" t="inlineStr">
        <is>
          <t>How much is condo insurance? | Example costs by city (dated table) | How coverage level changes the price | Why Toronto and Vancouver differ | Deductible-assessment limits and price | Ways to lower your condo premium | How we built these estimates</t>
        </is>
      </c>
      <c r="U395" s="25" t="inlineStr">
        <is>
          <t>How much is condo insurance per month in Canada? | Why is condo insurance more expensive in Vancouver? | Does a higher deductible-assessment limit cost much more? | Is condo insurance cheaper than home insurance?</t>
        </is>
      </c>
      <c r="V395" s="25" t="inlineStr">
        <is>
          <t>Dated table of modelled monthly estimates at three coverage levels (contents, improvements, deductible-assessment limit, liability) in eight cities, with competitor-published medians shown separately and sourced.</t>
        </is>
      </c>
      <c r="W395" s="25" t="inlineStr">
        <is>
          <t>/condo-insurance/; /condo-insurance/ontario/toronto/; /condo-insurance/british-columbia/vancouver/; /calculators/tenant-condo-coverage/; /insights/rate-index/</t>
        </is>
      </c>
      <c r="X395" s="25" t="inlineStr">
        <is>
          <t>Instant condo insurance estimate (/quote/condo-insurance/)</t>
        </is>
      </c>
      <c r="Y395" s="36" t="inlineStr">
        <is>
          <t>Article; FAQPage; BreadcrumbList</t>
        </is>
      </c>
      <c r="Z395" s="37" t="n">
        <v>1800</v>
      </c>
      <c r="AA395" s="25" t="inlineStr">
        <is>
          <t>Ratehub has average-cost-of-condo-insurance-ontario, Sonnet shows a $520/yr national median and Rates.ca city figures (Ottawa, downtown Toronto); none ties price to coverage level in one dated table.</t>
        </is>
      </c>
      <c r="AB395" s="25" t="inlineStr">
        <is>
          <t>Use 'condo insurance cost' in the H1, slug, meta title, first 100 words and first H2, with a 40–60 word answer giving the dated example range and profile. Add the city table and a coverage-level table; link 'condo insurance in Toronto' to /condo-insurance/ontario/toronto/ and 'Instasure Rate Index' to /insights/rate-index/; alt text 'table of condo insurance cost by Canadian city'. Licensed P&amp;C reviewer; cite the Instasure Rate Index methodology and attributed competitor medians; refresh quarterly.</t>
        </is>
      </c>
      <c r="AC395" s="25" t="inlineStr">
        <is>
          <t>Verify and attribute competitor medians (Sonnet $520/yr; Rates.ca Ottawa $703 and downtown Toronto $748; Ratehub Ontario $300–600/yr) before quoting. Label Instasure figures as modelled estimates.</t>
        </is>
      </c>
      <c r="AD395" s="36" t="inlineStr">
        <is>
          <t>Quarterly</t>
        </is>
      </c>
      <c r="AE395" s="38" t="inlineStr">
        <is>
          <t>Michael Le Chi</t>
        </is>
      </c>
      <c r="AF395" s="38" t="n"/>
      <c r="AG395" s="38" t="inlineStr">
        <is>
          <t>2026-10-12</t>
        </is>
      </c>
    </row>
    <row r="396" ht="57.45" customHeight="1" s="22">
      <c r="A396" s="36">
        <f>"B"&amp;TEXT(ROW()-1,"0000")</f>
        <v/>
      </c>
      <c r="B396" s="38" t="inlineStr">
        <is>
          <t>Planned</t>
        </is>
      </c>
      <c r="C396" s="36" t="n">
        <v>1</v>
      </c>
      <c r="D396" s="36" t="inlineStr">
        <is>
          <t>Condo insurance</t>
        </is>
      </c>
      <c r="E396" s="36" t="inlineStr">
        <is>
          <t>Coverage explained</t>
        </is>
      </c>
      <c r="F396" s="25" t="inlineStr">
        <is>
          <t>What Does Condo Insurance Cover? Your Policy vs the Building's</t>
        </is>
      </c>
      <c r="G396" s="36" t="inlineStr">
        <is>
          <t>https://instasure.ca/guides/what-does-condo-insurance-cover/</t>
        </is>
      </c>
      <c r="H396" s="36" t="inlineStr">
        <is>
          <t>what does condo insurance cover</t>
        </is>
      </c>
      <c r="I396" s="41">
        <f>IFERROR(INDEX('Nationwide KWs'!$D$2:$D$168,MATCH(H396,'Nationwide KWs'!$A$2:$A$168,0)),IFERROR(INDEX('Provincial KWs'!$E$2:$E$137,MATCH(H396,'Provincial KWs'!$A$2:$A$137,0)),IFERROR(INDEX('City KWs'!$F$2:$F$419,MATCH(H396,'City KWs'!$A$2:$A$419,0)),"")))</f>
        <v/>
      </c>
      <c r="J396" s="36" t="inlineStr">
        <is>
          <t>Medium</t>
        </is>
      </c>
      <c r="K396" s="25" t="inlineStr">
        <is>
          <t>condo insurance vs building insurance; condo unit owner insurance; master policy vs unit policy; condo insurance explained; do i need condo insurance</t>
        </is>
      </c>
      <c r="L396" s="36" t="inlineStr">
        <is>
          <t>Nationwide</t>
        </is>
      </c>
      <c r="M396" s="36" t="inlineStr">
        <is>
          <t>informational</t>
        </is>
      </c>
      <c r="N396" s="36" t="inlineStr">
        <is>
          <t>TOFU</t>
        </is>
      </c>
      <c r="O396" s="25" t="inlineStr">
        <is>
          <t>What Does Condo Insurance Cover? Unit vs Building Policy</t>
        </is>
      </c>
      <c r="P396" s="36">
        <f>LEN(O396)</f>
        <v/>
      </c>
      <c r="Q396" s="25" t="inlineStr">
        <is>
          <t>What does condo insurance cover? How your unit policy and the building's master policy split contents, upgrades, liability and deductibles. Get a quote.</t>
        </is>
      </c>
      <c r="R396" s="36">
        <f>LEN(Q396)</f>
        <v/>
      </c>
      <c r="S396" s="36">
        <f>IF(H396="","",IF(ISNUMBER(SEARCH(SUBSTITUTE(H396,"-"," "),SUBSTITUTE(O396,"-"," "))),"Yes","Check"))</f>
        <v/>
      </c>
      <c r="T396" s="25" t="inlineStr">
        <is>
          <t>What condo insurance covers: the short answer | What the corporation's master policy covers | What your unit owner policy covers | Improvements and betterments | Loss assessment and deductible assessment | Liability to neighbours and the corporation | Gaps to check before you buy</t>
        </is>
      </c>
      <c r="U396" s="25" t="inlineStr">
        <is>
          <t>Do I need condo insurance if my building is insured? | Does condo insurance cover my kitchen upgrades? | Who pays when water leaks from my unit into the one below? | Is condo insurance required by my condo corporation?</t>
        </is>
      </c>
      <c r="V396" s="25" t="inlineStr">
        <is>
          <t>Who-pays matrix for 10 common condo losses (leak from your unit, leak from above, kitchen fire, common-area flood, upgraded floors, lobby slip) showing master policy vs unit policy vs out of pocket.</t>
        </is>
      </c>
      <c r="W396" s="25" t="inlineStr">
        <is>
          <t>/condo-insurance/; /guides/condo-insurance-deductible-assessment-explained/; /calculators/tenant-condo-coverage/; /guides/condo-improvements-and-betterments/</t>
        </is>
      </c>
      <c r="X396" s="25" t="inlineStr">
        <is>
          <t>Instant condo insurance estimate (/quote/condo-insurance/)</t>
        </is>
      </c>
      <c r="Y396" s="36" t="inlineStr">
        <is>
          <t>Article; FAQPage; BreadcrumbList</t>
        </is>
      </c>
      <c r="Z396" s="37" t="n">
        <v>1800</v>
      </c>
      <c r="AA396" s="25" t="inlineStr">
        <is>
          <t>Ratehub (condo-insurance-what-it-does-and-doesnt-cover) and Sonnet (how-does-condo-insurance-work) explain the basics; neither shows a who-pays matrix by loss scenario.</t>
        </is>
      </c>
      <c r="AB396" s="25" t="inlineStr">
        <is>
          <t>Use 'what does condo insurance cover' in the H1, slug, meta title, first 100 words and first H2, with a 40–60 word answer splitting building vs unit coverage. Make the who-pays matrix the centrepiece; link 'deductible assessment' to the existing deductible guide and 'coverage calculator' to /calculators/tenant-condo-coverage/; alt text 'diagram of condo master policy vs unit owner policy'. Licensed P&amp;C reviewer; cite the Ontario Condominium Act, BC Strata Property Act and IBC; refresh annually.</t>
        </is>
      </c>
      <c r="AC396" s="25" t="inlineStr">
        <is>
          <t>Standard-unit and deductible charge-back rules differ by province (Ontario Condominium Act, BC Strata Property Act); verify citations and avoid implying one rule applies nationally.</t>
        </is>
      </c>
      <c r="AD396" s="36" t="inlineStr">
        <is>
          <t>Annual</t>
        </is>
      </c>
      <c r="AE396" s="38" t="n"/>
      <c r="AF396" s="38" t="n"/>
      <c r="AG396" s="38" t="n"/>
    </row>
    <row r="397" ht="57.45" customHeight="1" s="22">
      <c r="A397" s="36">
        <f>"B"&amp;TEXT(ROW()-1,"0000")</f>
        <v/>
      </c>
      <c r="B397" s="38" t="inlineStr">
        <is>
          <t>Planned</t>
        </is>
      </c>
      <c r="C397" s="36" t="n">
        <v>1</v>
      </c>
      <c r="D397" s="36" t="inlineStr">
        <is>
          <t>Condo insurance</t>
        </is>
      </c>
      <c r="E397" s="36" t="inlineStr">
        <is>
          <t>Local (city/province)</t>
        </is>
      </c>
      <c r="F397" s="25" t="inlineStr">
        <is>
          <t>How Much Is Condo Insurance in Vancouver? Strata Deductibles Explained</t>
        </is>
      </c>
      <c r="G397" s="36" t="inlineStr">
        <is>
          <t>https://instasure.ca/guides/vancouver-strata-insurance-cost/</t>
        </is>
      </c>
      <c r="H397" s="36" t="inlineStr">
        <is>
          <t>how much is condo insurance in vancouver</t>
        </is>
      </c>
      <c r="I397" s="41">
        <f>IFERROR(INDEX('Nationwide KWs'!$D$2:$D$168,MATCH(H397,'Nationwide KWs'!$A$2:$A$168,0)),IFERROR(INDEX('Provincial KWs'!$E$2:$E$137,MATCH(H397,'Provincial KWs'!$A$2:$A$137,0)),IFERROR(INDEX('City KWs'!$F$2:$F$419,MATCH(H397,'City KWs'!$A$2:$A$419,0)),"")))</f>
        <v/>
      </c>
      <c r="J397" s="36" t="inlineStr">
        <is>
          <t>Low</t>
        </is>
      </c>
      <c r="K397" s="25" t="inlineStr">
        <is>
          <t>condo insurance vancouver; strata insurance vancouver; vancouver strata deductible; condo insurance burnaby; strata water deductible</t>
        </is>
      </c>
      <c r="L397" s="36" t="inlineStr">
        <is>
          <t>City: Vancouver, BC</t>
        </is>
      </c>
      <c r="M397" s="36" t="inlineStr">
        <is>
          <t>local</t>
        </is>
      </c>
      <c r="N397" s="36" t="inlineStr">
        <is>
          <t>BOFU</t>
        </is>
      </c>
      <c r="O397" s="25" t="inlineStr">
        <is>
          <t>How Much Is Condo Insurance in Vancouver? Strata Guide</t>
        </is>
      </c>
      <c r="P397" s="36">
        <f>LEN(O397)</f>
        <v/>
      </c>
      <c r="Q397" s="25" t="inlineStr">
        <is>
          <t>How much is condo insurance in Vancouver? Dated estimates by building type and how strata water and quake deductibles set your limits. Get an estimate.</t>
        </is>
      </c>
      <c r="R397" s="36">
        <f>LEN(Q397)</f>
        <v/>
      </c>
      <c r="S397" s="36">
        <f>IF(H397="","",IF(ISNUMBER(SEARCH(SUBSTITUTE(H397,"-"," "),SUBSTITUTE(O397,"-"," "))),"Yes","Check"))</f>
        <v/>
      </c>
      <c r="T397" s="25" t="inlineStr">
        <is>
          <t>How much is condo insurance in Vancouver? | Example costs: Vancouver, Burnaby and Richmond | Strata water and earthquake deductibles | Matching your deductible-assessment limit | Older buildings and leaky-condo history | Compare quotes with a licensed advisor</t>
        </is>
      </c>
      <c r="U397" s="25" t="inlineStr">
        <is>
          <t>What does condo insurance cost in Vancouver? | How high are strata deductibles in Vancouver? | Do I need earthquake coverage on my Vancouver condo? | Why is insurance higher in older strata buildings?</t>
        </is>
      </c>
      <c r="V397" s="25" t="inlineStr">
        <is>
          <t>Dated estimates for Vancouver, Burnaby and Richmond units at three deductible-assessment limits, plus a worked example matching an owner's limit to the strata's water and earthquake deductibles.</t>
        </is>
      </c>
      <c r="W397" s="25" t="inlineStr">
        <is>
          <t>/condo-insurance/british-columbia/vancouver/; /guides/bc-strata-insurance-explained/; /guides/earthquake-insurance-bc/; /condo-insurance/british-columbia/burnaby/</t>
        </is>
      </c>
      <c r="X397" s="25" t="inlineStr">
        <is>
          <t>Instant condo insurance estimate for Vancouver (/quote/condo-insurance/)</t>
        </is>
      </c>
      <c r="Y397" s="36" t="inlineStr">
        <is>
          <t>Article; FAQPage; BreadcrumbList</t>
        </is>
      </c>
      <c r="Z397" s="37" t="n">
        <v>1500</v>
      </c>
      <c r="AA397" s="25" t="inlineStr">
        <is>
          <t>Rates.ca's Vancouver condo page leads with 'Find the Cheapest Rates' and Sonnet has only a BC page; nobody pairs Vancouver costs with strata deductible sizing.</t>
        </is>
      </c>
      <c r="AB397" s="25" t="inlineStr">
        <is>
          <t>Use 'how much is condo insurance in Vancouver' in the H1, slug, meta title, first 100 words and first H2, with a 40–60 word answer giving the dated range and profile. Add the city table and the deductible-matching example; link 'condo insurance in Vancouver' to /condo-insurance/british-columbia/vancouver/ and 'strata insurance' to the BC strata guide; alt text 'Vancouver condo towers at False Creek'. Licensed BC reviewer; cite BCFSA and IBC; refresh quarterly.</t>
        </is>
      </c>
      <c r="AC397" s="25" t="inlineStr">
        <is>
          <t>Label all Vancouver figures as modelled estimates; strata deductible examples are illustrative; cite BCFSA and IBC for market context.</t>
        </is>
      </c>
      <c r="AD397" s="36" t="inlineStr">
        <is>
          <t>Quarterly</t>
        </is>
      </c>
      <c r="AE397" s="38" t="n"/>
      <c r="AF397" s="38" t="n"/>
      <c r="AG397" s="38" t="n"/>
    </row>
    <row r="398" ht="46.25" customHeight="1" s="22">
      <c r="A398" s="36">
        <f>"B"&amp;TEXT(ROW()-1,"0000")</f>
        <v/>
      </c>
      <c r="B398" s="38" t="inlineStr">
        <is>
          <t>Planned</t>
        </is>
      </c>
      <c r="C398" s="36" t="n">
        <v>1</v>
      </c>
      <c r="D398" s="36" t="inlineStr">
        <is>
          <t>Condo insurance</t>
        </is>
      </c>
      <c r="E398" s="36" t="inlineStr">
        <is>
          <t>Personas</t>
        </is>
      </c>
      <c r="F398" s="25" t="inlineStr">
        <is>
          <t>Renting Out Your Condo: The Insurance You Need as a Condo Landlord</t>
        </is>
      </c>
      <c r="G398" s="36" t="inlineStr">
        <is>
          <t>https://instasure.ca/guides/renting-out-your-condo-insurance/</t>
        </is>
      </c>
      <c r="H398" s="36" t="inlineStr">
        <is>
          <t>condo landlord insurance</t>
        </is>
      </c>
      <c r="I398" s="41">
        <f>IFERROR(INDEX('Nationwide KWs'!$D$2:$D$168,MATCH(H398,'Nationwide KWs'!$A$2:$A$168,0)),IFERROR(INDEX('Provincial KWs'!$E$2:$E$137,MATCH(H398,'Provincial KWs'!$A$2:$A$137,0)),IFERROR(INDEX('City KWs'!$F$2:$F$419,MATCH(H398,'City KWs'!$A$2:$A$419,0)),"")))</f>
        <v/>
      </c>
      <c r="J398" s="36" t="inlineStr">
        <is>
          <t>Low</t>
        </is>
      </c>
      <c r="K398" s="25" t="inlineStr">
        <is>
          <t>insurance for renting out condo; condo rental insurance; rented condo unit policy; require tenant insurance condo; loss of rent condo</t>
        </is>
      </c>
      <c r="L398" s="36" t="inlineStr">
        <is>
          <t>Nationwide</t>
        </is>
      </c>
      <c r="M398" s="36" t="inlineStr">
        <is>
          <t>commercial</t>
        </is>
      </c>
      <c r="N398" s="36" t="inlineStr">
        <is>
          <t>BOFU</t>
        </is>
      </c>
      <c r="O398" s="25" t="inlineStr">
        <is>
          <t>Condo Landlord Insurance: Renting Out Your Unit in Canada</t>
        </is>
      </c>
      <c r="P398" s="36">
        <f>LEN(O398)</f>
        <v/>
      </c>
      <c r="Q398" s="25" t="inlineStr">
        <is>
          <t>Condo landlord insurance: why an owner-occupied policy may not cover a rented unit, what a rented-unit policy adds and lease clauses. Ask the condo desk.</t>
        </is>
      </c>
      <c r="R398" s="36">
        <f>LEN(Q398)</f>
        <v/>
      </c>
      <c r="S398" s="36">
        <f>IF(H398="","",IF(ISNUMBER(SEARCH(SUBSTITUTE(H398,"-"," "),SUBSTITUTE(O398,"-"," "))),"Yes","Check"))</f>
        <v/>
      </c>
      <c r="T398" s="25" t="inlineStr">
        <is>
          <t>Do you need different insurance to rent out your condo? | Owner-occupied vs rented-unit policies | Improvements, appliances and furnishings | Loss of rent after an insured loss | Deductible assessments when a tenant causes a leak | Requiring tenant insurance in the lease | Telling your insurer and the corporation</t>
        </is>
      </c>
      <c r="U398" s="25" t="inlineStr">
        <is>
          <t>Do I need landlord insurance for my condo? | Does my condo policy cover me if I rent the unit out? | Who pays the corporation's deductible if my tenant causes a leak? | Can I require my tenant to have tenant insurance?</t>
        </is>
      </c>
      <c r="V398" s="25" t="inlineStr">
        <is>
          <t>Comparison table of owner-occupied condo policy vs rented-unit policy across contents, improvements, rental income, liability and deductible assessment, plus sample lease clauses requiring tenant insurance.</t>
        </is>
      </c>
      <c r="W398" s="25" t="inlineStr">
        <is>
          <t>/condo-insurance/; /landlord-insurance/; /guides/what-does-landlord-insurance-cover/; /guides/airbnb-condo-insurance/</t>
        </is>
      </c>
      <c r="X398" s="25" t="inlineStr">
        <is>
          <t>Request a specialist call: Condo desk (/condo-insurance/)</t>
        </is>
      </c>
      <c r="Y398" s="36" t="inlineStr">
        <is>
          <t>Article; FAQPage; BreadcrumbList</t>
        </is>
      </c>
      <c r="Z398" s="37" t="n">
        <v>1600</v>
      </c>
      <c r="AA398" s="25" t="inlineStr">
        <is>
          <t>The research lists condo-landlord insurance as a product neither Ratehub nor Rates.ca covers; Ratehub's rental-income-property page is generic.</t>
        </is>
      </c>
      <c r="AB398" s="25" t="inlineStr">
        <is>
          <t>Use 'condo landlord insurance' in the H1, slug, meta title, first 100 words and first H2, with a 40–60 word answer on why the policy must change when you rent. Add the comparison table and lease clause box; link 'landlord insurance' to /landlord-insurance/ and 'Airbnb in a condo' to that guide; alt text 'condo owner handing keys to a tenant'. Licensed P&amp;C reviewer; cite insurer wordings and provincial tenancy acts; refresh annually.</t>
        </is>
      </c>
      <c r="AC398" s="25" t="inlineStr">
        <is>
          <t>State that insurers generally need notice of rental use without claiming a universal rule. Label lease clauses as examples, not legal advice, and respect each province's standard lease rules.</t>
        </is>
      </c>
      <c r="AD398" s="36" t="inlineStr">
        <is>
          <t>Annual</t>
        </is>
      </c>
      <c r="AE398" s="38" t="n"/>
      <c r="AF398" s="38" t="n"/>
      <c r="AG398" s="38" t="n"/>
    </row>
    <row r="399" ht="46.25" customHeight="1" s="22">
      <c r="A399" s="36">
        <f>"B"&amp;TEXT(ROW()-1,"0000")</f>
        <v/>
      </c>
      <c r="B399" s="38" t="inlineStr">
        <is>
          <t>Planned</t>
        </is>
      </c>
      <c r="C399" s="36" t="n">
        <v>1</v>
      </c>
      <c r="D399" s="36" t="inlineStr">
        <is>
          <t>Condo insurance</t>
        </is>
      </c>
      <c r="E399" s="36" t="inlineStr">
        <is>
          <t>Regulation</t>
        </is>
      </c>
      <c r="F399" s="25" t="inlineStr">
        <is>
          <t>Strata Insurance in BC: What the Strata Covers and What You Must</t>
        </is>
      </c>
      <c r="G399" s="36" t="inlineStr">
        <is>
          <t>https://instasure.ca/guides/bc-strata-insurance-explained/</t>
        </is>
      </c>
      <c r="H399" s="36" t="inlineStr">
        <is>
          <t>strata insurance bc</t>
        </is>
      </c>
      <c r="I399" s="41">
        <f>IFERROR(INDEX('Nationwide KWs'!$D$2:$D$168,MATCH(H399,'Nationwide KWs'!$A$2:$A$168,0)),IFERROR(INDEX('Provincial KWs'!$E$2:$E$137,MATCH(H399,'Provincial KWs'!$A$2:$A$137,0)),IFERROR(INDEX('City KWs'!$F$2:$F$419,MATCH(H399,'City KWs'!$A$2:$A$419,0)),"")))</f>
        <v/>
      </c>
      <c r="J399" s="36" t="inlineStr">
        <is>
          <t>Low</t>
        </is>
      </c>
      <c r="K399" s="25" t="inlineStr">
        <is>
          <t>what does strata insurance cover; strata property act insurance; strata unit owner insurance; strata deductible charge back; strata insurance increase bc</t>
        </is>
      </c>
      <c r="L399" s="36" t="inlineStr">
        <is>
          <t>Province: British Columbia</t>
        </is>
      </c>
      <c r="M399" s="36" t="inlineStr">
        <is>
          <t>informational</t>
        </is>
      </c>
      <c r="N399" s="36" t="inlineStr">
        <is>
          <t>MOFU</t>
        </is>
      </c>
      <c r="O399" s="25" t="inlineStr">
        <is>
          <t>Strata Insurance in BC: Strata Policy vs Your Unit Policy</t>
        </is>
      </c>
      <c r="P399" s="36">
        <f>LEN(O399)</f>
        <v/>
      </c>
      <c r="Q399" s="25" t="inlineStr">
        <is>
          <t>Strata insurance in BC: what the strata corporation must insure, how deductibles are charged back to owners and the unit cover to match. Get an estimate.</t>
        </is>
      </c>
      <c r="R399" s="36">
        <f>LEN(Q399)</f>
        <v/>
      </c>
      <c r="S399" s="36">
        <f>IF(H399="","",IF(ISNUMBER(SEARCH(SUBSTITUTE(H399,"-"," "),SUBSTITUTE(O399,"-"," "))),"Yes","Check"))</f>
        <v/>
      </c>
      <c r="T399" s="25" t="inlineStr">
        <is>
          <t>Strata insurance in BC: the short answer | What the strata corporation must insure | How strata deductibles are charged back | What your unit owner policy should include | Reading your strata's insurance summary | Earthquake and water deductibles | When to call a licensed advisor</t>
        </is>
      </c>
      <c r="U399" s="25" t="inlineStr">
        <is>
          <t>What does strata insurance cover in BC? | Can my strata charge me its deductible? | How much deductible-assessment coverage do I need in BC? | Why did my strata's insurance go up?</t>
        </is>
      </c>
      <c r="V399" s="25" t="inlineStr">
        <is>
          <t>Strata document checklist (insurance summary, deductible schedule, bylaws, depreciation report) with what to look for in each and how it sets the owner's deductible-assessment limit.</t>
        </is>
      </c>
      <c r="W399" s="25" t="inlineStr">
        <is>
          <t>/condo-insurance/british-columbia/; /guides/condo-insurance-deductible-assessment-explained/; /guides/earthquake-insurance-bc/; /guides/vancouver-strata-insurance-cost/</t>
        </is>
      </c>
      <c r="X399" s="25" t="inlineStr">
        <is>
          <t>Instant condo insurance estimate for BC (/quote/condo-insurance/)</t>
        </is>
      </c>
      <c r="Y399" s="36" t="inlineStr">
        <is>
          <t>Article; FAQPage; BreadcrumbList</t>
        </is>
      </c>
      <c r="Z399" s="37" t="n">
        <v>1700</v>
      </c>
      <c r="AA399" s="25" t="inlineStr">
        <is>
          <t>Sonnet has a BC condo page only; the keyword map shows BC brokers own 'strata insurance deductible bc' and no aggregator explains Strata Property Act duties for owners.</t>
        </is>
      </c>
      <c r="AB399" s="25" t="inlineStr">
        <is>
          <t>Use 'strata insurance BC' in the H1, slug, meta title, first 100 words and first H2, with a 40–60 word answer on the strata's duty and the owner's gap. Add the document checklist table; link 'deductible assessment' to the existing guide and 'earthquake insurance in BC' to that guide; alt text 'Vancouver strata building exterior'. Licensed BC general insurance reviewer; cite the Strata Property Act and BCFSA; refresh on rule change.</t>
        </is>
      </c>
      <c r="AC399" s="25" t="inlineStr">
        <is>
          <t>Verify Strata Property Act sections (s.149 duty to insure; s.158 deductible recovery) and BCFSA guidance. BC has banned strata insurance referral fees since September 4, 2020, so no referral-style CTAs aimed at strata corporations.</t>
        </is>
      </c>
      <c r="AD399" s="36" t="inlineStr">
        <is>
          <t>On rule change</t>
        </is>
      </c>
      <c r="AE399" s="38" t="n"/>
      <c r="AF399" s="38" t="n"/>
      <c r="AG399" s="38" t="n"/>
    </row>
    <row r="400" ht="57.45" customHeight="1" s="22">
      <c r="A400" s="36">
        <f>"B"&amp;TEXT(ROW()-1,"0000")</f>
        <v/>
      </c>
      <c r="B400" s="38" t="inlineStr">
        <is>
          <t>Planned</t>
        </is>
      </c>
      <c r="C400" s="36" t="n">
        <v>2</v>
      </c>
      <c r="D400" s="36" t="inlineStr">
        <is>
          <t>Condo insurance</t>
        </is>
      </c>
      <c r="E400" s="36" t="inlineStr">
        <is>
          <t>Coverage explained</t>
        </is>
      </c>
      <c r="F400" s="25" t="inlineStr">
        <is>
          <t>Condo Improvements and Betterments: How to Insure Your Upgrades</t>
        </is>
      </c>
      <c r="G400" s="36" t="inlineStr">
        <is>
          <t>https://instasure.ca/guides/condo-improvements-and-betterments/</t>
        </is>
      </c>
      <c r="H400" s="36" t="inlineStr">
        <is>
          <t>condo improvements and betterments coverage</t>
        </is>
      </c>
      <c r="I400" s="41">
        <f>IFERROR(INDEX('Nationwide KWs'!$D$2:$D$168,MATCH(H400,'Nationwide KWs'!$A$2:$A$168,0)),IFERROR(INDEX('Provincial KWs'!$E$2:$E$137,MATCH(H400,'Provincial KWs'!$A$2:$A$137,0)),IFERROR(INDEX('City KWs'!$F$2:$F$419,MATCH(H400,'City KWs'!$A$2:$A$419,0)),"")))</f>
        <v/>
      </c>
      <c r="J400" s="36" t="inlineStr">
        <is>
          <t>Low</t>
        </is>
      </c>
      <c r="K400" s="25" t="inlineStr">
        <is>
          <t>standard unit description ontario; condo upgrades insurance; betterments and improvements definition; condo renovation insurance; schedule of finishes condo</t>
        </is>
      </c>
      <c r="L400" s="36" t="inlineStr">
        <is>
          <t>Nationwide</t>
        </is>
      </c>
      <c r="M400" s="36" t="inlineStr">
        <is>
          <t>informational</t>
        </is>
      </c>
      <c r="N400" s="36" t="inlineStr">
        <is>
          <t>MOFU</t>
        </is>
      </c>
      <c r="O400" s="25" t="inlineStr">
        <is>
          <t>Condo Improvements and Betterments Coverage, Explained</t>
        </is>
      </c>
      <c r="P400" s="36">
        <f>LEN(O400)</f>
        <v/>
      </c>
      <c r="Q400" s="25" t="inlineStr">
        <is>
          <t>Condo improvements and betterments coverage: how the standard unit sets what you insure, a worked upgrade example and your limit. Use the calculator.</t>
        </is>
      </c>
      <c r="R400" s="36">
        <f>LEN(Q400)</f>
        <v/>
      </c>
      <c r="S400" s="36">
        <f>IF(H400="","",IF(ISNUMBER(SEARCH(SUBSTITUTE(H400,"-"," "),SUBSTITUTE(O400,"-"," "))),"Yes","Check"))</f>
        <v/>
      </c>
      <c r="T400" s="25" t="inlineStr">
        <is>
          <t>What are improvements and betterments? | How the standard unit or original finishes set the line | Worked example: costing your upgrades | Upgrades made by previous owners | Setting your improvements limit | Keeping records insurers accept</t>
        </is>
      </c>
      <c r="U400" s="25" t="inlineStr">
        <is>
          <t>What counts as an improvement in a condo? | How do I find my building's standard unit description? | Are upgrades by a previous owner my responsibility? | How much improvements coverage do I need?</t>
        </is>
      </c>
      <c r="V400" s="25" t="inlineStr">
        <is>
          <t>Worked example costing upgrades (flooring, kitchen, built-ins, lighting) above a standard-unit schedule, plus a template owners can use to list upgrades with dates and receipts.</t>
        </is>
      </c>
      <c r="W400" s="25" t="inlineStr">
        <is>
          <t>/condo-insurance/; /guides/condo-insurance-deductible-assessment-explained/; /guides/what-does-condo-insurance-cover/; /calculators/tenant-condo-coverage/</t>
        </is>
      </c>
      <c r="X400" s="25" t="inlineStr">
        <is>
          <t>Coverage calculator, then an instant condo estimate (/calculators/tenant-condo-coverage/)</t>
        </is>
      </c>
      <c r="Y400" s="36" t="inlineStr">
        <is>
          <t>Article; FAQPage; BreadcrumbList</t>
        </is>
      </c>
      <c r="Z400" s="37" t="n">
        <v>1500</v>
      </c>
      <c r="AA400" s="25" t="inlineStr">
        <is>
          <t>Sonnet's condo-appliances FAQ and the Instasure deductible guide touch this; no competitor gives an upgrade costing template or explains how to request the standard-unit schedule.</t>
        </is>
      </c>
      <c r="AB400" s="25" t="inlineStr">
        <is>
          <t>Use 'condo improvements and betterments' in the H1, slug, meta title, first 100 words and first H2, with a 40–60 word definition and the standard-unit rule. Add the worked costing table and upgrade log template; link 'improvements and betterments' to /glossary/ from the definition box and 'coverage calculator' to /calculators/tenant-condo-coverage/; alt text 'renovated condo kitchen with upgraded finishes'. Licensed P&amp;C reviewer; cite Ontario e-Laws (Ontario Regulation 48/01) and BC strata guidance; refresh annually.</t>
        </is>
      </c>
      <c r="AC400" s="25" t="inlineStr">
        <is>
          <t>Verify Ontario standard-unit references (Condominium Act, 1998 and O. Reg. 48/01) and BC strata practice; do not imply every corporation has a standard-unit by-law.</t>
        </is>
      </c>
      <c r="AD400" s="36" t="inlineStr">
        <is>
          <t>Annual</t>
        </is>
      </c>
      <c r="AE400" s="38" t="n"/>
      <c r="AF400" s="38" t="n"/>
      <c r="AG400" s="38" t="n"/>
    </row>
    <row r="401" ht="57.45" customHeight="1" s="22">
      <c r="A401" s="36">
        <f>"B"&amp;TEXT(ROW()-1,"0000")</f>
        <v/>
      </c>
      <c r="B401" s="38" t="inlineStr">
        <is>
          <t>Planned</t>
        </is>
      </c>
      <c r="C401" s="36" t="n">
        <v>2</v>
      </c>
      <c r="D401" s="36" t="inlineStr">
        <is>
          <t>Condo insurance</t>
        </is>
      </c>
      <c r="E401" s="36" t="inlineStr">
        <is>
          <t>Coverage explained</t>
        </is>
      </c>
      <c r="F401" s="25" t="inlineStr">
        <is>
          <t>How Much Condo Insurance Do I Need? Set Every Limit</t>
        </is>
      </c>
      <c r="G401" s="36" t="inlineStr">
        <is>
          <t>https://instasure.ca/guides/how-much-condo-insurance-do-i-need/</t>
        </is>
      </c>
      <c r="H401" s="36" t="inlineStr">
        <is>
          <t>how much condo insurance do i need</t>
        </is>
      </c>
      <c r="I401" s="41">
        <f>IFERROR(INDEX('Nationwide KWs'!$D$2:$D$168,MATCH(H401,'Nationwide KWs'!$A$2:$A$168,0)),IFERROR(INDEX('Provincial KWs'!$E$2:$E$137,MATCH(H401,'Provincial KWs'!$A$2:$A$137,0)),IFERROR(INDEX('City KWs'!$F$2:$F$419,MATCH(H401,'City KWs'!$A$2:$A$419,0)),"")))</f>
        <v/>
      </c>
      <c r="J401" s="36" t="inlineStr">
        <is>
          <t>Low</t>
        </is>
      </c>
      <c r="K401" s="25" t="inlineStr">
        <is>
          <t>condo contents coverage amount; condo deductible assessment limit; condo liability limit; condo insurance calculator; condo improvements limit</t>
        </is>
      </c>
      <c r="L401" s="36" t="inlineStr">
        <is>
          <t>Nationwide</t>
        </is>
      </c>
      <c r="M401" s="36" t="inlineStr">
        <is>
          <t>informational</t>
        </is>
      </c>
      <c r="N401" s="36" t="inlineStr">
        <is>
          <t>MOFU</t>
        </is>
      </c>
      <c r="O401" s="25" t="inlineStr">
        <is>
          <t>How Much Condo Insurance Do I Need? Set Every Limit</t>
        </is>
      </c>
      <c r="P401" s="36">
        <f>LEN(O401)</f>
        <v/>
      </c>
      <c r="Q401" s="25" t="inlineStr">
        <is>
          <t>How much condo insurance do you need? Set contents, upgrades, deductible-assessment, liability and living-expense limits with our free coverage calculator.</t>
        </is>
      </c>
      <c r="R401" s="36">
        <f>LEN(Q401)</f>
        <v/>
      </c>
      <c r="S401" s="36">
        <f>IF(H401="","",IF(ISNUMBER(SEARCH(SUBSTITUTE(H401,"-"," "),SUBSTITUTE(O401,"-"," "))),"Yes","Check"))</f>
        <v/>
      </c>
      <c r="T401" s="25" t="inlineStr">
        <is>
          <t>How much condo insurance do you need? | Contents: build a quick inventory | Improvements and betterments | Deductible assessment: match the building's deductibles | Liability: $1 million or $2 million | Additional living expenses | Three worked owner profiles</t>
        </is>
      </c>
      <c r="U401" s="25" t="inlineStr">
        <is>
          <t>How much contents coverage does a condo owner need? | How do I choose a deductible-assessment limit? | Is $1 million liability enough for a condo? | Does a calculator replace advice from an advisor?</t>
        </is>
      </c>
      <c r="V401" s="25" t="inlineStr">
        <is>
          <t>Embedded tenant and condo coverage calculator with three worked owner profiles (downtown studio, renovated two-bedroom, rented-out unit) and the resulting limits.</t>
        </is>
      </c>
      <c r="W401" s="25" t="inlineStr">
        <is>
          <t>/calculators/tenant-condo-coverage/; /condo-insurance/; /guides/condo-improvements-and-betterments/; /guides/condo-insurance-deductible-assessment-explained/</t>
        </is>
      </c>
      <c r="X401" s="25" t="inlineStr">
        <is>
          <t>Coverage calculator, then an instant condo estimate (/calculators/tenant-condo-coverage/)</t>
        </is>
      </c>
      <c r="Y401" s="36" t="inlineStr">
        <is>
          <t>Article; FAQPage; BreadcrumbList</t>
        </is>
      </c>
      <c r="Z401" s="37" t="n">
        <v>1400</v>
      </c>
      <c r="AA401" s="25" t="inlineStr">
        <is>
          <t>Ratehub has how-much-condo-insurance-do-you-actually-need but no calculator; Rates.ca and Sonnet offer none.</t>
        </is>
      </c>
      <c r="AB401" s="25" t="inlineStr">
        <is>
          <t>Use 'how much condo insurance do I need' in the H1, slug, meta title, first 100 words and first H2, with a 40–60 word answer listing the five limits. Embed the calculator above the fold and add the three-profile table; link 'coverage calculator' to /calculators/tenant-condo-coverage/ and 'deductible assessment' to the existing guide; alt text 'condo coverage calculator results'. Licensed P&amp;C reviewer; cite insurer guidance; refresh annually.</t>
        </is>
      </c>
      <c r="AC401" s="25" t="inlineStr">
        <is>
          <t>Label calculator output as a guide, not advice; have a licensed advisor confirm the default liability suggestions.</t>
        </is>
      </c>
      <c r="AD401" s="36" t="inlineStr">
        <is>
          <t>Annual</t>
        </is>
      </c>
      <c r="AE401" s="38" t="n"/>
      <c r="AF401" s="38" t="n"/>
      <c r="AG401" s="38" t="n"/>
    </row>
    <row r="402" ht="57.45" customHeight="1" s="22">
      <c r="A402" s="36">
        <f>"B"&amp;TEXT(ROW()-1,"0000")</f>
        <v/>
      </c>
      <c r="B402" s="38" t="inlineStr">
        <is>
          <t>Planned</t>
        </is>
      </c>
      <c r="C402" s="36" t="n">
        <v>2</v>
      </c>
      <c r="D402" s="36" t="inlineStr">
        <is>
          <t>Condo insurance</t>
        </is>
      </c>
      <c r="E402" s="36" t="inlineStr">
        <is>
          <t>Local (city/province)</t>
        </is>
      </c>
      <c r="F402" s="25" t="inlineStr">
        <is>
          <t>How Much Is Condo Insurance in Toronto? Costs by Building and Area</t>
        </is>
      </c>
      <c r="G402" s="36" t="inlineStr">
        <is>
          <t>https://instasure.ca/guides/condo-insurance-cost-toronto/</t>
        </is>
      </c>
      <c r="H402" s="36" t="inlineStr">
        <is>
          <t>how much is condo insurance in toronto</t>
        </is>
      </c>
      <c r="I402" s="41">
        <f>IFERROR(INDEX('Nationwide KWs'!$D$2:$D$168,MATCH(H402,'Nationwide KWs'!$A$2:$A$168,0)),IFERROR(INDEX('Provincial KWs'!$E$2:$E$137,MATCH(H402,'Provincial KWs'!$A$2:$A$137,0)),IFERROR(INDEX('City KWs'!$F$2:$F$419,MATCH(H402,'City KWs'!$A$2:$A$419,0)),"")))</f>
        <v/>
      </c>
      <c r="J402" s="36" t="inlineStr">
        <is>
          <t>Low</t>
        </is>
      </c>
      <c r="K402" s="25" t="inlineStr">
        <is>
          <t>condo insurance toronto; average condo insurance toronto; downtown toronto condo insurance; north york condo insurance; toronto condo deductible</t>
        </is>
      </c>
      <c r="L402" s="36" t="inlineStr">
        <is>
          <t>City: Toronto, ON</t>
        </is>
      </c>
      <c r="M402" s="36" t="inlineStr">
        <is>
          <t>local</t>
        </is>
      </c>
      <c r="N402" s="36" t="inlineStr">
        <is>
          <t>BOFU</t>
        </is>
      </c>
      <c r="O402" s="25" t="inlineStr">
        <is>
          <t>How Much Is Condo Insurance in Toronto? Costs by Area</t>
        </is>
      </c>
      <c r="P402" s="36">
        <f>LEN(O402)</f>
        <v/>
      </c>
      <c r="Q402" s="25" t="inlineStr">
        <is>
          <t>How much is condo insurance in Toronto? Dated estimates for downtown, North York and Scarborough units, high-rise water claims and limits. Get an estimate.</t>
        </is>
      </c>
      <c r="R402" s="36">
        <f>LEN(Q402)</f>
        <v/>
      </c>
      <c r="S402" s="36">
        <f>IF(H402="","",IF(ISNUMBER(SEARCH(SUBSTITUTE(H402,"-"," "),SUBSTITUTE(O402,"-"," "))),"Yes","Check"))</f>
        <v/>
      </c>
      <c r="T402" s="25" t="inlineStr">
        <is>
          <t>How much is condo insurance in Toronto? | Example costs by area and unit type | Why high-rise water claims drive price | Deductible-assessment limits in Toronto buildings | New towers vs older buildings | Compare quotes with a licensed advisor</t>
        </is>
      </c>
      <c r="U402" s="25" t="inlineStr">
        <is>
          <t>What does condo insurance cost in Toronto? | Is condo insurance more expensive downtown? | How high are Toronto condo building deductibles? | Do new condo towers cost less to insure?</t>
        </is>
      </c>
      <c r="V402" s="25" t="inlineStr">
        <is>
          <t>Dated estimate table by area (downtown core, North York, Etobicoke, Scarborough) and unit type, with Rates.ca's published downtown figure shown separately and sourced.</t>
        </is>
      </c>
      <c r="W402" s="25" t="inlineStr">
        <is>
          <t>/condo-insurance/ontario/toronto/; /insurance/ontario/toronto/; /guides/condo-water-leak-who-pays/; /guides/interim-occupancy-condo-insurance-ontario/</t>
        </is>
      </c>
      <c r="X402" s="25" t="inlineStr">
        <is>
          <t>Instant condo insurance estimate for Toronto (/quote/condo-insurance/)</t>
        </is>
      </c>
      <c r="Y402" s="36" t="inlineStr">
        <is>
          <t>Article; FAQPage; BreadcrumbList</t>
        </is>
      </c>
      <c r="Z402" s="37" t="n">
        <v>1500</v>
      </c>
      <c r="AA402" s="25" t="inlineStr">
        <is>
          <t>Rates.ca ('The Best Condo Insurance Quotes in Toronto') and Sonnet hold the SERP; Ratehub has no condo city pages and nobody breaks Toronto down by area.</t>
        </is>
      </c>
      <c r="AB402" s="25" t="inlineStr">
        <is>
          <t>Use 'how much is condo insurance in Toronto' in the H1, slug, meta title, first 100 words and first H2, with a 40–60 word answer giving the dated range and profile. Add the area table and a building-deductible note; link 'condo insurance in Toronto' to /condo-insurance/ontario/toronto/ and 'leak from the unit above' to that guide; alt text 'downtown Toronto condo towers'. Licensed Ontario P&amp;C reviewer; cite the Instasure Rate Index and attributed competitor data; refresh quarterly.</t>
        </is>
      </c>
      <c r="AC402" s="25" t="inlineStr">
        <is>
          <t>Verify Rates.ca's downtown Toronto $748 figure and its date before quoting; label Instasure area estimates as modelled; no 'best' wording.</t>
        </is>
      </c>
      <c r="AD402" s="36" t="inlineStr">
        <is>
          <t>Quarterly</t>
        </is>
      </c>
      <c r="AE402" s="38" t="n"/>
      <c r="AF402" s="38" t="n"/>
      <c r="AG402" s="38" t="n"/>
    </row>
    <row r="403" ht="57.45" customHeight="1" s="22">
      <c r="A403" s="36">
        <f>"B"&amp;TEXT(ROW()-1,"0000")</f>
        <v/>
      </c>
      <c r="B403" s="38" t="inlineStr">
        <is>
          <t>Planned</t>
        </is>
      </c>
      <c r="C403" s="36" t="n">
        <v>2</v>
      </c>
      <c r="D403" s="36" t="inlineStr">
        <is>
          <t>Condo insurance</t>
        </is>
      </c>
      <c r="E403" s="36" t="inlineStr">
        <is>
          <t>Personas</t>
        </is>
      </c>
      <c r="F403" s="25" t="inlineStr">
        <is>
          <t>Condo Insurance for First-Time Buyers: What to Check Before Closing</t>
        </is>
      </c>
      <c r="G403" s="36" t="inlineStr">
        <is>
          <t>https://instasure.ca/guides/condo-insurance-first-time-buyers/</t>
        </is>
      </c>
      <c r="H403" s="36" t="inlineStr">
        <is>
          <t>condo insurance for first time buyers</t>
        </is>
      </c>
      <c r="I403" s="41">
        <f>IFERROR(INDEX('Nationwide KWs'!$D$2:$D$168,MATCH(H403,'Nationwide KWs'!$A$2:$A$168,0)),IFERROR(INDEX('Provincial KWs'!$E$2:$E$137,MATCH(H403,'Provincial KWs'!$A$2:$A$137,0)),IFERROR(INDEX('City KWs'!$F$2:$F$419,MATCH(H403,'City KWs'!$A$2:$A$419,0)),"")))</f>
        <v/>
      </c>
      <c r="J403" s="36" t="inlineStr">
        <is>
          <t>Low</t>
        </is>
      </c>
      <c r="K403" s="25" t="inlineStr">
        <is>
          <t>do i need condo insurance before closing; condo status certificate insurance; condo insurance mortgage requirement; buying a condo insurance checklist; form b strata insurance</t>
        </is>
      </c>
      <c r="L403" s="36" t="inlineStr">
        <is>
          <t>Nationwide</t>
        </is>
      </c>
      <c r="M403" s="36" t="inlineStr">
        <is>
          <t>transactional</t>
        </is>
      </c>
      <c r="N403" s="36" t="inlineStr">
        <is>
          <t>BOFU</t>
        </is>
      </c>
      <c r="O403" s="25" t="inlineStr">
        <is>
          <t>Condo Insurance for First-Time Buyers: Closing Checklist</t>
        </is>
      </c>
      <c r="P403" s="36">
        <f>LEN(O403)</f>
        <v/>
      </c>
      <c r="Q403" s="25" t="inlineStr">
        <is>
          <t>Condo insurance for first-time buyers: what to read in the status certificate or strata papers, limits to set and lender proof at closing. Get an estimate.</t>
        </is>
      </c>
      <c r="R403" s="36">
        <f>LEN(Q403)</f>
        <v/>
      </c>
      <c r="S403" s="36">
        <f>IF(H403="","",IF(ISNUMBER(SEARCH(SUBSTITUTE(H403,"-"," "),SUBSTITUTE(O403,"-"," "))),"Yes","Check"))</f>
        <v/>
      </c>
      <c r="T403" s="25" t="inlineStr">
        <is>
          <t>Condo insurance for first-time buyers: the short answer | Documents to read before you firm up | The building's deductibles and what they mean for you | Setting your limits | What your lender and lawyer need | Key-day checklist</t>
        </is>
      </c>
      <c r="U403" s="25" t="inlineStr">
        <is>
          <t>When should I buy condo insurance when purchasing a unit? | What should I look for in a status certificate about insurance? | Does my lender require condo insurance? | How much condo insurance does a first-time buyer need?</t>
        </is>
      </c>
      <c r="V403" s="25" t="inlineStr">
        <is>
          <t>Pre-closing checklist mapping each document (Ontario status certificate, BC Form B and strata insurance summary) to the insurance decision it drives, with a limit-setting worksheet.</t>
        </is>
      </c>
      <c r="W403" s="25" t="inlineStr">
        <is>
          <t>/condo-insurance/; /guides/condo-insurance-deductible-assessment-explained/; /guides/how-much-condo-insurance-do-i-need/; /mortgage-life-insurance/</t>
        </is>
      </c>
      <c r="X403" s="25" t="inlineStr">
        <is>
          <t>Instant condo insurance estimate (/quote/condo-insurance/)</t>
        </is>
      </c>
      <c r="Y403" s="36" t="inlineStr">
        <is>
          <t>Article; FAQPage; BreadcrumbList</t>
        </is>
      </c>
      <c r="Z403" s="37" t="n">
        <v>1500</v>
      </c>
      <c r="AA403" s="25" t="inlineStr">
        <is>
          <t>Sonnet's buying-condo-pros-cons and Ratehub's insurance-for-condo-vs-house cover buying in general; none maps closing documents to insurance limits.</t>
        </is>
      </c>
      <c r="AB403" s="25" t="inlineStr">
        <is>
          <t>Use 'condo insurance for first-time buyers' in the H1, slug, meta title, first 100 words and first H2, with a 40–60 word answer on timing and the three limits to set. Add the document-to-decision table; link 'how much condo insurance' to the sizing guide and 'mortgage protection' to /mortgage-life-insurance/; alt text 'first-time buyer reviewing condo documents'. Licensed P&amp;C reviewer, life-licensed reviewer for the mortgage note; cite CAO and BC strata guidance; refresh annually.</t>
        </is>
      </c>
      <c r="AC403" s="25" t="inlineStr">
        <is>
          <t>Verify document names (Ontario status certificate, BC Form B). Mention mortgage protection only with a route to life-licensed advice.</t>
        </is>
      </c>
      <c r="AD403" s="36" t="inlineStr">
        <is>
          <t>Annual</t>
        </is>
      </c>
      <c r="AE403" s="38" t="n"/>
      <c r="AF403" s="38" t="n"/>
      <c r="AG403" s="38" t="n"/>
    </row>
    <row r="404" ht="57.45" customHeight="1" s="22">
      <c r="A404" s="36">
        <f>"B"&amp;TEXT(ROW()-1,"0000")</f>
        <v/>
      </c>
      <c r="B404" s="38" t="inlineStr">
        <is>
          <t>Planned</t>
        </is>
      </c>
      <c r="C404" s="36" t="n">
        <v>2</v>
      </c>
      <c r="D404" s="36" t="inlineStr">
        <is>
          <t>Condo insurance</t>
        </is>
      </c>
      <c r="E404" s="36" t="inlineStr">
        <is>
          <t>Regulation</t>
        </is>
      </c>
      <c r="F404" s="25" t="inlineStr">
        <is>
          <t>Insurance During Interim Occupancy of a New Condo in Ontario</t>
        </is>
      </c>
      <c r="G404" s="36" t="inlineStr">
        <is>
          <t>https://instasure.ca/guides/interim-occupancy-condo-insurance-ontario/</t>
        </is>
      </c>
      <c r="H404" s="36" t="inlineStr">
        <is>
          <t>interim occupancy insurance</t>
        </is>
      </c>
      <c r="I404" s="41">
        <f>IFERROR(INDEX('Nationwide KWs'!$D$2:$D$168,MATCH(H404,'Nationwide KWs'!$A$2:$A$168,0)),IFERROR(INDEX('Provincial KWs'!$E$2:$E$137,MATCH(H404,'Provincial KWs'!$A$2:$A$137,0)),IFERROR(INDEX('City KWs'!$F$2:$F$419,MATCH(H404,'City KWs'!$A$2:$A$419,0)),"")))</f>
        <v/>
      </c>
      <c r="J404" s="36" t="inlineStr">
        <is>
          <t>Niche</t>
        </is>
      </c>
      <c r="K404" s="25" t="inlineStr">
        <is>
          <t>occupancy fee condo insurance; pre-construction condo insurance; new condo insurance before registration; insurance during condo occupancy period; new build condo insurance ontario</t>
        </is>
      </c>
      <c r="L404" s="36" t="inlineStr">
        <is>
          <t>Province: Ontario</t>
        </is>
      </c>
      <c r="M404" s="36" t="inlineStr">
        <is>
          <t>informational</t>
        </is>
      </c>
      <c r="N404" s="36" t="inlineStr">
        <is>
          <t>BOFU</t>
        </is>
      </c>
      <c r="O404" s="25" t="inlineStr">
        <is>
          <t>Interim Occupancy Insurance for New Ontario Condos</t>
        </is>
      </c>
      <c r="P404" s="36">
        <f>LEN(O404)</f>
        <v/>
      </c>
      <c r="Q404" s="25" t="inlineStr">
        <is>
          <t>Interim occupancy insurance for new Ontario condos: why you need a policy before registration, what the builder covers and when to switch. Get a quote.</t>
        </is>
      </c>
      <c r="R404" s="36">
        <f>LEN(Q404)</f>
        <v/>
      </c>
      <c r="S404" s="36">
        <f>IF(H404="","",IF(ISNUMBER(SEARCH(SUBSTITUTE(H404,"-"," "),SUBSTITUTE(O404,"-"," "))),"Yes","Check"))</f>
        <v/>
      </c>
      <c r="T404" s="25" t="inlineStr">
        <is>
          <t>Do you need insurance during interim occupancy? | What interim occupancy means | What the builder's insurance covers | The policy to buy while you occupy | Switching to a unit owner policy at final closing | Upgrades from the builder and your limits</t>
        </is>
      </c>
      <c r="U404" s="25" t="inlineStr">
        <is>
          <t>Do I need insurance during interim occupancy in Ontario? | Is interim occupancy insurance a tenant or condo policy? | What does the builder's insurance cover before registration? | When do I switch to a regular condo policy?</t>
        </is>
      </c>
      <c r="V404" s="25" t="inlineStr">
        <is>
          <t>Timeline from occupancy date to registration to final closing, showing what the builder's policy, the occupancy-period policy and the later unit owner policy each cover.</t>
        </is>
      </c>
      <c r="W404" s="25" t="inlineStr">
        <is>
          <t>/condo-insurance/ontario/; /condo-insurance/ontario/toronto/; /guides/condo-insurance-first-time-buyers/; /tenant-insurance/ontario/</t>
        </is>
      </c>
      <c r="X404" s="25" t="inlineStr">
        <is>
          <t>Instant condo insurance estimate (/quote/condo-insurance/)</t>
        </is>
      </c>
      <c r="Y404" s="36" t="inlineStr">
        <is>
          <t>Article; FAQPage; BreadcrumbList</t>
        </is>
      </c>
      <c r="Z404" s="37" t="n">
        <v>1200</v>
      </c>
      <c r="AA404" s="25" t="inlineStr">
        <is>
          <t>No competitor coverage seen; GTA pre-construction buyers have no aggregator guide on occupancy-period insurance.</t>
        </is>
      </c>
      <c r="AB404" s="25" t="inlineStr">
        <is>
          <t>Use 'interim occupancy insurance' in the H1, slug, meta title, first 100 words and first H2, with a 40–60 word answer on why a policy is needed before registration. Add the three-stage timeline table; link 'condo insurance in Ontario' to /condo-insurance/ontario/ and 'first-time buyers' to the closing checklist; alt text 'new condo tower nearing completion in Toronto'. Licensed Ontario P&amp;C reviewer; cite Tarion and builder agreement norms; refresh annually.</t>
        </is>
      </c>
      <c r="AC404" s="25" t="inlineStr">
        <is>
          <t>Verify how insurers write interim occupancy (often a tenant-style policy) and any Tarion references; avoid legal advice on purchase agreements.</t>
        </is>
      </c>
      <c r="AD404" s="36" t="inlineStr">
        <is>
          <t>Annual</t>
        </is>
      </c>
      <c r="AE404" s="38" t="n"/>
      <c r="AF404" s="38" t="n"/>
      <c r="AG404" s="38" t="n"/>
    </row>
    <row r="405" ht="57.45" customHeight="1" s="22">
      <c r="A405" s="36">
        <f>"B"&amp;TEXT(ROW()-1,"0000")</f>
        <v/>
      </c>
      <c r="B405" s="38" t="inlineStr">
        <is>
          <t>Planned</t>
        </is>
      </c>
      <c r="C405" s="36" t="n">
        <v>2</v>
      </c>
      <c r="D405" s="36" t="inlineStr">
        <is>
          <t>Condo insurance</t>
        </is>
      </c>
      <c r="E405" s="36" t="inlineStr">
        <is>
          <t>Regulation</t>
        </is>
      </c>
      <c r="F405" s="25" t="inlineStr">
        <is>
          <t>Ontario Condo Insurance Rules: What the Condominium Act Requires</t>
        </is>
      </c>
      <c r="G405" s="36" t="inlineStr">
        <is>
          <t>https://instasure.ca/guides/ontario-condominium-act-insurance-requirements/</t>
        </is>
      </c>
      <c r="H405" s="36" t="inlineStr">
        <is>
          <t>ontario condominium act insurance</t>
        </is>
      </c>
      <c r="I405" s="41">
        <f>IFERROR(INDEX('Nationwide KWs'!$D$2:$D$168,MATCH(H405,'Nationwide KWs'!$A$2:$A$168,0)),IFERROR(INDEX('Provincial KWs'!$E$2:$E$137,MATCH(H405,'Provincial KWs'!$A$2:$A$137,0)),IFERROR(INDEX('City KWs'!$F$2:$F$419,MATCH(H405,'City KWs'!$A$2:$A$419,0)),"")))</f>
        <v/>
      </c>
      <c r="J405" s="36" t="inlineStr">
        <is>
          <t>Low</t>
        </is>
      </c>
      <c r="K405" s="25" t="inlineStr">
        <is>
          <t>condo insurance ontario; condo corporation insurance obligations ontario; condo by-law requiring unit insurance; condo deductible charge back ontario; condo authority of ontario insurance</t>
        </is>
      </c>
      <c r="L405" s="36" t="inlineStr">
        <is>
          <t>Province: Ontario</t>
        </is>
      </c>
      <c r="M405" s="36" t="inlineStr">
        <is>
          <t>informational</t>
        </is>
      </c>
      <c r="N405" s="36" t="inlineStr">
        <is>
          <t>MOFU</t>
        </is>
      </c>
      <c r="O405" s="25" t="inlineStr">
        <is>
          <t>Ontario Condominium Act Insurance Rules for Unit Owners</t>
        </is>
      </c>
      <c r="P405" s="36">
        <f>LEN(O405)</f>
        <v/>
      </c>
      <c r="Q405" s="25" t="inlineStr">
        <is>
          <t>Ontario Condominium Act insurance rules: what the corporation must insure, when deductibles are charged back and by-laws on owner policies. Check yours.</t>
        </is>
      </c>
      <c r="R405" s="36">
        <f>LEN(Q405)</f>
        <v/>
      </c>
      <c r="S405" s="36">
        <f>IF(H405="","",IF(ISNUMBER(SEARCH(SUBSTITUTE(H405,"-"," "),SUBSTITUTE(O405,"-"," "))),"Yes","Check"))</f>
        <v/>
      </c>
      <c r="T405" s="25" t="inlineStr">
        <is>
          <t>What the Condominium Act says about insurance | What the corporation must insure | Deductible charge-backs to owners | Standard unit by-laws | By-laws that require owners to insure | Where to read your corporation's documents | What it means for your policy</t>
        </is>
      </c>
      <c r="U405" s="25" t="inlineStr">
        <is>
          <t>Does the Ontario Condominium Act require me to have condo insurance? | When can my condo corporation charge me its deductible? | What is a standard unit by-law? | Where do I find my building's insurance certificate?</t>
        </is>
      </c>
      <c r="V405" s="25" t="inlineStr">
        <is>
          <t>Plain-language map of the Act's insurance sections (duty to insure, deductible charge-backs, standard unit) to what each means for an owner's policy, with links to e-Laws and the Condominium Authority of Ontario.</t>
        </is>
      </c>
      <c r="W405" s="25" t="inlineStr">
        <is>
          <t>/condo-insurance/ontario/; /guides/condo-insurance-deductible-assessment-explained/; /guides/condo-improvements-and-betterments/; /condo-insurance/ontario/toronto/</t>
        </is>
      </c>
      <c r="X405" s="25" t="inlineStr">
        <is>
          <t>Request a specialist call: Condo desk (/condo-insurance/)</t>
        </is>
      </c>
      <c r="Y405" s="36" t="inlineStr">
        <is>
          <t>Article; FAQPage; BreadcrumbList</t>
        </is>
      </c>
      <c r="Z405" s="37" t="n">
        <v>1600</v>
      </c>
      <c r="AA405" s="25" t="inlineStr">
        <is>
          <t>No competitor explains the Act's insurance sections for owners; Sonnet and Ratehub treat Ontario condo insurance as a product page only.</t>
        </is>
      </c>
      <c r="AB405" s="25" t="inlineStr">
        <is>
          <t>Use 'Ontario Condominium Act insurance' in the H1, slug, meta title, first 100 words and first H2, with a 40–60 word answer on the corporation's duty and the owner's share. Add the section-to-owner map table; link 'condo insurance in Ontario' to /condo-insurance/ontario/ and 'deductible assessment' to the existing guide; alt text 'Ontario condo tower with residents' entrance'. Licensed Ontario P&amp;C reviewer; cite e-Laws and the CAO; refresh on any amendment.</t>
        </is>
      </c>
      <c r="AC405" s="25" t="inlineStr">
        <is>
          <t>Verify section numbers and wording (for example s.99 insurance and s.105 deductibles) against Ontario e-Laws and CAO guidance; summarise without giving legal advice.</t>
        </is>
      </c>
      <c r="AD405" s="36" t="inlineStr">
        <is>
          <t>On rule change</t>
        </is>
      </c>
      <c r="AE405" s="38" t="n"/>
      <c r="AF405" s="38" t="n"/>
      <c r="AG405" s="38" t="n"/>
    </row>
    <row r="406" ht="57.45" customHeight="1" s="22">
      <c r="A406" s="36">
        <f>"B"&amp;TEXT(ROW()-1,"0000")</f>
        <v/>
      </c>
      <c r="B406" s="38" t="inlineStr">
        <is>
          <t>Planned</t>
        </is>
      </c>
      <c r="C406" s="36" t="n">
        <v>3</v>
      </c>
      <c r="D406" s="36" t="inlineStr">
        <is>
          <t>Condo insurance</t>
        </is>
      </c>
      <c r="E406" s="36" t="inlineStr">
        <is>
          <t>Comparisons</t>
        </is>
      </c>
      <c r="F406" s="25" t="inlineStr">
        <is>
          <t>Condo Townhouse vs Freehold Townhouse: Which Insurance Do You Need?</t>
        </is>
      </c>
      <c r="G406" s="36" t="inlineStr">
        <is>
          <t>https://instasure.ca/guides/condo-townhouse-insurance/</t>
        </is>
      </c>
      <c r="H406" s="36" t="inlineStr">
        <is>
          <t>condo townhouse insurance</t>
        </is>
      </c>
      <c r="I406" s="41">
        <f>IFERROR(INDEX('Nationwide KWs'!$D$2:$D$168,MATCH(H406,'Nationwide KWs'!$A$2:$A$168,0)),IFERROR(INDEX('Provincial KWs'!$E$2:$E$137,MATCH(H406,'Provincial KWs'!$A$2:$A$137,0)),IFERROR(INDEX('City KWs'!$F$2:$F$419,MATCH(H406,'City KWs'!$A$2:$A$419,0)),"")))</f>
        <v/>
      </c>
      <c r="J406" s="36" t="inlineStr">
        <is>
          <t>Low</t>
        </is>
      </c>
      <c r="K406" s="25" t="inlineStr">
        <is>
          <t>freehold townhouse insurance; townhouse insurance canada; potl insurance ontario; common element condo insurance; bare land strata insurance</t>
        </is>
      </c>
      <c r="L406" s="36" t="inlineStr">
        <is>
          <t>Nationwide</t>
        </is>
      </c>
      <c r="M406" s="36" t="inlineStr">
        <is>
          <t>informational</t>
        </is>
      </c>
      <c r="N406" s="36" t="inlineStr">
        <is>
          <t>MOFU</t>
        </is>
      </c>
      <c r="O406" s="25" t="inlineStr">
        <is>
          <t>Condo Townhouse Insurance vs Freehold: Which Do You Need?</t>
        </is>
      </c>
      <c r="P406" s="36">
        <f>LEN(O406)</f>
        <v/>
      </c>
      <c r="Q406" s="25" t="inlineStr">
        <is>
          <t>Condo townhouse insurance vs freehold: how ownership type (standard, POTL, bare land strata) decides who insures the roof and walls. Find your policy type.</t>
        </is>
      </c>
      <c r="R406" s="36">
        <f>LEN(Q406)</f>
        <v/>
      </c>
      <c r="S406" s="36">
        <f>IF(H406="","",IF(ISNUMBER(SEARCH(SUBSTITUTE(H406,"-"," "),SUBSTITUTE(O406,"-"," "))),"Yes","Check"))</f>
        <v/>
      </c>
      <c r="T406" s="25" t="inlineStr">
        <is>
          <t>Condo townhouse or freehold: why it matters for insurance | Freehold townhouses | Standard condo townhouses | Common element condos and POTLs | Bare land strata in BC | Decision table: who insures the structure | Questions to ask before you buy</t>
        </is>
      </c>
      <c r="U406" s="25" t="inlineStr">
        <is>
          <t>Do I need home or condo insurance for a townhouse? | What is a POTL and how is it insured? | Who insures the roof in a condo townhouse? | What is bare land strata insurance?</t>
        </is>
      </c>
      <c r="V406" s="25" t="inlineStr">
        <is>
          <t>Decision table by ownership type (freehold, standard condo townhouse, POTL or common element condo, BC bare land strata) showing who insures the structure and which policy form the owner buys.</t>
        </is>
      </c>
      <c r="W406" s="25" t="inlineStr">
        <is>
          <t>/condo-insurance/; /home-insurance/; /guides/condo-vs-strata-vs-co-op-insurance/; /guides/what-does-condo-insurance-cover/</t>
        </is>
      </c>
      <c r="X406" s="25" t="inlineStr">
        <is>
          <t>Instant condo insurance estimate (/quote/condo-insurance/)</t>
        </is>
      </c>
      <c r="Y406" s="36" t="inlineStr">
        <is>
          <t>Article; FAQPage; BreadcrumbList</t>
        </is>
      </c>
      <c r="Z406" s="37" t="n">
        <v>1300</v>
      </c>
      <c r="AA406" s="25" t="inlineStr">
        <is>
          <t>No competitor coverage seen in the research for townhouse ownership types.</t>
        </is>
      </c>
      <c r="AB406" s="25" t="inlineStr">
        <is>
          <t>Use 'condo townhouse insurance' in the H1, slug, meta title, first 100 words and first H2, with a 40–60 word answer that ownership type, not building shape, sets the policy. Lead with the decision table; link 'condo vs strata' to the terms guide and 'home insurance' to /home-insurance/; alt text 'row of townhouses with shared roofs'. Licensed P&amp;C reviewer; cite the Ontario Condominium Act and BC Strata Property Act; refresh annually.</t>
        </is>
      </c>
      <c r="AC406" s="25" t="inlineStr">
        <is>
          <t>Verify Ontario condo types (standard, common elements, phased, vacant land) and BC bare land strata definitions; tell owners to confirm with their declaration or bylaws.</t>
        </is>
      </c>
      <c r="AD406" s="36" t="inlineStr">
        <is>
          <t>Annual</t>
        </is>
      </c>
      <c r="AE406" s="38" t="n"/>
      <c r="AF406" s="38" t="n"/>
      <c r="AG406" s="38" t="n"/>
    </row>
    <row r="407" ht="57.45" customHeight="1" s="22">
      <c r="A407" s="36">
        <f>"B"&amp;TEXT(ROW()-1,"0000")</f>
        <v/>
      </c>
      <c r="B407" s="38" t="inlineStr">
        <is>
          <t>Planned</t>
        </is>
      </c>
      <c r="C407" s="36" t="n">
        <v>3</v>
      </c>
      <c r="D407" s="36" t="inlineStr">
        <is>
          <t>Condo insurance</t>
        </is>
      </c>
      <c r="E407" s="36" t="inlineStr">
        <is>
          <t>Exclusions</t>
        </is>
      </c>
      <c r="F407" s="25" t="inlineStr">
        <is>
          <t>Does Condo Insurance Cover Special Assessments? Loss vs Levy</t>
        </is>
      </c>
      <c r="G407" s="36" t="inlineStr">
        <is>
          <t>https://instasure.ca/guides/condo-special-assessment-insurance/</t>
        </is>
      </c>
      <c r="H407" s="36" t="inlineStr">
        <is>
          <t>does condo insurance cover special assessments</t>
        </is>
      </c>
      <c r="I407" s="41">
        <f>IFERROR(INDEX('Nationwide KWs'!$D$2:$D$168,MATCH(H407,'Nationwide KWs'!$A$2:$A$168,0)),IFERROR(INDEX('Provincial KWs'!$E$2:$E$137,MATCH(H407,'Provincial KWs'!$A$2:$A$137,0)),IFERROR(INDEX('City KWs'!$F$2:$F$419,MATCH(H407,'City KWs'!$A$2:$A$419,0)),"")))</f>
        <v/>
      </c>
      <c r="J407" s="36" t="inlineStr">
        <is>
          <t>Niche</t>
        </is>
      </c>
      <c r="K407" s="25" t="inlineStr">
        <is>
          <t>loss assessment coverage condo; special levy strata insurance; condo special assessment repairs; reserve fund shortfall insurance; loss assessment vs deductible assessment</t>
        </is>
      </c>
      <c r="L407" s="36" t="inlineStr">
        <is>
          <t>Nationwide</t>
        </is>
      </c>
      <c r="M407" s="36" t="inlineStr">
        <is>
          <t>informational</t>
        </is>
      </c>
      <c r="N407" s="36" t="inlineStr">
        <is>
          <t>MOFU</t>
        </is>
      </c>
      <c r="O407" s="25" t="inlineStr">
        <is>
          <t>Does Condo Insurance Cover Special Assessments? Explained</t>
        </is>
      </c>
      <c r="P407" s="36">
        <f>LEN(O407)</f>
        <v/>
      </c>
      <c r="Q407" s="25" t="inlineStr">
        <is>
          <t>Does condo insurance cover special assessments? Loss assessment pays for insured losses, not repairs or reserve shortfalls. See which levies are covered.</t>
        </is>
      </c>
      <c r="R407" s="36">
        <f>LEN(Q407)</f>
        <v/>
      </c>
      <c r="S407" s="36">
        <f>IF(H407="","",IF(ISNUMBER(SEARCH(SUBSTITUTE(H407,"-"," "),SUBSTITUTE(O407,"-"," "))),"Yes","Check"))</f>
        <v/>
      </c>
      <c r="T407" s="25" t="inlineStr">
        <is>
          <t>Does condo insurance cover special assessments? | Loss assessment vs deductible assessment | Assessments for insured losses | Assessments for repairs and reserve shortfalls | Legal and liability assessments | How to size loss-assessment coverage</t>
        </is>
      </c>
      <c r="U407" s="25" t="inlineStr">
        <is>
          <t>Will my condo insurance pay a special assessment for a new roof? | What is loss assessment coverage? | Is a strata special levy covered by insurance? | How much loss assessment coverage should I have?</t>
        </is>
      </c>
      <c r="V407" s="25" t="inlineStr">
        <is>
          <t>Table separating special assessments by cause (insured loss above the master limit, master deductible, uninsured repair, reserve shortfall, legal costs) and whether loss-assessment coverage typically responds.</t>
        </is>
      </c>
      <c r="W407" s="25" t="inlineStr">
        <is>
          <t>/condo-insurance/; /guides/condo-insurance-deductible-assessment-explained/; /guides/what-does-condo-insurance-cover/; /guides/bc-strata-insurance-explained/</t>
        </is>
      </c>
      <c r="X407" s="25" t="inlineStr">
        <is>
          <t>Instant condo insurance estimate (/quote/condo-insurance/)</t>
        </is>
      </c>
      <c r="Y407" s="36" t="inlineStr">
        <is>
          <t>Article; FAQPage; BreadcrumbList</t>
        </is>
      </c>
      <c r="Z407" s="37" t="n">
        <v>1200</v>
      </c>
      <c r="AA407" s="25" t="inlineStr">
        <is>
          <t>No competitor coverage seen; the Instasure deductible guide covers charge-backs but not repair levies.</t>
        </is>
      </c>
      <c r="AB407" s="25" t="inlineStr">
        <is>
          <t>Use 'does condo insurance cover special assessments' in the H1, slug, meta title, first 100 words and first H2, with a 40–60 word answer that insured-loss assessments may be covered and repairs are not. Add the assessment-cause table; link 'deductible assessment' to the existing guide and 'strata insurance' to the BC guide; alt text 'condo board meeting reviewing a special assessment'. Licensed P&amp;C reviewer; cite sample wordings; refresh annually.</t>
        </is>
      </c>
      <c r="AC407" s="25" t="inlineStr">
        <is>
          <t>Loss-assessment wording varies by insurer; verify against sample wordings and never imply reserve shortfalls are insurable.</t>
        </is>
      </c>
      <c r="AD407" s="36" t="inlineStr">
        <is>
          <t>Annual</t>
        </is>
      </c>
      <c r="AE407" s="38" t="n"/>
      <c r="AF407" s="38" t="n"/>
      <c r="AG407" s="38" t="n"/>
    </row>
    <row r="408" ht="46.25" customHeight="1" s="22">
      <c r="A408" s="36">
        <f>"B"&amp;TEXT(ROW()-1,"0000")</f>
        <v/>
      </c>
      <c r="B408" s="38" t="inlineStr">
        <is>
          <t>Planned</t>
        </is>
      </c>
      <c r="C408" s="36" t="n">
        <v>3</v>
      </c>
      <c r="D408" s="36" t="inlineStr">
        <is>
          <t>Condo insurance</t>
        </is>
      </c>
      <c r="E408" s="36" t="inlineStr">
        <is>
          <t>Glossary</t>
        </is>
      </c>
      <c r="F408" s="25" t="inlineStr">
        <is>
          <t>Condo vs Strata vs Co-op: Insurance Terms Across Canada</t>
        </is>
      </c>
      <c r="G408" s="36" t="inlineStr">
        <is>
          <t>https://instasure.ca/guides/condo-vs-strata-vs-co-op-insurance/</t>
        </is>
      </c>
      <c r="H408" s="36" t="inlineStr">
        <is>
          <t>condo vs strata</t>
        </is>
      </c>
      <c r="I408" s="41">
        <f>IFERROR(INDEX('Nationwide KWs'!$D$2:$D$168,MATCH(H408,'Nationwide KWs'!$A$2:$A$168,0)),IFERROR(INDEX('Provincial KWs'!$E$2:$E$137,MATCH(H408,'Provincial KWs'!$A$2:$A$137,0)),IFERROR(INDEX('City KWs'!$F$2:$F$419,MATCH(H408,'City KWs'!$A$2:$A$419,0)),"")))</f>
        <v/>
      </c>
      <c r="J408" s="36" t="inlineStr">
        <is>
          <t>Low</t>
        </is>
      </c>
      <c r="K408" s="25" t="inlineStr">
        <is>
          <t>what is a strata; co-op insurance canada; divided co-ownership quebec insurance; condominium corporation vs strata corporation; housing co-op contents insurance</t>
        </is>
      </c>
      <c r="L408" s="36" t="inlineStr">
        <is>
          <t>Nationwide</t>
        </is>
      </c>
      <c r="M408" s="36" t="inlineStr">
        <is>
          <t>informational</t>
        </is>
      </c>
      <c r="N408" s="36" t="inlineStr">
        <is>
          <t>TOFU</t>
        </is>
      </c>
      <c r="O408" s="25" t="inlineStr">
        <is>
          <t>Condo vs Strata vs Co-op: Insurance Terms in Canada</t>
        </is>
      </c>
      <c r="P408" s="36">
        <f>LEN(O408)</f>
        <v/>
      </c>
      <c r="Q408" s="25" t="inlineStr">
        <is>
          <t>Condo vs strata vs co-op: what each term means by province, who insures the building and which policy an owner or member needs. See the quick table.</t>
        </is>
      </c>
      <c r="R408" s="36">
        <f>LEN(Q408)</f>
        <v/>
      </c>
      <c r="S408" s="36">
        <f>IF(H408="","",IF(ISNUMBER(SEARCH(SUBSTITUTE(H408,"-"," "),SUBSTITUTE(O408,"-"," "))),"Yes","Check"))</f>
        <v/>
      </c>
      <c r="T408" s="25" t="inlineStr">
        <is>
          <t>Condo vs strata: the short answer | Condominium corporations (most provinces) | Strata corporations (BC) | Divided co-ownership (Quebec) | Housing co-operatives | Province reference table | Which policy you need</t>
        </is>
      </c>
      <c r="U408" s="25" t="inlineStr">
        <is>
          <t>Is a strata the same as a condo? | Do co-op members need their own insurance? | What is divided co-ownership in Quebec? | Who insures the building in a housing co-op?</t>
        </is>
      </c>
      <c r="V408" s="25" t="inlineStr">
        <is>
          <t>Province glossary table: legal name of the ownership form, governing statute, who insures the building and the owner or member policy name.</t>
        </is>
      </c>
      <c r="W408" s="25" t="inlineStr">
        <is>
          <t>/condo-insurance/; /glossary/; /guides/bc-strata-insurance-explained/; /guides/ontario-condominium-act-insurance-requirements/</t>
        </is>
      </c>
      <c r="X408" s="25" t="inlineStr">
        <is>
          <t>Instant condo insurance estimate (/quote/condo-insurance/)</t>
        </is>
      </c>
      <c r="Y408" s="36" t="inlineStr">
        <is>
          <t>Article; FAQPage; BreadcrumbList</t>
        </is>
      </c>
      <c r="Z408" s="37" t="n">
        <v>1100</v>
      </c>
      <c r="AA408" s="25" t="inlineStr">
        <is>
          <t>No competitor coverage seen; Sonnet's how-does-condo-insurance-work post uses 'building insurance' without province terms.</t>
        </is>
      </c>
      <c r="AB408" s="25" t="inlineStr">
        <is>
          <t>Use 'condo vs strata' in the H1, slug, meta title, first 100 words and first H2, with a 40–60 word answer that strata is BC's legal term for condominium. Lead with the province table; link 'glossary' to /glossary/ and 'strata insurance in BC' to the strata guide; alt text 'table of condo, strata and co-op terms by province'. Licensed P&amp;C reviewer; cite each provincial statute; refresh annually.</t>
        </is>
      </c>
      <c r="AC408" s="25" t="inlineStr">
        <is>
          <t>Verify statute names for each province; keep Quebec content English-only and explanatory until AMF registration.</t>
        </is>
      </c>
      <c r="AD408" s="36" t="inlineStr">
        <is>
          <t>Annual</t>
        </is>
      </c>
      <c r="AE408" s="38" t="n"/>
      <c r="AF408" s="38" t="n"/>
      <c r="AG408" s="38" t="n"/>
    </row>
    <row r="409" ht="57.45" customHeight="1" s="22">
      <c r="A409" s="36">
        <f>"B"&amp;TEXT(ROW()-1,"0000")</f>
        <v/>
      </c>
      <c r="B409" s="38" t="inlineStr">
        <is>
          <t>Planned</t>
        </is>
      </c>
      <c r="C409" s="36" t="n">
        <v>3</v>
      </c>
      <c r="D409" s="36" t="inlineStr">
        <is>
          <t>Condo insurance</t>
        </is>
      </c>
      <c r="E409" s="36" t="inlineStr">
        <is>
          <t>Local (city/province)</t>
        </is>
      </c>
      <c r="F409" s="25" t="inlineStr">
        <is>
          <t>How Much Is Condo Insurance in Calgary? Hail, Water and Costs</t>
        </is>
      </c>
      <c r="G409" s="36" t="inlineStr">
        <is>
          <t>https://instasure.ca/guides/condo-insurance-cost-calgary/</t>
        </is>
      </c>
      <c r="H409" s="36" t="inlineStr">
        <is>
          <t>how much is condo insurance in calgary</t>
        </is>
      </c>
      <c r="I409" s="41">
        <f>IFERROR(INDEX('Nationwide KWs'!$D$2:$D$168,MATCH(H409,'Nationwide KWs'!$A$2:$A$168,0)),IFERROR(INDEX('Provincial KWs'!$E$2:$E$137,MATCH(H409,'Provincial KWs'!$A$2:$A$137,0)),IFERROR(INDEX('City KWs'!$F$2:$F$419,MATCH(H409,'City KWs'!$A$2:$A$419,0)),"")))</f>
        <v/>
      </c>
      <c r="J409" s="36" t="inlineStr">
        <is>
          <t>Low</t>
        </is>
      </c>
      <c r="K409" s="25" t="inlineStr">
        <is>
          <t>condo insurance calgary; calgary condo hail damage; townhouse condo insurance calgary; alberta condo deductible; condo insurance edmonton</t>
        </is>
      </c>
      <c r="L409" s="36" t="inlineStr">
        <is>
          <t>City: Calgary, AB</t>
        </is>
      </c>
      <c r="M409" s="36" t="inlineStr">
        <is>
          <t>local</t>
        </is>
      </c>
      <c r="N409" s="36" t="inlineStr">
        <is>
          <t>BOFU</t>
        </is>
      </c>
      <c r="O409" s="25" t="inlineStr">
        <is>
          <t>How Much Is Condo Insurance in Calgary? Hail and Costs</t>
        </is>
      </c>
      <c r="P409" s="36">
        <f>LEN(O409)</f>
        <v/>
      </c>
      <c r="Q409" s="25" t="inlineStr">
        <is>
          <t>How much is condo insurance in Calgary? Dated estimates, how hail damage is split with the corporation and the deductible limits to carry. Get an estimate.</t>
        </is>
      </c>
      <c r="R409" s="36">
        <f>LEN(Q409)</f>
        <v/>
      </c>
      <c r="S409" s="36">
        <f>IF(H409="","",IF(ISNUMBER(SEARCH(SUBSTITUTE(H409,"-"," "),SUBSTITUTE(O409,"-"," "))),"Yes","Check"))</f>
        <v/>
      </c>
      <c r="T409" s="25" t="inlineStr">
        <is>
          <t>How much is condo insurance in Calgary? | Example costs: apartments vs townhouse condos | How hail claims are split with the corporation | Deductible-assessment limits in Alberta | Water and sewer backup in Calgary condos | Compare quotes with a licensed advisor</t>
        </is>
      </c>
      <c r="U409" s="25" t="inlineStr">
        <is>
          <t>What does condo insurance cost in Calgary? | Does my condo insurance cover hail damage to my townhouse? | Can my Calgary condo board charge me the hail deductible? | Is condo insurance cheaper in Edmonton than Calgary?</t>
        </is>
      </c>
      <c r="V409" s="25" t="inlineStr">
        <is>
          <t>Dated estimate table for apartment vs townhouse condos in Calgary, plus a hail claim example showing the corporation's roof claim and the owner's deductible share.</t>
        </is>
      </c>
      <c r="W409" s="25" t="inlineStr">
        <is>
          <t>/condo-insurance/alberta/calgary/; /guides/calgary-hail-insurance-guide/; /guides/condo-insurance-deductible-assessment-explained/; /guides/condo-townhouse-insurance/</t>
        </is>
      </c>
      <c r="X409" s="25" t="inlineStr">
        <is>
          <t>Instant condo insurance estimate for Calgary (/quote/condo-insurance/)</t>
        </is>
      </c>
      <c r="Y409" s="36" t="inlineStr">
        <is>
          <t>Article; FAQPage; BreadcrumbList</t>
        </is>
      </c>
      <c r="Z409" s="37" t="n">
        <v>1400</v>
      </c>
      <c r="AA409" s="25" t="inlineStr">
        <is>
          <t>Rates.ca and Sonnet rank with product pages; no competitor covers hail cost-sharing for Calgary condo owners.</t>
        </is>
      </c>
      <c r="AB409" s="25" t="inlineStr">
        <is>
          <t>Use 'how much is condo insurance in Calgary' in the H1, slug, meta title, first 100 words and first H2, with a 40–60 word answer giving the dated range and profile. Add the cost table and hail worked example; link 'Calgary hail' to the hail guide and 'condo insurance in Calgary' to /condo-insurance/alberta/calgary/; alt text 'townhouse condo roofs in Calgary after hail'. Licensed Alberta P&amp;C reviewer; cite the Alberta Condominium Property Act and CatIQ; refresh quarterly.</t>
        </is>
      </c>
      <c r="AC409" s="25" t="inlineStr">
        <is>
          <t>Verify Alberta Condominium Property Act references on deductible charge-backs; label estimates as modelled.</t>
        </is>
      </c>
      <c r="AD409" s="36" t="inlineStr">
        <is>
          <t>Quarterly</t>
        </is>
      </c>
      <c r="AE409" s="38" t="n"/>
      <c r="AF409" s="38" t="n"/>
      <c r="AG409" s="38" t="n"/>
    </row>
    <row r="410" ht="57.45" customHeight="1" s="22">
      <c r="A410" s="36">
        <f>"B"&amp;TEXT(ROW()-1,"0000")</f>
        <v/>
      </c>
      <c r="B410" s="38" t="inlineStr">
        <is>
          <t>Published</t>
        </is>
      </c>
      <c r="C410" s="36" t="n">
        <v>1</v>
      </c>
      <c r="D410" s="36" t="inlineStr">
        <is>
          <t>Tenant insurance</t>
        </is>
      </c>
      <c r="E410" s="36" t="inlineStr">
        <is>
          <t>Cost &amp; pricing</t>
        </is>
      </c>
      <c r="F410" s="25" t="inlineStr">
        <is>
          <t>How Much Is Tenant Insurance in Canada? Costs by Province and City</t>
        </is>
      </c>
      <c r="G410" s="36" t="inlineStr">
        <is>
          <t>https://instasure.ca/guides/how-much-is-tenant-insurance/</t>
        </is>
      </c>
      <c r="H410" s="36" t="inlineStr">
        <is>
          <t>how much is tenant insurance</t>
        </is>
      </c>
      <c r="I410" s="41">
        <f>IFERROR(INDEX('Nationwide KWs'!$D$2:$D$168,MATCH(H410,'Nationwide KWs'!$A$2:$A$168,0)),IFERROR(INDEX('Provincial KWs'!$E$2:$E$137,MATCH(H410,'Provincial KWs'!$A$2:$A$137,0)),IFERROR(INDEX('City KWs'!$F$2:$F$419,MATCH(H410,'City KWs'!$A$2:$A$419,0)),"")))</f>
        <v/>
      </c>
      <c r="J410" s="36" t="inlineStr">
        <is>
          <t>Medium</t>
        </is>
      </c>
      <c r="K410" s="25" t="inlineStr">
        <is>
          <t>tenant insurance cost; renters insurance cost canada; tenant insurance per month; average tenant insurance ontario; tenant insurance price by city</t>
        </is>
      </c>
      <c r="L410" s="36" t="inlineStr">
        <is>
          <t>Nationwide</t>
        </is>
      </c>
      <c r="M410" s="36" t="inlineStr">
        <is>
          <t>commercial</t>
        </is>
      </c>
      <c r="N410" s="36" t="inlineStr">
        <is>
          <t>MOFU</t>
        </is>
      </c>
      <c r="O410" s="25" t="inlineStr">
        <is>
          <t>How Much Is Tenant Insurance? Canadian Costs by Province</t>
        </is>
      </c>
      <c r="P410" s="36">
        <f>LEN(O410)</f>
        <v/>
      </c>
      <c r="Q410" s="25" t="inlineStr">
        <is>
          <t>How much is tenant insurance in Canada? Dated example monthly costs by province and city, what changes the price and how to set limits. Get an estimate.</t>
        </is>
      </c>
      <c r="R410" s="36">
        <f>LEN(Q410)</f>
        <v/>
      </c>
      <c r="S410" s="36">
        <f>IF(H410="","",IF(ISNUMBER(SEARCH(SUBSTITUTE(H410,"-"," "),SUBSTITUTE(O410,"-"," "))),"Yes","Check"))</f>
        <v/>
      </c>
      <c r="T410" s="25" t="inlineStr">
        <is>
          <t>How much is tenant insurance? | Example monthly costs by province (dated table) | Costs in major cities | What changes the price | Choosing contents and liability limits | Ways to pay less | How we built these estimates</t>
        </is>
      </c>
      <c r="U410" s="25" t="inlineStr">
        <is>
          <t>How much is tenant insurance per month in Canada? | Why is tenant insurance more expensive in some cities? | Is $1 million liability enough for a renter? | Does bundling tenant and car insurance lower the price?</t>
        </is>
      </c>
      <c r="V410" s="25" t="inlineStr">
        <is>
          <t>Dated province and city table of modelled monthly estimates for a stated renter profile ($30,000 contents, $2M liability), with published competitor medians shown separately and sourced.</t>
        </is>
      </c>
      <c r="W410" s="25" t="inlineStr">
        <is>
          <t>/tenant-insurance/; /tenant-insurance/ontario/; /insights/rate-index/; /calculators/tenant-condo-coverage/; /guides/tenant-insurance-ontario-landlord-require/</t>
        </is>
      </c>
      <c r="X410" s="25" t="inlineStr">
        <is>
          <t>Instant tenant insurance estimate (/quote/tenant-insurance/)</t>
        </is>
      </c>
      <c r="Y410" s="36" t="inlineStr">
        <is>
          <t>Article; FAQPage; BreadcrumbList</t>
        </is>
      </c>
      <c r="Z410" s="37" t="n">
        <v>1700</v>
      </c>
      <c r="AA410" s="25" t="inlineStr">
        <is>
          <t>Rates.ca publishes Ontario at $302/yr (Q1 2026) and Sonnet a stale 2025 Quebec tenant cost post; no national province-by-province table exists.</t>
        </is>
      </c>
      <c r="AB410" s="25" t="inlineStr">
        <is>
          <t>Use 'how much is tenant insurance' in the H1, slug, meta title, first 100 words and first H2, with a 40–60 word answer giving the dated range and profile. Add the province and city tables; link 'tenant insurance in Ontario' to /tenant-insurance/ontario/ and 'Instasure Rate Index' to /insights/rate-index/; alt text 'table of tenant insurance cost by province'. Licensed P&amp;C reviewer; cite the Instasure Rate Index methodology and attributed competitor data; refresh quarterly.</t>
        </is>
      </c>
      <c r="AC410" s="25" t="inlineStr">
        <is>
          <t>Verify and attribute Rates.ca's Ontario figure. The Instasure model range ($20–33/month for the Ontario profile) must be labelled as a modelled estimate with its profile and date.</t>
        </is>
      </c>
      <c r="AD410" s="36" t="inlineStr">
        <is>
          <t>Quarterly</t>
        </is>
      </c>
      <c r="AE410" s="38" t="inlineStr">
        <is>
          <t>Michael Le Chi</t>
        </is>
      </c>
      <c r="AF410" s="38" t="n"/>
      <c r="AG410" s="38" t="inlineStr">
        <is>
          <t>2026-10-12</t>
        </is>
      </c>
    </row>
    <row r="411" ht="46.25" customHeight="1" s="22">
      <c r="A411" s="36">
        <f>"B"&amp;TEXT(ROW()-1,"0000")</f>
        <v/>
      </c>
      <c r="B411" s="38" t="inlineStr">
        <is>
          <t>Planned</t>
        </is>
      </c>
      <c r="C411" s="36" t="n">
        <v>1</v>
      </c>
      <c r="D411" s="36" t="inlineStr">
        <is>
          <t>Tenant insurance</t>
        </is>
      </c>
      <c r="E411" s="36" t="inlineStr">
        <is>
          <t>Coverage explained</t>
        </is>
      </c>
      <c r="F411" s="25" t="inlineStr">
        <is>
          <t>What Does Tenant Insurance Cover? Contents, Liability and More</t>
        </is>
      </c>
      <c r="G411" s="36" t="inlineStr">
        <is>
          <t>https://instasure.ca/guides/what-does-tenant-insurance-cover/</t>
        </is>
      </c>
      <c r="H411" s="36" t="inlineStr">
        <is>
          <t>what does tenant insurance cover</t>
        </is>
      </c>
      <c r="I411" s="41">
        <f>IFERROR(INDEX('Nationwide KWs'!$D$2:$D$168,MATCH(H411,'Nationwide KWs'!$A$2:$A$168,0)),IFERROR(INDEX('Provincial KWs'!$E$2:$E$137,MATCH(H411,'Provincial KWs'!$A$2:$A$137,0)),IFERROR(INDEX('City KWs'!$F$2:$F$419,MATCH(H411,'City KWs'!$A$2:$A$419,0)),"")))</f>
        <v/>
      </c>
      <c r="J411" s="36" t="inlineStr">
        <is>
          <t>Medium</t>
        </is>
      </c>
      <c r="K411" s="25" t="inlineStr">
        <is>
          <t>renters insurance coverage canada; tenant insurance explained; does tenant insurance cover water damage; tenant insurance additional living expenses; tenant insurance theft outside home</t>
        </is>
      </c>
      <c r="L411" s="36" t="inlineStr">
        <is>
          <t>Nationwide</t>
        </is>
      </c>
      <c r="M411" s="36" t="inlineStr">
        <is>
          <t>informational</t>
        </is>
      </c>
      <c r="N411" s="36" t="inlineStr">
        <is>
          <t>TOFU</t>
        </is>
      </c>
      <c r="O411" s="25" t="inlineStr">
        <is>
          <t>What Does Tenant Insurance Cover? Contents and Liability</t>
        </is>
      </c>
      <c r="P411" s="36">
        <f>LEN(O411)</f>
        <v/>
      </c>
      <c r="Q411" s="25" t="inlineStr">
        <is>
          <t>What does tenant insurance cover? Your belongings, liability, hotel costs after a fire and damage you cause to the unit, plus exclusions. Get an estimate.</t>
        </is>
      </c>
      <c r="R411" s="36">
        <f>LEN(Q411)</f>
        <v/>
      </c>
      <c r="S411" s="36">
        <f>IF(H411="","",IF(ISNUMBER(SEARCH(SUBSTITUTE(H411,"-"," "),SUBSTITUTE(O411,"-"," "))),"Yes","Check"))</f>
        <v/>
      </c>
      <c r="T411" s="25" t="inlineStr">
        <is>
          <t>What tenant insurance covers: the short answer | Your belongings, at home and away | Personal liability, including damage to the unit | Additional living expenses | Water, sewer backup and other add-ons | What tenant insurance doesn't cover | Real-life renter scenarios</t>
        </is>
      </c>
      <c r="U411" s="25" t="inlineStr">
        <is>
          <t>Does tenant insurance cover my belongings outside my apartment? | Does tenant insurance cover water damage from the unit above? | Will tenant insurance pay for a hotel if my building has a fire? | Does tenant insurance cover my roommate's things?</t>
        </is>
      </c>
      <c r="V411" s="25" t="inlineStr">
        <is>
          <t>Scenario table of real renter situations (stolen bike, kitchen fire spreading to the next unit, burst pipe, laptop stolen while travelling, evacuation after a building fire) and whether a typical policy pays.</t>
        </is>
      </c>
      <c r="W411" s="25" t="inlineStr">
        <is>
          <t>/tenant-insurance/; /calculators/tenant-condo-coverage/; /guides/tenant-legal-liability-insurance/; /guides/how-much-is-tenant-insurance/</t>
        </is>
      </c>
      <c r="X411" s="25" t="inlineStr">
        <is>
          <t>Instant tenant insurance estimate (/quote/tenant-insurance/)</t>
        </is>
      </c>
      <c r="Y411" s="36" t="inlineStr">
        <is>
          <t>Article; FAQPage; BreadcrumbList</t>
        </is>
      </c>
      <c r="Z411" s="37" t="n">
        <v>1600</v>
      </c>
      <c r="AA411" s="25" t="inlineStr">
        <is>
          <t>Ratehub (tenant-insurance-what-it-covers-and-why-renters-need-it) and Rates.ca (tenant-insurance-its-not-just-about-protecting-your-stuff) cover this without scenario tables; Sonnet's renting post is brief.</t>
        </is>
      </c>
      <c r="AB411" s="25" t="inlineStr">
        <is>
          <t>Use 'what does tenant insurance cover' in the H1, slug, meta title, first 100 words and first H2, with a 40–60 word answer naming the three core coverages. Add the scenario table; link 'coverage calculator' to /calculators/tenant-condo-coverage/ and 'tenant legal liability' to that guide; alt text 'renter packing belongings in an apartment'. Licensed P&amp;C reviewer; cite IBC and sample tenant wordings; refresh annually.</t>
        </is>
      </c>
      <c r="AC411" s="25" t="inlineStr">
        <is>
          <t>Coverage varies by insurer; use 'typically' and verify every sublimit used in examples.</t>
        </is>
      </c>
      <c r="AD411" s="36" t="inlineStr">
        <is>
          <t>Annual</t>
        </is>
      </c>
      <c r="AE411" s="38" t="n"/>
      <c r="AF411" s="38" t="n"/>
      <c r="AG411" s="38" t="n"/>
    </row>
    <row r="412" ht="46.25" customHeight="1" s="22">
      <c r="A412" s="36">
        <f>"B"&amp;TEXT(ROW()-1,"0000")</f>
        <v/>
      </c>
      <c r="B412" s="38" t="inlineStr">
        <is>
          <t>Planned</t>
        </is>
      </c>
      <c r="C412" s="36" t="n">
        <v>2</v>
      </c>
      <c r="D412" s="36" t="inlineStr">
        <is>
          <t>Tenant insurance</t>
        </is>
      </c>
      <c r="E412" s="36" t="inlineStr">
        <is>
          <t>Coverage explained</t>
        </is>
      </c>
      <c r="F412" s="25" t="inlineStr">
        <is>
          <t>Tenant Legal Liability: Who Pays If You Damage Your Rental?</t>
        </is>
      </c>
      <c r="G412" s="36" t="inlineStr">
        <is>
          <t>https://instasure.ca/guides/tenant-legal-liability-insurance/</t>
        </is>
      </c>
      <c r="H412" s="36" t="inlineStr">
        <is>
          <t>tenant legal liability insurance</t>
        </is>
      </c>
      <c r="I412" s="41">
        <f>IFERROR(INDEX('Nationwide KWs'!$D$2:$D$168,MATCH(H412,'Nationwide KWs'!$A$2:$A$168,0)),IFERROR(INDEX('Provincial KWs'!$E$2:$E$137,MATCH(H412,'Provincial KWs'!$A$2:$A$137,0)),IFERROR(INDEX('City KWs'!$F$2:$F$419,MATCH(H412,'City KWs'!$A$2:$A$419,0)),"")))</f>
        <v/>
      </c>
      <c r="J412" s="36" t="inlineStr">
        <is>
          <t>Low</t>
        </is>
      </c>
      <c r="K412" s="25" t="inlineStr">
        <is>
          <t>does tenant insurance cover damage to landlord property; tenant liability coverage; tenant caused fire liability; landlord insurer subrogation tenant; how much liability tenant insurance</t>
        </is>
      </c>
      <c r="L412" s="36" t="inlineStr">
        <is>
          <t>Nationwide</t>
        </is>
      </c>
      <c r="M412" s="36" t="inlineStr">
        <is>
          <t>informational</t>
        </is>
      </c>
      <c r="N412" s="36" t="inlineStr">
        <is>
          <t>MOFU</t>
        </is>
      </c>
      <c r="O412" s="25" t="inlineStr">
        <is>
          <t>Tenant Legal Liability Insurance: Damage to Your Rental</t>
        </is>
      </c>
      <c r="P412" s="36">
        <f>LEN(O412)</f>
        <v/>
      </c>
      <c r="Q412" s="25" t="inlineStr">
        <is>
          <t>Tenant legal liability insurance: how it pays for damage you cause to your landlord's building, how subrogation works and $1M vs $2M limits. Get a quote.</t>
        </is>
      </c>
      <c r="R412" s="36">
        <f>LEN(Q412)</f>
        <v/>
      </c>
      <c r="S412" s="36">
        <f>IF(H412="","",IF(ISNUMBER(SEARCH(SUBSTITUTE(H412,"-"," "),SUBSTITUTE(O412,"-"," "))),"Yes","Check"))</f>
        <v/>
      </c>
      <c r="T412" s="25" t="inlineStr">
        <is>
          <t>What is tenant legal liability? | When your landlord's insurer comes after you | What your tenant policy pays | Worked example: kitchen fire in a fourplex | Choosing $1 million or $2 million | What liability doesn't cover</t>
        </is>
      </c>
      <c r="U412" s="25" t="inlineStr">
        <is>
          <t>Does tenant insurance cover damage I cause to my apartment? | Can my landlord's insurance company sue me? | Is $1 million liability enough for a tenant? | Does liability cover damage from my pet?</t>
        </is>
      </c>
      <c r="V412" s="25" t="inlineStr">
        <is>
          <t>Worked example of a kitchen fire in a fourplex: the landlord's insurer pays and subrogates against the tenant, and the tenant's liability coverage responds, with limits compared.</t>
        </is>
      </c>
      <c r="W412" s="25" t="inlineStr">
        <is>
          <t>/tenant-insurance/; /landlord-insurance/; /guides/what-does-tenant-insurance-cover/; /guides/does-landlord-insurance-cover-tenant-damage/</t>
        </is>
      </c>
      <c r="X412" s="25" t="inlineStr">
        <is>
          <t>Instant tenant insurance estimate (/quote/tenant-insurance/)</t>
        </is>
      </c>
      <c r="Y412" s="36" t="inlineStr">
        <is>
          <t>Article; FAQPage; BreadcrumbList</t>
        </is>
      </c>
      <c r="Z412" s="37" t="n">
        <v>1300</v>
      </c>
      <c r="AA412" s="25" t="inlineStr">
        <is>
          <t>Rates.ca has a tenant-legal-liability commercial page and a does-renters-insurance-cover-damage-landlords-property post; no consumer guide explains subrogation with a worked example.</t>
        </is>
      </c>
      <c r="AB412" s="25" t="inlineStr">
        <is>
          <t>Use 'tenant legal liability' in the H1, slug, meta title, first 100 words and first H2, with a 40–60 word answer on what it pays and why landlords require it. Add the worked example table; link 'landlord insurance' to /landlord-insurance/ and 'tenant damage' to the landlord-side guide; alt text 'fire-damaged kitchen in a rental unit'. Licensed P&amp;C reviewer; cite IBC and sample wordings; refresh annually.</t>
        </is>
      </c>
      <c r="AC412" s="25" t="inlineStr">
        <is>
          <t>Keep subrogation and liability examples illustrative; verify how commercial 'tenant legal liability' differs from personal tenant liability before comparing them.</t>
        </is>
      </c>
      <c r="AD412" s="36" t="inlineStr">
        <is>
          <t>Annual</t>
        </is>
      </c>
      <c r="AE412" s="38" t="n"/>
      <c r="AF412" s="38" t="n"/>
      <c r="AG412" s="38" t="n"/>
    </row>
    <row r="413" ht="57.45" customHeight="1" s="22">
      <c r="A413" s="36">
        <f>"B"&amp;TEXT(ROW()-1,"0000")</f>
        <v/>
      </c>
      <c r="B413" s="38" t="inlineStr">
        <is>
          <t>Planned</t>
        </is>
      </c>
      <c r="C413" s="36" t="n">
        <v>2</v>
      </c>
      <c r="D413" s="36" t="inlineStr">
        <is>
          <t>Tenant insurance</t>
        </is>
      </c>
      <c r="E413" s="36" t="inlineStr">
        <is>
          <t>Local (city/province)</t>
        </is>
      </c>
      <c r="F413" s="25" t="inlineStr">
        <is>
          <t>How Much Is Tenant Insurance in Toronto? Costs and Building Types</t>
        </is>
      </c>
      <c r="G413" s="36" t="inlineStr">
        <is>
          <t>https://instasure.ca/guides/tenant-insurance-cost-toronto/</t>
        </is>
      </c>
      <c r="H413" s="36" t="inlineStr">
        <is>
          <t>how much is tenant insurance in toronto</t>
        </is>
      </c>
      <c r="I413" s="41">
        <f>IFERROR(INDEX('Nationwide KWs'!$D$2:$D$168,MATCH(H413,'Nationwide KWs'!$A$2:$A$168,0)),IFERROR(INDEX('Provincial KWs'!$E$2:$E$137,MATCH(H413,'Provincial KWs'!$A$2:$A$137,0)),IFERROR(INDEX('City KWs'!$F$2:$F$419,MATCH(H413,'City KWs'!$A$2:$A$419,0)),"")))</f>
        <v/>
      </c>
      <c r="J413" s="36" t="inlineStr">
        <is>
          <t>Low</t>
        </is>
      </c>
      <c r="K413" s="25" t="inlineStr">
        <is>
          <t>tenant insurance toronto; renters insurance toronto; condo rental tenant insurance toronto; basement apartment tenant insurance toronto; tenant insurance north york</t>
        </is>
      </c>
      <c r="L413" s="36" t="inlineStr">
        <is>
          <t>City: Toronto, ON</t>
        </is>
      </c>
      <c r="M413" s="36" t="inlineStr">
        <is>
          <t>local</t>
        </is>
      </c>
      <c r="N413" s="36" t="inlineStr">
        <is>
          <t>BOFU</t>
        </is>
      </c>
      <c r="O413" s="25" t="inlineStr">
        <is>
          <t>How Much Is Tenant Insurance in Toronto? Costs by Unit</t>
        </is>
      </c>
      <c r="P413" s="36">
        <f>LEN(O413)</f>
        <v/>
      </c>
      <c r="Q413" s="25" t="inlineStr">
        <is>
          <t>How much is tenant insurance in Toronto? Dated estimates for condo rentals, basement units and houses, what landlords ask for and your limits. Get a quote.</t>
        </is>
      </c>
      <c r="R413" s="36">
        <f>LEN(Q413)</f>
        <v/>
      </c>
      <c r="S413" s="36">
        <f>IF(H413="","",IF(ISNUMBER(SEARCH(SUBSTITUTE(H413,"-"," "),SUBSTITUTE(O413,"-"," "))),"Yes","Check"))</f>
        <v/>
      </c>
      <c r="T413" s="25" t="inlineStr">
        <is>
          <t>How much is tenant insurance in Toronto? | Example costs by rental type | Condo rentals and building rules | Basement apartments and sewer backup | What Toronto landlords ask for | Compare quotes with a licensed advisor</t>
        </is>
      </c>
      <c r="U413" s="25" t="inlineStr">
        <is>
          <t>What does tenant insurance cost in Toronto? | Do I need sewer backup coverage in a Toronto basement apartment? | Can my Toronto landlord require tenant insurance? | Is tenant insurance cheaper outside downtown?</t>
        </is>
      </c>
      <c r="V413" s="25" t="inlineStr">
        <is>
          <t>Dated estimate table by rental type (condo unit, basement apartment, room in a house, purpose-built apartment) and contents level, with Rates.ca's downtown Toronto figure shown separately and sourced.</t>
        </is>
      </c>
      <c r="W413" s="25" t="inlineStr">
        <is>
          <t>/tenant-insurance/ontario/toronto/; /guides/tenant-insurance-ontario-landlord-require/; /guides/what-does-tenant-insurance-cover/; /insurance/ontario/toronto/</t>
        </is>
      </c>
      <c r="X413" s="25" t="inlineStr">
        <is>
          <t>Instant tenant insurance estimate for Toronto (/quote/tenant-insurance/)</t>
        </is>
      </c>
      <c r="Y413" s="36" t="inlineStr">
        <is>
          <t>Article; FAQPage; BreadcrumbList</t>
        </is>
      </c>
      <c r="Z413" s="37" t="n">
        <v>1400</v>
      </c>
      <c r="AA413" s="25" t="inlineStr">
        <is>
          <t>Ratehub ('Get Cheap Tenant Insurance in Toronto'), Rates.ca and Sonnet hold product pages; none breaks cost down by rental type.</t>
        </is>
      </c>
      <c r="AB413" s="25" t="inlineStr">
        <is>
          <t>Use 'how much is tenant insurance in Toronto' in the H1, slug, meta title, first 100 words and first H2, with a 40–60 word answer giving the dated range and profile. Add the rental-type table; link 'tenant insurance in Toronto' to /tenant-insurance/ontario/toronto/ and 'can a landlord require tenant insurance' to the Ontario guide; alt text 'Toronto apartment buildings and condo rentals'. Licensed Ontario P&amp;C reviewer; cite the Instasure Rate Index; refresh quarterly.</t>
        </is>
      </c>
      <c r="AC413" s="25" t="inlineStr">
        <is>
          <t>Verify Rates.ca's downtown Toronto $313/yr figure before quoting; label Instasure estimates as modelled with an 'as of' date; no 'cheap' claims.</t>
        </is>
      </c>
      <c r="AD413" s="36" t="inlineStr">
        <is>
          <t>Quarterly</t>
        </is>
      </c>
      <c r="AE413" s="38" t="n"/>
      <c r="AF413" s="38" t="n"/>
      <c r="AG413" s="38" t="n"/>
    </row>
    <row r="414" ht="68.65000000000001" customHeight="1" s="22">
      <c r="A414" s="36">
        <f>"B"&amp;TEXT(ROW()-1,"0000")</f>
        <v/>
      </c>
      <c r="B414" s="38" t="inlineStr">
        <is>
          <t>Planned</t>
        </is>
      </c>
      <c r="C414" s="36" t="n">
        <v>2</v>
      </c>
      <c r="D414" s="36" t="inlineStr">
        <is>
          <t>Tenant insurance</t>
        </is>
      </c>
      <c r="E414" s="36" t="inlineStr">
        <is>
          <t>Personas</t>
        </is>
      </c>
      <c r="F414" s="25" t="inlineStr">
        <is>
          <t>Students Living Away: Does Your Parents' Home Insurance Cover You?</t>
        </is>
      </c>
      <c r="G414" s="36" t="inlineStr">
        <is>
          <t>https://instasure.ca/guides/student-parents-home-insurance-coverage/</t>
        </is>
      </c>
      <c r="H414" s="36" t="inlineStr">
        <is>
          <t>are students covered by parents home insurance</t>
        </is>
      </c>
      <c r="I414" s="41">
        <f>IFERROR(INDEX('Nationwide KWs'!$D$2:$D$168,MATCH(H414,'Nationwide KWs'!$A$2:$A$168,0)),IFERROR(INDEX('Provincial KWs'!$E$2:$E$137,MATCH(H414,'Provincial KWs'!$A$2:$A$137,0)),IFERROR(INDEX('City KWs'!$F$2:$F$419,MATCH(H414,'City KWs'!$A$2:$A$419,0)),"")))</f>
        <v/>
      </c>
      <c r="J414" s="36" t="inlineStr">
        <is>
          <t>Low</t>
        </is>
      </c>
      <c r="K414" s="25" t="inlineStr">
        <is>
          <t>student tenant insurance; tenant insurance for students; university residence insurance; student off campus insurance; student liability insurance canada</t>
        </is>
      </c>
      <c r="L414" s="36" t="inlineStr">
        <is>
          <t>Nationwide</t>
        </is>
      </c>
      <c r="M414" s="36" t="inlineStr">
        <is>
          <t>informational</t>
        </is>
      </c>
      <c r="N414" s="36" t="inlineStr">
        <is>
          <t>MOFU</t>
        </is>
      </c>
      <c r="O414" s="25" t="inlineStr">
        <is>
          <t>Are Students Covered by Their Parents' Home Insurance?</t>
        </is>
      </c>
      <c r="P414" s="36">
        <f>LEN(O414)</f>
        <v/>
      </c>
      <c r="Q414" s="25" t="inlineStr">
        <is>
          <t>Are students covered by their parents' home insurance? When residence and off-campus rentals count, limits and when to buy your own. Get a quote.</t>
        </is>
      </c>
      <c r="R414" s="36">
        <f>LEN(Q414)</f>
        <v/>
      </c>
      <c r="S414" s="36">
        <f>IF(H414="","",IF(ISNUMBER(SEARCH(SUBSTITUTE(H414,"-"," "),SUBSTITUTE(O414,"-"," "))),"Yes","Check"))</f>
        <v/>
      </c>
      <c r="T414" s="25" t="inlineStr">
        <is>
          <t>Does your parents' home insurance cover you at university? | Residence vs off-campus rentals | Limits that apply to students away from home | Liability when you rent off campus | When a student tenant policy is better | Questions to ask your parents' insurer</t>
        </is>
      </c>
      <c r="U414" s="25" t="inlineStr">
        <is>
          <t>Am I covered by my parents' home insurance in residence? | Does my parents' policy cover my off-campus apartment? | Do landlords accept a parent's policy as proof of insurance? | How much is tenant insurance for a student?</t>
        </is>
      </c>
      <c r="V414" s="25" t="inlineStr">
        <is>
          <t>Decision tree (residence vs off-campus, full-time status, age, distance) ending in 'covered with limits' or 'buy a student tenant policy', plus a call-your-insurer script.</t>
        </is>
      </c>
      <c r="W414" s="25" t="inlineStr">
        <is>
          <t>/tenant-insurance/students/; /guides/tenant-insurance-ontario-landlord-require/; /travel-insurance/international-students/; /guides/tenant-insurance-waterloo-students/</t>
        </is>
      </c>
      <c r="X414" s="25" t="inlineStr">
        <is>
          <t>Instant tenant insurance estimate for students (/quote/tenant-insurance/)</t>
        </is>
      </c>
      <c r="Y414" s="36" t="inlineStr">
        <is>
          <t>Article; FAQPage; BreadcrumbList</t>
        </is>
      </c>
      <c r="Z414" s="37" t="n">
        <v>1300</v>
      </c>
      <c r="AA414" s="25" t="inlineStr">
        <is>
          <t>Ratehub has student-renters-insurance and tenant-insurance-university-students, and Sonnet a student-home-insurance post; none gives a decision tree for residence vs off-campus.</t>
        </is>
      </c>
      <c r="AB414" s="25" t="inlineStr">
        <is>
          <t>Use 'are students covered by their parents' home insurance' in the H1, slug, meta title, first 100 words and first H2, with a 40–60 word answer on when coverage extends to residence or off-campus rentals and its limits. Add the decision tree as a table; link 'tenant insurance for students' to /tenant-insurance/students/ and 'international student health insurance' to /travel-insurance/international-students/; alt text 'student moving into a university residence'. Licensed P&amp;C reviewer; cite sample insurer wordings; refresh each July before back-to-school.</t>
        </is>
      </c>
      <c r="AC414" s="25" t="inlineStr">
        <is>
          <t>Student extensions differ by insurer; verify example conditions and do not state a universal age or distance limit.</t>
        </is>
      </c>
      <c r="AD414" s="36" t="inlineStr">
        <is>
          <t>Annual</t>
        </is>
      </c>
      <c r="AE414" s="38" t="n"/>
      <c r="AF414" s="38" t="n"/>
      <c r="AG414" s="38" t="n"/>
    </row>
    <row r="415" ht="57.45" customHeight="1" s="22">
      <c r="A415" s="36">
        <f>"B"&amp;TEXT(ROW()-1,"0000")</f>
        <v/>
      </c>
      <c r="B415" s="38" t="inlineStr">
        <is>
          <t>Planned</t>
        </is>
      </c>
      <c r="C415" s="36" t="n">
        <v>2</v>
      </c>
      <c r="D415" s="36" t="inlineStr">
        <is>
          <t>Tenant insurance</t>
        </is>
      </c>
      <c r="E415" s="36" t="inlineStr">
        <is>
          <t>Regulation</t>
        </is>
      </c>
      <c r="F415" s="25" t="inlineStr">
        <is>
          <t>Tenant Insurance Requirements by Province: Can Landlords Insist?</t>
        </is>
      </c>
      <c r="G415" s="36" t="inlineStr">
        <is>
          <t>https://instasure.ca/guides/tenant-insurance-requirements-by-province/</t>
        </is>
      </c>
      <c r="H415" s="36" t="inlineStr">
        <is>
          <t>tenant insurance requirements by province</t>
        </is>
      </c>
      <c r="I415" s="41">
        <f>IFERROR(INDEX('Nationwide KWs'!$D$2:$D$168,MATCH(H415,'Nationwide KWs'!$A$2:$A$168,0)),IFERROR(INDEX('Provincial KWs'!$E$2:$E$137,MATCH(H415,'Provincial KWs'!$A$2:$A$137,0)),IFERROR(INDEX('City KWs'!$F$2:$F$419,MATCH(H415,'City KWs'!$A$2:$A$419,0)),"")))</f>
        <v/>
      </c>
      <c r="J415" s="36" t="inlineStr">
        <is>
          <t>Low</t>
        </is>
      </c>
      <c r="K415" s="25" t="inlineStr">
        <is>
          <t>is tenant insurance mandatory in alberta; is tenant insurance mandatory in bc; is tenant insurance mandatory in quebec; can a landlord require tenant insurance; tenant insurance required nova scotia</t>
        </is>
      </c>
      <c r="L415" s="36" t="inlineStr">
        <is>
          <t>Nationwide</t>
        </is>
      </c>
      <c r="M415" s="36" t="inlineStr">
        <is>
          <t>informational</t>
        </is>
      </c>
      <c r="N415" s="36" t="inlineStr">
        <is>
          <t>TOFU</t>
        </is>
      </c>
      <c r="O415" s="25" t="inlineStr">
        <is>
          <t>Tenant Insurance Requirements by Province in Canada</t>
        </is>
      </c>
      <c r="P415" s="36">
        <f>LEN(O415)</f>
        <v/>
      </c>
      <c r="Q415" s="25" t="inlineStr">
        <is>
          <t>Tenant insurance requirements by province: whether landlords in AB, BC, QC, MB, SK and Atlantic Canada can require it and how to show proof. See the table.</t>
        </is>
      </c>
      <c r="R415" s="36">
        <f>LEN(Q415)</f>
        <v/>
      </c>
      <c r="S415" s="36">
        <f>IF(H415="","",IF(ISNUMBER(SEARCH(SUBSTITUTE(H415,"-"," "),SUBSTITUTE(O415,"-"," "))),"Yes","Check"))</f>
        <v/>
      </c>
      <c r="T415" s="25" t="inlineStr">
        <is>
          <t>Is tenant insurance mandatory? The short answer | Province-by-province table | When a lease can require it | What landlords usually ask for | How to show proof of insurance | What happens if you don't comply</t>
        </is>
      </c>
      <c r="U415" s="25" t="inlineStr">
        <is>
          <t>Is tenant insurance mandatory in Alberta? | Can a landlord in BC require tenant insurance? | Is tenant insurance required in Quebec? | What proof of tenant insurance do landlords accept?</t>
        </is>
      </c>
      <c r="V415" s="25" t="inlineStr">
        <is>
          <t>Province table (all 10 provinces plus territories): tenancy statute, whether a lease can require tenant insurance, standard-lease notes and the tenancy board to contact, with Ontario linked to the existing guide.</t>
        </is>
      </c>
      <c r="W415" s="25" t="inlineStr">
        <is>
          <t>/tenant-insurance/; /guides/tenant-insurance-ontario-landlord-require/; /tenant-insurance/alberta/; /tenant-insurance/british-columbia/</t>
        </is>
      </c>
      <c r="X415" s="25" t="inlineStr">
        <is>
          <t>Instant tenant insurance estimate (/quote/tenant-insurance/)</t>
        </is>
      </c>
      <c r="Y415" s="36" t="inlineStr">
        <is>
          <t>Article; FAQPage; BreadcrumbList</t>
        </is>
      </c>
      <c r="Z415" s="37" t="n">
        <v>1500</v>
      </c>
      <c r="AA415" s="25" t="inlineStr">
        <is>
          <t>Sonnet answers one province per FAQ (for example tenant-insurance-mandatory-alberta) and tenantrights.ca covers Ontario; nobody puts all provinces in one sourced table.</t>
        </is>
      </c>
      <c r="AB415" s="25" t="inlineStr">
        <is>
          <t>Use 'tenant insurance requirements by province' in the H1, slug, meta title, first 100 words and first H2, with a 40–60 word answer that no province requires it by law but most leases can. Lead with the province table; link 'Ontario rules' to the existing Ontario guide and 'tenant insurance in Alberta' to /tenant-insurance/alberta/; alt text 'map of tenant insurance rules by province'. Licensed P&amp;C reviewer; cite each province's residential tenancy statute and board; refresh on rule change.</t>
        </is>
      </c>
      <c r="AC415" s="25" t="inlineStr">
        <is>
          <t>Verify each province's residential tenancy statute and standard lease terms with the tenancy board; keep Quebec in English and general; no legal advice.</t>
        </is>
      </c>
      <c r="AD415" s="36" t="inlineStr">
        <is>
          <t>On rule change</t>
        </is>
      </c>
      <c r="AE415" s="38" t="n"/>
      <c r="AF415" s="38" t="n"/>
      <c r="AG415" s="38" t="n"/>
    </row>
    <row r="416" ht="46.25" customHeight="1" s="22">
      <c r="A416" s="36">
        <f>"B"&amp;TEXT(ROW()-1,"0000")</f>
        <v/>
      </c>
      <c r="B416" s="38" t="inlineStr">
        <is>
          <t>Planned</t>
        </is>
      </c>
      <c r="C416" s="36" t="n">
        <v>3</v>
      </c>
      <c r="D416" s="36" t="inlineStr">
        <is>
          <t>Tenant insurance</t>
        </is>
      </c>
      <c r="E416" s="36" t="inlineStr">
        <is>
          <t>How-to</t>
        </is>
      </c>
      <c r="F416" s="25" t="inlineStr">
        <is>
          <t>Moving Apartments: How to Keep Your Tenant Insurance Covered</t>
        </is>
      </c>
      <c r="G416" s="36" t="inlineStr">
        <is>
          <t>https://instasure.ca/guides/moving-tenant-insurance/</t>
        </is>
      </c>
      <c r="H416" s="36" t="inlineStr">
        <is>
          <t>tenant insurance when moving</t>
        </is>
      </c>
      <c r="I416" s="41">
        <f>IFERROR(INDEX('Nationwide KWs'!$D$2:$D$168,MATCH(H416,'Nationwide KWs'!$A$2:$A$168,0)),IFERROR(INDEX('Provincial KWs'!$E$2:$E$137,MATCH(H416,'Provincial KWs'!$A$2:$A$137,0)),IFERROR(INDEX('City KWs'!$F$2:$F$419,MATCH(H416,'City KWs'!$A$2:$A$419,0)),"")))</f>
        <v/>
      </c>
      <c r="J416" s="36" t="inlineStr">
        <is>
          <t>Low</t>
        </is>
      </c>
      <c r="K416" s="25" t="inlineStr">
        <is>
          <t>are my belongings covered while moving; transfer tenant insurance to new address; moving insurance canada; tenant insurance moving to another province; storage unit insurance</t>
        </is>
      </c>
      <c r="L416" s="36" t="inlineStr">
        <is>
          <t>Nationwide</t>
        </is>
      </c>
      <c r="M416" s="36" t="inlineStr">
        <is>
          <t>informational</t>
        </is>
      </c>
      <c r="N416" s="36" t="inlineStr">
        <is>
          <t>BOFU</t>
        </is>
      </c>
      <c r="O416" s="25" t="inlineStr">
        <is>
          <t>Tenant Insurance When Moving: Keep Your Belongings Covered</t>
        </is>
      </c>
      <c r="P416" s="36">
        <f>LEN(O416)</f>
        <v/>
      </c>
      <c r="Q416" s="25" t="inlineStr">
        <is>
          <t>Tenant insurance when moving: belongings in transit and storage, updating your address, overlapping two leases and moving provinces. Use the checklist.</t>
        </is>
      </c>
      <c r="R416" s="36">
        <f>LEN(Q416)</f>
        <v/>
      </c>
      <c r="S416" s="36">
        <f>IF(H416="","",IF(ISNUMBER(SEARCH(SUBSTITUTE(H416,"-"," "),SUBSTITUTE(O416,"-"," "))),"Yes","Check"))</f>
        <v/>
      </c>
      <c r="T416" s="25" t="inlineStr">
        <is>
          <t>Does tenant insurance cover you when moving? | Belongings in transit and the mover's liability | Storage units and limits | Updating your address and start date | Overlapping two leases | Moving to another province</t>
        </is>
      </c>
      <c r="U416" s="25" t="inlineStr">
        <is>
          <t>Are my belongings covered while I move? | Do I need a new tenant policy when I move? | Is my storage unit covered by tenant insurance? | What changes if I move to another province?</t>
        </is>
      </c>
      <c r="V416" s="25" t="inlineStr">
        <is>
          <t>Moving-week checklist with dates (notify the insurer, overlap coverage, mover's liability vs your policy, storage limits) and a province-move note.</t>
        </is>
      </c>
      <c r="W416" s="25" t="inlineStr">
        <is>
          <t>/tenant-insurance/; /guides/what-does-tenant-insurance-cover/; /guides/tenant-insurance-requirements-by-province/; /quote/</t>
        </is>
      </c>
      <c r="X416" s="25" t="inlineStr">
        <is>
          <t>Instant tenant insurance estimate for your new address (/quote/tenant-insurance/)</t>
        </is>
      </c>
      <c r="Y416" s="36" t="inlineStr">
        <is>
          <t>Article; FAQPage; BreadcrumbList</t>
        </is>
      </c>
      <c r="Z416" s="37" t="n">
        <v>1200</v>
      </c>
      <c r="AA416" s="25" t="inlineStr">
        <is>
          <t>Sonnet's five-moves-that-can-affect-your-insurance-rate is broader; no competitor gives a moving-week insurance checklist.</t>
        </is>
      </c>
      <c r="AB416" s="25" t="inlineStr">
        <is>
          <t>Use 'tenant insurance when moving' in the H1, slug, meta title, first 100 words and first H2, with a 40–60 word answer on transit, storage and the address change. Add the dated checklist; link 'requirements by province' to that guide and 'get a quote' to /quote/; alt text 'moving boxes stacked in an empty apartment'. Licensed P&amp;C reviewer; cite sample wordings; refresh annually before July 1 and September moves.</t>
        </is>
      </c>
      <c r="AC416" s="25" t="inlineStr">
        <is>
          <t>Transit and storage coverage vary by insurer; verify example sublimits and note that the mover's liability is separate.</t>
        </is>
      </c>
      <c r="AD416" s="36" t="inlineStr">
        <is>
          <t>Annual</t>
        </is>
      </c>
      <c r="AE416" s="38" t="n"/>
      <c r="AF416" s="38" t="n"/>
      <c r="AG416" s="38" t="n"/>
    </row>
    <row r="417" ht="57.45" customHeight="1" s="22">
      <c r="A417" s="36">
        <f>"B"&amp;TEXT(ROW()-1,"0000")</f>
        <v/>
      </c>
      <c r="B417" s="38" t="inlineStr">
        <is>
          <t>Planned</t>
        </is>
      </c>
      <c r="C417" s="36" t="n">
        <v>3</v>
      </c>
      <c r="D417" s="36" t="inlineStr">
        <is>
          <t>Tenant insurance</t>
        </is>
      </c>
      <c r="E417" s="36" t="inlineStr">
        <is>
          <t>Local (city/province)</t>
        </is>
      </c>
      <c r="F417" s="25" t="inlineStr">
        <is>
          <t>Tenant Insurance for Waterloo Students: UW, Laurier and Conestoga</t>
        </is>
      </c>
      <c r="G417" s="36" t="inlineStr">
        <is>
          <t>https://instasure.ca/guides/tenant-insurance-waterloo-students/</t>
        </is>
      </c>
      <c r="H417" s="36" t="inlineStr">
        <is>
          <t>tenant insurance waterloo</t>
        </is>
      </c>
      <c r="I417" s="41">
        <f>IFERROR(INDEX('Nationwide KWs'!$D$2:$D$168,MATCH(H417,'Nationwide KWs'!$A$2:$A$168,0)),IFERROR(INDEX('Provincial KWs'!$E$2:$E$137,MATCH(H417,'Provincial KWs'!$A$2:$A$137,0)),IFERROR(INDEX('City KWs'!$F$2:$F$419,MATCH(H417,'City KWs'!$A$2:$A$419,0)),"")))</f>
        <v/>
      </c>
      <c r="J417" s="36" t="inlineStr">
        <is>
          <t>Low</t>
        </is>
      </c>
      <c r="K417" s="25" t="inlineStr">
        <is>
          <t>student tenant insurance waterloo; renters insurance kitchener; university of waterloo off campus insurance; laurier student housing insurance; tenant insurance kitchener</t>
        </is>
      </c>
      <c r="L417" s="36" t="inlineStr">
        <is>
          <t>City: Waterloo, ON</t>
        </is>
      </c>
      <c r="M417" s="36" t="inlineStr">
        <is>
          <t>local</t>
        </is>
      </c>
      <c r="N417" s="36" t="inlineStr">
        <is>
          <t>BOFU</t>
        </is>
      </c>
      <c r="O417" s="25" t="inlineStr">
        <is>
          <t>Tenant Insurance Waterloo: A Guide for Student Renters</t>
        </is>
      </c>
      <c r="P417" s="36">
        <f>LEN(O417)</f>
        <v/>
      </c>
      <c r="Q417" s="25" t="inlineStr">
        <is>
          <t>Tenant insurance in Waterloo for students: student towers vs shared houses, landlord rules, parents' coverage limits and example costs. Get a quote.</t>
        </is>
      </c>
      <c r="R417" s="36">
        <f>LEN(Q417)</f>
        <v/>
      </c>
      <c r="S417" s="36">
        <f>IF(H417="","",IF(ISNUMBER(SEARCH(SUBSTITUTE(H417,"-"," "),SUBSTITUTE(O417,"-"," "))),"Yes","Check"))</f>
        <v/>
      </c>
      <c r="T417" s="25" t="inlineStr">
        <is>
          <t>Tenant insurance in Waterloo: the short answer | Purpose-built student buildings vs shared houses | What Waterloo and Kitchener landlords ask for | Are you covered by your parents' policy? | Example monthly costs | September move-in checklist</t>
        </is>
      </c>
      <c r="U417" s="25" t="inlineStr">
        <is>
          <t>Do I need tenant insurance as a student in Waterloo? | Does my student building require tenant insurance? | How much is tenant insurance in Waterloo? | Am I covered by my parents' insurance in Waterloo?</t>
        </is>
      </c>
      <c r="V417" s="25" t="inlineStr">
        <is>
          <t>Dated estimate table for Waterloo student rentals (purpose-built student building, shared house near campus, Kitchener apartment) and a September move-in checklist.</t>
        </is>
      </c>
      <c r="W417" s="25" t="inlineStr">
        <is>
          <t>/tenant-insurance/ontario/waterloo/; /tenant-insurance/students/; /guides/student-parents-home-insurance-coverage/; /tenant-insurance/ontario/kitchener/</t>
        </is>
      </c>
      <c r="X417" s="25" t="inlineStr">
        <is>
          <t>Instant tenant insurance estimate for students (/quote/tenant-insurance/)</t>
        </is>
      </c>
      <c r="Y417" s="36" t="inlineStr">
        <is>
          <t>Article; FAQPage; BreadcrumbList</t>
        </is>
      </c>
      <c r="Z417" s="37" t="n">
        <v>1200</v>
      </c>
      <c r="AA417" s="25" t="inlineStr">
        <is>
          <t>Rates.ca and Ratehub showed no Waterloo tenant pages; the strategy flags student towns as open.</t>
        </is>
      </c>
      <c r="AB417" s="25" t="inlineStr">
        <is>
          <t>Use 'tenant insurance Waterloo' in the H1, slug, meta title, first 100 words and first H2, with a 40–60 word answer for students on need and typical cost. Add the estimate table and move-in checklist; link 'tenant insurance for students' to /tenant-insurance/students/ and 'parents' home insurance' to that guide; alt text 'student housing near the University of Waterloo'. Licensed Ontario P&amp;C reviewer; cite the Instasure Rate Index; refresh each July.</t>
        </is>
      </c>
      <c r="AC417" s="25" t="inlineStr">
        <is>
          <t>Don't state specific student buildings' requirements without verifying; label estimates as modelled; avoid implying any university endorsement.</t>
        </is>
      </c>
      <c r="AD417" s="36" t="inlineStr">
        <is>
          <t>Annual</t>
        </is>
      </c>
      <c r="AE417" s="38" t="n"/>
      <c r="AF417" s="38" t="n"/>
      <c r="AG417" s="38" t="n"/>
    </row>
    <row r="418" ht="57.45" customHeight="1" s="22">
      <c r="A418" s="36">
        <f>"B"&amp;TEXT(ROW()-1,"0000")</f>
        <v/>
      </c>
      <c r="B418" s="38" t="inlineStr">
        <is>
          <t>Planned</t>
        </is>
      </c>
      <c r="C418" s="36" t="n">
        <v>3</v>
      </c>
      <c r="D418" s="36" t="inlineStr">
        <is>
          <t>Tenant insurance</t>
        </is>
      </c>
      <c r="E418" s="36" t="inlineStr">
        <is>
          <t>Local (city/province)</t>
        </is>
      </c>
      <c r="F418" s="25" t="inlineStr">
        <is>
          <t>Tenant Insurance in Halifax: Costs, Rules and Student Renters</t>
        </is>
      </c>
      <c r="G418" s="36" t="inlineStr">
        <is>
          <t>https://instasure.ca/guides/tenant-insurance-halifax/</t>
        </is>
      </c>
      <c r="H418" s="36" t="inlineStr">
        <is>
          <t>tenant insurance halifax</t>
        </is>
      </c>
      <c r="I418" s="41">
        <f>IFERROR(INDEX('Nationwide KWs'!$D$2:$D$168,MATCH(H418,'Nationwide KWs'!$A$2:$A$168,0)),IFERROR(INDEX('Provincial KWs'!$E$2:$E$137,MATCH(H418,'Provincial KWs'!$A$2:$A$137,0)),IFERROR(INDEX('City KWs'!$F$2:$F$419,MATCH(H418,'City KWs'!$A$2:$A$419,0)),"")))</f>
        <v/>
      </c>
      <c r="J418" s="36" t="inlineStr">
        <is>
          <t>Low</t>
        </is>
      </c>
      <c r="K418" s="25" t="inlineStr">
        <is>
          <t>renters insurance halifax; tenant insurance nova scotia; dalhousie student tenant insurance; is tenant insurance mandatory nova scotia; tenant insurance dartmouth</t>
        </is>
      </c>
      <c r="L418" s="36" t="inlineStr">
        <is>
          <t>City: Halifax, NS</t>
        </is>
      </c>
      <c r="M418" s="36" t="inlineStr">
        <is>
          <t>local</t>
        </is>
      </c>
      <c r="N418" s="36" t="inlineStr">
        <is>
          <t>BOFU</t>
        </is>
      </c>
      <c r="O418" s="25" t="inlineStr">
        <is>
          <t>Tenant Insurance Halifax: Costs, Rules and Student Renters</t>
        </is>
      </c>
      <c r="P418" s="36">
        <f>LEN(O418)</f>
        <v/>
      </c>
      <c r="Q418" s="25" t="inlineStr">
        <is>
          <t>Tenant insurance in Halifax: dated example costs, what Nova Scotia leases can require, cover for students and storm and power-outage claims. Get a quote.</t>
        </is>
      </c>
      <c r="R418" s="36">
        <f>LEN(Q418)</f>
        <v/>
      </c>
      <c r="S418" s="36">
        <f>IF(H418="","",IF(ISNUMBER(SEARCH(SUBSTITUTE(H418,"-"," "),SUBSTITUTE(O418,"-"," "))),"Yes","Check"))</f>
        <v/>
      </c>
      <c r="T418" s="25" t="inlineStr">
        <is>
          <t>Tenant insurance in Halifax: the short answer | Example costs: Halifax and Dartmouth | What Nova Scotia leases can require | Students at Dalhousie, SMU and NSCC | Storms, power outages and food spoilage | Compare quotes with a licensed advisor</t>
        </is>
      </c>
      <c r="U418" s="25" t="inlineStr">
        <is>
          <t>How much is tenant insurance in Halifax? | Can a Nova Scotia landlord require tenant insurance? | Does tenant insurance cover food lost in a power outage? | Do Dalhousie students need tenant insurance?</t>
        </is>
      </c>
      <c r="V418" s="25" t="inlineStr">
        <is>
          <t>Dated estimate table for Halifax and Dartmouth rentals plus a Nova Scotia Residential Tenancies Act note on lease insurance clauses and a storm-season checklist.</t>
        </is>
      </c>
      <c r="W418" s="25" t="inlineStr">
        <is>
          <t>/tenant-insurance/nova-scotia/halifax/; /tenant-insurance/nova-scotia/; /tenant-insurance/students/; /guides/tenant-insurance-requirements-by-province/</t>
        </is>
      </c>
      <c r="X418" s="25" t="inlineStr">
        <is>
          <t>Instant tenant insurance estimate for Halifax (/quote/tenant-insurance/)</t>
        </is>
      </c>
      <c r="Y418" s="36" t="inlineStr">
        <is>
          <t>Article; FAQPage; BreadcrumbList</t>
        </is>
      </c>
      <c r="Z418" s="37" t="n">
        <v>1200</v>
      </c>
      <c r="AA418" s="25" t="inlineStr">
        <is>
          <t>The keyword map shows no competitor ranking for 'tenant insurance halifax'; Ratehub has only a Nova Scotia tenant province page.</t>
        </is>
      </c>
      <c r="AB418" s="25" t="inlineStr">
        <is>
          <t>Use 'tenant insurance Halifax' in the H1, slug, meta title, first 100 words and first H2, with a 40–60 word answer giving the dated range and the Nova Scotia lease rule. Add the estimate table and storm checklist; link 'tenant insurance in Halifax' to /tenant-insurance/nova-scotia/halifax/ and 'requirements by province' to that guide; alt text 'Halifax apartment buildings on a stormy day'. Licensed Nova Scotia P&amp;C reviewer; cite Nova Scotia Residential Tenancies; refresh annually.</t>
        </is>
      </c>
      <c r="AC418" s="25" t="inlineStr">
        <is>
          <t>Verify Nova Scotia tenancy rules on insurance clauses with Residential Tenancies; label estimates as modelled.</t>
        </is>
      </c>
      <c r="AD418" s="36" t="inlineStr">
        <is>
          <t>Annual</t>
        </is>
      </c>
      <c r="AE418" s="38" t="n"/>
      <c r="AF418" s="38" t="n"/>
      <c r="AG418" s="38" t="n"/>
    </row>
    <row r="419" ht="57.45" customHeight="1" s="22">
      <c r="A419" s="36">
        <f>"B"&amp;TEXT(ROW()-1,"0000")</f>
        <v/>
      </c>
      <c r="B419" s="38" t="inlineStr">
        <is>
          <t>Planned</t>
        </is>
      </c>
      <c r="C419" s="36" t="n">
        <v>3</v>
      </c>
      <c r="D419" s="36" t="inlineStr">
        <is>
          <t>Tenant insurance</t>
        </is>
      </c>
      <c r="E419" s="36" t="inlineStr">
        <is>
          <t>Local (city/province)</t>
        </is>
      </c>
      <c r="F419" s="25" t="inlineStr">
        <is>
          <t>Tenant Insurance in London, Ontario for Western and Fanshawe Students</t>
        </is>
      </c>
      <c r="G419" s="36" t="inlineStr">
        <is>
          <t>https://instasure.ca/guides/tenant-insurance-london-ontario-students/</t>
        </is>
      </c>
      <c r="H419" s="36" t="inlineStr">
        <is>
          <t>tenant insurance london ontario</t>
        </is>
      </c>
      <c r="I419" s="41">
        <f>IFERROR(INDEX('Nationwide KWs'!$D$2:$D$168,MATCH(H419,'Nationwide KWs'!$A$2:$A$168,0)),IFERROR(INDEX('Provincial KWs'!$E$2:$E$137,MATCH(H419,'Provincial KWs'!$A$2:$A$137,0)),IFERROR(INDEX('City KWs'!$F$2:$F$419,MATCH(H419,'City KWs'!$A$2:$A$419,0)),"")))</f>
        <v/>
      </c>
      <c r="J419" s="36" t="inlineStr">
        <is>
          <t>Low</t>
        </is>
      </c>
      <c r="K419" s="25" t="inlineStr">
        <is>
          <t>student renters insurance london ontario; western university off campus insurance; fanshawe student housing insurance; tenant insurance london on cost; renters insurance near campus london</t>
        </is>
      </c>
      <c r="L419" s="36" t="inlineStr">
        <is>
          <t>City: London, ON</t>
        </is>
      </c>
      <c r="M419" s="36" t="inlineStr">
        <is>
          <t>local</t>
        </is>
      </c>
      <c r="N419" s="36" t="inlineStr">
        <is>
          <t>BOFU</t>
        </is>
      </c>
      <c r="O419" s="25" t="inlineStr">
        <is>
          <t>Tenant Insurance London Ontario: Western and Fanshawe Guide</t>
        </is>
      </c>
      <c r="P419" s="36">
        <f>LEN(O419)</f>
        <v/>
      </c>
      <c r="Q419" s="25" t="inlineStr">
        <is>
          <t>Tenant insurance in London, Ontario: what Western and Fanshawe students and renters pay, shared-house liability and landlord rules. Get an estimate.</t>
        </is>
      </c>
      <c r="R419" s="36">
        <f>LEN(Q419)</f>
        <v/>
      </c>
      <c r="S419" s="36">
        <f>IF(H419="","",IF(ISNUMBER(SEARCH(SUBSTITUTE(H419,"-"," "),SUBSTITUTE(O419,"-"," "))),"Yes","Check"))</f>
        <v/>
      </c>
      <c r="T419" s="25" t="inlineStr">
        <is>
          <t>Tenant insurance in London, Ontario: the short answer | Student houses near Western and Fanshawe | Downtown apartments and basement units | What London landlords ask for | Example monthly costs | Lease-signing checklist</t>
        </is>
      </c>
      <c r="U419" s="25" t="inlineStr">
        <is>
          <t>How much is tenant insurance in London, Ontario? | Do London landlords require tenant insurance? | Do Western students need their own tenant insurance? | Does tenant insurance cover my bike on campus?</t>
        </is>
      </c>
      <c r="V419" s="25" t="inlineStr">
        <is>
          <t>Dated estimate table for London rentals (student house near campus, downtown apartment, basement unit) and a lease-signing insurance checklist.</t>
        </is>
      </c>
      <c r="W419" s="25" t="inlineStr">
        <is>
          <t>/tenant-insurance/ontario/london/; /tenant-insurance/students/; /guides/tenant-insurance-ontario-landlord-require/; /guides/tenant-insurance-roommates/</t>
        </is>
      </c>
      <c r="X419" s="25" t="inlineStr">
        <is>
          <t>Instant tenant insurance estimate for London (/quote/tenant-insurance/)</t>
        </is>
      </c>
      <c r="Y419" s="36" t="inlineStr">
        <is>
          <t>Article; FAQPage; BreadcrumbList</t>
        </is>
      </c>
      <c r="Z419" s="37" t="n">
        <v>1200</v>
      </c>
      <c r="AA419" s="25" t="inlineStr">
        <is>
          <t>The keyword map shows no competitor ranking for 'tenant insurance london ontario'; Ratehub and Rates.ca have no London tenant pages.</t>
        </is>
      </c>
      <c r="AB419" s="25" t="inlineStr">
        <is>
          <t>Use 'tenant insurance London Ontario' in the H1, slug, meta title, first 100 words and first H2, with a 40–60 word answer giving the dated range and profile. Add the estimate table and lease checklist; link 'tenant insurance in London' to /tenant-insurance/ontario/london/ and 'Ontario landlord rules' to the Ontario guide; alt text 'student rental houses near Western University'. Licensed Ontario P&amp;C reviewer; cite the Instasure Rate Index; refresh each July.</t>
        </is>
      </c>
      <c r="AC419" s="25" t="inlineStr">
        <is>
          <t>Label estimates as modelled; verify London's residential rental licensing references; avoid implying university endorsement.</t>
        </is>
      </c>
      <c r="AD419" s="36" t="inlineStr">
        <is>
          <t>Annual</t>
        </is>
      </c>
      <c r="AE419" s="38" t="n"/>
      <c r="AF419" s="38" t="n"/>
      <c r="AG419" s="38" t="n"/>
    </row>
    <row r="420" ht="46.25" customHeight="1" s="22">
      <c r="A420" s="36">
        <f>"B"&amp;TEXT(ROW()-1,"0000")</f>
        <v/>
      </c>
      <c r="B420" s="38" t="inlineStr">
        <is>
          <t>Planned</t>
        </is>
      </c>
      <c r="C420" s="36" t="n">
        <v>3</v>
      </c>
      <c r="D420" s="36" t="inlineStr">
        <is>
          <t>Tenant insurance</t>
        </is>
      </c>
      <c r="E420" s="36" t="inlineStr">
        <is>
          <t>Personas</t>
        </is>
      </c>
      <c r="F420" s="25" t="inlineStr">
        <is>
          <t>Tenant Insurance for Roommates: One Policy or Separate?</t>
        </is>
      </c>
      <c r="G420" s="36" t="inlineStr">
        <is>
          <t>https://instasure.ca/guides/tenant-insurance-roommates/</t>
        </is>
      </c>
      <c r="H420" s="36" t="inlineStr">
        <is>
          <t>tenant insurance for roommates</t>
        </is>
      </c>
      <c r="I420" s="41">
        <f>IFERROR(INDEX('Nationwide KWs'!$D$2:$D$168,MATCH(H420,'Nationwide KWs'!$A$2:$A$168,0)),IFERROR(INDEX('Provincial KWs'!$E$2:$E$137,MATCH(H420,'Provincial KWs'!$A$2:$A$137,0)),IFERROR(INDEX('City KWs'!$F$2:$F$419,MATCH(H420,'City KWs'!$A$2:$A$419,0)),"")))</f>
        <v/>
      </c>
      <c r="J420" s="36" t="inlineStr">
        <is>
          <t>Low</t>
        </is>
      </c>
      <c r="K420" s="25" t="inlineStr">
        <is>
          <t>can roommates share tenant insurance; renters insurance roommate; roommate damage liability; shared apartment insurance; couples tenant insurance</t>
        </is>
      </c>
      <c r="L420" s="36" t="inlineStr">
        <is>
          <t>Nationwide</t>
        </is>
      </c>
      <c r="M420" s="36" t="inlineStr">
        <is>
          <t>informational</t>
        </is>
      </c>
      <c r="N420" s="36" t="inlineStr">
        <is>
          <t>MOFU</t>
        </is>
      </c>
      <c r="O420" s="25" t="inlineStr">
        <is>
          <t>Tenant Insurance for Roommates: One Policy or Separate?</t>
        </is>
      </c>
      <c r="P420" s="36">
        <f>LEN(O420)</f>
        <v/>
      </c>
      <c r="Q420" s="25" t="inlineStr">
        <is>
          <t>Tenant insurance for roommates: why insurers want separate policies, what happens if a roommate causes a fire and when couples can share. Get a quote.</t>
        </is>
      </c>
      <c r="R420" s="36">
        <f>LEN(Q420)</f>
        <v/>
      </c>
      <c r="S420" s="36">
        <f>IF(H420="","",IF(ISNUMBER(SEARCH(SUBSTITUTE(H420,"-"," "),SUBSTITUTE(O420,"-"," "))),"Yes","Check"))</f>
        <v/>
      </c>
      <c r="T420" s="25" t="inlineStr">
        <is>
          <t>Can roommates share tenant insurance? | Why insurers usually want separate policies | When couples can share one policy | If a roommate causes a fire or flood | Theft by a roommate or their guest | Moving out and splitting shared furniture</t>
        </is>
      </c>
      <c r="U420" s="25" t="inlineStr">
        <is>
          <t>Can two roommates be on one tenant insurance policy? | Am I liable if my roommate starts a fire? | Does tenant insurance cover theft by a roommate? | Do couples need separate tenant insurance?</t>
        </is>
      </c>
      <c r="V420" s="25" t="inlineStr">
        <is>
          <t>Scenario table for roommates and couples (fire started by a roommate, theft by a guest, shared furniture, break-up and move-out) showing which policy responds.</t>
        </is>
      </c>
      <c r="W420" s="25" t="inlineStr">
        <is>
          <t>/tenant-insurance/; /guides/what-does-tenant-insurance-cover/; /guides/tenant-legal-liability-insurance/; /tenant-insurance/students/</t>
        </is>
      </c>
      <c r="X420" s="25" t="inlineStr">
        <is>
          <t>Instant tenant insurance estimate (/quote/tenant-insurance/)</t>
        </is>
      </c>
      <c r="Y420" s="36" t="inlineStr">
        <is>
          <t>Article; FAQPage; BreadcrumbList</t>
        </is>
      </c>
      <c r="Z420" s="37" t="n">
        <v>1200</v>
      </c>
      <c r="AA420" s="25" t="inlineStr">
        <is>
          <t>Covered only in passing in the Instasure student service FAQ; no competitor guide was seen in the research.</t>
        </is>
      </c>
      <c r="AB420" s="25" t="inlineStr">
        <is>
          <t>Use 'tenant insurance for roommates' in the H1, slug, meta title, first 100 words and first H2, with a 40–60 word answer on separate vs shared policies. Add the scenario table; link 'what tenant insurance covers' to that guide and 'tenant legal liability' to that guide; alt text 'roommates sharing an apartment kitchen'. Licensed P&amp;C reviewer; cite sample wordings on 'household' definitions; refresh annually.</t>
        </is>
      </c>
      <c r="AC420" s="25" t="inlineStr">
        <is>
          <t>Verify how insurers define 'household' (spouses vs unrelated roommates) and keep examples generic.</t>
        </is>
      </c>
      <c r="AD420" s="36" t="inlineStr">
        <is>
          <t>Annual</t>
        </is>
      </c>
      <c r="AE420" s="38" t="n"/>
      <c r="AF420" s="38" t="n"/>
      <c r="AG420" s="38" t="n"/>
    </row>
    <row r="421" ht="57.45" customHeight="1" s="22">
      <c r="A421" s="36">
        <f>"B"&amp;TEXT(ROW()-1,"0000")</f>
        <v/>
      </c>
      <c r="B421" s="38" t="inlineStr">
        <is>
          <t>Planned</t>
        </is>
      </c>
      <c r="C421" s="36" t="n">
        <v>4</v>
      </c>
      <c r="D421" s="36" t="inlineStr">
        <is>
          <t>Tenant insurance</t>
        </is>
      </c>
      <c r="E421" s="36" t="inlineStr">
        <is>
          <t>Local (city/province)</t>
        </is>
      </c>
      <c r="F421" s="25" t="inlineStr">
        <is>
          <t>Tenant Insurance for Queen's and St. Lawrence Students in Kingston</t>
        </is>
      </c>
      <c r="G421" s="36" t="inlineStr">
        <is>
          <t>https://instasure.ca/guides/tenant-insurance-kingston-students/</t>
        </is>
      </c>
      <c r="H421" s="36" t="inlineStr">
        <is>
          <t>tenant insurance kingston</t>
        </is>
      </c>
      <c r="I421" s="41">
        <f>IFERROR(INDEX('Nationwide KWs'!$D$2:$D$168,MATCH(H421,'Nationwide KWs'!$A$2:$A$168,0)),IFERROR(INDEX('Provincial KWs'!$E$2:$E$137,MATCH(H421,'Provincial KWs'!$A$2:$A$137,0)),IFERROR(INDEX('City KWs'!$F$2:$F$419,MATCH(H421,'City KWs'!$A$2:$A$419,0)),"")))</f>
        <v/>
      </c>
      <c r="J421" s="36" t="inlineStr">
        <is>
          <t>Niche</t>
        </is>
      </c>
      <c r="K421" s="25" t="inlineStr">
        <is>
          <t>student tenant insurance kingston; queens university off campus insurance; renters insurance kingston ontario; university district kingston rental insurance; student house fire insurance</t>
        </is>
      </c>
      <c r="L421" s="36" t="inlineStr">
        <is>
          <t>City: Kingston, ON</t>
        </is>
      </c>
      <c r="M421" s="36" t="inlineStr">
        <is>
          <t>local</t>
        </is>
      </c>
      <c r="N421" s="36" t="inlineStr">
        <is>
          <t>BOFU</t>
        </is>
      </c>
      <c r="O421" s="25" t="inlineStr">
        <is>
          <t>Tenant Insurance Kingston: Guide for Queen's Students</t>
        </is>
      </c>
      <c r="P421" s="36">
        <f>LEN(O421)</f>
        <v/>
      </c>
      <c r="Q421" s="25" t="inlineStr">
        <is>
          <t>Tenant insurance in Kingston for Queen's and St. Lawrence students: older shared houses, fire and liability risks and example costs. Get a student quote.</t>
        </is>
      </c>
      <c r="R421" s="36">
        <f>LEN(Q421)</f>
        <v/>
      </c>
      <c r="S421" s="36">
        <f>IF(H421="","",IF(ISNUMBER(SEARCH(SUBSTITUTE(H421,"-"," "),SUBSTITUTE(O421,"-"," "))),"Yes","Check"))</f>
        <v/>
      </c>
      <c r="T421" s="25" t="inlineStr">
        <is>
          <t>Tenant insurance in Kingston: the short answer | Older shared houses near campus | Fire, space heaters and liability for guests | What Kingston landlords ask for | Example monthly costs | Move-in safety checklist</t>
        </is>
      </c>
      <c r="U421" s="25" t="inlineStr">
        <is>
          <t>Do Queen's students need tenant insurance? | Am I liable if a guest is hurt at our student house? | How much is tenant insurance in Kingston? | Does my parents' policy cover me in Kingston?</t>
        </is>
      </c>
      <c r="V421" s="25" t="inlineStr">
        <is>
          <t>Checklist for older University District houses (smoke alarms, space heaters, extension cords, liability for guests) tied to policy conditions, plus dated estimates for a student profile.</t>
        </is>
      </c>
      <c r="W421" s="25" t="inlineStr">
        <is>
          <t>/tenant-insurance/ontario/kingston/; /tenant-insurance/students/; /guides/tenant-insurance-roommates/; /guides/student-parents-home-insurance-coverage/</t>
        </is>
      </c>
      <c r="X421" s="25" t="inlineStr">
        <is>
          <t>Instant tenant insurance estimate for students (/quote/tenant-insurance/)</t>
        </is>
      </c>
      <c r="Y421" s="36" t="inlineStr">
        <is>
          <t>Article; FAQPage; BreadcrumbList</t>
        </is>
      </c>
      <c r="Z421" s="37" t="n">
        <v>1100</v>
      </c>
      <c r="AA421" s="25" t="inlineStr">
        <is>
          <t>Rates.ca and Ratehub showed no Kingston tenant pages; the strategy flags student towns as open.</t>
        </is>
      </c>
      <c r="AB421" s="25" t="inlineStr">
        <is>
          <t>Use 'tenant insurance Kingston' in the H1, slug, meta title, first 100 words and first H2, with a 40–60 word answer for students on need and typical cost. Add the safety checklist and estimate table; link 'roommates' to the roommate guide and 'tenant insurance in Kingston' to /tenant-insurance/ontario/kingston/; alt text 'older student houses in Kingston's University District'. Licensed Ontario P&amp;C reviewer; cite Kingston Fire and Rescue guidance; refresh each July.</t>
        </is>
      </c>
      <c r="AC421" s="25" t="inlineStr">
        <is>
          <t>Label estimates as modelled; verify any municipal rental-licensing references with the City of Kingston; avoid implying university endorsement.</t>
        </is>
      </c>
      <c r="AD421" s="36" t="inlineStr">
        <is>
          <t>Annual</t>
        </is>
      </c>
      <c r="AE421" s="38" t="n"/>
      <c r="AF421" s="38" t="n"/>
      <c r="AG421" s="38" t="n"/>
    </row>
    <row r="422" ht="46.25" customHeight="1" s="22">
      <c r="A422" s="36">
        <f>"B"&amp;TEXT(ROW()-1,"0000")</f>
        <v/>
      </c>
      <c r="B422" s="38" t="inlineStr">
        <is>
          <t>Published</t>
        </is>
      </c>
      <c r="C422" s="36" t="n">
        <v>1</v>
      </c>
      <c r="D422" s="36" t="inlineStr">
        <is>
          <t>Landlord &amp; rental property</t>
        </is>
      </c>
      <c r="E422" s="36" t="inlineStr">
        <is>
          <t>Comparisons</t>
        </is>
      </c>
      <c r="F422" s="25" t="inlineStr">
        <is>
          <t>Landlord Insurance vs Home Insurance: When You Need a Rental Policy</t>
        </is>
      </c>
      <c r="G422" s="36" t="inlineStr">
        <is>
          <t>https://instasure.ca/guides/landlord-insurance-vs-home-insurance/</t>
        </is>
      </c>
      <c r="H422" s="36" t="inlineStr">
        <is>
          <t>landlord insurance vs home insurance</t>
        </is>
      </c>
      <c r="I422" s="41">
        <f>IFERROR(INDEX('Nationwide KWs'!$D$2:$D$168,MATCH(H422,'Nationwide KWs'!$A$2:$A$168,0)),IFERROR(INDEX('Provincial KWs'!$E$2:$E$137,MATCH(H422,'Provincial KWs'!$A$2:$A$137,0)),IFERROR(INDEX('City KWs'!$F$2:$F$419,MATCH(H422,'City KWs'!$A$2:$A$419,0)),"")))</f>
        <v/>
      </c>
      <c r="J422" s="36" t="inlineStr">
        <is>
          <t>Low</t>
        </is>
      </c>
      <c r="K422" s="25" t="inlineStr">
        <is>
          <t>do i need landlord insurance; rental dwelling policy; homeowners insurance on a rental property; renting out my house insurance; rental property insurance canada</t>
        </is>
      </c>
      <c r="L422" s="36" t="inlineStr">
        <is>
          <t>Nationwide</t>
        </is>
      </c>
      <c r="M422" s="36" t="inlineStr">
        <is>
          <t>commercial</t>
        </is>
      </c>
      <c r="N422" s="36" t="inlineStr">
        <is>
          <t>MOFU</t>
        </is>
      </c>
      <c r="O422" s="25" t="inlineStr">
        <is>
          <t>Landlord Insurance vs Home Insurance: Which Do You Need?</t>
        </is>
      </c>
      <c r="P422" s="36">
        <f>LEN(O422)</f>
        <v/>
      </c>
      <c r="Q422" s="25" t="inlineStr">
        <is>
          <t>Landlord insurance vs home insurance: when renting out a house, suite or condo changes your policy and what a rental policy adds. Talk to an advisor.</t>
        </is>
      </c>
      <c r="R422" s="36">
        <f>LEN(Q422)</f>
        <v/>
      </c>
      <c r="S422" s="36">
        <f>IF(H422="","",IF(ISNUMBER(SEARCH(SUBSTITUTE(H422,"-"," "),SUBSTITUTE(O422,"-"," "))),"Yes","Check"))</f>
        <v/>
      </c>
      <c r="T422" s="25" t="inlineStr">
        <is>
          <t>Landlord insurance vs home insurance: the short answer | Why a homeowner policy stops fitting once you rent | Renting a suite in the home you live in | Renting the whole property | What a rental dwelling policy adds | How to switch without a gap</t>
        </is>
      </c>
      <c r="U422" s="25" t="inlineStr">
        <is>
          <t>Do I need landlord insurance if I rent out my house? | Can I keep my home insurance if I rent out my basement? | What happens if I don't tell my insurer I'm renting? | Is landlord insurance more expensive than home insurance?</t>
        </is>
      </c>
      <c r="V422" s="25" t="inlineStr">
        <is>
          <t>Comparison table of three setups (homeowner policy, homeowner with rental suite endorsement, rental dwelling or landlord policy) across building, contents, rental income, liability, vacancy and theft by tenants.</t>
        </is>
      </c>
      <c r="W422" s="25" t="inlineStr">
        <is>
          <t>/landlord-insurance/; /home-insurance/; /guides/what-does-landlord-insurance-cover/; /guides/basement-suite-insurance/</t>
        </is>
      </c>
      <c r="X422" s="25" t="inlineStr">
        <is>
          <t>Advisor quote for a rental property (/landlord-insurance/)</t>
        </is>
      </c>
      <c r="Y422" s="36" t="inlineStr">
        <is>
          <t>Article; FAQPage; BreadcrumbList</t>
        </is>
      </c>
      <c r="Z422" s="37" t="n">
        <v>1600</v>
      </c>
      <c r="AA422" s="25" t="inlineStr">
        <is>
          <t>Ratehub (rental-income-property-insurance) and Rates.ca (commercial-property/landlord) run product pages; Sonnet sells landlord cover, but no guide compares the three setups.</t>
        </is>
      </c>
      <c r="AB422" s="25" t="inlineStr">
        <is>
          <t>Use 'landlord insurance vs home insurance' in the H1, slug, meta title, first 100 words and first H2, with a 40–60 word answer on when a rental policy is needed. Put the three-setup table near the top; link 'landlord insurance' to /landlord-insurance/ and 'basement suite' to the suite guide; alt text 'landlord handing keys to a tenant at a house'. Licensed P&amp;C reviewer; cite insurer wordings and IBC; refresh annually.</t>
        </is>
      </c>
      <c r="AC422" s="25" t="inlineStr">
        <is>
          <t>Describe policy forms generically; say undisclosed rental use can limit or void coverage depending on the wording rather than stating it as absolute.</t>
        </is>
      </c>
      <c r="AD422" s="36" t="inlineStr">
        <is>
          <t>Annual</t>
        </is>
      </c>
      <c r="AE422" s="38" t="inlineStr">
        <is>
          <t>Michael Le Chi</t>
        </is>
      </c>
      <c r="AF422" s="38" t="n"/>
      <c r="AG422" s="38" t="inlineStr">
        <is>
          <t>2026-10-12</t>
        </is>
      </c>
    </row>
    <row r="423" ht="46.25" customHeight="1" s="22">
      <c r="A423" s="36">
        <f>"B"&amp;TEXT(ROW()-1,"0000")</f>
        <v/>
      </c>
      <c r="B423" s="38" t="inlineStr">
        <is>
          <t>Planned</t>
        </is>
      </c>
      <c r="C423" s="36" t="n">
        <v>1</v>
      </c>
      <c r="D423" s="36" t="inlineStr">
        <is>
          <t>Landlord &amp; rental property</t>
        </is>
      </c>
      <c r="E423" s="36" t="inlineStr">
        <is>
          <t>Cost &amp; pricing</t>
        </is>
      </c>
      <c r="F423" s="25" t="inlineStr">
        <is>
          <t>How Much Is Landlord Insurance in Canada? Cost Factors and Examples</t>
        </is>
      </c>
      <c r="G423" s="36" t="inlineStr">
        <is>
          <t>https://instasure.ca/guides/landlord-insurance-cost/</t>
        </is>
      </c>
      <c r="H423" s="36" t="inlineStr">
        <is>
          <t>landlord insurance cost</t>
        </is>
      </c>
      <c r="I423" s="41">
        <f>IFERROR(INDEX('Nationwide KWs'!$D$2:$D$168,MATCH(H423,'Nationwide KWs'!$A$2:$A$168,0)),IFERROR(INDEX('Provincial KWs'!$E$2:$E$137,MATCH(H423,'Provincial KWs'!$A$2:$A$137,0)),IFERROR(INDEX('City KWs'!$F$2:$F$419,MATCH(H423,'City KWs'!$A$2:$A$419,0)),"")))</f>
        <v/>
      </c>
      <c r="J423" s="36" t="inlineStr">
        <is>
          <t>Low</t>
        </is>
      </c>
      <c r="K423" s="25" t="inlineStr">
        <is>
          <t>how much is landlord insurance; rental property insurance cost; landlord insurance ontario cost; condo landlord insurance cost; duplex insurance cost</t>
        </is>
      </c>
      <c r="L423" s="36" t="inlineStr">
        <is>
          <t>Nationwide</t>
        </is>
      </c>
      <c r="M423" s="36" t="inlineStr">
        <is>
          <t>commercial</t>
        </is>
      </c>
      <c r="N423" s="36" t="inlineStr">
        <is>
          <t>MOFU</t>
        </is>
      </c>
      <c r="O423" s="25" t="inlineStr">
        <is>
          <t>Landlord Insurance Cost in Canada: Factors and Examples</t>
        </is>
      </c>
      <c r="P423" s="36">
        <f>LEN(O423)</f>
        <v/>
      </c>
      <c r="Q423" s="25" t="inlineStr">
        <is>
          <t>Landlord insurance cost in Canada: what drives premiums for houses, condos and multi-unit rentals, with dated example estimates. Get an advisor quote.</t>
        </is>
      </c>
      <c r="R423" s="36">
        <f>LEN(Q423)</f>
        <v/>
      </c>
      <c r="S423" s="36">
        <f>IF(H423="","",IF(ISNUMBER(SEARCH(SUBSTITUTE(H423,"-"," "),SUBSTITUTE(O423,"-"," "))),"Yes","Check"))</f>
        <v/>
      </c>
      <c r="T423" s="25" t="inlineStr">
        <is>
          <t>How much is landlord insurance? | Example estimates for four rental profiles | What drives landlord premiums | Condo units vs houses vs multi-unit | Rental income and liability limits | Ways to lower the cost</t>
        </is>
      </c>
      <c r="U423" s="25" t="inlineStr">
        <is>
          <t>How much does landlord insurance cost per year? | Is landlord insurance more than home insurance? | Does renting to students cost more to insure? | Can I lower landlord insurance by requiring tenant insurance?</t>
        </is>
      </c>
      <c r="V423" s="25" t="inlineStr">
        <is>
          <t>Dated example table for four rental profiles (condo unit, detached house, house with basement suite, triplex) with the coverage assumed, labelled as modelled, plus a rating-factor checklist.</t>
        </is>
      </c>
      <c r="W423" s="25" t="inlineStr">
        <is>
          <t>/landlord-insurance/; /guides/landlord-insurance-vs-home-insurance/; /guides/renting-out-your-condo-insurance/; /insights/rate-index/</t>
        </is>
      </c>
      <c r="X423" s="25" t="inlineStr">
        <is>
          <t>Advisor quote for a rental property (/landlord-insurance/)</t>
        </is>
      </c>
      <c r="Y423" s="36" t="inlineStr">
        <is>
          <t>Article; FAQPage; BreadcrumbList</t>
        </is>
      </c>
      <c r="Z423" s="37" t="n">
        <v>1500</v>
      </c>
      <c r="AA423" s="25" t="inlineStr">
        <is>
          <t>Rates.ca anchors 'affordable landlord insurance' and student rental houses ($1,500–3,000) without profiles; Ratehub and Sonnet show no dated examples.</t>
        </is>
      </c>
      <c r="AB423" s="25" t="inlineStr">
        <is>
          <t>Use 'landlord insurance cost' in the H1, slug, meta title, first 100 words and first H2, with a 40–60 word answer giving the profiles and dated ranges. Add the four-profile table and factor checklist; link 'landlord insurance' to /landlord-insurance/ and 'condo landlord' to the condo guide; alt text 'table of landlord insurance cost examples'. Licensed P&amp;C reviewer; cite the Instasure Rate Index methodology; refresh quarterly.</t>
        </is>
      </c>
      <c r="AC423" s="25" t="inlineStr">
        <is>
          <t>Verify and attribute Rates.ca's price anchors if used; label every example as a modelled estimate with stated coverage and date.</t>
        </is>
      </c>
      <c r="AD423" s="36" t="inlineStr">
        <is>
          <t>Quarterly</t>
        </is>
      </c>
      <c r="AE423" s="38" t="n"/>
      <c r="AF423" s="38" t="n"/>
      <c r="AG423" s="38" t="n"/>
    </row>
    <row r="424" ht="57.45" customHeight="1" s="22">
      <c r="A424" s="36">
        <f>"B"&amp;TEXT(ROW()-1,"0000")</f>
        <v/>
      </c>
      <c r="B424" s="38" t="inlineStr">
        <is>
          <t>Planned</t>
        </is>
      </c>
      <c r="C424" s="36" t="n">
        <v>1</v>
      </c>
      <c r="D424" s="36" t="inlineStr">
        <is>
          <t>Landlord &amp; rental property</t>
        </is>
      </c>
      <c r="E424" s="36" t="inlineStr">
        <is>
          <t>Coverage explained</t>
        </is>
      </c>
      <c r="F424" s="25" t="inlineStr">
        <is>
          <t>Does Home Insurance Cover Airbnb? What Canadian Hosts Need</t>
        </is>
      </c>
      <c r="G424" s="36" t="inlineStr">
        <is>
          <t>https://instasure.ca/guides/does-home-insurance-cover-airbnb/</t>
        </is>
      </c>
      <c r="H424" s="36" t="inlineStr">
        <is>
          <t>does home insurance cover airbnb</t>
        </is>
      </c>
      <c r="I424" s="41">
        <f>IFERROR(INDEX('Nationwide KWs'!$D$2:$D$168,MATCH(H424,'Nationwide KWs'!$A$2:$A$168,0)),IFERROR(INDEX('Provincial KWs'!$E$2:$E$137,MATCH(H424,'Provincial KWs'!$A$2:$A$137,0)),IFERROR(INDEX('City KWs'!$F$2:$F$419,MATCH(H424,'City KWs'!$A$2:$A$419,0)),"")))</f>
        <v/>
      </c>
      <c r="J424" s="36" t="inlineStr">
        <is>
          <t>Low</t>
        </is>
      </c>
      <c r="K424" s="25" t="inlineStr">
        <is>
          <t>airbnb insurance canada; home sharing endorsement; short term rental insurance canada; vrbo insurance canada; airbnb host liability canada</t>
        </is>
      </c>
      <c r="L424" s="36" t="inlineStr">
        <is>
          <t>Nationwide</t>
        </is>
      </c>
      <c r="M424" s="36" t="inlineStr">
        <is>
          <t>commercial</t>
        </is>
      </c>
      <c r="N424" s="36" t="inlineStr">
        <is>
          <t>MOFU</t>
        </is>
      </c>
      <c r="O424" s="25" t="inlineStr">
        <is>
          <t>Does Home Insurance Cover Airbnb? Guide for Canadian Hosts</t>
        </is>
      </c>
      <c r="P424" s="36">
        <f>LEN(O424)</f>
        <v/>
      </c>
      <c r="Q424" s="25" t="inlineStr">
        <is>
          <t>Does home insurance cover Airbnb hosting? Why most policies exclude it, when a home-sharing endorsement works and when you need a host policy. Get help.</t>
        </is>
      </c>
      <c r="R424" s="36">
        <f>LEN(Q424)</f>
        <v/>
      </c>
      <c r="S424" s="36">
        <f>IF(H424="","",IF(ISNUMBER(SEARCH(SUBSTITUTE(H424,"-"," "),SUBSTITUTE(O424,"-"," "))),"Yes","Check"))</f>
        <v/>
      </c>
      <c r="T424" s="25" t="inlineStr">
        <is>
          <t>Does home insurance cover Airbnb? | Why short-term rentals count as business use | Home-sharing endorsements | Commercial short-term rental policies | How often you host changes everything | Condos, suites and municipal rules | Talk to the short-term rental desk</t>
        </is>
      </c>
      <c r="U424" s="25" t="inlineStr">
        <is>
          <t>Am I covered if an Airbnb guest damages my home? | What is a home-sharing endorsement? | Do I need commercial insurance for a full-time Airbnb? | Does VRBO hosting need the same coverage?</t>
        </is>
      </c>
      <c r="V424" s="25" t="inlineStr">
        <is>
          <t>Frequency decision tree (occasional whole-home rental while away, regular room rental, dedicated short-term rental) leading to endorsement vs commercial short-term rental policy.</t>
        </is>
      </c>
      <c r="W424" s="25" t="inlineStr">
        <is>
          <t>/home-insurance/short-term-rental/; /guides/airbnb-aircover-vs-insurance/; /guides/short-term-rental-rules-canada/; /landlord-insurance/</t>
        </is>
      </c>
      <c r="X424" s="25" t="inlineStr">
        <is>
          <t>Request a specialist call: Short-term rental desk (/home-insurance/short-term-rental/)</t>
        </is>
      </c>
      <c r="Y424" s="36" t="inlineStr">
        <is>
          <t>Article; FAQPage; BreadcrumbList</t>
        </is>
      </c>
      <c r="Z424" s="37" t="n">
        <v>1600</v>
      </c>
      <c r="AA424" s="25" t="inlineStr">
        <is>
          <t>The keyword map notes Ratehub has one thin page and no one staffs this; Rates.ca, Ratehub and Sonnet show no host guide.</t>
        </is>
      </c>
      <c r="AB424" s="25" t="inlineStr">
        <is>
          <t>Use 'does home insurance cover Airbnb' in the H1, slug, meta title, first 100 words and first H2, with a 40–60 word answer on the business-use exclusion and the two fixes. Add the frequency decision tree; link 'short-term rental desk' to /home-insurance/short-term-rental/ and 'AirCover' to the comparison guide; alt text 'guest checking into a short-term rental'. Licensed P&amp;C reviewer; cite insurer endorsement wordings; refresh annually.</t>
        </is>
      </c>
      <c r="AC424" s="25" t="inlineStr">
        <is>
          <t>Verify how insurers define business use and home-sharing endorsements; don't imply endorsements are available everywhere or for every hosting frequency.</t>
        </is>
      </c>
      <c r="AD424" s="36" t="inlineStr">
        <is>
          <t>Annual</t>
        </is>
      </c>
      <c r="AE424" s="38" t="n"/>
      <c r="AF424" s="38" t="n"/>
      <c r="AG424" s="38" t="n"/>
    </row>
    <row r="425" ht="57.45" customHeight="1" s="22">
      <c r="A425" s="36">
        <f>"B"&amp;TEXT(ROW()-1,"0000")</f>
        <v/>
      </c>
      <c r="B425" s="38" t="inlineStr">
        <is>
          <t>Planned</t>
        </is>
      </c>
      <c r="C425" s="36" t="n">
        <v>1</v>
      </c>
      <c r="D425" s="36" t="inlineStr">
        <is>
          <t>Landlord &amp; rental property</t>
        </is>
      </c>
      <c r="E425" s="36" t="inlineStr">
        <is>
          <t>Regulation</t>
        </is>
      </c>
      <c r="F425" s="25" t="inlineStr">
        <is>
          <t>Insuring a Basement Suite or Secondary Unit: Rules by Province</t>
        </is>
      </c>
      <c r="G425" s="36" t="inlineStr">
        <is>
          <t>https://instasure.ca/guides/basement-suite-insurance/</t>
        </is>
      </c>
      <c r="H425" s="36" t="inlineStr">
        <is>
          <t>basement apartment insurance</t>
        </is>
      </c>
      <c r="I425" s="41">
        <f>IFERROR(INDEX('Nationwide KWs'!$D$2:$D$168,MATCH(H425,'Nationwide KWs'!$A$2:$A$168,0)),IFERROR(INDEX('Provincial KWs'!$E$2:$E$137,MATCH(H425,'Provincial KWs'!$A$2:$A$137,0)),IFERROR(INDEX('City KWs'!$F$2:$F$419,MATCH(H425,'City KWs'!$A$2:$A$419,0)),"")))</f>
        <v/>
      </c>
      <c r="J425" s="36" t="inlineStr">
        <is>
          <t>Low</t>
        </is>
      </c>
      <c r="K425" s="25" t="inlineStr">
        <is>
          <t>secondary suite insurance bc; additional residential unit insurance ontario; legal basement suite alberta insurance; rental suite endorsement; garden suite insurance</t>
        </is>
      </c>
      <c r="L425" s="36" t="inlineStr">
        <is>
          <t>Nationwide</t>
        </is>
      </c>
      <c r="M425" s="36" t="inlineStr">
        <is>
          <t>commercial</t>
        </is>
      </c>
      <c r="N425" s="36" t="inlineStr">
        <is>
          <t>MOFU</t>
        </is>
      </c>
      <c r="O425" s="25" t="inlineStr">
        <is>
          <t>Basement Apartment Insurance: Secondary Suite Rules</t>
        </is>
      </c>
      <c r="P425" s="36">
        <f>LEN(O425)</f>
        <v/>
      </c>
      <c r="Q425" s="25" t="inlineStr">
        <is>
          <t>Basement apartment insurance: telling your insurer, legal vs unregistered suites, fire separation and the cover you and your tenant need. Get advice.</t>
        </is>
      </c>
      <c r="R425" s="36">
        <f>LEN(Q425)</f>
        <v/>
      </c>
      <c r="S425" s="36">
        <f>IF(H425="","",IF(ISNUMBER(SEARCH(SUBSTITUTE(H425,"-"," "),SUBSTITUTE(O425,"-"," "))),"Yes","Check"))</f>
        <v/>
      </c>
      <c r="T425" s="25" t="inlineStr">
        <is>
          <t>Do you need special insurance for a basement apartment? | Telling your insurer about the suite | Legal vs unregistered suites by province | Fire separation, alarms and exits | What your policy and your tenant's policy each cover | Garden suites and laneway homes</t>
        </is>
      </c>
      <c r="U425" s="25" t="inlineStr">
        <is>
          <t>Does home insurance cover a basement apartment? | Can I insure an unregistered basement suite? | Does my tenant need their own insurance? | Will adding a legal suite raise my premium?</t>
        </is>
      </c>
      <c r="V425" s="25" t="inlineStr">
        <is>
          <t>Province table (Ontario additional residential units, BC secondary suites, Alberta legal suites, others) linking municipal legality to what insurers ask, plus a suite-readiness checklist (permits, fire separation, smoke and CO alarms, exits).</t>
        </is>
      </c>
      <c r="W425" s="25" t="inlineStr">
        <is>
          <t>/landlord-insurance/; /guides/brampton-second-unit-insurance/; /guides/landlord-insurance-vs-home-insurance/; /tenant-insurance/</t>
        </is>
      </c>
      <c r="X425" s="25" t="inlineStr">
        <is>
          <t>Advisor quote for a home with a rental suite (/landlord-insurance/)</t>
        </is>
      </c>
      <c r="Y425" s="36" t="inlineStr">
        <is>
          <t>Article; FAQPage; BreadcrumbList</t>
        </is>
      </c>
      <c r="Z425" s="37" t="n">
        <v>1700</v>
      </c>
      <c r="AA425" s="25" t="inlineStr">
        <is>
          <t>Ratehub and Rates.ca landlord pages don't address suites; the Instasure landlord FAQ notes the issue, but no competitor has a province rules table.</t>
        </is>
      </c>
      <c r="AB425" s="25" t="inlineStr">
        <is>
          <t>Use 'basement apartment insurance' in the H1, slug, meta title, first 100 words and first H2, with a 40–60 word answer on disclosure and the two policies involved. Add the province table and readiness checklist; link 'Brampton second units' to that guide and 'tenant insurance' to /tenant-insurance/; alt text 'separate entrance to a legal basement suite'. Licensed P&amp;C reviewer; cite provincial building codes and municipal suite programs; refresh on rule change.</t>
        </is>
      </c>
      <c r="AC425" s="25" t="inlineStr">
        <is>
          <t>Verify provincial and municipal suite rules (Ontario additional residential unit policy, BC secondary suites, Alberta safety codes) and do not imply insurers refuse every unregistered suite.</t>
        </is>
      </c>
      <c r="AD425" s="36" t="inlineStr">
        <is>
          <t>On rule change</t>
        </is>
      </c>
      <c r="AE425" s="38" t="n"/>
      <c r="AF425" s="38" t="n"/>
      <c r="AG425" s="38" t="n"/>
    </row>
    <row r="426" ht="57.45" customHeight="1" s="22">
      <c r="A426" s="36">
        <f>"B"&amp;TEXT(ROW()-1,"0000")</f>
        <v/>
      </c>
      <c r="B426" s="38" t="inlineStr">
        <is>
          <t>Planned</t>
        </is>
      </c>
      <c r="C426" s="36" t="n">
        <v>2</v>
      </c>
      <c r="D426" s="36" t="inlineStr">
        <is>
          <t>Landlord &amp; rental property</t>
        </is>
      </c>
      <c r="E426" s="36" t="inlineStr">
        <is>
          <t>Claims</t>
        </is>
      </c>
      <c r="F426" s="25" t="inlineStr">
        <is>
          <t>Does Landlord Insurance Cover Tenant Damage?</t>
        </is>
      </c>
      <c r="G426" s="36" t="inlineStr">
        <is>
          <t>https://instasure.ca/guides/does-landlord-insurance-cover-tenant-damage/</t>
        </is>
      </c>
      <c r="H426" s="36" t="inlineStr">
        <is>
          <t>does landlord insurance cover tenant damage</t>
        </is>
      </c>
      <c r="I426" s="41">
        <f>IFERROR(INDEX('Nationwide KWs'!$D$2:$D$168,MATCH(H426,'Nationwide KWs'!$A$2:$A$168,0)),IFERROR(INDEX('Provincial KWs'!$E$2:$E$137,MATCH(H426,'Provincial KWs'!$A$2:$A$137,0)),IFERROR(INDEX('City KWs'!$F$2:$F$419,MATCH(H426,'City KWs'!$A$2:$A$419,0)),"")))</f>
        <v/>
      </c>
      <c r="J426" s="36" t="inlineStr">
        <is>
          <t>Low</t>
        </is>
      </c>
      <c r="K426" s="25" t="inlineStr">
        <is>
          <t>malicious damage by tenant insurance; tenant vandalism insurance; wear and tear vs damage rental; tenant damage claim; landlord insurance theft by tenant</t>
        </is>
      </c>
      <c r="L426" s="36" t="inlineStr">
        <is>
          <t>Nationwide</t>
        </is>
      </c>
      <c r="M426" s="36" t="inlineStr">
        <is>
          <t>informational</t>
        </is>
      </c>
      <c r="N426" s="36" t="inlineStr">
        <is>
          <t>MOFU</t>
        </is>
      </c>
      <c r="O426" s="25" t="inlineStr">
        <is>
          <t>Does Landlord Insurance Cover Tenant Damage? Explained</t>
        </is>
      </c>
      <c r="P426" s="36">
        <f>LEN(O426)</f>
        <v/>
      </c>
      <c r="Q426" s="25" t="inlineStr">
        <is>
          <t>Does landlord insurance cover tenant damage? Accidental vs malicious damage, wear and tear, tenant theft and when the tenant's policy pays. See the table.</t>
        </is>
      </c>
      <c r="R426" s="36">
        <f>LEN(Q426)</f>
        <v/>
      </c>
      <c r="S426" s="36">
        <f>IF(H426="","",IF(ISNUMBER(SEARCH(SUBSTITUTE(H426,"-"," "),SUBSTITUTE(O426,"-"," "))),"Yes","Check"))</f>
        <v/>
      </c>
      <c r="T426" s="25" t="inlineStr">
        <is>
          <t>Does landlord insurance cover tenant damage? | Accidental damage vs malicious damage | Wear and tear is never covered | Theft and vandalism by tenants | When the tenant's liability coverage pays | Deposits and tenancy board claims | Who-pays table</t>
        </is>
      </c>
      <c r="U426" s="25" t="inlineStr">
        <is>
          <t>Does landlord insurance cover holes in walls left by a tenant? | Is vandalism by a tenant covered? | Can I claim on my tenant's insurance? | Can I keep the deposit for damage?</t>
        </is>
      </c>
      <c r="V426" s="25" t="inlineStr">
        <is>
          <t>Who-pays table for 10 tenant damage scenarios (accidental flood, pet damage, holes in walls, vandalism on move-out, unauthorized alterations) across landlord policy, tenant liability, deposit and tenancy board.</t>
        </is>
      </c>
      <c r="W426" s="25" t="inlineStr">
        <is>
          <t>/landlord-insurance/; /guides/tenant-legal-liability-insurance/; /guides/what-does-landlord-insurance-cover/; /guides/renting-with-pets-tenant-insurance/</t>
        </is>
      </c>
      <c r="X426" s="25" t="inlineStr">
        <is>
          <t>Advisor quote for a rental property (/landlord-insurance/)</t>
        </is>
      </c>
      <c r="Y426" s="36" t="inlineStr">
        <is>
          <t>Article; FAQPage; BreadcrumbList</t>
        </is>
      </c>
      <c r="Z426" s="37" t="n">
        <v>1400</v>
      </c>
      <c r="AA426" s="25" t="inlineStr">
        <is>
          <t>Rates.ca's does-renters-insurance-cover-damage-landlords-property answers from the tenant side; no landlord-side scenario guide was seen.</t>
        </is>
      </c>
      <c r="AB426" s="25" t="inlineStr">
        <is>
          <t>Use 'does landlord insurance cover tenant damage' in the H1, slug, meta title, first 100 words and first H2, with a 40–60 word answer separating accidental, malicious and wear-and-tear damage. Add the who-pays table; link 'tenant legal liability' to that guide and 'renting with pets' to that guide; alt text 'damaged drywall in a rental unit after move-out'. Licensed P&amp;C reviewer; cite insurer wordings and provincial tenancy boards; refresh annually.</t>
        </is>
      </c>
      <c r="AC426" s="25" t="inlineStr">
        <is>
          <t>Malicious damage by tenants is excluded or limited in some wordings; verify against sample wordings. Deposit rules differ by province (Ontario generally limits deposits to last month's rent and a key deposit); verify before stating.</t>
        </is>
      </c>
      <c r="AD426" s="36" t="inlineStr">
        <is>
          <t>Annual</t>
        </is>
      </c>
      <c r="AE426" s="38" t="n"/>
      <c r="AF426" s="38" t="n"/>
      <c r="AG426" s="38" t="n"/>
    </row>
    <row r="427" ht="57.45" customHeight="1" s="22">
      <c r="A427" s="36">
        <f>"B"&amp;TEXT(ROW()-1,"0000")</f>
        <v/>
      </c>
      <c r="B427" s="38" t="inlineStr">
        <is>
          <t>Planned</t>
        </is>
      </c>
      <c r="C427" s="36" t="n">
        <v>2</v>
      </c>
      <c r="D427" s="36" t="inlineStr">
        <is>
          <t>Landlord &amp; rental property</t>
        </is>
      </c>
      <c r="E427" s="36" t="inlineStr">
        <is>
          <t>Comparisons</t>
        </is>
      </c>
      <c r="F427" s="25" t="inlineStr">
        <is>
          <t>Airbnb AirCover vs Your Own Insurance: Gaps for Canadian Hosts</t>
        </is>
      </c>
      <c r="G427" s="36" t="inlineStr">
        <is>
          <t>https://instasure.ca/guides/airbnb-aircover-vs-insurance/</t>
        </is>
      </c>
      <c r="H427" s="36" t="inlineStr">
        <is>
          <t>airbnb aircover canada</t>
        </is>
      </c>
      <c r="I427" s="41">
        <f>IFERROR(INDEX('Nationwide KWs'!$D$2:$D$168,MATCH(H427,'Nationwide KWs'!$A$2:$A$168,0)),IFERROR(INDEX('Provincial KWs'!$E$2:$E$137,MATCH(H427,'Provincial KWs'!$A$2:$A$137,0)),IFERROR(INDEX('City KWs'!$F$2:$F$419,MATCH(H427,'City KWs'!$A$2:$A$419,0)),"")))</f>
        <v/>
      </c>
      <c r="J427" s="36" t="inlineStr">
        <is>
          <t>Low</t>
        </is>
      </c>
      <c r="K427" s="25" t="inlineStr">
        <is>
          <t>airbnb host damage protection canada; airbnb host liability insurance canada; vrbo liability insurance; is aircover enough for hosts; airbnb damage claim process</t>
        </is>
      </c>
      <c r="L427" s="36" t="inlineStr">
        <is>
          <t>Nationwide</t>
        </is>
      </c>
      <c r="M427" s="36" t="inlineStr">
        <is>
          <t>commercial</t>
        </is>
      </c>
      <c r="N427" s="36" t="inlineStr">
        <is>
          <t>MOFU</t>
        </is>
      </c>
      <c r="O427" s="25" t="inlineStr">
        <is>
          <t>Airbnb AirCover in Canada vs Your Own Insurance: The Gaps</t>
        </is>
      </c>
      <c r="P427" s="36">
        <f>LEN(O427)</f>
        <v/>
      </c>
      <c r="Q427" s="25" t="inlineStr">
        <is>
          <t>Airbnb AirCover in Canada vs your own insurance: what host programs cover, common exclusions, claim steps and why hosts still need a policy. Compare.</t>
        </is>
      </c>
      <c r="R427" s="36">
        <f>LEN(Q427)</f>
        <v/>
      </c>
      <c r="S427" s="36">
        <f>IF(H427="","",IF(ISNUMBER(SEARCH(SUBSTITUTE(H427,"-"," "),SUBSTITUTE(O427,"-"," "))),"Yes","Check"))</f>
        <v/>
      </c>
      <c r="T427" s="25" t="inlineStr">
        <is>
          <t>Is AirCover enough for Canadian hosts? | What host damage protection covers | What host liability protection covers | Common exclusions and conditions | How a damage claim works | VRBO and other platforms | Where your own policy fills the gaps</t>
        </is>
      </c>
      <c r="U427" s="25" t="inlineStr">
        <is>
          <t>Is Airbnb AirCover insurance? | Does AirCover replace home insurance for hosts? | What isn't covered by AirCover? | Do VRBO hosts get similar protection?</t>
        </is>
      </c>
      <c r="V427" s="25" t="inlineStr">
        <is>
          <t>Side-by-side of platform host protection terms (as published on the date checked) against a home-sharing endorsement and a commercial short-term rental policy, row by row.</t>
        </is>
      </c>
      <c r="W427" s="25" t="inlineStr">
        <is>
          <t>/home-insurance/short-term-rental/; /guides/does-home-insurance-cover-airbnb/; /guides/airbnb-condo-insurance/; /umbrella-insurance/</t>
        </is>
      </c>
      <c r="X427" s="25" t="inlineStr">
        <is>
          <t>Request a specialist call: Short-term rental desk (/home-insurance/short-term-rental/)</t>
        </is>
      </c>
      <c r="Y427" s="36" t="inlineStr">
        <is>
          <t>Article; FAQPage; BreadcrumbList</t>
        </is>
      </c>
      <c r="Z427" s="37" t="n">
        <v>1500</v>
      </c>
      <c r="AA427" s="25" t="inlineStr">
        <is>
          <t>No competitor coverage seen in the research for a Canadian AirCover comparison.</t>
        </is>
      </c>
      <c r="AB427" s="25" t="inlineStr">
        <is>
          <t>Use 'Airbnb AirCover' and 'Canada' in the H1, slug, meta title, first 100 words and first H2, with a 40–60 word answer that platform protection has limits and conditions. Add the side-by-side table with the date checked; link 'does home insurance cover Airbnb' to that guide and 'short-term rental desk' to /home-insurance/short-term-rental/; alt text 'host reviewing a damage claim on a laptop'. Licensed P&amp;C reviewer; cite Airbnb and VRBO Canadian terms pages; refresh semi-annually.</t>
        </is>
      </c>
      <c r="AC427" s="25" t="inlineStr">
        <is>
          <t>Quote Airbnb and VRBO programme terms only from their current Canadian terms pages with the date checked, and don't call the platform programmes insurance unless their terms say so.</t>
        </is>
      </c>
      <c r="AD427" s="36" t="inlineStr">
        <is>
          <t>Semi-annual</t>
        </is>
      </c>
      <c r="AE427" s="38" t="n"/>
      <c r="AF427" s="38" t="n"/>
      <c r="AG427" s="38" t="n"/>
    </row>
    <row r="428" ht="46.25" customHeight="1" s="22">
      <c r="A428" s="36">
        <f>"B"&amp;TEXT(ROW()-1,"0000")</f>
        <v/>
      </c>
      <c r="B428" s="38" t="inlineStr">
        <is>
          <t>Planned</t>
        </is>
      </c>
      <c r="C428" s="36" t="n">
        <v>2</v>
      </c>
      <c r="D428" s="36" t="inlineStr">
        <is>
          <t>Landlord &amp; rental property</t>
        </is>
      </c>
      <c r="E428" s="36" t="inlineStr">
        <is>
          <t>Coverage explained</t>
        </is>
      </c>
      <c r="F428" s="25" t="inlineStr">
        <is>
          <t>Loss of Rental Income Insurance: How It Pays and How Much to Buy</t>
        </is>
      </c>
      <c r="G428" s="36" t="inlineStr">
        <is>
          <t>https://instasure.ca/guides/rental-income-loss-insurance/</t>
        </is>
      </c>
      <c r="H428" s="36" t="inlineStr">
        <is>
          <t>loss of rental income insurance</t>
        </is>
      </c>
      <c r="I428" s="41">
        <f>IFERROR(INDEX('Nationwide KWs'!$D$2:$D$168,MATCH(H428,'Nationwide KWs'!$A$2:$A$168,0)),IFERROR(INDEX('Provincial KWs'!$E$2:$E$137,MATCH(H428,'Provincial KWs'!$A$2:$A$137,0)),IFERROR(INDEX('City KWs'!$F$2:$F$419,MATCH(H428,'City KWs'!$A$2:$A$419,0)),"")))</f>
        <v/>
      </c>
      <c r="J428" s="36" t="inlineStr">
        <is>
          <t>Niche</t>
        </is>
      </c>
      <c r="K428" s="25" t="inlineStr">
        <is>
          <t>rental income insurance canada; fair rental value coverage; rent loss after fire; tenant stops paying rent insurance; rental income coverage limit</t>
        </is>
      </c>
      <c r="L428" s="36" t="inlineStr">
        <is>
          <t>Nationwide</t>
        </is>
      </c>
      <c r="M428" s="36" t="inlineStr">
        <is>
          <t>informational</t>
        </is>
      </c>
      <c r="N428" s="36" t="inlineStr">
        <is>
          <t>MOFU</t>
        </is>
      </c>
      <c r="O428" s="25" t="inlineStr">
        <is>
          <t>Loss of Rental Income Insurance: How It Pays and Limits</t>
        </is>
      </c>
      <c r="P428" s="36">
        <f>LEN(O428)</f>
        <v/>
      </c>
      <c r="Q428" s="25" t="inlineStr">
        <is>
          <t>Loss of rental income insurance: how it pays rent you lose during repairs after an insured loss, time limits and setting the limit. See the example.</t>
        </is>
      </c>
      <c r="R428" s="36">
        <f>LEN(Q428)</f>
        <v/>
      </c>
      <c r="S428" s="36">
        <f>IF(H428="","",IF(ISNUMBER(SEARCH(SUBSTITUTE(H428,"-"," "),SUBSTITUTE(O428,"-"," "))),"Yes","Check"))</f>
        <v/>
      </c>
      <c r="T428" s="25" t="inlineStr">
        <is>
          <t>What is loss of rental income insurance? | When it pays and when it doesn't | Time limits and indemnity periods | Worked example: a fire closes a two-unit rental | Setting your rental income limit | Rent default and rent guarantee products</t>
        </is>
      </c>
      <c r="U428" s="25" t="inlineStr">
        <is>
          <t>Does landlord insurance pay rent if my tenant moves out after a fire? | How long does rental income coverage last? | Does rental income coverage pay if a tenant stops paying? | How much rental income coverage should I buy?</t>
        </is>
      </c>
      <c r="V428" s="25" t="inlineStr">
        <is>
          <t>Worked example in which a fire closes a two-unit rental for seven months, showing rent lost, the rental income limit and time cap, and the gap if the limit is too low, plus a fill-in calculator table.</t>
        </is>
      </c>
      <c r="W428" s="25" t="inlineStr">
        <is>
          <t>/landlord-insurance/; /guides/what-does-landlord-insurance-cover/; /guides/landlord-insurance-cost/; /guides/vacant-rental-property-insurance/</t>
        </is>
      </c>
      <c r="X428" s="25" t="inlineStr">
        <is>
          <t>Advisor quote for a rental property (/landlord-insurance/)</t>
        </is>
      </c>
      <c r="Y428" s="36" t="inlineStr">
        <is>
          <t>Article; FAQPage; BreadcrumbList</t>
        </is>
      </c>
      <c r="Z428" s="37" t="n">
        <v>1200</v>
      </c>
      <c r="AA428" s="25" t="inlineStr">
        <is>
          <t>Ratehub's rental-income-property-insurance page names the coverage without a worked example; no competitor explains time limits.</t>
        </is>
      </c>
      <c r="AB428" s="25" t="inlineStr">
        <is>
          <t>Use 'loss of rental income insurance' in the H1, slug, meta title, first 100 words and first H2, with a 40–60 word answer on what triggers it. Add the worked example and fill-in table; link 'landlord insurance' to /landlord-insurance/ and 'vacant rental' to that guide; alt text 'boarded-up rental unit after a fire'. Licensed P&amp;C reviewer; cite sample wordings; refresh annually.</t>
        </is>
      </c>
      <c r="AC428" s="25" t="inlineStr">
        <is>
          <t>Indemnity periods and limits vary; present the example as illustrative and verify definitions (rental income vs fair rental value) against sample wordings.</t>
        </is>
      </c>
      <c r="AD428" s="36" t="inlineStr">
        <is>
          <t>Annual</t>
        </is>
      </c>
      <c r="AE428" s="38" t="n"/>
      <c r="AF428" s="38" t="n"/>
      <c r="AG428" s="38" t="n"/>
    </row>
    <row r="429" ht="46.25" customHeight="1" s="22">
      <c r="A429" s="36">
        <f>"B"&amp;TEXT(ROW()-1,"0000")</f>
        <v/>
      </c>
      <c r="B429" s="38" t="inlineStr">
        <is>
          <t>Planned</t>
        </is>
      </c>
      <c r="C429" s="36" t="n">
        <v>2</v>
      </c>
      <c r="D429" s="36" t="inlineStr">
        <is>
          <t>Landlord &amp; rental property</t>
        </is>
      </c>
      <c r="E429" s="36" t="inlineStr">
        <is>
          <t>Coverage explained</t>
        </is>
      </c>
      <c r="F429" s="25" t="inlineStr">
        <is>
          <t>What Does Landlord Insurance Cover? Building, Rent and Liability</t>
        </is>
      </c>
      <c r="G429" s="36" t="inlineStr">
        <is>
          <t>https://instasure.ca/guides/what-does-landlord-insurance-cover/</t>
        </is>
      </c>
      <c r="H429" s="36" t="inlineStr">
        <is>
          <t>what does landlord insurance cover</t>
        </is>
      </c>
      <c r="I429" s="41">
        <f>IFERROR(INDEX('Nationwide KWs'!$D$2:$D$168,MATCH(H429,'Nationwide KWs'!$A$2:$A$168,0)),IFERROR(INDEX('Provincial KWs'!$E$2:$E$137,MATCH(H429,'Provincial KWs'!$A$2:$A$137,0)),IFERROR(INDEX('City KWs'!$F$2:$F$419,MATCH(H429,'City KWs'!$A$2:$A$419,0)),"")))</f>
        <v/>
      </c>
      <c r="J429" s="36" t="inlineStr">
        <is>
          <t>Low</t>
        </is>
      </c>
      <c r="K429" s="25" t="inlineStr">
        <is>
          <t>landlord liability insurance; rental property coverage; landlord contents insurance; landlord insurance exclusions; landlord insurance tenant injury</t>
        </is>
      </c>
      <c r="L429" s="36" t="inlineStr">
        <is>
          <t>Nationwide</t>
        </is>
      </c>
      <c r="M429" s="36" t="inlineStr">
        <is>
          <t>informational</t>
        </is>
      </c>
      <c r="N429" s="36" t="inlineStr">
        <is>
          <t>TOFU</t>
        </is>
      </c>
      <c r="O429" s="25" t="inlineStr">
        <is>
          <t>What Does Landlord Insurance Cover? Rent and Liability</t>
        </is>
      </c>
      <c r="P429" s="36">
        <f>LEN(O429)</f>
        <v/>
      </c>
      <c r="Q429" s="25" t="inlineStr">
        <is>
          <t>What does landlord insurance cover? The building, appliances, lost rent after an insured loss and tenant-injury liability, plus exclusions. Learn more.</t>
        </is>
      </c>
      <c r="R429" s="36">
        <f>LEN(Q429)</f>
        <v/>
      </c>
      <c r="S429" s="36">
        <f>IF(H429="","",IF(ISNUMBER(SEARCH(SUBSTITUTE(H429,"-"," "),SUBSTITUTE(O429,"-"," "))),"Yes","Check"))</f>
        <v/>
      </c>
      <c r="T429" s="25" t="inlineStr">
        <is>
          <t>What landlord insurance covers: the short answer | The building and your contents | Loss of rental income | Landlord liability: slips, snow and stairs | What it doesn't cover: wear and tear, rent default | Add-ons worth considering | Scenario table</t>
        </is>
      </c>
      <c r="U429" s="25" t="inlineStr">
        <is>
          <t>Does landlord insurance cover a tenant who stops paying rent? | Am I liable if a tenant slips on icy steps? | Are my appliances in the rental covered? | Does landlord insurance cover damage caused by tenants?</t>
        </is>
      </c>
      <c r="V429" s="25" t="inlineStr">
        <is>
          <t>Coverage-and-exclusion table for landlords with 12 scenarios (tenant slips on icy steps, fire in the suite, tenant stops paying rent, tenant damages walls, break-in while vacant).</t>
        </is>
      </c>
      <c r="W429" s="25" t="inlineStr">
        <is>
          <t>/landlord-insurance/; /guides/rental-income-loss-insurance/; /guides/does-landlord-insurance-cover-tenant-damage/; /umbrella-insurance/</t>
        </is>
      </c>
      <c r="X429" s="25" t="inlineStr">
        <is>
          <t>Advisor quote for a rental property (/landlord-insurance/)</t>
        </is>
      </c>
      <c r="Y429" s="36" t="inlineStr">
        <is>
          <t>Article; FAQPage; BreadcrumbList</t>
        </is>
      </c>
      <c r="Z429" s="37" t="n">
        <v>1500</v>
      </c>
      <c r="AA429" s="25" t="inlineStr">
        <is>
          <t>Ratehub and Rates.ca list coverages on product pages; no scenario-level guide was seen, and Rates.ca's absentee-landlord post is narrow.</t>
        </is>
      </c>
      <c r="AB429" s="25" t="inlineStr">
        <is>
          <t>Use 'what does landlord insurance cover' in the H1, slug, meta title, first 100 words and first H2, with a 40–60 word answer naming building, rent and liability. Add the 12-scenario table; link 'loss of rental income' to that guide and 'umbrella liability' to /umbrella-insurance/; alt text 'landlord inspecting a rental property'. Licensed P&amp;C reviewer; cite insurer wordings; refresh annually.</t>
        </is>
      </c>
      <c r="AC429" s="25" t="inlineStr">
        <is>
          <t>Rent default by a tenant is generally not an insured loss; say rent guarantee products are separate and verify any claim about them.</t>
        </is>
      </c>
      <c r="AD429" s="36" t="inlineStr">
        <is>
          <t>Annual</t>
        </is>
      </c>
      <c r="AE429" s="38" t="n"/>
      <c r="AF429" s="38" t="n"/>
      <c r="AG429" s="38" t="n"/>
    </row>
    <row r="430" ht="57.45" customHeight="1" s="22">
      <c r="A430" s="36">
        <f>"B"&amp;TEXT(ROW()-1,"0000")</f>
        <v/>
      </c>
      <c r="B430" s="38" t="inlineStr">
        <is>
          <t>Planned</t>
        </is>
      </c>
      <c r="C430" s="36" t="n">
        <v>2</v>
      </c>
      <c r="D430" s="36" t="inlineStr">
        <is>
          <t>Landlord &amp; rental property</t>
        </is>
      </c>
      <c r="E430" s="36" t="inlineStr">
        <is>
          <t>Local (city/province)</t>
        </is>
      </c>
      <c r="F430" s="25" t="inlineStr">
        <is>
          <t>Brampton Second Units: Insuring a Registered Basement Apartment</t>
        </is>
      </c>
      <c r="G430" s="36" t="inlineStr">
        <is>
          <t>https://instasure.ca/guides/brampton-second-unit-insurance/</t>
        </is>
      </c>
      <c r="H430" s="36" t="inlineStr">
        <is>
          <t>brampton basement apartment insurance</t>
        </is>
      </c>
      <c r="I430" s="41">
        <f>IFERROR(INDEX('Nationwide KWs'!$D$2:$D$168,MATCH(H430,'Nationwide KWs'!$A$2:$A$168,0)),IFERROR(INDEX('Provincial KWs'!$E$2:$E$137,MATCH(H430,'Provincial KWs'!$A$2:$A$137,0)),IFERROR(INDEX('City KWs'!$F$2:$F$419,MATCH(H430,'City KWs'!$A$2:$A$419,0)),"")))</f>
        <v/>
      </c>
      <c r="J430" s="36" t="inlineStr">
        <is>
          <t>Niche</t>
        </is>
      </c>
      <c r="K430" s="25" t="inlineStr">
        <is>
          <t>brampton second unit registration insurance; legal basement apartment brampton; brampton landlord insurance; brampton second unit fire code; home insurance brampton basement tenant</t>
        </is>
      </c>
      <c r="L430" s="36" t="inlineStr">
        <is>
          <t>City: Brampton, ON</t>
        </is>
      </c>
      <c r="M430" s="36" t="inlineStr">
        <is>
          <t>local</t>
        </is>
      </c>
      <c r="N430" s="36" t="inlineStr">
        <is>
          <t>BOFU</t>
        </is>
      </c>
      <c r="O430" s="25" t="inlineStr">
        <is>
          <t>Brampton Basement Apartment Insurance: Second Units</t>
        </is>
      </c>
      <c r="P430" s="36">
        <f>LEN(O430)</f>
        <v/>
      </c>
      <c r="Q430" s="25" t="inlineStr">
        <is>
          <t>Brampton basement apartment insurance: how second-unit registration affects your policy, fire code steps, rent-loss cover and tenant clauses. Get a quote.</t>
        </is>
      </c>
      <c r="R430" s="36">
        <f>LEN(Q430)</f>
        <v/>
      </c>
      <c r="S430" s="36">
        <f>IF(H430="","",IF(ISNUMBER(SEARCH(SUBSTITUTE(H430,"-"," "),SUBSTITUTE(O430,"-"," "))),"Yes","Check"))</f>
        <v/>
      </c>
      <c r="T430" s="25" t="inlineStr">
        <is>
          <t>Insuring a basement apartment in Brampton | How Brampton's second-unit registration works | Why registration matters to your insurer | Fire code and safety steps | Coverage for you and your tenant | Example premiums with and without a declared suite</t>
        </is>
      </c>
      <c r="U430" s="25" t="inlineStr">
        <is>
          <t>Do I need to register my basement apartment in Brampton? | Will my insurer cover an unregistered second unit? | Does my Brampton tenant need tenant insurance? | How much does a basement suite add to home insurance in Brampton?</t>
        </is>
      </c>
      <c r="V430" s="25" t="inlineStr">
        <is>
          <t>Step-by-step path from an unregistered to a registered Brampton second unit with the insurance action at each step, plus a dated modelled premium comparison with and without a declared suite.</t>
        </is>
      </c>
      <c r="W430" s="25" t="inlineStr">
        <is>
          <t>/home-insurance/ontario/brampton/; /landlord-insurance/; /guides/basement-suite-insurance/; /guides/home-insurance-cost-brampton/</t>
        </is>
      </c>
      <c r="X430" s="25" t="inlineStr">
        <is>
          <t>Advisor quote for a home with a rental suite (/landlord-insurance/)</t>
        </is>
      </c>
      <c r="Y430" s="36" t="inlineStr">
        <is>
          <t>Article; FAQPage; BreadcrumbList</t>
        </is>
      </c>
      <c r="Z430" s="37" t="n">
        <v>1400</v>
      </c>
      <c r="AA430" s="25" t="inlineStr">
        <is>
          <t>The Brampton home SERP is held by brokers and aggregators with no second-unit content; no competitor addresses Brampton's registration program.</t>
        </is>
      </c>
      <c r="AB430" s="25" t="inlineStr">
        <is>
          <t>Use 'Brampton basement apartment insurance' in the H1, slug, meta title, first 100 words and first H2, with a 40–60 word answer on registration and disclosure. Add the step table and premium comparison; link 'home insurance in Brampton' to /home-insurance/ontario/brampton/ and 'basement suite rules by province' to the suite guide; alt text 'side entrance to a Brampton basement apartment'. Licensed Ontario P&amp;C reviewer; cite the City of Brampton and the Ontario Fire Code; refresh on rule change.</t>
        </is>
      </c>
      <c r="AC430" s="25" t="inlineStr">
        <is>
          <t>Verify Brampton second-unit registration requirements and fees on brampton.ca; label premium comparisons as modelled.</t>
        </is>
      </c>
      <c r="AD430" s="36" t="inlineStr">
        <is>
          <t>On rule change</t>
        </is>
      </c>
      <c r="AE430" s="38" t="n"/>
      <c r="AF430" s="38" t="n"/>
      <c r="AG430" s="38" t="n"/>
    </row>
    <row r="431" ht="57.45" customHeight="1" s="22">
      <c r="A431" s="36">
        <f>"B"&amp;TEXT(ROW()-1,"0000")</f>
        <v/>
      </c>
      <c r="B431" s="38" t="inlineStr">
        <is>
          <t>Planned</t>
        </is>
      </c>
      <c r="C431" s="36" t="n">
        <v>2</v>
      </c>
      <c r="D431" s="36" t="inlineStr">
        <is>
          <t>Landlord &amp; rental property</t>
        </is>
      </c>
      <c r="E431" s="36" t="inlineStr">
        <is>
          <t>Personas</t>
        </is>
      </c>
      <c r="F431" s="25" t="inlineStr">
        <is>
          <t>Can You Airbnb Your Condo? Bylaws, Corporation Rules and Insurance</t>
        </is>
      </c>
      <c r="G431" s="36" t="inlineStr">
        <is>
          <t>https://instasure.ca/guides/airbnb-condo-insurance/</t>
        </is>
      </c>
      <c r="H431" s="36" t="inlineStr">
        <is>
          <t>airbnb condo insurance</t>
        </is>
      </c>
      <c r="I431" s="41">
        <f>IFERROR(INDEX('Nationwide KWs'!$D$2:$D$168,MATCH(H431,'Nationwide KWs'!$A$2:$A$168,0)),IFERROR(INDEX('Provincial KWs'!$E$2:$E$137,MATCH(H431,'Provincial KWs'!$A$2:$A$137,0)),IFERROR(INDEX('City KWs'!$F$2:$F$419,MATCH(H431,'City KWs'!$A$2:$A$419,0)),"")))</f>
        <v/>
      </c>
      <c r="J431" s="36" t="inlineStr">
        <is>
          <t>Low</t>
        </is>
      </c>
      <c r="K431" s="25" t="inlineStr">
        <is>
          <t>can i airbnb my condo; condo short term rental bylaw; strata short term rental bc; condo host insurance; condo airbnb liability</t>
        </is>
      </c>
      <c r="L431" s="36" t="inlineStr">
        <is>
          <t>Nationwide</t>
        </is>
      </c>
      <c r="M431" s="36" t="inlineStr">
        <is>
          <t>commercial</t>
        </is>
      </c>
      <c r="N431" s="36" t="inlineStr">
        <is>
          <t>MOFU</t>
        </is>
      </c>
      <c r="O431" s="25" t="inlineStr">
        <is>
          <t>Airbnb Condo Insurance: Bylaws, Rules and Coverage</t>
        </is>
      </c>
      <c r="P431" s="36">
        <f>LEN(O431)</f>
        <v/>
      </c>
      <c r="Q431" s="25" t="inlineStr">
        <is>
          <t>Airbnb condo insurance: whether condo or strata bylaws allow short-term rentals, what your unit policy excludes and the cover a host needs. Get help.</t>
        </is>
      </c>
      <c r="R431" s="36">
        <f>LEN(Q431)</f>
        <v/>
      </c>
      <c r="S431" s="36">
        <f>IF(H431="","",IF(ISNUMBER(SEARCH(SUBSTITUTE(H431,"-"," "),SUBSTITUTE(O431,"-"," "))),"Yes","Check"))</f>
        <v/>
      </c>
      <c r="T431" s="25" t="inlineStr">
        <is>
          <t>Can you Airbnb your condo? | Condo declarations, rules and strata bylaws | Municipal licences on top of building rules | What your unit owner policy excludes | Guest-caused leaks and deductible charge-backs | Coverage options for condo hosts</t>
        </is>
      </c>
      <c r="U431" s="25" t="inlineStr">
        <is>
          <t>Can my condo board stop me from listing on Airbnb? | Does condo insurance cover Airbnb guests? | Who pays if an Airbnb guest floods the unit below? | Do I need commercial insurance to host in a condo?</t>
        </is>
      </c>
      <c r="V431" s="25" t="inlineStr">
        <is>
          <t>Checklist for condo hosts (declaration and rules, strata bylaws, municipal licence, unit policy endorsement, deductible exposure from guest-caused water damage) with a worked guest-leak example.</t>
        </is>
      </c>
      <c r="W431" s="25" t="inlineStr">
        <is>
          <t>/home-insurance/short-term-rental/; /condo-insurance/; /guides/renting-out-your-condo-insurance/; /guides/condo-water-leak-who-pays/</t>
        </is>
      </c>
      <c r="X431" s="25" t="inlineStr">
        <is>
          <t>Request a specialist call: Short-term rental desk (/home-insurance/short-term-rental/)</t>
        </is>
      </c>
      <c r="Y431" s="36" t="inlineStr">
        <is>
          <t>Article; FAQPage; BreadcrumbList</t>
        </is>
      </c>
      <c r="Z431" s="37" t="n">
        <v>1400</v>
      </c>
      <c r="AA431" s="25" t="inlineStr">
        <is>
          <t>The strategy notes the one competitor short-term rental page has no condo-host guidance; Ratehub, Rates.ca and Sonnet show none.</t>
        </is>
      </c>
      <c r="AB431" s="25" t="inlineStr">
        <is>
          <t>Use 'Airbnb condo insurance' in the H1, slug, meta title, first 100 words and first H2, with a 40–60 word answer on building rules first, then insurance. Add the host checklist and guest-leak example; link 'condo landlord insurance' to the condo rental guide and 'who pays for a leak' to that guide; alt text 'condo unit set up for short-term guests'. Licensed P&amp;C reviewer; cite the Ontario Condominium Act, BC Strata Property Act and municipal licensing pages; refresh annually.</t>
        </is>
      </c>
      <c r="AC431" s="25" t="inlineStr">
        <is>
          <t>Bylaws and declarations differ by building; present a checklist, not legal advice, and verify municipal licence rules separately.</t>
        </is>
      </c>
      <c r="AD431" s="36" t="inlineStr">
        <is>
          <t>Annual</t>
        </is>
      </c>
      <c r="AE431" s="38" t="n"/>
      <c r="AF431" s="38" t="n"/>
      <c r="AG431" s="38" t="n"/>
    </row>
    <row r="432" ht="57.45" customHeight="1" s="22">
      <c r="A432" s="36">
        <f>"B"&amp;TEXT(ROW()-1,"0000")</f>
        <v/>
      </c>
      <c r="B432" s="38" t="inlineStr">
        <is>
          <t>Planned</t>
        </is>
      </c>
      <c r="C432" s="36" t="n">
        <v>2</v>
      </c>
      <c r="D432" s="36" t="inlineStr">
        <is>
          <t>Landlord &amp; rental property</t>
        </is>
      </c>
      <c r="E432" s="36" t="inlineStr">
        <is>
          <t>Personas</t>
        </is>
      </c>
      <c r="F432" s="25" t="inlineStr">
        <is>
          <t>Renting Out Your Cottage: Insurance for Seasonal Rentals</t>
        </is>
      </c>
      <c r="G432" s="36" t="inlineStr">
        <is>
          <t>https://instasure.ca/guides/cottage-rental-insurance/</t>
        </is>
      </c>
      <c r="H432" s="36" t="inlineStr">
        <is>
          <t>cottage rental insurance</t>
        </is>
      </c>
      <c r="I432" s="41">
        <f>IFERROR(INDEX('Nationwide KWs'!$D$2:$D$168,MATCH(H432,'Nationwide KWs'!$A$2:$A$168,0)),IFERROR(INDEX('Provincial KWs'!$E$2:$E$137,MATCH(H432,'Provincial KWs'!$A$2:$A$137,0)),IFERROR(INDEX('City KWs'!$F$2:$F$419,MATCH(H432,'City KWs'!$A$2:$A$419,0)),"")))</f>
        <v/>
      </c>
      <c r="J432" s="36" t="inlineStr">
        <is>
          <t>Low</t>
        </is>
      </c>
      <c r="K432" s="25" t="inlineStr">
        <is>
          <t>renting cottage insurance ontario; cottage airbnb insurance; seasonal rental liability; guest use of boat at cottage insurance; renting cottage to friends insurance</t>
        </is>
      </c>
      <c r="L432" s="36" t="inlineStr">
        <is>
          <t>Nationwide</t>
        </is>
      </c>
      <c r="M432" s="36" t="inlineStr">
        <is>
          <t>commercial</t>
        </is>
      </c>
      <c r="N432" s="36" t="inlineStr">
        <is>
          <t>BOFU</t>
        </is>
      </c>
      <c r="O432" s="25" t="inlineStr">
        <is>
          <t>Cottage Rental Insurance: Renting Out Your Seasonal Home</t>
        </is>
      </c>
      <c r="P432" s="36">
        <f>LEN(O432)</f>
        <v/>
      </c>
      <c r="Q432" s="25" t="inlineStr">
        <is>
          <t>Cottage rental insurance: when renting your cottage needs an endorsement or a commercial policy, plus guest liability for boats, docks and fires. Get help.</t>
        </is>
      </c>
      <c r="R432" s="36">
        <f>LEN(Q432)</f>
        <v/>
      </c>
      <c r="S432" s="36">
        <f>IF(H432="","",IF(ISNUMBER(SEARCH(SUBSTITUTE(H432,"-"," "),SUBSTITUTE(O432,"-"," "))),"Yes","Check"))</f>
        <v/>
      </c>
      <c r="T432" s="25" t="inlineStr">
        <is>
          <t>Do you need special insurance to rent out your cottage? | Family use vs occasional vs full-season rentals | Endorsement or commercial policy | Guest liability: boats, docks, fire pits and wood stoves | Platform host programs and their limits | Rental contracts and guest rules</t>
        </is>
      </c>
      <c r="U432" s="25" t="inlineStr">
        <is>
          <t>Does my cottage insurance cover renters? | Are guests covered if they use my boat? | Do I need commercial insurance to rent my cottage all summer? | Does renting to friends count as a rental?</t>
        </is>
      </c>
      <c r="V432" s="25" t="inlineStr">
        <is>
          <t>Rental-frequency table (family use only, a few weeks a year, full summer, year-round) with the policy type needed, plus a guest liability checklist covering boats, docks, fire pits and wood stoves.</t>
        </is>
      </c>
      <c r="W432" s="25" t="inlineStr">
        <is>
          <t>/home-insurance/cottage-and-seasonal/; /guides/cottage-insurance-cost/; /boat-insurance/; /home-insurance/short-term-rental/</t>
        </is>
      </c>
      <c r="X432" s="25" t="inlineStr">
        <is>
          <t>Request a specialist call: Cottage &amp; rural property desk (/home-insurance/cottage-and-seasonal/)</t>
        </is>
      </c>
      <c r="Y432" s="36" t="inlineStr">
        <is>
          <t>Article; FAQPage; BreadcrumbList</t>
        </is>
      </c>
      <c r="Z432" s="37" t="n">
        <v>1400</v>
      </c>
      <c r="AA432" s="25" t="inlineStr">
        <is>
          <t>Rates.ca has a cottage-rental commercial page with an $800–2,000 anchor; nobody covers guest boat and dock liability.</t>
        </is>
      </c>
      <c r="AB432" s="25" t="inlineStr">
        <is>
          <t>Use 'cottage rental insurance' in the H1, slug, meta title, first 100 words and first H2, with a 40–60 word answer on how rental frequency sets the policy. Add the frequency table and guest checklist; link 'cottage &amp; rural property desk' to /home-insurance/cottage-and-seasonal/ and 'boat insurance' to /boat-insurance/; alt text 'rented cottage with a dock and canoe'. Licensed P&amp;C reviewer; cite insurer wordings and Transport Canada boating rules; refresh before each summer season.</t>
        </is>
      </c>
      <c r="AC432" s="25" t="inlineStr">
        <is>
          <t>Attribute any Rates.ca price anchor. Verify how home and boat wordings treat guest use of owned boats before stating it.</t>
        </is>
      </c>
      <c r="AD432" s="36" t="inlineStr">
        <is>
          <t>Annual</t>
        </is>
      </c>
      <c r="AE432" s="38" t="n"/>
      <c r="AF432" s="38" t="n"/>
      <c r="AG432" s="38" t="n"/>
    </row>
    <row r="433" ht="57.45" customHeight="1" s="22">
      <c r="A433" s="36">
        <f>"B"&amp;TEXT(ROW()-1,"0000")</f>
        <v/>
      </c>
      <c r="B433" s="38" t="inlineStr">
        <is>
          <t>Planned</t>
        </is>
      </c>
      <c r="C433" s="36" t="n">
        <v>2</v>
      </c>
      <c r="D433" s="36" t="inlineStr">
        <is>
          <t>Landlord &amp; rental property</t>
        </is>
      </c>
      <c r="E433" s="36" t="inlineStr">
        <is>
          <t>Regulation</t>
        </is>
      </c>
      <c r="F433" s="25" t="inlineStr">
        <is>
          <t>Short-Term Rental Rules in Canada by City, and What They Mean for Insurance</t>
        </is>
      </c>
      <c r="G433" s="36" t="inlineStr">
        <is>
          <t>https://instasure.ca/guides/short-term-rental-rules-canada/</t>
        </is>
      </c>
      <c r="H433" s="36" t="inlineStr">
        <is>
          <t>short term rental rules canada</t>
        </is>
      </c>
      <c r="I433" s="41">
        <f>IFERROR(INDEX('Nationwide KWs'!$D$2:$D$168,MATCH(H433,'Nationwide KWs'!$A$2:$A$168,0)),IFERROR(INDEX('Provincial KWs'!$E$2:$E$137,MATCH(H433,'Provincial KWs'!$A$2:$A$137,0)),IFERROR(INDEX('City KWs'!$F$2:$F$419,MATCH(H433,'City KWs'!$A$2:$A$419,0)),"")))</f>
        <v/>
      </c>
      <c r="J433" s="36" t="inlineStr">
        <is>
          <t>Low</t>
        </is>
      </c>
      <c r="K433" s="25" t="inlineStr">
        <is>
          <t>airbnb rules toronto; bc short term rental principal residence; short term rental licence ottawa; calgary short term rental licence; airbnb rules vancouver</t>
        </is>
      </c>
      <c r="L433" s="36" t="inlineStr">
        <is>
          <t>Nationwide</t>
        </is>
      </c>
      <c r="M433" s="36" t="inlineStr">
        <is>
          <t>informational</t>
        </is>
      </c>
      <c r="N433" s="36" t="inlineStr">
        <is>
          <t>TOFU</t>
        </is>
      </c>
      <c r="O433" s="25" t="inlineStr">
        <is>
          <t>Short-Term Rental Rules in Canada by City and Insurance</t>
        </is>
      </c>
      <c r="P433" s="36">
        <f>LEN(O433)</f>
        <v/>
      </c>
      <c r="Q433" s="25" t="inlineStr">
        <is>
          <t>Short-term rental rules in Canada: principal-residence limits, licences and caps from Toronto to Vancouver, and the insurance impact. See the table.</t>
        </is>
      </c>
      <c r="R433" s="36">
        <f>LEN(Q433)</f>
        <v/>
      </c>
      <c r="S433" s="36">
        <f>IF(H433="","",IF(ISNUMBER(SEARCH(SUBSTITUTE(H433,"-"," "),SUBSTITUTE(O433,"-"," "))),"Yes","Check"))</f>
        <v/>
      </c>
      <c r="T433" s="25" t="inlineStr">
        <is>
          <t>Short-term rental rules: the short answer | City-by-city table | British Columbia's provincial rules | Ontario cities: Toronto and Ottawa | Alberta: Calgary and Edmonton | Atlantic and Quebec notes | What each rule means for your insurance</t>
        </is>
      </c>
      <c r="U433" s="25" t="inlineStr">
        <is>
          <t>Can I Airbnb my home in Toronto? | What is BC's principal residence requirement for short-term rentals? | Do I need a licence for a short-term rental in Calgary? | Does breaking city rules affect my insurance?</t>
        </is>
      </c>
      <c r="V433" s="25" t="inlineStr">
        <is>
          <t>Dated city table (Toronto, Ottawa, Vancouver, Victoria, Calgary, Edmonton, Montreal, Halifax) with licence requirement, principal-residence rule, caps, source link and the insurance implication.</t>
        </is>
      </c>
      <c r="W433" s="25" t="inlineStr">
        <is>
          <t>/home-insurance/short-term-rental/; /guides/does-home-insurance-cover-airbnb/; /guides/airbnb-condo-insurance/; /insurance/british-columbia/vancouver/</t>
        </is>
      </c>
      <c r="X433" s="25" t="inlineStr">
        <is>
          <t>Request a specialist call: Short-term rental desk (/home-insurance/short-term-rental/)</t>
        </is>
      </c>
      <c r="Y433" s="36" t="inlineStr">
        <is>
          <t>Article; FAQPage; BreadcrumbList</t>
        </is>
      </c>
      <c r="Z433" s="37" t="n">
        <v>2000</v>
      </c>
      <c r="AA433" s="25" t="inlineStr">
        <is>
          <t>No competitor coverage seen; the research lists short-term rental insurance as a product neither Ratehub nor Rates.ca covers.</t>
        </is>
      </c>
      <c r="AB433" s="25" t="inlineStr">
        <is>
          <t>Use 'short-term rental rules' and 'Canada' in the H1, slug, meta title, first 100 words and first H2, with a 40–60 word answer on the common rule types. Lead with the dated city table; link 'short-term rental insurance' to /home-insurance/short-term-rental/ and 'condo rules' to the condo Airbnb guide; alt text 'map of short-term rental rules in Canadian cities'. Licensed P&amp;C reviewer; cite each municipal and provincial source with the date checked; refresh on rule change.</t>
        </is>
      </c>
      <c r="AC433" s="25" t="inlineStr">
        <is>
          <t>Verify every rule on the municipal or provincial site (for example BC's principal residence requirement) with the date checked; keep Montreal notes in English and general.</t>
        </is>
      </c>
      <c r="AD433" s="36" t="inlineStr">
        <is>
          <t>On rule change</t>
        </is>
      </c>
      <c r="AE433" s="38" t="n"/>
      <c r="AF433" s="38" t="n"/>
      <c r="AG433" s="38" t="n"/>
    </row>
    <row r="434" ht="46.25" customHeight="1" s="22">
      <c r="A434" s="36">
        <f>"B"&amp;TEXT(ROW()-1,"0000")</f>
        <v/>
      </c>
      <c r="B434" s="38" t="inlineStr">
        <is>
          <t>Planned</t>
        </is>
      </c>
      <c r="C434" s="36" t="n">
        <v>3</v>
      </c>
      <c r="D434" s="36" t="inlineStr">
        <is>
          <t>Landlord &amp; rental property</t>
        </is>
      </c>
      <c r="E434" s="36" t="inlineStr">
        <is>
          <t>Exclusions</t>
        </is>
      </c>
      <c r="F434" s="25" t="inlineStr">
        <is>
          <t>Vacant Rental Property Insurance: Between Tenants and Renovations</t>
        </is>
      </c>
      <c r="G434" s="36" t="inlineStr">
        <is>
          <t>https://instasure.ca/guides/vacant-rental-property-insurance/</t>
        </is>
      </c>
      <c r="H434" s="36" t="inlineStr">
        <is>
          <t>vacant rental property insurance</t>
        </is>
      </c>
      <c r="I434" s="41">
        <f>IFERROR(INDEX('Nationwide KWs'!$D$2:$D$168,MATCH(H434,'Nationwide KWs'!$A$2:$A$168,0)),IFERROR(INDEX('Provincial KWs'!$E$2:$E$137,MATCH(H434,'Provincial KWs'!$A$2:$A$137,0)),IFERROR(INDEX('City KWs'!$F$2:$F$419,MATCH(H434,'City KWs'!$A$2:$A$419,0)),"")))</f>
        <v/>
      </c>
      <c r="J434" s="36" t="inlineStr">
        <is>
          <t>Niche</t>
        </is>
      </c>
      <c r="K434" s="25" t="inlineStr">
        <is>
          <t>insurance between tenants; unoccupied rental property; landlord vacancy clause; vacant rental renovation insurance; rental property empty for 30 days</t>
        </is>
      </c>
      <c r="L434" s="36" t="inlineStr">
        <is>
          <t>Nationwide</t>
        </is>
      </c>
      <c r="M434" s="36" t="inlineStr">
        <is>
          <t>commercial</t>
        </is>
      </c>
      <c r="N434" s="36" t="inlineStr">
        <is>
          <t>MOFU</t>
        </is>
      </c>
      <c r="O434" s="25" t="inlineStr">
        <is>
          <t>Vacant Rental Property Insurance: Between Tenants</t>
        </is>
      </c>
      <c r="P434" s="36">
        <f>LEN(O434)</f>
        <v/>
      </c>
      <c r="Q434" s="25" t="inlineStr">
        <is>
          <t>Vacant rental property insurance: how vacancy clauses limit cover between tenants or during renovations, checks insurers expect and permits. Get help.</t>
        </is>
      </c>
      <c r="R434" s="36">
        <f>LEN(Q434)</f>
        <v/>
      </c>
      <c r="S434" s="36">
        <f>IF(H434="","",IF(ISNUMBER(SEARCH(SUBSTITUTE(H434,"-"," "),SUBSTITUTE(O434,"-"," "))),"Yes","Check"))</f>
        <v/>
      </c>
      <c r="T434" s="25" t="inlineStr">
        <is>
          <t>Is a vacant rental still insured? | Vacancy vs unoccupancy for landlords | What changes after the vacancy period | Renovating between tenants | Vacancy permits and vacant-property policies | Inspection log insurers expect</t>
        </is>
      </c>
      <c r="U434" s="25" t="inlineStr">
        <is>
          <t>How long can a rental property sit empty before insurance is affected? | Is a rental covered during renovations between tenants? | What is a vacancy permit? | Does rental income coverage pay while the unit is empty?</t>
        </is>
      </c>
      <c r="V434" s="25" t="inlineStr">
        <is>
          <t>Landlord vacancy log template (inspection dates, heat and water status, photos) plus a table of what typically stays covered at day 1, day 31 and beyond under common wordings.</t>
        </is>
      </c>
      <c r="W434" s="25" t="inlineStr">
        <is>
          <t>/landlord-insurance/; /guides/vacant-home-insurance/; /guides/rental-income-loss-insurance/; /home-insurance/hard-to-insure/</t>
        </is>
      </c>
      <c r="X434" s="25" t="inlineStr">
        <is>
          <t>Advisor quote for a rental property (/landlord-insurance/)</t>
        </is>
      </c>
      <c r="Y434" s="36" t="inlineStr">
        <is>
          <t>Article; FAQPage; BreadcrumbList</t>
        </is>
      </c>
      <c r="Z434" s="37" t="n">
        <v>1200</v>
      </c>
      <c r="AA434" s="25" t="inlineStr">
        <is>
          <t>Not seen on Ratehub, Rates.ca or Sonnet; the Instasure landlord page only notes that vacancy limits apply.</t>
        </is>
      </c>
      <c r="AB434" s="25" t="inlineStr">
        <is>
          <t>Use 'vacant rental property insurance' in the H1, slug, meta title, first 100 words and first H2, with a 40–60 word answer on vacancy clauses and the fix. Add the log template and coverage-by-day table; link 'landlord insurance' to /landlord-insurance/ and 'rental income coverage' to that guide; alt text 'empty rental unit ready for a new tenant'. Licensed P&amp;C reviewer; cite insurer wordings; refresh annually.</t>
        </is>
      </c>
      <c r="AC434" s="25" t="inlineStr">
        <is>
          <t>Vacancy thresholds and permits vary by insurer; describe them generically and verify any day count before stating it.</t>
        </is>
      </c>
      <c r="AD434" s="36" t="inlineStr">
        <is>
          <t>Annual</t>
        </is>
      </c>
      <c r="AE434" s="38" t="n"/>
      <c r="AF434" s="38" t="n"/>
      <c r="AG434" s="38" t="n"/>
    </row>
    <row r="435" ht="46.25" customHeight="1" s="22">
      <c r="A435" s="36">
        <f>"B"&amp;TEXT(ROW()-1,"0000")</f>
        <v/>
      </c>
      <c r="B435" s="38" t="inlineStr">
        <is>
          <t>Planned</t>
        </is>
      </c>
      <c r="C435" s="36" t="n">
        <v>3</v>
      </c>
      <c r="D435" s="36" t="inlineStr">
        <is>
          <t>Landlord &amp; rental property</t>
        </is>
      </c>
      <c r="E435" s="36" t="inlineStr">
        <is>
          <t>Personas</t>
        </is>
      </c>
      <c r="F435" s="25" t="inlineStr">
        <is>
          <t>Insuring a Duplex or Triplex You Live In: Owner-Occupied Rentals</t>
        </is>
      </c>
      <c r="G435" s="36" t="inlineStr">
        <is>
          <t>https://instasure.ca/guides/duplex-triplex-insurance/</t>
        </is>
      </c>
      <c r="H435" s="36" t="inlineStr">
        <is>
          <t>duplex insurance</t>
        </is>
      </c>
      <c r="I435" s="41">
        <f>IFERROR(INDEX('Nationwide KWs'!$D$2:$D$168,MATCH(H435,'Nationwide KWs'!$A$2:$A$168,0)),IFERROR(INDEX('Provincial KWs'!$E$2:$E$137,MATCH(H435,'Provincial KWs'!$A$2:$A$137,0)),IFERROR(INDEX('City KWs'!$F$2:$F$419,MATCH(H435,'City KWs'!$A$2:$A$419,0)),"")))</f>
        <v/>
      </c>
      <c r="J435" s="36" t="inlineStr">
        <is>
          <t>Low</t>
        </is>
      </c>
      <c r="K435" s="25" t="inlineStr">
        <is>
          <t>triplex insurance canada; owner occupied rental insurance; fourplex insurance; multi unit home insurance; house hacking insurance</t>
        </is>
      </c>
      <c r="L435" s="36" t="inlineStr">
        <is>
          <t>Nationwide</t>
        </is>
      </c>
      <c r="M435" s="36" t="inlineStr">
        <is>
          <t>commercial</t>
        </is>
      </c>
      <c r="N435" s="36" t="inlineStr">
        <is>
          <t>MOFU</t>
        </is>
      </c>
      <c r="O435" s="25" t="inlineStr">
        <is>
          <t>Duplex and Triplex Insurance for Owner-Occupied Rentals</t>
        </is>
      </c>
      <c r="P435" s="36">
        <f>LEN(O435)</f>
        <v/>
      </c>
      <c r="Q435" s="25" t="inlineStr">
        <is>
          <t>Duplex and triplex insurance: how an owner-occupied policy covers your unit, rented units and rent loss, and when it turns commercial. Get a quote.</t>
        </is>
      </c>
      <c r="R435" s="36">
        <f>LEN(Q435)</f>
        <v/>
      </c>
      <c r="S435" s="36">
        <f>IF(H435="","",IF(ISNUMBER(SEARCH(SUBSTITUTE(H435,"-"," "),SUBSTITUTE(O435,"-"," "))),"Yes","Check"))</f>
        <v/>
      </c>
      <c r="T435" s="25" t="inlineStr">
        <is>
          <t>How duplex and triplex insurance works | Owner-occupied vs fully rented buildings | Your unit, the rented units and shared areas | Rental income and liability limits | When four or more units go commercial | Requiring tenant insurance in every unit</t>
        </is>
      </c>
      <c r="U435" s="25" t="inlineStr">
        <is>
          <t>Can I get home insurance on a duplex I live in? | Do I need landlord insurance for a triplex? | When does a multi-unit home need a commercial policy? | How much liability should a duplex owner carry?</t>
        </is>
      </c>
      <c r="V435" s="25" t="inlineStr">
        <is>
          <t>Table by unit count (2, 3, 4, 5+) showing typical personal vs commercial policy treatment, plus a rent-roll worksheet for setting rental income and liability limits.</t>
        </is>
      </c>
      <c r="W435" s="25" t="inlineStr">
        <is>
          <t>/landlord-insurance/; /guides/rental-income-loss-insurance/; /guides/how-much-umbrella-insurance-do-i-need/; /business-insurance/</t>
        </is>
      </c>
      <c r="X435" s="25" t="inlineStr">
        <is>
          <t>Advisor quote for a rental property (/landlord-insurance/)</t>
        </is>
      </c>
      <c r="Y435" s="36" t="inlineStr">
        <is>
          <t>Article; FAQPage; BreadcrumbList</t>
        </is>
      </c>
      <c r="Z435" s="37" t="n">
        <v>1300</v>
      </c>
      <c r="AA435" s="25" t="inlineStr">
        <is>
          <t>No competitor coverage seen; Ratehub and Rates.ca landlord pages don't address owner-occupied multi-unit homes.</t>
        </is>
      </c>
      <c r="AB435" s="25" t="inlineStr">
        <is>
          <t>Use 'duplex insurance' in the H1, slug, meta title, first 100 words and first H2, with a 40–60 word answer on owner-occupied multi-unit policies. Add the unit-count table and rent-roll worksheet; link 'rental income coverage' to that guide and 'umbrella liability' to the umbrella guide; alt text 'side-by-side duplex with two entrances'. Licensed P&amp;C reviewer; cite insurer underwriting guides; refresh annually.</t>
        </is>
      </c>
      <c r="AC435" s="25" t="inlineStr">
        <is>
          <t>The unit count at which policies become commercial varies by insurer; describe it as typical, not a rule.</t>
        </is>
      </c>
      <c r="AD435" s="36" t="inlineStr">
        <is>
          <t>Annual</t>
        </is>
      </c>
      <c r="AE435" s="38" t="n"/>
      <c r="AF435" s="38" t="n"/>
      <c r="AG435" s="38" t="n"/>
    </row>
    <row r="436" ht="46.25" customHeight="1" s="22">
      <c r="A436" s="36">
        <f>"B"&amp;TEXT(ROW()-1,"0000")</f>
        <v/>
      </c>
      <c r="B436" s="38" t="inlineStr">
        <is>
          <t>Planned</t>
        </is>
      </c>
      <c r="C436" s="36" t="n">
        <v>3</v>
      </c>
      <c r="D436" s="36" t="inlineStr">
        <is>
          <t>Landlord &amp; rental property</t>
        </is>
      </c>
      <c r="E436" s="36" t="inlineStr">
        <is>
          <t>Personas</t>
        </is>
      </c>
      <c r="F436" s="25" t="inlineStr">
        <is>
          <t>Renting a Room in Your Home: Does Home Insurance Still Cover You?</t>
        </is>
      </c>
      <c r="G436" s="36" t="inlineStr">
        <is>
          <t>https://instasure.ca/guides/renting-a-room-home-insurance/</t>
        </is>
      </c>
      <c r="H436" s="36" t="inlineStr">
        <is>
          <t>renting a room insurance</t>
        </is>
      </c>
      <c r="I436" s="41">
        <f>IFERROR(INDEX('Nationwide KWs'!$D$2:$D$168,MATCH(H436,'Nationwide KWs'!$A$2:$A$168,0)),IFERROR(INDEX('Provincial KWs'!$E$2:$E$137,MATCH(H436,'Provincial KWs'!$A$2:$A$137,0)),IFERROR(INDEX('City KWs'!$F$2:$F$419,MATCH(H436,'City KWs'!$A$2:$A$419,0)),"")))</f>
        <v/>
      </c>
      <c r="J436" s="36" t="inlineStr">
        <is>
          <t>Low</t>
        </is>
      </c>
      <c r="K436" s="25" t="inlineStr">
        <is>
          <t>boarder home insurance canada; renting room to student insurance; home insurance renting a room; lodger liability insurance; does my roommate need tenant insurance</t>
        </is>
      </c>
      <c r="L436" s="36" t="inlineStr">
        <is>
          <t>Nationwide</t>
        </is>
      </c>
      <c r="M436" s="36" t="inlineStr">
        <is>
          <t>informational</t>
        </is>
      </c>
      <c r="N436" s="36" t="inlineStr">
        <is>
          <t>MOFU</t>
        </is>
      </c>
      <c r="O436" s="25" t="inlineStr">
        <is>
          <t>Renting a Room in Your Home: Is Your Insurance Affected?</t>
        </is>
      </c>
      <c r="P436" s="36">
        <f>LEN(O436)</f>
        <v/>
      </c>
      <c r="Q436" s="25" t="inlineStr">
        <is>
          <t>Renting a room in your home: when boarders change your home insurance, why their things aren't covered, liability and what to disclose. Learn more.</t>
        </is>
      </c>
      <c r="R436" s="36">
        <f>LEN(Q436)</f>
        <v/>
      </c>
      <c r="S436" s="36">
        <f>IF(H436="","",IF(ISNUMBER(SEARCH(SUBSTITUTE(H436,"-"," "),SUBSTITUTE(O436,"-"," "))),"Yes","Check"))</f>
        <v/>
      </c>
      <c r="T436" s="25" t="inlineStr">
        <is>
          <t>Does renting a room affect your home insurance? | Boarders vs tenants vs short-term guests | What your policy covers and what it doesn't | Your boarder's belongings and liability | Telling your insurer | Agreement clauses about insurance</t>
        </is>
      </c>
      <c r="U436" s="25" t="inlineStr">
        <is>
          <t>Do I need to tell my insurer if I rent a room? | Is my boarder's stuff covered by my home insurance? | Does my boarder need tenant insurance? | Is renting a room on Airbnb different from a long-term boarder?</t>
        </is>
      </c>
      <c r="V436" s="25" t="inlineStr">
        <is>
          <t>Comparison of three setups (one long-term boarder, several rooms, short-term room guests) showing the insurance change needed, plus a sample insurance clause for a boarder agreement.</t>
        </is>
      </c>
      <c r="W436" s="25" t="inlineStr">
        <is>
          <t>/home-insurance/; /landlord-insurance/; /guides/does-home-insurance-cover-airbnb/; /tenant-insurance/</t>
        </is>
      </c>
      <c r="X436" s="25" t="inlineStr">
        <is>
          <t>Instant home insurance estimate (/quote/home-insurance/)</t>
        </is>
      </c>
      <c r="Y436" s="36" t="inlineStr">
        <is>
          <t>Article; FAQPage; BreadcrumbList</t>
        </is>
      </c>
      <c r="Z436" s="37" t="n">
        <v>1200</v>
      </c>
      <c r="AA436" s="25" t="inlineStr">
        <is>
          <t>No competitor coverage seen in the research.</t>
        </is>
      </c>
      <c r="AB436" s="25" t="inlineStr">
        <is>
          <t>Use 'renting a room' and 'insurance' in the H1, slug, meta title, first 100 words and first H2, with a 40–60 word answer on disclosure and the boarder's own policy. Add the three-setup table and the clause box; link 'Airbnb hosting' to that guide and 'tenant insurance' to /tenant-insurance/; alt text 'spare bedroom set up for a boarder'. Licensed P&amp;C reviewer; cite insurer wordings; refresh annually.</t>
        </is>
      </c>
      <c r="AC436" s="25" t="inlineStr">
        <is>
          <t>Insurers treat boarders differently (thresholds on the number of roomers vary); keep the clause as an example, not legal advice. Ontario's Residential Tenancies Act may not apply where the owner shares a kitchen or bathroom; verify before stating.</t>
        </is>
      </c>
      <c r="AD436" s="36" t="inlineStr">
        <is>
          <t>Annual</t>
        </is>
      </c>
      <c r="AE436" s="38" t="n"/>
      <c r="AF436" s="38" t="n"/>
      <c r="AG436" s="38" t="n"/>
    </row>
    <row r="437" ht="57.45" customHeight="1" s="22">
      <c r="A437" s="36">
        <f>"B"&amp;TEXT(ROW()-1,"0000")</f>
        <v/>
      </c>
      <c r="B437" s="38" t="inlineStr">
        <is>
          <t>Planned</t>
        </is>
      </c>
      <c r="C437" s="36" t="n">
        <v>3</v>
      </c>
      <c r="D437" s="36" t="inlineStr">
        <is>
          <t>Landlord &amp; rental property</t>
        </is>
      </c>
      <c r="E437" s="36" t="inlineStr">
        <is>
          <t>Personas</t>
        </is>
      </c>
      <c r="F437" s="25" t="inlineStr">
        <is>
          <t>Student Rental House Insurance: What Landlords Near Campuses Need</t>
        </is>
      </c>
      <c r="G437" s="36" t="inlineStr">
        <is>
          <t>https://instasure.ca/guides/student-rental-house-insurance/</t>
        </is>
      </c>
      <c r="H437" s="36" t="inlineStr">
        <is>
          <t>student rental house insurance</t>
        </is>
      </c>
      <c r="I437" s="41">
        <f>IFERROR(INDEX('Nationwide KWs'!$D$2:$D$168,MATCH(H437,'Nationwide KWs'!$A$2:$A$168,0)),IFERROR(INDEX('Provincial KWs'!$E$2:$E$137,MATCH(H437,'Provincial KWs'!$A$2:$A$137,0)),IFERROR(INDEX('City KWs'!$F$2:$F$419,MATCH(H437,'City KWs'!$A$2:$A$419,0)),"")))</f>
        <v/>
      </c>
      <c r="J437" s="36" t="inlineStr">
        <is>
          <t>Niche</t>
        </is>
      </c>
      <c r="K437" s="25" t="inlineStr">
        <is>
          <t>insurance for student rental property; rooming house insurance ontario; renting to students insurance; rent by the room insurance; rental licensing student housing</t>
        </is>
      </c>
      <c r="L437" s="36" t="inlineStr">
        <is>
          <t>Nationwide</t>
        </is>
      </c>
      <c r="M437" s="36" t="inlineStr">
        <is>
          <t>commercial</t>
        </is>
      </c>
      <c r="N437" s="36" t="inlineStr">
        <is>
          <t>BOFU</t>
        </is>
      </c>
      <c r="O437" s="25" t="inlineStr">
        <is>
          <t>Student Rental House Insurance: A Guide for Landlords</t>
        </is>
      </c>
      <c r="P437" s="36">
        <f>LEN(O437)</f>
        <v/>
      </c>
      <c r="Q437" s="25" t="inlineStr">
        <is>
          <t>Student rental house insurance: how insurers rate houses rented by the room, rooming-house rules, tenant insurance and liability limits. Get a quote.</t>
        </is>
      </c>
      <c r="R437" s="36">
        <f>LEN(Q437)</f>
        <v/>
      </c>
      <c r="S437" s="36">
        <f>IF(H437="","",IF(ISNUMBER(SEARCH(SUBSTITUTE(H437,"-"," "),SUBSTITUTE(O437,"-"," "))),"Yes","Check"))</f>
        <v/>
      </c>
      <c r="T437" s="25" t="inlineStr">
        <is>
          <t>What is student rental house insurance? | One lease vs rent by the room | Rooming-house and rental licensing rules | Fire safety and liability exposures | Requiring tenant insurance from students | City table: Waterloo, Kingston, London, Hamilton, Guelph, Ottawa</t>
        </is>
      </c>
      <c r="U437" s="25" t="inlineStr">
        <is>
          <t>Does renting to students cost more to insure? | Is a house rented by the room a rooming house? | Should I require my student tenants to carry tenant insurance? | What liability limit should a student rental landlord carry?</t>
        </is>
      </c>
      <c r="V437" s="25" t="inlineStr">
        <is>
          <t>Comparison of single-lease vs rent-by-the-room setups and their insurance consequences, plus a city table of rental-licensing rules for Waterloo, Kingston, London, Hamilton, Guelph and Ottawa with verified links.</t>
        </is>
      </c>
      <c r="W437" s="25" t="inlineStr">
        <is>
          <t>/landlord-insurance/; /guides/tenant-insurance-waterloo-students/; /guides/landlord-insurance-cost/; /tenant-insurance/students/</t>
        </is>
      </c>
      <c r="X437" s="25" t="inlineStr">
        <is>
          <t>Advisor quote for a rental property (/landlord-insurance/)</t>
        </is>
      </c>
      <c r="Y437" s="36" t="inlineStr">
        <is>
          <t>Article; FAQPage; BreadcrumbList</t>
        </is>
      </c>
      <c r="Z437" s="37" t="n">
        <v>1400</v>
      </c>
      <c r="AA437" s="25" t="inlineStr">
        <is>
          <t>Rates.ca has a student-rental-house commercial page with a $1,500–3,000 anchor; no competitor explains rooming-house rules or by-the-room underwriting.</t>
        </is>
      </c>
      <c r="AB437" s="25" t="inlineStr">
        <is>
          <t>Use 'student rental house insurance' in the H1, slug, meta title, first 100 words and first H2, with a 40–60 word answer on how by-the-room renting changes the policy. Add the setup comparison and city table; link 'tenant insurance for students' to /tenant-insurance/students/ and 'landlord insurance cost' to that guide; alt text 'student rental house near a university campus'. Licensed Ontario P&amp;C reviewer; cite municipal licensing bylaws; refresh annually.</t>
        </is>
      </c>
      <c r="AC437" s="25" t="inlineStr">
        <is>
          <t>Verify municipal rental-licensing bylaws for each listed city; attribute any Rates.ca price anchor and avoid presenting it as a typical price.</t>
        </is>
      </c>
      <c r="AD437" s="36" t="inlineStr">
        <is>
          <t>Annual</t>
        </is>
      </c>
      <c r="AE437" s="38" t="n"/>
      <c r="AF437" s="38" t="n"/>
      <c r="AG437" s="38" t="n"/>
    </row>
    <row r="438" ht="57.45" customHeight="1" s="22">
      <c r="A438" s="36">
        <f>"B"&amp;TEXT(ROW()-1,"0000")</f>
        <v/>
      </c>
      <c r="B438" s="38" t="inlineStr">
        <is>
          <t>Planned</t>
        </is>
      </c>
      <c r="C438" s="36" t="n">
        <v>3</v>
      </c>
      <c r="D438" s="36" t="inlineStr">
        <is>
          <t>Landlord &amp; rental property</t>
        </is>
      </c>
      <c r="E438" s="36" t="inlineStr">
        <is>
          <t>Regulation</t>
        </is>
      </c>
      <c r="F438" s="25" t="inlineStr">
        <is>
          <t>Is Landlord Insurance Tax Deductible in Canada? Rental Expense Rules</t>
        </is>
      </c>
      <c r="G438" s="36" t="inlineStr">
        <is>
          <t>https://instasure.ca/guides/is-landlord-insurance-tax-deductible/</t>
        </is>
      </c>
      <c r="H438" s="36" t="inlineStr">
        <is>
          <t>is landlord insurance tax deductible</t>
        </is>
      </c>
      <c r="I438" s="41">
        <f>IFERROR(INDEX('Nationwide KWs'!$D$2:$D$168,MATCH(H438,'Nationwide KWs'!$A$2:$A$168,0)),IFERROR(INDEX('Provincial KWs'!$E$2:$E$137,MATCH(H438,'Provincial KWs'!$A$2:$A$137,0)),IFERROR(INDEX('City KWs'!$F$2:$F$419,MATCH(H438,'City KWs'!$A$2:$A$419,0)),"")))</f>
        <v/>
      </c>
      <c r="J438" s="36" t="inlineStr">
        <is>
          <t>Low</t>
        </is>
      </c>
      <c r="K438" s="25" t="inlineStr">
        <is>
          <t>rental property insurance tax deduction canada; claim home insurance on taxes rental suite; cra rental expenses insurance; prepaid insurance rental income; t776 insurance expense</t>
        </is>
      </c>
      <c r="L438" s="36" t="inlineStr">
        <is>
          <t>Nationwide</t>
        </is>
      </c>
      <c r="M438" s="36" t="inlineStr">
        <is>
          <t>informational</t>
        </is>
      </c>
      <c r="N438" s="36" t="inlineStr">
        <is>
          <t>TOFU</t>
        </is>
      </c>
      <c r="O438" s="25" t="inlineStr">
        <is>
          <t>Is Landlord Insurance Tax Deductible? CRA Rental Rules</t>
        </is>
      </c>
      <c r="P438" s="36">
        <f>LEN(O438)</f>
        <v/>
      </c>
      <c r="Q438" s="25" t="inlineStr">
        <is>
          <t>Is landlord insurance tax deductible? How CRA treats rental insurance on Form T776, splitting a policy for a suite and prepaid premiums. See the example.</t>
        </is>
      </c>
      <c r="R438" s="36">
        <f>LEN(Q438)</f>
        <v/>
      </c>
      <c r="S438" s="36">
        <f>IF(H438="","",IF(ISNUMBER(SEARCH(SUBSTITUTE(H438,"-"," "),SUBSTITUTE(O438,"-"," "))),"Yes","Check"))</f>
        <v/>
      </c>
      <c r="T438" s="25" t="inlineStr">
        <is>
          <t>Is landlord insurance tax deductible? | Insurance as a rental expense on Form T776 | Splitting a home policy when you rent part of your home | Prepaid and multi-year premiums | Short-term rentals and business income | Records to keep</t>
        </is>
      </c>
      <c r="U438" s="25" t="inlineStr">
        <is>
          <t>Can I deduct home insurance if I rent out my basement? | Is tenant insurance tax deductible? | How do I split my home insurance for a rental suite? | Can I deduct a multi-year premium in one year?</t>
        </is>
      </c>
      <c r="V438" s="25" t="inlineStr">
        <is>
          <t>Worked T776 example splitting a home policy premium for an owner-occupied house with a basement suite by floor area, with a CRA source table.</t>
        </is>
      </c>
      <c r="W438" s="25" t="inlineStr">
        <is>
          <t>/landlord-insurance/; /guides/basement-suite-insurance/; /guides/landlord-insurance-cost/; /business-insurance/home-based/</t>
        </is>
      </c>
      <c r="X438" s="25" t="inlineStr">
        <is>
          <t>Advisor quote for a rental property (/landlord-insurance/)</t>
        </is>
      </c>
      <c r="Y438" s="36" t="inlineStr">
        <is>
          <t>Article; FAQPage; BreadcrumbList</t>
        </is>
      </c>
      <c r="Z438" s="37" t="n">
        <v>1200</v>
      </c>
      <c r="AA438" s="25" t="inlineStr">
        <is>
          <t>Ratehub's claim-home-tenant-insurance-landlords-renters post answers generally; no worked T776 example was seen.</t>
        </is>
      </c>
      <c r="AB438" s="25" t="inlineStr">
        <is>
          <t>Use 'is landlord insurance tax deductible' in the H1, slug, meta title, first 100 words and first H2, with a 40–60 word answer citing the rental expense rule. Add the worked T776 split example; link 'basement suite insurance' to that guide and 'landlord insurance' to /landlord-insurance/; alt text 'landlord completing a rental income tax form'. Reviewed by a licensed P&amp;C advisor with a tax professional's check; cite CRA's Rental Income guide (T4036) and Form T776; refresh each tax season.</t>
        </is>
      </c>
      <c r="AC438" s="25" t="inlineStr">
        <is>
          <t>Verify against CRA's T4036 guide and Form T776. State that this is general information, readers should consult a tax professional, and Instasure advisors do not give tax advice.</t>
        </is>
      </c>
      <c r="AD438" s="36" t="inlineStr">
        <is>
          <t>Annual</t>
        </is>
      </c>
      <c r="AE438" s="38" t="n"/>
      <c r="AF438" s="38" t="n"/>
      <c r="AG438" s="38" t="n"/>
    </row>
    <row r="439" ht="46.25" customHeight="1" s="22">
      <c r="A439" s="36">
        <f>"B"&amp;TEXT(ROW()-1,"0000")</f>
        <v/>
      </c>
      <c r="B439" s="38" t="inlineStr">
        <is>
          <t>Published</t>
        </is>
      </c>
      <c r="C439" s="36" t="n">
        <v>2</v>
      </c>
      <c r="D439" s="36" t="inlineStr">
        <is>
          <t>Pet insurance</t>
        </is>
      </c>
      <c r="E439" s="36" t="inlineStr">
        <is>
          <t>Coverage explained</t>
        </is>
      </c>
      <c r="F439" s="25" t="inlineStr">
        <is>
          <t>Does Home Insurance Cover Dog Bites? Liability for Pet Owners</t>
        </is>
      </c>
      <c r="G439" s="36" t="inlineStr">
        <is>
          <t>https://instasure.ca/guides/does-home-insurance-cover-dog-bites/</t>
        </is>
      </c>
      <c r="H439" s="36" t="inlineStr">
        <is>
          <t>does home insurance cover dog bites</t>
        </is>
      </c>
      <c r="I439" s="41">
        <f>IFERROR(INDEX('Nationwide KWs'!$D$2:$D$168,MATCH(H439,'Nationwide KWs'!$A$2:$A$168,0)),IFERROR(INDEX('Provincial KWs'!$E$2:$E$137,MATCH(H439,'Provincial KWs'!$A$2:$A$137,0)),IFERROR(INDEX('City KWs'!$F$2:$F$419,MATCH(H439,'City KWs'!$A$2:$A$419,0)),"")))</f>
        <v/>
      </c>
      <c r="J439" s="36" t="inlineStr">
        <is>
          <t>Low</t>
        </is>
      </c>
      <c r="K439" s="25" t="inlineStr">
        <is>
          <t>dog bite liability insurance canada; tenant insurance dog bite; dog owners liability act ontario; breed restrictions home insurance; dog liability insurance</t>
        </is>
      </c>
      <c r="L439" s="36" t="inlineStr">
        <is>
          <t>Nationwide</t>
        </is>
      </c>
      <c r="M439" s="36" t="inlineStr">
        <is>
          <t>informational</t>
        </is>
      </c>
      <c r="N439" s="36" t="inlineStr">
        <is>
          <t>MOFU</t>
        </is>
      </c>
      <c r="O439" s="25" t="inlineStr">
        <is>
          <t>Does Home Insurance Cover Dog Bites? Pet Owner Liability</t>
        </is>
      </c>
      <c r="P439" s="36">
        <f>LEN(O439)</f>
        <v/>
      </c>
      <c r="Q439" s="25" t="inlineStr">
        <is>
          <t>Does home insurance cover dog bites? How personal liability responds, Ontario's strict-liability law, breed questions and tenant cover. Check yours.</t>
        </is>
      </c>
      <c r="R439" s="36">
        <f>LEN(Q439)</f>
        <v/>
      </c>
      <c r="S439" s="36">
        <f>IF(H439="","",IF(ISNUMBER(SEARCH(SUBSTITUTE(H439,"-"," "),SUBSTITUTE(O439,"-"," "))),"Yes","Check"))</f>
        <v/>
      </c>
      <c r="T439" s="25" t="inlineStr">
        <is>
          <t>Does home insurance cover dog bites? | How personal liability responds | Ontario's Dog Owners' Liability Act | Other provinces: negligence-based rules | Breed questions and exclusions | Tenant and condo owners with dogs | When an umbrella policy helps</t>
        </is>
      </c>
      <c r="U439" s="25" t="inlineStr">
        <is>
          <t>Will my home insurance pay if my dog bites someone? | Does tenant insurance cover dog bites? | Can an insurer exclude certain breeds? | Does pet insurance cover my dog biting someone?</t>
        </is>
      </c>
      <c r="V439" s="25" t="inlineStr">
        <is>
          <t>Province table of dog-owner liability rules (Ontario's Dog Owners' Liability Act and other provinces' negligence-based approach) with what a home, condo or tenant policy typically pays.</t>
        </is>
      </c>
      <c r="W439" s="25" t="inlineStr">
        <is>
          <t>/home-insurance/; /tenant-insurance/; /umbrella-insurance/; /pet-insurance/; /guides/how-much-umbrella-insurance-do-i-need/</t>
        </is>
      </c>
      <c r="X439" s="25" t="inlineStr">
        <is>
          <t>Instant home insurance estimate (/quote/home-insurance/)</t>
        </is>
      </c>
      <c r="Y439" s="36" t="inlineStr">
        <is>
          <t>Article; FAQPage; BreadcrumbList</t>
        </is>
      </c>
      <c r="Z439" s="37" t="n">
        <v>1400</v>
      </c>
      <c r="AA439" s="25" t="inlineStr">
        <is>
          <t>Sonnet's home-insurance-and-your-backyard touches liability; no competitor explains dog-bite coverage alongside provincial law.</t>
        </is>
      </c>
      <c r="AB439" s="25" t="inlineStr">
        <is>
          <t>Use 'does home insurance cover dog bites' in the H1, slug, meta title, first 100 words and first H2, with a 40–60 word answer on personal liability and the disclosure duty. Add the province table; link 'tenant insurance' to /tenant-insurance/ and 'umbrella liability' to /umbrella-insurance/; alt text 'dog on a leash greeting a neighbour'. Licensed P&amp;C reviewer; cite Ontario e-Laws and CanLII; refresh on rule change.</t>
        </is>
      </c>
      <c r="AC439" s="25" t="inlineStr">
        <is>
          <t>Verify the Ontario Dog Owners' Liability Act (strict liability, breed provisions) and other provinces' rules. Most pet insurance plans do not include third-party liability; verify before stating.</t>
        </is>
      </c>
      <c r="AD439" s="36" t="inlineStr">
        <is>
          <t>On rule change</t>
        </is>
      </c>
      <c r="AE439" s="38" t="inlineStr">
        <is>
          <t>Michael Le Chi</t>
        </is>
      </c>
      <c r="AF439" s="38" t="n"/>
      <c r="AG439" s="38" t="inlineStr">
        <is>
          <t>2026-10-12</t>
        </is>
      </c>
    </row>
    <row r="440" ht="46.25" customHeight="1" s="22">
      <c r="A440" s="36">
        <f>"B"&amp;TEXT(ROW()-1,"0000")</f>
        <v/>
      </c>
      <c r="B440" s="38" t="inlineStr">
        <is>
          <t>Planned</t>
        </is>
      </c>
      <c r="C440" s="36" t="n">
        <v>3</v>
      </c>
      <c r="D440" s="36" t="inlineStr">
        <is>
          <t>Pet insurance</t>
        </is>
      </c>
      <c r="E440" s="36" t="inlineStr">
        <is>
          <t>Comparisons</t>
        </is>
      </c>
      <c r="F440" s="25" t="inlineStr">
        <is>
          <t>Accident-Only vs Accident and Illness Pet Insurance: Which to Choose</t>
        </is>
      </c>
      <c r="G440" s="36" t="inlineStr">
        <is>
          <t>https://instasure.ca/guides/accident-only-vs-accident-and-illness-pet-insurance/</t>
        </is>
      </c>
      <c r="H440" s="36" t="inlineStr">
        <is>
          <t>accident and illness pet insurance</t>
        </is>
      </c>
      <c r="I440" s="41">
        <f>IFERROR(INDEX('Nationwide KWs'!$D$2:$D$168,MATCH(H440,'Nationwide KWs'!$A$2:$A$168,0)),IFERROR(INDEX('Provincial KWs'!$E$2:$E$137,MATCH(H440,'Provincial KWs'!$A$2:$A$137,0)),IFERROR(INDEX('City KWs'!$F$2:$F$419,MATCH(H440,'City KWs'!$A$2:$A$419,0)),"")))</f>
        <v/>
      </c>
      <c r="J440" s="36" t="inlineStr">
        <is>
          <t>Low</t>
        </is>
      </c>
      <c r="K440" s="25" t="inlineStr">
        <is>
          <t>accident only pet insurance; comprehensive pet insurance canada; pet insurance plan types; accident only dog insurance; pet insurance add-ons</t>
        </is>
      </c>
      <c r="L440" s="36" t="inlineStr">
        <is>
          <t>Nationwide</t>
        </is>
      </c>
      <c r="M440" s="36" t="inlineStr">
        <is>
          <t>commercial</t>
        </is>
      </c>
      <c r="N440" s="36" t="inlineStr">
        <is>
          <t>MOFU</t>
        </is>
      </c>
      <c r="O440" s="25" t="inlineStr">
        <is>
          <t>Accident and Illness vs Accident-Only Pet Insurance</t>
        </is>
      </c>
      <c r="P440" s="36">
        <f>LEN(O440)</f>
        <v/>
      </c>
      <c r="Q440" s="25" t="inlineStr">
        <is>
          <t>Accident and illness vs accident-only pet insurance: what each pays, typical exclusions, how prices compare and which suits puppies and seniors. Compare.</t>
        </is>
      </c>
      <c r="R440" s="36">
        <f>LEN(Q440)</f>
        <v/>
      </c>
      <c r="S440" s="36">
        <f>IF(H440="","",IF(ISNUMBER(SEARCH(SUBSTITUTE(H440,"-"," "),SUBSTITUTE(O440,"-"," "))),"Yes","Check"))</f>
        <v/>
      </c>
      <c r="T440" s="25" t="inlineStr">
        <is>
          <t>Accident-only vs accident and illness: the short answer | What accident-only plans pay | What accident and illness plans add | Add-ons: dental illness, behaviour, exam fees | Example claims each plan would and wouldn't pay | Which plan suits your pet's age</t>
        </is>
      </c>
      <c r="U440" s="25" t="inlineStr">
        <is>
          <t>Is accident-only pet insurance worth it? | Does accident and illness insurance cover cancer? | Are vet exam fees covered? | Can I switch from accident-only to accident and illness later?</t>
        </is>
      </c>
      <c r="V440" s="25" t="inlineStr">
        <is>
          <t>Plan comparison table (accident-only, accident and illness, common add-ons) with example claims each plan would and would not pay.</t>
        </is>
      </c>
      <c r="W440" s="25" t="inlineStr">
        <is>
          <t>/pet-insurance/; /guides/pet-wellness-plans-vs-insurance/; /guides/how-much-is-pet-insurance-canada/; /guides/pet-insurance-for-older-pets/</t>
        </is>
      </c>
      <c r="X440" s="25" t="inlineStr">
        <is>
          <t>Pet insurance advisor request (/pet-insurance/)</t>
        </is>
      </c>
      <c r="Y440" s="36" t="inlineStr">
        <is>
          <t>Article; FAQPage; BreadcrumbList</t>
        </is>
      </c>
      <c r="Z440" s="37" t="n">
        <v>1300</v>
      </c>
      <c r="AA440" s="25" t="inlineStr">
        <is>
          <t>Not covered by Ratehub or Rates.ca; insurer plan pages describe only their own tiers.</t>
        </is>
      </c>
      <c r="AB440" s="25" t="inlineStr">
        <is>
          <t>Use 'accident and illness pet insurance' in the H1, slug, meta title, first 100 words and first H2, with a 40–60 word answer contrasting the two plan types. Add the comparison table with example claims; link 'wellness plans' to that guide and 'older pets' to that guide; alt text 'puppy with a bandaged paw at the vet'. Reviewed by a licensed advisor appointed for pet insurance; cite published wordings; refresh annually.</t>
        </is>
      </c>
      <c r="AC440" s="25" t="inlineStr">
        <is>
          <t>No 'best plan' claims; plan names differ by insurer, so define them generically and verify exclusions against published wordings.</t>
        </is>
      </c>
      <c r="AD440" s="36" t="inlineStr">
        <is>
          <t>Annual</t>
        </is>
      </c>
      <c r="AE440" s="38" t="n"/>
      <c r="AF440" s="38" t="n"/>
      <c r="AG440" s="38" t="n"/>
    </row>
    <row r="441" ht="57.45" customHeight="1" s="22">
      <c r="A441" s="36">
        <f>"B"&amp;TEXT(ROW()-1,"0000")</f>
        <v/>
      </c>
      <c r="B441" s="38" t="inlineStr">
        <is>
          <t>Planned</t>
        </is>
      </c>
      <c r="C441" s="36" t="n">
        <v>3</v>
      </c>
      <c r="D441" s="36" t="inlineStr">
        <is>
          <t>Pet insurance</t>
        </is>
      </c>
      <c r="E441" s="36" t="inlineStr">
        <is>
          <t>Comparisons</t>
        </is>
      </c>
      <c r="F441" s="25" t="inlineStr">
        <is>
          <t>Is Pet Insurance Worth It? A Canadian Cost-Benefit Breakdown</t>
        </is>
      </c>
      <c r="G441" s="36" t="inlineStr">
        <is>
          <t>https://instasure.ca/guides/is-pet-insurance-worth-it/</t>
        </is>
      </c>
      <c r="H441" s="36" t="inlineStr">
        <is>
          <t>is pet insurance worth it</t>
        </is>
      </c>
      <c r="I441" s="41">
        <f>IFERROR(INDEX('Nationwide KWs'!$D$2:$D$168,MATCH(H441,'Nationwide KWs'!$A$2:$A$168,0)),IFERROR(INDEX('Provincial KWs'!$E$2:$E$137,MATCH(H441,'Provincial KWs'!$A$2:$A$137,0)),IFERROR(INDEX('City KWs'!$F$2:$F$419,MATCH(H441,'City KWs'!$A$2:$A$419,0)),"")))</f>
        <v/>
      </c>
      <c r="J441" s="36" t="inlineStr">
        <is>
          <t>Medium</t>
        </is>
      </c>
      <c r="K441" s="25" t="inlineStr">
        <is>
          <t>is pet insurance worth it canada; pet insurance vs savings account; is dog insurance worth it; pet emergency fund; vet bill costs canada</t>
        </is>
      </c>
      <c r="L441" s="36" t="inlineStr">
        <is>
          <t>Nationwide</t>
        </is>
      </c>
      <c r="M441" s="36" t="inlineStr">
        <is>
          <t>informational</t>
        </is>
      </c>
      <c r="N441" s="36" t="inlineStr">
        <is>
          <t>TOFU</t>
        </is>
      </c>
      <c r="O441" s="25" t="inlineStr">
        <is>
          <t>Is Pet Insurance Worth It? A Canadian Cost-Benefit Guide</t>
        </is>
      </c>
      <c r="P441" s="36">
        <f>LEN(O441)</f>
        <v/>
      </c>
      <c r="Q441" s="25" t="inlineStr">
        <is>
          <t>Is pet insurance worth it? Compare lifetime premiums with common vet bills, see when a savings fund works better and who benefits most. Run the numbers.</t>
        </is>
      </c>
      <c r="R441" s="36">
        <f>LEN(Q441)</f>
        <v/>
      </c>
      <c r="S441" s="36">
        <f>IF(H441="","",IF(ISNUMBER(SEARCH(SUBSTITUTE(H441,"-"," "),SUBSTITUTE(O441,"-"," "))),"Yes","Check"))</f>
        <v/>
      </c>
      <c r="T441" s="25" t="inlineStr">
        <is>
          <t>Is pet insurance worth it? The short answer | What vet emergencies cost | Lifetime premiums vs a savings fund | Three illustrative bills: fracture, ligament surgery, cancer | Who benefits most from insurance | When self-insuring makes sense</t>
        </is>
      </c>
      <c r="U441" s="25" t="inlineStr">
        <is>
          <t>Is pet insurance worth it for an indoor cat? | Is it better to save money than buy pet insurance? | What vet bills does pet insurance help with most? | Does pet insurance pay the vet directly?</t>
        </is>
      </c>
      <c r="V441" s="25" t="inlineStr">
        <is>
          <t>Lifetime cost model comparing cumulative premiums with a self-funded vet savings account for a dog and a cat, with three illustrative vet-bill scenarios sourced from published veterinary fee information.</t>
        </is>
      </c>
      <c r="W441" s="25" t="inlineStr">
        <is>
          <t>/pet-insurance/; /guides/how-much-is-pet-insurance-canada/; /guides/how-does-pet-insurance-work/; /guides/accident-only-vs-accident-and-illness-pet-insurance/</t>
        </is>
      </c>
      <c r="X441" s="25" t="inlineStr">
        <is>
          <t>Pet insurance advisor request (/pet-insurance/)</t>
        </is>
      </c>
      <c r="Y441" s="36" t="inlineStr">
        <is>
          <t>Article; FAQPage; BreadcrumbList</t>
        </is>
      </c>
      <c r="Z441" s="37" t="n">
        <v>1600</v>
      </c>
      <c r="AA441" s="25" t="inlineStr">
        <is>
          <t>Ratehub and Rates.ca publish nothing on pet insurance; insurer blogs answer this to sell their own plans.</t>
        </is>
      </c>
      <c r="AB441" s="25" t="inlineStr">
        <is>
          <t>Use 'is pet insurance worth it' in the H1, slug, meta title, first 100 words and first H2, with a 40–60 word answer on when it pays off. Add the lifetime cost model and scenario table; link 'how much is pet insurance' to the cost guide and 'accident and illness plans' to the plan-type guide; alt text 'dog at a veterinary clinic exam'. Reviewed by a licensed advisor appointed for pet insurance; cite provincial veterinary associations where fee data is public; refresh annually.</t>
        </is>
      </c>
      <c r="AC441" s="25" t="inlineStr">
        <is>
          <t>Vet cost figures need a dated, cited source; label the cost model as illustrative and avoid implying insurance always saves money.</t>
        </is>
      </c>
      <c r="AD441" s="36" t="inlineStr">
        <is>
          <t>Annual</t>
        </is>
      </c>
      <c r="AE441" s="38" t="n"/>
      <c r="AF441" s="38" t="n"/>
      <c r="AG441" s="38" t="n"/>
    </row>
    <row r="442" ht="57.45" customHeight="1" s="22">
      <c r="A442" s="36">
        <f>"B"&amp;TEXT(ROW()-1,"0000")</f>
        <v/>
      </c>
      <c r="B442" s="38" t="inlineStr">
        <is>
          <t>Planned</t>
        </is>
      </c>
      <c r="C442" s="36" t="n">
        <v>3</v>
      </c>
      <c r="D442" s="36" t="inlineStr">
        <is>
          <t>Pet insurance</t>
        </is>
      </c>
      <c r="E442" s="36" t="inlineStr">
        <is>
          <t>Cost &amp; pricing</t>
        </is>
      </c>
      <c r="F442" s="25" t="inlineStr">
        <is>
          <t>Dog Breeds That Cost the Most to Insure in Canada, and Why</t>
        </is>
      </c>
      <c r="G442" s="36" t="inlineStr">
        <is>
          <t>https://instasure.ca/guides/most-expensive-dog-breeds-to-insure/</t>
        </is>
      </c>
      <c r="H442" s="36" t="inlineStr">
        <is>
          <t>pet insurance cost by breed</t>
        </is>
      </c>
      <c r="I442" s="41">
        <f>IFERROR(INDEX('Nationwide KWs'!$D$2:$D$168,MATCH(H442,'Nationwide KWs'!$A$2:$A$168,0)),IFERROR(INDEX('Provincial KWs'!$E$2:$E$137,MATCH(H442,'Provincial KWs'!$A$2:$A$137,0)),IFERROR(INDEX('City KWs'!$F$2:$F$419,MATCH(H442,'City KWs'!$A$2:$A$419,0)),"")))</f>
        <v/>
      </c>
      <c r="J442" s="36" t="inlineStr">
        <is>
          <t>Low</t>
        </is>
      </c>
      <c r="K442" s="25" t="inlineStr">
        <is>
          <t>french bulldog insurance cost canada; german shepherd pet insurance; golden retriever insurance cost; bernese mountain dog insurance; dog breeds that cost less to insure</t>
        </is>
      </c>
      <c r="L442" s="36" t="inlineStr">
        <is>
          <t>Nationwide</t>
        </is>
      </c>
      <c r="M442" s="36" t="inlineStr">
        <is>
          <t>commercial</t>
        </is>
      </c>
      <c r="N442" s="36" t="inlineStr">
        <is>
          <t>MOFU</t>
        </is>
      </c>
      <c r="O442" s="25" t="inlineStr">
        <is>
          <t>Pet Insurance Cost by Breed: Dogs That Cost Most to Insure</t>
        </is>
      </c>
      <c r="P442" s="36">
        <f>LEN(O442)</f>
        <v/>
      </c>
      <c r="Q442" s="25" t="inlineStr">
        <is>
          <t>Pet insurance cost by breed: why French bulldogs, Bernese mountain dogs and others cost more, the hereditary risks and dated examples. See the table.</t>
        </is>
      </c>
      <c r="R442" s="36">
        <f>LEN(Q442)</f>
        <v/>
      </c>
      <c r="S442" s="36">
        <f>IF(H442="","",IF(ISNUMBER(SEARCH(SUBSTITUTE(H442,"-"," "),SUBSTITUTE(O442,"-"," "))),"Yes","Check"))</f>
        <v/>
      </c>
      <c r="T442" s="25" t="inlineStr">
        <is>
          <t>Why breed changes pet insurance cost | Dated example costs for 10 breeds | Hereditary and breed-linked conditions | Mixed breeds as a baseline | Buying insurance before symptoms appear | How to compare quotes for your breed</t>
        </is>
      </c>
      <c r="U442" s="25" t="inlineStr">
        <is>
          <t>Which dog breeds are most expensive to insure in Canada? | Why is French bulldog insurance so expensive? | Are mixed-breed dogs cheaper to insure? | Do hereditary conditions count as pre-existing?</t>
        </is>
      </c>
      <c r="V442" s="25" t="inlineStr">
        <is>
          <t>Dated breed table (10 breeds plus a mixed-breed baseline) with example accident-and-illness estimates from published quote tools at age 1 and age 6, and the hereditary conditions that drive pricing.</t>
        </is>
      </c>
      <c r="W442" s="25" t="inlineStr">
        <is>
          <t>/pet-insurance/; /guides/how-much-is-pet-insurance-canada/; /guides/pet-insurance-pre-existing-conditions/; /guides/puppy-and-kitten-insurance/</t>
        </is>
      </c>
      <c r="X442" s="25" t="inlineStr">
        <is>
          <t>Pet insurance advisor request (/pet-insurance/)</t>
        </is>
      </c>
      <c r="Y442" s="36" t="inlineStr">
        <is>
          <t>Article; FAQPage; BreadcrumbList</t>
        </is>
      </c>
      <c r="Z442" s="37" t="n">
        <v>1500</v>
      </c>
      <c r="AA442" s="25" t="inlineStr">
        <is>
          <t>No neutral Canadian breed-cost table was seen; Ratehub and Rates.ca have no pet content.</t>
        </is>
      </c>
      <c r="AB442" s="25" t="inlineStr">
        <is>
          <t>Use 'pet insurance cost by breed' in the H1, slug, meta title, first 100 words and first H2, with a 40–60 word answer naming the breed-linked conditions that move price. Add the 10-breed table; link 'how much is pet insurance' to the cost guide and 'pre-existing conditions' to that guide; alt text 'French bulldog and Bernese mountain dog side by side'. Reviewed by a licensed advisor appointed for pet insurance, with health claims checked against a veterinary source; refresh semi-annually.</t>
        </is>
      </c>
      <c r="AC442" s="25" t="inlineStr">
        <is>
          <t>Every example price needs the insurer, postal region, plan and date checked; describe breed health risks from a veterinary source and avoid 'cheapest breed' claims.</t>
        </is>
      </c>
      <c r="AD442" s="36" t="inlineStr">
        <is>
          <t>Semi-annual</t>
        </is>
      </c>
      <c r="AE442" s="38" t="n"/>
      <c r="AF442" s="38" t="n"/>
      <c r="AG442" s="38" t="n"/>
    </row>
    <row r="443" ht="57.45" customHeight="1" s="22">
      <c r="A443" s="36">
        <f>"B"&amp;TEXT(ROW()-1,"0000")</f>
        <v/>
      </c>
      <c r="B443" s="38" t="inlineStr">
        <is>
          <t>Planned</t>
        </is>
      </c>
      <c r="C443" s="36" t="n">
        <v>3</v>
      </c>
      <c r="D443" s="36" t="inlineStr">
        <is>
          <t>Pet insurance</t>
        </is>
      </c>
      <c r="E443" s="36" t="inlineStr">
        <is>
          <t>Cost &amp; pricing</t>
        </is>
      </c>
      <c r="F443" s="25" t="inlineStr">
        <is>
          <t>How Much Is Pet Insurance in Canada? Monthly Costs Explained</t>
        </is>
      </c>
      <c r="G443" s="36" t="inlineStr">
        <is>
          <t>https://instasure.ca/guides/how-much-is-pet-insurance-canada/</t>
        </is>
      </c>
      <c r="H443" s="36" t="inlineStr">
        <is>
          <t>how much is pet insurance</t>
        </is>
      </c>
      <c r="I443" s="41">
        <f>IFERROR(INDEX('Nationwide KWs'!$D$2:$D$168,MATCH(H443,'Nationwide KWs'!$A$2:$A$168,0)),IFERROR(INDEX('Provincial KWs'!$E$2:$E$137,MATCH(H443,'Provincial KWs'!$A$2:$A$137,0)),IFERROR(INDEX('City KWs'!$F$2:$F$419,MATCH(H443,'City KWs'!$A$2:$A$419,0)),"")))</f>
        <v/>
      </c>
      <c r="J443" s="36" t="inlineStr">
        <is>
          <t>Medium</t>
        </is>
      </c>
      <c r="K443" s="25" t="inlineStr">
        <is>
          <t>pet insurance cost canada; dog insurance cost per month; cat insurance cost canada; pet insurance price by age; average pet insurance canada</t>
        </is>
      </c>
      <c r="L443" s="36" t="inlineStr">
        <is>
          <t>Nationwide</t>
        </is>
      </c>
      <c r="M443" s="36" t="inlineStr">
        <is>
          <t>commercial</t>
        </is>
      </c>
      <c r="N443" s="36" t="inlineStr">
        <is>
          <t>MOFU</t>
        </is>
      </c>
      <c r="O443" s="25" t="inlineStr">
        <is>
          <t>How Much Is Pet Insurance in Canada? Monthly Costs</t>
        </is>
      </c>
      <c r="P443" s="36">
        <f>LEN(O443)</f>
        <v/>
      </c>
      <c r="Q443" s="25" t="inlineStr">
        <is>
          <t>How much is pet insurance in Canada? What drives monthly costs for dogs and cats, with dated example estimates by age, breed and plan. Compare options.</t>
        </is>
      </c>
      <c r="R443" s="36">
        <f>LEN(Q443)</f>
        <v/>
      </c>
      <c r="S443" s="36">
        <f>IF(H443="","",IF(ISNUMBER(SEARCH(SUBSTITUTE(H443,"-"," "),SUBSTITUTE(O443,"-"," "))),"Yes","Check"))</f>
        <v/>
      </c>
      <c r="T443" s="25" t="inlineStr">
        <is>
          <t>How much is pet insurance in Canada? | Example monthly costs for six pet profiles | Age, breed and species | Plan type, deductible and reimbursement | Where you live | Why premiums rise each year | Ways to keep the cost down</t>
        </is>
      </c>
      <c r="U443" s="25" t="inlineStr">
        <is>
          <t>How much is pet insurance per month for a dog in Canada? | Is cat insurance cheaper than dog insurance? | Why did my pet insurance go up at renewal? | Does a higher deductible lower pet insurance?</t>
        </is>
      </c>
      <c r="V443" s="25" t="inlineStr">
        <is>
          <t>Dated example table for six pet profiles (mixed-breed puppy, French bulldog, senior Labrador, indoor cat, Maine coon, senior cat) across accident-only and accident-and-illness plans, taken from published insurer quote tools on the date checked.</t>
        </is>
      </c>
      <c r="W443" s="25" t="inlineStr">
        <is>
          <t>/pet-insurance/; /guides/is-pet-insurance-worth-it/; /guides/most-expensive-dog-breeds-to-insure/; /guides/how-does-pet-insurance-work/</t>
        </is>
      </c>
      <c r="X443" s="25" t="inlineStr">
        <is>
          <t>Pet insurance advisor request (/pet-insurance/)</t>
        </is>
      </c>
      <c r="Y443" s="36" t="inlineStr">
        <is>
          <t>Article; FAQPage; BreadcrumbList</t>
        </is>
      </c>
      <c r="Z443" s="37" t="n">
        <v>1700</v>
      </c>
      <c r="AA443" s="25" t="inlineStr">
        <is>
          <t>Ratehub and Rates.ca have no pet insurance pages (research); direct insurers (Trupanion, Petsecure, Pets Plus Us) and Sonnet sell their own plans without neutral cost tables.</t>
        </is>
      </c>
      <c r="AB443" s="25" t="inlineStr">
        <is>
          <t>Use 'how much is pet insurance' in the H1, slug, meta title, first 100 words and first H2, with a 40–60 word answer giving dated example ranges for a dog and a cat. Add the six-profile table; link 'pet insurance' to /pet-insurance/ and 'breeds that cost the most' to the breed guide; alt text 'table of pet insurance costs for dogs and cats in Canada'. Reviewed by a licensed advisor appointed for pet insurance; cite insurer quote tools with dates; refresh semi-annually.</t>
        </is>
      </c>
      <c r="AC443" s="25" t="inlineStr">
        <is>
          <t>Confirm advisors are licensed and appointed for pet insurance before driving leads (CONTENT_REVIEW 1.10). Every example price needs the insurer, profile and date checked, labelled as an example.</t>
        </is>
      </c>
      <c r="AD443" s="36" t="inlineStr">
        <is>
          <t>Semi-annual</t>
        </is>
      </c>
      <c r="AE443" s="38" t="n"/>
      <c r="AF443" s="38" t="n"/>
      <c r="AG443" s="38" t="n"/>
    </row>
    <row r="444" ht="57.45" customHeight="1" s="22">
      <c r="A444" s="36">
        <f>"B"&amp;TEXT(ROW()-1,"0000")</f>
        <v/>
      </c>
      <c r="B444" s="38" t="inlineStr">
        <is>
          <t>Planned</t>
        </is>
      </c>
      <c r="C444" s="36" t="n">
        <v>3</v>
      </c>
      <c r="D444" s="36" t="inlineStr">
        <is>
          <t>Pet insurance</t>
        </is>
      </c>
      <c r="E444" s="36" t="inlineStr">
        <is>
          <t>Coverage explained</t>
        </is>
      </c>
      <c r="F444" s="25" t="inlineStr">
        <is>
          <t>How Does Pet Insurance Work? Deductibles, Reimbursement and Limits</t>
        </is>
      </c>
      <c r="G444" s="36" t="inlineStr">
        <is>
          <t>https://instasure.ca/guides/how-does-pet-insurance-work/</t>
        </is>
      </c>
      <c r="H444" s="36" t="inlineStr">
        <is>
          <t>how does pet insurance work</t>
        </is>
      </c>
      <c r="I444" s="41">
        <f>IFERROR(INDEX('Nationwide KWs'!$D$2:$D$168,MATCH(H444,'Nationwide KWs'!$A$2:$A$168,0)),IFERROR(INDEX('Provincial KWs'!$E$2:$E$137,MATCH(H444,'Provincial KWs'!$A$2:$A$137,0)),IFERROR(INDEX('City KWs'!$F$2:$F$419,MATCH(H444,'City KWs'!$A$2:$A$419,0)),"")))</f>
        <v/>
      </c>
      <c r="J444" s="36" t="inlineStr">
        <is>
          <t>Low</t>
        </is>
      </c>
      <c r="K444" s="25" t="inlineStr">
        <is>
          <t>pet insurance deductible explained; pet insurance reimbursement percentage; annual limit pet insurance; per condition limit pet insurance; pet insurance direct billing vet</t>
        </is>
      </c>
      <c r="L444" s="36" t="inlineStr">
        <is>
          <t>Nationwide</t>
        </is>
      </c>
      <c r="M444" s="36" t="inlineStr">
        <is>
          <t>informational</t>
        </is>
      </c>
      <c r="N444" s="36" t="inlineStr">
        <is>
          <t>TOFU</t>
        </is>
      </c>
      <c r="O444" s="25" t="inlineStr">
        <is>
          <t>How Does Pet Insurance Work? Deductibles and Reimbursement</t>
        </is>
      </c>
      <c r="P444" s="36">
        <f>LEN(O444)</f>
        <v/>
      </c>
      <c r="Q444" s="25" t="inlineStr">
        <is>
          <t>How does pet insurance work in Canada? Deductibles, reimbursement rates, limits, direct billing and claims, with worked examples. See how payouts work.</t>
        </is>
      </c>
      <c r="R444" s="36">
        <f>LEN(Q444)</f>
        <v/>
      </c>
      <c r="S444" s="36">
        <f>IF(H444="","",IF(ISNUMBER(SEARCH(SUBSTITUTE(H444,"-"," "),SUBSTITUTE(O444,"-"," "))),"Yes","Check"))</f>
        <v/>
      </c>
      <c r="T444" s="25" t="inlineStr">
        <is>
          <t>How does pet insurance work? | Deductibles: annual vs per condition | Reimbursement percentage | Annual, per-condition and lifetime limits | Direct billing vs pay and claim | Worked example: one $3,000 vet bill, three plans | How to file a pet insurance claim</t>
        </is>
      </c>
      <c r="U444" s="25" t="inlineStr">
        <is>
          <t>Do I pay the vet first and get reimbursed? | What is a per-condition deductible? | How long do pet insurance claims take? | Can I see any vet with pet insurance?</t>
        </is>
      </c>
      <c r="V444" s="25" t="inlineStr">
        <is>
          <t>Worked claim example for one illustrative $3,000 vet bill under three plan setups (different deductibles, 70/80/90% reimbursement, annual vs per-condition limit) showing the payout.</t>
        </is>
      </c>
      <c r="W444" s="25" t="inlineStr">
        <is>
          <t>/pet-insurance/; /guides/how-much-is-pet-insurance-canada/; /guides/pet-insurance-pre-existing-conditions/; /guides/pet-insurance-waiting-periods/</t>
        </is>
      </c>
      <c r="X444" s="25" t="inlineStr">
        <is>
          <t>Pet insurance advisor request (/pet-insurance/)</t>
        </is>
      </c>
      <c r="Y444" s="36" t="inlineStr">
        <is>
          <t>Article; FAQPage; BreadcrumbList</t>
        </is>
      </c>
      <c r="Z444" s="37" t="n">
        <v>1500</v>
      </c>
      <c r="AA444" s="25" t="inlineStr">
        <is>
          <t>No neutral Canadian explainer was seen in the research; Sonnet and direct pet insurers explain only their own plan mechanics.</t>
        </is>
      </c>
      <c r="AB444" s="25" t="inlineStr">
        <is>
          <t>Use 'how does pet insurance work' in the H1, slug, meta title, first 100 words and first H2, with a 40–60 word answer on the deductible, reimbursement and limit. Add the three-plan worked example; link 'pre-existing conditions' and 'waiting periods' to those guides; alt text 'worked example of a pet insurance claim payout'. Reviewed by a licensed advisor appointed for pet insurance; cite two or three published Canadian policy wordings; refresh annually.</t>
        </is>
      </c>
      <c r="AC444" s="25" t="inlineStr">
        <is>
          <t>Plan mechanics differ by insurer (annual vs per-incident deductibles); keep the example illustrative and verify terms against published Canadian wordings.</t>
        </is>
      </c>
      <c r="AD444" s="36" t="inlineStr">
        <is>
          <t>Annual</t>
        </is>
      </c>
      <c r="AE444" s="38" t="n"/>
      <c r="AF444" s="38" t="n"/>
      <c r="AG444" s="38" t="n"/>
    </row>
    <row r="445" ht="57.45" customHeight="1" s="22">
      <c r="A445" s="36">
        <f>"B"&amp;TEXT(ROW()-1,"0000")</f>
        <v/>
      </c>
      <c r="B445" s="38" t="inlineStr">
        <is>
          <t>Planned</t>
        </is>
      </c>
      <c r="C445" s="36" t="n">
        <v>3</v>
      </c>
      <c r="D445" s="36" t="inlineStr">
        <is>
          <t>Pet insurance</t>
        </is>
      </c>
      <c r="E445" s="36" t="inlineStr">
        <is>
          <t>Exclusions</t>
        </is>
      </c>
      <c r="F445" s="25" t="inlineStr">
        <is>
          <t>Pet Insurance and Pre-Existing Conditions: What Counts and Why</t>
        </is>
      </c>
      <c r="G445" s="36" t="inlineStr">
        <is>
          <t>https://instasure.ca/guides/pet-insurance-pre-existing-conditions/</t>
        </is>
      </c>
      <c r="H445" s="36" t="inlineStr">
        <is>
          <t>pet insurance pre existing conditions</t>
        </is>
      </c>
      <c r="I445" s="41">
        <f>IFERROR(INDEX('Nationwide KWs'!$D$2:$D$168,MATCH(H445,'Nationwide KWs'!$A$2:$A$168,0)),IFERROR(INDEX('Provincial KWs'!$E$2:$E$137,MATCH(H445,'Provincial KWs'!$A$2:$A$137,0)),IFERROR(INDEX('City KWs'!$F$2:$F$419,MATCH(H445,'City KWs'!$A$2:$A$419,0)),"")))</f>
        <v/>
      </c>
      <c r="J445" s="36" t="inlineStr">
        <is>
          <t>Low</t>
        </is>
      </c>
      <c r="K445" s="25" t="inlineStr">
        <is>
          <t>does pet insurance cover pre existing conditions; curable pre existing condition pet insurance; switching pet insurance pre existing; bilateral conditions pet insurance; vet records review pet insurance</t>
        </is>
      </c>
      <c r="L445" s="36" t="inlineStr">
        <is>
          <t>Nationwide</t>
        </is>
      </c>
      <c r="M445" s="36" t="inlineStr">
        <is>
          <t>informational</t>
        </is>
      </c>
      <c r="N445" s="36" t="inlineStr">
        <is>
          <t>MOFU</t>
        </is>
      </c>
      <c r="O445" s="25" t="inlineStr">
        <is>
          <t>Pet Insurance Pre-Existing Conditions: What Counts and Why</t>
        </is>
      </c>
      <c r="P445" s="36">
        <f>LEN(O445)</f>
        <v/>
      </c>
      <c r="Q445" s="25" t="inlineStr">
        <is>
          <t>Pet insurance pre-existing conditions: how insurers define them, curable vs incurable rules, bilateral conditions and the risk of switching. Read first.</t>
        </is>
      </c>
      <c r="R445" s="36">
        <f>LEN(Q445)</f>
        <v/>
      </c>
      <c r="S445" s="36">
        <f>IF(H445="","",IF(ISNUMBER(SEARCH(SUBSTITUTE(H445,"-"," "),SUBSTITUTE(O445,"-"," "))),"Yes","Check"))</f>
        <v/>
      </c>
      <c r="T445" s="25" t="inlineStr">
        <is>
          <t>Does pet insurance cover pre-existing conditions? | How insurers define pre-existing | Curable vs incurable conditions | Bilateral conditions (both knees, both eyes) | Vet record reviews at claim time | Switching insurers without losing cover</t>
        </is>
      </c>
      <c r="U445" s="25" t="inlineStr">
        <is>
          <t>Will pet insurance cover a condition my pet already has? | What is a symptom-free period? | Can switching pet insurers make a condition pre-existing? | Are bilateral conditions excluded?</t>
        </is>
      </c>
      <c r="V445" s="25" t="inlineStr">
        <is>
          <t>Decision chart for owners thinking of switching insurers showing which conditions would become pre-existing, plus a dated comparison of published symptom-free-period rules from Canadian wordings.</t>
        </is>
      </c>
      <c r="W445" s="25" t="inlineStr">
        <is>
          <t>/pet-insurance/; /guides/pet-insurance-waiting-periods/; /guides/how-does-pet-insurance-work/; /guides/puppy-and-kitten-insurance/</t>
        </is>
      </c>
      <c r="X445" s="25" t="inlineStr">
        <is>
          <t>Pet insurance advisor request (/pet-insurance/)</t>
        </is>
      </c>
      <c r="Y445" s="36" t="inlineStr">
        <is>
          <t>Article; FAQPage; BreadcrumbList</t>
        </is>
      </c>
      <c r="Z445" s="37" t="n">
        <v>1300</v>
      </c>
      <c r="AA445" s="25" t="inlineStr">
        <is>
          <t>Not covered by Ratehub or Rates.ca; the Instasure pet page answers it in a single FAQ line.</t>
        </is>
      </c>
      <c r="AB445" s="25" t="inlineStr">
        <is>
          <t>Use 'pet insurance pre-existing conditions' in the H1, slug, meta title, first 100 words and first H2, with a 40–60 word answer on the definition and the curable exception. Add the switching decision chart; link 'waiting periods' to that guide and 'puppy and kitten insurance' to that guide; alt text 'vet reviewing a dog's medical records'. Reviewed by a licensed advisor appointed for pet insurance; cite published wordings with dates; refresh annually.</t>
        </is>
      </c>
      <c r="AC445" s="25" t="inlineStr">
        <is>
          <t>Symptom-free periods and curable-condition rules vary; quote them only with the insurer and wording date, and route switching decisions to a licensed advisor.</t>
        </is>
      </c>
      <c r="AD445" s="36" t="inlineStr">
        <is>
          <t>Annual</t>
        </is>
      </c>
      <c r="AE445" s="38" t="n"/>
      <c r="AF445" s="38" t="n"/>
      <c r="AG445" s="38" t="n"/>
    </row>
    <row r="446" ht="46.25" customHeight="1" s="22">
      <c r="A446" s="36">
        <f>"B"&amp;TEXT(ROW()-1,"0000")</f>
        <v/>
      </c>
      <c r="B446" s="38" t="inlineStr">
        <is>
          <t>Planned</t>
        </is>
      </c>
      <c r="C446" s="36" t="n">
        <v>3</v>
      </c>
      <c r="D446" s="36" t="inlineStr">
        <is>
          <t>Pet insurance</t>
        </is>
      </c>
      <c r="E446" s="36" t="inlineStr">
        <is>
          <t>Personas</t>
        </is>
      </c>
      <c r="F446" s="25" t="inlineStr">
        <is>
          <t>Renting With a Pet: Tenant Insurance, Pet Damage and Lease Rules</t>
        </is>
      </c>
      <c r="G446" s="36" t="inlineStr">
        <is>
          <t>https://instasure.ca/guides/renting-with-pets-tenant-insurance/</t>
        </is>
      </c>
      <c r="H446" s="36" t="inlineStr">
        <is>
          <t>does tenant insurance cover pet damage</t>
        </is>
      </c>
      <c r="I446" s="41">
        <f>IFERROR(INDEX('Nationwide KWs'!$D$2:$D$168,MATCH(H446,'Nationwide KWs'!$A$2:$A$168,0)),IFERROR(INDEX('Provincial KWs'!$E$2:$E$137,MATCH(H446,'Provincial KWs'!$A$2:$A$137,0)),IFERROR(INDEX('City KWs'!$F$2:$F$419,MATCH(H446,'City KWs'!$A$2:$A$419,0)),"")))</f>
        <v/>
      </c>
      <c r="J446" s="36" t="inlineStr">
        <is>
          <t>Low</t>
        </is>
      </c>
      <c r="K446" s="25" t="inlineStr">
        <is>
          <t>renting with pets ontario; no pet clause ontario; pet damage deposit canada; tenant insurance pet liability; pet friendly rental insurance</t>
        </is>
      </c>
      <c r="L446" s="36" t="inlineStr">
        <is>
          <t>Nationwide</t>
        </is>
      </c>
      <c r="M446" s="36" t="inlineStr">
        <is>
          <t>informational</t>
        </is>
      </c>
      <c r="N446" s="36" t="inlineStr">
        <is>
          <t>MOFU</t>
        </is>
      </c>
      <c r="O446" s="25" t="inlineStr">
        <is>
          <t>Does Tenant Insurance Cover Pet Damage? Renting With Pets</t>
        </is>
      </c>
      <c r="P446" s="36">
        <f>LEN(O446)</f>
        <v/>
      </c>
      <c r="Q446" s="25" t="inlineStr">
        <is>
          <t>Does tenant insurance cover pet damage? Why chewed floors usually aren't covered, how bites are handled and pet lease rules by province. Learn more.</t>
        </is>
      </c>
      <c r="R446" s="36">
        <f>LEN(Q446)</f>
        <v/>
      </c>
      <c r="S446" s="36">
        <f>IF(H446="","",IF(ISNUMBER(SEARCH(SUBSTITUTE(H446,"-"," "),SUBSTITUTE(O446,"-"," "))),"Yes","Check"))</f>
        <v/>
      </c>
      <c r="T446" s="25" t="inlineStr">
        <is>
          <t>Does tenant insurance cover pet damage? | Damage to the unit vs damage to others | Liability for bites and injuries | Pet rules in leases by province | Pet deposits where allowed | What pet insurance covers instead</t>
        </is>
      </c>
      <c r="U446" s="25" t="inlineStr">
        <is>
          <t>Will tenant insurance pay for my dog scratching the floors? | Does tenant insurance cover my dog biting a neighbour? | Can an Ontario landlord ban pets? | Can a landlord charge a pet deposit?</t>
        </is>
      </c>
      <c r="V446" s="25" t="inlineStr">
        <is>
          <t>Province table of rental pet rules (for example Ontario's treatment of no-pet lease clauses and BC's pet damage deposit) next to what tenant insurance and pet insurance each pay.</t>
        </is>
      </c>
      <c r="W446" s="25" t="inlineStr">
        <is>
          <t>/tenant-insurance/; /pet-insurance/; /guides/does-home-insurance-cover-dog-bites/; /guides/tenant-insurance-requirements-by-province/</t>
        </is>
      </c>
      <c r="X446" s="25" t="inlineStr">
        <is>
          <t>Instant tenant insurance estimate (/quote/tenant-insurance/)</t>
        </is>
      </c>
      <c r="Y446" s="36" t="inlineStr">
        <is>
          <t>Article; FAQPage; BreadcrumbList</t>
        </is>
      </c>
      <c r="Z446" s="37" t="n">
        <v>1300</v>
      </c>
      <c r="AA446" s="25" t="inlineStr">
        <is>
          <t>No competitor coverage seen; Rates.ca's tenant damage post doesn't address pets.</t>
        </is>
      </c>
      <c r="AB446" s="25" t="inlineStr">
        <is>
          <t>Use 'does tenant insurance cover pet damage' in the H1, slug, meta title, first 100 words and first H2, with a 40–60 word answer separating unit damage from liability. Add the province pet-rules table; link 'dog bites' to that guide and 'tenant insurance requirements by province' to that guide; alt text 'cat sitting in a rental apartment'. Licensed P&amp;C reviewer; cite provincial tenancy statutes; refresh on rule change.</t>
        </is>
      </c>
      <c r="AC446" s="25" t="inlineStr">
        <is>
          <t>Verify provincial tenancy rules on pets and pet deposits (Ontario Residential Tenancies Act s.14 on no-pet provisions; BC pet damage deposit) before stating them; no legal advice.</t>
        </is>
      </c>
      <c r="AD446" s="36" t="inlineStr">
        <is>
          <t>On rule change</t>
        </is>
      </c>
      <c r="AE446" s="38" t="n"/>
      <c r="AF446" s="38" t="n"/>
      <c r="AG446" s="38" t="n"/>
    </row>
    <row r="447" ht="46.25" customHeight="1" s="22">
      <c r="A447" s="36">
        <f>"B"&amp;TEXT(ROW()-1,"0000")</f>
        <v/>
      </c>
      <c r="B447" s="38" t="inlineStr">
        <is>
          <t>Planned</t>
        </is>
      </c>
      <c r="C447" s="36" t="n">
        <v>3</v>
      </c>
      <c r="D447" s="36" t="inlineStr">
        <is>
          <t>Pet insurance</t>
        </is>
      </c>
      <c r="E447" s="36" t="inlineStr">
        <is>
          <t>Personas</t>
        </is>
      </c>
      <c r="F447" s="25" t="inlineStr">
        <is>
          <t>When to Get Pet Insurance for a Puppy or Kitten</t>
        </is>
      </c>
      <c r="G447" s="36" t="inlineStr">
        <is>
          <t>https://instasure.ca/guides/puppy-and-kitten-insurance/</t>
        </is>
      </c>
      <c r="H447" s="36" t="inlineStr">
        <is>
          <t>when to get pet insurance</t>
        </is>
      </c>
      <c r="I447" s="41">
        <f>IFERROR(INDEX('Nationwide KWs'!$D$2:$D$168,MATCH(H447,'Nationwide KWs'!$A$2:$A$168,0)),IFERROR(INDEX('Provincial KWs'!$E$2:$E$137,MATCH(H447,'Provincial KWs'!$A$2:$A$137,0)),IFERROR(INDEX('City KWs'!$F$2:$F$419,MATCH(H447,'City KWs'!$A$2:$A$419,0)),"")))</f>
        <v/>
      </c>
      <c r="J447" s="36" t="inlineStr">
        <is>
          <t>Low</t>
        </is>
      </c>
      <c r="K447" s="25" t="inlineStr">
        <is>
          <t>puppy insurance canada; kitten insurance canada; pet insurance for new puppy; breeder pet insurance trial; best age to get pet insurance</t>
        </is>
      </c>
      <c r="L447" s="36" t="inlineStr">
        <is>
          <t>Nationwide</t>
        </is>
      </c>
      <c r="M447" s="36" t="inlineStr">
        <is>
          <t>commercial</t>
        </is>
      </c>
      <c r="N447" s="36" t="inlineStr">
        <is>
          <t>BOFU</t>
        </is>
      </c>
      <c r="O447" s="25" t="inlineStr">
        <is>
          <t>When to Get Pet Insurance for a Puppy or Kitten in Canada</t>
        </is>
      </c>
      <c r="P447" s="36">
        <f>LEN(O447)</f>
        <v/>
      </c>
      <c r="Q447" s="25" t="inlineStr">
        <is>
          <t>When to get pet insurance for a puppy or kitten: why enrolling before the first vet visit matters, breeder trial policies and minimum ages. Plan ahead.</t>
        </is>
      </c>
      <c r="R447" s="36">
        <f>LEN(Q447)</f>
        <v/>
      </c>
      <c r="S447" s="36">
        <f>IF(H447="","",IF(ISNUMBER(SEARCH(SUBSTITUTE(H447,"-"," "),SUBSTITUTE(O447,"-"," "))),"Yes","Check"))</f>
        <v/>
      </c>
      <c r="T447" s="25" t="inlineStr">
        <is>
          <t>When should you get pet insurance? | Why young and healthy matters | Breeder and shelter trial policies | Minimum enrolment ages | New-pet timeline: pickup to spay or neuter | What to compare in your first policy</t>
        </is>
      </c>
      <c r="U447" s="25" t="inlineStr">
        <is>
          <t>What is the best age to get pet insurance? | Can I insure a puppy at 8 weeks? | Is a breeder's free trial policy enough? | Will my puppy's first vet visit affect coverage?</t>
        </is>
      </c>
      <c r="V447" s="25" t="inlineStr">
        <is>
          <t>New-pet timeline (pickup day, first vet exam, waiting periods ending, spay or neuter) showing when each coverage starts, plus a first-policy comparison checklist.</t>
        </is>
      </c>
      <c r="W447" s="25" t="inlineStr">
        <is>
          <t>/pet-insurance/; /guides/pet-insurance-waiting-periods/; /guides/pet-insurance-pre-existing-conditions/; /guides/accident-only-vs-accident-and-illness-pet-insurance/</t>
        </is>
      </c>
      <c r="X447" s="25" t="inlineStr">
        <is>
          <t>Pet insurance advisor request (/pet-insurance/)</t>
        </is>
      </c>
      <c r="Y447" s="36" t="inlineStr">
        <is>
          <t>Article; FAQPage; BreadcrumbList</t>
        </is>
      </c>
      <c r="Z447" s="37" t="n">
        <v>1100</v>
      </c>
      <c r="AA447" s="25" t="inlineStr">
        <is>
          <t>No competitor coverage seen among the six competitors researched.</t>
        </is>
      </c>
      <c r="AB447" s="25" t="inlineStr">
        <is>
          <t>Use 'when to get pet insurance' in the H1, slug, meta title, first 100 words and first H2, with a 40–60 word answer that earlier enrolment avoids pre-existing exclusions. Add the timeline table and checklist; link 'waiting periods' and 'pre-existing conditions' to those guides; alt text 'new puppy on its first day home'. Reviewed by a licensed advisor appointed for pet insurance; cite insurer terms with dates; refresh annually.</t>
        </is>
      </c>
      <c r="AC447" s="25" t="inlineStr">
        <is>
          <t>Minimum enrolment ages and breeder trial terms vary; cite current insurer terms with dates and avoid presenting a 'best age' as definitive.</t>
        </is>
      </c>
      <c r="AD447" s="36" t="inlineStr">
        <is>
          <t>Annual</t>
        </is>
      </c>
      <c r="AE447" s="38" t="n"/>
      <c r="AF447" s="38" t="n"/>
      <c r="AG447" s="38" t="n"/>
    </row>
    <row r="448" ht="57.45" customHeight="1" s="22">
      <c r="A448" s="36">
        <f>"B"&amp;TEXT(ROW()-1,"0000")</f>
        <v/>
      </c>
      <c r="B448" s="38" t="inlineStr">
        <is>
          <t>Planned</t>
        </is>
      </c>
      <c r="C448" s="36" t="n">
        <v>4</v>
      </c>
      <c r="D448" s="36" t="inlineStr">
        <is>
          <t>Pet insurance</t>
        </is>
      </c>
      <c r="E448" s="36" t="inlineStr">
        <is>
          <t>Comparisons</t>
        </is>
      </c>
      <c r="F448" s="25" t="inlineStr">
        <is>
          <t>Pet Wellness Plans vs Pet Insurance: Are Routine-Care Add-Ons Worth It?</t>
        </is>
      </c>
      <c r="G448" s="36" t="inlineStr">
        <is>
          <t>https://instasure.ca/guides/pet-wellness-plans-vs-insurance/</t>
        </is>
      </c>
      <c r="H448" s="36" t="inlineStr">
        <is>
          <t>pet wellness plan</t>
        </is>
      </c>
      <c r="I448" s="41">
        <f>IFERROR(INDEX('Nationwide KWs'!$D$2:$D$168,MATCH(H448,'Nationwide KWs'!$A$2:$A$168,0)),IFERROR(INDEX('Provincial KWs'!$E$2:$E$137,MATCH(H448,'Provincial KWs'!$A$2:$A$137,0)),IFERROR(INDEX('City KWs'!$F$2:$F$419,MATCH(H448,'City KWs'!$A$2:$A$419,0)),"")))</f>
        <v/>
      </c>
      <c r="J448" s="36" t="inlineStr">
        <is>
          <t>Low</t>
        </is>
      </c>
      <c r="K448" s="25" t="inlineStr">
        <is>
          <t>does pet insurance cover vaccines; pet insurance wellness add on; routine care pet insurance; vet clinic wellness plan canada; dental cleaning pet insurance</t>
        </is>
      </c>
      <c r="L448" s="36" t="inlineStr">
        <is>
          <t>Nationwide</t>
        </is>
      </c>
      <c r="M448" s="36" t="inlineStr">
        <is>
          <t>commercial</t>
        </is>
      </c>
      <c r="N448" s="36" t="inlineStr">
        <is>
          <t>MOFU</t>
        </is>
      </c>
      <c r="O448" s="25" t="inlineStr">
        <is>
          <t>Pet Wellness Plans vs Insurance: Are Add-Ons Worth It?</t>
        </is>
      </c>
      <c r="P448" s="36">
        <f>LEN(O448)</f>
        <v/>
      </c>
      <c r="Q448" s="25" t="inlineStr">
        <is>
          <t>Pet wellness plans vs insurance: what routine-care add-ons and clinic plans pay for vaccines, checkups and dental cleanings. Try the break-even test.</t>
        </is>
      </c>
      <c r="R448" s="36">
        <f>LEN(Q448)</f>
        <v/>
      </c>
      <c r="S448" s="36">
        <f>IF(H448="","",IF(ISNUMBER(SEARCH(SUBSTITUTE(H448,"-"," "),SUBSTITUTE(O448,"-"," "))),"Yes","Check"))</f>
        <v/>
      </c>
      <c r="T448" s="25" t="inlineStr">
        <is>
          <t>Pet wellness plan vs pet insurance: the short answer | What wellness add-ons pay for | Vet clinic membership plans | Dental cleaning vs dental illness | Break-even test for your pet | When to skip the add-on</t>
        </is>
      </c>
      <c r="U448" s="25" t="inlineStr">
        <is>
          <t>Does pet insurance cover vaccines? | Is a vet clinic wellness plan insurance? | Are dental cleanings covered by pet insurance? | Is a wellness add-on worth it for a puppy?</t>
        </is>
      </c>
      <c r="V448" s="25" t="inlineStr">
        <is>
          <t>Break-even worksheet comparing a wellness add-on's annual cost with the reader's expected routine vet spend (vaccines, exams, dental, parasite prevention).</t>
        </is>
      </c>
      <c r="W448" s="25" t="inlineStr">
        <is>
          <t>/pet-insurance/; /guides/accident-only-vs-accident-and-illness-pet-insurance/; /guides/is-pet-insurance-worth-it/; /guides/how-much-is-pet-insurance-canada/</t>
        </is>
      </c>
      <c r="X448" s="25" t="inlineStr">
        <is>
          <t>Pet insurance advisor request (/pet-insurance/)</t>
        </is>
      </c>
      <c r="Y448" s="36" t="inlineStr">
        <is>
          <t>Article; FAQPage; BreadcrumbList</t>
        </is>
      </c>
      <c r="Z448" s="37" t="n">
        <v>1200</v>
      </c>
      <c r="AA448" s="25" t="inlineStr">
        <is>
          <t>Not covered by Ratehub or Rates.ca; vet-clinic membership plans and insurer add-ons are never compared side by side in the research set.</t>
        </is>
      </c>
      <c r="AB448" s="25" t="inlineStr">
        <is>
          <t>Use 'pet wellness plan' in the H1, slug, meta title, first 100 words and first H2, with a 40–60 word answer on what wellness covers and that it is not accident or illness insurance. Add the break-even worksheet; link 'is pet insurance worth it' to that guide and 'plan types' to the comparison guide; alt text 'puppy getting a vaccine at the vet'. Reviewed by a licensed advisor appointed for pet insurance; cite insurer add-on wordings; refresh annually.</t>
        </is>
      </c>
      <c r="AC448" s="25" t="inlineStr">
        <is>
          <t>State clearly that vet-clinic wellness plans are not insurance; verify add-on reimbursement caps from current wordings.</t>
        </is>
      </c>
      <c r="AD448" s="36" t="inlineStr">
        <is>
          <t>Annual</t>
        </is>
      </c>
      <c r="AE448" s="38" t="n"/>
      <c r="AF448" s="38" t="n"/>
      <c r="AG448" s="38" t="n"/>
    </row>
    <row r="449" ht="57.45" customHeight="1" s="22">
      <c r="A449" s="36">
        <f>"B"&amp;TEXT(ROW()-1,"0000")</f>
        <v/>
      </c>
      <c r="B449" s="38" t="inlineStr">
        <is>
          <t>Planned</t>
        </is>
      </c>
      <c r="C449" s="36" t="n">
        <v>4</v>
      </c>
      <c r="D449" s="36" t="inlineStr">
        <is>
          <t>Pet insurance</t>
        </is>
      </c>
      <c r="E449" s="36" t="inlineStr">
        <is>
          <t>Coverage explained</t>
        </is>
      </c>
      <c r="F449" s="25" t="inlineStr">
        <is>
          <t>Pet Insurance Waiting Periods in Canada: Accidents, Illness, Cruciate</t>
        </is>
      </c>
      <c r="G449" s="36" t="inlineStr">
        <is>
          <t>https://instasure.ca/guides/pet-insurance-waiting-periods/</t>
        </is>
      </c>
      <c r="H449" s="36" t="inlineStr">
        <is>
          <t>pet insurance waiting period</t>
        </is>
      </c>
      <c r="I449" s="41">
        <f>IFERROR(INDEX('Nationwide KWs'!$D$2:$D$168,MATCH(H449,'Nationwide KWs'!$A$2:$A$168,0)),IFERROR(INDEX('Provincial KWs'!$E$2:$E$137,MATCH(H449,'Provincial KWs'!$A$2:$A$137,0)),IFERROR(INDEX('City KWs'!$F$2:$F$419,MATCH(H449,'City KWs'!$A$2:$A$419,0)),"")))</f>
        <v/>
      </c>
      <c r="J449" s="36" t="inlineStr">
        <is>
          <t>Low</t>
        </is>
      </c>
      <c r="K449" s="25" t="inlineStr">
        <is>
          <t>pet insurance waiting period illness; cruciate ligament waiting period; when does pet insurance coverage start; waiting period waiver vet exam; accident waiting period pet insurance</t>
        </is>
      </c>
      <c r="L449" s="36" t="inlineStr">
        <is>
          <t>Nationwide</t>
        </is>
      </c>
      <c r="M449" s="36" t="inlineStr">
        <is>
          <t>informational</t>
        </is>
      </c>
      <c r="N449" s="36" t="inlineStr">
        <is>
          <t>MOFU</t>
        </is>
      </c>
      <c r="O449" s="25" t="inlineStr">
        <is>
          <t>Pet Insurance Waiting Periods: Accident, Illness, Cruciate</t>
        </is>
      </c>
      <c r="P449" s="36">
        <f>LEN(O449)</f>
        <v/>
      </c>
      <c r="Q449" s="25" t="inlineStr">
        <is>
          <t>Pet insurance waiting periods: when accident, illness and cruciate cover starts, how waivers work and avoiding a gap when switching. See the table.</t>
        </is>
      </c>
      <c r="R449" s="36">
        <f>LEN(Q449)</f>
        <v/>
      </c>
      <c r="S449" s="36">
        <f>IF(H449="","",IF(ISNUMBER(SEARCH(SUBSTITUTE(H449,"-"," "),SUBSTITUTE(O449,"-"," "))),"Yes","Check"))</f>
        <v/>
      </c>
      <c r="T449" s="25" t="inlineStr">
        <is>
          <t>What is a pet insurance waiting period? | Accident vs illness waiting periods | Cruciate and orthopaedic waiting periods | Waivers after a vet exam | Avoiding a gap when you switch | Dated comparison table</t>
        </is>
      </c>
      <c r="U449" s="25" t="inlineStr">
        <is>
          <t>How long is the waiting period for pet insurance in Canada? | Is there a waiting period for accidents? | Can the cruciate waiting period be waived? | Does switching insurers restart waiting periods?</t>
        </is>
      </c>
      <c r="V449" s="25" t="inlineStr">
        <is>
          <t>Dated comparison table of published waiting periods (accident, illness, cruciate or orthopaedic) from several Canadian insurers' wordings, with the date checked.</t>
        </is>
      </c>
      <c r="W449" s="25" t="inlineStr">
        <is>
          <t>/pet-insurance/; /guides/pet-insurance-pre-existing-conditions/; /guides/puppy-and-kitten-insurance/; /guides/how-does-pet-insurance-work/</t>
        </is>
      </c>
      <c r="X449" s="25" t="inlineStr">
        <is>
          <t>Pet insurance advisor request (/pet-insurance/)</t>
        </is>
      </c>
      <c r="Y449" s="36" t="inlineStr">
        <is>
          <t>Article; FAQPage; BreadcrumbList</t>
        </is>
      </c>
      <c r="Z449" s="37" t="n">
        <v>1100</v>
      </c>
      <c r="AA449" s="25" t="inlineStr">
        <is>
          <t>No competitor coverage seen among the six competitors researched.</t>
        </is>
      </c>
      <c r="AB449" s="25" t="inlineStr">
        <is>
          <t>Use 'pet insurance waiting period' in the H1, slug, meta title, first 100 words and first H2, with a 40–60 word answer giving the usual structure (accident, illness, orthopaedic). Lead with the dated table; link 'pre-existing conditions' to that guide and 'how pet insurance works' to that guide; alt text 'calendar showing pet insurance waiting periods'. Reviewed by a licensed advisor appointed for pet insurance; cite insurer wordings; refresh semi-annually.</t>
        </is>
      </c>
      <c r="AC449" s="25" t="inlineStr">
        <is>
          <t>Each waiting period must cite the insurer's current wording and date; no ranking of insurers without a published method.</t>
        </is>
      </c>
      <c r="AD449" s="36" t="inlineStr">
        <is>
          <t>Semi-annual</t>
        </is>
      </c>
      <c r="AE449" s="38" t="n"/>
      <c r="AF449" s="38" t="n"/>
      <c r="AG449" s="38" t="n"/>
    </row>
    <row r="450" ht="57.45" customHeight="1" s="22">
      <c r="A450" s="36">
        <f>"B"&amp;TEXT(ROW()-1,"0000")</f>
        <v/>
      </c>
      <c r="B450" s="38" t="inlineStr">
        <is>
          <t>Planned</t>
        </is>
      </c>
      <c r="C450" s="36" t="n">
        <v>4</v>
      </c>
      <c r="D450" s="36" t="inlineStr">
        <is>
          <t>Pet insurance</t>
        </is>
      </c>
      <c r="E450" s="36" t="inlineStr">
        <is>
          <t>Personas</t>
        </is>
      </c>
      <c r="F450" s="25" t="inlineStr">
        <is>
          <t>Cat Insurance in Canada: Is It Worth It for Indoor Cats?</t>
        </is>
      </c>
      <c r="G450" s="36" t="inlineStr">
        <is>
          <t>https://instasure.ca/guides/cat-insurance-canada/</t>
        </is>
      </c>
      <c r="H450" s="36" t="inlineStr">
        <is>
          <t>cat insurance canada</t>
        </is>
      </c>
      <c r="I450" s="41">
        <f>IFERROR(INDEX('Nationwide KWs'!$D$2:$D$168,MATCH(H450,'Nationwide KWs'!$A$2:$A$168,0)),IFERROR(INDEX('Provincial KWs'!$E$2:$E$137,MATCH(H450,'Provincial KWs'!$A$2:$A$137,0)),IFERROR(INDEX('City KWs'!$F$2:$F$419,MATCH(H450,'City KWs'!$A$2:$A$419,0)),"")))</f>
        <v/>
      </c>
      <c r="J450" s="36" t="inlineStr">
        <is>
          <t>Low</t>
        </is>
      </c>
      <c r="K450" s="25" t="inlineStr">
        <is>
          <t>is cat insurance worth it; indoor cat insurance; cat insurance cost per month; senior cat insurance; cat urinary blockage insurance</t>
        </is>
      </c>
      <c r="L450" s="36" t="inlineStr">
        <is>
          <t>Nationwide</t>
        </is>
      </c>
      <c r="M450" s="36" t="inlineStr">
        <is>
          <t>commercial</t>
        </is>
      </c>
      <c r="N450" s="36" t="inlineStr">
        <is>
          <t>MOFU</t>
        </is>
      </c>
      <c r="O450" s="25" t="inlineStr">
        <is>
          <t>Cat Insurance in Canada: Is It Worth It for Indoor Cats?</t>
        </is>
      </c>
      <c r="P450" s="36">
        <f>LEN(O450)</f>
        <v/>
      </c>
      <c r="Q450" s="25" t="inlineStr">
        <is>
          <t>Cat insurance in Canada: what it costs, the illnesses behind claims even for indoor cats (urinary, dental, kidney) and when it pays. Compare options.</t>
        </is>
      </c>
      <c r="R450" s="36">
        <f>LEN(Q450)</f>
        <v/>
      </c>
      <c r="S450" s="36">
        <f>IF(H450="","",IF(ISNUMBER(SEARCH(SUBSTITUTE(H450,"-"," "),SUBSTITUTE(O450,"-"," "))),"Yes","Check"))</f>
        <v/>
      </c>
      <c r="T450" s="25" t="inlineStr">
        <is>
          <t>Is cat insurance worth it in Canada? | What cat insurance costs (dated examples) | Common claims for indoor cats | Outdoor cats and accident risks | Senior cats and enrolment limits | Insurance vs a vet savings fund</t>
        </is>
      </c>
      <c r="U450" s="25" t="inlineStr">
        <is>
          <t>Is it worth insuring an indoor cat? | How much is cat insurance per month in Canada? | What are the most common cat insurance claims? | Can I insure a 10-year-old cat?</t>
        </is>
      </c>
      <c r="V450" s="25" t="inlineStr">
        <is>
          <t>Dated example cost table for indoor and outdoor cats at ages 1, 5 and 10, plus a list of common feline claim conditions with sourced typical treatment steps.</t>
        </is>
      </c>
      <c r="W450" s="25" t="inlineStr">
        <is>
          <t>/pet-insurance/; /guides/is-pet-insurance-worth-it/; /guides/pet-insurance-for-older-pets/; /guides/how-much-is-pet-insurance-canada/</t>
        </is>
      </c>
      <c r="X450" s="25" t="inlineStr">
        <is>
          <t>Pet insurance advisor request (/pet-insurance/)</t>
        </is>
      </c>
      <c r="Y450" s="36" t="inlineStr">
        <is>
          <t>Article; FAQPage; BreadcrumbList</t>
        </is>
      </c>
      <c r="Z450" s="37" t="n">
        <v>1200</v>
      </c>
      <c r="AA450" s="25" t="inlineStr">
        <is>
          <t>No competitor coverage seen in the research set; insurer blogs dominate this query.</t>
        </is>
      </c>
      <c r="AB450" s="25" t="inlineStr">
        <is>
          <t>Use 'cat insurance Canada' in the H1, slug, meta title, first 100 words and first H2, with a 40–60 word answer on cost and the claims that matter for indoor cats. Add the age table and condition list; link 'is pet insurance worth it' to that guide and 'older pets' to that guide; alt text 'indoor cat resting on a windowsill'. Reviewed by a licensed advisor appointed for pet insurance, with health content checked against a veterinary source; refresh annually.</t>
        </is>
      </c>
      <c r="AC450" s="25" t="inlineStr">
        <is>
          <t>Example prices need the insurer, profile and date; health statements need a veterinary source.</t>
        </is>
      </c>
      <c r="AD450" s="36" t="inlineStr">
        <is>
          <t>Annual</t>
        </is>
      </c>
      <c r="AE450" s="38" t="n"/>
      <c r="AF450" s="38" t="n"/>
      <c r="AG450" s="38" t="n"/>
    </row>
    <row r="451" ht="46.25" customHeight="1" s="22">
      <c r="A451" s="36">
        <f>"B"&amp;TEXT(ROW()-1,"0000")</f>
        <v/>
      </c>
      <c r="B451" s="38" t="inlineStr">
        <is>
          <t>Planned</t>
        </is>
      </c>
      <c r="C451" s="36" t="n">
        <v>4</v>
      </c>
      <c r="D451" s="36" t="inlineStr">
        <is>
          <t>Pet insurance</t>
        </is>
      </c>
      <c r="E451" s="36" t="inlineStr">
        <is>
          <t>Personas</t>
        </is>
      </c>
      <c r="F451" s="25" t="inlineStr">
        <is>
          <t>Pet Insurance for Older Dogs and Cats: Age Limits and Options</t>
        </is>
      </c>
      <c r="G451" s="36" t="inlineStr">
        <is>
          <t>https://instasure.ca/guides/pet-insurance-for-older-pets/</t>
        </is>
      </c>
      <c r="H451" s="36" t="inlineStr">
        <is>
          <t>pet insurance for older dogs</t>
        </is>
      </c>
      <c r="I451" s="41">
        <f>IFERROR(INDEX('Nationwide KWs'!$D$2:$D$168,MATCH(H451,'Nationwide KWs'!$A$2:$A$168,0)),IFERROR(INDEX('Provincial KWs'!$E$2:$E$137,MATCH(H451,'Provincial KWs'!$A$2:$A$137,0)),IFERROR(INDEX('City KWs'!$F$2:$F$419,MATCH(H451,'City KWs'!$A$2:$A$419,0)),"")))</f>
        <v/>
      </c>
      <c r="J451" s="36" t="inlineStr">
        <is>
          <t>Low</t>
        </is>
      </c>
      <c r="K451" s="25" t="inlineStr">
        <is>
          <t>senior dog insurance canada; pet insurance age limit; senior cat insurance; can you insure an old dog; accident only insurance senior pet</t>
        </is>
      </c>
      <c r="L451" s="36" t="inlineStr">
        <is>
          <t>Nationwide</t>
        </is>
      </c>
      <c r="M451" s="36" t="inlineStr">
        <is>
          <t>commercial</t>
        </is>
      </c>
      <c r="N451" s="36" t="inlineStr">
        <is>
          <t>MOFU</t>
        </is>
      </c>
      <c r="O451" s="25" t="inlineStr">
        <is>
          <t>Pet Insurance for Older Dogs and Cats: Age Limits, Options</t>
        </is>
      </c>
      <c r="P451" s="36">
        <f>LEN(O451)</f>
        <v/>
      </c>
      <c r="Q451" s="25" t="inlineStr">
        <is>
          <t>Pet insurance for older dogs and cats: enrolment age limits, why premiums rise, senior co-pays, accident-only options and keeping cover. Compare options.</t>
        </is>
      </c>
      <c r="R451" s="36">
        <f>LEN(Q451)</f>
        <v/>
      </c>
      <c r="S451" s="36">
        <f>IF(H451="","",IF(ISNUMBER(SEARCH(SUBSTITUTE(H451,"-"," "),SUBSTITUTE(O451,"-"," "))),"Yes","Check"))</f>
        <v/>
      </c>
      <c r="T451" s="25" t="inlineStr">
        <is>
          <t>Can you get pet insurance for an older pet? | Enrolment age limits | Why premiums rise with age | Senior co-pays and reduced limits | Accident-only as a fallback | Keeping the policy you already have</t>
        </is>
      </c>
      <c r="U451" s="25" t="inlineStr">
        <is>
          <t>Is there an age limit for pet insurance in Canada? | Can I insure a 10-year-old dog? | Why does senior pet insurance cost more? | Should I keep my older pet's policy?</t>
        </is>
      </c>
      <c r="V451" s="25" t="inlineStr">
        <is>
          <t>Table of senior-pet enrolment ages and co-pay changes from published Canadian wordings (dated), plus a decision guide for owners of pets aged 8 and up.</t>
        </is>
      </c>
      <c r="W451" s="25" t="inlineStr">
        <is>
          <t>/pet-insurance/; /guides/accident-only-vs-accident-and-illness-pet-insurance/; /guides/pet-insurance-pre-existing-conditions/; /guides/cat-insurance-canada/</t>
        </is>
      </c>
      <c r="X451" s="25" t="inlineStr">
        <is>
          <t>Pet insurance advisor request (/pet-insurance/)</t>
        </is>
      </c>
      <c r="Y451" s="36" t="inlineStr">
        <is>
          <t>Article; FAQPage; BreadcrumbList</t>
        </is>
      </c>
      <c r="Z451" s="37" t="n">
        <v>1100</v>
      </c>
      <c r="AA451" s="25" t="inlineStr">
        <is>
          <t>No competitor coverage seen in the research set.</t>
        </is>
      </c>
      <c r="AB451" s="25" t="inlineStr">
        <is>
          <t>Use 'pet insurance for older dogs' in the H1, slug, meta title, first 100 words and first H2, with a 40–60 word answer on age limits and options. Add the dated age-limit table and decision guide; link 'accident-only plans' to the plan-type guide and 'cat insurance' to that guide; alt text 'senior dog with a grey muzzle'. Reviewed by a licensed advisor appointed for pet insurance; cite insurer wordings with dates; refresh annually.</t>
        </is>
      </c>
      <c r="AC451" s="25" t="inlineStr">
        <is>
          <t>Cite current enrolment-age limits with dates; never imply any pet is uninsurable.</t>
        </is>
      </c>
      <c r="AD451" s="36" t="inlineStr">
        <is>
          <t>Annual</t>
        </is>
      </c>
      <c r="AE451" s="38" t="n"/>
      <c r="AF451" s="38" t="n"/>
      <c r="AG451" s="38" t="n"/>
    </row>
    <row r="452" ht="57.45" customHeight="1" s="22">
      <c r="A452" s="36">
        <f>"B"&amp;TEXT(ROW()-1,"0000")</f>
        <v/>
      </c>
      <c r="B452" s="38" t="inlineStr">
        <is>
          <t>Planned</t>
        </is>
      </c>
      <c r="C452" s="36" t="n">
        <v>5</v>
      </c>
      <c r="D452" s="36" t="inlineStr">
        <is>
          <t>Pet insurance</t>
        </is>
      </c>
      <c r="E452" s="36" t="inlineStr">
        <is>
          <t>Comparisons</t>
        </is>
      </c>
      <c r="F452" s="25" t="inlineStr">
        <is>
          <t>Trupanion vs Petsecure: How the Pet Insurance Plans Compare</t>
        </is>
      </c>
      <c r="G452" s="36" t="inlineStr">
        <is>
          <t>https://instasure.ca/guides/trupanion-vs-petsecure/</t>
        </is>
      </c>
      <c r="H452" s="36" t="inlineStr">
        <is>
          <t>trupanion vs petsecure</t>
        </is>
      </c>
      <c r="I452" s="41">
        <f>IFERROR(INDEX('Nationwide KWs'!$D$2:$D$168,MATCH(H452,'Nationwide KWs'!$A$2:$A$168,0)),IFERROR(INDEX('Provincial KWs'!$E$2:$E$137,MATCH(H452,'Provincial KWs'!$A$2:$A$137,0)),IFERROR(INDEX('City KWs'!$F$2:$F$419,MATCH(H452,'City KWs'!$A$2:$A$419,0)),"")))</f>
        <v/>
      </c>
      <c r="J452" s="36" t="inlineStr">
        <is>
          <t>Niche</t>
        </is>
      </c>
      <c r="K452" s="25" t="inlineStr">
        <is>
          <t>trupanion review canada; petsecure review; trupanion vs pets plus us; petsecure vs pets plus us; pet insurance companies canada</t>
        </is>
      </c>
      <c r="L452" s="36" t="inlineStr">
        <is>
          <t>Nationwide</t>
        </is>
      </c>
      <c r="M452" s="36" t="inlineStr">
        <is>
          <t>commercial</t>
        </is>
      </c>
      <c r="N452" s="36" t="inlineStr">
        <is>
          <t>MOFU</t>
        </is>
      </c>
      <c r="O452" s="25" t="inlineStr">
        <is>
          <t>Trupanion vs Petsecure: Pet Insurance Plans Compared</t>
        </is>
      </c>
      <c r="P452" s="36">
        <f>LEN(O452)</f>
        <v/>
      </c>
      <c r="Q452" s="25" t="inlineStr">
        <is>
          <t>Trupanion vs Petsecure: deductibles, reimbursement, limits, waiting periods, exam fees and direct vet pay, scored by a published method. Compare.</t>
        </is>
      </c>
      <c r="R452" s="36">
        <f>LEN(Q452)</f>
        <v/>
      </c>
      <c r="S452" s="36">
        <f>IF(H452="","",IF(ISNUMBER(SEARCH(SUBSTITUTE(H452,"-"," "),SUBSTITUTE(O452,"-"," "))),"Yes","Check"))</f>
        <v/>
      </c>
      <c r="T452" s="25" t="inlineStr">
        <is>
          <t>Trupanion vs Petsecure: the short answer | How we compared them (published method) | Deductibles and reimbursement | Limits and exclusions | Waiting periods and pre-existing rules | Claims and direct vet payment | Which suits your pet?</t>
        </is>
      </c>
      <c r="U452" s="25" t="inlineStr">
        <is>
          <t>Is Trupanion or Petsecure better in Canada? | Does Trupanion pay the vet directly? | Which has shorter waiting periods? | Can I switch from Petsecure to Trupanion?</t>
        </is>
      </c>
      <c r="V452" s="25" t="inlineStr">
        <is>
          <t>Feature-by-feature table built only from each insurer's published Canadian policy wordings and sample quotes on a stated date, scored under a published comparison method.</t>
        </is>
      </c>
      <c r="W452" s="25" t="inlineStr">
        <is>
          <t>/pet-insurance/; /compare/; /guides/how-does-pet-insurance-work/; /guides/pet-insurance-waiting-periods/</t>
        </is>
      </c>
      <c r="X452" s="25" t="inlineStr">
        <is>
          <t>Pet insurance advisor request (/pet-insurance/)</t>
        </is>
      </c>
      <c r="Y452" s="36" t="inlineStr">
        <is>
          <t>Article; FAQPage; BreadcrumbList</t>
        </is>
      </c>
      <c r="Z452" s="37" t="n">
        <v>1800</v>
      </c>
      <c r="AA452" s="25" t="inlineStr">
        <is>
          <t>The keyword map lists Trupanion and Petsecure as SERP owners for pet terms; no third-party head-to-head was seen in the research.</t>
        </is>
      </c>
      <c r="AB452" s="25" t="inlineStr">
        <is>
          <t>Use 'Trupanion vs Petsecure' in the H1, slug, meta title, first 100 words and first H2, with a 40–60 word answer summarising documented differences without a verdict. Put the method box above the table; link 'compare' to /compare/ and 'how pet insurance works' to that guide; alt text 'side-by-side table of Trupanion and Petsecure plan features'. Reviewed by a licensed advisor appointed for pet insurance; cite insurer wordings with dates; refresh semi-annually.</t>
        </is>
      </c>
      <c r="AC452" s="25" t="inlineStr">
        <is>
          <t>Needs a published review method before launch; compare only documented features with the date checked, give no 'better' verdict outside the method and disclose any carrier relationship.</t>
        </is>
      </c>
      <c r="AD452" s="36" t="inlineStr">
        <is>
          <t>Semi-annual</t>
        </is>
      </c>
      <c r="AE452" s="38" t="n"/>
      <c r="AF452" s="38" t="n"/>
      <c r="AG452" s="38" t="n"/>
    </row>
    <row r="453" ht="46.25" customHeight="1" s="22">
      <c r="A453" s="36">
        <f>"B"&amp;TEXT(ROW()-1,"0000")</f>
        <v/>
      </c>
      <c r="B453" s="38" t="inlineStr">
        <is>
          <t>Planned</t>
        </is>
      </c>
      <c r="C453" s="36" t="n">
        <v>1</v>
      </c>
      <c r="D453" s="36" t="inlineStr">
        <is>
          <t>Business insurance</t>
        </is>
      </c>
      <c r="E453" s="36" t="inlineStr">
        <is>
          <t>Comparisons</t>
        </is>
      </c>
      <c r="F453" s="25" t="inlineStr">
        <is>
          <t>Personal vs Commercial Auto Insurance: When Your Work Vehicle Needs a Commercial Policy</t>
        </is>
      </c>
      <c r="G453" s="36" t="inlineStr">
        <is>
          <t>https://instasure.ca/guides/personal-vs-commercial-auto-insurance/</t>
        </is>
      </c>
      <c r="H453" s="36" t="inlineStr">
        <is>
          <t>personal vs commercial auto insurance</t>
        </is>
      </c>
      <c r="I453" s="41">
        <f>IFERROR(INDEX('Nationwide KWs'!$D$2:$D$168,MATCH(H453,'Nationwide KWs'!$A$2:$A$168,0)),IFERROR(INDEX('Provincial KWs'!$E$2:$E$137,MATCH(H453,'Provincial KWs'!$A$2:$A$137,0)),IFERROR(INDEX('City KWs'!$F$2:$F$419,MATCH(H453,'City KWs'!$A$2:$A$419,0)),"")))</f>
        <v/>
      </c>
      <c r="J453" s="36" t="inlineStr">
        <is>
          <t>Low</t>
        </is>
      </c>
      <c r="K453" s="25" t="inlineStr">
        <is>
          <t>commercial auto insurance; do i need commercial insurance for my work truck; business use car insurance; work van insurance; company vehicle insurance</t>
        </is>
      </c>
      <c r="L453" s="36" t="inlineStr">
        <is>
          <t>Nationwide</t>
        </is>
      </c>
      <c r="M453" s="36" t="inlineStr">
        <is>
          <t>commercial</t>
        </is>
      </c>
      <c r="N453" s="36" t="inlineStr">
        <is>
          <t>MOFU</t>
        </is>
      </c>
      <c r="O453" s="25" t="inlineStr">
        <is>
          <t>Personal vs Commercial Auto Insurance: Which You Need</t>
        </is>
      </c>
      <c r="P453" s="36">
        <f>LEN(O453)</f>
        <v/>
      </c>
      <c r="Q453" s="25" t="inlineStr">
        <is>
          <t>Personal vs commercial auto insurance: when business use, tools, employees or deliveries mean you need a commercial policy. Use our decision tree to check.</t>
        </is>
      </c>
      <c r="R453" s="36">
        <f>LEN(Q453)</f>
        <v/>
      </c>
      <c r="S453" s="36">
        <f>IF(H453="","",IF(ISNUMBER(SEARCH(SUBSTITUTE(H453,"-"," "),SUBSTITUTE(O453,"-"," "))),"Yes","Check"))</f>
        <v/>
      </c>
      <c r="T453" s="25" t="inlineStr">
        <is>
          <t>When you need commercial auto insurance (short answer) | Business use vs commuting: how insurers define it | Tools, signage, employees and deliveries | Vehicle weight, ownership and plates | What happens to a claim if you're on the wrong policy | Cost differences and how to keep them down | Decision tree</t>
        </is>
      </c>
      <c r="U453" s="25" t="inlineStr">
        <is>
          <t>Can I use my personal car insurance for business? | Do I need commercial insurance for a pickup I use for work? | Is a vehicle owned by my corporation personal or commercial? | Does commercial auto insurance cover tools in my van?</t>
        </is>
      </c>
      <c r="V453" s="25" t="inlineStr">
        <is>
          <t>A decision tree (use, ownership, weight, drivers, goods carried) ending in personal policy, business-use rating or commercial policy, plus 6 worked examples (realtor, plumber's van, caterer, courier, landscaper's pickup, sales rep).</t>
        </is>
      </c>
      <c r="W453" s="25" t="inlineStr">
        <is>
          <t>/business-insurance/commercial-auto/; /car-insurance/; /car-insurance/rideshare-and-delivery/; /guides/fleet-insurance-small-business-canada/</t>
        </is>
      </c>
      <c r="X453" s="25" t="inlineStr">
        <is>
          <t>Request a specialist call: Commercial auto &amp; trucking desk (/business-insurance/commercial-auto/)</t>
        </is>
      </c>
      <c r="Y453" s="36" t="inlineStr">
        <is>
          <t>Article; FAQPage; BreadcrumbList</t>
        </is>
      </c>
      <c r="Z453" s="37" t="n">
        <v>1600</v>
      </c>
      <c r="AA453" s="25" t="inlineStr">
        <is>
          <t>Rates.ca has a 'how to get insurance for your company vehicle' resource; no competitor seen offers a decision tree or worked examples for where personal cover ends.</t>
        </is>
      </c>
      <c r="AB453" s="25" t="inlineStr">
        <is>
          <t>Focus keyword in title, H1, slug, meta and first 100 words; the first H2 answers in 40-60 words with the four triggers (goods or tools for clients, employees driving, deliveries, corporate ownership). Place the decision tree as an image with a text version and link the desk page with the anchor 'commercial auto insurance'. Licensed reviewer; cite FSRA's standard auto policy definitions; review annually.</t>
        </is>
      </c>
      <c r="AC453" s="25" t="inlineStr">
        <is>
          <t>Business-use definitions vary by insurer and province; verify against FSRA's OAP 1 and insurer guidelines. Say a claim 'may be reduced or denied', never 'will be denied'.</t>
        </is>
      </c>
      <c r="AD453" s="36" t="inlineStr">
        <is>
          <t>Annual</t>
        </is>
      </c>
      <c r="AE453" s="38" t="n"/>
      <c r="AF453" s="38" t="n"/>
      <c r="AG453" s="38" t="n"/>
    </row>
    <row r="454" ht="57.45" customHeight="1" s="22">
      <c r="A454" s="36">
        <f>"B"&amp;TEXT(ROW()-1,"0000")</f>
        <v/>
      </c>
      <c r="B454" s="38" t="inlineStr">
        <is>
          <t>Published</t>
        </is>
      </c>
      <c r="C454" s="36" t="n">
        <v>1</v>
      </c>
      <c r="D454" s="36" t="inlineStr">
        <is>
          <t>Business insurance</t>
        </is>
      </c>
      <c r="E454" s="36" t="inlineStr">
        <is>
          <t>Cost &amp; pricing</t>
        </is>
      </c>
      <c r="F454" s="25" t="inlineStr">
        <is>
          <t>How Much Is General Liability Insurance in Canada? Costs by Limit and Business Type</t>
        </is>
      </c>
      <c r="G454" s="36" t="inlineStr">
        <is>
          <t>https://instasure.ca/guides/general-liability-insurance-cost-canada/</t>
        </is>
      </c>
      <c r="H454" s="36" t="inlineStr">
        <is>
          <t>general liability insurance cost</t>
        </is>
      </c>
      <c r="I454" s="41">
        <f>IFERROR(INDEX('Nationwide KWs'!$D$2:$D$168,MATCH(H454,'Nationwide KWs'!$A$2:$A$168,0)),IFERROR(INDEX('Provincial KWs'!$E$2:$E$137,MATCH(H454,'Provincial KWs'!$A$2:$A$137,0)),IFERROR(INDEX('City KWs'!$F$2:$F$419,MATCH(H454,'City KWs'!$A$2:$A$419,0)),"")))</f>
        <v/>
      </c>
      <c r="J454" s="36" t="inlineStr">
        <is>
          <t>Medium</t>
        </is>
      </c>
      <c r="K454" s="25" t="inlineStr">
        <is>
          <t>how much is liability insurance for a small business; CGL insurance cost; $2 million liability insurance cost; business liability insurance price canada</t>
        </is>
      </c>
      <c r="L454" s="36" t="inlineStr">
        <is>
          <t>Nationwide</t>
        </is>
      </c>
      <c r="M454" s="36" t="inlineStr">
        <is>
          <t>commercial</t>
        </is>
      </c>
      <c r="N454" s="36" t="inlineStr">
        <is>
          <t>MOFU</t>
        </is>
      </c>
      <c r="O454" s="25" t="inlineStr">
        <is>
          <t>General Liability Insurance Cost in Canada by Limit</t>
        </is>
      </c>
      <c r="P454" s="36">
        <f>LEN(O454)</f>
        <v/>
      </c>
      <c r="Q454" s="25" t="inlineStr">
        <is>
          <t>General liability insurance cost in Canada by limit ($1M, $2M, $5M) and business type, from dated example estimates. See what moves it and get an estimate.</t>
        </is>
      </c>
      <c r="R454" s="36">
        <f>LEN(Q454)</f>
        <v/>
      </c>
      <c r="S454" s="36">
        <f>IF(H454="","",IF(ISNUMBER(SEARCH(SUBSTITUTE(H454,"-"," "),SUBSTITUTE(O454,"-"," "))),"Yes","Check"))</f>
        <v/>
      </c>
      <c r="T454" s="25" t="inlineStr">
        <is>
          <t>How much general liability insurance costs (example ranges) | Cost by limit: $1 million vs $2 million vs $5 million | Cost by business type and revenue | What insurers look at when pricing CGL | Deductibles, aggregates and add-ons that change the price | How to lower CGL cost without cutting cover | Get an estimate and compare insurers</t>
        </is>
      </c>
      <c r="U454" s="25" t="inlineStr">
        <is>
          <t>How much is $2 million liability insurance for a small business in Canada? | Can I pay general liability insurance monthly? | Why is liability insurance more expensive for contractors? | Does a higher deductible lower CGL premiums?</t>
        </is>
      </c>
      <c r="V454" s="25" t="inlineStr">
        <is>
          <t>A dated table of modelled CGL estimates by limit ($1M, $2M, $5M) for 6 business types and 2 revenue bands, each row stating the example profile and 'as of' month, plus a 'what moves your price' factor table.</t>
        </is>
      </c>
      <c r="W454" s="25" t="inlineStr">
        <is>
          <t>/business-insurance/; /guides/small-business-insurance-cost-canada/; /calculators/business-coverage/; /guides/commercial-general-liability-insurance-explained/; /quote/</t>
        </is>
      </c>
      <c r="X454" s="25" t="inlineStr">
        <is>
          <t>Instant business insurance estimate (/quote/)</t>
        </is>
      </c>
      <c r="Y454" s="36" t="inlineStr">
        <is>
          <t>Article; FAQPage; BreadcrumbList</t>
        </is>
      </c>
      <c r="Z454" s="37" t="n">
        <v>1700</v>
      </c>
      <c r="AA454" s="25" t="inlineStr">
        <is>
          <t>Rates.ca publishes a single price anchor (about $450 a year for a $2M CGL limit, from search snippets) and Ratehub's 'how much is business insurance' blog gives general ranges; neither shows cost by limit and business type side by side with a stated profile.</t>
        </is>
      </c>
      <c r="AB454" s="25" t="inlineStr">
        <is>
          <t>Focus keyword in title, H1, slug, meta and the first 100 words; the first H2 opens with a 50-word range statement tied to the example profile and date. Lead with the limit-by-business-type table, then the factor table; anchor 'small business insurance cost' to the existing cost guide. Refresh the table quarterly (from Rate Index medians once the sample allows) with a licensed general insurance reviewer and a visible 'Rates as of' line.</t>
        </is>
      </c>
      <c r="AC454" s="25" t="inlineStr">
        <is>
          <t>Every dollar figure must be a labelled modelled estimate with profile, province and 'as of' date; the Rates.ca $450 anchor is a competitor figure, not market data. No 'cheapest' or 'lowest' wording.</t>
        </is>
      </c>
      <c r="AD454" s="36" t="inlineStr">
        <is>
          <t>Quarterly</t>
        </is>
      </c>
      <c r="AE454" s="38" t="inlineStr">
        <is>
          <t>Michael Le Chi</t>
        </is>
      </c>
      <c r="AF454" s="38" t="n"/>
      <c r="AG454" s="38" t="inlineStr">
        <is>
          <t>2026-10-12</t>
        </is>
      </c>
    </row>
    <row r="455" ht="46.25" customHeight="1" s="22">
      <c r="A455" s="36">
        <f>"B"&amp;TEXT(ROW()-1,"0000")</f>
        <v/>
      </c>
      <c r="B455" s="38" t="inlineStr">
        <is>
          <t>Published</t>
        </is>
      </c>
      <c r="C455" s="36" t="n">
        <v>1</v>
      </c>
      <c r="D455" s="36" t="inlineStr">
        <is>
          <t>Business insurance</t>
        </is>
      </c>
      <c r="E455" s="36" t="inlineStr">
        <is>
          <t>Cost &amp; pricing</t>
        </is>
      </c>
      <c r="F455" s="25" t="inlineStr">
        <is>
          <t>Trucking Insurance Cost in Canada: Owner-Operators, Cargo and For-Hire Carriers</t>
        </is>
      </c>
      <c r="G455" s="36" t="inlineStr">
        <is>
          <t>https://instasure.ca/guides/trucking-insurance-cost-canada/</t>
        </is>
      </c>
      <c r="H455" s="36" t="inlineStr">
        <is>
          <t>trucking insurance</t>
        </is>
      </c>
      <c r="I455" s="41">
        <f>IFERROR(INDEX('Nationwide KWs'!$D$2:$D$168,MATCH(H455,'Nationwide KWs'!$A$2:$A$168,0)),IFERROR(INDEX('Provincial KWs'!$E$2:$E$137,MATCH(H455,'Provincial KWs'!$A$2:$A$137,0)),IFERROR(INDEX('City KWs'!$F$2:$F$419,MATCH(H455,'City KWs'!$A$2:$A$419,0)),"")))</f>
        <v/>
      </c>
      <c r="J455" s="36" t="inlineStr">
        <is>
          <t>Medium</t>
        </is>
      </c>
      <c r="K455" s="25" t="inlineStr">
        <is>
          <t>owner operator truck insurance cost; cargo insurance canada; commercial truck insurance; for-hire trucking insurance; truck insurance ontario</t>
        </is>
      </c>
      <c r="L455" s="36" t="inlineStr">
        <is>
          <t>Nationwide</t>
        </is>
      </c>
      <c r="M455" s="36" t="inlineStr">
        <is>
          <t>commercial</t>
        </is>
      </c>
      <c r="N455" s="36" t="inlineStr">
        <is>
          <t>BOFU</t>
        </is>
      </c>
      <c r="O455" s="25" t="inlineStr">
        <is>
          <t>Trucking Insurance Cost in Canada: What Drives It</t>
        </is>
      </c>
      <c r="P455" s="36">
        <f>LEN(O455)</f>
        <v/>
      </c>
      <c r="Q455" s="25" t="inlineStr">
        <is>
          <t>Trucking insurance cost in Canada depends on cargo, radius, driver history and operating authority. See coverages and price drivers. Talk to a specialist.</t>
        </is>
      </c>
      <c r="R455" s="36">
        <f>LEN(Q455)</f>
        <v/>
      </c>
      <c r="S455" s="36">
        <f>IF(H455="","",IF(ISNUMBER(SEARCH(SUBSTITUTE(H455,"-"," "),SUBSTITUTE(O455,"-"," "))),"Yes","Check"))</f>
        <v/>
      </c>
      <c r="T455" s="25" t="inlineStr">
        <is>
          <t>How much trucking insurance costs (example ranges) | Coverages a trucking operation needs: liability, physical damage, cargo | Owner-operators leased to a carrier vs running your own authority | Price drivers: radius, commodity, experience, safety record | New ventures and drivers with tickets | Ways to lower premiums | Talk to the commercial auto desk</t>
        </is>
      </c>
      <c r="U455" s="25" t="inlineStr">
        <is>
          <t>How much is insurance for an owner-operator truck in Canada? | Do I need cargo insurance if I'm leased to a carrier? | Why is trucking insurance so expensive for new authorities? | Does my safety rating affect my insurance?</t>
        </is>
      </c>
      <c r="V455" s="25" t="inlineStr">
        <is>
          <t>A modelled estimate table for 4 profiles (leased owner-operator, local dump truck, regional dry van, new authority) with stated assumptions and 'as of' date, plus an insurer submission checklist.</t>
        </is>
      </c>
      <c r="W455" s="25" t="inlineStr">
        <is>
          <t>/business-insurance/commercial-auto/; /guides/cvor-ontario-commercial-insurance/; /guides/fleet-insurance-small-business-canada/; /business-insurance/ontario/brampton/</t>
        </is>
      </c>
      <c r="X455" s="25" t="inlineStr">
        <is>
          <t>Request a specialist call: Commercial auto &amp; trucking desk (/business-insurance/commercial-auto/)</t>
        </is>
      </c>
      <c r="Y455" s="36" t="inlineStr">
        <is>
          <t>Article; FAQPage; BreadcrumbList</t>
        </is>
      </c>
      <c r="Z455" s="37" t="n">
        <v>2000</v>
      </c>
      <c r="AA455" s="25" t="inlineStr">
        <is>
          <t>The keyword map shows brokers and specialty MGAs ranking for 'trucking insurance'; neither Ratehub nor Rates.ca has a trucking page, and no aggregator publishes cost examples.</t>
        </is>
      </c>
      <c r="AB455" s="25" t="inlineStr">
        <is>
          <t>Focus keyword in title, H1, slug, meta and first 100 words; the first H2 gives example ranges with profile and date in 40-60 words. Put the four-profile table and submission checklist high on the page and link the CVOR guide with the anchor 'CVOR in Ontario'. Licensed reviewer; refresh the estimates quarterly.</t>
        </is>
      </c>
      <c r="AC455" s="25" t="inlineStr">
        <is>
          <t>Estimates labelled modelled with profile and date; verify National Safety Code and CVOR references for each province. Promise help with placement, never acceptance.</t>
        </is>
      </c>
      <c r="AD455" s="36" t="inlineStr">
        <is>
          <t>Quarterly</t>
        </is>
      </c>
      <c r="AE455" s="38" t="inlineStr">
        <is>
          <t>Michael Le Chi</t>
        </is>
      </c>
      <c r="AF455" s="38" t="n"/>
      <c r="AG455" s="38" t="inlineStr">
        <is>
          <t>2026-10-03</t>
        </is>
      </c>
    </row>
    <row r="456" ht="35.05" customHeight="1" s="22">
      <c r="A456" s="36">
        <f>"B"&amp;TEXT(ROW()-1,"0000")</f>
        <v/>
      </c>
      <c r="B456" s="38" t="inlineStr">
        <is>
          <t>Planned</t>
        </is>
      </c>
      <c r="C456" s="36" t="n">
        <v>1</v>
      </c>
      <c r="D456" s="36" t="inlineStr">
        <is>
          <t>Business insurance</t>
        </is>
      </c>
      <c r="E456" s="36" t="inlineStr">
        <is>
          <t>Coverage explained</t>
        </is>
      </c>
      <c r="F456" s="25" t="inlineStr">
        <is>
          <t>Fleet Insurance for Small Businesses in Canada: How 2 to 20 Vehicles Are Insured and Priced</t>
        </is>
      </c>
      <c r="G456" s="36" t="inlineStr">
        <is>
          <t>https://instasure.ca/guides/fleet-insurance-small-business-canada/</t>
        </is>
      </c>
      <c r="H456" s="36" t="inlineStr">
        <is>
          <t>fleet insurance canada</t>
        </is>
      </c>
      <c r="I456" s="41">
        <f>IFERROR(INDEX('Nationwide KWs'!$D$2:$D$168,MATCH(H456,'Nationwide KWs'!$A$2:$A$168,0)),IFERROR(INDEX('Provincial KWs'!$E$2:$E$137,MATCH(H456,'Provincial KWs'!$A$2:$A$137,0)),IFERROR(INDEX('City KWs'!$F$2:$F$419,MATCH(H456,'City KWs'!$A$2:$A$419,0)),"")))</f>
        <v/>
      </c>
      <c r="J456" s="36" t="inlineStr">
        <is>
          <t>Low</t>
        </is>
      </c>
      <c r="K456" s="25" t="inlineStr">
        <is>
          <t>small fleet insurance; commercial fleet insurance cost; fleet telematics insurance discount; adding drivers to fleet policy; fleet insurance ontario</t>
        </is>
      </c>
      <c r="L456" s="36" t="inlineStr">
        <is>
          <t>Nationwide</t>
        </is>
      </c>
      <c r="M456" s="36" t="inlineStr">
        <is>
          <t>commercial</t>
        </is>
      </c>
      <c r="N456" s="36" t="inlineStr">
        <is>
          <t>BOFU</t>
        </is>
      </c>
      <c r="O456" s="25" t="inlineStr">
        <is>
          <t>Fleet Insurance in Canada for Small Businesses</t>
        </is>
      </c>
      <c r="P456" s="36">
        <f>LEN(O456)</f>
        <v/>
      </c>
      <c r="Q456" s="25" t="inlineStr">
        <is>
          <t>Fleet insurance in Canada for 2 to 20 vehicles: how insurers price fleets, approve drivers and use telematics. Talk to a commercial auto specialist.</t>
        </is>
      </c>
      <c r="R456" s="36">
        <f>LEN(Q456)</f>
        <v/>
      </c>
      <c r="S456" s="36">
        <f>IF(H456="","",IF(ISNUMBER(SEARCH(SUBSTITUTE(H456,"-"," "),SUBSTITUTE(O456,"-"," "))),"Yes","Check"))</f>
        <v/>
      </c>
      <c r="T456" s="25" t="inlineStr">
        <is>
          <t>How small fleet insurance works (short answer) | When separate policies become a fleet policy | Driver lists, abstracts and approval rules | What drives fleet premiums: vehicles, radius, cargo, claims | Telematics, dash cams and safety programs | Mixed records and hard-to-place drivers | Fleet renewal checklist</t>
        </is>
      </c>
      <c r="U456" s="25" t="inlineStr">
        <is>
          <t>How many vehicles do you need for a fleet policy? | Can I add an employee with tickets to my fleet policy? | Do telematics lower commercial fleet insurance? | Are employees covered driving their own cars for work?</t>
        </is>
      </c>
      <c r="V456" s="25" t="inlineStr">
        <is>
          <t>A fleet submission checklist (vehicle schedule, driver abstracts, radius of operation, loss runs, safety program) and a premium-driver table showing which factors insurers weight most.</t>
        </is>
      </c>
      <c r="W456" s="25" t="inlineStr">
        <is>
          <t>/business-insurance/commercial-auto/; /guides/personal-vs-commercial-auto-insurance/; /guides/trucking-insurance-cost-canada/; /car-insurance/high-risk-drivers/</t>
        </is>
      </c>
      <c r="X456" s="25" t="inlineStr">
        <is>
          <t>Request a specialist call: Commercial auto &amp; trucking desk (/business-insurance/commercial-auto/)</t>
        </is>
      </c>
      <c r="Y456" s="36" t="inlineStr">
        <is>
          <t>Article; FAQPage; BreadcrumbList</t>
        </is>
      </c>
      <c r="Z456" s="37" t="n">
        <v>1700</v>
      </c>
      <c r="AA456" s="25" t="inlineStr">
        <is>
          <t>No competitor coverage seen; the strategy notes that no competitor handles fleets or mixed driver records as a service.</t>
        </is>
      </c>
      <c r="AB456" s="25" t="inlineStr">
        <is>
          <t>Focus keyword in title, H1, slug, meta and first 100 words; 40-60 word answer on how fleets are rated as one schedule. The submission checklist is the downloadable asset; link the desk page twice (intro and close) with the anchor 'commercial auto and trucking desk'. Licensed reviewer; review annually.</t>
        </is>
      </c>
      <c r="AC456" s="25" t="inlineStr">
        <is>
          <t>Minimum vehicle counts for fleet rating vary by insurer, so describe them as typical. No promise of placement for drivers with poor records.</t>
        </is>
      </c>
      <c r="AD456" s="36" t="inlineStr">
        <is>
          <t>Annual</t>
        </is>
      </c>
      <c r="AE456" s="38" t="n"/>
      <c r="AF456" s="38" t="n"/>
      <c r="AG456" s="38" t="n"/>
    </row>
    <row r="457" ht="35.05" customHeight="1" s="22">
      <c r="A457" s="36">
        <f>"B"&amp;TEXT(ROW()-1,"0000")</f>
        <v/>
      </c>
      <c r="B457" s="38" t="inlineStr">
        <is>
          <t>Planned</t>
        </is>
      </c>
      <c r="C457" s="36" t="n">
        <v>2</v>
      </c>
      <c r="D457" s="36" t="inlineStr">
        <is>
          <t>Business insurance</t>
        </is>
      </c>
      <c r="E457" s="36" t="inlineStr">
        <is>
          <t>Contracts &amp; certificates</t>
        </is>
      </c>
      <c r="F457" s="25" t="inlineStr">
        <is>
          <t>Certificate of Insurance (COI) in Canada: What It Is, How to Get One and What to Check</t>
        </is>
      </c>
      <c r="G457" s="36" t="inlineStr">
        <is>
          <t>https://instasure.ca/guides/certificate-of-insurance-explained/</t>
        </is>
      </c>
      <c r="H457" s="36" t="inlineStr">
        <is>
          <t>certificate of insurance</t>
        </is>
      </c>
      <c r="I457" s="41">
        <f>IFERROR(INDEX('Nationwide KWs'!$D$2:$D$168,MATCH(H457,'Nationwide KWs'!$A$2:$A$168,0)),IFERROR(INDEX('Provincial KWs'!$E$2:$E$137,MATCH(H457,'Provincial KWs'!$A$2:$A$137,0)),IFERROR(INDEX('City KWs'!$F$2:$F$419,MATCH(H457,'City KWs'!$A$2:$A$419,0)),"")))</f>
        <v/>
      </c>
      <c r="J457" s="36" t="inlineStr">
        <is>
          <t>Medium</t>
        </is>
      </c>
      <c r="K457" s="25" t="inlineStr">
        <is>
          <t>certificate of insurance canada; proof of liability insurance; how to get a certificate of insurance; coi for contractors; certificate holder</t>
        </is>
      </c>
      <c r="L457" s="36" t="inlineStr">
        <is>
          <t>Nationwide</t>
        </is>
      </c>
      <c r="M457" s="36" t="inlineStr">
        <is>
          <t>informational</t>
        </is>
      </c>
      <c r="N457" s="36" t="inlineStr">
        <is>
          <t>MOFU</t>
        </is>
      </c>
      <c r="O457" s="25" t="inlineStr">
        <is>
          <t>Certificate of Insurance in Canada: How to Get and Read</t>
        </is>
      </c>
      <c r="P457" s="36">
        <f>LEN(O457)</f>
        <v/>
      </c>
      <c r="Q457" s="25" t="inlineStr">
        <is>
          <t>A certificate of insurance proves your business coverage to clients and landlords. Learn how to get one fast, what each box means and what to check.</t>
        </is>
      </c>
      <c r="R457" s="36">
        <f>LEN(Q457)</f>
        <v/>
      </c>
      <c r="S457" s="36">
        <f>IF(H457="","",IF(ISNUMBER(SEARCH(SUBSTITUTE(H457,"-"," "),SUBSTITUTE(O457,"-"," "))),"Yes","Check"))</f>
        <v/>
      </c>
      <c r="T457" s="25" t="inlineStr">
        <is>
          <t>What a certificate of insurance is (short answer) | What a COI does and doesn't do | How to request one from your insurer or advisor | Reading a COI box by box | Certificate holder vs additional insured | Red flags on a subcontractor's COI | Keeping COIs current: a tracking template</t>
        </is>
      </c>
      <c r="U457" s="25" t="inlineStr">
        <is>
          <t>How long does it take to get a certificate of insurance? | Does a certificate of insurance cost money? | Is a certificate of insurance the same as a policy? | What should I check on a subcontractor's COI?</t>
        </is>
      </c>
      <c r="V457" s="25" t="inlineStr">
        <is>
          <t>An annotated sample COI for a fictional business explaining each field, plus a COI tracking spreadsheet template with expiry reminders.</t>
        </is>
      </c>
      <c r="W457" s="25" t="inlineStr">
        <is>
          <t>/business-insurance/; /contractor-insurance/; /guides/additional-insured-explained/; /guides/insurance-requirements-in-contracts/</t>
        </is>
      </c>
      <c r="X457" s="25" t="inlineStr">
        <is>
          <t>Need a COI? Get an instant estimate and an advisor call (/quote/)</t>
        </is>
      </c>
      <c r="Y457" s="36" t="inlineStr">
        <is>
          <t>Article; FAQPage; HowTo; BreadcrumbList</t>
        </is>
      </c>
      <c r="Z457" s="37" t="n">
        <v>1500</v>
      </c>
      <c r="AA457" s="25" t="inlineStr">
        <is>
          <t>No competitor coverage seen among Ratehub, Rates.ca or Sonnet; COI questions are answered on individual broker sites.</t>
        </is>
      </c>
      <c r="AB457" s="25" t="inlineStr">
        <is>
          <t>Focus keyword in title, H1, slug, meta and first 100 words; 40-60 word definition under the first H2. Use the annotated sample as an image with full alt text ('annotated certificate of insurance sample') and the HowTo steps for requesting one; link contractor and contract guides. Licensed reviewer; review annually.</t>
        </is>
      </c>
      <c r="AC457" s="25" t="inlineStr">
        <is>
          <t>Use a clearly fictional sample and never reproduce a real insurer's certificate. State that a COI does not change the policy; verify the wording with an insurer.</t>
        </is>
      </c>
      <c r="AD457" s="36" t="inlineStr">
        <is>
          <t>Annual</t>
        </is>
      </c>
      <c r="AE457" s="38" t="n"/>
      <c r="AF457" s="38" t="n"/>
      <c r="AG457" s="38" t="n"/>
    </row>
    <row r="458" ht="46.25" customHeight="1" s="22">
      <c r="A458" s="36">
        <f>"B"&amp;TEXT(ROW()-1,"0000")</f>
        <v/>
      </c>
      <c r="B458" s="38" t="inlineStr">
        <is>
          <t>Planned</t>
        </is>
      </c>
      <c r="C458" s="36" t="n">
        <v>2</v>
      </c>
      <c r="D458" s="36" t="inlineStr">
        <is>
          <t>Business insurance</t>
        </is>
      </c>
      <c r="E458" s="36" t="inlineStr">
        <is>
          <t>Cost &amp; pricing</t>
        </is>
      </c>
      <c r="F458" s="25" t="inlineStr">
        <is>
          <t>Cyber Insurance Cost for Canadian Small Businesses: What Drives the Premium</t>
        </is>
      </c>
      <c r="G458" s="36" t="inlineStr">
        <is>
          <t>https://instasure.ca/guides/cyber-insurance-cost-small-business-canada/</t>
        </is>
      </c>
      <c r="H458" s="36" t="inlineStr">
        <is>
          <t>cyber insurance cost</t>
        </is>
      </c>
      <c r="I458" s="41">
        <f>IFERROR(INDEX('Nationwide KWs'!$D$2:$D$168,MATCH(H458,'Nationwide KWs'!$A$2:$A$168,0)),IFERROR(INDEX('Provincial KWs'!$E$2:$E$137,MATCH(H458,'Provincial KWs'!$A$2:$A$137,0)),IFERROR(INDEX('City KWs'!$F$2:$F$419,MATCH(H458,'City KWs'!$A$2:$A$419,0)),"")))</f>
        <v/>
      </c>
      <c r="J458" s="36" t="inlineStr">
        <is>
          <t>Low</t>
        </is>
      </c>
      <c r="K458" s="25" t="inlineStr">
        <is>
          <t>cyber insurance canada; cyber liability insurance small business; cyber insurance requirements mfa; how much is cyber insurance</t>
        </is>
      </c>
      <c r="L458" s="36" t="inlineStr">
        <is>
          <t>Nationwide</t>
        </is>
      </c>
      <c r="M458" s="36" t="inlineStr">
        <is>
          <t>commercial</t>
        </is>
      </c>
      <c r="N458" s="36" t="inlineStr">
        <is>
          <t>MOFU</t>
        </is>
      </c>
      <c r="O458" s="25" t="inlineStr">
        <is>
          <t>Cyber Insurance Cost for Small Businesses in Canada</t>
        </is>
      </c>
      <c r="P458" s="36">
        <f>LEN(O458)</f>
        <v/>
      </c>
      <c r="Q458" s="25" t="inlineStr">
        <is>
          <t>Cyber insurance cost for Canadian small businesses depends on revenue, data held and security controls. See example estimates and what insurers ask about.</t>
        </is>
      </c>
      <c r="R458" s="36">
        <f>LEN(Q458)</f>
        <v/>
      </c>
      <c r="S458" s="36">
        <f>IF(H458="","",IF(ISNUMBER(SEARCH(SUBSTITUTE(H458,"-"," "),SUBSTITUTE(O458,"-"," "))),"Yes","Check"))</f>
        <v/>
      </c>
      <c r="T458" s="25" t="inlineStr">
        <is>
          <t>How much cyber insurance costs (example ranges) | What insurers ask before quoting: MFA, backups, patching, training | Cost by business type and records held | First-party vs third-party cyber coverage | Sub-limits for ransomware and social engineering fraud | How to lower your cyber premium | Get an estimate</t>
        </is>
      </c>
      <c r="U458" s="25" t="inlineStr">
        <is>
          <t>How much is cyber insurance for a small business in Canada? | Can I get cyber insurance without multi-factor authentication? | Does cyber insurance pay a ransom? | Is cyber insurance included in my business package?</t>
        </is>
      </c>
      <c r="V458" s="25" t="inlineStr">
        <is>
          <t>A modelled estimate table by business type and number of customer records, plus an underwriting-controls checklist (MFA, backups, endpoint protection, training) ranked by its effect on eligibility.</t>
        </is>
      </c>
      <c r="W458" s="25" t="inlineStr">
        <is>
          <t>/business-insurance/cyber/; /guides/small-business-insurance-cost-canada/; /guides/data-breach-response-cyber-insurance-claim/; /professional-liability-insurance/</t>
        </is>
      </c>
      <c r="X458" s="25" t="inlineStr">
        <is>
          <t>Instant cyber insurance estimate (/quote/), then a licensed advisor checks your controls</t>
        </is>
      </c>
      <c r="Y458" s="36" t="inlineStr">
        <is>
          <t>Article; FAQPage; BreadcrumbList</t>
        </is>
      </c>
      <c r="Z458" s="37" t="n">
        <v>1600</v>
      </c>
      <c r="AA458" s="25" t="inlineStr">
        <is>
          <t>Ratehub has a cyber-liability quote page; no competitor seen publishes cost examples by business type or the security-control checklist insurers use.</t>
        </is>
      </c>
      <c r="AB458" s="25" t="inlineStr">
        <is>
          <t>Keyword in title, H1, slug, meta and first 100 words; first H2 gives a range statement tied to an example profile and date. Present the controls checklist as a table and cite the Canadian Centre for Cyber Security's baseline controls; anchor 'cyber insurance' to /business-insurance/cyber/. Licensed reviewer; refresh estimates quarterly.</t>
        </is>
      </c>
      <c r="AC458" s="25" t="inlineStr">
        <is>
          <t>All prices are modelled estimates with profile and date. Describe ransom-payment coverage and sanctions issues cautiously and verify against insurer wordings.</t>
        </is>
      </c>
      <c r="AD458" s="36" t="inlineStr">
        <is>
          <t>Quarterly</t>
        </is>
      </c>
      <c r="AE458" s="38" t="n"/>
      <c r="AF458" s="38" t="n"/>
      <c r="AG458" s="38" t="n"/>
    </row>
    <row r="459" ht="46.25" customHeight="1" s="22">
      <c r="A459" s="36">
        <f>"B"&amp;TEXT(ROW()-1,"0000")</f>
        <v/>
      </c>
      <c r="B459" s="38" t="inlineStr">
        <is>
          <t>Planned</t>
        </is>
      </c>
      <c r="C459" s="36" t="n">
        <v>2</v>
      </c>
      <c r="D459" s="36" t="inlineStr">
        <is>
          <t>Business insurance</t>
        </is>
      </c>
      <c r="E459" s="36" t="inlineStr">
        <is>
          <t>Cost &amp; pricing</t>
        </is>
      </c>
      <c r="F459" s="25" t="inlineStr">
        <is>
          <t>Restaurant Insurance Cost in Canada: What Cafés, Bars and Takeout Kitchens Pay</t>
        </is>
      </c>
      <c r="G459" s="36" t="inlineStr">
        <is>
          <t>https://instasure.ca/guides/restaurant-insurance-cost-canada/</t>
        </is>
      </c>
      <c r="H459" s="36" t="inlineStr">
        <is>
          <t>restaurant insurance cost</t>
        </is>
      </c>
      <c r="I459" s="41">
        <f>IFERROR(INDEX('Nationwide KWs'!$D$2:$D$168,MATCH(H459,'Nationwide KWs'!$A$2:$A$168,0)),IFERROR(INDEX('Provincial KWs'!$E$2:$E$137,MATCH(H459,'Provincial KWs'!$A$2:$A$137,0)),IFERROR(INDEX('City KWs'!$F$2:$F$419,MATCH(H459,'City KWs'!$A$2:$A$419,0)),"")))</f>
        <v/>
      </c>
      <c r="J459" s="36" t="inlineStr">
        <is>
          <t>Low</t>
        </is>
      </c>
      <c r="K459" s="25" t="inlineStr">
        <is>
          <t>restaurant insurance canada; cafe insurance; bar insurance cost; food service business insurance; restaurant insurance ontario</t>
        </is>
      </c>
      <c r="L459" s="36" t="inlineStr">
        <is>
          <t>Nationwide</t>
        </is>
      </c>
      <c r="M459" s="36" t="inlineStr">
        <is>
          <t>commercial</t>
        </is>
      </c>
      <c r="N459" s="36" t="inlineStr">
        <is>
          <t>MOFU</t>
        </is>
      </c>
      <c r="O459" s="25" t="inlineStr">
        <is>
          <t>Restaurant Insurance Cost in Canada: Example Estimates</t>
        </is>
      </c>
      <c r="P459" s="36">
        <f>LEN(O459)</f>
        <v/>
      </c>
      <c r="Q459" s="25" t="inlineStr">
        <is>
          <t>Restaurant insurance cost in Canada by venue type, seats and liquor sales, from dated example estimates. See what drives the price and get an estimate.</t>
        </is>
      </c>
      <c r="R459" s="36">
        <f>LEN(Q459)</f>
        <v/>
      </c>
      <c r="S459" s="36">
        <f>IF(H459="","",IF(ISNUMBER(SEARCH(SUBSTITUTE(H459,"-"," "),SUBSTITUTE(O459,"-"," "))),"Yes","Check"))</f>
        <v/>
      </c>
      <c r="T459" s="25" t="inlineStr">
        <is>
          <t>How much restaurant insurance costs (example ranges) | Cost by venue: cafe, takeout, full-service, bar | The coverages that make up a restaurant policy | Liquor sales, deep fryers and other price drivers | Spoilage, equipment breakdown and business interruption | Lowering your premium: fire suppression, hood cleaning, training | Get an estimate</t>
        </is>
      </c>
      <c r="U459" s="25" t="inlineStr">
        <is>
          <t>How much is insurance for a small restaurant in Canada? | Why does a restaurant with a liquor licence pay more? | Is food spoilage covered by restaurant insurance? | Does restaurant insurance cover delivery drivers?</t>
        </is>
      </c>
      <c r="V459" s="25" t="inlineStr">
        <is>
          <t>A modelled estimate table by venue type, revenue and share of liquor sales, with a price-driver checklist (hood suppression system, cleaning logs, cooking type).</t>
        </is>
      </c>
      <c r="W459" s="25" t="inlineStr">
        <is>
          <t>/business-insurance/restaurants/; /guides/small-business-insurance-cost-canada/; /guides/liquor-liability-insurance-canada/; /guides/business-interruption-insurance-explained/</t>
        </is>
      </c>
      <c r="X459" s="25" t="inlineStr">
        <is>
          <t>Instant restaurant insurance estimate (/quote/)</t>
        </is>
      </c>
      <c r="Y459" s="36" t="inlineStr">
        <is>
          <t>Article; FAQPage; BreadcrumbList</t>
        </is>
      </c>
      <c r="Z459" s="37" t="n">
        <v>1700</v>
      </c>
      <c r="AA459" s="25" t="inlineStr">
        <is>
          <t>Rates.ca has a food-and-beverage quote page and a food-truck page; no competitor seen shows cost by venue type with a stated profile.</t>
        </is>
      </c>
      <c r="AB459" s="25" t="inlineStr">
        <is>
          <t>Keyword in title, H1, slug, meta and first 100 words; the first H2 gives a range sentence with profile and date. Show the price-driver checklist as a table and link the restaurant service page with the anchor 'restaurant insurance'. Licensed reviewer; cite the provincial fire code for hood requirements only from the source; refresh estimates quarterly.</t>
        </is>
      </c>
      <c r="AC459" s="25" t="inlineStr">
        <is>
          <t>Estimates labelled modelled with profile and date; verify hood and suppression requirements with the provincial fire code before citing. No 'cheap restaurant insurance' wording.</t>
        </is>
      </c>
      <c r="AD459" s="36" t="inlineStr">
        <is>
          <t>Quarterly</t>
        </is>
      </c>
      <c r="AE459" s="38" t="n"/>
      <c r="AF459" s="38" t="n"/>
      <c r="AG459" s="38" t="n"/>
    </row>
    <row r="460" ht="57.45" customHeight="1" s="22">
      <c r="A460" s="36">
        <f>"B"&amp;TEXT(ROW()-1,"0000")</f>
        <v/>
      </c>
      <c r="B460" s="38" t="inlineStr">
        <is>
          <t>Planned</t>
        </is>
      </c>
      <c r="C460" s="36" t="n">
        <v>2</v>
      </c>
      <c r="D460" s="36" t="inlineStr">
        <is>
          <t>Business insurance</t>
        </is>
      </c>
      <c r="E460" s="36" t="inlineStr">
        <is>
          <t>Coverage explained</t>
        </is>
      </c>
      <c r="F460" s="25" t="inlineStr">
        <is>
          <t>Commercial General Liability Insurance in Canada: What CGL Covers and What It Doesn't</t>
        </is>
      </c>
      <c r="G460" s="36" t="inlineStr">
        <is>
          <t>https://instasure.ca/guides/commercial-general-liability-insurance-explained/</t>
        </is>
      </c>
      <c r="H460" s="36" t="inlineStr">
        <is>
          <t>what does general liability insurance cover</t>
        </is>
      </c>
      <c r="I460" s="41">
        <f>IFERROR(INDEX('Nationwide KWs'!$D$2:$D$168,MATCH(H460,'Nationwide KWs'!$A$2:$A$168,0)),IFERROR(INDEX('Provincial KWs'!$E$2:$E$137,MATCH(H460,'Provincial KWs'!$A$2:$A$137,0)),IFERROR(INDEX('City KWs'!$F$2:$F$419,MATCH(H460,'City KWs'!$A$2:$A$419,0)),"")))</f>
        <v/>
      </c>
      <c r="J460" s="36" t="inlineStr">
        <is>
          <t>Medium</t>
        </is>
      </c>
      <c r="K460" s="25" t="inlineStr">
        <is>
          <t>general liability insurance; commercial general liability insurance canada; CGL insurance coverage; CGL exclusions; products-completed operations coverage</t>
        </is>
      </c>
      <c r="L460" s="36" t="inlineStr">
        <is>
          <t>Nationwide</t>
        </is>
      </c>
      <c r="M460" s="36" t="inlineStr">
        <is>
          <t>informational</t>
        </is>
      </c>
      <c r="N460" s="36" t="inlineStr">
        <is>
          <t>TOFU</t>
        </is>
      </c>
      <c r="O460" s="25" t="inlineStr">
        <is>
          <t>What Does General Liability Insurance Cover in Canada?</t>
        </is>
      </c>
      <c r="P460" s="36">
        <f>LEN(O460)</f>
        <v/>
      </c>
      <c r="Q460" s="25" t="inlineStr">
        <is>
          <t>What general liability insurance covers in Canada: injury, property damage and advertising injury, plus the exclusions that catch owners out. Check yours.</t>
        </is>
      </c>
      <c r="R460" s="36">
        <f>LEN(Q460)</f>
        <v/>
      </c>
      <c r="S460" s="36">
        <f>IF(H460="","",IF(ISNUMBER(SEARCH(SUBSTITUTE(H460,"-"," "),SUBSTITUTE(O460,"-"," "))),"Yes","Check"))</f>
        <v/>
      </c>
      <c r="T460" s="25" t="inlineStr">
        <is>
          <t>What does general liability insurance cover? (short answer) | The coverage parts of a Canadian CGL policy | Common exclusions: your own work, professional advice, cyber, pollution, vehicles | Occurrence wording, per-occurrence limits and aggregates | Claim scenarios for shops, offices and trades | How much CGL you need and what it costs | How to check your CGL against client contracts</t>
        </is>
      </c>
      <c r="U460" s="25" t="inlineStr">
        <is>
          <t>Does general liability insurance cover employee injuries? | Does CGL cover mistakes in my professional advice? | Is commercial general liability the same as business insurance? | Does general liability cover damage to a client's property I'm working on? | What does products-completed operations coverage mean?</t>
        </is>
      </c>
      <c r="V460" s="25" t="inlineStr">
        <is>
          <t>A coverage map of the standard Canadian CGL form (bodily injury and property damage, personal and advertising injury, medical payments, tenants' legal liability) with 8 everyday claim scenarios marked covered, not covered or needs another policy.</t>
        </is>
      </c>
      <c r="W460" s="25" t="inlineStr">
        <is>
          <t>/business-insurance/; /guides/small-business-insurance-cost-canada/; /calculators/business-coverage/; /professional-liability-insurance/; /guides/general-liability-insurance-cost-canada/</t>
        </is>
      </c>
      <c r="X460" s="25" t="inlineStr">
        <is>
          <t>Instant business insurance estimate (/quote/), then a licensed advisor checks your CGL limits</t>
        </is>
      </c>
      <c r="Y460" s="36" t="inlineStr">
        <is>
          <t>Article; FAQPage; BreadcrumbList</t>
        </is>
      </c>
      <c r="Z460" s="37" t="n">
        <v>1800</v>
      </c>
      <c r="AA460" s="25" t="inlineStr">
        <is>
          <t>Ratehub has a CGL product page and a 'what does general liability insurance cover' blog post; Rates.ca has a general-liability quote page. Neither maps everyday claim scenarios to the parts of the Canadian CGL form.</t>
        </is>
      </c>
      <c r="AB460" s="25" t="inlineStr">
        <is>
          <t>Put the focus keyword in the title, H1, first 100 words, first H2 and meta; under the first H2 write a 40-60 word answer naming bodily injury, property damage and personal and advertising injury. Follow with the scenario table and a bulleted exclusions list; anchor 'business coverage checker' to /calculators/business-coverage/ and 'professional liability insurance' to the E&amp;O pillar. Byline plus 'Reviewed by' a licensed general insurance advisor, cite the IBC standard CGL wording, alt text 'CGL coverage parts diagram'; review annually.</t>
        </is>
      </c>
      <c r="AC460" s="25" t="inlineStr">
        <is>
          <t>Verify coverage part names and exclusions against the current IBC CGL form and at least one insurer wording; say outcomes depend on the policy wording. Never say a claim 'is covered' without 'usually' or 'subject to your policy'.</t>
        </is>
      </c>
      <c r="AD460" s="36" t="inlineStr">
        <is>
          <t>Annual</t>
        </is>
      </c>
      <c r="AE460" s="38" t="n"/>
      <c r="AF460" s="38" t="n"/>
      <c r="AG460" s="38" t="n"/>
    </row>
    <row r="461" ht="46.25" customHeight="1" s="22">
      <c r="A461" s="36">
        <f>"B"&amp;TEXT(ROW()-1,"0000")</f>
        <v/>
      </c>
      <c r="B461" s="38" t="inlineStr">
        <is>
          <t>Planned</t>
        </is>
      </c>
      <c r="C461" s="36" t="n">
        <v>2</v>
      </c>
      <c r="D461" s="36" t="inlineStr">
        <is>
          <t>Business insurance</t>
        </is>
      </c>
      <c r="E461" s="36" t="inlineStr">
        <is>
          <t>Coverage explained</t>
        </is>
      </c>
      <c r="F461" s="25" t="inlineStr">
        <is>
          <t>Commercial Property Insurance in Canada: Building, Contents, Equipment and Coinsurance Explained</t>
        </is>
      </c>
      <c r="G461" s="36" t="inlineStr">
        <is>
          <t>https://instasure.ca/guides/commercial-property-insurance-explained/</t>
        </is>
      </c>
      <c r="H461" s="36" t="inlineStr">
        <is>
          <t>commercial property insurance</t>
        </is>
      </c>
      <c r="I461" s="41">
        <f>IFERROR(INDEX('Nationwide KWs'!$D$2:$D$168,MATCH(H461,'Nationwide KWs'!$A$2:$A$168,0)),IFERROR(INDEX('Provincial KWs'!$E$2:$E$137,MATCH(H461,'Provincial KWs'!$A$2:$A$137,0)),IFERROR(INDEX('City KWs'!$F$2:$F$419,MATCH(H461,'City KWs'!$A$2:$A$419,0)),"")))</f>
        <v/>
      </c>
      <c r="J461" s="36" t="inlineStr">
        <is>
          <t>Medium</t>
        </is>
      </c>
      <c r="K461" s="25" t="inlineStr">
        <is>
          <t>commercial property insurance canada; business contents insurance; coinsurance clause; replacement cost vs actual cash value business; stock and inventory insurance</t>
        </is>
      </c>
      <c r="L461" s="36" t="inlineStr">
        <is>
          <t>Nationwide</t>
        </is>
      </c>
      <c r="M461" s="36" t="inlineStr">
        <is>
          <t>commercial</t>
        </is>
      </c>
      <c r="N461" s="36" t="inlineStr">
        <is>
          <t>MOFU</t>
        </is>
      </c>
      <c r="O461" s="25" t="inlineStr">
        <is>
          <t>Commercial Property Insurance in Canada, Explained</t>
        </is>
      </c>
      <c r="P461" s="36">
        <f>LEN(O461)</f>
        <v/>
      </c>
      <c r="Q461" s="25" t="inlineStr">
        <is>
          <t>Commercial property insurance covers your building, contents, stock and equipment. Learn coinsurance, valuation and exclusions, then get an estimate.</t>
        </is>
      </c>
      <c r="R461" s="36">
        <f>LEN(Q461)</f>
        <v/>
      </c>
      <c r="S461" s="36">
        <f>IF(H461="","",IF(ISNUMBER(SEARCH(SUBSTITUTE(H461,"-"," "),SUBSTITUTE(O461,"-"," "))),"Yes","Check"))</f>
        <v/>
      </c>
      <c r="T461" s="25" t="inlineStr">
        <is>
          <t>What commercial property insurance covers (short answer) | Building vs tenant improvements vs contents and stock | Replacement cost, actual cash value and agreed value | The coinsurance clause, with a worked example | Common exclusions: flood, sewer backup, earthquake, wear and tear | How property is priced: construction, occupancy, protection, exposure | How to set your insured values</t>
        </is>
      </c>
      <c r="U461" s="25" t="inlineStr">
        <is>
          <t>Does commercial property insurance cover flood damage? | What is a coinsurance clause in business insurance? | Do I need commercial property insurance if I rent my space? | Are my tenant improvements covered by the landlord's policy?</t>
        </is>
      </c>
      <c r="V461" s="25" t="inlineStr">
        <is>
          <t>A worked coinsurance example (insured value vs required value vs claim payout) and a valuation worksheet for building, improvements, equipment and stock.</t>
        </is>
      </c>
      <c r="W461" s="25" t="inlineStr">
        <is>
          <t>/business-insurance/; /guides/business-interruption-insurance-explained/; /guides/commercial-lease-insurance-requirements/; /guides/small-business-insurance-cost-canada/</t>
        </is>
      </c>
      <c r="X461" s="25" t="inlineStr">
        <is>
          <t>Instant business insurance estimate (/quote/)</t>
        </is>
      </c>
      <c r="Y461" s="36" t="inlineStr">
        <is>
          <t>Article; FAQPage; BreadcrumbList</t>
        </is>
      </c>
      <c r="Z461" s="37" t="n">
        <v>1900</v>
      </c>
      <c r="AA461" s="25" t="inlineStr">
        <is>
          <t>Rates.ca has a commercial-property quote page (with landlord, student-rental and cottage-rental sub-pages); no Ratehub commercial property page was seen. Neither shows a worked coinsurance example.</t>
        </is>
      </c>
      <c r="AB461" s="25" t="inlineStr">
        <is>
          <t>Focus keyword in title, H1, first 100 words, one H2 and meta; 40-60 word answer listing building, contents, stock and equipment. Include the construction-occupancy-protection-exposure pricing table and the coinsurance example as a table (alt text 'coinsurance penalty worked example'). Cite IBC and insurer wordings with a licensed reviewer; review annually.</t>
        </is>
      </c>
      <c r="AC461" s="25" t="inlineStr">
        <is>
          <t>Verify typical coinsurance percentages and the availability of flood and sewer endorsements for commercial risks against insurer wordings; label the worked example illustrative. Don't imply every insurer offers commercial flood cover.</t>
        </is>
      </c>
      <c r="AD461" s="36" t="inlineStr">
        <is>
          <t>Annual</t>
        </is>
      </c>
      <c r="AE461" s="38" t="n"/>
      <c r="AF461" s="38" t="n"/>
      <c r="AG461" s="38" t="n"/>
    </row>
    <row r="462" ht="46.25" customHeight="1" s="22">
      <c r="A462" s="36">
        <f>"B"&amp;TEXT(ROW()-1,"0000")</f>
        <v/>
      </c>
      <c r="B462" s="38" t="inlineStr">
        <is>
          <t>Planned</t>
        </is>
      </c>
      <c r="C462" s="36" t="n">
        <v>2</v>
      </c>
      <c r="D462" s="36" t="inlineStr">
        <is>
          <t>Business insurance</t>
        </is>
      </c>
      <c r="E462" s="36" t="inlineStr">
        <is>
          <t>Coverage explained</t>
        </is>
      </c>
      <c r="F462" s="25" t="inlineStr">
        <is>
          <t>Key Person Insurance in Canada: How Much Cover, Who Owns It and How It's Taxed</t>
        </is>
      </c>
      <c r="G462" s="36" t="inlineStr">
        <is>
          <t>https://instasure.ca/guides/key-person-insurance-how-much-tax/</t>
        </is>
      </c>
      <c r="H462" s="36" t="inlineStr">
        <is>
          <t>key person insurance</t>
        </is>
      </c>
      <c r="I462" s="41">
        <f>IFERROR(INDEX('Nationwide KWs'!$D$2:$D$168,MATCH(H462,'Nationwide KWs'!$A$2:$A$168,0)),IFERROR(INDEX('Provincial KWs'!$E$2:$E$137,MATCH(H462,'Provincial KWs'!$A$2:$A$137,0)),IFERROR(INDEX('City KWs'!$F$2:$F$419,MATCH(H462,'City KWs'!$A$2:$A$419,0)),"")))</f>
        <v/>
      </c>
      <c r="J462" s="36" t="inlineStr">
        <is>
          <t>Low</t>
        </is>
      </c>
      <c r="K462" s="25" t="inlineStr">
        <is>
          <t>key person insurance canada; key man insurance; is key person insurance tax deductible canada; capital dividend account life insurance; key person critical illness</t>
        </is>
      </c>
      <c r="L462" s="36" t="inlineStr">
        <is>
          <t>Nationwide</t>
        </is>
      </c>
      <c r="M462" s="36" t="inlineStr">
        <is>
          <t>commercial</t>
        </is>
      </c>
      <c r="N462" s="36" t="inlineStr">
        <is>
          <t>MOFU</t>
        </is>
      </c>
      <c r="O462" s="25" t="inlineStr">
        <is>
          <t>Key Person Insurance in Canada: Amount, Owner and Tax</t>
        </is>
      </c>
      <c r="P462" s="36">
        <f>LEN(O462)</f>
        <v/>
      </c>
      <c r="Q462" s="25" t="inlineStr">
        <is>
          <t>Key person insurance protects a company if an owner or key employee dies or falls ill. Size the cover, set ownership and understand the tax. Get a quote.</t>
        </is>
      </c>
      <c r="R462" s="36">
        <f>LEN(Q462)</f>
        <v/>
      </c>
      <c r="S462" s="36">
        <f>IF(H462="","",IF(ISNUMBER(SEARCH(SUBSTITUTE(H462,"-"," "),SUBSTITUTE(O462,"-"," "))),"Yes","Check"))</f>
        <v/>
      </c>
      <c r="T462" s="25" t="inlineStr">
        <is>
          <t>What key person insurance does (short answer) | Who counts as a key person | Three ways to size the coverage: salary multiple, profit contribution, replacement cost | Ownership and beneficiary: why the company holds the policy | Tax: premiums, death benefits and the capital dividend account | Term, permanent or critical illness | Worked example for a 5-person firm</t>
        </is>
      </c>
      <c r="U462" s="25" t="inlineStr">
        <is>
          <t>Is key person insurance tax deductible in Canada? | How much key person insurance should a small business buy? | Can key person insurance include critical illness? | What happens to the policy if the key person leaves?</t>
        </is>
      </c>
      <c r="V462" s="25" t="inlineStr">
        <is>
          <t>A sizing worksheet with three methods side by side and a worked example for a five-person firm, plus a tax-treatment summary table with CRA references.</t>
        </is>
      </c>
      <c r="W462" s="25" t="inlineStr">
        <is>
          <t>/business-insurance/key-person/; /term-life-insurance/; /critical-illness-insurance/; /life-insurance/</t>
        </is>
      </c>
      <c r="X462" s="25" t="inlineStr">
        <is>
          <t>Request a key person quote from a licensed life advisor (/business-insurance/key-person/)</t>
        </is>
      </c>
      <c r="Y462" s="36" t="inlineStr">
        <is>
          <t>Article; FAQPage; BreadcrumbList</t>
        </is>
      </c>
      <c r="Z462" s="37" t="n">
        <v>1800</v>
      </c>
      <c r="AA462" s="25" t="inlineStr">
        <is>
          <t>PolicyAdvisor has 'What Is Key Person Insurance?' and 'Life Insurance for Business Owners Canada (2025)'; neither offers a three-method sizing worksheet, and the business-owner page carries a stale year.</t>
        </is>
      </c>
      <c r="AB462" s="25" t="inlineStr">
        <is>
          <t>Focus keyword in title, H1, slug, meta and first 100 words; 40-60 word answer on what the company receives and why. Present the three sizing methods as a table and the worked example step by step; anchor 'key person insurance' to the service page. Reviewed by a licensed life advisor; cite CRA folios; review annually.</t>
        </is>
      </c>
      <c r="AC462" s="25" t="inlineStr">
        <is>
          <t>Verify tax statements (premiums generally not deductible except as loan collateral under s.20(1)(e.2); capital dividend account credit) with CRA and an accountant; label as general information. Only a life-licensed advisor may recommend coverage.</t>
        </is>
      </c>
      <c r="AD462" s="36" t="inlineStr">
        <is>
          <t>Annual</t>
        </is>
      </c>
      <c r="AE462" s="38" t="n"/>
      <c r="AF462" s="38" t="n"/>
      <c r="AG462" s="38" t="n"/>
    </row>
    <row r="463" ht="46.25" customHeight="1" s="22">
      <c r="A463" s="36">
        <f>"B"&amp;TEXT(ROW()-1,"0000")</f>
        <v/>
      </c>
      <c r="B463" s="38" t="inlineStr">
        <is>
          <t>Planned</t>
        </is>
      </c>
      <c r="C463" s="36" t="n">
        <v>2</v>
      </c>
      <c r="D463" s="36" t="inlineStr">
        <is>
          <t>Business insurance</t>
        </is>
      </c>
      <c r="E463" s="36" t="inlineStr">
        <is>
          <t>Coverage explained</t>
        </is>
      </c>
      <c r="F463" s="25" t="inlineStr">
        <is>
          <t>Types of Business Insurance in Canada: Which Policies a Small Business Actually Needs</t>
        </is>
      </c>
      <c r="G463" s="36" t="inlineStr">
        <is>
          <t>https://instasure.ca/guides/types-of-business-insurance-canada/</t>
        </is>
      </c>
      <c r="H463" s="36" t="inlineStr">
        <is>
          <t>types of business insurance</t>
        </is>
      </c>
      <c r="I463" s="41">
        <f>IFERROR(INDEX('Nationwide KWs'!$D$2:$D$168,MATCH(H463,'Nationwide KWs'!$A$2:$A$168,0)),IFERROR(INDEX('Provincial KWs'!$E$2:$E$137,MATCH(H463,'Provincial KWs'!$A$2:$A$137,0)),IFERROR(INDEX('City KWs'!$F$2:$F$419,MATCH(H463,'City KWs'!$A$2:$A$419,0)),"")))</f>
        <v/>
      </c>
      <c r="J463" s="36" t="inlineStr">
        <is>
          <t>Medium</t>
        </is>
      </c>
      <c r="K463" s="25" t="inlineStr">
        <is>
          <t>business insurance coverage types; what insurance does a small business need; small business insurance canada; liability insurance types</t>
        </is>
      </c>
      <c r="L463" s="36" t="inlineStr">
        <is>
          <t>Nationwide</t>
        </is>
      </c>
      <c r="M463" s="36" t="inlineStr">
        <is>
          <t>informational</t>
        </is>
      </c>
      <c r="N463" s="36" t="inlineStr">
        <is>
          <t>TOFU</t>
        </is>
      </c>
      <c r="O463" s="25" t="inlineStr">
        <is>
          <t>Types of Business Insurance in Canada: What You Need</t>
        </is>
      </c>
      <c r="P463" s="36">
        <f>LEN(O463)</f>
        <v/>
      </c>
      <c r="Q463" s="25" t="inlineStr">
        <is>
          <t>Types of business insurance in Canada in one table: liability, property, interruption, cyber, E&amp;O and auto, with who needs each. Find your coverage gaps.</t>
        </is>
      </c>
      <c r="R463" s="36">
        <f>LEN(Q463)</f>
        <v/>
      </c>
      <c r="S463" s="36">
        <f>IF(H463="","",IF(ISNUMBER(SEARCH(SUBSTITUTE(H463,"-"," "),SUBSTITUTE(O463,"-"," "))),"Yes","Check"))</f>
        <v/>
      </c>
      <c r="T463" s="25" t="inlineStr">
        <is>
          <t>The main types of business insurance (quick table) | Liability coverages: CGL, product, professional, cyber, D&amp;O | Property coverages: building, contents, equipment and tools | Income coverages: business interruption and key person | Vehicles and employees, including workers' compensation | Which policies fit your business: a decision tree | Package policies vs buying separately</t>
        </is>
      </c>
      <c r="U463" s="25" t="inlineStr">
        <is>
          <t>What insurance does a small business need in Canada? | What is the most important type of business insurance? | Is workers' compensation a type of business insurance? | Can I get all my business insurance in one policy?</t>
        </is>
      </c>
      <c r="V463" s="25" t="inlineStr">
        <is>
          <t>A decision tree (premises? employees? vehicles? advice? customer data?) that maps each answer to a coverage type, plus a downloadable one-page checklist.</t>
        </is>
      </c>
      <c r="W463" s="25" t="inlineStr">
        <is>
          <t>/business-insurance/; /calculators/business-coverage/; /professional-liability-insurance/; /business-insurance/cyber/; /contractor-insurance/</t>
        </is>
      </c>
      <c r="X463" s="25" t="inlineStr">
        <is>
          <t>Run the business coverage checker (/calculators/business-coverage/), then request an instant estimate (/quote/)</t>
        </is>
      </c>
      <c r="Y463" s="36" t="inlineStr">
        <is>
          <t>Article; FAQPage; BreadcrumbList</t>
        </is>
      </c>
      <c r="Z463" s="37" t="n">
        <v>2200</v>
      </c>
      <c r="AA463" s="25" t="inlineStr">
        <is>
          <t>Ratehub has a 'types of business insurance' blog and a coverage-type hub; Rates.ca lists coverages across its business tree. Neither offers a decision tree that routes readers to the coverages that fit them.</t>
        </is>
      </c>
      <c r="AB463" s="25" t="inlineStr">
        <is>
          <t>Use the focus keyword in the title, H1, first sentence and one H2, and open with a 6-row summary table as the snippet target. Embed or link the business coverage checker right after the decision tree and link each coverage name to its service page with exact-match anchors. Licensed general insurance reviewer; cite IBC and provincial workers' compensation boards; review annually.</t>
        </is>
      </c>
      <c r="AC463" s="25" t="inlineStr">
        <is>
          <t>Verify which coverages are legally required (auto, workers' compensation registration by province) before saying so. Don't say a business 'must' buy cover that is only commonly required by contracts.</t>
        </is>
      </c>
      <c r="AD463" s="36" t="inlineStr">
        <is>
          <t>Annual</t>
        </is>
      </c>
      <c r="AE463" s="38" t="n"/>
      <c r="AF463" s="38" t="n"/>
      <c r="AG463" s="38" t="n"/>
    </row>
    <row r="464" ht="35.05" customHeight="1" s="22">
      <c r="A464" s="36">
        <f>"B"&amp;TEXT(ROW()-1,"0000")</f>
        <v/>
      </c>
      <c r="B464" s="38" t="inlineStr">
        <is>
          <t>Planned</t>
        </is>
      </c>
      <c r="C464" s="36" t="n">
        <v>2</v>
      </c>
      <c r="D464" s="36" t="inlineStr">
        <is>
          <t>Business insurance</t>
        </is>
      </c>
      <c r="E464" s="36" t="inlineStr">
        <is>
          <t>How-to</t>
        </is>
      </c>
      <c r="F464" s="25" t="inlineStr">
        <is>
          <t>How Much Liability Insurance Does My Business Need? $1 Million vs $2 Million vs $5 Million</t>
        </is>
      </c>
      <c r="G464" s="36" t="inlineStr">
        <is>
          <t>https://instasure.ca/guides/how-much-liability-insurance-business-needs/</t>
        </is>
      </c>
      <c r="H464" s="36" t="inlineStr">
        <is>
          <t>how much liability insurance do i need for my business</t>
        </is>
      </c>
      <c r="I464" s="41">
        <f>IFERROR(INDEX('Nationwide KWs'!$D$2:$D$168,MATCH(H464,'Nationwide KWs'!$A$2:$A$168,0)),IFERROR(INDEX('Provincial KWs'!$E$2:$E$137,MATCH(H464,'Provincial KWs'!$A$2:$A$137,0)),IFERROR(INDEX('City KWs'!$F$2:$F$419,MATCH(H464,'City KWs'!$A$2:$A$419,0)),"")))</f>
        <v/>
      </c>
      <c r="J464" s="36" t="inlineStr">
        <is>
          <t>Low</t>
        </is>
      </c>
      <c r="K464" s="25" t="inlineStr">
        <is>
          <t>$2 million liability insurance; $5 million liability insurance; business insurance limits; liability limit small business canada; business insurance calculator</t>
        </is>
      </c>
      <c r="L464" s="36" t="inlineStr">
        <is>
          <t>Nationwide</t>
        </is>
      </c>
      <c r="M464" s="36" t="inlineStr">
        <is>
          <t>commercial</t>
        </is>
      </c>
      <c r="N464" s="36" t="inlineStr">
        <is>
          <t>MOFU</t>
        </is>
      </c>
      <c r="O464" s="25" t="inlineStr">
        <is>
          <t>How Much Liability Insurance Does My Business Need?</t>
        </is>
      </c>
      <c r="P464" s="36">
        <f>LEN(O464)</f>
        <v/>
      </c>
      <c r="Q464" s="25" t="inlineStr">
        <is>
          <t>How much liability insurance does your business need? Compare $1M, $2M and $5M limits by contract, industry and risk. Run our free coverage checker to see.</t>
        </is>
      </c>
      <c r="R464" s="36">
        <f>LEN(Q464)</f>
        <v/>
      </c>
      <c r="S464" s="36">
        <f>IF(H464="","",IF(ISNUMBER(SEARCH(SUBSTITUTE(H464,"-"," "),SUBSTITUTE(O464,"-"," "))),"Yes","Check"))</f>
        <v/>
      </c>
      <c r="T464" s="25" t="inlineStr">
        <is>
          <t>How to pick a liability limit (short answer) | What $1M, $2M and $5M limits mean in practice | Contract, landlord and regulator minimums | Industry risk: when $2M isn't enough | Per-occurrence vs aggregate limits | Umbrella cover above your CGL | Price difference between limits (example estimates)</t>
        </is>
      </c>
      <c r="U464" s="25" t="inlineStr">
        <is>
          <t>Is $2 million liability insurance enough for a small business? | Why do clients ask for $5 million? | What's the difference between per-occurrence and aggregate limits? | How much more does $5 million cost than $2 million?</t>
        </is>
      </c>
      <c r="V464" s="25" t="inlineStr">
        <is>
          <t>A limit-selection matrix (industry risk by contract demands) plus a modelled price-step table showing the estimated cost of moving from $1M to $2M to $5M for three business types.</t>
        </is>
      </c>
      <c r="W464" s="25" t="inlineStr">
        <is>
          <t>/calculators/business-coverage/; /business-insurance/; /guides/general-liability-insurance-cost-canada/; /guides/commercial-umbrella-insurance-canada/</t>
        </is>
      </c>
      <c r="X464" s="25" t="inlineStr">
        <is>
          <t>Run the business coverage checker (/calculators/business-coverage/)</t>
        </is>
      </c>
      <c r="Y464" s="36" t="inlineStr">
        <is>
          <t>Article; FAQPage; BreadcrumbList</t>
        </is>
      </c>
      <c r="Z464" s="37" t="n">
        <v>1500</v>
      </c>
      <c r="AA464" s="25" t="inlineStr">
        <is>
          <t>No competitor coverage seen of limit selection; Rates.ca gives a single $2M CGL price anchor.</t>
        </is>
      </c>
      <c r="AB464" s="25" t="inlineStr">
        <is>
          <t>Focus keyword in title, H1, first 100 words and meta (slug carries the short form); 40-60 word answer: start from contract minimums, then adjust for industry risk. Embed the coverage checker after the matrix and link the CGL cost guide with the anchor 'general liability insurance cost'. Licensed reviewer; review annually.</t>
        </is>
      </c>
      <c r="AC464" s="25" t="inlineStr">
        <is>
          <t>Price steps must be labelled modelled estimates with profile and date. No universal recommendation; say what is common and why.</t>
        </is>
      </c>
      <c r="AD464" s="36" t="inlineStr">
        <is>
          <t>Annual</t>
        </is>
      </c>
      <c r="AE464" s="38" t="n"/>
      <c r="AF464" s="38" t="n"/>
      <c r="AG464" s="38" t="n"/>
    </row>
    <row r="465" ht="35.05" customHeight="1" s="22">
      <c r="A465" s="36">
        <f>"B"&amp;TEXT(ROW()-1,"0000")</f>
        <v/>
      </c>
      <c r="B465" s="38" t="inlineStr">
        <is>
          <t>Planned</t>
        </is>
      </c>
      <c r="C465" s="36" t="n">
        <v>2</v>
      </c>
      <c r="D465" s="36" t="inlineStr">
        <is>
          <t>Business insurance</t>
        </is>
      </c>
      <c r="E465" s="36" t="inlineStr">
        <is>
          <t>Local (city/province)</t>
        </is>
      </c>
      <c r="F465" s="25" t="inlineStr">
        <is>
          <t>Trucking Insurance in Brampton and Peel Region: A Guide for Owner-Operators and Small Fleets</t>
        </is>
      </c>
      <c r="G465" s="36" t="inlineStr">
        <is>
          <t>https://instasure.ca/guides/trucking-insurance-brampton/</t>
        </is>
      </c>
      <c r="H465" s="36" t="inlineStr">
        <is>
          <t>truck insurance brampton</t>
        </is>
      </c>
      <c r="I465" s="41">
        <f>IFERROR(INDEX('Nationwide KWs'!$D$2:$D$168,MATCH(H465,'Nationwide KWs'!$A$2:$A$168,0)),IFERROR(INDEX('Provincial KWs'!$E$2:$E$137,MATCH(H465,'Provincial KWs'!$A$2:$A$137,0)),IFERROR(INDEX('City KWs'!$F$2:$F$419,MATCH(H465,'City KWs'!$A$2:$A$419,0)),"")))</f>
        <v/>
      </c>
      <c r="J465" s="36" t="inlineStr">
        <is>
          <t>Niche</t>
        </is>
      </c>
      <c r="K465" s="25" t="inlineStr">
        <is>
          <t>trucking insurance brampton; commercial truck insurance mississauga; owner operator insurance ontario; business insurance brampton; cvor brampton</t>
        </is>
      </c>
      <c r="L465" s="36" t="inlineStr">
        <is>
          <t>City: Brampton, ON</t>
        </is>
      </c>
      <c r="M465" s="36" t="inlineStr">
        <is>
          <t>local</t>
        </is>
      </c>
      <c r="N465" s="36" t="inlineStr">
        <is>
          <t>BOFU</t>
        </is>
      </c>
      <c r="O465" s="25" t="inlineStr">
        <is>
          <t>Truck Insurance in Brampton: Owner-Operators and Fleets</t>
        </is>
      </c>
      <c r="P465" s="36">
        <f>LEN(O465)</f>
        <v/>
      </c>
      <c r="Q465" s="25" t="inlineStr">
        <is>
          <t>Truck insurance in Brampton for owner-operators and small fleets: coverages, CVOR, cargo and the driver records insurers review. Talk to a specialist.</t>
        </is>
      </c>
      <c r="R465" s="36">
        <f>LEN(Q465)</f>
        <v/>
      </c>
      <c r="S465" s="36">
        <f>IF(H465="","",IF(ISNUMBER(SEARCH(SUBSTITUTE(H465,"-"," "),SUBSTITUTE(O465,"-"," "))),"Yes","Check"))</f>
        <v/>
      </c>
      <c r="T465" s="25" t="inlineStr">
        <is>
          <t>What Brampton trucking operators need (short answer) | Coverages for local, regional and cross-border work | CVOR, safety records and insurer reviews | New ventures and drivers new to Canada | Cargo, reefer and trailer interchange | How to prepare a submission | Speak to the commercial auto desk</t>
        </is>
      </c>
      <c r="U465" s="25" t="inlineStr">
        <is>
          <t>Can a new owner-operator in Brampton get truck insurance? | Do insurers count truck driving experience from outside Canada? | What is trailer interchange insurance? | How long does it take to get a trucking quote?</t>
        </is>
      </c>
      <c r="V465" s="25" t="inlineStr">
        <is>
          <t>A submission-ready document checklist and a coverage table by operation type (local, regional, cross-border, reefer).</t>
        </is>
      </c>
      <c r="W465" s="25" t="inlineStr">
        <is>
          <t>/business-insurance/ontario/brampton/; /business-insurance/commercial-auto/; /guides/cvor-ontario-commercial-insurance/; /guides/trucking-insurance-cost-canada/</t>
        </is>
      </c>
      <c r="X465" s="25" t="inlineStr">
        <is>
          <t>Request a specialist call: Commercial auto &amp; trucking desk (/business-insurance/commercial-auto/)</t>
        </is>
      </c>
      <c r="Y465" s="36" t="inlineStr">
        <is>
          <t>Article; FAQPage; BreadcrumbList</t>
        </is>
      </c>
      <c r="Z465" s="37" t="n">
        <v>1500</v>
      </c>
      <c r="AA465" s="25" t="inlineStr">
        <is>
          <t>No competitor coverage seen; the keyword map lists no competitor for business insurance in Brampton, and the aggregators have no trucking pages.</t>
        </is>
      </c>
      <c r="AB465" s="25" t="inlineStr">
        <is>
          <t>Focus keyword in title, H1, slug-adjacent first 100 words and meta; 40-60 word answer naming the three core coverages and CVOR. Link the Brampton business page and the desk page with exact anchors and add the submission checklist as a download. Licensed Ontario reviewer; review annually.</t>
        </is>
      </c>
      <c r="AC465" s="25" t="inlineStr">
        <is>
          <t>No local statistics without a source (e.g. Peel logistics employment from the Region of Peel or Statistics Canada, verified). Mention language support only if a staffed advisor speaks that language.</t>
        </is>
      </c>
      <c r="AD465" s="36" t="inlineStr">
        <is>
          <t>Annual</t>
        </is>
      </c>
      <c r="AE465" s="38" t="n"/>
      <c r="AF465" s="38" t="n"/>
      <c r="AG465" s="38" t="n"/>
    </row>
    <row r="466" ht="46.25" customHeight="1" s="22">
      <c r="A466" s="36">
        <f>"B"&amp;TEXT(ROW()-1,"0000")</f>
        <v/>
      </c>
      <c r="B466" s="38" t="inlineStr">
        <is>
          <t>Planned</t>
        </is>
      </c>
      <c r="C466" s="36" t="n">
        <v>2</v>
      </c>
      <c r="D466" s="36" t="inlineStr">
        <is>
          <t>Business insurance</t>
        </is>
      </c>
      <c r="E466" s="36" t="inlineStr">
        <is>
          <t>Personas</t>
        </is>
      </c>
      <c r="F466" s="25" t="inlineStr">
        <is>
          <t>Business Insurance for Startups in Canada: What to Buy in Year One</t>
        </is>
      </c>
      <c r="G466" s="36" t="inlineStr">
        <is>
          <t>https://instasure.ca/guides/business-insurance-for-startups-canada/</t>
        </is>
      </c>
      <c r="H466" s="36" t="inlineStr">
        <is>
          <t>business insurance for startups</t>
        </is>
      </c>
      <c r="I466" s="41">
        <f>IFERROR(INDEX('Nationwide KWs'!$D$2:$D$168,MATCH(H466,'Nationwide KWs'!$A$2:$A$168,0)),IFERROR(INDEX('Provincial KWs'!$E$2:$E$137,MATCH(H466,'Provincial KWs'!$A$2:$A$137,0)),IFERROR(INDEX('City KWs'!$F$2:$F$419,MATCH(H466,'City KWs'!$A$2:$A$419,0)),"")))</f>
        <v/>
      </c>
      <c r="J466" s="36" t="inlineStr">
        <is>
          <t>Low</t>
        </is>
      </c>
      <c r="K466" s="25" t="inlineStr">
        <is>
          <t>startup insurance canada; insurance for new business; tech startup insurance; d&amp;o for startups; first business insurance policy</t>
        </is>
      </c>
      <c r="L466" s="36" t="inlineStr">
        <is>
          <t>Nationwide</t>
        </is>
      </c>
      <c r="M466" s="36" t="inlineStr">
        <is>
          <t>commercial</t>
        </is>
      </c>
      <c r="N466" s="36" t="inlineStr">
        <is>
          <t>MOFU</t>
        </is>
      </c>
      <c r="O466" s="25" t="inlineStr">
        <is>
          <t>Business Insurance for Startups in Canada: Year One</t>
        </is>
      </c>
      <c r="P466" s="36">
        <f>LEN(O466)</f>
        <v/>
      </c>
      <c r="Q466" s="25" t="inlineStr">
        <is>
          <t>Business insurance for startups in Canada: which policies to buy at launch, after hiring and before raising money. Use our staged checklist to plan yours.</t>
        </is>
      </c>
      <c r="R466" s="36">
        <f>LEN(Q466)</f>
        <v/>
      </c>
      <c r="S466" s="36">
        <f>IF(H466="","",IF(ISNUMBER(SEARCH(SUBSTITUTE(H466,"-"," "),SUBSTITUTE(O466,"-"," "))),"Yes","Check"))</f>
        <v/>
      </c>
      <c r="T466" s="25" t="inlineStr">
        <is>
          <t>What a startup needs first (short answer) | Stage 1: before launch (CGL, E&amp;O, cyber) | Stage 2: first hires (workers' compensation, benefits, employment practices) | Stage 3: raising money (D&amp;O and investor requirements) | Client contracts that require insurance | Budgeting: example year-one costs | Annual review checklist</t>
        </is>
      </c>
      <c r="U466" s="25" t="inlineStr">
        <is>
          <t>Do startups need D&amp;O insurance before raising money? | What insurance do I need before signing my first client? | Is business insurance tax deductible in Canada? | When should a startup buy cyber insurance?</t>
        </is>
      </c>
      <c r="V466" s="25" t="inlineStr">
        <is>
          <t>A staged coverage roadmap (launch, first hire, first raise, first enterprise client) as a table with triggers, plus modelled year-one cost examples.</t>
        </is>
      </c>
      <c r="W466" s="25" t="inlineStr">
        <is>
          <t>/business-insurance/; /calculators/business-coverage/; /business-insurance/directors-and-officers/; /business-insurance/cyber/; /group-benefits/</t>
        </is>
      </c>
      <c r="X466" s="25" t="inlineStr">
        <is>
          <t>Run the business coverage checker (/calculators/business-coverage/)</t>
        </is>
      </c>
      <c r="Y466" s="36" t="inlineStr">
        <is>
          <t>Article; FAQPage; BreadcrumbList</t>
        </is>
      </c>
      <c r="Z466" s="37" t="n">
        <v>1700</v>
      </c>
      <c r="AA466" s="25" t="inlineStr">
        <is>
          <t>No competitor coverage seen of a stage-by-stage startup roadmap; Ratehub's D&amp;O and cyber pages are product pages without startup framing.</t>
        </is>
      </c>
      <c r="AB466" s="25" t="inlineStr">
        <is>
          <t>Focus keyword in title, H1, slug, meta and first 100 words; 40-60 word answer listing the three launch-stage policies. The staged roadmap table is the snippet target; embed the coverage checker CTA after Stage 1 and link group benefits at Stage 2. Licensed reviewer; review annually.</t>
        </is>
      </c>
      <c r="AC466" s="25" t="inlineStr">
        <is>
          <t>Verify the CRA position that business insurance premiums are generally deductible business expenses; label cost examples as modelled. Don't suggest any coverage guarantees investor acceptance.</t>
        </is>
      </c>
      <c r="AD466" s="36" t="inlineStr">
        <is>
          <t>Annual</t>
        </is>
      </c>
      <c r="AE466" s="38" t="n"/>
      <c r="AF466" s="38" t="n"/>
      <c r="AG466" s="38" t="n"/>
    </row>
    <row r="467" ht="46.25" customHeight="1" s="22">
      <c r="A467" s="36">
        <f>"B"&amp;TEXT(ROW()-1,"0000")</f>
        <v/>
      </c>
      <c r="B467" s="38" t="inlineStr">
        <is>
          <t>Planned</t>
        </is>
      </c>
      <c r="C467" s="36" t="n">
        <v>2</v>
      </c>
      <c r="D467" s="36" t="inlineStr">
        <is>
          <t>Business insurance</t>
        </is>
      </c>
      <c r="E467" s="36" t="inlineStr">
        <is>
          <t>Personas</t>
        </is>
      </c>
      <c r="F467" s="25" t="inlineStr">
        <is>
          <t>Directors and Officers Insurance for Non-Profits and Charities in Canada</t>
        </is>
      </c>
      <c r="G467" s="36" t="inlineStr">
        <is>
          <t>https://instasure.ca/guides/directors-officers-insurance-non-profits-canada/</t>
        </is>
      </c>
      <c r="H467" s="36" t="inlineStr">
        <is>
          <t>directors and officers insurance for non-profits</t>
        </is>
      </c>
      <c r="I467" s="41">
        <f>IFERROR(INDEX('Nationwide KWs'!$D$2:$D$168,MATCH(H467,'Nationwide KWs'!$A$2:$A$168,0)),IFERROR(INDEX('Provincial KWs'!$E$2:$E$137,MATCH(H467,'Provincial KWs'!$A$2:$A$137,0)),IFERROR(INDEX('City KWs'!$F$2:$F$419,MATCH(H467,'City KWs'!$A$2:$A$419,0)),"")))</f>
        <v/>
      </c>
      <c r="J467" s="36" t="inlineStr">
        <is>
          <t>Low</t>
        </is>
      </c>
      <c r="K467" s="25" t="inlineStr">
        <is>
          <t>d&amp;o insurance non profit canada; board insurance charity; non-profit insurance canada; volunteer board liability; ONCA director liability</t>
        </is>
      </c>
      <c r="L467" s="36" t="inlineStr">
        <is>
          <t>Nationwide</t>
        </is>
      </c>
      <c r="M467" s="36" t="inlineStr">
        <is>
          <t>commercial</t>
        </is>
      </c>
      <c r="N467" s="36" t="inlineStr">
        <is>
          <t>MOFU</t>
        </is>
      </c>
      <c r="O467" s="25" t="inlineStr">
        <is>
          <t>Directors and Officers Insurance for Non-Profits in Canada</t>
        </is>
      </c>
      <c r="P467" s="36">
        <f>LEN(O467)</f>
        <v/>
      </c>
      <c r="Q467" s="25" t="inlineStr">
        <is>
          <t>Directors and officers insurance for non-profits protects volunteer board members from claims. See what it covers and why boards need it. Get a quote.</t>
        </is>
      </c>
      <c r="R467" s="36">
        <f>LEN(Q467)</f>
        <v/>
      </c>
      <c r="S467" s="36">
        <f>IF(H467="","",IF(ISNUMBER(SEARCH(SUBSTITUTE(H467,"-"," "),SUBSTITUTE(O467,"-"," "))),"Yes","Check"))</f>
        <v/>
      </c>
      <c r="T467" s="25" t="inlineStr">
        <is>
          <t>Why non-profit boards need D&amp;O insurance (short answer) | What D&amp;O covers: wrongful acts, employment claims, defence costs | Personal liability of directors under federal and provincial law | Indemnification vs insurance | Common exclusions and duty to defend | Cost drivers for non-profits and charities | Board checklist before renewal</t>
        </is>
      </c>
      <c r="U467" s="25" t="inlineStr">
        <is>
          <t>Can volunteer directors be personally sued in Canada? | Does a charity need D&amp;O insurance? | What does D&amp;O insurance not cover? | Does the Not-for-Profit Corporations Act require D&amp;O insurance?</t>
        </is>
      </c>
      <c r="V467" s="25" t="inlineStr">
        <is>
          <t>A board-ready one-page checklist (indemnity bylaw, D&amp;O limit, employment practices, fundraising events) and a table of where director liability comes from (CRA source deductions, employment standards, ONCA and CNCA).</t>
        </is>
      </c>
      <c r="W467" s="25" t="inlineStr">
        <is>
          <t>/business-insurance/directors-and-officers/; /business-insurance/; /guides/d-and-o-vs-e-and-o-insurance/; /guides/types-of-business-insurance-canada/</t>
        </is>
      </c>
      <c r="X467" s="25" t="inlineStr">
        <is>
          <t>Request a D&amp;O quote from a licensed advisor (/business-insurance/directors-and-officers/)</t>
        </is>
      </c>
      <c r="Y467" s="36" t="inlineStr">
        <is>
          <t>Article; FAQPage; BreadcrumbList</t>
        </is>
      </c>
      <c r="Z467" s="37" t="n">
        <v>1700</v>
      </c>
      <c r="AA467" s="25" t="inlineStr">
        <is>
          <t>Ratehub has D&amp;O and non-profit insurance quote pages; the keyword map flags non-profit boards as an under-served segment, and no competitor offers a board checklist.</t>
        </is>
      </c>
      <c r="AB467" s="25" t="inlineStr">
        <is>
          <t>Keyword in title, H1, first 100 words, one H2 and meta; the first H2 answers in 40-60 words (volunteer directors can be named personally; D&amp;O pays defence costs and settlements). Add the liability-source table and cite the CNCA, ONCA and CRA director-liability guidance. Licensed reviewer; review annually.</t>
        </is>
      </c>
      <c r="AC467" s="25" t="inlineStr">
        <is>
          <t>Verify director-liability sources (CNCA, ONCA, Income Tax Act s.227.1) and indemnification statements with primary sources. General information, not legal advice.</t>
        </is>
      </c>
      <c r="AD467" s="36" t="inlineStr">
        <is>
          <t>Annual</t>
        </is>
      </c>
      <c r="AE467" s="38" t="n"/>
      <c r="AF467" s="38" t="n"/>
      <c r="AG467" s="38" t="n"/>
    </row>
    <row r="468" ht="35.05" customHeight="1" s="22">
      <c r="A468" s="36">
        <f>"B"&amp;TEXT(ROW()-1,"0000")</f>
        <v/>
      </c>
      <c r="B468" s="38" t="inlineStr">
        <is>
          <t>Planned</t>
        </is>
      </c>
      <c r="C468" s="36" t="n">
        <v>2</v>
      </c>
      <c r="D468" s="36" t="inlineStr">
        <is>
          <t>Business insurance</t>
        </is>
      </c>
      <c r="E468" s="36" t="inlineStr">
        <is>
          <t>Regulation</t>
        </is>
      </c>
      <c r="F468" s="25" t="inlineStr">
        <is>
          <t>CVOR in Ontario: What It Means for Your Commercial Truck Insurance</t>
        </is>
      </c>
      <c r="G468" s="36" t="inlineStr">
        <is>
          <t>https://instasure.ca/guides/cvor-ontario-commercial-insurance/</t>
        </is>
      </c>
      <c r="H468" s="36" t="inlineStr">
        <is>
          <t>cvor insurance requirements</t>
        </is>
      </c>
      <c r="I468" s="41">
        <f>IFERROR(INDEX('Nationwide KWs'!$D$2:$D$168,MATCH(H468,'Nationwide KWs'!$A$2:$A$168,0)),IFERROR(INDEX('Provincial KWs'!$E$2:$E$137,MATCH(H468,'Provincial KWs'!$A$2:$A$137,0)),IFERROR(INDEX('City KWs'!$F$2:$F$419,MATCH(H468,'City KWs'!$A$2:$A$419,0)),"")))</f>
        <v/>
      </c>
      <c r="J468" s="36" t="inlineStr">
        <is>
          <t>Low</t>
        </is>
      </c>
      <c r="K468" s="25" t="inlineStr">
        <is>
          <t>cvor ontario; cvor certificate; cvor safety rating insurance; commercial vehicle operator registration; 4500 kg cvor</t>
        </is>
      </c>
      <c r="L468" s="36" t="inlineStr">
        <is>
          <t>Province: Ontario</t>
        </is>
      </c>
      <c r="M468" s="36" t="inlineStr">
        <is>
          <t>informational</t>
        </is>
      </c>
      <c r="N468" s="36" t="inlineStr">
        <is>
          <t>MOFU</t>
        </is>
      </c>
      <c r="O468" s="25" t="inlineStr">
        <is>
          <t>CVOR Insurance Requirements in Ontario, Explained</t>
        </is>
      </c>
      <c r="P468" s="36">
        <f>LEN(O468)</f>
        <v/>
      </c>
      <c r="Q468" s="25" t="inlineStr">
        <is>
          <t>CVOR insurance requirements in Ontario: who needs a CVOR certificate, the insurance details MTO asks for and how safety records affect premiums. Read on.</t>
        </is>
      </c>
      <c r="R468" s="36">
        <f>LEN(Q468)</f>
        <v/>
      </c>
      <c r="S468" s="36">
        <f>IF(H468="","",IF(ISNUMBER(SEARCH(SUBSTITUTE(H468,"-"," "),SUBSTITUTE(O468,"-"," "))),"Yes","Check"))</f>
        <v/>
      </c>
      <c r="T468" s="25" t="inlineStr">
        <is>
          <t>Who needs a CVOR certificate (short answer) | Applying for a CVOR: the insurance details MTO asks for | How CVOR violation rates and audits affect insurance | Pickups, trailers and the 4,500 kg threshold | Out-of-province carriers and the National Safety Code | Keeping your record clean: a carrier checklist</t>
        </is>
      </c>
      <c r="U468" s="25" t="inlineStr">
        <is>
          <t>Do I need a CVOR for a pickup truck towing a trailer? | Does a CVOR violation affect my insurance premium? | What insurance do I need to get a CVOR certificate? | Is a CVOR the same as an NSC number?</t>
        </is>
      </c>
      <c r="V468" s="25" t="inlineStr">
        <is>
          <t>A weight-and-use table showing when CVOR applies (with MTO source links) and a carrier compliance checklist of the items insurers review at renewal.</t>
        </is>
      </c>
      <c r="W468" s="25" t="inlineStr">
        <is>
          <t>/business-insurance/commercial-auto/; /guides/trucking-insurance-cost-canada/; /business-insurance/ontario/; /guides/fleet-insurance-small-business-canada/</t>
        </is>
      </c>
      <c r="X468" s="25" t="inlineStr">
        <is>
          <t>Request a specialist call: Commercial auto &amp; trucking desk (/business-insurance/commercial-auto/)</t>
        </is>
      </c>
      <c r="Y468" s="36" t="inlineStr">
        <is>
          <t>Article; FAQPage; BreadcrumbList</t>
        </is>
      </c>
      <c r="Z468" s="37" t="n">
        <v>1500</v>
      </c>
      <c r="AA468" s="25" t="inlineStr">
        <is>
          <t>No competitor coverage seen among the six competitors; Ontario's own MTO pages explain CVOR but not how it affects insurance.</t>
        </is>
      </c>
      <c r="AB468" s="25" t="inlineStr">
        <is>
          <t>Focus keyword in title, H1, slug, meta and first 100 words; 40-60 word answer giving the weight threshold and who must register. The weight-and-use table links MTO pages; anchor 'trucking insurance cost' to the cost guide. Licensed reviewer; update whenever MTO changes CVOR rules.</t>
        </is>
      </c>
      <c r="AC468" s="25" t="inlineStr">
        <is>
          <t>Verify the 4,500 kg threshold, exemptions and the insurance information on the CVOR application with MTO and ServiceOntario. General information, not legal advice.</t>
        </is>
      </c>
      <c r="AD468" s="36" t="inlineStr">
        <is>
          <t>On rule change</t>
        </is>
      </c>
      <c r="AE468" s="38" t="n"/>
      <c r="AF468" s="38" t="n"/>
      <c r="AG468" s="38" t="n"/>
    </row>
    <row r="469" ht="46.25" customHeight="1" s="22">
      <c r="A469" s="36">
        <f>"B"&amp;TEXT(ROW()-1,"0000")</f>
        <v/>
      </c>
      <c r="B469" s="38" t="inlineStr">
        <is>
          <t>Planned</t>
        </is>
      </c>
      <c r="C469" s="36" t="n">
        <v>2</v>
      </c>
      <c r="D469" s="36" t="inlineStr">
        <is>
          <t>Business insurance</t>
        </is>
      </c>
      <c r="E469" s="36" t="inlineStr">
        <is>
          <t>Regulation</t>
        </is>
      </c>
      <c r="F469" s="25" t="inlineStr">
        <is>
          <t>Is Business Insurance Mandatory in Canada? What the Law, Your Clients and Your Landlord Require</t>
        </is>
      </c>
      <c r="G469" s="36" t="inlineStr">
        <is>
          <t>https://instasure.ca/guides/is-business-insurance-mandatory-canada/</t>
        </is>
      </c>
      <c r="H469" s="36" t="inlineStr">
        <is>
          <t>is business insurance mandatory in canada</t>
        </is>
      </c>
      <c r="I469" s="41">
        <f>IFERROR(INDEX('Nationwide KWs'!$D$2:$D$168,MATCH(H469,'Nationwide KWs'!$A$2:$A$168,0)),IFERROR(INDEX('Provincial KWs'!$E$2:$E$137,MATCH(H469,'Provincial KWs'!$A$2:$A$137,0)),IFERROR(INDEX('City KWs'!$F$2:$F$419,MATCH(H469,'City KWs'!$A$2:$A$419,0)),"")))</f>
        <v/>
      </c>
      <c r="J469" s="36" t="inlineStr">
        <is>
          <t>Low</t>
        </is>
      </c>
      <c r="K469" s="25" t="inlineStr">
        <is>
          <t>is it illegal to not have business insurance; do i need business insurance; required insurance for small business ontario; workers compensation required by province</t>
        </is>
      </c>
      <c r="L469" s="36" t="inlineStr">
        <is>
          <t>Nationwide</t>
        </is>
      </c>
      <c r="M469" s="36" t="inlineStr">
        <is>
          <t>informational</t>
        </is>
      </c>
      <c r="N469" s="36" t="inlineStr">
        <is>
          <t>TOFU</t>
        </is>
      </c>
      <c r="O469" s="25" t="inlineStr">
        <is>
          <t>Is Business Insurance Mandatory in Canada? Province Guide</t>
        </is>
      </c>
      <c r="P469" s="36">
        <f>LEN(O469)</f>
        <v/>
      </c>
      <c r="Q469" s="25" t="inlineStr">
        <is>
          <t>Is business insurance mandatory in Canada? See what the law requires by province (auto, workers' comp, professions) and what contracts demand. Check yours.</t>
        </is>
      </c>
      <c r="R469" s="36">
        <f>LEN(Q469)</f>
        <v/>
      </c>
      <c r="S469" s="36">
        <f>IF(H469="","",IF(ISNUMBER(SEARCH(SUBSTITUTE(H469,"-"," "),SUBSTITUTE(O469,"-"," "))),"Yes","Check"))</f>
        <v/>
      </c>
      <c r="T469" s="25" t="inlineStr">
        <is>
          <t>Short answer: what is legally required and what isn't | Province and territory table: auto, workers' compensation and licensing rules | Professions where regulators require E&amp;O or liability cover | What landlords, clients and municipalities require | What happens if you operate uninsured | A minimum-cover checklist for new businesses</t>
        </is>
      </c>
      <c r="U469" s="25" t="inlineStr">
        <is>
          <t>Is it illegal to run a business without insurance in Canada? | Do sole proprietors need workers' compensation coverage? | Do I need insurance to get a business licence? | Can a client require me to carry $2 million of liability insurance?</t>
        </is>
      </c>
      <c r="V469" s="25" t="inlineStr">
        <is>
          <t>A 13-row province and territory table: mandatory auto rules, the workers' compensation board and who must register, and examples of regulator-mandated professional liability, each with a primary-source link and 'checked on' date.</t>
        </is>
      </c>
      <c r="W469" s="25" t="inlineStr">
        <is>
          <t>/business-insurance/; /guides/small-business-insurance-cost-canada/; /guides/regulator-mandated-errors-and-omissions-insurance/; /contractor-insurance/; /calculators/business-coverage/</t>
        </is>
      </c>
      <c r="X469" s="25" t="inlineStr">
        <is>
          <t>Run the business coverage checker (/calculators/business-coverage/)</t>
        </is>
      </c>
      <c r="Y469" s="36" t="inlineStr">
        <is>
          <t>Article; FAQPage; BreadcrumbList</t>
        </is>
      </c>
      <c r="Z469" s="37" t="n">
        <v>1800</v>
      </c>
      <c r="AA469" s="25" t="inlineStr">
        <is>
          <t>Ratehub's 'is it illegal to not have business insurance' blog answers nationally; no competitor seen publishes a province-by-province table of legal requirements with sources.</t>
        </is>
      </c>
      <c r="AB469" s="25" t="inlineStr">
        <is>
          <t>Answer 'mostly no, with three exceptions' in 40-60 words under the first H2; focus keyword in title, H1, slug, meta and first 100 words. The sourced province table is the citation magnet; anchor 'regulator-mandated E&amp;O' to the planned E&amp;O table guide. Licensed reviewer; review annually and when a board or regulator changes its rules.</t>
        </is>
      </c>
      <c r="AC469" s="25" t="inlineStr">
        <is>
          <t>Verify registration rules with each board (WSIB, WorkSafeBC, WCB Alberta, CNESST and the others) and every profession example with its regulator. State that the page is general information, not legal advice.</t>
        </is>
      </c>
      <c r="AD469" s="36" t="inlineStr">
        <is>
          <t>Annual</t>
        </is>
      </c>
      <c r="AE469" s="38" t="n"/>
      <c r="AF469" s="38" t="n"/>
      <c r="AG469" s="38" t="n"/>
    </row>
    <row r="470" ht="46.25" customHeight="1" s="22">
      <c r="A470" s="36">
        <f>"B"&amp;TEXT(ROW()-1,"0000")</f>
        <v/>
      </c>
      <c r="B470" s="38" t="inlineStr">
        <is>
          <t>Planned</t>
        </is>
      </c>
      <c r="C470" s="36" t="n">
        <v>3</v>
      </c>
      <c r="D470" s="36" t="inlineStr">
        <is>
          <t>Business insurance</t>
        </is>
      </c>
      <c r="E470" s="36" t="inlineStr">
        <is>
          <t>Claims</t>
        </is>
      </c>
      <c r="F470" s="25" t="inlineStr">
        <is>
          <t>Data Breach at Your Business? PIPEDA Reporting Steps and How a Cyber Claim Works</t>
        </is>
      </c>
      <c r="G470" s="36" t="inlineStr">
        <is>
          <t>https://instasure.ca/guides/data-breach-response-cyber-insurance-claim/</t>
        </is>
      </c>
      <c r="H470" s="36" t="inlineStr">
        <is>
          <t>data breach reporting canada</t>
        </is>
      </c>
      <c r="I470" s="41">
        <f>IFERROR(INDEX('Nationwide KWs'!$D$2:$D$168,MATCH(H470,'Nationwide KWs'!$A$2:$A$168,0)),IFERROR(INDEX('Provincial KWs'!$E$2:$E$137,MATCH(H470,'Provincial KWs'!$A$2:$A$137,0)),IFERROR(INDEX('City KWs'!$F$2:$F$419,MATCH(H470,'City KWs'!$A$2:$A$419,0)),"")))</f>
        <v/>
      </c>
      <c r="J470" s="36" t="inlineStr">
        <is>
          <t>Low</t>
        </is>
      </c>
      <c r="K470" s="25" t="inlineStr">
        <is>
          <t>pipeda breach of security safeguards; real risk of significant harm; cyber insurance claim; ransomware attack small business canada; quebec law 25 confidentiality incident</t>
        </is>
      </c>
      <c r="L470" s="36" t="inlineStr">
        <is>
          <t>Nationwide</t>
        </is>
      </c>
      <c r="M470" s="36" t="inlineStr">
        <is>
          <t>informational</t>
        </is>
      </c>
      <c r="N470" s="36" t="inlineStr">
        <is>
          <t>TOFU</t>
        </is>
      </c>
      <c r="O470" s="25" t="inlineStr">
        <is>
          <t>Data Breach Reporting in Canada: Steps and Cyber Claims</t>
        </is>
      </c>
      <c r="P470" s="36">
        <f>LEN(O470)</f>
        <v/>
      </c>
      <c r="Q470" s="25" t="inlineStr">
        <is>
          <t>Data breach reporting in Canada: when PIPEDA requires notice, what Quebec and Alberta add, and how a cyber claim runs in the first 72 hours. See the steps.</t>
        </is>
      </c>
      <c r="R470" s="36">
        <f>LEN(Q470)</f>
        <v/>
      </c>
      <c r="S470" s="36">
        <f>IF(H470="","",IF(ISNUMBER(SEARCH(SUBSTITUTE(H470,"-"," "),SUBSTITUTE(O470,"-"," "))),"Yes","Check"))</f>
        <v/>
      </c>
      <c r="T470" s="25" t="inlineStr">
        <is>
          <t>What to do in the first hour (short answer) | When PIPEDA requires you to report a breach | Quebec Law 25 and Alberta PIPA differences | How a cyber insurance claim works: breach coach, forensics, notification | Record-keeping duties even when you don't report | What cyber policies pay for and what they don't | Breach response checklist</t>
        </is>
      </c>
      <c r="U470" s="25" t="inlineStr">
        <is>
          <t>Do I have to report a data breach in Canada? | What is a real risk of significant harm? | Does cyber insurance pay for notifying customers? | Who do I call first after a ransomware attack?</t>
        </is>
      </c>
      <c r="V470" s="25" t="inlineStr">
        <is>
          <t>A first-72-hours breach response checklist and a federal, Quebec and Alberta reporting comparison table with regulator links.</t>
        </is>
      </c>
      <c r="W470" s="25" t="inlineStr">
        <is>
          <t>/business-insurance/cyber/; /guides/cyber-insurance-cost-small-business-canada/; /business-insurance/; /guides/how-to-file-business-insurance-claim/</t>
        </is>
      </c>
      <c r="X470" s="25" t="inlineStr">
        <is>
          <t>Talk to a licensed advisor about cyber coverage (/business-insurance/cyber/)</t>
        </is>
      </c>
      <c r="Y470" s="36" t="inlineStr">
        <is>
          <t>Article; FAQPage; HowTo; BreadcrumbList</t>
        </is>
      </c>
      <c r="Z470" s="37" t="n">
        <v>1800</v>
      </c>
      <c r="AA470" s="25" t="inlineStr">
        <is>
          <t>No competitor coverage seen; Ratehub's cyber page sells coverage but does not walk through PIPEDA reporting or the claim process.</t>
        </is>
      </c>
      <c r="AB470" s="25" t="inlineStr">
        <is>
          <t>Keyword in title, H1, slug, meta and first 100 words; the first H2 is a numbered five-step answer (contain, call the insurer's breach line, preserve evidence, assess real risk of significant harm, notify). Add the OPC/CAI/Alberta comparison table and cite the Office of the Privacy Commissioner directly. Licensed reviewer plus a privacy-law source note; update whenever breach rules change.</t>
        </is>
      </c>
      <c r="AC470" s="25" t="inlineStr">
        <is>
          <t>Verify the OPC reporting test and record-keeping period, Quebec CAI confidentiality-incident rules and Alberta PIPA notification with each regulator. General information, not legal advice.</t>
        </is>
      </c>
      <c r="AD470" s="36" t="inlineStr">
        <is>
          <t>On rule change</t>
        </is>
      </c>
      <c r="AE470" s="38" t="n"/>
      <c r="AF470" s="38" t="n"/>
      <c r="AG470" s="38" t="n"/>
    </row>
    <row r="471" ht="46.25" customHeight="1" s="22">
      <c r="A471" s="36">
        <f>"B"&amp;TEXT(ROW()-1,"0000")</f>
        <v/>
      </c>
      <c r="B471" s="38" t="inlineStr">
        <is>
          <t>Planned</t>
        </is>
      </c>
      <c r="C471" s="36" t="n">
        <v>3</v>
      </c>
      <c r="D471" s="36" t="inlineStr">
        <is>
          <t>Business insurance</t>
        </is>
      </c>
      <c r="E471" s="36" t="inlineStr">
        <is>
          <t>Claims</t>
        </is>
      </c>
      <c r="F471" s="25" t="inlineStr">
        <is>
          <t>How to File a Business Insurance Claim in Canada: Steps, Documents and Timelines</t>
        </is>
      </c>
      <c r="G471" s="36" t="inlineStr">
        <is>
          <t>https://instasure.ca/guides/how-to-file-business-insurance-claim/</t>
        </is>
      </c>
      <c r="H471" s="36" t="inlineStr">
        <is>
          <t>how to file a business insurance claim</t>
        </is>
      </c>
      <c r="I471" s="41">
        <f>IFERROR(INDEX('Nationwide KWs'!$D$2:$D$168,MATCH(H471,'Nationwide KWs'!$A$2:$A$168,0)),IFERROR(INDEX('Provincial KWs'!$E$2:$E$137,MATCH(H471,'Provincial KWs'!$A$2:$A$137,0)),IFERROR(INDEX('City KWs'!$F$2:$F$419,MATCH(H471,'City KWs'!$A$2:$A$419,0)),"")))</f>
        <v/>
      </c>
      <c r="J471" s="36" t="inlineStr">
        <is>
          <t>Niche</t>
        </is>
      </c>
      <c r="K471" s="25" t="inlineStr">
        <is>
          <t>commercial insurance claim process; business interruption claim documents; proof of loss business; liability claim against my business; insurance adjuster business claim</t>
        </is>
      </c>
      <c r="L471" s="36" t="inlineStr">
        <is>
          <t>Nationwide</t>
        </is>
      </c>
      <c r="M471" s="36" t="inlineStr">
        <is>
          <t>informational</t>
        </is>
      </c>
      <c r="N471" s="36" t="inlineStr">
        <is>
          <t>TOFU</t>
        </is>
      </c>
      <c r="O471" s="25" t="inlineStr">
        <is>
          <t>How to File a Business Insurance Claim in Canada</t>
        </is>
      </c>
      <c r="P471" s="36">
        <f>LEN(O471)</f>
        <v/>
      </c>
      <c r="Q471" s="25" t="inlineStr">
        <is>
          <t>How to file a business insurance claim in Canada: first steps, documents adjusters ask for, proof of loss deadlines and disputes. Use our claim checklist.</t>
        </is>
      </c>
      <c r="R471" s="36">
        <f>LEN(Q471)</f>
        <v/>
      </c>
      <c r="S471" s="36">
        <f>IF(H471="","",IF(ISNUMBER(SEARCH(SUBSTITUTE(H471,"-"," "),SUBSTITUTE(O471,"-"," "))),"Yes","Check"))</f>
        <v/>
      </c>
      <c r="T471" s="25" t="inlineStr">
        <is>
          <t>The first five steps after a loss (short answer) | Property and business interruption claims: documents to gather | Liability claims: when a customer or client sues | Working with the adjuster, and when to hire a public adjuster | Proof of loss and other deadlines | If you disagree: appraisal, complaint, ombudservice | Claim log template</t>
        </is>
      </c>
      <c r="U471" s="25" t="inlineStr">
        <is>
          <t>How long do I have to report a business insurance claim? | Should I admit fault if a customer is injured? | Can I hire my own adjuster in Canada? | Will a claim raise my business insurance premium?</t>
        </is>
      </c>
      <c r="V471" s="25" t="inlineStr">
        <is>
          <t>A claim log template (date, contact, request, document sent) and a document checklist by claim type (property, interruption, liability, cyber).</t>
        </is>
      </c>
      <c r="W471" s="25" t="inlineStr">
        <is>
          <t>/business-insurance/; /guides/business-interruption-insurance-explained/; /guides/how-to-file-insurance-complaint-canada/; /guides/category/claims-rules/</t>
        </is>
      </c>
      <c r="X471" s="25" t="inlineStr">
        <is>
          <t>Talk to a licensed advisor about your coverage (/business-insurance/)</t>
        </is>
      </c>
      <c r="Y471" s="36" t="inlineStr">
        <is>
          <t>Article; FAQPage; HowTo; BreadcrumbList</t>
        </is>
      </c>
      <c r="Z471" s="37" t="n">
        <v>1700</v>
      </c>
      <c r="AA471" s="25" t="inlineStr">
        <is>
          <t>No competitor coverage seen; Rates.ca's claim guides focus on home and auto (e.g. roof replacement claims).</t>
        </is>
      </c>
      <c r="AB471" s="25" t="inlineStr">
        <is>
          <t>Focus keyword in title, H1, slug, meta and first 100 words; the first H2 is a numbered five-step answer usable as HowTo steps. Add the document checklist table and claim log template; link the complaint guide with the anchor 'how to file an insurance complaint'. Licensed reviewer; review annually.</t>
        </is>
      </c>
      <c r="AC471" s="25" t="inlineStr">
        <is>
          <t>Verify statutory conditions on notice and proof of loss in the provincial Insurance Acts and public adjuster licensing by province. General information, not legal advice.</t>
        </is>
      </c>
      <c r="AD471" s="36" t="inlineStr">
        <is>
          <t>Annual</t>
        </is>
      </c>
      <c r="AE471" s="38" t="n"/>
      <c r="AF471" s="38" t="n"/>
      <c r="AG471" s="38" t="n"/>
    </row>
    <row r="472" ht="35.05" customHeight="1" s="22">
      <c r="A472" s="36">
        <f>"B"&amp;TEXT(ROW()-1,"0000")</f>
        <v/>
      </c>
      <c r="B472" s="38" t="inlineStr">
        <is>
          <t>Planned</t>
        </is>
      </c>
      <c r="C472" s="36" t="n">
        <v>3</v>
      </c>
      <c r="D472" s="36" t="inlineStr">
        <is>
          <t>Business insurance</t>
        </is>
      </c>
      <c r="E472" s="36" t="inlineStr">
        <is>
          <t>Comparisons</t>
        </is>
      </c>
      <c r="F472" s="25" t="inlineStr">
        <is>
          <t>Business Package Policy vs Separate Policies: Which Fits a Small Business?</t>
        </is>
      </c>
      <c r="G472" s="36" t="inlineStr">
        <is>
          <t>https://instasure.ca/guides/business-package-policy-vs-separate-policies/</t>
        </is>
      </c>
      <c r="H472" s="36" t="inlineStr">
        <is>
          <t>business package insurance</t>
        </is>
      </c>
      <c r="I472" s="41">
        <f>IFERROR(INDEX('Nationwide KWs'!$D$2:$D$168,MATCH(H472,'Nationwide KWs'!$A$2:$A$168,0)),IFERROR(INDEX('Provincial KWs'!$E$2:$E$137,MATCH(H472,'Provincial KWs'!$A$2:$A$137,0)),IFERROR(INDEX('City KWs'!$F$2:$F$419,MATCH(H472,'City KWs'!$A$2:$A$419,0)),"")))</f>
        <v/>
      </c>
      <c r="J472" s="36" t="inlineStr">
        <is>
          <t>Low</t>
        </is>
      </c>
      <c r="K472" s="25" t="inlineStr">
        <is>
          <t>commercial package policy canada; business owners policy canada; bundle business insurance; small business insurance package</t>
        </is>
      </c>
      <c r="L472" s="36" t="inlineStr">
        <is>
          <t>Nationwide</t>
        </is>
      </c>
      <c r="M472" s="36" t="inlineStr">
        <is>
          <t>commercial</t>
        </is>
      </c>
      <c r="N472" s="36" t="inlineStr">
        <is>
          <t>MOFU</t>
        </is>
      </c>
      <c r="O472" s="25" t="inlineStr">
        <is>
          <t>Business Package Insurance vs Separate Policies</t>
        </is>
      </c>
      <c r="P472" s="36">
        <f>LEN(O472)</f>
        <v/>
      </c>
      <c r="Q472" s="25" t="inlineStr">
        <is>
          <t>Business package insurance bundles liability, property and interruption cover. Compare it with separate policies on cost and gaps, then get an estimate.</t>
        </is>
      </c>
      <c r="R472" s="36">
        <f>LEN(Q472)</f>
        <v/>
      </c>
      <c r="S472" s="36">
        <f>IF(H472="","",IF(ISNUMBER(SEARCH(SUBSTITUTE(H472,"-"," "),SUBSTITUTE(O472,"-"," "))),"Yes","Check"))</f>
        <v/>
      </c>
      <c r="T472" s="25" t="inlineStr">
        <is>
          <t>Package vs separate policies (short answer) | What a typical business package includes | When a package costs less and when it doesn't | Gaps packages often leave: E&amp;O, cyber, auto, tools | When to buy coverages separately | Comparison table: package vs separate policies</t>
        </is>
      </c>
      <c r="U472" s="25" t="inlineStr">
        <is>
          <t>What is a business package policy in Canada? | Is a package policy cheaper than separate policies? | Does a business package include professional liability? | Can I add cyber insurance to a package policy?</t>
        </is>
      </c>
      <c r="V472" s="25" t="inlineStr">
        <is>
          <t>A side-by-side table (included coverages, typical gaps, who it suits, how claims and renewals work) for package vs separate policies.</t>
        </is>
      </c>
      <c r="W472" s="25" t="inlineStr">
        <is>
          <t>/business-insurance/; /guides/types-of-business-insurance-canada/; /guides/small-business-insurance-cost-canada/; /business-insurance/cyber/</t>
        </is>
      </c>
      <c r="X472" s="25" t="inlineStr">
        <is>
          <t>Instant business insurance estimate (/quote/)</t>
        </is>
      </c>
      <c r="Y472" s="36" t="inlineStr">
        <is>
          <t>Article; FAQPage; BreadcrumbList</t>
        </is>
      </c>
      <c r="Z472" s="37" t="n">
        <v>1400</v>
      </c>
      <c r="AA472" s="25" t="inlineStr">
        <is>
          <t>No competitor coverage seen of package vs separate policies; Ratehub and Rates.ca organise business pages by coverage type or profession only.</t>
        </is>
      </c>
      <c r="AB472" s="25" t="inlineStr">
        <is>
          <t>Keyword in title, H1, slug, meta and first 100 words; the first H2 gives a 40-60 word verdict framed by business type. Put the comparison table straight after it as the snippet target and link the existing cost guide with the anchor 'small business insurance cost'. Licensed reviewer; review annually.</t>
        </is>
      </c>
      <c r="AC472" s="25" t="inlineStr">
        <is>
          <t>Don't claim packages are always cheaper; say 'can cost less' and support it with insurer examples. Package names vary by insurer, so avoid naming products without confirmation.</t>
        </is>
      </c>
      <c r="AD472" s="36" t="inlineStr">
        <is>
          <t>Annual</t>
        </is>
      </c>
      <c r="AE472" s="38" t="n"/>
      <c r="AF472" s="38" t="n"/>
      <c r="AG472" s="38" t="n"/>
    </row>
    <row r="473" ht="35.05" customHeight="1" s="22">
      <c r="A473" s="36">
        <f>"B"&amp;TEXT(ROW()-1,"0000")</f>
        <v/>
      </c>
      <c r="B473" s="38" t="inlineStr">
        <is>
          <t>Planned</t>
        </is>
      </c>
      <c r="C473" s="36" t="n">
        <v>3</v>
      </c>
      <c r="D473" s="36" t="inlineStr">
        <is>
          <t>Business insurance</t>
        </is>
      </c>
      <c r="E473" s="36" t="inlineStr">
        <is>
          <t>Comparisons</t>
        </is>
      </c>
      <c r="F473" s="25" t="inlineStr">
        <is>
          <t>D&amp;O vs E&amp;O Insurance: The Difference and Which One Your Business Needs</t>
        </is>
      </c>
      <c r="G473" s="36" t="inlineStr">
        <is>
          <t>https://instasure.ca/guides/d-and-o-vs-e-and-o-insurance/</t>
        </is>
      </c>
      <c r="H473" s="36" t="inlineStr">
        <is>
          <t>d&amp;o vs e&amp;o</t>
        </is>
      </c>
      <c r="I473" s="41">
        <f>IFERROR(INDEX('Nationwide KWs'!$D$2:$D$168,MATCH(H473,'Nationwide KWs'!$A$2:$A$168,0)),IFERROR(INDEX('Provincial KWs'!$E$2:$E$137,MATCH(H473,'Provincial KWs'!$A$2:$A$137,0)),IFERROR(INDEX('City KWs'!$F$2:$F$419,MATCH(H473,'City KWs'!$A$2:$A$419,0)),"")))</f>
        <v/>
      </c>
      <c r="J473" s="36" t="inlineStr">
        <is>
          <t>Low</t>
        </is>
      </c>
      <c r="K473" s="25" t="inlineStr">
        <is>
          <t>directors and officers vs errors and omissions; d&amp;o insurance; errors and omissions insurance; management liability insurance canada</t>
        </is>
      </c>
      <c r="L473" s="36" t="inlineStr">
        <is>
          <t>Nationwide</t>
        </is>
      </c>
      <c r="M473" s="36" t="inlineStr">
        <is>
          <t>informational</t>
        </is>
      </c>
      <c r="N473" s="36" t="inlineStr">
        <is>
          <t>TOFU</t>
        </is>
      </c>
      <c r="O473" s="25" t="inlineStr">
        <is>
          <t>D&amp;O vs E&amp;O Insurance in Canada: What's the Difference?</t>
        </is>
      </c>
      <c r="P473" s="36">
        <f>LEN(O473)</f>
        <v/>
      </c>
      <c r="Q473" s="25" t="inlineStr">
        <is>
          <t>D&amp;O vs E&amp;O insurance: D&amp;O protects directors' decisions, E&amp;O covers professional mistakes. Compare them side by side and see which your business needs.</t>
        </is>
      </c>
      <c r="R473" s="36">
        <f>LEN(Q473)</f>
        <v/>
      </c>
      <c r="S473" s="36">
        <f>IF(H473="","",IF(ISNUMBER(SEARCH(SUBSTITUTE(H473,"-"," "),SUBSTITUTE(O473,"-"," "))),"Yes","Check"))</f>
        <v/>
      </c>
      <c r="T473" s="25" t="inlineStr">
        <is>
          <t>D&amp;O vs E&amp;O in one paragraph | Side-by-side comparison table | Who needs D&amp;O: boards, startups, non-profits | Who needs E&amp;O: anyone selling advice or services | When you need both | How the claims differ: two examples</t>
        </is>
      </c>
      <c r="U473" s="25" t="inlineStr">
        <is>
          <t>Is E&amp;O the same as professional liability? | Does a small private company need D&amp;O insurance? | Can one policy cover both D&amp;O and E&amp;O? | Which costs more, D&amp;O or E&amp;O?</t>
        </is>
      </c>
      <c r="V473" s="25" t="inlineStr">
        <is>
          <t>A side-by-side table (who is insured, what triggers a claim, typical claimants, typical exclusions, who buys) plus two worked claim scenarios.</t>
        </is>
      </c>
      <c r="W473" s="25" t="inlineStr">
        <is>
          <t>/business-insurance/directors-and-officers/; /professional-liability-insurance/; /guides/directors-officers-insurance-non-profits-canada/; /guides/professional-liability-vs-general-liability-insurance/</t>
        </is>
      </c>
      <c r="X473" s="25" t="inlineStr">
        <is>
          <t>Instant business insurance estimate (/quote/)</t>
        </is>
      </c>
      <c r="Y473" s="36" t="inlineStr">
        <is>
          <t>Article; FAQPage; BreadcrumbList</t>
        </is>
      </c>
      <c r="Z473" s="37" t="n">
        <v>1200</v>
      </c>
      <c r="AA473" s="25" t="inlineStr">
        <is>
          <t>No competitor coverage seen of D&amp;O vs E&amp;O as a comparison; Ratehub and Rates.ca have separate product pages only.</t>
        </is>
      </c>
      <c r="AB473" s="25" t="inlineStr">
        <is>
          <t>Use 'D&amp;O vs E&amp;O' in the title, H1, slug, meta and first sentence; the 40-60 word answer under the first H2 is the snippet target. Put the comparison table directly after it and link both product pages with exact-match anchors. Licensed reviewer; review annually.</t>
        </is>
      </c>
      <c r="AC473" s="25" t="inlineStr">
        <is>
          <t>Describe coverage as typical, since wordings vary by insurer. Any cost comparison must be labelled as modelled estimates.</t>
        </is>
      </c>
      <c r="AD473" s="36" t="inlineStr">
        <is>
          <t>Annual</t>
        </is>
      </c>
      <c r="AE473" s="38" t="n"/>
      <c r="AF473" s="38" t="n"/>
      <c r="AG473" s="38" t="n"/>
    </row>
    <row r="474" ht="35.05" customHeight="1" s="22">
      <c r="A474" s="36">
        <f>"B"&amp;TEXT(ROW()-1,"0000")</f>
        <v/>
      </c>
      <c r="B474" s="38" t="inlineStr">
        <is>
          <t>Planned</t>
        </is>
      </c>
      <c r="C474" s="36" t="n">
        <v>3</v>
      </c>
      <c r="D474" s="36" t="inlineStr">
        <is>
          <t>Business insurance</t>
        </is>
      </c>
      <c r="E474" s="36" t="inlineStr">
        <is>
          <t>Contracts &amp; certificates</t>
        </is>
      </c>
      <c r="F474" s="25" t="inlineStr">
        <is>
          <t>Additional Insured vs Certificate Holder: What Clients Mean When They Ask to Be Added</t>
        </is>
      </c>
      <c r="G474" s="36" t="inlineStr">
        <is>
          <t>https://instasure.ca/guides/additional-insured-explained/</t>
        </is>
      </c>
      <c r="H474" s="36" t="inlineStr">
        <is>
          <t>additional insured</t>
        </is>
      </c>
      <c r="I474" s="41">
        <f>IFERROR(INDEX('Nationwide KWs'!$D$2:$D$168,MATCH(H474,'Nationwide KWs'!$A$2:$A$168,0)),IFERROR(INDEX('Provincial KWs'!$E$2:$E$137,MATCH(H474,'Provincial KWs'!$A$2:$A$137,0)),IFERROR(INDEX('City KWs'!$F$2:$F$419,MATCH(H474,'City KWs'!$A$2:$A$419,0)),"")))</f>
        <v/>
      </c>
      <c r="J474" s="36" t="inlineStr">
        <is>
          <t>Low</t>
        </is>
      </c>
      <c r="K474" s="25" t="inlineStr">
        <is>
          <t>additional insured canada; additional insured vs certificate holder; add client to liability policy; additional insured endorsement; primary and non-contributory</t>
        </is>
      </c>
      <c r="L474" s="36" t="inlineStr">
        <is>
          <t>Nationwide</t>
        </is>
      </c>
      <c r="M474" s="36" t="inlineStr">
        <is>
          <t>informational</t>
        </is>
      </c>
      <c r="N474" s="36" t="inlineStr">
        <is>
          <t>MOFU</t>
        </is>
      </c>
      <c r="O474" s="25" t="inlineStr">
        <is>
          <t>Additional Insured vs Certificate Holder, Explained</t>
        </is>
      </c>
      <c r="P474" s="36">
        <f>LEN(O474)</f>
        <v/>
      </c>
      <c r="Q474" s="25" t="inlineStr">
        <is>
          <t>Additional insured vs certificate holder: what each status gives a client, when contracts require it and how to add one to your policy. See the comparison.</t>
        </is>
      </c>
      <c r="R474" s="36">
        <f>LEN(Q474)</f>
        <v/>
      </c>
      <c r="S474" s="36">
        <f>IF(H474="","",IF(ISNUMBER(SEARCH(SUBSTITUTE(H474,"-"," "),SUBSTITUTE(O474,"-"," "))),"Yes","Check"))</f>
        <v/>
      </c>
      <c r="T474" s="25" t="inlineStr">
        <is>
          <t>Additional insured vs certificate holder (short answer) | What additional insured status gives the client | When contracts require it: landlords, general contractors, event venues | Primary and non-contributory and other wording | Does adding an additional insured cost extra? | How to request the endorsement</t>
        </is>
      </c>
      <c r="U474" s="25" t="inlineStr">
        <is>
          <t>Does adding an additional insured increase my premium? | Can a client be added to my policy for one job only? | What does primary and non-contributory mean? | Is my landlord automatically an additional insured?</t>
        </is>
      </c>
      <c r="V474" s="25" t="inlineStr">
        <is>
          <t>A comparison table (rights, notice, access to coverage) for named insured, additional insured, certificate holder and loss payee.</t>
        </is>
      </c>
      <c r="W474" s="25" t="inlineStr">
        <is>
          <t>/business-insurance/; /contractor-insurance/; /guides/certificate-of-insurance-explained/; /guides/commercial-lease-insurance-requirements/</t>
        </is>
      </c>
      <c r="X474" s="25" t="inlineStr">
        <is>
          <t>Ask a licensed advisor to add a client to your policy (/business-insurance/)</t>
        </is>
      </c>
      <c r="Y474" s="36" t="inlineStr">
        <is>
          <t>Article; FAQPage; BreadcrumbList</t>
        </is>
      </c>
      <c r="Z474" s="37" t="n">
        <v>1200</v>
      </c>
      <c r="AA474" s="25" t="inlineStr">
        <is>
          <t>No competitor coverage seen.</t>
        </is>
      </c>
      <c r="AB474" s="25" t="inlineStr">
        <is>
          <t>Focus keyword in title, H1, slug, meta and first 100 words; 40-60 word answer contrasting the two statuses. Put the four-role comparison table straight after the answer and link the COI guide with the anchor 'certificate of insurance'. Licensed reviewer; review annually.</t>
        </is>
      </c>
      <c r="AC474" s="25" t="inlineStr">
        <is>
          <t>Describe endorsement effects generally and verify against the IBC CGL form and insurer endorsements. Say pricing varies by insurer.</t>
        </is>
      </c>
      <c r="AD474" s="36" t="inlineStr">
        <is>
          <t>Annual</t>
        </is>
      </c>
      <c r="AE474" s="38" t="n"/>
      <c r="AF474" s="38" t="n"/>
      <c r="AG474" s="38" t="n"/>
    </row>
    <row r="475" ht="46.25" customHeight="1" s="22">
      <c r="A475" s="36">
        <f>"B"&amp;TEXT(ROW()-1,"0000")</f>
        <v/>
      </c>
      <c r="B475" s="38" t="inlineStr">
        <is>
          <t>Planned</t>
        </is>
      </c>
      <c r="C475" s="36" t="n">
        <v>3</v>
      </c>
      <c r="D475" s="36" t="inlineStr">
        <is>
          <t>Business insurance</t>
        </is>
      </c>
      <c r="E475" s="36" t="inlineStr">
        <is>
          <t>Contracts &amp; certificates</t>
        </is>
      </c>
      <c r="F475" s="25" t="inlineStr">
        <is>
          <t>Commercial Lease Insurance Requirements: What Your Landlord Can Ask For and How to Comply</t>
        </is>
      </c>
      <c r="G475" s="36" t="inlineStr">
        <is>
          <t>https://instasure.ca/guides/commercial-lease-insurance-requirements/</t>
        </is>
      </c>
      <c r="H475" s="36" t="inlineStr">
        <is>
          <t>commercial lease insurance requirements</t>
        </is>
      </c>
      <c r="I475" s="41">
        <f>IFERROR(INDEX('Nationwide KWs'!$D$2:$D$168,MATCH(H475,'Nationwide KWs'!$A$2:$A$168,0)),IFERROR(INDEX('Provincial KWs'!$E$2:$E$137,MATCH(H475,'Provincial KWs'!$A$2:$A$137,0)),IFERROR(INDEX('City KWs'!$F$2:$F$419,MATCH(H475,'City KWs'!$A$2:$A$419,0)),"")))</f>
        <v/>
      </c>
      <c r="J475" s="36" t="inlineStr">
        <is>
          <t>Low</t>
        </is>
      </c>
      <c r="K475" s="25" t="inlineStr">
        <is>
          <t>tenants legal liability commercial; landlord additional insured commercial lease; waiver of subrogation lease; insurance for leased office space</t>
        </is>
      </c>
      <c r="L475" s="36" t="inlineStr">
        <is>
          <t>Nationwide</t>
        </is>
      </c>
      <c r="M475" s="36" t="inlineStr">
        <is>
          <t>informational</t>
        </is>
      </c>
      <c r="N475" s="36" t="inlineStr">
        <is>
          <t>MOFU</t>
        </is>
      </c>
      <c r="O475" s="25" t="inlineStr">
        <is>
          <t>Commercial Lease Insurance Requirements, Explained</t>
        </is>
      </c>
      <c r="P475" s="36">
        <f>LEN(O475)</f>
        <v/>
      </c>
      <c r="Q475" s="25" t="inlineStr">
        <is>
          <t>Commercial lease insurance requirements decoded: tenant legal liability, additional insured, waivers of subrogation and limits. Use our lease checklist.</t>
        </is>
      </c>
      <c r="R475" s="36">
        <f>LEN(Q475)</f>
        <v/>
      </c>
      <c r="S475" s="36">
        <f>IF(H475="","",IF(ISNUMBER(SEARCH(SUBSTITUTE(H475,"-"," "),SUBSTITUTE(O475,"-"," "))),"Yes","Check"))</f>
        <v/>
      </c>
      <c r="T475" s="25" t="inlineStr">
        <is>
          <t>What a commercial lease usually requires (short answer) | Tenant legal liability vs the landlord's building policy | Additional insured and loss payee wording | Waiver of subrogation and indemnity clauses | Limits landlords ask for and how to meet them | Who insures tenant improvements and betterments | A lease insurance checklist to send your advisor</t>
        </is>
      </c>
      <c r="U475" s="25" t="inlineStr">
        <is>
          <t>What insurance does a landlord require for a commercial lease? | What is tenants' legal liability coverage on a business policy? | Should my landlord be an additional insured on my policy? | Who insures improvements I make to a leased space?</t>
        </is>
      </c>
      <c r="V475" s="25" t="inlineStr">
        <is>
          <t>A clause-by-clause lease insurance checklist (limits, additional insured, waiver, notice of cancellation, improvements) with a plain-language translation of each clause.</t>
        </is>
      </c>
      <c r="W475" s="25" t="inlineStr">
        <is>
          <t>/business-insurance/; /guides/certificate-of-insurance-explained/; /guides/additional-insured-explained/; /guides/commercial-property-insurance-explained/</t>
        </is>
      </c>
      <c r="X475" s="25" t="inlineStr">
        <is>
          <t>Send your lease's insurance clause to a licensed advisor (/business-insurance/)</t>
        </is>
      </c>
      <c r="Y475" s="36" t="inlineStr">
        <is>
          <t>Article; FAQPage; BreadcrumbList</t>
        </is>
      </c>
      <c r="Z475" s="37" t="n">
        <v>1600</v>
      </c>
      <c r="AA475" s="25" t="inlineStr">
        <is>
          <t>Rates.ca has a tenant-legal-liability quote page for Ontario; no competitor seen translates lease insurance clauses into a checklist.</t>
        </is>
      </c>
      <c r="AB475" s="25" t="inlineStr">
        <is>
          <t>Focus keyword in title, H1, slug, meta and first 100 words; first H2 lists the four usual requirements in 40-60 words. Show generic sample clause wording in callout boxes and link the certificate and additional insured guides with exact anchors. Licensed reviewer, plus a note that a lawyer should review lease terms; review annually.</t>
        </is>
      </c>
      <c r="AC475" s="25" t="inlineStr">
        <is>
          <t>Not legal advice; recommend a lawyer for lease terms. Verify 'tenants' legal liability' terminology against the IBC CGL form and keep sample clauses generic.</t>
        </is>
      </c>
      <c r="AD475" s="36" t="inlineStr">
        <is>
          <t>Annual</t>
        </is>
      </c>
      <c r="AE475" s="38" t="n"/>
      <c r="AF475" s="38" t="n"/>
      <c r="AG475" s="38" t="n"/>
    </row>
    <row r="476" ht="35.05" customHeight="1" s="22">
      <c r="A476" s="36">
        <f>"B"&amp;TEXT(ROW()-1,"0000")</f>
        <v/>
      </c>
      <c r="B476" s="38" t="inlineStr">
        <is>
          <t>Planned</t>
        </is>
      </c>
      <c r="C476" s="36" t="n">
        <v>3</v>
      </c>
      <c r="D476" s="36" t="inlineStr">
        <is>
          <t>Business insurance</t>
        </is>
      </c>
      <c r="E476" s="36" t="inlineStr">
        <is>
          <t>Contracts &amp; certificates</t>
        </is>
      </c>
      <c r="F476" s="25" t="inlineStr">
        <is>
          <t>Insurance Requirements in Contracts: How to Read Indemnity, Hold Harmless and Waiver Clauses</t>
        </is>
      </c>
      <c r="G476" s="36" t="inlineStr">
        <is>
          <t>https://instasure.ca/guides/insurance-requirements-in-contracts/</t>
        </is>
      </c>
      <c r="H476" s="36" t="inlineStr">
        <is>
          <t>insurance requirements in contracts</t>
        </is>
      </c>
      <c r="I476" s="41">
        <f>IFERROR(INDEX('Nationwide KWs'!$D$2:$D$168,MATCH(H476,'Nationwide KWs'!$A$2:$A$168,0)),IFERROR(INDEX('Provincial KWs'!$E$2:$E$137,MATCH(H476,'Provincial KWs'!$A$2:$A$137,0)),IFERROR(INDEX('City KWs'!$F$2:$F$419,MATCH(H476,'City KWs'!$A$2:$A$419,0)),"")))</f>
        <v/>
      </c>
      <c r="J476" s="36" t="inlineStr">
        <is>
          <t>Niche</t>
        </is>
      </c>
      <c r="K476" s="25" t="inlineStr">
        <is>
          <t>indemnity clause insurance; hold harmless agreement canada; waiver of subrogation; contractual liability coverage; client insurance requirements</t>
        </is>
      </c>
      <c r="L476" s="36" t="inlineStr">
        <is>
          <t>Nationwide</t>
        </is>
      </c>
      <c r="M476" s="36" t="inlineStr">
        <is>
          <t>informational</t>
        </is>
      </c>
      <c r="N476" s="36" t="inlineStr">
        <is>
          <t>MOFU</t>
        </is>
      </c>
      <c r="O476" s="25" t="inlineStr">
        <is>
          <t>Insurance Requirements in Contracts: Clauses Explained</t>
        </is>
      </c>
      <c r="P476" s="36">
        <f>LEN(O476)</f>
        <v/>
      </c>
      <c r="Q476" s="25" t="inlineStr">
        <is>
          <t>Insurance requirements in contracts explained: limits, indemnity, hold harmless, waiver of subrogation and notice clauses. Use our clause review checklist.</t>
        </is>
      </c>
      <c r="R476" s="36">
        <f>LEN(Q476)</f>
        <v/>
      </c>
      <c r="S476" s="36">
        <f>IF(H476="","",IF(ISNUMBER(SEARCH(SUBSTITUTE(H476,"-"," "),SUBSTITUTE(O476,"-"," "))),"Yes","Check"))</f>
        <v/>
      </c>
      <c r="T476" s="25" t="inlineStr">
        <is>
          <t>What client contracts usually require (short answer) | Limits and coverage types | Indemnity and hold harmless clauses | Contractual liability: what your CGL does and doesn't pick up | Waiver of subrogation | Notice of cancellation and certificate timing | Clause review checklist</t>
        </is>
      </c>
      <c r="U476" s="25" t="inlineStr">
        <is>
          <t>Does my insurance cover what I agree to in an indemnity clause? | What is a waiver of subrogation? | Can I negotiate insurance requirements in a contract? | What if I can't meet a client's insurance requirement?</t>
        </is>
      </c>
      <c r="V476" s="25" t="inlineStr">
        <is>
          <t>A clause review checklist with generic sample wording, a plain-language translation and the question to ask your advisor for each clause.</t>
        </is>
      </c>
      <c r="W476" s="25" t="inlineStr">
        <is>
          <t>/business-insurance/; /professional-liability-insurance/; /guides/certificate-of-insurance-explained/; /guides/additional-insured-explained/; /contractor-insurance/</t>
        </is>
      </c>
      <c r="X476" s="25" t="inlineStr">
        <is>
          <t>Send your contract clause to a licensed advisor (/business-insurance/)</t>
        </is>
      </c>
      <c r="Y476" s="36" t="inlineStr">
        <is>
          <t>Article; FAQPage; BreadcrumbList</t>
        </is>
      </c>
      <c r="Z476" s="37" t="n">
        <v>1700</v>
      </c>
      <c r="AA476" s="25" t="inlineStr">
        <is>
          <t>No competitor coverage seen.</t>
        </is>
      </c>
      <c r="AB476" s="25" t="inlineStr">
        <is>
          <t>Focus keyword in title, H1, slug, meta and first 100 words; 40-60 word answer listing the five clause types. Present the checklist as a table and link COI and additional insured guides with exact anchors. Licensed reviewer plus a 'not legal advice' note; review annually.</t>
        </is>
      </c>
      <c r="AC476" s="25" t="inlineStr">
        <is>
          <t>Not legal advice; recommend a lawyer for contract terms. Sample clauses must be generic and labelled as illustrations.</t>
        </is>
      </c>
      <c r="AD476" s="36" t="inlineStr">
        <is>
          <t>Annual</t>
        </is>
      </c>
      <c r="AE476" s="38" t="n"/>
      <c r="AF476" s="38" t="n"/>
      <c r="AG476" s="38" t="n"/>
    </row>
    <row r="477" ht="46.25" customHeight="1" s="22">
      <c r="A477" s="36">
        <f>"B"&amp;TEXT(ROW()-1,"0000")</f>
        <v/>
      </c>
      <c r="B477" s="38" t="inlineStr">
        <is>
          <t>Planned</t>
        </is>
      </c>
      <c r="C477" s="36" t="n">
        <v>3</v>
      </c>
      <c r="D477" s="36" t="inlineStr">
        <is>
          <t>Business insurance</t>
        </is>
      </c>
      <c r="E477" s="36" t="inlineStr">
        <is>
          <t>Coverage explained</t>
        </is>
      </c>
      <c r="F477" s="25" t="inlineStr">
        <is>
          <t>Business Interruption Insurance in Canada: How It Pays, What It Excludes and How to Size It</t>
        </is>
      </c>
      <c r="G477" s="36" t="inlineStr">
        <is>
          <t>https://instasure.ca/guides/business-interruption-insurance-explained/</t>
        </is>
      </c>
      <c r="H477" s="36" t="inlineStr">
        <is>
          <t>business interruption insurance</t>
        </is>
      </c>
      <c r="I477" s="41">
        <f>IFERROR(INDEX('Nationwide KWs'!$D$2:$D$168,MATCH(H477,'Nationwide KWs'!$A$2:$A$168,0)),IFERROR(INDEX('Provincial KWs'!$E$2:$E$137,MATCH(H477,'Provincial KWs'!$A$2:$A$137,0)),IFERROR(INDEX('City KWs'!$F$2:$F$419,MATCH(H477,'City KWs'!$A$2:$A$419,0)),"")))</f>
        <v/>
      </c>
      <c r="J477" s="36" t="inlineStr">
        <is>
          <t>Medium</t>
        </is>
      </c>
      <c r="K477" s="25" t="inlineStr">
        <is>
          <t>business interruption insurance canada; loss of income insurance business; indemnity period; extra expense coverage; contingent business interruption</t>
        </is>
      </c>
      <c r="L477" s="36" t="inlineStr">
        <is>
          <t>Nationwide</t>
        </is>
      </c>
      <c r="M477" s="36" t="inlineStr">
        <is>
          <t>informational</t>
        </is>
      </c>
      <c r="N477" s="36" t="inlineStr">
        <is>
          <t>MOFU</t>
        </is>
      </c>
      <c r="O477" s="25" t="inlineStr">
        <is>
          <t>Business Interruption Insurance in Canada, Explained</t>
        </is>
      </c>
      <c r="P477" s="36">
        <f>LEN(O477)</f>
        <v/>
      </c>
      <c r="Q477" s="25" t="inlineStr">
        <is>
          <t>Business interruption insurance replaces lost profit after a covered loss. Learn indemnity and waiting periods, exclusions and sizing. Use our worksheet.</t>
        </is>
      </c>
      <c r="R477" s="36">
        <f>LEN(Q477)</f>
        <v/>
      </c>
      <c r="S477" s="36">
        <f>IF(H477="","",IF(ISNUMBER(SEARCH(SUBSTITUTE(H477,"-"," "),SUBSTITUTE(O477,"-"," "))),"Yes","Check"))</f>
        <v/>
      </c>
      <c r="T477" s="25" t="inlineStr">
        <is>
          <t>What business interruption insurance does (short answer) | Gross earnings vs profits forms, and extra expense | Waiting period and indemnity period | What triggers a claim and what doesn't: pandemics, utilities, suppliers | Contingent business interruption and civil authority | How to estimate the limit you need: a worked example | Documenting a business interruption claim</t>
        </is>
      </c>
      <c r="U477" s="25" t="inlineStr">
        <is>
          <t>Does business interruption insurance cover a pandemic closure? | Can I buy business interruption insurance on its own? | How long does business interruption insurance pay? | Does business interruption cover a power outage?</t>
        </is>
      </c>
      <c r="V477" s="25" t="inlineStr">
        <is>
          <t>A worked sizing example (12-month indemnity period, seasonal revenue, continuing expenses) with a fill-in worksheet readers can copy.</t>
        </is>
      </c>
      <c r="W477" s="25" t="inlineStr">
        <is>
          <t>/business-insurance/; /guides/commercial-property-insurance-explained/; /business-insurance/restaurants/; /calculators/business-coverage/</t>
        </is>
      </c>
      <c r="X477" s="25" t="inlineStr">
        <is>
          <t>Ask a licensed advisor to review your business interruption limit (/business-insurance/)</t>
        </is>
      </c>
      <c r="Y477" s="36" t="inlineStr">
        <is>
          <t>Article; FAQPage; BreadcrumbList</t>
        </is>
      </c>
      <c r="Z477" s="37" t="n">
        <v>1800</v>
      </c>
      <c r="AA477" s="25" t="inlineStr">
        <is>
          <t>Ratehub has a business-interruption quote page; no competitor seen publishes a sizing worksheet or explains waiting and indemnity periods with a worked example.</t>
        </is>
      </c>
      <c r="AB477" s="25" t="inlineStr">
        <is>
          <t>Keyword in title, H1, slug, meta and first 100 words; the first H2 gives a 40-60 word definition (lost profit plus continuing expenses after an insured physical loss). Add the worksheet as a table and a 'triggers vs non-triggers' list; link the property guide with the anchor 'commercial property insurance'. Licensed reviewer; cite Canadian court decisions on pandemic claims only from primary or legal sources; review annually.</t>
        </is>
      </c>
      <c r="AC477" s="25" t="inlineStr">
        <is>
          <t>Verify statements about virus exclusions and Canadian pandemic business interruption rulings with legal sources; describe policy terms as typical, not universal. Label the worked example illustrative.</t>
        </is>
      </c>
      <c r="AD477" s="36" t="inlineStr">
        <is>
          <t>Annual</t>
        </is>
      </c>
      <c r="AE477" s="38" t="n"/>
      <c r="AF477" s="38" t="n"/>
      <c r="AG477" s="38" t="n"/>
    </row>
    <row r="478" ht="35.05" customHeight="1" s="22">
      <c r="A478" s="36">
        <f>"B"&amp;TEXT(ROW()-1,"0000")</f>
        <v/>
      </c>
      <c r="B478" s="38" t="inlineStr">
        <is>
          <t>Planned</t>
        </is>
      </c>
      <c r="C478" s="36" t="n">
        <v>3</v>
      </c>
      <c r="D478" s="36" t="inlineStr">
        <is>
          <t>Business insurance</t>
        </is>
      </c>
      <c r="E478" s="36" t="inlineStr">
        <is>
          <t>Coverage explained</t>
        </is>
      </c>
      <c r="F478" s="25" t="inlineStr">
        <is>
          <t>Commercial Crime Insurance: Employee Theft, Fraud and Social Engineering Losses</t>
        </is>
      </c>
      <c r="G478" s="36" t="inlineStr">
        <is>
          <t>https://instasure.ca/guides/commercial-crime-insurance-canada/</t>
        </is>
      </c>
      <c r="H478" s="36" t="inlineStr">
        <is>
          <t>commercial crime insurance</t>
        </is>
      </c>
      <c r="I478" s="41">
        <f>IFERROR(INDEX('Nationwide KWs'!$D$2:$D$168,MATCH(H478,'Nationwide KWs'!$A$2:$A$168,0)),IFERROR(INDEX('Provincial KWs'!$E$2:$E$137,MATCH(H478,'Provincial KWs'!$A$2:$A$137,0)),IFERROR(INDEX('City KWs'!$F$2:$F$419,MATCH(H478,'City KWs'!$A$2:$A$419,0)),"")))</f>
        <v/>
      </c>
      <c r="J478" s="36" t="inlineStr">
        <is>
          <t>Niche</t>
        </is>
      </c>
      <c r="K478" s="25" t="inlineStr">
        <is>
          <t>employee theft insurance; fidelity insurance canada; social engineering fraud coverage; employee dishonesty coverage; funds transfer fraud insurance</t>
        </is>
      </c>
      <c r="L478" s="36" t="inlineStr">
        <is>
          <t>Nationwide</t>
        </is>
      </c>
      <c r="M478" s="36" t="inlineStr">
        <is>
          <t>commercial</t>
        </is>
      </c>
      <c r="N478" s="36" t="inlineStr">
        <is>
          <t>MOFU</t>
        </is>
      </c>
      <c r="O478" s="25" t="inlineStr">
        <is>
          <t>Commercial Crime Insurance in Canada, Explained</t>
        </is>
      </c>
      <c r="P478" s="36">
        <f>LEN(O478)</f>
        <v/>
      </c>
      <c r="Q478" s="25" t="inlineStr">
        <is>
          <t>Commercial crime insurance covers employee theft, forgery and social engineering fraud that property and cyber policies can miss. See who needs it. Ask us.</t>
        </is>
      </c>
      <c r="R478" s="36">
        <f>LEN(Q478)</f>
        <v/>
      </c>
      <c r="S478" s="36">
        <f>IF(H478="","",IF(ISNUMBER(SEARCH(SUBSTITUTE(H478,"-"," "),SUBSTITUTE(O478,"-"," "))),"Yes","Check"))</f>
        <v/>
      </c>
      <c r="T478" s="25" t="inlineStr">
        <is>
          <t>What commercial crime insurance covers (short answer) | Employee theft and dishonesty | Forgery, counterfeit money and computer fraud | Social engineering and fake-invoice fraud | How crime, cyber and property policies overlap | Proving a crime loss: discovery and documentation | Controls that lower premiums</t>
        </is>
      </c>
      <c r="U478" s="25" t="inlineStr">
        <is>
          <t>Does business insurance cover employee theft? | Is social engineering fraud covered by cyber insurance or crime insurance? | What is a fidelity bond? | How do I prove an employee stole from my business?</t>
        </is>
      </c>
      <c r="V478" s="25" t="inlineStr">
        <is>
          <t>An overlap map showing which policy (crime, cyber, property, bond) typically responds to 8 fraud and theft scenarios, plus an internal-controls checklist.</t>
        </is>
      </c>
      <c r="W478" s="25" t="inlineStr">
        <is>
          <t>/business-insurance/; /business-insurance/cyber/; /guides/contractor-bonds-vs-insurance/; /guides/cyber-insurance-cost-small-business-canada/</t>
        </is>
      </c>
      <c r="X478" s="25" t="inlineStr">
        <is>
          <t>Request a licensed advisor call (/business-insurance/)</t>
        </is>
      </c>
      <c r="Y478" s="36" t="inlineStr">
        <is>
          <t>Article; FAQPage; BreadcrumbList</t>
        </is>
      </c>
      <c r="Z478" s="37" t="n">
        <v>1500</v>
      </c>
      <c r="AA478" s="25" t="inlineStr">
        <is>
          <t>No competitor coverage seen; the Ratehub and Rates.ca business trees have no crime or fidelity pages.</t>
        </is>
      </c>
      <c r="AB478" s="25" t="inlineStr">
        <is>
          <t>Focus keyword in title, H1, slug, meta and first 100 words; 40-60 word answer listing employee theft, forgery and social engineering. The overlap map is the citation target; link the cyber page and the bonds guide with exact anchors. Licensed reviewer; review annually.</t>
        </is>
      </c>
      <c r="AC478" s="25" t="inlineStr">
        <is>
          <t>Coverage triggers (discovery vs loss sustained) and social engineering sub-limits vary; verify with insurer wordings and describe them as typical.</t>
        </is>
      </c>
      <c r="AD478" s="36" t="inlineStr">
        <is>
          <t>Annual</t>
        </is>
      </c>
      <c r="AE478" s="38" t="n"/>
      <c r="AF478" s="38" t="n"/>
      <c r="AG478" s="38" t="n"/>
    </row>
    <row r="479" ht="35.05" customHeight="1" s="22">
      <c r="A479" s="36">
        <f>"B"&amp;TEXT(ROW()-1,"0000")</f>
        <v/>
      </c>
      <c r="B479" s="38" t="inlineStr">
        <is>
          <t>Planned</t>
        </is>
      </c>
      <c r="C479" s="36" t="n">
        <v>3</v>
      </c>
      <c r="D479" s="36" t="inlineStr">
        <is>
          <t>Business insurance</t>
        </is>
      </c>
      <c r="E479" s="36" t="inlineStr">
        <is>
          <t>Coverage explained</t>
        </is>
      </c>
      <c r="F479" s="25" t="inlineStr">
        <is>
          <t>Commercial Umbrella Insurance in Canada: When Your Business Needs More Than $2 Million</t>
        </is>
      </c>
      <c r="G479" s="36" t="inlineStr">
        <is>
          <t>https://instasure.ca/guides/commercial-umbrella-insurance-canada/</t>
        </is>
      </c>
      <c r="H479" s="36" t="inlineStr">
        <is>
          <t>commercial umbrella insurance</t>
        </is>
      </c>
      <c r="I479" s="41">
        <f>IFERROR(INDEX('Nationwide KWs'!$D$2:$D$168,MATCH(H479,'Nationwide KWs'!$A$2:$A$168,0)),IFERROR(INDEX('Provincial KWs'!$E$2:$E$137,MATCH(H479,'Provincial KWs'!$A$2:$A$137,0)),IFERROR(INDEX('City KWs'!$F$2:$F$419,MATCH(H479,'City KWs'!$A$2:$A$419,0)),"")))</f>
        <v/>
      </c>
      <c r="J479" s="36" t="inlineStr">
        <is>
          <t>Niche</t>
        </is>
      </c>
      <c r="K479" s="25" t="inlineStr">
        <is>
          <t>business umbrella insurance canada; excess liability insurance; umbrella vs excess liability; $5 million liability; umbrella insurance for contractors</t>
        </is>
      </c>
      <c r="L479" s="36" t="inlineStr">
        <is>
          <t>Nationwide</t>
        </is>
      </c>
      <c r="M479" s="36" t="inlineStr">
        <is>
          <t>commercial</t>
        </is>
      </c>
      <c r="N479" s="36" t="inlineStr">
        <is>
          <t>MOFU</t>
        </is>
      </c>
      <c r="O479" s="25" t="inlineStr">
        <is>
          <t>Commercial Umbrella Insurance in Canada, Explained</t>
        </is>
      </c>
      <c r="P479" s="36">
        <f>LEN(O479)</f>
        <v/>
      </c>
      <c r="Q479" s="25" t="inlineStr">
        <is>
          <t>Commercial umbrella insurance adds liability limits above your CGL, auto and employer policies. See when you need it and umbrella vs excess. Get a quote.</t>
        </is>
      </c>
      <c r="R479" s="36">
        <f>LEN(Q479)</f>
        <v/>
      </c>
      <c r="S479" s="36">
        <f>IF(H479="","",IF(ISNUMBER(SEARCH(SUBSTITUTE(H479,"-"," "),SUBSTITUTE(O479,"-"," "))),"Yes","Check"))</f>
        <v/>
      </c>
      <c r="T479" s="25" t="inlineStr">
        <is>
          <t>What commercial umbrella insurance does (short answer) | Umbrella vs excess liability | Which underlying policies it sits over | When contracts or risks call for it | Underlying limit requirements and gaps | How umbrella cover is priced</t>
        </is>
      </c>
      <c r="U479" s="25" t="inlineStr">
        <is>
          <t>What is the difference between umbrella and excess liability? | Does a commercial umbrella cover professional liability? | Do I need an umbrella policy to meet a $5 million contract requirement? | Is my personal umbrella policy enough for my business?</t>
        </is>
      </c>
      <c r="V479" s="25" t="inlineStr">
        <is>
          <t>A stacked-limits diagram (CGL, auto, employer's liability, umbrella) with a worked claim showing which layer pays.</t>
        </is>
      </c>
      <c r="W479" s="25" t="inlineStr">
        <is>
          <t>/business-insurance/; /umbrella-insurance/; /guides/how-much-liability-insurance-business-needs/; /business-insurance/commercial-auto/</t>
        </is>
      </c>
      <c r="X479" s="25" t="inlineStr">
        <is>
          <t>Request an umbrella quote from a licensed advisor (/business-insurance/)</t>
        </is>
      </c>
      <c r="Y479" s="36" t="inlineStr">
        <is>
          <t>Article; FAQPage; BreadcrumbList</t>
        </is>
      </c>
      <c r="Z479" s="37" t="n">
        <v>1300</v>
      </c>
      <c r="AA479" s="25" t="inlineStr">
        <is>
          <t>Ratehub has a personal umbrella page; no competitor seen covers commercial umbrella or excess liability.</t>
        </is>
      </c>
      <c r="AB479" s="25" t="inlineStr">
        <is>
          <t>Focus keyword in title, H1, slug, meta and first 100 words; 40-60 word answer on how the layers stack. Use the stacked-limits diagram (alt text 'commercial umbrella layers diagram') and link the personal umbrella page to separate the two products. Licensed reviewer; review annually.</t>
        </is>
      </c>
      <c r="AC479" s="25" t="inlineStr">
        <is>
          <t>Personal umbrella policies commonly exclude business activities; state it as common and verify. Describe follow-form and drop-down features in general terms.</t>
        </is>
      </c>
      <c r="AD479" s="36" t="inlineStr">
        <is>
          <t>Annual</t>
        </is>
      </c>
      <c r="AE479" s="38" t="n"/>
      <c r="AF479" s="38" t="n"/>
      <c r="AG479" s="38" t="n"/>
    </row>
    <row r="480" ht="46.25" customHeight="1" s="22">
      <c r="A480" s="36">
        <f>"B"&amp;TEXT(ROW()-1,"0000")</f>
        <v/>
      </c>
      <c r="B480" s="38" t="inlineStr">
        <is>
          <t>Planned</t>
        </is>
      </c>
      <c r="C480" s="36" t="n">
        <v>3</v>
      </c>
      <c r="D480" s="36" t="inlineStr">
        <is>
          <t>Business insurance</t>
        </is>
      </c>
      <c r="E480" s="36" t="inlineStr">
        <is>
          <t>Coverage explained</t>
        </is>
      </c>
      <c r="F480" s="25" t="inlineStr">
        <is>
          <t>Liquor Liability Insurance in Canada: Host Liability, Licence Rules and Coverage</t>
        </is>
      </c>
      <c r="G480" s="36" t="inlineStr">
        <is>
          <t>https://instasure.ca/guides/liquor-liability-insurance-canada/</t>
        </is>
      </c>
      <c r="H480" s="36" t="inlineStr">
        <is>
          <t>liquor liability insurance</t>
        </is>
      </c>
      <c r="I480" s="41">
        <f>IFERROR(INDEX('Nationwide KWs'!$D$2:$D$168,MATCH(H480,'Nationwide KWs'!$A$2:$A$168,0)),IFERROR(INDEX('Provincial KWs'!$E$2:$E$137,MATCH(H480,'Provincial KWs'!$A$2:$A$137,0)),IFERROR(INDEX('City KWs'!$F$2:$F$419,MATCH(H480,'City KWs'!$A$2:$A$419,0)),"")))</f>
        <v/>
      </c>
      <c r="J480" s="36" t="inlineStr">
        <is>
          <t>Low</t>
        </is>
      </c>
      <c r="K480" s="25" t="inlineStr">
        <is>
          <t>liquor liability insurance ontario; agco insurance requirement; host liquor liability; bar insurance; special event liquor licence insurance</t>
        </is>
      </c>
      <c r="L480" s="36" t="inlineStr">
        <is>
          <t>Nationwide</t>
        </is>
      </c>
      <c r="M480" s="36" t="inlineStr">
        <is>
          <t>commercial</t>
        </is>
      </c>
      <c r="N480" s="36" t="inlineStr">
        <is>
          <t>MOFU</t>
        </is>
      </c>
      <c r="O480" s="25" t="inlineStr">
        <is>
          <t>Liquor Liability Insurance in Canada: What It Covers</t>
        </is>
      </c>
      <c r="P480" s="36">
        <f>LEN(O480)</f>
        <v/>
      </c>
      <c r="Q480" s="25" t="inlineStr">
        <is>
          <t>Liquor liability insurance covers claims when an intoxicated guest causes harm. See licence rules by province and what drives the cost. Get a quote.</t>
        </is>
      </c>
      <c r="R480" s="36">
        <f>LEN(Q480)</f>
        <v/>
      </c>
      <c r="S480" s="36">
        <f>IF(H480="","",IF(ISNUMBER(SEARCH(SUBSTITUTE(H480,"-"," "),SUBSTITUTE(O480,"-"," "))),"Yes","Check"))</f>
        <v/>
      </c>
      <c r="T480" s="25" t="inlineStr">
        <is>
          <t>What liquor liability insurance covers (short answer) | Commercial host liability: the Canadian legal background | Province licence requirements for liquor licensees | Host liquor liability on a CGL vs a standalone policy | Special events and caterers | Lowering risk and premium: training and incident logs</t>
        </is>
      </c>
      <c r="U480" s="25" t="inlineStr">
        <is>
          <t>Is liquor liability insurance mandatory in Ontario? | Does general liability insurance cover liquor claims? | Do I need liquor liability insurance for a private event? | What is host liquor liability?</t>
        </is>
      </c>
      <c r="V480" s="25" t="inlineStr">
        <is>
          <t>A province table of liquor-licence insurance requirements (AGCO and the other provincial liquor regulators) with source links, plus a staff-training and incident-log template.</t>
        </is>
      </c>
      <c r="W480" s="25" t="inlineStr">
        <is>
          <t>/business-insurance/restaurants/; /guides/restaurant-insurance-cost-canada/; /guides/commercial-general-liability-insurance-explained/; /business-insurance/</t>
        </is>
      </c>
      <c r="X480" s="25" t="inlineStr">
        <is>
          <t>Instant restaurant and bar insurance estimate (/quote/)</t>
        </is>
      </c>
      <c r="Y480" s="36" t="inlineStr">
        <is>
          <t>Article; FAQPage; BreadcrumbList</t>
        </is>
      </c>
      <c r="Z480" s="37" t="n">
        <v>1500</v>
      </c>
      <c r="AA480" s="25" t="inlineStr">
        <is>
          <t>No competitor coverage seen; Rates.ca's food-and-beverage page and Ratehub's CGL page do not address liquor-licence insurance requirements.</t>
        </is>
      </c>
      <c r="AB480" s="25" t="inlineStr">
        <is>
          <t>Keyword in title, H1, slug, meta and first 100 words; 40-60 word answer under the first H2. The province table links each regulator (AGCO, BC LCRB, AGLC and others) with a 'checked on' date; anchor 'restaurant insurance cost' to the cost guide. Licensed reviewer; update whenever a liquor regulator changes its insurance rule.</t>
        </is>
      </c>
      <c r="AC480" s="25" t="inlineStr">
        <is>
          <t>Verify each province's liquor licensee insurance requirement (including any AGCO minimum liability rule) on the regulator's site before stating limits; summarise case law cautiously and link the decision.</t>
        </is>
      </c>
      <c r="AD480" s="36" t="inlineStr">
        <is>
          <t>On rule change</t>
        </is>
      </c>
      <c r="AE480" s="38" t="n"/>
      <c r="AF480" s="38" t="n"/>
      <c r="AG480" s="38" t="n"/>
    </row>
    <row r="481" ht="46.25" customHeight="1" s="22">
      <c r="A481" s="36">
        <f>"B"&amp;TEXT(ROW()-1,"0000")</f>
        <v/>
      </c>
      <c r="B481" s="38" t="inlineStr">
        <is>
          <t>Planned</t>
        </is>
      </c>
      <c r="C481" s="36" t="n">
        <v>3</v>
      </c>
      <c r="D481" s="36" t="inlineStr">
        <is>
          <t>Business insurance</t>
        </is>
      </c>
      <c r="E481" s="36" t="inlineStr">
        <is>
          <t>Coverage explained</t>
        </is>
      </c>
      <c r="F481" s="25" t="inlineStr">
        <is>
          <t>Product Liability Insurance for Canadian Makers, Importers and Online Sellers</t>
        </is>
      </c>
      <c r="G481" s="36" t="inlineStr">
        <is>
          <t>https://instasure.ca/guides/product-liability-insurance-canada/</t>
        </is>
      </c>
      <c r="H481" s="36" t="inlineStr">
        <is>
          <t>product liability insurance canada</t>
        </is>
      </c>
      <c r="I481" s="41">
        <f>IFERROR(INDEX('Nationwide KWs'!$D$2:$D$168,MATCH(H481,'Nationwide KWs'!$A$2:$A$168,0)),IFERROR(INDEX('Provincial KWs'!$E$2:$E$137,MATCH(H481,'Provincial KWs'!$A$2:$A$137,0)),IFERROR(INDEX('City KWs'!$F$2:$F$419,MATCH(H481,'City KWs'!$A$2:$A$419,0)),"")))</f>
        <v/>
      </c>
      <c r="J481" s="36" t="inlineStr">
        <is>
          <t>Low</t>
        </is>
      </c>
      <c r="K481" s="25" t="inlineStr">
        <is>
          <t>product liability insurance for small business; insurance for online sellers canada; amazon seller insurance canada; e-commerce business insurance; product recall insurance</t>
        </is>
      </c>
      <c r="L481" s="36" t="inlineStr">
        <is>
          <t>Nationwide</t>
        </is>
      </c>
      <c r="M481" s="36" t="inlineStr">
        <is>
          <t>commercial</t>
        </is>
      </c>
      <c r="N481" s="36" t="inlineStr">
        <is>
          <t>MOFU</t>
        </is>
      </c>
      <c r="O481" s="25" t="inlineStr">
        <is>
          <t>Product Liability Insurance in Canada for Small Sellers</t>
        </is>
      </c>
      <c r="P481" s="36">
        <f>LEN(O481)</f>
        <v/>
      </c>
      <c r="Q481" s="25" t="inlineStr">
        <is>
          <t>Product liability insurance in Canada for makers, importers and online sellers: what it covers, marketplace rules, recalls and costs. Get an estimate.</t>
        </is>
      </c>
      <c r="R481" s="36">
        <f>LEN(Q481)</f>
        <v/>
      </c>
      <c r="S481" s="36">
        <f>IF(H481="","",IF(ISNUMBER(SEARCH(SUBSTITUTE(H481,"-"," "),SUBSTITUTE(O481,"-"," "))),"Yes","Check"))</f>
        <v/>
      </c>
      <c r="T481" s="25" t="inlineStr">
        <is>
          <t>Who needs product liability insurance (short answer) | What it covers: injury and damage caused by products you sell | Importers and private-label sellers: why you carry the maker's risk | Marketplace and retailer insurance requirements | Product recalls and what product liability excludes | What drives cost: product type, sales, where you ship | Checklist before you list a new product</t>
        </is>
      </c>
      <c r="U481" s="25" t="inlineStr">
        <is>
          <t>Do I need product liability insurance to sell on Amazon in Canada? | Does product liability insurance cover a recall? | I only resell products; am I still liable? | Does CGL include product liability?</t>
        </is>
      </c>
      <c r="V481" s="25" t="inlineStr">
        <is>
          <t>A risk-tier table of common product categories (cosmetics, food, children's products, electronics, apparel) with the questions insurers ask for each, plus a pre-listing checklist.</t>
        </is>
      </c>
      <c r="W481" s="25" t="inlineStr">
        <is>
          <t>/business-insurance/; /business-insurance/home-based/; /guides/commercial-general-liability-insurance-explained/; /business-insurance/cyber/</t>
        </is>
      </c>
      <c r="X481" s="25" t="inlineStr">
        <is>
          <t>Instant business insurance estimate (/quote/)</t>
        </is>
      </c>
      <c r="Y481" s="36" t="inlineStr">
        <is>
          <t>Article; FAQPage; BreadcrumbList</t>
        </is>
      </c>
      <c r="Z481" s="37" t="n">
        <v>1700</v>
      </c>
      <c r="AA481" s="25" t="inlineStr">
        <is>
          <t>Ratehub has a product-liability quote page (its title repeats 'in Canada'); no competitor seen covers importers, private-label sellers or marketplace insurance requirements.</t>
        </is>
      </c>
      <c r="AB481" s="25" t="inlineStr">
        <is>
          <t>Keyword in title, H1, slug, meta and first 100 words; answer under the first H2 in 40-60 words. Add the product-category risk table and cite Health Canada's Canada Consumer Product Safety Act guidance for recall and incident-report duties. Licensed reviewer; review annually and whenever a major marketplace changes seller insurance rules.</t>
        </is>
      </c>
      <c r="AC481" s="25" t="inlineStr">
        <is>
          <t>Verify each marketplace's current seller insurance thresholds in its own seller terms before naming them, and verify CCPSA recall and incident-reporting duties with Health Canada.</t>
        </is>
      </c>
      <c r="AD481" s="36" t="inlineStr">
        <is>
          <t>Annual</t>
        </is>
      </c>
      <c r="AE481" s="38" t="n"/>
      <c r="AF481" s="38" t="n"/>
      <c r="AG481" s="38" t="n"/>
    </row>
    <row r="482" ht="35.05" customHeight="1" s="22">
      <c r="A482" s="36">
        <f>"B"&amp;TEXT(ROW()-1,"0000")</f>
        <v/>
      </c>
      <c r="B482" s="38" t="inlineStr">
        <is>
          <t>Planned</t>
        </is>
      </c>
      <c r="C482" s="36" t="n">
        <v>3</v>
      </c>
      <c r="D482" s="36" t="inlineStr">
        <is>
          <t>Business insurance</t>
        </is>
      </c>
      <c r="E482" s="36" t="inlineStr">
        <is>
          <t>How-to</t>
        </is>
      </c>
      <c r="F482" s="25" t="inlineStr">
        <is>
          <t>Business Insurance Renewal Checklist: Why Your Premium Changed and What to Review</t>
        </is>
      </c>
      <c r="G482" s="36" t="inlineStr">
        <is>
          <t>https://instasure.ca/guides/business-insurance-renewal-checklist/</t>
        </is>
      </c>
      <c r="H482" s="36" t="inlineStr">
        <is>
          <t>business insurance renewal</t>
        </is>
      </c>
      <c r="I482" s="41">
        <f>IFERROR(INDEX('Nationwide KWs'!$D$2:$D$168,MATCH(H482,'Nationwide KWs'!$A$2:$A$168,0)),IFERROR(INDEX('Provincial KWs'!$E$2:$E$137,MATCH(H482,'Provincial KWs'!$A$2:$A$137,0)),IFERROR(INDEX('City KWs'!$F$2:$F$419,MATCH(H482,'City KWs'!$A$2:$A$419,0)),"")))</f>
        <v/>
      </c>
      <c r="J482" s="36" t="inlineStr">
        <is>
          <t>Niche</t>
        </is>
      </c>
      <c r="K482" s="25" t="inlineStr">
        <is>
          <t>why did my business insurance go up; commercial insurance renewal; business insurance premium increase; review business insurance; switching business insurance</t>
        </is>
      </c>
      <c r="L482" s="36" t="inlineStr">
        <is>
          <t>Nationwide</t>
        </is>
      </c>
      <c r="M482" s="36" t="inlineStr">
        <is>
          <t>informational</t>
        </is>
      </c>
      <c r="N482" s="36" t="inlineStr">
        <is>
          <t>MOFU</t>
        </is>
      </c>
      <c r="O482" s="25" t="inlineStr">
        <is>
          <t>Business Insurance Renewal: Why It Changed and What to Do</t>
        </is>
      </c>
      <c r="P482" s="36">
        <f>LEN(O482)</f>
        <v/>
      </c>
      <c r="Q482" s="25" t="inlineStr">
        <is>
          <t>Business insurance renewal coming up? See why premiums change, the 12 items to update before you renew and when to compare insurers. Get the checklist.</t>
        </is>
      </c>
      <c r="R482" s="36">
        <f>LEN(Q482)</f>
        <v/>
      </c>
      <c r="S482" s="36">
        <f>IF(H482="","",IF(ISNUMBER(SEARCH(SUBSTITUTE(H482,"-"," "),SUBSTITUTE(O482,"-"," "))),"Yes","Check"))</f>
        <v/>
      </c>
      <c r="T482" s="25" t="inlineStr">
        <is>
          <t>Why business premiums change at renewal (short answer) | Market factors vs changes in your own risk | The 12-item renewal checklist | Revenue, payroll and headcount updates | New services, locations and contracts | Switching insurers at renewal or mid-term | Get a second opinion</t>
        </is>
      </c>
      <c r="U482" s="25" t="inlineStr">
        <is>
          <t>Why did my business insurance go up with no claims? | When should I start my business insurance renewal? | Can I switch business insurers before my renewal date? | Do I have to report revenue changes to my insurer?</t>
        </is>
      </c>
      <c r="V482" s="25" t="inlineStr">
        <is>
          <t>A 12-item renewal checklist (revenue, payroll, locations, services, contracts, vehicles, claims, security controls and more) as a downloadable form.</t>
        </is>
      </c>
      <c r="W482" s="25" t="inlineStr">
        <is>
          <t>/business-insurance/; /calculators/business-coverage/; /guides/small-business-insurance-cost-canada/; /guides/cancel-insurance-policy-canada/</t>
        </is>
      </c>
      <c r="X482" s="25" t="inlineStr">
        <is>
          <t>Get an instant estimate before you renew (/quote/)</t>
        </is>
      </c>
      <c r="Y482" s="36" t="inlineStr">
        <is>
          <t>Article; FAQPage; BreadcrumbList</t>
        </is>
      </c>
      <c r="Z482" s="37" t="n">
        <v>1400</v>
      </c>
      <c r="AA482" s="25" t="inlineStr">
        <is>
          <t>No competitor coverage seen; renewal content from Ratehub and Sonnet covers personal auto and home only.</t>
        </is>
      </c>
      <c r="AB482" s="25" t="inlineStr">
        <is>
          <t>Focus keyword in title, H1, slug, meta and first 100 words; 40-60 word answer separating market-wide changes from your own risk changes. The checklist is the download and snippet target; anchor 'cancel a policy mid-term' to the cancellation guide. Licensed reviewer; review annually.</t>
        </is>
      </c>
      <c r="AC482" s="25" t="inlineStr">
        <is>
          <t>No claims about commercial market rate trends without a dated industry source, verified. No guarantee that switching saves money.</t>
        </is>
      </c>
      <c r="AD482" s="36" t="inlineStr">
        <is>
          <t>Annual</t>
        </is>
      </c>
      <c r="AE482" s="38" t="n"/>
      <c r="AF482" s="38" t="n"/>
      <c r="AG482" s="38" t="n"/>
    </row>
    <row r="483" ht="46.25" customHeight="1" s="22">
      <c r="A483" s="36">
        <f>"B"&amp;TEXT(ROW()-1,"0000")</f>
        <v/>
      </c>
      <c r="B483" s="38" t="inlineStr">
        <is>
          <t>Planned</t>
        </is>
      </c>
      <c r="C483" s="36" t="n">
        <v>3</v>
      </c>
      <c r="D483" s="36" t="inlineStr">
        <is>
          <t>Business insurance</t>
        </is>
      </c>
      <c r="E483" s="36" t="inlineStr">
        <is>
          <t>Local (city/province)</t>
        </is>
      </c>
      <c r="F483" s="25" t="inlineStr">
        <is>
          <t>Hail and Your Business Property in Calgary: What Commercial Insurance Covers</t>
        </is>
      </c>
      <c r="G483" s="36" t="inlineStr">
        <is>
          <t>https://instasure.ca/guides/calgary-hail-commercial-property-insurance/</t>
        </is>
      </c>
      <c r="H483" s="36" t="inlineStr">
        <is>
          <t>hail damage business insurance calgary</t>
        </is>
      </c>
      <c r="I483" s="41">
        <f>IFERROR(INDEX('Nationwide KWs'!$D$2:$D$168,MATCH(H483,'Nationwide KWs'!$A$2:$A$168,0)),IFERROR(INDEX('Provincial KWs'!$E$2:$E$137,MATCH(H483,'Provincial KWs'!$A$2:$A$137,0)),IFERROR(INDEX('City KWs'!$F$2:$F$419,MATCH(H483,'City KWs'!$A$2:$A$419,0)),"")))</f>
        <v/>
      </c>
      <c r="J483" s="36" t="inlineStr">
        <is>
          <t>Niche</t>
        </is>
      </c>
      <c r="K483" s="25" t="inlineStr">
        <is>
          <t>business insurance calgary; commercial roof hail damage claim; hail deductible commercial; calgary hailstorm business; commercial vehicle hail damage</t>
        </is>
      </c>
      <c r="L483" s="36" t="inlineStr">
        <is>
          <t>City: Calgary, AB</t>
        </is>
      </c>
      <c r="M483" s="36" t="inlineStr">
        <is>
          <t>local</t>
        </is>
      </c>
      <c r="N483" s="36" t="inlineStr">
        <is>
          <t>MOFU</t>
        </is>
      </c>
      <c r="O483" s="25" t="inlineStr">
        <is>
          <t>Hail Damage and Business Insurance in Calgary</t>
        </is>
      </c>
      <c r="P483" s="36">
        <f>LEN(O483)</f>
        <v/>
      </c>
      <c r="Q483" s="25" t="inlineStr">
        <is>
          <t>Hail damage and business insurance in Calgary: how commercial policies treat roofs, signs, stock and vehicles, plus hail deductibles. Check your cover.</t>
        </is>
      </c>
      <c r="R483" s="36">
        <f>LEN(Q483)</f>
        <v/>
      </c>
      <c r="S483" s="36">
        <f>IF(H483="","",IF(ISNUMBER(SEARCH(SUBSTITUTE(H483,"-"," "),SUBSTITUTE(O483,"-"," "))),"Yes","Check"))</f>
        <v/>
      </c>
      <c r="T483" s="25" t="inlineStr">
        <is>
          <t>Is hail covered by commercial insurance in Calgary? (short answer) | Roofs, skylights, signs and rooftop HVAC units | Company vehicles and vehicle inventory | Hail and wind deductibles and roof-age limits | Business interruption after a storm | Filing a hail claim: photos, contractors, timelines | Reducing hail risk: impact-rated materials</t>
        </is>
      </c>
      <c r="U483" s="25" t="inlineStr">
        <is>
          <t>Does commercial property insurance cover hail damage in Calgary? | Are roof-age limits common on Alberta business policies? | Will business interruption insurance pay if the storm closes my shop? | Are company vehicles covered for hail?</t>
        </is>
      </c>
      <c r="V483" s="25" t="inlineStr">
        <is>
          <t>A Calgary storm-readiness checklist for business owners and a dated table of recent major hail events with insured-loss figures from CatIQ and IBC.</t>
        </is>
      </c>
      <c r="W483" s="25" t="inlineStr">
        <is>
          <t>/business-insurance/alberta/calgary/; /guides/calgary-hail-insurance-guide/; /guides/business-interruption-insurance-explained/; /business-insurance/alberta/</t>
        </is>
      </c>
      <c r="X483" s="25" t="inlineStr">
        <is>
          <t>Instant business insurance estimate for Calgary (/business-insurance/alberta/calgary/)</t>
        </is>
      </c>
      <c r="Y483" s="36" t="inlineStr">
        <is>
          <t>Article; FAQPage; BreadcrumbList</t>
        </is>
      </c>
      <c r="Z483" s="37" t="n">
        <v>1500</v>
      </c>
      <c r="AA483" s="25" t="inlineStr">
        <is>
          <t>Hail content from IBC and local brokers focuses on homes and cars; no competitor seen covers commercial roofs, signage and stock for Calgary businesses.</t>
        </is>
      </c>
      <c r="AB483" s="25" t="inlineStr">
        <is>
          <t>Focus keyword phrasing in title, H1, meta and first 100 words, with 'business insurance Calgary' in one H2; 40-60 word answer under the first H2. Link the existing Calgary hail guide (homes and cars) and the Calgary business page with exact anchors; alt text 'hail-damaged commercial roof in Calgary'. Licensed Alberta reviewer; review annually before storm season.</t>
        </is>
      </c>
      <c r="AC483" s="25" t="inlineStr">
        <is>
          <t>Use CatIQ and IBC figures with dates (e.g. the August 5, 2024 storm re-estimate of about $3.29B, to be verified). Roof-age and deductible practices vary by insurer; describe them as common.</t>
        </is>
      </c>
      <c r="AD483" s="36" t="inlineStr">
        <is>
          <t>Annual</t>
        </is>
      </c>
      <c r="AE483" s="38" t="n"/>
      <c r="AF483" s="38" t="n"/>
      <c r="AG483" s="38" t="n"/>
    </row>
    <row r="484" ht="35.05" customHeight="1" s="22">
      <c r="A484" s="36">
        <f>"B"&amp;TEXT(ROW()-1,"0000")</f>
        <v/>
      </c>
      <c r="B484" s="38" t="inlineStr">
        <is>
          <t>Planned</t>
        </is>
      </c>
      <c r="C484" s="36" t="n">
        <v>3</v>
      </c>
      <c r="D484" s="36" t="inlineStr">
        <is>
          <t>Business insurance</t>
        </is>
      </c>
      <c r="E484" s="36" t="inlineStr">
        <is>
          <t>Personas</t>
        </is>
      </c>
      <c r="F484" s="25" t="inlineStr">
        <is>
          <t>Food Truck Insurance in Canada: Commercial Auto, Liability and City Licence Rules</t>
        </is>
      </c>
      <c r="G484" s="36" t="inlineStr">
        <is>
          <t>https://instasure.ca/guides/food-truck-insurance-canada/</t>
        </is>
      </c>
      <c r="H484" s="36" t="inlineStr">
        <is>
          <t>food truck insurance canada</t>
        </is>
      </c>
      <c r="I484" s="41">
        <f>IFERROR(INDEX('Nationwide KWs'!$D$2:$D$168,MATCH(H484,'Nationwide KWs'!$A$2:$A$168,0)),IFERROR(INDEX('Provincial KWs'!$E$2:$E$137,MATCH(H484,'Provincial KWs'!$A$2:$A$137,0)),IFERROR(INDEX('City KWs'!$F$2:$F$419,MATCH(H484,'City KWs'!$A$2:$A$419,0)),"")))</f>
        <v/>
      </c>
      <c r="J484" s="36" t="inlineStr">
        <is>
          <t>Niche</t>
        </is>
      </c>
      <c r="K484" s="25" t="inlineStr">
        <is>
          <t>food truck insurance cost; mobile food vendor insurance; food truck licence toronto insurance; concession trailer insurance; farmers market vendor insurance</t>
        </is>
      </c>
      <c r="L484" s="36" t="inlineStr">
        <is>
          <t>Nationwide</t>
        </is>
      </c>
      <c r="M484" s="36" t="inlineStr">
        <is>
          <t>commercial</t>
        </is>
      </c>
      <c r="N484" s="36" t="inlineStr">
        <is>
          <t>MOFU</t>
        </is>
      </c>
      <c r="O484" s="25" t="inlineStr">
        <is>
          <t>Food Truck Insurance in Canada: Coverage and Costs</t>
        </is>
      </c>
      <c r="P484" s="36">
        <f>LEN(O484)</f>
        <v/>
      </c>
      <c r="Q484" s="25" t="inlineStr">
        <is>
          <t>Food truck insurance combines commercial auto, liability and equipment cover. See what Canadian city licences require and what drives cost. Get a quote.</t>
        </is>
      </c>
      <c r="R484" s="36">
        <f>LEN(Q484)</f>
        <v/>
      </c>
      <c r="S484" s="36">
        <f>IF(H484="","",IF(ISNUMBER(SEARCH(SUBSTITUTE(H484,"-"," "),SUBSTITUTE(O484,"-"," "))),"Yes","Check"))</f>
        <v/>
      </c>
      <c r="T484" s="25" t="inlineStr">
        <is>
          <t>What food truck insurance includes (short answer) | Commercial auto for the truck or trailer | Liability for customers and events | Equipment, propane and fire risk | City licence and event-organizer insurance requirements | What drives cost | Checklist before your first event</t>
        </is>
      </c>
      <c r="U484" s="25" t="inlineStr">
        <is>
          <t>Do food trucks need commercial auto insurance? | How much liability insurance do I need for a food truck licence? | Does food truck insurance cover my generator and cooking equipment? | Do farmers' markets require vendor insurance?</t>
        </is>
      </c>
      <c r="V484" s="25" t="inlineStr">
        <is>
          <t>A city requirements table (Toronto, Ottawa, Calgary, Vancouver, Halifax) listing the liability limit each municipal licence page requires, with links and a 'checked on' date, plus an event-day checklist.</t>
        </is>
      </c>
      <c r="W484" s="25" t="inlineStr">
        <is>
          <t>/business-insurance/commercial-auto/; /business-insurance/restaurants/; /guides/certificate-of-insurance-explained/; /business-insurance/</t>
        </is>
      </c>
      <c r="X484" s="25" t="inlineStr">
        <is>
          <t>Request a specialist call: Commercial auto &amp; trucking desk (/business-insurance/commercial-auto/)</t>
        </is>
      </c>
      <c r="Y484" s="36" t="inlineStr">
        <is>
          <t>Article; FAQPage; BreadcrumbList</t>
        </is>
      </c>
      <c r="Z484" s="37" t="n">
        <v>1500</v>
      </c>
      <c r="AA484" s="25" t="inlineStr">
        <is>
          <t>Rates.ca has a food-truck quote page ('Protect Your Food Truck'); no competitor seen compiles municipal licence insurance requirements.</t>
        </is>
      </c>
      <c r="AB484" s="25" t="inlineStr">
        <is>
          <t>Keyword in title, H1, slug, meta and first 100 words; 40-60 word answer listing the three policy parts. The city table links each municipal licence page with an 'as of' date; anchor 'commercial auto insurance' to the desk page. Licensed reviewer; review annually and when a city bylaw changes.</t>
        </is>
      </c>
      <c r="AC484" s="25" t="inlineStr">
        <is>
          <t>Verify each city's required limits on its licence page and date them; don't generalise one city's rule nationally. Propane references verified with the provincial safety authority (TSSA in Ontario).</t>
        </is>
      </c>
      <c r="AD484" s="36" t="inlineStr">
        <is>
          <t>Annual</t>
        </is>
      </c>
      <c r="AE484" s="38" t="n"/>
      <c r="AF484" s="38" t="n"/>
      <c r="AG484" s="38" t="n"/>
    </row>
    <row r="485" ht="46.25" customHeight="1" s="22">
      <c r="A485" s="36">
        <f>"B"&amp;TEXT(ROW()-1,"0000")</f>
        <v/>
      </c>
      <c r="B485" s="38" t="inlineStr">
        <is>
          <t>Planned</t>
        </is>
      </c>
      <c r="C485" s="36" t="n">
        <v>3</v>
      </c>
      <c r="D485" s="36" t="inlineStr">
        <is>
          <t>Business insurance</t>
        </is>
      </c>
      <c r="E485" s="36" t="inlineStr">
        <is>
          <t>Personas</t>
        </is>
      </c>
      <c r="F485" s="25" t="inlineStr">
        <is>
          <t>Home Daycare Insurance in Canada: Liability, Licensing and What Your Home Policy Excludes</t>
        </is>
      </c>
      <c r="G485" s="36" t="inlineStr">
        <is>
          <t>https://instasure.ca/guides/home-daycare-insurance-canada/</t>
        </is>
      </c>
      <c r="H485" s="36" t="inlineStr">
        <is>
          <t>home daycare insurance</t>
        </is>
      </c>
      <c r="I485" s="41">
        <f>IFERROR(INDEX('Nationwide KWs'!$D$2:$D$168,MATCH(H485,'Nationwide KWs'!$A$2:$A$168,0)),IFERROR(INDEX('Provincial KWs'!$E$2:$E$137,MATCH(H485,'Provincial KWs'!$A$2:$A$137,0)),IFERROR(INDEX('City KWs'!$F$2:$F$419,MATCH(H485,'City KWs'!$A$2:$A$419,0)),"")))</f>
        <v/>
      </c>
      <c r="J485" s="36" t="inlineStr">
        <is>
          <t>Low</t>
        </is>
      </c>
      <c r="K485" s="25" t="inlineStr">
        <is>
          <t>home child care insurance ontario; daycare liability insurance; licensed home child care agency insurance; babysitting business insurance; home daycare insurance cost</t>
        </is>
      </c>
      <c r="L485" s="36" t="inlineStr">
        <is>
          <t>Nationwide</t>
        </is>
      </c>
      <c r="M485" s="36" t="inlineStr">
        <is>
          <t>commercial</t>
        </is>
      </c>
      <c r="N485" s="36" t="inlineStr">
        <is>
          <t>MOFU</t>
        </is>
      </c>
      <c r="O485" s="25" t="inlineStr">
        <is>
          <t>Home Daycare Insurance in Canada: Coverage and Rules</t>
        </is>
      </c>
      <c r="P485" s="36">
        <f>LEN(O485)</f>
        <v/>
      </c>
      <c r="Q485" s="25" t="inlineStr">
        <is>
          <t>Home daycare insurance covers injuries to children in your care, which home policies often exclude. See licensing and agency rules. Get a daycare quote.</t>
        </is>
      </c>
      <c r="R485" s="36">
        <f>LEN(Q485)</f>
        <v/>
      </c>
      <c r="S485" s="36">
        <f>IF(H485="","",IF(ISNUMBER(SEARCH(SUBSTITUTE(H485,"-"," "),SUBSTITUTE(O485,"-"," "))),"Yes","Check"))</f>
        <v/>
      </c>
      <c r="T485" s="25" t="inlineStr">
        <is>
          <t>Does home insurance cover a home daycare? (short answer) | What home daycare liability insurance covers | Licensed vs unlicensed home child care: provincial rules | What licensed agencies require of providers | Abuse and molestation coverage | Vehicles, outings and field trips | Cost drivers and example estimates</t>
        </is>
      </c>
      <c r="U485" s="25" t="inlineStr">
        <is>
          <t>Does my home insurance cover a home daycare? | Do unlicensed home daycares need insurance in Ontario? | Does daycare insurance cover abuse allegations? | Am I covered when I drive children to an outing?</t>
        </is>
      </c>
      <c r="V485" s="25" t="inlineStr">
        <is>
          <t>A province table of home child care licensing thresholds (children allowed without a licence, agency model) with links, plus a provider insurance checklist.</t>
        </is>
      </c>
      <c r="W485" s="25" t="inlineStr">
        <is>
          <t>/business-insurance/home-based/; /home-insurance/; /guides/commercial-general-liability-insurance-explained/; /business-insurance/</t>
        </is>
      </c>
      <c r="X485" s="25" t="inlineStr">
        <is>
          <t>Instant home-based business estimate (/quote/)</t>
        </is>
      </c>
      <c r="Y485" s="36" t="inlineStr">
        <is>
          <t>Article; FAQPage; BreadcrumbList</t>
        </is>
      </c>
      <c r="Z485" s="37" t="n">
        <v>1500</v>
      </c>
      <c r="AA485" s="25" t="inlineStr">
        <is>
          <t>No competitor coverage seen; Ratehub, Sonnet and Rates.ca home-business content does not cover child care.</t>
        </is>
      </c>
      <c r="AB485" s="25" t="inlineStr">
        <is>
          <t>Focus keyword in title, H1, slug, meta and first 100 words; the 40-60 word answer explains that most home policies exclude or limit daycare and what fills the gap. The province licensing table is the citation target; anchor 'home-based business insurance' to the service page. Licensed reviewer; review annually and whenever provincial child care rules change.</t>
        </is>
      </c>
      <c r="AC485" s="25" t="inlineStr">
        <is>
          <t>Verify licensing thresholds with each province (e.g. Ontario's Child Care and Early Years Act limits for unlicensed providers) and the availability of abuse coverage with insurers. Estimates labelled modelled.</t>
        </is>
      </c>
      <c r="AD485" s="36" t="inlineStr">
        <is>
          <t>Annual</t>
        </is>
      </c>
      <c r="AE485" s="38" t="n"/>
      <c r="AF485" s="38" t="n"/>
      <c r="AG485" s="38" t="n"/>
    </row>
    <row r="486" ht="46.25" customHeight="1" s="22">
      <c r="A486" s="36">
        <f>"B"&amp;TEXT(ROW()-1,"0000")</f>
        <v/>
      </c>
      <c r="B486" s="38" t="inlineStr">
        <is>
          <t>Planned</t>
        </is>
      </c>
      <c r="C486" s="36" t="n">
        <v>3</v>
      </c>
      <c r="D486" s="36" t="inlineStr">
        <is>
          <t>Business insurance</t>
        </is>
      </c>
      <c r="E486" s="36" t="inlineStr">
        <is>
          <t>Personas</t>
        </is>
      </c>
      <c r="F486" s="25" t="inlineStr">
        <is>
          <t>Retail Store Insurance in Canada: Theft, Stock, Slip-and-Falls and Glass</t>
        </is>
      </c>
      <c r="G486" s="36" t="inlineStr">
        <is>
          <t>https://instasure.ca/guides/retail-store-insurance-canada/</t>
        </is>
      </c>
      <c r="H486" s="36" t="inlineStr">
        <is>
          <t>retail store insurance</t>
        </is>
      </c>
      <c r="I486" s="41">
        <f>IFERROR(INDEX('Nationwide KWs'!$D$2:$D$168,MATCH(H486,'Nationwide KWs'!$A$2:$A$168,0)),IFERROR(INDEX('Provincial KWs'!$E$2:$E$137,MATCH(H486,'Provincial KWs'!$A$2:$A$137,0)),IFERROR(INDEX('City KWs'!$F$2:$F$419,MATCH(H486,'City KWs'!$A$2:$A$419,0)),"")))</f>
        <v/>
      </c>
      <c r="J486" s="36" t="inlineStr">
        <is>
          <t>Low</t>
        </is>
      </c>
      <c r="K486" s="25" t="inlineStr">
        <is>
          <t>retail business insurance canada; store insurance cost; shoplifting insurance; inventory insurance; boutique insurance</t>
        </is>
      </c>
      <c r="L486" s="36" t="inlineStr">
        <is>
          <t>Nationwide</t>
        </is>
      </c>
      <c r="M486" s="36" t="inlineStr">
        <is>
          <t>commercial</t>
        </is>
      </c>
      <c r="N486" s="36" t="inlineStr">
        <is>
          <t>MOFU</t>
        </is>
      </c>
      <c r="O486" s="25" t="inlineStr">
        <is>
          <t>Retail Store Insurance in Canada: Coverage and Cost</t>
        </is>
      </c>
      <c r="P486" s="36">
        <f>LEN(O486)</f>
        <v/>
      </c>
      <c r="Q486" s="25" t="inlineStr">
        <is>
          <t>Retail store insurance covers stock, theft, customer injuries, glass and lost income. See what a shop policy includes and what drives cost. Get a quote.</t>
        </is>
      </c>
      <c r="R486" s="36">
        <f>LEN(Q486)</f>
        <v/>
      </c>
      <c r="S486" s="36">
        <f>IF(H486="","",IF(ISNUMBER(SEARCH(SUBSTITUTE(H486,"-"," "),SUBSTITUTE(O486,"-"," "))),"Yes","Check"))</f>
        <v/>
      </c>
      <c r="T486" s="25" t="inlineStr">
        <is>
          <t>What retail store insurance covers (short answer) | Stock, seasonal peaks and stock in transit | Theft, burglary and inventory shortage | Customer slip-and-fall liability | Glass, signs and tenant improvements | Business interruption for storefronts | Example estimates and cost drivers</t>
        </is>
      </c>
      <c r="U486" s="25" t="inlineStr">
        <is>
          <t>Does business insurance cover shoplifting? | How do I insure extra stock before the holidays? | Who pays if a customer slips in my store? | Is my store's glass covered by my landlord's policy?</t>
        </is>
      </c>
      <c r="V486" s="25" t="inlineStr">
        <is>
          <t>A modelled estimate table for 4 retail profiles (boutique, convenience store, garden centre, electronics) plus a seasonal-stock worksheet showing how a peak-season endorsement changes the insured value.</t>
        </is>
      </c>
      <c r="W486" s="25" t="inlineStr">
        <is>
          <t>/business-insurance/; /guides/commercial-property-insurance-explained/; /guides/commercial-lease-insurance-requirements/; /guides/small-business-insurance-cost-canada/</t>
        </is>
      </c>
      <c r="X486" s="25" t="inlineStr">
        <is>
          <t>Instant retail business estimate (/quote/)</t>
        </is>
      </c>
      <c r="Y486" s="36" t="inlineStr">
        <is>
          <t>Article; FAQPage; BreadcrumbList</t>
        </is>
      </c>
      <c r="Z486" s="37" t="n">
        <v>1500</v>
      </c>
      <c r="AA486" s="25" t="inlineStr">
        <is>
          <t>No competitor coverage seen of retail stores as a business type; the Rates.ca and Ratehub business trees skip retail.</t>
        </is>
      </c>
      <c r="AB486" s="25" t="inlineStr">
        <is>
          <t>Focus keyword in title, H1, slug, meta and first 100 words; the first H2 gives a 40-60 word list of the five core coverages. Add the estimate table with profile and 'as of' date and the seasonal-stock worksheet; link the property and lease guides with exact anchors. Licensed reviewer; alt text 'retail store coverage checklist'; review annually.</t>
        </is>
      </c>
      <c r="AC486" s="25" t="inlineStr">
        <is>
          <t>Many policies exclude unexplained inventory shortage, so describe theft cover carefully and verify with insurer wordings. Estimates labelled modelled with profile and date.</t>
        </is>
      </c>
      <c r="AD486" s="36" t="inlineStr">
        <is>
          <t>Annual</t>
        </is>
      </c>
      <c r="AE486" s="38" t="n"/>
      <c r="AF486" s="38" t="n"/>
      <c r="AG486" s="38" t="n"/>
    </row>
    <row r="487" ht="35.05" customHeight="1" s="22">
      <c r="A487" s="36">
        <f>"B"&amp;TEXT(ROW()-1,"0000")</f>
        <v/>
      </c>
      <c r="B487" s="38" t="inlineStr">
        <is>
          <t>Planned</t>
        </is>
      </c>
      <c r="C487" s="36" t="n">
        <v>3</v>
      </c>
      <c r="D487" s="36" t="inlineStr">
        <is>
          <t>Business insurance</t>
        </is>
      </c>
      <c r="E487" s="36" t="inlineStr">
        <is>
          <t>Personas</t>
        </is>
      </c>
      <c r="F487" s="25" t="inlineStr">
        <is>
          <t>Salon and Spa Insurance in Canada: Liability for Treatments, Products and Premises</t>
        </is>
      </c>
      <c r="G487" s="36" t="inlineStr">
        <is>
          <t>https://instasure.ca/guides/salon-spa-insurance-canada/</t>
        </is>
      </c>
      <c r="H487" s="36" t="inlineStr">
        <is>
          <t>beauty salon insurance</t>
        </is>
      </c>
      <c r="I487" s="41">
        <f>IFERROR(INDEX('Nationwide KWs'!$D$2:$D$168,MATCH(H487,'Nationwide KWs'!$A$2:$A$168,0)),IFERROR(INDEX('Provincial KWs'!$E$2:$E$137,MATCH(H487,'Provincial KWs'!$A$2:$A$137,0)),IFERROR(INDEX('City KWs'!$F$2:$F$419,MATCH(H487,'City KWs'!$A$2:$A$419,0)),"")))</f>
        <v/>
      </c>
      <c r="J487" s="36" t="inlineStr">
        <is>
          <t>Low</t>
        </is>
      </c>
      <c r="K487" s="25" t="inlineStr">
        <is>
          <t>salon insurance canada; esthetician insurance; nail salon insurance; hair stylist insurance; spa insurance cost</t>
        </is>
      </c>
      <c r="L487" s="36" t="inlineStr">
        <is>
          <t>Nationwide</t>
        </is>
      </c>
      <c r="M487" s="36" t="inlineStr">
        <is>
          <t>commercial</t>
        </is>
      </c>
      <c r="N487" s="36" t="inlineStr">
        <is>
          <t>MOFU</t>
        </is>
      </c>
      <c r="O487" s="25" t="inlineStr">
        <is>
          <t>Beauty Salon Insurance in Canada: Coverage and Cost</t>
        </is>
      </c>
      <c r="P487" s="36">
        <f>LEN(O487)</f>
        <v/>
      </c>
      <c r="Q487" s="25" t="inlineStr">
        <is>
          <t>Beauty salon insurance covers treatment mistakes, customer injuries, products and equipment. See chair-rental rules and cost drivers. Get a salon estimate.</t>
        </is>
      </c>
      <c r="R487" s="36">
        <f>LEN(Q487)</f>
        <v/>
      </c>
      <c r="S487" s="36">
        <f>IF(H487="","",IF(ISNUMBER(SEARCH(SUBSTITUTE(H487,"-"," "),SUBSTITUTE(O487,"-"," "))),"Yes","Check"))</f>
        <v/>
      </c>
      <c r="T487" s="25" t="inlineStr">
        <is>
          <t>What salon insurance covers (short answer) | Treatment liability: burns, reactions, infections | Chair renters vs salon owners: who insures what | Products you sell and use | Premises, equipment and business interruption | Cost drivers by service type | Client consent and patch-test records</t>
        </is>
      </c>
      <c r="U487" s="25" t="inlineStr">
        <is>
          <t>Do chair renters need their own insurance? | Does salon insurance cover allergic reactions? | Do estheticians need professional liability insurance? | How much is insurance for a home-based salon?</t>
        </is>
      </c>
      <c r="V487" s="25" t="inlineStr">
        <is>
          <t>A service-risk table (hair, nails, lashes, laser, injectables) showing typical coverage needs and services insurers often decline, plus a client consent and patch-test record template.</t>
        </is>
      </c>
      <c r="W487" s="25" t="inlineStr">
        <is>
          <t>/business-insurance/; /professional-liability-insurance/; /business-insurance/home-based/; /guides/product-liability-insurance-canada/</t>
        </is>
      </c>
      <c r="X487" s="25" t="inlineStr">
        <is>
          <t>Instant salon insurance estimate (/quote/)</t>
        </is>
      </c>
      <c r="Y487" s="36" t="inlineStr">
        <is>
          <t>Article; FAQPage; BreadcrumbList</t>
        </is>
      </c>
      <c r="Z487" s="37" t="n">
        <v>1500</v>
      </c>
      <c r="AA487" s="25" t="inlineStr">
        <is>
          <t>Rates.ca has a beauty-services quote page (a $500-1,500 a year anchor in search snippets); no competitor seen separates chair renters from owners or lists coverage service by service.</t>
        </is>
      </c>
      <c r="AB487" s="25" t="inlineStr">
        <is>
          <t>Focus keyword in title, H1, slug, meta and first 100 words; 40-60 word answer naming treatment, premises and product liability. The service-risk table is the citation target; anchor 'professional liability insurance' to the E&amp;O pillar and 'home-based business insurance' to its service page. Licensed reviewer; review annually.</t>
        </is>
      </c>
      <c r="AC487" s="25" t="inlineStr">
        <is>
          <t>The Rates.ca range is a competitor figure, not market data; any range used must be Instasure-modelled and dated. Verify provincial personal-service-setting rules (e.g. Ontario public health inspections) at the source.</t>
        </is>
      </c>
      <c r="AD487" s="36" t="inlineStr">
        <is>
          <t>Annual</t>
        </is>
      </c>
      <c r="AE487" s="38" t="n"/>
      <c r="AF487" s="38" t="n"/>
      <c r="AG487" s="38" t="n"/>
    </row>
    <row r="488" ht="35.05" customHeight="1" s="22">
      <c r="A488" s="36">
        <f>"B"&amp;TEXT(ROW()-1,"0000")</f>
        <v/>
      </c>
      <c r="B488" s="38" t="inlineStr">
        <is>
          <t>Published</t>
        </is>
      </c>
      <c r="C488" s="36" t="n">
        <v>1</v>
      </c>
      <c r="D488" s="36" t="inlineStr">
        <is>
          <t>Contractor &amp; trades insurance</t>
        </is>
      </c>
      <c r="E488" s="36" t="inlineStr">
        <is>
          <t>Cost &amp; pricing</t>
        </is>
      </c>
      <c r="F488" s="25" t="inlineStr">
        <is>
          <t>Contractor Insurance Cost in Canada by Trade: Example Estimates for 10 Trades</t>
        </is>
      </c>
      <c r="G488" s="36" t="inlineStr">
        <is>
          <t>https://instasure.ca/guides/contractor-insurance-cost-by-trade/</t>
        </is>
      </c>
      <c r="H488" s="36" t="inlineStr">
        <is>
          <t>contractor insurance cost</t>
        </is>
      </c>
      <c r="I488" s="41">
        <f>IFERROR(INDEX('Nationwide KWs'!$D$2:$D$168,MATCH(H488,'Nationwide KWs'!$A$2:$A$168,0)),IFERROR(INDEX('Provincial KWs'!$E$2:$E$137,MATCH(H488,'Provincial KWs'!$A$2:$A$137,0)),IFERROR(INDEX('City KWs'!$F$2:$F$419,MATCH(H488,'City KWs'!$A$2:$A$419,0)),"")))</f>
        <v/>
      </c>
      <c r="J488" s="36" t="inlineStr">
        <is>
          <t>Low</t>
        </is>
      </c>
      <c r="K488" s="25" t="inlineStr">
        <is>
          <t>contractor liability insurance cost; how much is contractor insurance; general contractor insurance cost; trades insurance canada; contractor insurance ontario cost</t>
        </is>
      </c>
      <c r="L488" s="36" t="inlineStr">
        <is>
          <t>Nationwide</t>
        </is>
      </c>
      <c r="M488" s="36" t="inlineStr">
        <is>
          <t>commercial</t>
        </is>
      </c>
      <c r="N488" s="36" t="inlineStr">
        <is>
          <t>MOFU</t>
        </is>
      </c>
      <c r="O488" s="25" t="inlineStr">
        <is>
          <t>Contractor Insurance Cost in Canada: Estimates by Trade</t>
        </is>
      </c>
      <c r="P488" s="36">
        <f>LEN(O488)</f>
        <v/>
      </c>
      <c r="Q488" s="25" t="inlineStr">
        <is>
          <t>Contractor insurance cost in Canada for 10 trades, from dated example estimates by revenue and crew size. See what moves the price, then get your estimate.</t>
        </is>
      </c>
      <c r="R488" s="36">
        <f>LEN(Q488)</f>
        <v/>
      </c>
      <c r="S488" s="36">
        <f>IF(H488="","",IF(ISNUMBER(SEARCH(SUBSTITUTE(H488,"-"," "),SUBSTITUTE(O488,"-"," "))),"Yes","Check"))</f>
        <v/>
      </c>
      <c r="T488" s="25" t="inlineStr">
        <is>
          <t>How much contractor insurance costs (example ranges) | Estimates by trade: plumber, electrician, HVAC, roofer and more | Revenue, payroll and subcontractor costs | Limits and project requirements | Claims history, experience and safety programs | Tools, vans and other add-ons | How to lower your premium</t>
        </is>
      </c>
      <c r="U488" s="25" t="inlineStr">
        <is>
          <t>How much is liability insurance for a contractor in Canada? | Why do roofers pay more than electricians? | Does subcontracting work lower my insurance cost? | Is contractor insurance tax deductible?</t>
        </is>
      </c>
      <c r="V488" s="25" t="inlineStr">
        <is>
          <t>A dated table of modelled CGL estimates for 10 trades in two profiles (solo, crew of 4), with assumptions stated and an 'as of' month.</t>
        </is>
      </c>
      <c r="W488" s="25" t="inlineStr">
        <is>
          <t>/contractor-insurance/; /guides/small-business-insurance-cost-canada/; /contractor-insurance/roofing/; /contractor-insurance/plumber/; /calculators/business-coverage/</t>
        </is>
      </c>
      <c r="X488" s="25" t="inlineStr">
        <is>
          <t>Instant contractor insurance estimate (/quote/)</t>
        </is>
      </c>
      <c r="Y488" s="36" t="inlineStr">
        <is>
          <t>Article; FAQPage; BreadcrumbList</t>
        </is>
      </c>
      <c r="Z488" s="37" t="n">
        <v>2000</v>
      </c>
      <c r="AA488" s="25" t="inlineStr">
        <is>
          <t>Rates.ca publishes scattered per-trade price anchors in search snippets (plumber and HVAC from $750 a year, welding $1,500-2,000, cleaning $700-2,000); no competitor puts trades side by side with a stated profile.</t>
        </is>
      </c>
      <c r="AB488" s="25" t="inlineStr">
        <is>
          <t>Focus keyword in title, H1, slug, meta and first 100 words; the first H2 gives a 40-60 word range statement tied to the profiles and date. Lead with the trade table, then a factor table, and link each trade name to its service page. Licensed general insurance reviewer and a visible 'Rates as of' line; refresh quarterly.</t>
        </is>
      </c>
      <c r="AC488" s="25" t="inlineStr">
        <is>
          <t>Estimates labelled modelled with profile, province and date; Rates.ca figures are competitor claims, not market data. No 'cheapest contractor insurance' wording.</t>
        </is>
      </c>
      <c r="AD488" s="36" t="inlineStr">
        <is>
          <t>Quarterly</t>
        </is>
      </c>
      <c r="AE488" s="38" t="inlineStr">
        <is>
          <t>Michael Le Chi</t>
        </is>
      </c>
      <c r="AF488" s="38" t="n"/>
      <c r="AG488" s="38" t="inlineStr">
        <is>
          <t>2026-10-12</t>
        </is>
      </c>
    </row>
    <row r="489" ht="46.25" customHeight="1" s="22">
      <c r="A489" s="36">
        <f>"B"&amp;TEXT(ROW()-1,"0000")</f>
        <v/>
      </c>
      <c r="B489" s="38" t="inlineStr">
        <is>
          <t>Planned</t>
        </is>
      </c>
      <c r="C489" s="36" t="n">
        <v>1</v>
      </c>
      <c r="D489" s="36" t="inlineStr">
        <is>
          <t>Contractor &amp; trades insurance</t>
        </is>
      </c>
      <c r="E489" s="36" t="inlineStr">
        <is>
          <t>Coverage explained</t>
        </is>
      </c>
      <c r="F489" s="25" t="inlineStr">
        <is>
          <t>General Contractor Insurance: Subcontractors, Certificates and What Your Policy Expects</t>
        </is>
      </c>
      <c r="G489" s="36" t="inlineStr">
        <is>
          <t>https://instasure.ca/guides/general-contractor-insurance-subcontractors/</t>
        </is>
      </c>
      <c r="H489" s="36" t="inlineStr">
        <is>
          <t>general contractor insurance</t>
        </is>
      </c>
      <c r="I489" s="41">
        <f>IFERROR(INDEX('Nationwide KWs'!$D$2:$D$168,MATCH(H489,'Nationwide KWs'!$A$2:$A$168,0)),IFERROR(INDEX('Provincial KWs'!$E$2:$E$137,MATCH(H489,'Provincial KWs'!$A$2:$A$137,0)),IFERROR(INDEX('City KWs'!$F$2:$F$419,MATCH(H489,'City KWs'!$A$2:$A$419,0)),"")))</f>
        <v/>
      </c>
      <c r="J489" s="36" t="inlineStr">
        <is>
          <t>Low</t>
        </is>
      </c>
      <c r="K489" s="25" t="inlineStr">
        <is>
          <t>general contractor liability insurance; subcontractor insurance requirements; uninsured subcontractor; gc insurance canada; types of insurance for general contractors</t>
        </is>
      </c>
      <c r="L489" s="36" t="inlineStr">
        <is>
          <t>Nationwide</t>
        </is>
      </c>
      <c r="M489" s="36" t="inlineStr">
        <is>
          <t>commercial</t>
        </is>
      </c>
      <c r="N489" s="36" t="inlineStr">
        <is>
          <t>MOFU</t>
        </is>
      </c>
      <c r="O489" s="25" t="inlineStr">
        <is>
          <t>General Contractor Insurance and Subcontractor Rules</t>
        </is>
      </c>
      <c r="P489" s="36">
        <f>LEN(O489)</f>
        <v/>
      </c>
      <c r="Q489" s="25" t="inlineStr">
        <is>
          <t>General contractor insurance depends on how you manage subcontractors. See what insurers expect, how uninsured subs affect premiums and our COI checklist.</t>
        </is>
      </c>
      <c r="R489" s="36">
        <f>LEN(Q489)</f>
        <v/>
      </c>
      <c r="S489" s="36">
        <f>IF(H489="","",IF(ISNUMBER(SEARCH(SUBSTITUTE(H489,"-"," "),SUBSTITUTE(O489,"-"," "))),"Yes","Check"))</f>
        <v/>
      </c>
      <c r="T489" s="25" t="inlineStr">
        <is>
          <t>What general contractors need (short answer) | How subcontractor costs are rated | Uninsured subcontractors: the hidden premium charge | Collecting COIs, workers' compensation clearances and contracts | Builder's risk, wrap-up and project policies | Tools, equipment and vehicles | General contractor compliance checklist</t>
        </is>
      </c>
      <c r="U489" s="25" t="inlineStr">
        <is>
          <t>Does my general contractor insurance cover my subcontractors? | What happens if a subcontractor has no insurance? | Should subcontractors name me as an additional insured? | What insurance does a general contractor need in Ontario?</t>
        </is>
      </c>
      <c r="V489" s="25" t="inlineStr">
        <is>
          <t>A subcontractor compliance checklist and tracking template (COI, limits, additional insured, WSIB or WCB clearance, signed contract).</t>
        </is>
      </c>
      <c r="W489" s="25" t="inlineStr">
        <is>
          <t>/contractor-insurance/; /guides/certificate-of-insurance-explained/; /guides/wsib-clearance-certificate/; /guides/builders-risk-insurance-canada/; /guides/wrap-up-liability-insurance/</t>
        </is>
      </c>
      <c r="X489" s="25" t="inlineStr">
        <is>
          <t>Instant contractor insurance estimate (/quote/)</t>
        </is>
      </c>
      <c r="Y489" s="36" t="inlineStr">
        <is>
          <t>Article; FAQPage; BreadcrumbList</t>
        </is>
      </c>
      <c r="Z489" s="37" t="n">
        <v>1800</v>
      </c>
      <c r="AA489" s="25" t="inlineStr">
        <is>
          <t>Rates.ca has a general contractor quote page and a 'types of insurance for general contractors' resource; neither covers subcontractor compliance or premium audits.</t>
        </is>
      </c>
      <c r="AB489" s="25" t="inlineStr">
        <is>
          <t>Focus keyword in title, H1, first 100 words and meta; 40-60 word answer covering CGL, subcontractor management and project policies. The tracking template is the download; link the COI and clearance guides with exact anchors. Licensed reviewer; review annually.</t>
        </is>
      </c>
      <c r="AC489" s="25" t="inlineStr">
        <is>
          <t>Premium audit and subcontractor rating practices vary; describe as common and verify with insurers. Clearance rules verified with each workers' compensation board.</t>
        </is>
      </c>
      <c r="AD489" s="36" t="inlineStr">
        <is>
          <t>Annual</t>
        </is>
      </c>
      <c r="AE489" s="38" t="n"/>
      <c r="AF489" s="38" t="n"/>
      <c r="AG489" s="38" t="n"/>
    </row>
    <row r="490" ht="35.05" customHeight="1" s="22">
      <c r="A490" s="36">
        <f>"B"&amp;TEXT(ROW()-1,"0000")</f>
        <v/>
      </c>
      <c r="B490" s="38" t="inlineStr">
        <is>
          <t>Planned</t>
        </is>
      </c>
      <c r="C490" s="36" t="n">
        <v>2</v>
      </c>
      <c r="D490" s="36" t="inlineStr">
        <is>
          <t>Contractor &amp; trades insurance</t>
        </is>
      </c>
      <c r="E490" s="36" t="inlineStr">
        <is>
          <t>Coverage explained</t>
        </is>
      </c>
      <c r="F490" s="25" t="inlineStr">
        <is>
          <t>Tools and Equipment Insurance for Contractors: Theft From Vans, Job Sites and Rentals</t>
        </is>
      </c>
      <c r="G490" s="36" t="inlineStr">
        <is>
          <t>https://instasure.ca/guides/tools-and-equipment-insurance-contractors/</t>
        </is>
      </c>
      <c r="H490" s="36" t="inlineStr">
        <is>
          <t>tools and equipment insurance</t>
        </is>
      </c>
      <c r="I490" s="41">
        <f>IFERROR(INDEX('Nationwide KWs'!$D$2:$D$168,MATCH(H490,'Nationwide KWs'!$A$2:$A$168,0)),IFERROR(INDEX('Provincial KWs'!$E$2:$E$137,MATCH(H490,'Provincial KWs'!$A$2:$A$137,0)),IFERROR(INDEX('City KWs'!$F$2:$F$419,MATCH(H490,'City KWs'!$A$2:$A$419,0)),"")))</f>
        <v/>
      </c>
      <c r="J490" s="36" t="inlineStr">
        <is>
          <t>Low</t>
        </is>
      </c>
      <c r="K490" s="25" t="inlineStr">
        <is>
          <t>contractor equipment insurance; tool theft from van insurance; installation floater; rented equipment insurance; tool insurance canada</t>
        </is>
      </c>
      <c r="L490" s="36" t="inlineStr">
        <is>
          <t>Nationwide</t>
        </is>
      </c>
      <c r="M490" s="36" t="inlineStr">
        <is>
          <t>commercial</t>
        </is>
      </c>
      <c r="N490" s="36" t="inlineStr">
        <is>
          <t>MOFU</t>
        </is>
      </c>
      <c r="O490" s="25" t="inlineStr">
        <is>
          <t>Tools and Equipment Insurance for Contractors in Canada</t>
        </is>
      </c>
      <c r="P490" s="36">
        <f>LEN(O490)</f>
        <v/>
      </c>
      <c r="Q490" s="25" t="inlineStr">
        <is>
          <t>Tools and equipment insurance covers theft and damage on job sites, in vans and for rentals. See scheduled vs blanket cover. Use our inventory template.</t>
        </is>
      </c>
      <c r="R490" s="36">
        <f>LEN(Q490)</f>
        <v/>
      </c>
      <c r="S490" s="36">
        <f>IF(H490="","",IF(ISNUMBER(SEARCH(SUBSTITUTE(H490,"-"," "),SUBSTITUTE(O490,"-"," "))),"Yes","Check"))</f>
        <v/>
      </c>
      <c r="T490" s="25" t="inlineStr">
        <is>
          <t>What tools and equipment insurance covers (short answer) | Scheduled vs blanket limits | Theft from vehicles: the conditions that decide claims | Rented and borrowed equipment | Installation floaters for materials before they're installed | Replacement cost vs actual cash value | Inventory and photo checklist</t>
        </is>
      </c>
      <c r="U490" s="25" t="inlineStr">
        <is>
          <t>Does home insurance cover my work tools? | Are tools stolen from my van covered? | Do I need insurance for rented equipment? | What is an installation floater?</t>
        </is>
      </c>
      <c r="V490" s="25" t="inlineStr">
        <is>
          <t>A tool inventory spreadsheet template and a theft-claim conditions checklist (locked, out of sight, signs of forced entry).</t>
        </is>
      </c>
      <c r="W490" s="25" t="inlineStr">
        <is>
          <t>/contractor-insurance/; /guides/handyman-insurance-canada/; /business-insurance/commercial-auto/; /guides/contractor-insurance-cost-by-trade/</t>
        </is>
      </c>
      <c r="X490" s="25" t="inlineStr">
        <is>
          <t>Instant contractor insurance estimate (/quote/)</t>
        </is>
      </c>
      <c r="Y490" s="36" t="inlineStr">
        <is>
          <t>Article; FAQPage; BreadcrumbList</t>
        </is>
      </c>
      <c r="Z490" s="37" t="n">
        <v>1400</v>
      </c>
      <c r="AA490" s="25" t="inlineStr">
        <is>
          <t>Rates.ca has a tools-and-equipment quote page; no competitor seen explains theft-from-vehicle conditions or installation floaters.</t>
        </is>
      </c>
      <c r="AB490" s="25" t="inlineStr">
        <is>
          <t>Focus keyword in title, H1, slug, meta and first 100 words; 40-60 word answer on what's covered and where. Offer the inventory template as a download and link commercial auto for vehicle questions. Licensed reviewer; review annually.</t>
        </is>
      </c>
      <c r="AC490" s="25" t="inlineStr">
        <is>
          <t>Theft conditions vary by insurer, so describe them as common and verify with wordings. Label any estimates.</t>
        </is>
      </c>
      <c r="AD490" s="36" t="inlineStr">
        <is>
          <t>Annual</t>
        </is>
      </c>
      <c r="AE490" s="38" t="n"/>
      <c r="AF490" s="38" t="n"/>
      <c r="AG490" s="38" t="n"/>
    </row>
    <row r="491" ht="46.25" customHeight="1" s="22">
      <c r="A491" s="36">
        <f>"B"&amp;TEXT(ROW()-1,"0000")</f>
        <v/>
      </c>
      <c r="B491" s="38" t="inlineStr">
        <is>
          <t>Planned</t>
        </is>
      </c>
      <c r="C491" s="36" t="n">
        <v>2</v>
      </c>
      <c r="D491" s="36" t="inlineStr">
        <is>
          <t>Contractor &amp; trades insurance</t>
        </is>
      </c>
      <c r="E491" s="36" t="inlineStr">
        <is>
          <t>Exclusions</t>
        </is>
      </c>
      <c r="F491" s="25" t="inlineStr">
        <is>
          <t>Does Contractor Insurance Cover Faulty Workmanship? Your Work, Their Property and the Exclusions</t>
        </is>
      </c>
      <c r="G491" s="36" t="inlineStr">
        <is>
          <t>https://instasure.ca/guides/contractor-insurance-faulty-workmanship/</t>
        </is>
      </c>
      <c r="H491" s="36" t="inlineStr">
        <is>
          <t>does contractor insurance cover faulty workmanship</t>
        </is>
      </c>
      <c r="I491" s="41">
        <f>IFERROR(INDEX('Nationwide KWs'!$D$2:$D$168,MATCH(H491,'Nationwide KWs'!$A$2:$A$168,0)),IFERROR(INDEX('Provincial KWs'!$E$2:$E$137,MATCH(H491,'Provincial KWs'!$A$2:$A$137,0)),IFERROR(INDEX('City KWs'!$F$2:$F$419,MATCH(H491,'City KWs'!$A$2:$A$419,0)),"")))</f>
        <v/>
      </c>
      <c r="J491" s="36" t="inlineStr">
        <is>
          <t>Low</t>
        </is>
      </c>
      <c r="K491" s="25" t="inlineStr">
        <is>
          <t>contractor liability insurance; your work exclusion cgl; contractor insurance exclusions; products-completed operations; care custody control exclusion</t>
        </is>
      </c>
      <c r="L491" s="36" t="inlineStr">
        <is>
          <t>Nationwide</t>
        </is>
      </c>
      <c r="M491" s="36" t="inlineStr">
        <is>
          <t>informational</t>
        </is>
      </c>
      <c r="N491" s="36" t="inlineStr">
        <is>
          <t>MOFU</t>
        </is>
      </c>
      <c r="O491" s="25" t="inlineStr">
        <is>
          <t>Does Contractor Insurance Cover Faulty Workmanship?</t>
        </is>
      </c>
      <c r="P491" s="36">
        <f>LEN(O491)</f>
        <v/>
      </c>
      <c r="Q491" s="25" t="inlineStr">
        <is>
          <t>Does contractor insurance cover faulty workmanship? Usually not the work itself, but often the damage it causes. See the exclusions and examples by trade.</t>
        </is>
      </c>
      <c r="R491" s="36">
        <f>LEN(Q491)</f>
        <v/>
      </c>
      <c r="S491" s="36">
        <f>IF(H491="","",IF(ISNUMBER(SEARCH(SUBSTITUTE(H491,"-"," "),SUBSTITUTE(O491,"-"," "))),"Yes","Check"))</f>
        <v/>
      </c>
      <c r="T491" s="25" t="inlineStr">
        <is>
          <t>Short answer: the work usually isn't covered, resulting damage often is | The 'your work' and 'your product' exclusions | Care, custody and control: property you're working on | Completed operations: claims after the job ends | Examples by trade: plumber, roofer, electrician, renovator | How warranties, bonds and insurance fit together | Ways to close the gaps</t>
        </is>
      </c>
      <c r="U491" s="25" t="inlineStr">
        <is>
          <t>Will my insurance pay to redo a job I did wrong? | Is water damage from my plumbing work covered? | What is the care, custody or control exclusion? | Does completed operations coverage continue after the job?</t>
        </is>
      </c>
      <c r="V491" s="25" t="inlineStr">
        <is>
          <t>A scenario table of 10 trade claims marked covered, not covered or partly covered, naming the policy clause that decides each one.</t>
        </is>
      </c>
      <c r="W491" s="25" t="inlineStr">
        <is>
          <t>/contractor-insurance/; /guides/commercial-general-liability-insurance-explained/; /guides/contractor-bonds-vs-insurance/; /contractor-insurance/plumber/</t>
        </is>
      </c>
      <c r="X491" s="25" t="inlineStr">
        <is>
          <t>Instant contractor insurance estimate (/quote/)</t>
        </is>
      </c>
      <c r="Y491" s="36" t="inlineStr">
        <is>
          <t>Article; FAQPage; BreadcrumbList</t>
        </is>
      </c>
      <c r="Z491" s="37" t="n">
        <v>1700</v>
      </c>
      <c r="AA491" s="25" t="inlineStr">
        <is>
          <t>Ratehub and Rates.ca have contractor liability product pages but no exclusion explainer; no competitor seen maps trade scenarios to CGL clauses.</t>
        </is>
      </c>
      <c r="AB491" s="25" t="inlineStr">
        <is>
          <t>Focus keyword in title, H1, first 100 words and meta; the first H2 gives the 40-60 word 'work vs resulting damage' answer. Follow with the 10-scenario table and link the CGL explainer with the anchor 'commercial general liability'. Licensed reviewer; review annually.</t>
        </is>
      </c>
      <c r="AC491" s="25" t="inlineStr">
        <is>
          <t>Outcomes depend on the wording; verify against the IBC CGL form and label scenarios illustrative. Avoid 'never covered'.</t>
        </is>
      </c>
      <c r="AD491" s="36" t="inlineStr">
        <is>
          <t>Annual</t>
        </is>
      </c>
      <c r="AE491" s="38" t="n"/>
      <c r="AF491" s="38" t="n"/>
      <c r="AG491" s="38" t="n"/>
    </row>
    <row r="492" ht="46.25" customHeight="1" s="22">
      <c r="A492" s="36">
        <f>"B"&amp;TEXT(ROW()-1,"0000")</f>
        <v/>
      </c>
      <c r="B492" s="38" t="inlineStr">
        <is>
          <t>Planned</t>
        </is>
      </c>
      <c r="C492" s="36" t="n">
        <v>2</v>
      </c>
      <c r="D492" s="36" t="inlineStr">
        <is>
          <t>Contractor &amp; trades insurance</t>
        </is>
      </c>
      <c r="E492" s="36" t="inlineStr">
        <is>
          <t>Regulation</t>
        </is>
      </c>
      <c r="F492" s="25" t="inlineStr">
        <is>
          <t>WSIB for Contractors in Ontario: Who Must Register and How It Differs From Liability Insurance</t>
        </is>
      </c>
      <c r="G492" s="36" t="inlineStr">
        <is>
          <t>https://instasure.ca/guides/wsib-for-contractors-ontario/</t>
        </is>
      </c>
      <c r="H492" s="36" t="inlineStr">
        <is>
          <t>wsib for contractors</t>
        </is>
      </c>
      <c r="I492" s="41">
        <f>IFERROR(INDEX('Nationwide KWs'!$D$2:$D$168,MATCH(H492,'Nationwide KWs'!$A$2:$A$168,0)),IFERROR(INDEX('Provincial KWs'!$E$2:$E$137,MATCH(H492,'Provincial KWs'!$A$2:$A$137,0)),IFERROR(INDEX('City KWs'!$F$2:$F$419,MATCH(H492,'City KWs'!$A$2:$A$419,0)),"")))</f>
        <v/>
      </c>
      <c r="J492" s="36" t="inlineStr">
        <is>
          <t>Low</t>
        </is>
      </c>
      <c r="K492" s="25" t="inlineStr">
        <is>
          <t>wsib mandatory coverage construction; independent operator wsib; wsib vs private insurance; do sole proprietors need wsib; wsib premium rates construction</t>
        </is>
      </c>
      <c r="L492" s="36" t="inlineStr">
        <is>
          <t>Province: Ontario</t>
        </is>
      </c>
      <c r="M492" s="36" t="inlineStr">
        <is>
          <t>informational</t>
        </is>
      </c>
      <c r="N492" s="36" t="inlineStr">
        <is>
          <t>MOFU</t>
        </is>
      </c>
      <c r="O492" s="25" t="inlineStr">
        <is>
          <t>WSIB for Contractors in Ontario: Who Must Register</t>
        </is>
      </c>
      <c r="P492" s="36">
        <f>LEN(O492)</f>
        <v/>
      </c>
      <c r="Q492" s="25" t="inlineStr">
        <is>
          <t>WSIB for contractors in Ontario: who must register, how independent operators are treated and how WSIB differs from liability insurance. See who's covered.</t>
        </is>
      </c>
      <c r="R492" s="36">
        <f>LEN(Q492)</f>
        <v/>
      </c>
      <c r="S492" s="36">
        <f>IF(H492="","",IF(ISNUMBER(SEARCH(SUBSTITUTE(H492,"-"," "),SUBSTITUTE(O492,"-"," "))),"Yes","Check"))</f>
        <v/>
      </c>
      <c r="T492" s="25" t="inlineStr">
        <is>
          <t>Who must register with WSIB (short answer) | Mandatory coverage in construction: owners, partners, independent operators | Exemptions, including home renovation work | What WSIB covers vs what your liability policy covers | How WSIB premiums are calculated | Private disability insurance for owners who aren't covered</t>
        </is>
      </c>
      <c r="U492" s="25" t="inlineStr">
        <is>
          <t>Do sole proprietors in construction need WSIB in Ontario? | Is WSIB the same as liability insurance? | Can I buy private insurance instead of WSIB? | How are WSIB premiums calculated for contractors?</t>
        </is>
      </c>
      <c r="V492" s="25" t="inlineStr">
        <is>
          <t>A who-must-register decision tree for Ontario construction businesses, linked to WSIB's classification and rate pages.</t>
        </is>
      </c>
      <c r="W492" s="25" t="inlineStr">
        <is>
          <t>/contractor-insurance/ontario/; /guides/wsib-clearance-certificate/; /disability-insurance/self-employed/; /guides/workers-compensation-vs-liability-insurance/</t>
        </is>
      </c>
      <c r="X492" s="25" t="inlineStr">
        <is>
          <t>Request a specialist call: Self-employed income protection desk (/disability-insurance/self-employed/)</t>
        </is>
      </c>
      <c r="Y492" s="36" t="inlineStr">
        <is>
          <t>Article; FAQPage; BreadcrumbList</t>
        </is>
      </c>
      <c r="Z492" s="37" t="n">
        <v>1600</v>
      </c>
      <c r="AA492" s="25" t="inlineStr">
        <is>
          <t>No competitor coverage seen; Ratehub and Rates.ca contractor pages don't explain WSIB mandatory coverage.</t>
        </is>
      </c>
      <c r="AB492" s="25" t="inlineStr">
        <is>
          <t>Focus keyword in title, H1, slug, meta and first 100 words; 40-60 word answer on mandatory coverage in construction. Present the decision tree with a text alternative and link the self-employed disability desk for owners outside WSIB. Licensed reviewer; update whenever WSIB changes coverage rules or rate models.</t>
        </is>
      </c>
      <c r="AC492" s="25" t="inlineStr">
        <is>
          <t>Verify mandatory coverage rules, exemptions (such as home renovation work for a homeowner) and the premium model with WSIB; date rate references. Not legal advice.</t>
        </is>
      </c>
      <c r="AD492" s="36" t="inlineStr">
        <is>
          <t>On rule change</t>
        </is>
      </c>
      <c r="AE492" s="38" t="n"/>
      <c r="AF492" s="38" t="n"/>
      <c r="AG492" s="38" t="n"/>
    </row>
    <row r="493" ht="35.05" customHeight="1" s="22">
      <c r="A493" s="36">
        <f>"B"&amp;TEXT(ROW()-1,"0000")</f>
        <v/>
      </c>
      <c r="B493" s="38" t="inlineStr">
        <is>
          <t>Planned</t>
        </is>
      </c>
      <c r="C493" s="36" t="n">
        <v>2</v>
      </c>
      <c r="D493" s="36" t="inlineStr">
        <is>
          <t>Contractor &amp; trades insurance</t>
        </is>
      </c>
      <c r="E493" s="36" t="inlineStr">
        <is>
          <t>Trades</t>
        </is>
      </c>
      <c r="F493" s="25" t="inlineStr">
        <is>
          <t>Cleaning Business Insurance Cost and Bonding: What Clients Ask For</t>
        </is>
      </c>
      <c r="G493" s="36" t="inlineStr">
        <is>
          <t>https://instasure.ca/guides/cleaning-business-insurance-cost-bonding/</t>
        </is>
      </c>
      <c r="H493" s="36" t="inlineStr">
        <is>
          <t>cleaning business insurance cost</t>
        </is>
      </c>
      <c r="I493" s="41">
        <f>IFERROR(INDEX('Nationwide KWs'!$D$2:$D$168,MATCH(H493,'Nationwide KWs'!$A$2:$A$168,0)),IFERROR(INDEX('Provincial KWs'!$E$2:$E$137,MATCH(H493,'Provincial KWs'!$A$2:$A$137,0)),IFERROR(INDEX('City KWs'!$F$2:$F$419,MATCH(H493,'City KWs'!$A$2:$A$419,0)),"")))</f>
        <v/>
      </c>
      <c r="J493" s="36" t="inlineStr">
        <is>
          <t>Low</t>
        </is>
      </c>
      <c r="K493" s="25" t="inlineStr">
        <is>
          <t>cleaning business insurance; janitorial bond; insurance for house cleaners; commercial cleaning insurance; window cleaning insurance</t>
        </is>
      </c>
      <c r="L493" s="36" t="inlineStr">
        <is>
          <t>Nationwide</t>
        </is>
      </c>
      <c r="M493" s="36" t="inlineStr">
        <is>
          <t>commercial</t>
        </is>
      </c>
      <c r="N493" s="36" t="inlineStr">
        <is>
          <t>MOFU</t>
        </is>
      </c>
      <c r="O493" s="25" t="inlineStr">
        <is>
          <t>Cleaning Business Insurance Cost and Bonding in Canada</t>
        </is>
      </c>
      <c r="P493" s="36">
        <f>LEN(O493)</f>
        <v/>
      </c>
      <c r="Q493" s="25" t="inlineStr">
        <is>
          <t>Cleaning business insurance cost in Canada from dated example estimates, plus what a janitorial bond does and when clients require one. Get a quote.</t>
        </is>
      </c>
      <c r="R493" s="36">
        <f>LEN(Q493)</f>
        <v/>
      </c>
      <c r="S493" s="36">
        <f>IF(H493="","",IF(ISNUMBER(SEARCH(SUBSTITUTE(H493,"-"," "),SUBSTITUTE(O493,"-"," "))),"Yes","Check"))</f>
        <v/>
      </c>
      <c r="T493" s="25" t="inlineStr">
        <is>
          <t>How much cleaning business insurance costs (example ranges) | Liability for damage, injuries and lost keys | Janitorial bonds vs employee dishonesty cover | Residential vs commercial cleaning contracts | Window cleaning, pressure washing and heights | Staff, subcontractors and workers' compensation | Get an estimate</t>
        </is>
      </c>
      <c r="U493" s="25" t="inlineStr">
        <is>
          <t>Do house cleaners need insurance in Canada? | What is a janitorial bond and do I need one? | Does cleaning insurance cover a client's broken item? | Is lost key coverage included in cleaning insurance?</t>
        </is>
      </c>
      <c r="V493" s="25" t="inlineStr">
        <is>
          <t>A modelled estimate table (solo house cleaner, residential team, commercial janitorial) and a bond vs crime-coverage comparison table.</t>
        </is>
      </c>
      <c r="W493" s="25" t="inlineStr">
        <is>
          <t>/contractor-insurance/cleaning/; /guides/contractor-bonds-vs-insurance/; /guides/contractor-insurance-cost-by-trade/; /guides/certificate-of-insurance-explained/</t>
        </is>
      </c>
      <c r="X493" s="25" t="inlineStr">
        <is>
          <t>Instant cleaning business estimate (/quote/)</t>
        </is>
      </c>
      <c r="Y493" s="36" t="inlineStr">
        <is>
          <t>Article; FAQPage; BreadcrumbList</t>
        </is>
      </c>
      <c r="Z493" s="37" t="n">
        <v>1500</v>
      </c>
      <c r="AA493" s="25" t="inlineStr">
        <is>
          <t>Rates.ca has cleaning and window-cleaning quote pages (a $700-2,000 a year anchor in search snippets); no competitor seen explains janitorial bonds.</t>
        </is>
      </c>
      <c r="AB493" s="25" t="inlineStr">
        <is>
          <t>Focus keyword in title, H1, slug, meta and first 100 words; the first H2 gives example ranges with profile and date. Put the bond comparison table after the coverage section and link the cleaning service page with the anchor 'cleaning business insurance'. Licensed reviewer; refresh quarterly.</t>
        </is>
      </c>
      <c r="AC493" s="25" t="inlineStr">
        <is>
          <t>The Rates.ca range is a competitor figure; use Instasure modelled estimates with date. Verify bond terminology with a surety source.</t>
        </is>
      </c>
      <c r="AD493" s="36" t="inlineStr">
        <is>
          <t>Quarterly</t>
        </is>
      </c>
      <c r="AE493" s="38" t="n"/>
      <c r="AF493" s="38" t="n"/>
      <c r="AG493" s="38" t="n"/>
    </row>
    <row r="494" ht="35.05" customHeight="1" s="22">
      <c r="A494" s="36">
        <f>"B"&amp;TEXT(ROW()-1,"0000")</f>
        <v/>
      </c>
      <c r="B494" s="38" t="inlineStr">
        <is>
          <t>Planned</t>
        </is>
      </c>
      <c r="C494" s="36" t="n">
        <v>2</v>
      </c>
      <c r="D494" s="36" t="inlineStr">
        <is>
          <t>Contractor &amp; trades insurance</t>
        </is>
      </c>
      <c r="E494" s="36" t="inlineStr">
        <is>
          <t>Trades</t>
        </is>
      </c>
      <c r="F494" s="25" t="inlineStr">
        <is>
          <t>Electrical Contractor Insurance in Ontario: Licensing, Coverage and Cost</t>
        </is>
      </c>
      <c r="G494" s="36" t="inlineStr">
        <is>
          <t>https://instasure.ca/guides/electrical-contractor-insurance-ontario/</t>
        </is>
      </c>
      <c r="H494" s="36" t="inlineStr">
        <is>
          <t>electrical contractor insurance ontario</t>
        </is>
      </c>
      <c r="I494" s="41">
        <f>IFERROR(INDEX('Nationwide KWs'!$D$2:$D$168,MATCH(H494,'Nationwide KWs'!$A$2:$A$168,0)),IFERROR(INDEX('Provincial KWs'!$E$2:$E$137,MATCH(H494,'Provincial KWs'!$A$2:$A$137,0)),IFERROR(INDEX('City KWs'!$F$2:$F$419,MATCH(H494,'City KWs'!$A$2:$A$419,0)),"")))</f>
        <v/>
      </c>
      <c r="J494" s="36" t="inlineStr">
        <is>
          <t>Niche</t>
        </is>
      </c>
      <c r="K494" s="25" t="inlineStr">
        <is>
          <t>electrician insurance; ecra licence insurance; electrician liability insurance; electrical contractor insurance cost; esa licence requirements</t>
        </is>
      </c>
      <c r="L494" s="36" t="inlineStr">
        <is>
          <t>Province: Ontario</t>
        </is>
      </c>
      <c r="M494" s="36" t="inlineStr">
        <is>
          <t>commercial</t>
        </is>
      </c>
      <c r="N494" s="36" t="inlineStr">
        <is>
          <t>MOFU</t>
        </is>
      </c>
      <c r="O494" s="25" t="inlineStr">
        <is>
          <t>Electrical Contractor Insurance in Ontario: Cover and Cost</t>
        </is>
      </c>
      <c r="P494" s="36">
        <f>LEN(O494)</f>
        <v/>
      </c>
      <c r="Q494" s="25" t="inlineStr">
        <is>
          <t>Electrical contractor insurance in Ontario: ECRA licensing, the coverages electricians carry, fire-claim risks and example costs. Get an estimate.</t>
        </is>
      </c>
      <c r="R494" s="36">
        <f>LEN(Q494)</f>
        <v/>
      </c>
      <c r="S494" s="36">
        <f>IF(H494="","",IF(ISNUMBER(SEARCH(SUBSTITUTE(H494,"-"," "),SUBSTITUTE(O494,"-"," "))),"Yes","Check"))</f>
        <v/>
      </c>
      <c r="T494" s="25" t="inlineStr">
        <is>
          <t>What electrical contractors in Ontario need (short answer) | ECRA licensing and what it asks for | CGL, tools, completed operations and errors | Fire and shock claims: how they're handled | Residential, commercial, solar and EV-charger work | Example estimates | Checklist for new electrical contractors</t>
        </is>
      </c>
      <c r="U494" s="25" t="inlineStr">
        <is>
          <t>Do electricians need insurance to get an ECRA licence in Ontario? | Does electrician insurance cover a fire caused by my wiring? | Is EV charger installation covered by my policy? | How much is electrician insurance in Ontario?</t>
        </is>
      </c>
      <c r="V494" s="25" t="inlineStr">
        <is>
          <t>A start-up checklist (ECRA licence, WSIB, CGL limit, tools, vehicle) with source links, plus modelled estimates for solo and crew profiles.</t>
        </is>
      </c>
      <c r="W494" s="25" t="inlineStr">
        <is>
          <t>/contractor-insurance/electrician/; /contractor-insurance/ontario/; /guides/contractor-insurance-cost-by-trade/; /guides/wsib-for-contractors-ontario/</t>
        </is>
      </c>
      <c r="X494" s="25" t="inlineStr">
        <is>
          <t>Instant electrician insurance estimate (/quote/)</t>
        </is>
      </c>
      <c r="Y494" s="36" t="inlineStr">
        <is>
          <t>Article; FAQPage; BreadcrumbList</t>
        </is>
      </c>
      <c r="Z494" s="37" t="n">
        <v>1500</v>
      </c>
      <c r="AA494" s="25" t="inlineStr">
        <is>
          <t>No competitor coverage seen; the keyword map lists no competitor for electrician insurance.</t>
        </is>
      </c>
      <c r="AB494" s="25" t="inlineStr">
        <is>
          <t>Focus keyword in title, H1, slug, meta and first 100 words; 40-60 word answer covering licence, liability and tools. Link the electrician service page and the Ontario contractor page with exact anchors, and cite the Electrical Safety Authority directly. Licensed Ontario reviewer; review annually.</t>
        </is>
      </c>
      <c r="AC494" s="25" t="inlineStr">
        <is>
          <t>Verify ECRA licensing requirements, including whether proof of insurance is required, with the Electrical Safety Authority before stating them. Estimates labelled modelled.</t>
        </is>
      </c>
      <c r="AD494" s="36" t="inlineStr">
        <is>
          <t>Annual</t>
        </is>
      </c>
      <c r="AE494" s="38" t="n"/>
      <c r="AF494" s="38" t="n"/>
      <c r="AG494" s="38" t="n"/>
    </row>
    <row r="495" ht="35.05" customHeight="1" s="22">
      <c r="A495" s="36">
        <f>"B"&amp;TEXT(ROW()-1,"0000")</f>
        <v/>
      </c>
      <c r="B495" s="38" t="inlineStr">
        <is>
          <t>Planned</t>
        </is>
      </c>
      <c r="C495" s="36" t="n">
        <v>2</v>
      </c>
      <c r="D495" s="36" t="inlineStr">
        <is>
          <t>Contractor &amp; trades insurance</t>
        </is>
      </c>
      <c r="E495" s="36" t="inlineStr">
        <is>
          <t>Trades</t>
        </is>
      </c>
      <c r="F495" s="25" t="inlineStr">
        <is>
          <t>Handyman Insurance in Canada: Coverage, Cost and the Jobs That Need More</t>
        </is>
      </c>
      <c r="G495" s="36" t="inlineStr">
        <is>
          <t>https://instasure.ca/guides/handyman-insurance-canada/</t>
        </is>
      </c>
      <c r="H495" s="36" t="inlineStr">
        <is>
          <t>handyman insurance</t>
        </is>
      </c>
      <c r="I495" s="41">
        <f>IFERROR(INDEX('Nationwide KWs'!$D$2:$D$168,MATCH(H495,'Nationwide KWs'!$A$2:$A$168,0)),IFERROR(INDEX('Provincial KWs'!$E$2:$E$137,MATCH(H495,'Provincial KWs'!$A$2:$A$137,0)),IFERROR(INDEX('City KWs'!$F$2:$F$419,MATCH(H495,'City KWs'!$A$2:$A$419,0)),"")))</f>
        <v/>
      </c>
      <c r="J495" s="36" t="inlineStr">
        <is>
          <t>Low</t>
        </is>
      </c>
      <c r="K495" s="25" t="inlineStr">
        <is>
          <t>handyman liability insurance; handyman insurance cost; insurance for odd jobs; handyman business insurance ontario; do handymen need insurance</t>
        </is>
      </c>
      <c r="L495" s="36" t="inlineStr">
        <is>
          <t>Nationwide</t>
        </is>
      </c>
      <c r="M495" s="36" t="inlineStr">
        <is>
          <t>commercial</t>
        </is>
      </c>
      <c r="N495" s="36" t="inlineStr">
        <is>
          <t>MOFU</t>
        </is>
      </c>
      <c r="O495" s="25" t="inlineStr">
        <is>
          <t>Handyman Insurance in Canada: Coverage and Cost</t>
        </is>
      </c>
      <c r="P495" s="36">
        <f>LEN(O495)</f>
        <v/>
      </c>
      <c r="Q495" s="25" t="inlineStr">
        <is>
          <t>Handyman insurance in Canada: what liability cover includes, example costs and the jobs (electrical, gas, roofing) that need more. Get a handyman estimate.</t>
        </is>
      </c>
      <c r="R495" s="36">
        <f>LEN(Q495)</f>
        <v/>
      </c>
      <c r="S495" s="36">
        <f>IF(H495="","",IF(ISNUMBER(SEARCH(SUBSTITUTE(H495,"-"," "),SUBSTITUTE(O495,"-"," "))),"Yes","Check"))</f>
        <v/>
      </c>
      <c r="T495" s="25" t="inlineStr">
        <is>
          <t>What handyman insurance covers (short answer) | Example costs for a solo handyman | Jobs that change your classification: electrical, plumbing, gas, roofing | Licensing limits on handyman work by province | Tools, vehicle and stored materials | Task apps and platforms: whose insurance applies | Get an estimate</t>
        </is>
      </c>
      <c r="U495" s="25" t="inlineStr">
        <is>
          <t>Do handymen need insurance in Canada? | Can a handyman do electrical work in Ontario? | Does a task app's insurance cover me? | How much is handyman insurance per month?</t>
        </is>
      </c>
      <c r="V495" s="25" t="inlineStr">
        <is>
          <t>A job-classification table showing which common handyman tasks stay in a handyman class and which push you into a licensed trade, with provincial licensing links.</t>
        </is>
      </c>
      <c r="W495" s="25" t="inlineStr">
        <is>
          <t>/contractor-insurance/; /guides/contractor-insurance-cost-by-trade/; /guides/tools-and-equipment-insurance-contractors/; /guides/electrical-contractor-insurance-ontario/</t>
        </is>
      </c>
      <c r="X495" s="25" t="inlineStr">
        <is>
          <t>Instant handyman insurance estimate (/quote/)</t>
        </is>
      </c>
      <c r="Y495" s="36" t="inlineStr">
        <is>
          <t>Article; FAQPage; BreadcrumbList</t>
        </is>
      </c>
      <c r="Z495" s="37" t="n">
        <v>1500</v>
      </c>
      <c r="AA495" s="25" t="inlineStr">
        <is>
          <t>No competitor coverage seen; the keyword map lists no competitor for 'handyman insurance' and no trade page exists yet, so this guide is the primary target.</t>
        </is>
      </c>
      <c r="AB495" s="25" t="inlineStr">
        <is>
          <t>Focus keyword in title, H1, slug, meta and first 100 words; 40-60 word answer on liability cover and classification. The job-classification table is the snippet target; anchor 'contractor insurance' to the pillar. Licensed reviewer; review annually.</t>
        </is>
      </c>
      <c r="AC495" s="25" t="inlineStr">
        <is>
          <t>Verify provincial licensing limits (Ontario ECRA for electrical, TSSA for gas and others) with each authority, and check platform insurance statements against current platform terms.</t>
        </is>
      </c>
      <c r="AD495" s="36" t="inlineStr">
        <is>
          <t>Annual</t>
        </is>
      </c>
      <c r="AE495" s="38" t="n"/>
      <c r="AF495" s="38" t="n"/>
      <c r="AG495" s="38" t="n"/>
    </row>
    <row r="496" ht="35.05" customHeight="1" s="22">
      <c r="A496" s="36">
        <f>"B"&amp;TEXT(ROW()-1,"0000")</f>
        <v/>
      </c>
      <c r="B496" s="38" t="inlineStr">
        <is>
          <t>Planned</t>
        </is>
      </c>
      <c r="C496" s="36" t="n">
        <v>2</v>
      </c>
      <c r="D496" s="36" t="inlineStr">
        <is>
          <t>Contractor &amp; trades insurance</t>
        </is>
      </c>
      <c r="E496" s="36" t="inlineStr">
        <is>
          <t>Trades</t>
        </is>
      </c>
      <c r="F496" s="25" t="inlineStr">
        <is>
          <t>Plumber Insurance Cost in Canada and the Water-Damage Claims That Drive It</t>
        </is>
      </c>
      <c r="G496" s="36" t="inlineStr">
        <is>
          <t>https://instasure.ca/guides/plumber-insurance-cost-water-damage-claims/</t>
        </is>
      </c>
      <c r="H496" s="36" t="inlineStr">
        <is>
          <t>plumber insurance cost</t>
        </is>
      </c>
      <c r="I496" s="41">
        <f>IFERROR(INDEX('Nationwide KWs'!$D$2:$D$168,MATCH(H496,'Nationwide KWs'!$A$2:$A$168,0)),IFERROR(INDEX('Provincial KWs'!$E$2:$E$137,MATCH(H496,'Provincial KWs'!$A$2:$A$137,0)),IFERROR(INDEX('City KWs'!$F$2:$F$419,MATCH(H496,'City KWs'!$A$2:$A$419,0)),"")))</f>
        <v/>
      </c>
      <c r="J496" s="36" t="inlineStr">
        <is>
          <t>Niche</t>
        </is>
      </c>
      <c r="K496" s="25" t="inlineStr">
        <is>
          <t>plumber insurance; plumbing contractor liability insurance; plumber water damage claim; plumbing business insurance ontario</t>
        </is>
      </c>
      <c r="L496" s="36" t="inlineStr">
        <is>
          <t>Nationwide</t>
        </is>
      </c>
      <c r="M496" s="36" t="inlineStr">
        <is>
          <t>commercial</t>
        </is>
      </c>
      <c r="N496" s="36" t="inlineStr">
        <is>
          <t>MOFU</t>
        </is>
      </c>
      <c r="O496" s="25" t="inlineStr">
        <is>
          <t>Plumber Insurance Cost in Canada: Estimates and Claims</t>
        </is>
      </c>
      <c r="P496" s="36">
        <f>LEN(O496)</f>
        <v/>
      </c>
      <c r="Q496" s="25" t="inlineStr">
        <is>
          <t>Plumber insurance cost in Canada from dated example estimates, plus the water-damage claims insurers price for and how to reduce them. Get an estimate.</t>
        </is>
      </c>
      <c r="R496" s="36">
        <f>LEN(Q496)</f>
        <v/>
      </c>
      <c r="S496" s="36">
        <f>IF(H496="","",IF(ISNUMBER(SEARCH(SUBSTITUTE(H496,"-"," "),SUBSTITUTE(O496,"-"," "))),"Yes","Check"))</f>
        <v/>
      </c>
      <c r="T496" s="25" t="inlineStr">
        <is>
          <t>How much plumber insurance costs (example ranges) | Why water damage drives plumbers' premiums | Coverages plumbers carry: CGL, tools, van, pollution | Residential vs commercial and new-build work | Claim examples and how they were handled | Risk controls insurers reward | Get an estimate</t>
        </is>
      </c>
      <c r="U496" s="25" t="inlineStr">
        <is>
          <t>How much is liability insurance for a plumber in Canada? | Is a flood from a failed fitting covered by plumber insurance? | Do plumbers need pollution liability? | Does plumber insurance cover drain camera equipment?</t>
        </is>
      </c>
      <c r="V496" s="25" t="inlineStr">
        <is>
          <t>A modelled estimate table for 3 plumbing profiles plus 5 illustrative claim scenarios (failed fitting, frozen line, sewer backup during work) with the likely coverage outcome.</t>
        </is>
      </c>
      <c r="W496" s="25" t="inlineStr">
        <is>
          <t>/contractor-insurance/plumber/; /guides/contractor-insurance-cost-by-trade/; /guides/contractor-insurance-faulty-workmanship/; /guides/does-home-insurance-cover-water-damage-canada/</t>
        </is>
      </c>
      <c r="X496" s="25" t="inlineStr">
        <is>
          <t>Instant plumber insurance estimate (/quote/)</t>
        </is>
      </c>
      <c r="Y496" s="36" t="inlineStr">
        <is>
          <t>Article; FAQPage; BreadcrumbList</t>
        </is>
      </c>
      <c r="Z496" s="37" t="n">
        <v>1500</v>
      </c>
      <c r="AA496" s="25" t="inlineStr">
        <is>
          <t>Rates.ca has a plumber quote page with a 'from $750 a year' anchor in search snippets; no competitor explains the water-damage claim patterns behind plumber pricing.</t>
        </is>
      </c>
      <c r="AB496" s="25" t="inlineStr">
        <is>
          <t>Focus keyword in title, H1, slug, meta and first 100 words; the first H2 gives example ranges with profile and date. Link the plumber service page with the anchor 'plumber insurance' and the existing water-damage guide for the homeowner side. Licensed reviewer; refresh estimates quarterly.</t>
        </is>
      </c>
      <c r="AC496" s="25" t="inlineStr">
        <is>
          <t>Claim scenarios illustrative (or anonymised with permission); estimates labelled modelled. Don't reuse the Rates.ca figure as market data.</t>
        </is>
      </c>
      <c r="AD496" s="36" t="inlineStr">
        <is>
          <t>Quarterly</t>
        </is>
      </c>
      <c r="AE496" s="38" t="n"/>
      <c r="AF496" s="38" t="n"/>
      <c r="AG496" s="38" t="n"/>
    </row>
    <row r="497" ht="35.05" customHeight="1" s="22">
      <c r="A497" s="36">
        <f>"B"&amp;TEXT(ROW()-1,"0000")</f>
        <v/>
      </c>
      <c r="B497" s="38" t="inlineStr">
        <is>
          <t>Planned</t>
        </is>
      </c>
      <c r="C497" s="36" t="n">
        <v>2</v>
      </c>
      <c r="D497" s="36" t="inlineStr">
        <is>
          <t>Contractor &amp; trades insurance</t>
        </is>
      </c>
      <c r="E497" s="36" t="inlineStr">
        <is>
          <t>Trades</t>
        </is>
      </c>
      <c r="F497" s="25" t="inlineStr">
        <is>
          <t>Roofing Insurance Cost in Canada: Why Roofers Pay More and How to Lower It</t>
        </is>
      </c>
      <c r="G497" s="36" t="inlineStr">
        <is>
          <t>https://instasure.ca/guides/roofing-insurance-cost-canada/</t>
        </is>
      </c>
      <c r="H497" s="36" t="inlineStr">
        <is>
          <t>roofing insurance cost</t>
        </is>
      </c>
      <c r="I497" s="41">
        <f>IFERROR(INDEX('Nationwide KWs'!$D$2:$D$168,MATCH(H497,'Nationwide KWs'!$A$2:$A$168,0)),IFERROR(INDEX('Provincial KWs'!$E$2:$E$137,MATCH(H497,'Provincial KWs'!$A$2:$A$137,0)),IFERROR(INDEX('City KWs'!$F$2:$F$419,MATCH(H497,'City KWs'!$A$2:$A$419,0)),"")))</f>
        <v/>
      </c>
      <c r="J497" s="36" t="inlineStr">
        <is>
          <t>Niche</t>
        </is>
      </c>
      <c r="K497" s="25" t="inlineStr">
        <is>
          <t>roofing insurance; roofer liability insurance; roofing contractor insurance ontario; wsib roofing rate; torch-on roofing insurance</t>
        </is>
      </c>
      <c r="L497" s="36" t="inlineStr">
        <is>
          <t>Nationwide</t>
        </is>
      </c>
      <c r="M497" s="36" t="inlineStr">
        <is>
          <t>commercial</t>
        </is>
      </c>
      <c r="N497" s="36" t="inlineStr">
        <is>
          <t>MOFU</t>
        </is>
      </c>
      <c r="O497" s="25" t="inlineStr">
        <is>
          <t>Roofing Insurance Cost in Canada: Why Roofers Pay More</t>
        </is>
      </c>
      <c r="P497" s="36">
        <f>LEN(O497)</f>
        <v/>
      </c>
      <c r="Q497" s="25" t="inlineStr">
        <is>
          <t>Roofing insurance cost in Canada runs higher than most trades. See why (falls, fire, water), example estimates by crew size and how to save. Get a quote.</t>
        </is>
      </c>
      <c r="R497" s="36">
        <f>LEN(Q497)</f>
        <v/>
      </c>
      <c r="S497" s="36">
        <f>IF(H497="","",IF(ISNUMBER(SEARCH(SUBSTITUTE(H497,"-"," "),SUBSTITUTE(O497,"-"," "))),"Yes","Check"))</f>
        <v/>
      </c>
      <c r="T497" s="25" t="inlineStr">
        <is>
          <t>How much roofing insurance costs (example ranges) | Why roofing is priced higher: falls, torch work, water entry | Residential vs commercial and flat-roof work | Workers' compensation for roofers by province | Subcontractors and crews | Controls that lower premiums: fall protection, hot-work permits | Get an estimate</t>
        </is>
      </c>
      <c r="U497" s="25" t="inlineStr">
        <is>
          <t>Why is roofing insurance so expensive? | Do insurers cover torch-on roofing? | Do I need workers' compensation as a roofer? | Does roofing insurance cover rain damage during a tear-off?</t>
        </is>
      </c>
      <c r="V497" s="25" t="inlineStr">
        <is>
          <t>A modelled estimate table (solo, crew of 4, commercial flat-roof) and a workers' compensation table showing the roofing rate group by province with links to each board.</t>
        </is>
      </c>
      <c r="W497" s="25" t="inlineStr">
        <is>
          <t>/contractor-insurance/roofing/; /guides/contractor-insurance-cost-by-trade/; /guides/workers-compensation-vs-liability-insurance/; /contractor-insurance/</t>
        </is>
      </c>
      <c r="X497" s="25" t="inlineStr">
        <is>
          <t>Instant roofing insurance estimate (/quote/)</t>
        </is>
      </c>
      <c r="Y497" s="36" t="inlineStr">
        <is>
          <t>Article; FAQPage; BreadcrumbList</t>
        </is>
      </c>
      <c r="Z497" s="37" t="n">
        <v>1600</v>
      </c>
      <c r="AA497" s="25" t="inlineStr">
        <is>
          <t>No competitor coverage seen for roofing contractors; Rates.ca's roof-replacement guide is about homeowner claims.</t>
        </is>
      </c>
      <c r="AB497" s="25" t="inlineStr">
        <is>
          <t>Focus keyword in title, H1, slug, meta and first 100 words; the first H2 gives example ranges with profile and date. Add the board-by-board workers' compensation table and link the roofing service page with the anchor 'roofing insurance'. Licensed reviewer; refresh quarterly.</t>
        </is>
      </c>
      <c r="AC497" s="25" t="inlineStr">
        <is>
          <t>Workers' compensation rates must come from each board's current rate table with the year; estimates labelled modelled. Verify hot-work requirements with insurer guidance.</t>
        </is>
      </c>
      <c r="AD497" s="36" t="inlineStr">
        <is>
          <t>Quarterly</t>
        </is>
      </c>
      <c r="AE497" s="38" t="n"/>
      <c r="AF497" s="38" t="n"/>
      <c r="AG497" s="38" t="n"/>
    </row>
    <row r="498" ht="46.25" customHeight="1" s="22">
      <c r="A498" s="36">
        <f>"B"&amp;TEXT(ROW()-1,"0000")</f>
        <v/>
      </c>
      <c r="B498" s="38" t="inlineStr">
        <is>
          <t>Planned</t>
        </is>
      </c>
      <c r="C498" s="36" t="n">
        <v>2</v>
      </c>
      <c r="D498" s="36" t="inlineStr">
        <is>
          <t>Contractor &amp; trades insurance</t>
        </is>
      </c>
      <c r="E498" s="36" t="inlineStr">
        <is>
          <t>Trades</t>
        </is>
      </c>
      <c r="F498" s="25" t="inlineStr">
        <is>
          <t>Snow Removal Insurance for Landscapers and Plow Operators in Canada</t>
        </is>
      </c>
      <c r="G498" s="36" t="inlineStr">
        <is>
          <t>https://instasure.ca/guides/snow-removal-insurance-canada/</t>
        </is>
      </c>
      <c r="H498" s="36" t="inlineStr">
        <is>
          <t>snow removal insurance</t>
        </is>
      </c>
      <c r="I498" s="41">
        <f>IFERROR(INDEX('Nationwide KWs'!$D$2:$D$168,MATCH(H498,'Nationwide KWs'!$A$2:$A$168,0)),IFERROR(INDEX('Provincial KWs'!$E$2:$E$137,MATCH(H498,'Provincial KWs'!$A$2:$A$137,0)),IFERROR(INDEX('City KWs'!$F$2:$F$419,MATCH(H498,'City KWs'!$A$2:$A$419,0)),"")))</f>
        <v/>
      </c>
      <c r="J498" s="36" t="inlineStr">
        <is>
          <t>Low</t>
        </is>
      </c>
      <c r="K498" s="25" t="inlineStr">
        <is>
          <t>snow plow insurance; landscaping insurance; slip and fall liability snow removal; snow removal contract insurance; winter maintenance insurance ontario</t>
        </is>
      </c>
      <c r="L498" s="36" t="inlineStr">
        <is>
          <t>Nationwide</t>
        </is>
      </c>
      <c r="M498" s="36" t="inlineStr">
        <is>
          <t>commercial</t>
        </is>
      </c>
      <c r="N498" s="36" t="inlineStr">
        <is>
          <t>MOFU</t>
        </is>
      </c>
      <c r="O498" s="25" t="inlineStr">
        <is>
          <t>Snow Removal Insurance in Canada: Plows and Slip-and-Falls</t>
        </is>
      </c>
      <c r="P498" s="36">
        <f>LEN(O498)</f>
        <v/>
      </c>
      <c r="Q498" s="25" t="inlineStr">
        <is>
          <t>Snow removal insurance covers slip-and-fall claims, plow damage and equipment. See how contracts shift liability and what drives premiums. Get an estimate.</t>
        </is>
      </c>
      <c r="R498" s="36">
        <f>LEN(Q498)</f>
        <v/>
      </c>
      <c r="S498" s="36">
        <f>IF(H498="","",IF(ISNUMBER(SEARCH(SUBSTITUTE(H498,"-"," "),SUBSTITUTE(O498,"-"," "))),"Yes","Check"))</f>
        <v/>
      </c>
      <c r="T498" s="25" t="inlineStr">
        <is>
          <t>What snow removal insurance covers (short answer) | Slip-and-fall liability and why it dominates | Contracts: who is responsible for ice | Ontario's 60-day notice rule for snow and ice injuries | Plow trucks, skid steers and salt spreaders | Logs, photos and GPS: records that defend claims | Adding winter work to a landscaping policy</t>
        </is>
      </c>
      <c r="U498" s="25" t="inlineStr">
        <is>
          <t>Does landscaping insurance cover snow removal? | How long does someone have to give notice of a slip and fall in Ontario? | Do I need commercial auto insurance for a plow truck? | What records should snow contractors keep?</t>
        </is>
      </c>
      <c r="V498" s="25" t="inlineStr">
        <is>
          <t>A service log template (time, temperature, salt applied, photos) and a clause checklist for residential and commercial snow contracts.</t>
        </is>
      </c>
      <c r="W498" s="25" t="inlineStr">
        <is>
          <t>/contractor-insurance/landscaping/; /business-insurance/commercial-auto/; /guides/insurance-requirements-in-contracts/; /contractor-insurance/</t>
        </is>
      </c>
      <c r="X498" s="25" t="inlineStr">
        <is>
          <t>Instant landscaping and snow removal estimate (/quote/)</t>
        </is>
      </c>
      <c r="Y498" s="36" t="inlineStr">
        <is>
          <t>Article; FAQPage; BreadcrumbList</t>
        </is>
      </c>
      <c r="Z498" s="37" t="n">
        <v>1600</v>
      </c>
      <c r="AA498" s="25" t="inlineStr">
        <is>
          <t>Ratehub has a landscaping-insurance blog; no competitor seen covers snow removal liability, contract terms or Ontario's notice rule.</t>
        </is>
      </c>
      <c r="AB498" s="25" t="inlineStr">
        <is>
          <t>Focus keyword in title, H1, slug, meta and first 100 words; 40-60 word answer naming slip-and-fall, vehicle and equipment cover. Offer the service log as a download and link the landscaping page with the anchor 'landscaping insurance'. Licensed reviewer; review each autumn before the season.</t>
        </is>
      </c>
      <c r="AC498" s="25" t="inlineStr">
        <is>
          <t>Verify the Occupiers' Liability Act (Ontario) 60-day notice rule for snow and ice injuries and its exceptions on e-Laws. Don't claim insurers are leaving the market without a dated source; not legal advice.</t>
        </is>
      </c>
      <c r="AD498" s="36" t="inlineStr">
        <is>
          <t>Annual</t>
        </is>
      </c>
      <c r="AE498" s="38" t="n"/>
      <c r="AF498" s="38" t="n"/>
      <c r="AG498" s="38" t="n"/>
    </row>
    <row r="499" ht="35.05" customHeight="1" s="22">
      <c r="A499" s="36">
        <f>"B"&amp;TEXT(ROW()-1,"0000")</f>
        <v/>
      </c>
      <c r="B499" s="38" t="inlineStr">
        <is>
          <t>Planned</t>
        </is>
      </c>
      <c r="C499" s="36" t="n">
        <v>3</v>
      </c>
      <c r="D499" s="36" t="inlineStr">
        <is>
          <t>Contractor &amp; trades insurance</t>
        </is>
      </c>
      <c r="E499" s="36" t="inlineStr">
        <is>
          <t>Claims</t>
        </is>
      </c>
      <c r="F499" s="25" t="inlineStr">
        <is>
          <t>When a Client Says You Damaged Their Property: How Contractor Insurance Claims Work</t>
        </is>
      </c>
      <c r="G499" s="36" t="inlineStr">
        <is>
          <t>https://instasure.ca/guides/contractor-insurance-claim-process/</t>
        </is>
      </c>
      <c r="H499" s="36" t="inlineStr">
        <is>
          <t>contractor insurance claim</t>
        </is>
      </c>
      <c r="I499" s="41">
        <f>IFERROR(INDEX('Nationwide KWs'!$D$2:$D$168,MATCH(H499,'Nationwide KWs'!$A$2:$A$168,0)),IFERROR(INDEX('Provincial KWs'!$E$2:$E$137,MATCH(H499,'Provincial KWs'!$A$2:$A$137,0)),IFERROR(INDEX('City KWs'!$F$2:$F$419,MATCH(H499,'City KWs'!$A$2:$A$419,0)),"")))</f>
        <v/>
      </c>
      <c r="J499" s="36" t="inlineStr">
        <is>
          <t>Niche</t>
        </is>
      </c>
      <c r="K499" s="25" t="inlineStr">
        <is>
          <t>client suing contractor for damage; liability claim process contractor; report claim to insurer contractor; contractor deductible claim; pay out of pocket contractor damage</t>
        </is>
      </c>
      <c r="L499" s="36" t="inlineStr">
        <is>
          <t>Nationwide</t>
        </is>
      </c>
      <c r="M499" s="36" t="inlineStr">
        <is>
          <t>informational</t>
        </is>
      </c>
      <c r="N499" s="36" t="inlineStr">
        <is>
          <t>MOFU</t>
        </is>
      </c>
      <c r="O499" s="25" t="inlineStr">
        <is>
          <t>Contractor Insurance Claims: What to Do When Sued</t>
        </is>
      </c>
      <c r="P499" s="36">
        <f>LEN(O499)</f>
        <v/>
      </c>
      <c r="Q499" s="25" t="inlineStr">
        <is>
          <t>Contractor insurance claims explained: what to do when a client reports damage, when to tell your insurer and how defence works. Use the claim checklist.</t>
        </is>
      </c>
      <c r="R499" s="36">
        <f>LEN(Q499)</f>
        <v/>
      </c>
      <c r="S499" s="36">
        <f>IF(H499="","",IF(ISNUMBER(SEARCH(SUBSTITUTE(H499,"-"," "),SUBSTITUTE(O499,"-"," "))),"Yes","Check"))</f>
        <v/>
      </c>
      <c r="T499" s="25" t="inlineStr">
        <is>
          <t>First steps when a client reports damage (short answer) | Notifying your insurer: timing and what to send | Paying small claims yourself: the coverage risks | How liability claims are investigated and defended | Deductibles, premiums and future renewals | Lawsuits and statements of claim | Claim file checklist</t>
        </is>
      </c>
      <c r="U499" s="25" t="inlineStr">
        <is>
          <t>Should I report a small claim to my contractor insurance? | Can my insurer refuse a claim if I report it late? | Will a liability claim raise my contractor insurance premium? | Who pays my lawyer if a client sues me?</t>
        </is>
      </c>
      <c r="V499" s="25" t="inlineStr">
        <is>
          <t>A contractor claim file checklist and a 'pay it yourself vs report it' decision table showing the coverage risk of each choice.</t>
        </is>
      </c>
      <c r="W499" s="25" t="inlineStr">
        <is>
          <t>/contractor-insurance/; /guides/contractor-insurance-faulty-workmanship/; /guides/how-to-file-business-insurance-claim/; /guides/how-to-file-insurance-complaint-canada/</t>
        </is>
      </c>
      <c r="X499" s="25" t="inlineStr">
        <is>
          <t>Talk to a licensed advisor about your coverage (/contractor-insurance/)</t>
        </is>
      </c>
      <c r="Y499" s="36" t="inlineStr">
        <is>
          <t>Article; FAQPage; BreadcrumbList</t>
        </is>
      </c>
      <c r="Z499" s="37" t="n">
        <v>1500</v>
      </c>
      <c r="AA499" s="25" t="inlineStr">
        <is>
          <t>No competitor coverage seen.</t>
        </is>
      </c>
      <c r="AB499" s="25" t="inlineStr">
        <is>
          <t>Focus keyword in title, H1, first 100 words and meta; the first H2 gives a 40-60 word 'document, don't admit, notify' answer. Add the decision table and link the faulty-workmanship guide with the anchor 'what contractor insurance covers'. Licensed reviewer; review annually.</t>
        </is>
      </c>
      <c r="AC499" s="25" t="inlineStr">
        <is>
          <t>Notice conditions and voluntary-payment clauses vary; verify against the IBC CGL form. Not legal advice.</t>
        </is>
      </c>
      <c r="AD499" s="36" t="inlineStr">
        <is>
          <t>Annual</t>
        </is>
      </c>
      <c r="AE499" s="38" t="n"/>
      <c r="AF499" s="38" t="n"/>
      <c r="AG499" s="38" t="n"/>
    </row>
    <row r="500" ht="35.05" customHeight="1" s="22">
      <c r="A500" s="36">
        <f>"B"&amp;TEXT(ROW()-1,"0000")</f>
        <v/>
      </c>
      <c r="B500" s="38" t="inlineStr">
        <is>
          <t>Planned</t>
        </is>
      </c>
      <c r="C500" s="36" t="n">
        <v>3</v>
      </c>
      <c r="D500" s="36" t="inlineStr">
        <is>
          <t>Contractor &amp; trades insurance</t>
        </is>
      </c>
      <c r="E500" s="36" t="inlineStr">
        <is>
          <t>Comparisons</t>
        </is>
      </c>
      <c r="F500" s="25" t="inlineStr">
        <is>
          <t>Contractor Bonds vs Insurance: Bid, Performance and Payment Bonds Explained</t>
        </is>
      </c>
      <c r="G500" s="36" t="inlineStr">
        <is>
          <t>https://instasure.ca/guides/contractor-bonds-vs-insurance/</t>
        </is>
      </c>
      <c r="H500" s="36" t="inlineStr">
        <is>
          <t>surety bond vs insurance</t>
        </is>
      </c>
      <c r="I500" s="41">
        <f>IFERROR(INDEX('Nationwide KWs'!$D$2:$D$168,MATCH(H500,'Nationwide KWs'!$A$2:$A$168,0)),IFERROR(INDEX('Provincial KWs'!$E$2:$E$137,MATCH(H500,'Provincial KWs'!$A$2:$A$137,0)),IFERROR(INDEX('City KWs'!$F$2:$F$419,MATCH(H500,'City KWs'!$A$2:$A$419,0)),"")))</f>
        <v/>
      </c>
      <c r="J500" s="36" t="inlineStr">
        <is>
          <t>Low</t>
        </is>
      </c>
      <c r="K500" s="25" t="inlineStr">
        <is>
          <t>contractor bonding canada; performance bond; labour and material payment bond; bid bond; how to get bonded as a contractor</t>
        </is>
      </c>
      <c r="L500" s="36" t="inlineStr">
        <is>
          <t>Nationwide</t>
        </is>
      </c>
      <c r="M500" s="36" t="inlineStr">
        <is>
          <t>informational</t>
        </is>
      </c>
      <c r="N500" s="36" t="inlineStr">
        <is>
          <t>MOFU</t>
        </is>
      </c>
      <c r="O500" s="25" t="inlineStr">
        <is>
          <t>Surety Bond vs Insurance: A Guide for Canadian Contractors</t>
        </is>
      </c>
      <c r="P500" s="36">
        <f>LEN(O500)</f>
        <v/>
      </c>
      <c r="Q500" s="25" t="inlineStr">
        <is>
          <t>Surety bond vs insurance: a bond guarantees your work to the owner, insurance protects you. See bid, performance and payment bonds. Ask about bonding.</t>
        </is>
      </c>
      <c r="R500" s="36">
        <f>LEN(Q500)</f>
        <v/>
      </c>
      <c r="S500" s="36">
        <f>IF(H500="","",IF(ISNUMBER(SEARCH(SUBSTITUTE(H500,"-"," "),SUBSTITUTE(O500,"-"," "))),"Yes","Check"))</f>
        <v/>
      </c>
      <c r="T500" s="25" t="inlineStr">
        <is>
          <t>Bond vs insurance in one paragraph | Bid, performance and labour and material payment bonds | When public projects require bonds | How surety underwriting works: character, capacity, capital | Getting bonded for the first time | Licence and permit bonds | Bonds and insurance side by side</t>
        </is>
      </c>
      <c r="U500" s="25" t="inlineStr">
        <is>
          <t>Is a surety bond the same as insurance? | When do Ontario public projects require performance bonds? | How much does a performance bond cost? | Can a small contractor get bonded?</t>
        </is>
      </c>
      <c r="V500" s="25" t="inlineStr">
        <is>
          <t>A comparison table (who is protected, who repays losses, underwriting, cost basis) and a first-bond document checklist.</t>
        </is>
      </c>
      <c r="W500" s="25" t="inlineStr">
        <is>
          <t>/contractor-insurance/; /guides/general-contractor-insurance-subcontractors/; /guides/cleaning-business-insurance-cost-bonding/; /business-insurance/</t>
        </is>
      </c>
      <c r="X500" s="25" t="inlineStr">
        <is>
          <t>Request a licensed advisor call about bonding and liability (/contractor-insurance/)</t>
        </is>
      </c>
      <c r="Y500" s="36" t="inlineStr">
        <is>
          <t>Article; FAQPage; BreadcrumbList</t>
        </is>
      </c>
      <c r="Z500" s="37" t="n">
        <v>1600</v>
      </c>
      <c r="AA500" s="25" t="inlineStr">
        <is>
          <t>No competitor coverage seen among the six competitors.</t>
        </is>
      </c>
      <c r="AB500" s="25" t="inlineStr">
        <is>
          <t>Focus keyword in title, H1, first 100 words and meta; 40-60 word answer on who each protects. The side-by-side table follows; link the general contractor guide with the anchor 'general contractor insurance'. Licensed reviewer and a surety source; review annually.</t>
        </is>
      </c>
      <c r="AC500" s="25" t="inlineStr">
        <is>
          <t>Verify Ontario Construction Act bonding thresholds for public contracts and any federal requirements; keep surety pricing statements general. Confirm the advisor network can place surety before promising help.</t>
        </is>
      </c>
      <c r="AD500" s="36" t="inlineStr">
        <is>
          <t>Annual</t>
        </is>
      </c>
      <c r="AE500" s="38" t="n"/>
      <c r="AF500" s="38" t="n"/>
      <c r="AG500" s="38" t="n"/>
    </row>
    <row r="501" ht="35.05" customHeight="1" s="22">
      <c r="A501" s="36">
        <f>"B"&amp;TEXT(ROW()-1,"0000")</f>
        <v/>
      </c>
      <c r="B501" s="38" t="inlineStr">
        <is>
          <t>Planned</t>
        </is>
      </c>
      <c r="C501" s="36" t="n">
        <v>3</v>
      </c>
      <c r="D501" s="36" t="inlineStr">
        <is>
          <t>Contractor &amp; trades insurance</t>
        </is>
      </c>
      <c r="E501" s="36" t="inlineStr">
        <is>
          <t>How-to</t>
        </is>
      </c>
      <c r="F501" s="25" t="inlineStr">
        <is>
          <t>How to Check a Contractor's Insurance Before a Renovation</t>
        </is>
      </c>
      <c r="G501" s="36" t="inlineStr">
        <is>
          <t>https://instasure.ca/guides/check-contractor-insurance-before-renovation/</t>
        </is>
      </c>
      <c r="H501" s="36" t="inlineStr">
        <is>
          <t>how to check if a contractor is insured</t>
        </is>
      </c>
      <c r="I501" s="41">
        <f>IFERROR(INDEX('Nationwide KWs'!$D$2:$D$168,MATCH(H501,'Nationwide KWs'!$A$2:$A$168,0)),IFERROR(INDEX('Provincial KWs'!$E$2:$E$137,MATCH(H501,'Provincial KWs'!$A$2:$A$137,0)),IFERROR(INDEX('City KWs'!$F$2:$F$419,MATCH(H501,'City KWs'!$A$2:$A$419,0)),"")))</f>
        <v/>
      </c>
      <c r="J501" s="36" t="inlineStr">
        <is>
          <t>Low</t>
        </is>
      </c>
      <c r="K501" s="25" t="inlineStr">
        <is>
          <t>contractor insurance verification; ask contractor for certificate of insurance; hiring uninsured contractor; wsib clearance homeowner; renovation contractor insurance</t>
        </is>
      </c>
      <c r="L501" s="36" t="inlineStr">
        <is>
          <t>Nationwide</t>
        </is>
      </c>
      <c r="M501" s="36" t="inlineStr">
        <is>
          <t>informational</t>
        </is>
      </c>
      <c r="N501" s="36" t="inlineStr">
        <is>
          <t>TOFU</t>
        </is>
      </c>
      <c r="O501" s="25" t="inlineStr">
        <is>
          <t>How to Check if a Contractor Is Insured Before You Hire</t>
        </is>
      </c>
      <c r="P501" s="36">
        <f>LEN(O501)</f>
        <v/>
      </c>
      <c r="Q501" s="25" t="inlineStr">
        <is>
          <t>How to check if a contractor is insured: ask for a certificate, confirm with the insurer, check workers' comp and licences. A 7-step homeowner checklist.</t>
        </is>
      </c>
      <c r="R501" s="36">
        <f>LEN(Q501)</f>
        <v/>
      </c>
      <c r="S501" s="36">
        <f>IF(H501="","",IF(ISNUMBER(SEARCH(SUBSTITUTE(H501,"-"," "),SUBSTITUTE(O501,"-"," "))),"Yes","Check"))</f>
        <v/>
      </c>
      <c r="T501" s="25" t="inlineStr">
        <is>
          <t>The 7-step check (short answer) | Ask for a certificate of insurance and read it | Call the insurer or broker to confirm | Workers' compensation clearance by province | Licences and permits for regulated trades | If an uninsured contractor damages your home | Put the requirements in your contract</t>
        </is>
      </c>
      <c r="U501" s="25" t="inlineStr">
        <is>
          <t>What insurance should a contractor have for a home renovation? | Can I be liable if an uninsured worker is hurt at my house? | How do I verify a contractor's WSIB coverage? | Should I tell my home insurer about a renovation?</t>
        </is>
      </c>
      <c r="V501" s="25" t="inlineStr">
        <is>
          <t>A printable homeowner checklist and a province table linking each workers' compensation clearance lookup and trade licence register.</t>
        </is>
      </c>
      <c r="W501" s="25" t="inlineStr">
        <is>
          <t>/contractor-insurance/; /home-insurance/; /guides/certificate-of-insurance-explained/; /guides/builders-risk-insurance-canada/</t>
        </is>
      </c>
      <c r="X501" s="25" t="inlineStr">
        <is>
          <t>Contractors: get an instant estimate (/quote/)</t>
        </is>
      </c>
      <c r="Y501" s="36" t="inlineStr">
        <is>
          <t>Article; FAQPage; HowTo; BreadcrumbList</t>
        </is>
      </c>
      <c r="Z501" s="37" t="n">
        <v>1400</v>
      </c>
      <c r="AA501" s="25" t="inlineStr">
        <is>
          <t>No competitor coverage seen among the six competitors.</t>
        </is>
      </c>
      <c r="AB501" s="25" t="inlineStr">
        <is>
          <t>Focus keyword in title, H1, first 100 words and meta; the first H2 is a numbered 7-step answer (HowTo markup). Add the province lookup table and link the COI guide with the anchor 'read a certificate of insurance'. Licensed reviewer; review annually.</t>
        </is>
      </c>
      <c r="AC501" s="25" t="inlineStr">
        <is>
          <t>Verify each board's clearance lookup and the homeowner's position when hiring contractors (e.g. Ontario WSIB rules) with the board. Not legal advice.</t>
        </is>
      </c>
      <c r="AD501" s="36" t="inlineStr">
        <is>
          <t>Annual</t>
        </is>
      </c>
      <c r="AE501" s="38" t="n"/>
      <c r="AF501" s="38" t="n"/>
      <c r="AG501" s="38" t="n"/>
    </row>
    <row r="502" ht="35.05" customHeight="1" s="22">
      <c r="A502" s="36">
        <f>"B"&amp;TEXT(ROW()-1,"0000")</f>
        <v/>
      </c>
      <c r="B502" s="38" t="inlineStr">
        <is>
          <t>Planned</t>
        </is>
      </c>
      <c r="C502" s="36" t="n">
        <v>3</v>
      </c>
      <c r="D502" s="36" t="inlineStr">
        <is>
          <t>Contractor &amp; trades insurance</t>
        </is>
      </c>
      <c r="E502" s="36" t="inlineStr">
        <is>
          <t>Project requirements</t>
        </is>
      </c>
      <c r="F502" s="25" t="inlineStr">
        <is>
          <t>Builder's Risk Insurance in Canada: Who Buys It for a Renovation or New Build</t>
        </is>
      </c>
      <c r="G502" s="36" t="inlineStr">
        <is>
          <t>https://instasure.ca/guides/builders-risk-insurance-canada/</t>
        </is>
      </c>
      <c r="H502" s="36" t="inlineStr">
        <is>
          <t>builders risk insurance</t>
        </is>
      </c>
      <c r="I502" s="41">
        <f>IFERROR(INDEX('Nationwide KWs'!$D$2:$D$168,MATCH(H502,'Nationwide KWs'!$A$2:$A$168,0)),IFERROR(INDEX('Provincial KWs'!$E$2:$E$137,MATCH(H502,'Provincial KWs'!$A$2:$A$137,0)),IFERROR(INDEX('City KWs'!$F$2:$F$419,MATCH(H502,'City KWs'!$A$2:$A$419,0)),"")))</f>
        <v/>
      </c>
      <c r="J502" s="36" t="inlineStr">
        <is>
          <t>Low</t>
        </is>
      </c>
      <c r="K502" s="25" t="inlineStr">
        <is>
          <t>course of construction insurance; renovation insurance canada; builders risk insurance cost; home renovation insurance homeowner; house under construction insurance</t>
        </is>
      </c>
      <c r="L502" s="36" t="inlineStr">
        <is>
          <t>Nationwide</t>
        </is>
      </c>
      <c r="M502" s="36" t="inlineStr">
        <is>
          <t>commercial</t>
        </is>
      </c>
      <c r="N502" s="36" t="inlineStr">
        <is>
          <t>MOFU</t>
        </is>
      </c>
      <c r="O502" s="25" t="inlineStr">
        <is>
          <t>Builder's Risk Insurance in Canada: Who Needs It</t>
        </is>
      </c>
      <c r="P502" s="36">
        <f>LEN(O502)</f>
        <v/>
      </c>
      <c r="Q502" s="25" t="inlineStr">
        <is>
          <t>Builder's risk insurance covers a building under construction or renovation. See who should buy it, what it covers and how home policies change. Ask us.</t>
        </is>
      </c>
      <c r="R502" s="36">
        <f>LEN(Q502)</f>
        <v/>
      </c>
      <c r="S502" s="36">
        <f>IF(H502="","",IF(ISNUMBER(SEARCH(SUBSTITUTE(H502,"-"," "),SUBSTITUTE(O502,"-"," "))),"Yes","Check"))</f>
        <v/>
      </c>
      <c r="T502" s="25" t="inlineStr">
        <is>
          <t>What builder's risk insurance covers (short answer) | Owner or contractor: who should buy it | Major renovations and your home insurance | What's covered: materials, theft, fire, weather | Common exclusions and conditions | Cost drivers and policy length | Checklist before work starts</t>
        </is>
      </c>
      <c r="U502" s="25" t="inlineStr">
        <is>
          <t>Does home insurance cover a major renovation? | Who pays for builder's risk, the owner or the contractor? | Does builder's risk cover theft of materials on site? | How long does a builder's risk policy last?</t>
        </is>
      </c>
      <c r="V502" s="25" t="inlineStr">
        <is>
          <t>A who-buys-what table for 4 project types (custom home, gut renovation, addition, garden or laneway suite) and a pre-construction checklist.</t>
        </is>
      </c>
      <c r="W502" s="25" t="inlineStr">
        <is>
          <t>/contractor-insurance/; /home-insurance/; /guides/general-contractor-insurance-subcontractors/; /guides/check-contractor-insurance-before-renovation/</t>
        </is>
      </c>
      <c r="X502" s="25" t="inlineStr">
        <is>
          <t>Request a licensed advisor call (/contractor-insurance/)</t>
        </is>
      </c>
      <c r="Y502" s="36" t="inlineStr">
        <is>
          <t>Article; FAQPage; BreadcrumbList</t>
        </is>
      </c>
      <c r="Z502" s="37" t="n">
        <v>1500</v>
      </c>
      <c r="AA502" s="25" t="inlineStr">
        <is>
          <t>Ratehub has a builder's-risk page under home insurance; no competitor seen explains owner vs contractor responsibility by project type.</t>
        </is>
      </c>
      <c r="AB502" s="25" t="inlineStr">
        <is>
          <t>Focus keyword in title, H1, first 100 words and meta; 40-60 word answer on what the policy covers and who usually buys it. Put the who-buys-what table next and link home insurance for the homeowner angle. Licensed reviewer; review annually.</t>
        </is>
      </c>
      <c r="AC502" s="25" t="inlineStr">
        <is>
          <t>Verify vacancy and renovation conditions in home policies against insurer wordings and describe them as common. Not legal advice on construction contracts.</t>
        </is>
      </c>
      <c r="AD502" s="36" t="inlineStr">
        <is>
          <t>Annual</t>
        </is>
      </c>
      <c r="AE502" s="38" t="n"/>
      <c r="AF502" s="38" t="n"/>
      <c r="AG502" s="38" t="n"/>
    </row>
    <row r="503" ht="35.05" customHeight="1" s="22">
      <c r="A503" s="36">
        <f>"B"&amp;TEXT(ROW()-1,"0000")</f>
        <v/>
      </c>
      <c r="B503" s="38" t="inlineStr">
        <is>
          <t>Planned</t>
        </is>
      </c>
      <c r="C503" s="36" t="n">
        <v>3</v>
      </c>
      <c r="D503" s="36" t="inlineStr">
        <is>
          <t>Contractor &amp; trades insurance</t>
        </is>
      </c>
      <c r="E503" s="36" t="inlineStr">
        <is>
          <t>Regulation</t>
        </is>
      </c>
      <c r="F503" s="25" t="inlineStr">
        <is>
          <t>WSIB Clearance Certificates: When You Need One and How to Get It</t>
        </is>
      </c>
      <c r="G503" s="36" t="inlineStr">
        <is>
          <t>https://instasure.ca/guides/wsib-clearance-certificate/</t>
        </is>
      </c>
      <c r="H503" s="36" t="inlineStr">
        <is>
          <t>wsib clearance certificate</t>
        </is>
      </c>
      <c r="I503" s="41">
        <f>IFERROR(INDEX('Nationwide KWs'!$D$2:$D$168,MATCH(H503,'Nationwide KWs'!$A$2:$A$168,0)),IFERROR(INDEX('Provincial KWs'!$E$2:$E$137,MATCH(H503,'Provincial KWs'!$A$2:$A$137,0)),IFERROR(INDEX('City KWs'!$F$2:$F$419,MATCH(H503,'City KWs'!$A$2:$A$419,0)),"")))</f>
        <v/>
      </c>
      <c r="J503" s="36" t="inlineStr">
        <is>
          <t>Low</t>
        </is>
      </c>
      <c r="K503" s="25" t="inlineStr">
        <is>
          <t>how to get wsib clearance; wsib clearance for contractors; worksafebc clearance letter; principal liability unpaid premiums; clearance certificate subcontractor</t>
        </is>
      </c>
      <c r="L503" s="36" t="inlineStr">
        <is>
          <t>Province: Ontario</t>
        </is>
      </c>
      <c r="M503" s="36" t="inlineStr">
        <is>
          <t>informational</t>
        </is>
      </c>
      <c r="N503" s="36" t="inlineStr">
        <is>
          <t>MOFU</t>
        </is>
      </c>
      <c r="O503" s="25" t="inlineStr">
        <is>
          <t>WSIB Clearance Certificate: When You Need One and How</t>
        </is>
      </c>
      <c r="P503" s="36">
        <f>LEN(O503)</f>
        <v/>
      </c>
      <c r="Q503" s="25" t="inlineStr">
        <is>
          <t>A WSIB clearance certificate shows a contractor's account is in good standing. Learn when clients need one and how to get it online. Follow the steps.</t>
        </is>
      </c>
      <c r="R503" s="36">
        <f>LEN(Q503)</f>
        <v/>
      </c>
      <c r="S503" s="36">
        <f>IF(H503="","",IF(ISNUMBER(SEARCH(SUBSTITUTE(H503,"-"," "),SUBSTITUTE(O503,"-"," "))),"Yes","Check"))</f>
        <v/>
      </c>
      <c r="T503" s="25" t="inlineStr">
        <is>
          <t>What a WSIB clearance certificate is (short answer) | Why hiring businesses ask for it: principal liability | How to get a clearance online | How often to re-check during a project | Clearance vs certificate of insurance | Equivalent letters in other provinces</t>
        </is>
      </c>
      <c r="U503" s="25" t="inlineStr">
        <is>
          <t>How do I get a WSIB clearance certificate? | How long is a WSIB clearance certificate valid? | Do I need a clearance if my subcontractor is an independent operator? | Is a clearance certificate the same as proof of insurance?</t>
        </is>
      </c>
      <c r="V503" s="25" t="inlineStr">
        <is>
          <t>A step-by-step clearance walkthrough and a re-check schedule template for general contractors.</t>
        </is>
      </c>
      <c r="W503" s="25" t="inlineStr">
        <is>
          <t>/contractor-insurance/ontario/; /guides/wsib-for-contractors-ontario/; /guides/certificate-of-insurance-explained/; /guides/general-contractor-insurance-subcontractors/</t>
        </is>
      </c>
      <c r="X503" s="25" t="inlineStr">
        <is>
          <t>Instant contractor insurance estimate (/quote/)</t>
        </is>
      </c>
      <c r="Y503" s="36" t="inlineStr">
        <is>
          <t>Article; FAQPage; HowTo; BreadcrumbList</t>
        </is>
      </c>
      <c r="Z503" s="37" t="n">
        <v>1200</v>
      </c>
      <c r="AA503" s="25" t="inlineStr">
        <is>
          <t>No competitor coverage seen.</t>
        </is>
      </c>
      <c r="AB503" s="25" t="inlineStr">
        <is>
          <t>Focus keyword in title, H1, slug, meta and first 100 words; 40-60 word definition under the first H2, then HowTo steps for getting one. Link the COI guide to separate the two documents. Licensed reviewer; update whenever WSIB changes clearance rules.</t>
        </is>
      </c>
      <c r="AC503" s="25" t="inlineStr">
        <is>
          <t>Verify clearance validity periods and principal-liability rules with WSIB, and other provinces' equivalents with each board.</t>
        </is>
      </c>
      <c r="AD503" s="36" t="inlineStr">
        <is>
          <t>On rule change</t>
        </is>
      </c>
      <c r="AE503" s="38" t="n"/>
      <c r="AF503" s="38" t="n"/>
      <c r="AG503" s="38" t="n"/>
    </row>
    <row r="504" ht="35.05" customHeight="1" s="22">
      <c r="A504" s="36">
        <f>"B"&amp;TEXT(ROW()-1,"0000")</f>
        <v/>
      </c>
      <c r="B504" s="38" t="inlineStr">
        <is>
          <t>Planned</t>
        </is>
      </c>
      <c r="C504" s="36" t="n">
        <v>3</v>
      </c>
      <c r="D504" s="36" t="inlineStr">
        <is>
          <t>Contractor &amp; trades insurance</t>
        </is>
      </c>
      <c r="E504" s="36" t="inlineStr">
        <is>
          <t>Regulation</t>
        </is>
      </c>
      <c r="F504" s="25" t="inlineStr">
        <is>
          <t>Workers' Compensation vs Liability Insurance: A Province-by-Province Guide for Contractors</t>
        </is>
      </c>
      <c r="G504" s="36" t="inlineStr">
        <is>
          <t>https://instasure.ca/guides/workers-compensation-vs-liability-insurance/</t>
        </is>
      </c>
      <c r="H504" s="36" t="inlineStr">
        <is>
          <t>workers compensation vs liability insurance</t>
        </is>
      </c>
      <c r="I504" s="41">
        <f>IFERROR(INDEX('Nationwide KWs'!$D$2:$D$168,MATCH(H504,'Nationwide KWs'!$A$2:$A$168,0)),IFERROR(INDEX('Provincial KWs'!$E$2:$E$137,MATCH(H504,'Provincial KWs'!$A$2:$A$137,0)),IFERROR(INDEX('City KWs'!$F$2:$F$419,MATCH(H504,'City KWs'!$A$2:$A$419,0)),"")))</f>
        <v/>
      </c>
      <c r="J504" s="36" t="inlineStr">
        <is>
          <t>Niche</t>
        </is>
      </c>
      <c r="K504" s="25" t="inlineStr">
        <is>
          <t>wcb vs liability insurance; worksafebc contractor coverage; wcb alberta contractors; cnesst contractors; employer's liability insurance canada</t>
        </is>
      </c>
      <c r="L504" s="36" t="inlineStr">
        <is>
          <t>Nationwide</t>
        </is>
      </c>
      <c r="M504" s="36" t="inlineStr">
        <is>
          <t>informational</t>
        </is>
      </c>
      <c r="N504" s="36" t="inlineStr">
        <is>
          <t>MOFU</t>
        </is>
      </c>
      <c r="O504" s="25" t="inlineStr">
        <is>
          <t>Workers' Compensation vs Liability Insurance in Canada</t>
        </is>
      </c>
      <c r="P504" s="36">
        <f>LEN(O504)</f>
        <v/>
      </c>
      <c r="Q504" s="25" t="inlineStr">
        <is>
          <t>Workers' compensation vs liability insurance: what each covers, who must register in each province and territory, and the gaps owners fill. See the table.</t>
        </is>
      </c>
      <c r="R504" s="36">
        <f>LEN(Q504)</f>
        <v/>
      </c>
      <c r="S504" s="36">
        <f>IF(H504="","",IF(ISNUMBER(SEARCH(SUBSTITUTE(H504,"-"," "),SUBSTITUTE(O504,"-"," "))),"Yes","Check"))</f>
        <v/>
      </c>
      <c r="T504" s="25" t="inlineStr">
        <is>
          <t>The difference in one paragraph | What workers' compensation covers and who it protects | What liability insurance covers instead | Province and territory table: board, who must register, owner coverage options | Employer's liability and out-of-province work | Gaps for owners and independent operators</t>
        </is>
      </c>
      <c r="U504" s="25" t="inlineStr">
        <is>
          <t>Does liability insurance cover my employees' injuries? | Do I need workers' compensation if I have no employees? | What happens if I work in another province? | What is employer's liability insurance?</t>
        </is>
      </c>
      <c r="V504" s="25" t="inlineStr">
        <is>
          <t>A 13-row province and territory table of workers' compensation boards, who must register in construction and optional personal coverage for owners, with links and a 'checked on' date.</t>
        </is>
      </c>
      <c r="W504" s="25" t="inlineStr">
        <is>
          <t>/contractor-insurance/; /guides/wsib-for-contractors-ontario/; /disability-insurance/self-employed/; /guides/is-business-insurance-mandatory-canada/</t>
        </is>
      </c>
      <c r="X504" s="25" t="inlineStr">
        <is>
          <t>Instant contractor insurance estimate (/quote/)</t>
        </is>
      </c>
      <c r="Y504" s="36" t="inlineStr">
        <is>
          <t>Article; FAQPage; BreadcrumbList</t>
        </is>
      </c>
      <c r="Z504" s="37" t="n">
        <v>1800</v>
      </c>
      <c r="AA504" s="25" t="inlineStr">
        <is>
          <t>No competitor coverage seen of a province-by-province comparison.</t>
        </is>
      </c>
      <c r="AB504" s="25" t="inlineStr">
        <is>
          <t>Focus keyword in title, H1, slug, meta and first 100 words; 40-60 word answer contrasting the two. The 13-row board table is the citation magnet; link the Ontario WSIB guide and the self-employed disability page. Licensed reviewer; review annually.</t>
        </is>
      </c>
      <c r="AC504" s="25" t="inlineStr">
        <is>
          <t>Verify each board's registration rules and owner coverage options (WorkSafeBC, WCB Alberta, WCB Saskatchewan, WCB Manitoba, WSIB, CNESST, WorkSafeNB, WCB Nova Scotia, WCB PEI, WorkplaceNL, WSCC, Yukon WCB) and date the table.</t>
        </is>
      </c>
      <c r="AD504" s="36" t="inlineStr">
        <is>
          <t>Annual</t>
        </is>
      </c>
      <c r="AE504" s="38" t="n"/>
      <c r="AF504" s="38" t="n"/>
      <c r="AG504" s="38" t="n"/>
    </row>
    <row r="505" ht="35.05" customHeight="1" s="22">
      <c r="A505" s="36">
        <f>"B"&amp;TEXT(ROW()-1,"0000")</f>
        <v/>
      </c>
      <c r="B505" s="38" t="inlineStr">
        <is>
          <t>Planned</t>
        </is>
      </c>
      <c r="C505" s="36" t="n">
        <v>3</v>
      </c>
      <c r="D505" s="36" t="inlineStr">
        <is>
          <t>Contractor &amp; trades insurance</t>
        </is>
      </c>
      <c r="E505" s="36" t="inlineStr">
        <is>
          <t>Trades</t>
        </is>
      </c>
      <c r="F505" s="25" t="inlineStr">
        <is>
          <t>HVAC Contractor Insurance: Gas Work, Refrigerants and Carbon Monoxide Claims</t>
        </is>
      </c>
      <c r="G505" s="36" t="inlineStr">
        <is>
          <t>https://instasure.ca/guides/hvac-contractor-insurance-risks/</t>
        </is>
      </c>
      <c r="H505" s="36" t="inlineStr">
        <is>
          <t>hvac contractor insurance</t>
        </is>
      </c>
      <c r="I505" s="41">
        <f>IFERROR(INDEX('Nationwide KWs'!$D$2:$D$168,MATCH(H505,'Nationwide KWs'!$A$2:$A$168,0)),IFERROR(INDEX('Provincial KWs'!$E$2:$E$137,MATCH(H505,'Provincial KWs'!$A$2:$A$137,0)),IFERROR(INDEX('City KWs'!$F$2:$F$419,MATCH(H505,'City KWs'!$A$2:$A$419,0)),"")))</f>
        <v/>
      </c>
      <c r="J505" s="36" t="inlineStr">
        <is>
          <t>Niche</t>
        </is>
      </c>
      <c r="K505" s="25" t="inlineStr">
        <is>
          <t>hvac insurance; gas fitter insurance; hvac liability insurance canada; tssa registration insurance; heating contractor insurance cost</t>
        </is>
      </c>
      <c r="L505" s="36" t="inlineStr">
        <is>
          <t>Nationwide</t>
        </is>
      </c>
      <c r="M505" s="36" t="inlineStr">
        <is>
          <t>commercial</t>
        </is>
      </c>
      <c r="N505" s="36" t="inlineStr">
        <is>
          <t>MOFU</t>
        </is>
      </c>
      <c r="O505" s="25" t="inlineStr">
        <is>
          <t>HVAC Contractor Insurance: Gas, CO and Refrigerant Risks</t>
        </is>
      </c>
      <c r="P505" s="36">
        <f>LEN(O505)</f>
        <v/>
      </c>
      <c r="Q505" s="25" t="inlineStr">
        <is>
          <t>HVAC contractor insurance: gas and carbon monoxide liability, refrigerant rules, TSSA registration in Ontario and example costs. Get an HVAC estimate.</t>
        </is>
      </c>
      <c r="R505" s="36">
        <f>LEN(Q505)</f>
        <v/>
      </c>
      <c r="S505" s="36">
        <f>IF(H505="","",IF(ISNUMBER(SEARCH(SUBSTITUTE(H505,"-"," "),SUBSTITUTE(O505,"-"," "))),"Yes","Check"))</f>
        <v/>
      </c>
      <c r="T505" s="25" t="inlineStr">
        <is>
          <t>What HVAC contractors need (short answer) | Gas work and carbon monoxide liability | Refrigerant handling and pollution exposure | Ontario TSSA registration and other provincial gas rules | Installations, service contracts and completed operations | Example estimates | Risk controls insurers look for</t>
        </is>
      </c>
      <c r="U505" s="25" t="inlineStr">
        <is>
          <t>Does HVAC insurance cover carbon monoxide poisoning claims? | Do I need pollution liability as an HVAC contractor? | Do HVAC contractors need TSSA registration in Ontario? | How much is HVAC contractor insurance?</t>
        </is>
      </c>
      <c r="V505" s="25" t="inlineStr">
        <is>
          <t>A provincial gas-licensing table (TSSA in Ontario and its counterparts elsewhere) with links, plus a carbon monoxide incident response checklist.</t>
        </is>
      </c>
      <c r="W505" s="25" t="inlineStr">
        <is>
          <t>/contractor-insurance/hvac/; /guides/contractor-insurance-cost-by-trade/; /guides/contractor-pollution-liability-insurance/; /contractor-insurance/</t>
        </is>
      </c>
      <c r="X505" s="25" t="inlineStr">
        <is>
          <t>Instant HVAC insurance estimate (/quote/)</t>
        </is>
      </c>
      <c r="Y505" s="36" t="inlineStr">
        <is>
          <t>Article; FAQPage; BreadcrumbList</t>
        </is>
      </c>
      <c r="Z505" s="37" t="n">
        <v>1500</v>
      </c>
      <c r="AA505" s="25" t="inlineStr">
        <is>
          <t>Rates.ca has an HVAC quote page with a 'from $750 a year' anchor in search snippets; no competitor seen covers CO liability, refrigerant rules or provincial gas registration.</t>
        </is>
      </c>
      <c r="AB505" s="25" t="inlineStr">
        <is>
          <t>Focus keyword in title, H1, first 100 words and meta; 40-60 word answer naming gas, CO and completed-operations exposure. The provincial licensing table links each authority; anchor 'pollution liability' to the pollution guide. Licensed reviewer; review annually.</t>
        </is>
      </c>
      <c r="AC505" s="25" t="inlineStr">
        <is>
          <t>Verify TSSA fuels-contractor registration rules and federal halocarbon regulations at the source; estimates labelled modelled.</t>
        </is>
      </c>
      <c r="AD505" s="36" t="inlineStr">
        <is>
          <t>Annual</t>
        </is>
      </c>
      <c r="AE505" s="38" t="n"/>
      <c r="AF505" s="38" t="n"/>
      <c r="AG505" s="38" t="n"/>
    </row>
    <row r="506" ht="35.05" customHeight="1" s="22">
      <c r="A506" s="36">
        <f>"B"&amp;TEXT(ROW()-1,"0000")</f>
        <v/>
      </c>
      <c r="B506" s="38" t="inlineStr">
        <is>
          <t>Planned</t>
        </is>
      </c>
      <c r="C506" s="36" t="n">
        <v>3</v>
      </c>
      <c r="D506" s="36" t="inlineStr">
        <is>
          <t>Contractor &amp; trades insurance</t>
        </is>
      </c>
      <c r="E506" s="36" t="inlineStr">
        <is>
          <t>Trades</t>
        </is>
      </c>
      <c r="F506" s="25" t="inlineStr">
        <is>
          <t>Painting Contractor Insurance: Overspray, Ladders and What It Costs</t>
        </is>
      </c>
      <c r="G506" s="36" t="inlineStr">
        <is>
          <t>https://instasure.ca/guides/painting-contractor-insurance/</t>
        </is>
      </c>
      <c r="H506" s="36" t="inlineStr">
        <is>
          <t>painting contractor insurance</t>
        </is>
      </c>
      <c r="I506" s="41">
        <f>IFERROR(INDEX('Nationwide KWs'!$D$2:$D$168,MATCH(H506,'Nationwide KWs'!$A$2:$A$168,0)),IFERROR(INDEX('Provincial KWs'!$E$2:$E$137,MATCH(H506,'Provincial KWs'!$A$2:$A$137,0)),IFERROR(INDEX('City KWs'!$F$2:$F$419,MATCH(H506,'City KWs'!$A$2:$A$419,0)),"")))</f>
        <v/>
      </c>
      <c r="J506" s="36" t="inlineStr">
        <is>
          <t>Niche</t>
        </is>
      </c>
      <c r="K506" s="25" t="inlineStr">
        <is>
          <t>painter insurance canada; painter liability insurance cost; overspray damage insurance; house painter insurance ontario; painting business insurance</t>
        </is>
      </c>
      <c r="L506" s="36" t="inlineStr">
        <is>
          <t>Nationwide</t>
        </is>
      </c>
      <c r="M506" s="36" t="inlineStr">
        <is>
          <t>commercial</t>
        </is>
      </c>
      <c r="N506" s="36" t="inlineStr">
        <is>
          <t>MOFU</t>
        </is>
      </c>
      <c r="O506" s="25" t="inlineStr">
        <is>
          <t>Painting Contractor Insurance in Canada: Cover and Cost</t>
        </is>
      </c>
      <c r="P506" s="36">
        <f>LEN(O506)</f>
        <v/>
      </c>
      <c r="Q506" s="25" t="inlineStr">
        <is>
          <t>Painting contractor insurance covers overspray, damage to client property and injuries. See example costs, lead-paint rules and ways to save. Get a quote.</t>
        </is>
      </c>
      <c r="R506" s="36">
        <f>LEN(Q506)</f>
        <v/>
      </c>
      <c r="S506" s="36">
        <f>IF(H506="","",IF(ISNUMBER(SEARCH(SUBSTITUTE(H506,"-"," "),SUBSTITUTE(O506,"-"," "))),"Yes","Check"))</f>
        <v/>
      </c>
      <c r="T506" s="25" t="inlineStr">
        <is>
          <t>What painters need (short answer) | Overspray, spills and damage to client property | Ladders, lifts and work at heights | Lead paint in older homes | Residential vs commercial painting | Example estimates | Risk controls that help</t>
        </is>
      </c>
      <c r="U506" s="25" t="inlineStr">
        <is>
          <t>Does painter insurance cover overspray on cars? | Do house painters need workers' compensation? | Does insurance cover lead paint claims? | How much is painting contractor insurance?</t>
        </is>
      </c>
      <c r="V506" s="25" t="inlineStr">
        <is>
          <t>Modelled estimates for 3 painter profiles and a pre-job protection checklist (masking, drop cloths, overspray zone, before photos).</t>
        </is>
      </c>
      <c r="W506" s="25" t="inlineStr">
        <is>
          <t>/contractor-insurance/; /guides/contractor-insurance-cost-by-trade/; /guides/contractor-pollution-liability-insurance/; /guides/workers-compensation-vs-liability-insurance/</t>
        </is>
      </c>
      <c r="X506" s="25" t="inlineStr">
        <is>
          <t>Instant painting contractor estimate (/quote/)</t>
        </is>
      </c>
      <c r="Y506" s="36" t="inlineStr">
        <is>
          <t>Article; FAQPage; BreadcrumbList</t>
        </is>
      </c>
      <c r="Z506" s="37" t="n">
        <v>1300</v>
      </c>
      <c r="AA506" s="25" t="inlineStr">
        <is>
          <t>Rates.ca has a painter quote page ('Get a cheap painter insurance quote today'); no competitor seen covers overspray or lead-paint exposures.</t>
        </is>
      </c>
      <c r="AB506" s="25" t="inlineStr">
        <is>
          <t>Focus keyword in title, H1, slug, meta and first 100 words; 40-60 word answer naming property damage, injury and tools. Add the pre-job checklist as a download; anchor 'contractor insurance cost' to the cost-by-trade guide. Licensed reviewer; review annually.</t>
        </is>
      </c>
      <c r="AC506" s="25" t="inlineStr">
        <is>
          <t>Verify Health Canada lead-paint guidance before citing; estimates labelled modelled; no 'cheap' wording.</t>
        </is>
      </c>
      <c r="AD506" s="36" t="inlineStr">
        <is>
          <t>Annual</t>
        </is>
      </c>
      <c r="AE506" s="38" t="n"/>
      <c r="AF506" s="38" t="n"/>
      <c r="AG506" s="38" t="n"/>
    </row>
    <row r="507" ht="35.05" customHeight="1" s="22">
      <c r="A507" s="36">
        <f>"B"&amp;TEXT(ROW()-1,"0000")</f>
        <v/>
      </c>
      <c r="B507" s="38" t="inlineStr">
        <is>
          <t>Planned</t>
        </is>
      </c>
      <c r="C507" s="36" t="n">
        <v>4</v>
      </c>
      <c r="D507" s="36" t="inlineStr">
        <is>
          <t>Contractor &amp; trades insurance</t>
        </is>
      </c>
      <c r="E507" s="36" t="inlineStr">
        <is>
          <t>Exclusions</t>
        </is>
      </c>
      <c r="F507" s="25" t="inlineStr">
        <is>
          <t>Contractor Pollution Liability: Asbestos, Mould and Fuel Spills Explained</t>
        </is>
      </c>
      <c r="G507" s="36" t="inlineStr">
        <is>
          <t>https://instasure.ca/guides/contractor-pollution-liability-insurance/</t>
        </is>
      </c>
      <c r="H507" s="36" t="inlineStr">
        <is>
          <t>contractor pollution liability insurance</t>
        </is>
      </c>
      <c r="I507" s="41">
        <f>IFERROR(INDEX('Nationwide KWs'!$D$2:$D$168,MATCH(H507,'Nationwide KWs'!$A$2:$A$168,0)),IFERROR(INDEX('Provincial KWs'!$E$2:$E$137,MATCH(H507,'Provincial KWs'!$A$2:$A$137,0)),IFERROR(INDEX('City KWs'!$F$2:$F$419,MATCH(H507,'City KWs'!$A$2:$A$419,0)),"")))</f>
        <v/>
      </c>
      <c r="J507" s="36" t="inlineStr">
        <is>
          <t>Niche</t>
        </is>
      </c>
      <c r="K507" s="25" t="inlineStr">
        <is>
          <t>pollution exclusion cgl; asbestos abatement insurance; mould remediation insurance; renovation asbestos liability; environmental liability contractors</t>
        </is>
      </c>
      <c r="L507" s="36" t="inlineStr">
        <is>
          <t>Nationwide</t>
        </is>
      </c>
      <c r="M507" s="36" t="inlineStr">
        <is>
          <t>commercial</t>
        </is>
      </c>
      <c r="N507" s="36" t="inlineStr">
        <is>
          <t>MOFU</t>
        </is>
      </c>
      <c r="O507" s="25" t="inlineStr">
        <is>
          <t>Contractor Pollution Liability Insurance, Explained</t>
        </is>
      </c>
      <c r="P507" s="36">
        <f>LEN(O507)</f>
        <v/>
      </c>
      <c r="Q507" s="25" t="inlineStr">
        <is>
          <t>Contractor pollution liability insurance fills the CGL pollution gap for asbestos, mould and fuel spills. See who needs it and claim examples. Ask us.</t>
        </is>
      </c>
      <c r="R507" s="36">
        <f>LEN(Q507)</f>
        <v/>
      </c>
      <c r="S507" s="36">
        <f>IF(H507="","",IF(ISNUMBER(SEARCH(SUBSTITUTE(H507,"-"," "),SUBSTITUTE(O507,"-"," "))),"Yes","Check"))</f>
        <v/>
      </c>
      <c r="T507" s="25" t="inlineStr">
        <is>
          <t>Why your CGL likely excludes pollution (short answer) | Trades most exposed: renovators, HVAC, plumbers, excavators | Asbestos and vermiculite in older homes | Mould from water work | Fuel and fluid spills on site | Standalone policy vs endorsement | Claim examples</t>
        </is>
      </c>
      <c r="U507" s="25" t="inlineStr">
        <is>
          <t>Does my contractor liability insurance cover asbestos? | Who needs contractor pollution liability insurance? | Is mould excluded from contractor insurance? | Is a fuel spill from my equipment covered?</t>
        </is>
      </c>
      <c r="V507" s="25" t="inlineStr">
        <is>
          <t>A trade-by-exposure matrix and 5 illustrative claim scenarios comparing how a CGL and a pollution policy would respond.</t>
        </is>
      </c>
      <c r="W507" s="25" t="inlineStr">
        <is>
          <t>/contractor-insurance/; /guides/contractor-insurance-faulty-workmanship/; /guides/hvac-contractor-insurance-risks/; /contractor-insurance/plumber/</t>
        </is>
      </c>
      <c r="X507" s="25" t="inlineStr">
        <is>
          <t>Request a licensed advisor call (/contractor-insurance/)</t>
        </is>
      </c>
      <c r="Y507" s="36" t="inlineStr">
        <is>
          <t>Article; FAQPage; BreadcrumbList</t>
        </is>
      </c>
      <c r="Z507" s="37" t="n">
        <v>1400</v>
      </c>
      <c r="AA507" s="25" t="inlineStr">
        <is>
          <t>No competitor coverage seen.</t>
        </is>
      </c>
      <c r="AB507" s="25" t="inlineStr">
        <is>
          <t>Focus keyword in title, H1, slug, meta and first 100 words; 40-60 word answer on the CGL pollution exclusion and the fix. Put the exposure matrix first, then the scenarios; link the HVAC and plumber pages. Licensed reviewer; review annually.</t>
        </is>
      </c>
      <c r="AC507" s="25" t="inlineStr">
        <is>
          <t>Verify pollution exclusion wording in the IBC CGL form and provincial asbestos rules (e.g. Ontario Reg. 278/05) before citing. Scenarios illustrative.</t>
        </is>
      </c>
      <c r="AD507" s="36" t="inlineStr">
        <is>
          <t>Annual</t>
        </is>
      </c>
      <c r="AE507" s="38" t="n"/>
      <c r="AF507" s="38" t="n"/>
      <c r="AG507" s="38" t="n"/>
    </row>
    <row r="508" ht="35.05" customHeight="1" s="22">
      <c r="A508" s="36">
        <f>"B"&amp;TEXT(ROW()-1,"0000")</f>
        <v/>
      </c>
      <c r="B508" s="38" t="inlineStr">
        <is>
          <t>Planned</t>
        </is>
      </c>
      <c r="C508" s="36" t="n">
        <v>4</v>
      </c>
      <c r="D508" s="36" t="inlineStr">
        <is>
          <t>Contractor &amp; trades insurance</t>
        </is>
      </c>
      <c r="E508" s="36" t="inlineStr">
        <is>
          <t>Project requirements</t>
        </is>
      </c>
      <c r="F508" s="25" t="inlineStr">
        <is>
          <t>Wrap-Up Liability Insurance: Project-Specific Coverage for Construction in Canada</t>
        </is>
      </c>
      <c r="G508" s="36" t="inlineStr">
        <is>
          <t>https://instasure.ca/guides/wrap-up-liability-insurance/</t>
        </is>
      </c>
      <c r="H508" s="36" t="inlineStr">
        <is>
          <t>wrap-up liability insurance</t>
        </is>
      </c>
      <c r="I508" s="41">
        <f>IFERROR(INDEX('Nationwide KWs'!$D$2:$D$168,MATCH(H508,'Nationwide KWs'!$A$2:$A$168,0)),IFERROR(INDEX('Provincial KWs'!$E$2:$E$137,MATCH(H508,'Provincial KWs'!$A$2:$A$137,0)),IFERROR(INDEX('City KWs'!$F$2:$F$419,MATCH(H508,'City KWs'!$A$2:$A$419,0)),"")))</f>
        <v/>
      </c>
      <c r="J508" s="36" t="inlineStr">
        <is>
          <t>Niche</t>
        </is>
      </c>
      <c r="K508" s="25" t="inlineStr">
        <is>
          <t>project specific insurance construction; owner controlled insurance program; ccdc 41 insurance requirements; wrap-up policy canada; construction project insurance</t>
        </is>
      </c>
      <c r="L508" s="36" t="inlineStr">
        <is>
          <t>Nationwide</t>
        </is>
      </c>
      <c r="M508" s="36" t="inlineStr">
        <is>
          <t>informational</t>
        </is>
      </c>
      <c r="N508" s="36" t="inlineStr">
        <is>
          <t>MOFU</t>
        </is>
      </c>
      <c r="O508" s="25" t="inlineStr">
        <is>
          <t>Wrap-Up Liability Insurance for Construction Projects</t>
        </is>
      </c>
      <c r="P508" s="36">
        <f>LEN(O508)</f>
        <v/>
      </c>
      <c r="Q508" s="25" t="inlineStr">
        <is>
          <t>Wrap-up liability insurance covers everyone on a construction project under one policy. See how it works, CCDC 41 rules and what trades still need. Ask us.</t>
        </is>
      </c>
      <c r="R508" s="36">
        <f>LEN(Q508)</f>
        <v/>
      </c>
      <c r="S508" s="36">
        <f>IF(H508="","",IF(ISNUMBER(SEARCH(SUBSTITUTE(H508,"-"," "),SUBSTITUTE(O508,"-"," "))),"Yes","Check"))</f>
        <v/>
      </c>
      <c r="T508" s="25" t="inlineStr">
        <is>
          <t>What wrap-up liability insurance is (short answer) | Who is covered and who buys it | How CCDC 41 sets project insurance requirements | What your own CGL still needs to cover | Completed operations and project length | Pros and cons for owners and trades</t>
        </is>
      </c>
      <c r="U508" s="25" t="inlineStr">
        <is>
          <t>Do I still need my own liability insurance on a wrap-up project? | Who pays for wrap-up liability insurance? | What is CCDC 41? | Does a wrap-up policy cover my tools?</t>
        </is>
      </c>
      <c r="V508" s="25" t="inlineStr">
        <is>
          <t>A project-insurance matrix (wrap-up, builder's risk, contractor's own CGL, auto, tools) showing which policy responds to 8 common losses.</t>
        </is>
      </c>
      <c r="W508" s="25" t="inlineStr">
        <is>
          <t>/contractor-insurance/; /guides/builders-risk-insurance-canada/; /guides/general-contractor-insurance-subcontractors/; /guides/insurance-requirements-in-contracts/</t>
        </is>
      </c>
      <c r="X508" s="25" t="inlineStr">
        <is>
          <t>Request a licensed advisor call (/contractor-insurance/)</t>
        </is>
      </c>
      <c r="Y508" s="36" t="inlineStr">
        <is>
          <t>Article; FAQPage; BreadcrumbList</t>
        </is>
      </c>
      <c r="Z508" s="37" t="n">
        <v>1400</v>
      </c>
      <c r="AA508" s="25" t="inlineStr">
        <is>
          <t>No competitor coverage seen.</t>
        </is>
      </c>
      <c r="AB508" s="25" t="inlineStr">
        <is>
          <t>Focus keyword in title, H1, slug, meta and first 100 words; 40-60 word definition under the first H2. Put the 8-loss matrix after the CCDC section and link builder's risk with an exact anchor. Licensed reviewer; review annually.</t>
        </is>
      </c>
      <c r="AC508" s="25" t="inlineStr">
        <is>
          <t>Verify CCDC 41 content against the current edition from CCDC; describe wrap-up terms as typical.</t>
        </is>
      </c>
      <c r="AD508" s="36" t="inlineStr">
        <is>
          <t>Annual</t>
        </is>
      </c>
      <c r="AE508" s="38" t="n"/>
      <c r="AF508" s="38" t="n"/>
      <c r="AG508" s="38" t="n"/>
    </row>
    <row r="509" ht="46.25" customHeight="1" s="22">
      <c r="A509" s="36">
        <f>"B"&amp;TEXT(ROW()-1,"0000")</f>
        <v/>
      </c>
      <c r="B509" s="38" t="inlineStr">
        <is>
          <t>Planned</t>
        </is>
      </c>
      <c r="C509" s="36" t="n">
        <v>4</v>
      </c>
      <c r="D509" s="36" t="inlineStr">
        <is>
          <t>Contractor &amp; trades insurance</t>
        </is>
      </c>
      <c r="E509" s="36" t="inlineStr">
        <is>
          <t>Regulation</t>
        </is>
      </c>
      <c r="F509" s="25" t="inlineStr">
        <is>
          <t>Builder Licensing and New Home Warranty Insurance: Ontario, BC and Alberta Compared</t>
        </is>
      </c>
      <c r="G509" s="36" t="inlineStr">
        <is>
          <t>https://instasure.ca/guides/new-home-warranty-builder-licensing-provinces/</t>
        </is>
      </c>
      <c r="H509" s="36" t="inlineStr">
        <is>
          <t>new home warranty insurance for builders</t>
        </is>
      </c>
      <c r="I509" s="41">
        <f>IFERROR(INDEX('Nationwide KWs'!$D$2:$D$168,MATCH(H509,'Nationwide KWs'!$A$2:$A$168,0)),IFERROR(INDEX('Provincial KWs'!$E$2:$E$137,MATCH(H509,'Provincial KWs'!$A$2:$A$137,0)),IFERROR(INDEX('City KWs'!$F$2:$F$419,MATCH(H509,'City KWs'!$A$2:$A$419,0)),"")))</f>
        <v/>
      </c>
      <c r="J509" s="36" t="inlineStr">
        <is>
          <t>Niche</t>
        </is>
      </c>
      <c r="K509" s="25" t="inlineStr">
        <is>
          <t>tarion builder registration; hcra licence; bc housing home warranty insurance; alberta new home buyer protection; builder licence requirements canada</t>
        </is>
      </c>
      <c r="L509" s="36" t="inlineStr">
        <is>
          <t>Nationwide</t>
        </is>
      </c>
      <c r="M509" s="36" t="inlineStr">
        <is>
          <t>informational</t>
        </is>
      </c>
      <c r="N509" s="36" t="inlineStr">
        <is>
          <t>MOFU</t>
        </is>
      </c>
      <c r="O509" s="25" t="inlineStr">
        <is>
          <t>New Home Warranty Insurance for Builders: ON, BC and AB</t>
        </is>
      </c>
      <c r="P509" s="36">
        <f>LEN(O509)</f>
        <v/>
      </c>
      <c r="Q509" s="25" t="inlineStr">
        <is>
          <t>New home warranty insurance for builders in Ontario, BC and Alberta: licensing, enrolment and warranty terms, and how it fits with liability. Compare them.</t>
        </is>
      </c>
      <c r="R509" s="36">
        <f>LEN(Q509)</f>
        <v/>
      </c>
      <c r="S509" s="36">
        <f>IF(H509="","",IF(ISNUMBER(SEARCH(SUBSTITUTE(H509,"-"," "),SUBSTITUTE(O509,"-"," "))),"Yes","Check"))</f>
        <v/>
      </c>
      <c r="T509" s="25" t="inlineStr">
        <is>
          <t>How new home warranties work (short answer) | Ontario: HCRA licensing and Tarion enrolment | British Columbia: BC Housing licensing and home warranty insurance | Alberta: new home buyer protection and builder licensing | Other provinces: voluntary programs | How warranty differs from liability and builder's risk | Builder start-up checklist</t>
        </is>
      </c>
      <c r="U509" s="25" t="inlineStr">
        <is>
          <t>Do renovators need Tarion registration? | Is home warranty insurance mandatory in BC? | What does Alberta's new home warranty cover? | Does home warranty replace contractor liability insurance?</t>
        </is>
      </c>
      <c r="V509" s="25" t="inlineStr">
        <is>
          <t>A three-province comparison table (regulator, who must be licensed, warranty term by component, where fees are published) with primary links and a 'checked on' date.</t>
        </is>
      </c>
      <c r="W509" s="25" t="inlineStr">
        <is>
          <t>/contractor-insurance/ontario/; /contractor-insurance/british-columbia/; /contractor-insurance/alberta/; /guides/builders-risk-insurance-canada/</t>
        </is>
      </c>
      <c r="X509" s="25" t="inlineStr">
        <is>
          <t>Request a licensed advisor call (/contractor-insurance/)</t>
        </is>
      </c>
      <c r="Y509" s="36" t="inlineStr">
        <is>
          <t>Article; FAQPage; BreadcrumbList</t>
        </is>
      </c>
      <c r="Z509" s="37" t="n">
        <v>1800</v>
      </c>
      <c r="AA509" s="25" t="inlineStr">
        <is>
          <t>No competitor coverage seen.</t>
        </is>
      </c>
      <c r="AB509" s="25" t="inlineStr">
        <is>
          <t>Focus keyword in title, H1, first 100 words and meta; 40-60 word answer on which provinces require builder licensing and warranty enrolment. The three-province table is the citation target; link each provincial contractor page. Licensed reviewer; update whenever a warranty regulator changes its rules.</t>
        </is>
      </c>
      <c r="AC509" s="25" t="inlineStr">
        <is>
          <t>Verify every warranty term, licensing rule and fee reference with HCRA, Tarion, BC Housing and Alberta's New Home Buyer Protection Office, and date the table.</t>
        </is>
      </c>
      <c r="AD509" s="36" t="inlineStr">
        <is>
          <t>On rule change</t>
        </is>
      </c>
      <c r="AE509" s="38" t="n"/>
      <c r="AF509" s="38" t="n"/>
      <c r="AG509" s="38" t="n"/>
    </row>
    <row r="510" ht="35.05" customHeight="1" s="22">
      <c r="A510" s="36">
        <f>"B"&amp;TEXT(ROW()-1,"0000")</f>
        <v/>
      </c>
      <c r="B510" s="38" t="inlineStr">
        <is>
          <t>Published</t>
        </is>
      </c>
      <c r="C510" s="36" t="n">
        <v>1</v>
      </c>
      <c r="D510" s="36" t="inlineStr">
        <is>
          <t>Professional liability (E&amp;O)</t>
        </is>
      </c>
      <c r="E510" s="36" t="inlineStr">
        <is>
          <t>Cost &amp; pricing</t>
        </is>
      </c>
      <c r="F510" s="25" t="inlineStr">
        <is>
          <t>Errors and Omissions Insurance Cost in Canada by Profession</t>
        </is>
      </c>
      <c r="G510" s="36" t="inlineStr">
        <is>
          <t>https://instasure.ca/guides/errors-and-omissions-insurance-cost-canada/</t>
        </is>
      </c>
      <c r="H510" s="36" t="inlineStr">
        <is>
          <t>errors and omissions insurance cost</t>
        </is>
      </c>
      <c r="I510" s="41">
        <f>IFERROR(INDEX('Nationwide KWs'!$D$2:$D$168,MATCH(H510,'Nationwide KWs'!$A$2:$A$168,0)),IFERROR(INDEX('Provincial KWs'!$E$2:$E$137,MATCH(H510,'Provincial KWs'!$A$2:$A$137,0)),IFERROR(INDEX('City KWs'!$F$2:$F$419,MATCH(H510,'City KWs'!$A$2:$A$419,0)),"")))</f>
        <v/>
      </c>
      <c r="J510" s="36" t="inlineStr">
        <is>
          <t>Low</t>
        </is>
      </c>
      <c r="K510" s="25" t="inlineStr">
        <is>
          <t>errors and omissions insurance; professional liability insurance cost; e&amp;o insurance price canada; how much is e&amp;o insurance for consultants</t>
        </is>
      </c>
      <c r="L510" s="36" t="inlineStr">
        <is>
          <t>Nationwide</t>
        </is>
      </c>
      <c r="M510" s="36" t="inlineStr">
        <is>
          <t>commercial</t>
        </is>
      </c>
      <c r="N510" s="36" t="inlineStr">
        <is>
          <t>MOFU</t>
        </is>
      </c>
      <c r="O510" s="25" t="inlineStr">
        <is>
          <t>Errors and Omissions Insurance Cost in Canada by Profession</t>
        </is>
      </c>
      <c r="P510" s="36">
        <f>LEN(O510)</f>
        <v/>
      </c>
      <c r="Q510" s="25" t="inlineStr">
        <is>
          <t>Errors and omissions insurance cost in Canada by profession, limit and revenue, from dated example estimates. See what moves E&amp;O premiums. Get an estimate.</t>
        </is>
      </c>
      <c r="R510" s="36">
        <f>LEN(Q510)</f>
        <v/>
      </c>
      <c r="S510" s="36">
        <f>IF(H510="","",IF(ISNUMBER(SEARCH(SUBSTITUTE(H510,"-"," "),SUBSTITUTE(O510,"-"," "))),"Yes","Check"))</f>
        <v/>
      </c>
      <c r="T510" s="25" t="inlineStr">
        <is>
          <t>How much E&amp;O insurance costs (example ranges) | Cost by profession: consultants, IT, real estate, accountants, engineers, health | Limits, deductibles and retroactive dates | Revenue, contracts and claims history | Mandatory programs vs open-market E&amp;O | How to lower E&amp;O cost | Get an estimate</t>
        </is>
      </c>
      <c r="U510" s="25" t="inlineStr">
        <is>
          <t>How much is E&amp;O insurance for a consultant in Canada? | Why is E&amp;O more expensive for engineers than for marketers? | Does a higher deductible lower E&amp;O premiums? | Is E&amp;O insurance tax deductible?</t>
        </is>
      </c>
      <c r="V510" s="25" t="inlineStr">
        <is>
          <t>A dated table of modelled E&amp;O estimates for 8 professions at two limits ($1M and $2M), with assumptions and an 'as of' month.</t>
        </is>
      </c>
      <c r="W510" s="25" t="inlineStr">
        <is>
          <t>/professional-liability-insurance/; /guides/small-business-insurance-cost-canada/; /guides/professional-liability-vs-general-liability-insurance/; /guides/claims-made-vs-occurrence-insurance/</t>
        </is>
      </c>
      <c r="X510" s="25" t="inlineStr">
        <is>
          <t>Instant professional liability estimate (/quote/)</t>
        </is>
      </c>
      <c r="Y510" s="36" t="inlineStr">
        <is>
          <t>Article; FAQPage; BreadcrumbList</t>
        </is>
      </c>
      <c r="Z510" s="37" t="n">
        <v>1800</v>
      </c>
      <c r="AA510" s="25" t="inlineStr">
        <is>
          <t>Rates.ca publishes one E&amp;O anchor (about $250 a year for a $100k limit, from a search snippet) and Ratehub's professional liability page gives no breakdown by profession.</t>
        </is>
      </c>
      <c r="AB510" s="25" t="inlineStr">
        <is>
          <t>Focus keyword in title, H1, slug, meta and first 100 words; the first H2 gives example ranges tied to profiles and date. Lead with the profession-by-limit table and link the existing small business cost guide with the anchor 'small business insurance cost'. Licensed reviewer and a 'Rates as of' line; refresh quarterly.</t>
        </is>
      </c>
      <c r="AC510" s="25" t="inlineStr">
        <is>
          <t>Estimates labelled modelled with profile and date; the Rates.ca figure is a competitor claim, not market data. No 'cheapest E&amp;O' wording.</t>
        </is>
      </c>
      <c r="AD510" s="36" t="inlineStr">
        <is>
          <t>Quarterly</t>
        </is>
      </c>
      <c r="AE510" s="38" t="inlineStr">
        <is>
          <t>Michael Le Chi</t>
        </is>
      </c>
      <c r="AF510" s="38" t="n"/>
      <c r="AG510" s="38" t="inlineStr">
        <is>
          <t>2026-10-12</t>
        </is>
      </c>
    </row>
    <row r="511" ht="35.05" customHeight="1" s="22">
      <c r="A511" s="36">
        <f>"B"&amp;TEXT(ROW()-1,"0000")</f>
        <v/>
      </c>
      <c r="B511" s="38" t="inlineStr">
        <is>
          <t>Planned</t>
        </is>
      </c>
      <c r="C511" s="36" t="n">
        <v>1</v>
      </c>
      <c r="D511" s="36" t="inlineStr">
        <is>
          <t>Professional liability (E&amp;O)</t>
        </is>
      </c>
      <c r="E511" s="36" t="inlineStr">
        <is>
          <t>Regulation</t>
        </is>
      </c>
      <c r="F511" s="25" t="inlineStr">
        <is>
          <t>Which Professions Must Carry E&amp;O Insurance in Canada? A Regulator-by-Regulator Table</t>
        </is>
      </c>
      <c r="G511" s="36" t="inlineStr">
        <is>
          <t>https://instasure.ca/guides/regulator-mandated-errors-and-omissions-insurance/</t>
        </is>
      </c>
      <c r="H511" s="36" t="inlineStr">
        <is>
          <t>mandatory errors and omissions insurance</t>
        </is>
      </c>
      <c r="I511" s="41">
        <f>IFERROR(INDEX('Nationwide KWs'!$D$2:$D$168,MATCH(H511,'Nationwide KWs'!$A$2:$A$168,0)),IFERROR(INDEX('Provincial KWs'!$E$2:$E$137,MATCH(H511,'Provincial KWs'!$A$2:$A$137,0)),IFERROR(INDEX('City KWs'!$F$2:$F$419,MATCH(H511,'City KWs'!$A$2:$A$419,0)),"")))</f>
        <v/>
      </c>
      <c r="J511" s="36" t="inlineStr">
        <is>
          <t>Low</t>
        </is>
      </c>
      <c r="K511" s="25" t="inlineStr">
        <is>
          <t>is e&amp;o insurance mandatory; professions requiring liability insurance canada; mandatory professional liability insurance ontario; regulatory college insurance requirements; e&amp;o required by law</t>
        </is>
      </c>
      <c r="L511" s="36" t="inlineStr">
        <is>
          <t>Nationwide</t>
        </is>
      </c>
      <c r="M511" s="36" t="inlineStr">
        <is>
          <t>informational</t>
        </is>
      </c>
      <c r="N511" s="36" t="inlineStr">
        <is>
          <t>TOFU</t>
        </is>
      </c>
      <c r="O511" s="25" t="inlineStr">
        <is>
          <t>Mandatory Errors and Omissions Insurance in Canada</t>
        </is>
      </c>
      <c r="P511" s="36">
        <f>LEN(O511)</f>
        <v/>
      </c>
      <c r="Q511" s="25" t="inlineStr">
        <is>
          <t>Mandatory errors and omissions insurance in Canada: a regulator-by-regulator table of professions that must carry E&amp;O and the minimum limits. See yours.</t>
        </is>
      </c>
      <c r="R511" s="36">
        <f>LEN(Q511)</f>
        <v/>
      </c>
      <c r="S511" s="36">
        <f>IF(H511="","",IF(ISNUMBER(SEARCH(SUBSTITUTE(H511,"-"," "),SUBSTITUTE(O511,"-"," "))),"Yes","Check"))</f>
        <v/>
      </c>
      <c r="T511" s="25" t="inlineStr">
        <is>
          <t>Which professions must carry E&amp;O (short answer) | The master table: profession, province, regulator, minimum | Mandatory programs vs buy-your-own requirements | Professions where E&amp;O is expected but not required | What happens if your coverage lapses | How to check your regulator's current rule</t>
        </is>
      </c>
      <c r="U511" s="25" t="inlineStr">
        <is>
          <t>Is E&amp;O insurance required by law in Canada? | Which professions need mandatory professional liability insurance in Ontario? | Can I keep practising if my E&amp;O lapses? | Do insurance agents need E&amp;O?</t>
        </is>
      </c>
      <c r="V511" s="25" t="inlineStr">
        <is>
          <t>The master table: about 25 professions by province with regulator, requirement type and minimum limit, each linked to its source and dated. It is the citation magnet for the whole segment.</t>
        </is>
      </c>
      <c r="W511" s="25" t="inlineStr">
        <is>
          <t>/professional-liability-insurance/; /guides/real-estate-agent-errors-omissions-insurance/; /guides/malpractice-insurance-health-practitioners-canada/; /guides/is-business-insurance-mandatory-canada/</t>
        </is>
      </c>
      <c r="X511" s="25" t="inlineStr">
        <is>
          <t>Instant professional liability estimate (/quote/)</t>
        </is>
      </c>
      <c r="Y511" s="36" t="inlineStr">
        <is>
          <t>Article; FAQPage; BreadcrumbList</t>
        </is>
      </c>
      <c r="Z511" s="37" t="n">
        <v>2500</v>
      </c>
      <c r="AA511" s="25" t="inlineStr">
        <is>
          <t>No competitor coverage seen; no such table exists on Ratehub, Rates.ca or any other competitor researched.</t>
        </is>
      </c>
      <c r="AB511" s="25" t="inlineStr">
        <is>
          <t>Focus keyword in title, H1, first 100 words and meta; 40-60 word answer listing the main profession groups. Make the master table sortable and filterable by province, with a 'checked on' column; link each profession guide from its row. Licensed reviewer; full re-check twice a year.</t>
        </is>
      </c>
      <c r="AC511" s="25" t="inlineStr">
        <is>
          <t>Every row must be verified against the regulator's current bylaw or regulation and carry a 'checked on' date; drop rows that can't be verified. General information, not legal advice.</t>
        </is>
      </c>
      <c r="AD511" s="36" t="inlineStr">
        <is>
          <t>Semi-annual</t>
        </is>
      </c>
      <c r="AE511" s="38" t="n"/>
      <c r="AF511" s="38" t="n"/>
      <c r="AG511" s="38" t="n"/>
    </row>
    <row r="512" ht="35.05" customHeight="1" s="22">
      <c r="A512" s="36">
        <f>"B"&amp;TEXT(ROW()-1,"0000")</f>
        <v/>
      </c>
      <c r="B512" s="38" t="inlineStr">
        <is>
          <t>Planned</t>
        </is>
      </c>
      <c r="C512" s="36" t="n">
        <v>2</v>
      </c>
      <c r="D512" s="36" t="inlineStr">
        <is>
          <t>Professional liability (E&amp;O)</t>
        </is>
      </c>
      <c r="E512" s="36" t="inlineStr">
        <is>
          <t>Comparisons</t>
        </is>
      </c>
      <c r="F512" s="25" t="inlineStr">
        <is>
          <t>Professional Liability vs General Liability Insurance: What Each Covers</t>
        </is>
      </c>
      <c r="G512" s="36" t="inlineStr">
        <is>
          <t>https://instasure.ca/guides/professional-liability-vs-general-liability-insurance/</t>
        </is>
      </c>
      <c r="H512" s="36" t="inlineStr">
        <is>
          <t>professional liability vs general liability</t>
        </is>
      </c>
      <c r="I512" s="41">
        <f>IFERROR(INDEX('Nationwide KWs'!$D$2:$D$168,MATCH(H512,'Nationwide KWs'!$A$2:$A$168,0)),IFERROR(INDEX('Provincial KWs'!$E$2:$E$137,MATCH(H512,'Provincial KWs'!$A$2:$A$137,0)),IFERROR(INDEX('City KWs'!$F$2:$F$419,MATCH(H512,'City KWs'!$A$2:$A$419,0)),"")))</f>
        <v/>
      </c>
      <c r="J512" s="36" t="inlineStr">
        <is>
          <t>Low</t>
        </is>
      </c>
      <c r="K512" s="25" t="inlineStr">
        <is>
          <t>professional liability insurance; errors and omissions vs general liability; do i need both e&amp;o and cgl; e&amp;o vs cgl canada</t>
        </is>
      </c>
      <c r="L512" s="36" t="inlineStr">
        <is>
          <t>Nationwide</t>
        </is>
      </c>
      <c r="M512" s="36" t="inlineStr">
        <is>
          <t>informational</t>
        </is>
      </c>
      <c r="N512" s="36" t="inlineStr">
        <is>
          <t>MOFU</t>
        </is>
      </c>
      <c r="O512" s="25" t="inlineStr">
        <is>
          <t>Professional Liability vs General Liability Insurance</t>
        </is>
      </c>
      <c r="P512" s="36">
        <f>LEN(O512)</f>
        <v/>
      </c>
      <c r="Q512" s="25" t="inlineStr">
        <is>
          <t>Professional vs general liability: E&amp;O covers financial loss from your advice or work, CGL covers injury and property damage. See which you need.</t>
        </is>
      </c>
      <c r="R512" s="36">
        <f>LEN(Q512)</f>
        <v/>
      </c>
      <c r="S512" s="36">
        <f>IF(H512="","",IF(ISNUMBER(SEARCH(SUBSTITUTE(H512,"-"," "),SUBSTITUTE(O512,"-"," "))),"Yes","Check"))</f>
        <v/>
      </c>
      <c r="T512" s="25" t="inlineStr">
        <is>
          <t>The difference in one paragraph | Side-by-side comparison table | Claim examples: one for each policy | Businesses that need both | What neither policy covers | Cost: how the two are priced</t>
        </is>
      </c>
      <c r="U512" s="25" t="inlineStr">
        <is>
          <t>Do consultants need general liability insurance too? | Is E&amp;O the same as professional liability? | Does general liability cover a mistake in my advice? | Can I buy E&amp;O and CGL in one policy?</t>
        </is>
      </c>
      <c r="V512" s="25" t="inlineStr">
        <is>
          <t>A comparison table plus a 10-profession grid showing which of the two policies each profession typically carries.</t>
        </is>
      </c>
      <c r="W512" s="25" t="inlineStr">
        <is>
          <t>/professional-liability-insurance/; /business-insurance/; /guides/commercial-general-liability-insurance-explained/; /guides/errors-and-omissions-insurance-cost-canada/</t>
        </is>
      </c>
      <c r="X512" s="25" t="inlineStr">
        <is>
          <t>Instant professional liability estimate (/quote/)</t>
        </is>
      </c>
      <c r="Y512" s="36" t="inlineStr">
        <is>
          <t>Article; FAQPage; BreadcrumbList</t>
        </is>
      </c>
      <c r="Z512" s="37" t="n">
        <v>1300</v>
      </c>
      <c r="AA512" s="25" t="inlineStr">
        <is>
          <t>Rates.ca has a 'professional vs general liability insurance' resource and Ratehub has separate product pages; neither gives a profession-by-profession grid.</t>
        </is>
      </c>
      <c r="AB512" s="25" t="inlineStr">
        <is>
          <t>Focus keyword in title, H1, slug, meta and first 100 words; the 40-60 word answer under the first H2 is the snippet target. Put the comparison table immediately after it and link both pillars with exact-match anchors. Licensed general insurance reviewer; review annually.</t>
        </is>
      </c>
      <c r="AC512" s="25" t="inlineStr">
        <is>
          <t>Describe coverage as typical and verify against insurer forms; any cost references labelled modelled estimates.</t>
        </is>
      </c>
      <c r="AD512" s="36" t="inlineStr">
        <is>
          <t>Annual</t>
        </is>
      </c>
      <c r="AE512" s="38" t="n"/>
      <c r="AF512" s="38" t="n"/>
      <c r="AG512" s="38" t="n"/>
    </row>
    <row r="513" ht="35.05" customHeight="1" s="22">
      <c r="A513" s="36">
        <f>"B"&amp;TEXT(ROW()-1,"0000")</f>
        <v/>
      </c>
      <c r="B513" s="38" t="inlineStr">
        <is>
          <t>Planned</t>
        </is>
      </c>
      <c r="C513" s="36" t="n">
        <v>2</v>
      </c>
      <c r="D513" s="36" t="inlineStr">
        <is>
          <t>Professional liability (E&amp;O)</t>
        </is>
      </c>
      <c r="E513" s="36" t="inlineStr">
        <is>
          <t>Coverage explained</t>
        </is>
      </c>
      <c r="F513" s="25" t="inlineStr">
        <is>
          <t>Claims-Made vs Occurrence Insurance: Why It Matters for Professional Liability</t>
        </is>
      </c>
      <c r="G513" s="36" t="inlineStr">
        <is>
          <t>https://instasure.ca/guides/claims-made-vs-occurrence-insurance/</t>
        </is>
      </c>
      <c r="H513" s="36" t="inlineStr">
        <is>
          <t>claims-made vs occurrence</t>
        </is>
      </c>
      <c r="I513" s="41">
        <f>IFERROR(INDEX('Nationwide KWs'!$D$2:$D$168,MATCH(H513,'Nationwide KWs'!$A$2:$A$168,0)),IFERROR(INDEX('Provincial KWs'!$E$2:$E$137,MATCH(H513,'Provincial KWs'!$A$2:$A$137,0)),IFERROR(INDEX('City KWs'!$F$2:$F$419,MATCH(H513,'City KWs'!$A$2:$A$419,0)),"")))</f>
        <v/>
      </c>
      <c r="J513" s="36" t="inlineStr">
        <is>
          <t>Low</t>
        </is>
      </c>
      <c r="K513" s="25" t="inlineStr">
        <is>
          <t>claims made policy; occurrence policy; retroactive date; e&amp;o claims made trigger; prior acts coverage</t>
        </is>
      </c>
      <c r="L513" s="36" t="inlineStr">
        <is>
          <t>Nationwide</t>
        </is>
      </c>
      <c r="M513" s="36" t="inlineStr">
        <is>
          <t>informational</t>
        </is>
      </c>
      <c r="N513" s="36" t="inlineStr">
        <is>
          <t>TOFU</t>
        </is>
      </c>
      <c r="O513" s="25" t="inlineStr">
        <is>
          <t>Claims-Made vs Occurrence Insurance, Explained</t>
        </is>
      </c>
      <c r="P513" s="36">
        <f>LEN(O513)</f>
        <v/>
      </c>
      <c r="Q513" s="25" t="inlineStr">
        <is>
          <t>Claims-made vs occurrence insurance: which policy pays depends on when the claim is made or the event happened. See timelines and retro date examples.</t>
        </is>
      </c>
      <c r="R513" s="36">
        <f>LEN(Q513)</f>
        <v/>
      </c>
      <c r="S513" s="36">
        <f>IF(H513="","",IF(ISNUMBER(SEARCH(SUBSTITUTE(H513,"-"," "),SUBSTITUTE(O513,"-"," "))),"Yes","Check"))</f>
        <v/>
      </c>
      <c r="T513" s="25" t="inlineStr">
        <is>
          <t>The difference in one paragraph | Timeline examples: which policy pays | Retroactive dates and prior acts | Switching insurers without a gap | Retiring, selling or closing: when you need tail cover | Which Canadian policies use each trigger</t>
        </is>
      </c>
      <c r="U513" s="25" t="inlineStr">
        <is>
          <t>Is professional liability insurance claims-made? | What is a retroactive date? | What happens if I let my claims-made policy lapse? | Is CGL insurance occurrence-based?</t>
        </is>
      </c>
      <c r="V513" s="25" t="inlineStr">
        <is>
          <t>Three visual timelines (switching insurers, a lapse, retirement) showing which policy responds, plus a retroactive-date checklist.</t>
        </is>
      </c>
      <c r="W513" s="25" t="inlineStr">
        <is>
          <t>/professional-liability-insurance/; /guides/tail-coverage-extended-reporting-period/; /guides/errors-and-omissions-insurance-cost-canada/; /glossary/</t>
        </is>
      </c>
      <c r="X513" s="25" t="inlineStr">
        <is>
          <t>Have a licensed advisor check your retroactive date (/professional-liability-insurance/)</t>
        </is>
      </c>
      <c r="Y513" s="36" t="inlineStr">
        <is>
          <t>Article; FAQPage; BreadcrumbList</t>
        </is>
      </c>
      <c r="Z513" s="37" t="n">
        <v>1300</v>
      </c>
      <c r="AA513" s="25" t="inlineStr">
        <is>
          <t>No competitor coverage seen.</t>
        </is>
      </c>
      <c r="AB513" s="25" t="inlineStr">
        <is>
          <t>Focus keyword in title, H1, first 100 words and meta; the 40-60 word answer contrasts the two triggers. Show the timelines as images with text alternatives and link the tail coverage guide with the anchor 'tail coverage'. Licensed reviewer; review annually.</t>
        </is>
      </c>
      <c r="AC513" s="25" t="inlineStr">
        <is>
          <t>Describe triggers as typical and verify which Canadian forms use each; don't state a specific insurer's terms without confirmation.</t>
        </is>
      </c>
      <c r="AD513" s="36" t="inlineStr">
        <is>
          <t>Annual</t>
        </is>
      </c>
      <c r="AE513" s="38" t="n"/>
      <c r="AF513" s="38" t="n"/>
      <c r="AG513" s="38" t="n"/>
    </row>
    <row r="514" ht="46.25" customHeight="1" s="22">
      <c r="A514" s="36">
        <f>"B"&amp;TEXT(ROW()-1,"0000")</f>
        <v/>
      </c>
      <c r="B514" s="38" t="inlineStr">
        <is>
          <t>Planned</t>
        </is>
      </c>
      <c r="C514" s="36" t="n">
        <v>2</v>
      </c>
      <c r="D514" s="36" t="inlineStr">
        <is>
          <t>Professional liability (E&amp;O)</t>
        </is>
      </c>
      <c r="E514" s="36" t="inlineStr">
        <is>
          <t>Personas</t>
        </is>
      </c>
      <c r="F514" s="25" t="inlineStr">
        <is>
          <t>Malpractice Insurance for Health Practitioners in Canada: RMTs, Physios, Counsellors and More</t>
        </is>
      </c>
      <c r="G514" s="36" t="inlineStr">
        <is>
          <t>https://instasure.ca/guides/malpractice-insurance-health-practitioners-canada/</t>
        </is>
      </c>
      <c r="H514" s="36" t="inlineStr">
        <is>
          <t>malpractice insurance for health practitioners</t>
        </is>
      </c>
      <c r="I514" s="41">
        <f>IFERROR(INDEX('Nationwide KWs'!$D$2:$D$168,MATCH(H514,'Nationwide KWs'!$A$2:$A$168,0)),IFERROR(INDEX('Provincial KWs'!$E$2:$E$137,MATCH(H514,'Provincial KWs'!$A$2:$A$137,0)),IFERROR(INDEX('City KWs'!$F$2:$F$419,MATCH(H514,'City KWs'!$A$2:$A$419,0)),"")))</f>
        <v/>
      </c>
      <c r="J514" s="36" t="inlineStr">
        <is>
          <t>Low</t>
        </is>
      </c>
      <c r="K514" s="25" t="inlineStr">
        <is>
          <t>professional liability insurance massage therapist; physiotherapist liability insurance; psychotherapist insurance canada; chiropractor malpractice insurance; college insurance requirement</t>
        </is>
      </c>
      <c r="L514" s="36" t="inlineStr">
        <is>
          <t>Nationwide</t>
        </is>
      </c>
      <c r="M514" s="36" t="inlineStr">
        <is>
          <t>commercial</t>
        </is>
      </c>
      <c r="N514" s="36" t="inlineStr">
        <is>
          <t>MOFU</t>
        </is>
      </c>
      <c r="O514" s="25" t="inlineStr">
        <is>
          <t>Malpractice Insurance for Health Practitioners in Canada</t>
        </is>
      </c>
      <c r="P514" s="36">
        <f>LEN(O514)</f>
        <v/>
      </c>
      <c r="Q514" s="25" t="inlineStr">
        <is>
          <t>Malpractice insurance for health practitioners in Canada: which colleges require it, minimum limits and association plans vs open market. See the table.</t>
        </is>
      </c>
      <c r="R514" s="36">
        <f>LEN(Q514)</f>
        <v/>
      </c>
      <c r="S514" s="36">
        <f>IF(H514="","",IF(ISNUMBER(SEARCH(SUBSTITUTE(H514,"-"," "),SUBSTITUTE(O514,"-"," "))),"Yes","Check"))</f>
        <v/>
      </c>
      <c r="T514" s="25" t="inlineStr">
        <is>
          <t>Do health practitioners need malpractice insurance? (short answer) | College requirements table: RMTs, physiotherapists, psychotherapists, chiropractors, dietitians | Association plans vs buying on the open market | College-specific rules, including patient therapy funding | Clinic owners: CGL, property and cyber | Virtual care across provinces | Renewal checklist</t>
        </is>
      </c>
      <c r="U514" s="25" t="inlineStr">
        <is>
          <t>Is liability insurance mandatory for RMTs in Ontario? | Does my association membership include malpractice insurance? | Am I covered for virtual sessions with clients in another province? | Do clinic owners need separate insurance?</t>
        </is>
      </c>
      <c r="V514" s="25" t="inlineStr">
        <is>
          <t>A college requirements table (profession, regulator, required minimum, source link) for Ontario, BC and Alberta, dated.</t>
        </is>
      </c>
      <c r="W514" s="25" t="inlineStr">
        <is>
          <t>/professional-liability-insurance/; /guides/regulator-mandated-errors-and-omissions-insurance/; /business-insurance/cyber/; /guides/salon-spa-insurance-canada/</t>
        </is>
      </c>
      <c r="X514" s="25" t="inlineStr">
        <is>
          <t>Instant professional liability estimate (/quote/)</t>
        </is>
      </c>
      <c r="Y514" s="36" t="inlineStr">
        <is>
          <t>Article; FAQPage; BreadcrumbList</t>
        </is>
      </c>
      <c r="Z514" s="37" t="n">
        <v>1700</v>
      </c>
      <c r="AA514" s="25" t="inlineStr">
        <is>
          <t>Rates.ca has a healthcare-services quote page ('Get Cheap Healthcare Services Insurance Quotes Today'); no competitor seen compiles college insurance requirements.</t>
        </is>
      </c>
      <c r="AB514" s="25" t="inlineStr">
        <is>
          <t>Focus keyword in title, H1, first 100 words and meta; 40-60 word answer naming the colleges that require cover. The college table is the citation target; link the master E&amp;O table with the anchor 'professions that must carry E&amp;O'. Licensed reviewer; review annually.</t>
        </is>
      </c>
      <c r="AC514" s="25" t="inlineStr">
        <is>
          <t>Verify each college's bylaw minimums (e.g. CMTO, College of Physiotherapists of Ontario, CRPO) and date the table. Physicians use the CMPA, which is not insurance; say so accurately.</t>
        </is>
      </c>
      <c r="AD514" s="36" t="inlineStr">
        <is>
          <t>Annual</t>
        </is>
      </c>
      <c r="AE514" s="38" t="n"/>
      <c r="AF514" s="38" t="n"/>
      <c r="AG514" s="38" t="n"/>
    </row>
    <row r="515" ht="35.05" customHeight="1" s="22">
      <c r="A515" s="36">
        <f>"B"&amp;TEXT(ROW()-1,"0000")</f>
        <v/>
      </c>
      <c r="B515" s="38" t="inlineStr">
        <is>
          <t>Planned</t>
        </is>
      </c>
      <c r="C515" s="36" t="n">
        <v>2</v>
      </c>
      <c r="D515" s="36" t="inlineStr">
        <is>
          <t>Professional liability (E&amp;O)</t>
        </is>
      </c>
      <c r="E515" s="36" t="inlineStr">
        <is>
          <t>Personas</t>
        </is>
      </c>
      <c r="F515" s="25" t="inlineStr">
        <is>
          <t>Professional Liability Insurance for Consultants and Freelancers in Canada</t>
        </is>
      </c>
      <c r="G515" s="36" t="inlineStr">
        <is>
          <t>https://instasure.ca/guides/professional-liability-insurance-consultants-freelancers/</t>
        </is>
      </c>
      <c r="H515" s="36" t="inlineStr">
        <is>
          <t>professional liability insurance for consultants</t>
        </is>
      </c>
      <c r="I515" s="41">
        <f>IFERROR(INDEX('Nationwide KWs'!$D$2:$D$168,MATCH(H515,'Nationwide KWs'!$A$2:$A$168,0)),IFERROR(INDEX('Provincial KWs'!$E$2:$E$137,MATCH(H515,'Provincial KWs'!$A$2:$A$137,0)),IFERROR(INDEX('City KWs'!$F$2:$F$419,MATCH(H515,'City KWs'!$A$2:$A$419,0)),"")))</f>
        <v/>
      </c>
      <c r="J515" s="36" t="inlineStr">
        <is>
          <t>Low</t>
        </is>
      </c>
      <c r="K515" s="25" t="inlineStr">
        <is>
          <t>freelancer insurance canada; e&amp;o for consultants; independent contractor insurance; marketing consultant insurance; business consultant liability</t>
        </is>
      </c>
      <c r="L515" s="36" t="inlineStr">
        <is>
          <t>Nationwide</t>
        </is>
      </c>
      <c r="M515" s="36" t="inlineStr">
        <is>
          <t>commercial</t>
        </is>
      </c>
      <c r="N515" s="36" t="inlineStr">
        <is>
          <t>MOFU</t>
        </is>
      </c>
      <c r="O515" s="25" t="inlineStr">
        <is>
          <t>Professional Liability Insurance for Consultants in Canada</t>
        </is>
      </c>
      <c r="P515" s="36">
        <f>LEN(O515)</f>
        <v/>
      </c>
      <c r="Q515" s="25" t="inlineStr">
        <is>
          <t>Professional liability insurance for consultants and freelancers: what client contracts require, typical claims, limits and example costs. Get an estimate.</t>
        </is>
      </c>
      <c r="R515" s="36">
        <f>LEN(Q515)</f>
        <v/>
      </c>
      <c r="S515" s="36">
        <f>IF(H515="","",IF(ISNUMBER(SEARCH(SUBSTITUTE(H515,"-"," "),SUBSTITUTE(O515,"-"," "))),"Yes","Check"))</f>
        <v/>
      </c>
      <c r="T515" s="25" t="inlineStr">
        <is>
          <t>Do consultants need professional liability? (short answer) | What client contracts ask for | Typical claims: missed deadlines, bad advice, IP disputes | Choosing a limit and deductible | Adding CGL and cyber | Example estimates by consulting type | Incorporated vs sole proprietor</t>
        </is>
      </c>
      <c r="U515" s="25" t="inlineStr">
        <is>
          <t>Do freelancers need insurance in Canada? | How much E&amp;O do consultants need? | Does E&amp;O cover copyright claims? | Is my client's insurance enough to cover me?</t>
        </is>
      </c>
      <c r="V515" s="25" t="inlineStr">
        <is>
          <t>A contract-requirement checklist plus modelled estimates for 5 consulting types (management, marketing, HR, design, project management).</t>
        </is>
      </c>
      <c r="W515" s="25" t="inlineStr">
        <is>
          <t>/professional-liability-insurance/; /guides/errors-and-omissions-insurance-cost-canada/; /guides/insurance-requirements-in-contracts/; /business-insurance/home-based/</t>
        </is>
      </c>
      <c r="X515" s="25" t="inlineStr">
        <is>
          <t>Instant professional liability estimate (/quote/)</t>
        </is>
      </c>
      <c r="Y515" s="36" t="inlineStr">
        <is>
          <t>Article; FAQPage; BreadcrumbList</t>
        </is>
      </c>
      <c r="Z515" s="37" t="n">
        <v>1500</v>
      </c>
      <c r="AA515" s="25" t="inlineStr">
        <is>
          <t>Rates.ca has a freelancer quote page; no competitor seen covers consultant contract requirements or typical claim types.</t>
        </is>
      </c>
      <c r="AB515" s="25" t="inlineStr">
        <is>
          <t>Focus keyword in title, H1, first 100 words and meta; 40-60 word answer on why client-facing advice creates E&amp;O exposure. Put the contract checklist before the estimates and link the contracts guide with the anchor 'insurance requirements in contracts'. Licensed reviewer; review annually.</t>
        </is>
      </c>
      <c r="AC515" s="25" t="inlineStr">
        <is>
          <t>Estimates labelled modelled; intellectual-property coverage varies widely, so verify with insurer wordings.</t>
        </is>
      </c>
      <c r="AD515" s="36" t="inlineStr">
        <is>
          <t>Annual</t>
        </is>
      </c>
      <c r="AE515" s="38" t="n"/>
      <c r="AF515" s="38" t="n"/>
      <c r="AG515" s="38" t="n"/>
    </row>
    <row r="516" ht="35.05" customHeight="1" s="22">
      <c r="A516" s="36">
        <f>"B"&amp;TEXT(ROW()-1,"0000")</f>
        <v/>
      </c>
      <c r="B516" s="38" t="inlineStr">
        <is>
          <t>Planned</t>
        </is>
      </c>
      <c r="C516" s="36" t="n">
        <v>2</v>
      </c>
      <c r="D516" s="36" t="inlineStr">
        <is>
          <t>Professional liability (E&amp;O)</t>
        </is>
      </c>
      <c r="E516" s="36" t="inlineStr">
        <is>
          <t>Personas</t>
        </is>
      </c>
      <c r="F516" s="25" t="inlineStr">
        <is>
          <t>Tech E&amp;O Insurance for IT Consultants, Developers and SaaS Firms in Canada</t>
        </is>
      </c>
      <c r="G516" s="36" t="inlineStr">
        <is>
          <t>https://instasure.ca/guides/tech-errors-and-omissions-insurance-canada/</t>
        </is>
      </c>
      <c r="H516" s="36" t="inlineStr">
        <is>
          <t>tech errors and omissions insurance</t>
        </is>
      </c>
      <c r="I516" s="41">
        <f>IFERROR(INDEX('Nationwide KWs'!$D$2:$D$168,MATCH(H516,'Nationwide KWs'!$A$2:$A$168,0)),IFERROR(INDEX('Provincial KWs'!$E$2:$E$137,MATCH(H516,'Provincial KWs'!$A$2:$A$137,0)),IFERROR(INDEX('City KWs'!$F$2:$F$419,MATCH(H516,'City KWs'!$A$2:$A$419,0)),"")))</f>
        <v/>
      </c>
      <c r="J516" s="36" t="inlineStr">
        <is>
          <t>Niche</t>
        </is>
      </c>
      <c r="K516" s="25" t="inlineStr">
        <is>
          <t>it consultant insurance canada; software developer insurance; saas insurance; technology professional liability; tech e&amp;o and cyber</t>
        </is>
      </c>
      <c r="L516" s="36" t="inlineStr">
        <is>
          <t>Nationwide</t>
        </is>
      </c>
      <c r="M516" s="36" t="inlineStr">
        <is>
          <t>commercial</t>
        </is>
      </c>
      <c r="N516" s="36" t="inlineStr">
        <is>
          <t>MOFU</t>
        </is>
      </c>
      <c r="O516" s="25" t="inlineStr">
        <is>
          <t>Tech Errors and Omissions Insurance for IT Firms in Canada</t>
        </is>
      </c>
      <c r="P516" s="36">
        <f>LEN(O516)</f>
        <v/>
      </c>
      <c r="Q516" s="25" t="inlineStr">
        <is>
          <t>Tech errors and omissions insurance covers IT consultants, developers and SaaS firms for failed projects and outages, and pairs with cyber. Get a quote.</t>
        </is>
      </c>
      <c r="R516" s="36">
        <f>LEN(Q516)</f>
        <v/>
      </c>
      <c r="S516" s="36">
        <f>IF(H516="","",IF(ISNUMBER(SEARCH(SUBSTITUTE(H516,"-"," "),SUBSTITUTE(O516,"-"," "))),"Yes","Check"))</f>
        <v/>
      </c>
      <c r="T516" s="25" t="inlineStr">
        <is>
          <t>What tech E&amp;O covers (short answer) | Typical claims: failed implementations, outages, missed service levels | Tech E&amp;O vs cyber: where one ends | Contract terms: limitation of liability and SLAs | Limits enterprise clients ask for | Example estimates | Underwriting questions to prepare for</t>
        </is>
      </c>
      <c r="U516" s="25" t="inlineStr">
        <is>
          <t>Do IT contractors need E&amp;O insurance in Canada? | Does tech E&amp;O cover a data breach? | What limit do enterprise clients require? | Does tech E&amp;O cover open-source licence disputes?</t>
        </is>
      </c>
      <c r="V516" s="25" t="inlineStr">
        <is>
          <t>A tech E&amp;O vs cyber coverage map (first-party, third-party, contractual) and an underwriting-question prep list.</t>
        </is>
      </c>
      <c r="W516" s="25" t="inlineStr">
        <is>
          <t>/professional-liability-insurance/; /business-insurance/cyber/; /guides/cyber-insurance-cost-small-business-canada/; /guides/errors-and-omissions-insurance-cost-canada/</t>
        </is>
      </c>
      <c r="X516" s="25" t="inlineStr">
        <is>
          <t>Instant professional liability estimate (/quote/)</t>
        </is>
      </c>
      <c r="Y516" s="36" t="inlineStr">
        <is>
          <t>Article; FAQPage; BreadcrumbList</t>
        </is>
      </c>
      <c r="Z516" s="37" t="n">
        <v>1500</v>
      </c>
      <c r="AA516" s="25" t="inlineStr">
        <is>
          <t>No competitor coverage seen of technology E&amp;O; Ratehub's cyber and professional liability pages are separate.</t>
        </is>
      </c>
      <c r="AB516" s="25" t="inlineStr">
        <is>
          <t>Focus keyword in title, H1, slug, meta and first 100 words; 40-60 word answer naming failed projects, outages and contractual claims. The coverage map is the citation target; link the cyber page with the anchor 'cyber insurance'. Licensed reviewer; review annually.</t>
        </is>
      </c>
      <c r="AC516" s="25" t="inlineStr">
        <is>
          <t>Coverage overlaps vary by insurer; verify combined tech and cyber form descriptions. Estimates labelled modelled.</t>
        </is>
      </c>
      <c r="AD516" s="36" t="inlineStr">
        <is>
          <t>Annual</t>
        </is>
      </c>
      <c r="AE516" s="38" t="n"/>
      <c r="AF516" s="38" t="n"/>
      <c r="AG516" s="38" t="n"/>
    </row>
    <row r="517" ht="35.05" customHeight="1" s="22">
      <c r="A517" s="36">
        <f>"B"&amp;TEXT(ROW()-1,"0000")</f>
        <v/>
      </c>
      <c r="B517" s="38" t="inlineStr">
        <is>
          <t>Planned</t>
        </is>
      </c>
      <c r="C517" s="36" t="n">
        <v>3</v>
      </c>
      <c r="D517" s="36" t="inlineStr">
        <is>
          <t>Professional liability (E&amp;O)</t>
        </is>
      </c>
      <c r="E517" s="36" t="inlineStr">
        <is>
          <t>Claims</t>
        </is>
      </c>
      <c r="F517" s="25" t="inlineStr">
        <is>
          <t>How Errors and Omissions Claims Work: Defence Costs, Consent to Settle and Deductibles</t>
        </is>
      </c>
      <c r="G517" s="36" t="inlineStr">
        <is>
          <t>https://instasure.ca/guides/how-errors-and-omissions-claims-work/</t>
        </is>
      </c>
      <c r="H517" s="36" t="inlineStr">
        <is>
          <t>errors and omissions claim</t>
        </is>
      </c>
      <c r="I517" s="41">
        <f>IFERROR(INDEX('Nationwide KWs'!$D$2:$D$168,MATCH(H517,'Nationwide KWs'!$A$2:$A$168,0)),IFERROR(INDEX('Provincial KWs'!$E$2:$E$137,MATCH(H517,'Provincial KWs'!$A$2:$A$137,0)),IFERROR(INDEX('City KWs'!$F$2:$F$419,MATCH(H517,'City KWs'!$A$2:$A$419,0)),"")))</f>
        <v/>
      </c>
      <c r="J517" s="36" t="inlineStr">
        <is>
          <t>Niche</t>
        </is>
      </c>
      <c r="K517" s="25" t="inlineStr">
        <is>
          <t>e&amp;o claim process; defence costs within limits; consent to settle clause; hammer clause; demand letter professional liability</t>
        </is>
      </c>
      <c r="L517" s="36" t="inlineStr">
        <is>
          <t>Nationwide</t>
        </is>
      </c>
      <c r="M517" s="36" t="inlineStr">
        <is>
          <t>informational</t>
        </is>
      </c>
      <c r="N517" s="36" t="inlineStr">
        <is>
          <t>MOFU</t>
        </is>
      </c>
      <c r="O517" s="25" t="inlineStr">
        <is>
          <t>Errors and Omissions Claims: How the Process Works</t>
        </is>
      </c>
      <c r="P517" s="36">
        <f>LEN(O517)</f>
        <v/>
      </c>
      <c r="Q517" s="25" t="inlineStr">
        <is>
          <t>Errors and omissions claims explained: what to do after a demand letter, how defence costs erode limits and how consent-to-settle works. Use the checklist.</t>
        </is>
      </c>
      <c r="R517" s="36">
        <f>LEN(Q517)</f>
        <v/>
      </c>
      <c r="S517" s="36">
        <f>IF(H517="","",IF(ISNUMBER(SEARCH(SUBSTITUTE(H517,"-"," "),SUBSTITUTE(O517,"-"," "))),"Yes","Check"))</f>
        <v/>
      </c>
      <c r="T517" s="25" t="inlineStr">
        <is>
          <t>What to do when a client threatens a claim (short answer) | Reporting circumstances vs reporting claims | Defence costs inside vs outside limits | Consent to settle and hammer clauses | Deductibles and who controls the defence | Regulator complaints vs civil claims | Claim response checklist</t>
        </is>
      </c>
      <c r="U517" s="25" t="inlineStr">
        <is>
          <t>Should I report a client complaint to my E&amp;O insurer? | Do defence costs reduce my E&amp;O limit? | Can my insurer settle without my consent? | Does E&amp;O cover a regulator investigation?</t>
        </is>
      </c>
      <c r="V517" s="25" t="inlineStr">
        <is>
          <t>A worked example of a $1M limit eroded by defence costs compared with a defence-outside-limits policy, plus a claim response checklist.</t>
        </is>
      </c>
      <c r="W517" s="25" t="inlineStr">
        <is>
          <t>/professional-liability-insurance/; /guides/claims-made-vs-occurrence-insurance/; /guides/errors-and-omissions-insurance-cost-canada/; /guides/how-to-file-insurance-complaint-canada/</t>
        </is>
      </c>
      <c r="X517" s="25" t="inlineStr">
        <is>
          <t>Have a licensed advisor review your E&amp;O terms (/professional-liability-insurance/)</t>
        </is>
      </c>
      <c r="Y517" s="36" t="inlineStr">
        <is>
          <t>Article; FAQPage; BreadcrumbList</t>
        </is>
      </c>
      <c r="Z517" s="37" t="n">
        <v>1500</v>
      </c>
      <c r="AA517" s="25" t="inlineStr">
        <is>
          <t>No competitor coverage seen.</t>
        </is>
      </c>
      <c r="AB517" s="25" t="inlineStr">
        <is>
          <t>Focus keyword in title, H1, first 100 words and meta; the first H2 gives a 40-60 word 'don't respond, report, preserve' answer. Show the limit-erosion example as a table and link the claims-made guide where notice timing is discussed. Licensed reviewer; review annually.</t>
        </is>
      </c>
      <c r="AC517" s="25" t="inlineStr">
        <is>
          <t>Clauses vary by insurer; verify descriptions against sample wordings and label the example illustrative. Not legal advice.</t>
        </is>
      </c>
      <c r="AD517" s="36" t="inlineStr">
        <is>
          <t>Annual</t>
        </is>
      </c>
      <c r="AE517" s="38" t="n"/>
      <c r="AF517" s="38" t="n"/>
      <c r="AG517" s="38" t="n"/>
    </row>
    <row r="518" ht="35.05" customHeight="1" s="22">
      <c r="A518" s="36">
        <f>"B"&amp;TEXT(ROW()-1,"0000")</f>
        <v/>
      </c>
      <c r="B518" s="38" t="inlineStr">
        <is>
          <t>Planned</t>
        </is>
      </c>
      <c r="C518" s="36" t="n">
        <v>3</v>
      </c>
      <c r="D518" s="36" t="inlineStr">
        <is>
          <t>Professional liability (E&amp;O)</t>
        </is>
      </c>
      <c r="E518" s="36" t="inlineStr">
        <is>
          <t>Coverage explained</t>
        </is>
      </c>
      <c r="F518" s="25" t="inlineStr">
        <is>
          <t>Tail Coverage and Extended Reporting Periods: Protecting Yourself After You Retire or Close</t>
        </is>
      </c>
      <c r="G518" s="36" t="inlineStr">
        <is>
          <t>https://instasure.ca/guides/tail-coverage-extended-reporting-period/</t>
        </is>
      </c>
      <c r="H518" s="36" t="inlineStr">
        <is>
          <t>tail coverage insurance</t>
        </is>
      </c>
      <c r="I518" s="41">
        <f>IFERROR(INDEX('Nationwide KWs'!$D$2:$D$168,MATCH(H518,'Nationwide KWs'!$A$2:$A$168,0)),IFERROR(INDEX('Provincial KWs'!$E$2:$E$137,MATCH(H518,'Provincial KWs'!$A$2:$A$137,0)),IFERROR(INDEX('City KWs'!$F$2:$F$419,MATCH(H518,'City KWs'!$A$2:$A$419,0)),"")))</f>
        <v/>
      </c>
      <c r="J518" s="36" t="inlineStr">
        <is>
          <t>Niche</t>
        </is>
      </c>
      <c r="K518" s="25" t="inlineStr">
        <is>
          <t>extended reporting period; run-off coverage; e&amp;o after retirement; discontinued operations coverage; professional liability after closing business</t>
        </is>
      </c>
      <c r="L518" s="36" t="inlineStr">
        <is>
          <t>Nationwide</t>
        </is>
      </c>
      <c r="M518" s="36" t="inlineStr">
        <is>
          <t>informational</t>
        </is>
      </c>
      <c r="N518" s="36" t="inlineStr">
        <is>
          <t>MOFU</t>
        </is>
      </c>
      <c r="O518" s="25" t="inlineStr">
        <is>
          <t>Tail Coverage Insurance: Extended Reporting Explained</t>
        </is>
      </c>
      <c r="P518" s="36">
        <f>LEN(O518)</f>
        <v/>
      </c>
      <c r="Q518" s="25" t="inlineStr">
        <is>
          <t>Tail coverage insurance protects you from claims made after a claims-made policy ends. See when you need it and how long to buy. Talk to an advisor first.</t>
        </is>
      </c>
      <c r="R518" s="36">
        <f>LEN(Q518)</f>
        <v/>
      </c>
      <c r="S518" s="36">
        <f>IF(H518="","",IF(ISNUMBER(SEARCH(SUBSTITUTE(H518,"-"," "),SUBSTITUTE(O518,"-"," "))),"Yes","Check"))</f>
        <v/>
      </c>
      <c r="T518" s="25" t="inlineStr">
        <is>
          <t>What tail coverage is (short answer) | When you need it: retirement, sale, merger, career change | Automatic vs optional extended reporting periods | How long a tail should be: limitation periods | How tail coverage is priced | Run-off for firms and mandatory programs</t>
        </is>
      </c>
      <c r="U518" s="25" t="inlineStr">
        <is>
          <t>How long should tail coverage last? | Is tail coverage required when I retire? | Can I buy tail coverage after my policy ends? | Do regulator programs include run-off coverage?</t>
        </is>
      </c>
      <c r="V518" s="25" t="inlineStr">
        <is>
          <t>A decision table (event and recommended action) plus a provincial limitation-period summary with statute links.</t>
        </is>
      </c>
      <c r="W518" s="25" t="inlineStr">
        <is>
          <t>/professional-liability-insurance/; /guides/claims-made-vs-occurrence-insurance/; /guides/regulator-mandated-errors-and-omissions-insurance/; /guides/how-errors-and-omissions-claims-work/</t>
        </is>
      </c>
      <c r="X518" s="25" t="inlineStr">
        <is>
          <t>Talk to a licensed advisor before you retire or sell (/professional-liability-insurance/)</t>
        </is>
      </c>
      <c r="Y518" s="36" t="inlineStr">
        <is>
          <t>Article; FAQPage; BreadcrumbList</t>
        </is>
      </c>
      <c r="Z518" s="37" t="n">
        <v>1300</v>
      </c>
      <c r="AA518" s="25" t="inlineStr">
        <is>
          <t>No competitor coverage seen.</t>
        </is>
      </c>
      <c r="AB518" s="25" t="inlineStr">
        <is>
          <t>Focus keyword in title, H1, first 100 words and meta; 40-60 word answer on why a lapse leaves you exposed. Put the event decision table up top and link the claims-made guide with an exact anchor. Licensed reviewer; review annually.</t>
        </is>
      </c>
      <c r="AC518" s="25" t="inlineStr">
        <is>
          <t>Verify provincial limitation periods (e.g. Ontario's Limitations Act, 2002 basic and ultimate periods) and describe them generally. Not legal advice.</t>
        </is>
      </c>
      <c r="AD518" s="36" t="inlineStr">
        <is>
          <t>Annual</t>
        </is>
      </c>
      <c r="AE518" s="38" t="n"/>
      <c r="AF518" s="38" t="n"/>
      <c r="AG518" s="38" t="n"/>
    </row>
    <row r="519" ht="35.05" customHeight="1" s="22">
      <c r="A519" s="36">
        <f>"B"&amp;TEXT(ROW()-1,"0000")</f>
        <v/>
      </c>
      <c r="B519" s="38" t="inlineStr">
        <is>
          <t>Planned</t>
        </is>
      </c>
      <c r="C519" s="36" t="n">
        <v>3</v>
      </c>
      <c r="D519" s="36" t="inlineStr">
        <is>
          <t>Professional liability (E&amp;O)</t>
        </is>
      </c>
      <c r="E519" s="36" t="inlineStr">
        <is>
          <t>Personas</t>
        </is>
      </c>
      <c r="F519" s="25" t="inlineStr">
        <is>
          <t>Personal Trainer and Fitness Instructor Insurance in Canada</t>
        </is>
      </c>
      <c r="G519" s="36" t="inlineStr">
        <is>
          <t>https://instasure.ca/guides/personal-trainer-fitness-instructor-insurance/</t>
        </is>
      </c>
      <c r="H519" s="36" t="inlineStr">
        <is>
          <t>personal trainer insurance canada</t>
        </is>
      </c>
      <c r="I519" s="41">
        <f>IFERROR(INDEX('Nationwide KWs'!$D$2:$D$168,MATCH(H519,'Nationwide KWs'!$A$2:$A$168,0)),IFERROR(INDEX('Provincial KWs'!$E$2:$E$137,MATCH(H519,'Provincial KWs'!$A$2:$A$137,0)),IFERROR(INDEX('City KWs'!$F$2:$F$419,MATCH(H519,'City KWs'!$A$2:$A$419,0)),"")))</f>
        <v/>
      </c>
      <c r="J519" s="36" t="inlineStr">
        <is>
          <t>Low</t>
        </is>
      </c>
      <c r="K519" s="25" t="inlineStr">
        <is>
          <t>fitness instructor insurance; yoga instructor insurance canada; personal trainer liability insurance cost; gym rental insurance requirement; online fitness coaching insurance</t>
        </is>
      </c>
      <c r="L519" s="36" t="inlineStr">
        <is>
          <t>Nationwide</t>
        </is>
      </c>
      <c r="M519" s="36" t="inlineStr">
        <is>
          <t>commercial</t>
        </is>
      </c>
      <c r="N519" s="36" t="inlineStr">
        <is>
          <t>MOFU</t>
        </is>
      </c>
      <c r="O519" s="25" t="inlineStr">
        <is>
          <t>Personal Trainer Insurance in Canada: Cover and Cost</t>
        </is>
      </c>
      <c r="P519" s="36">
        <f>LEN(O519)</f>
        <v/>
      </c>
      <c r="Q519" s="25" t="inlineStr">
        <is>
          <t>Personal trainer insurance in Canada combines professional and general liability. See what gyms and studios require and online coaching gaps. Get a quote.</t>
        </is>
      </c>
      <c r="R519" s="36">
        <f>LEN(Q519)</f>
        <v/>
      </c>
      <c r="S519" s="36">
        <f>IF(H519="","",IF(ISNUMBER(SEARCH(SUBSTITUTE(H519,"-"," "),SUBSTITUTE(O519,"-"," "))),"Yes","Check"))</f>
        <v/>
      </c>
      <c r="T519" s="25" t="inlineStr">
        <is>
          <t>What personal trainer insurance covers (short answer) | Professional vs general liability for trainers | What gyms, studios and parks require | Online and virtual coaching | Group classes, yoga and outdoor bootcamps | Example estimates | Client waiver and screening checklist</t>
        </is>
      </c>
      <c r="U519" s="25" t="inlineStr">
        <is>
          <t>Do personal trainers need insurance in Canada? | Does my gym's insurance cover me as an independent trainer? | Are online coaching clients covered? | How much is personal trainer insurance a year?</t>
        </is>
      </c>
      <c r="V519" s="25" t="inlineStr">
        <is>
          <t>A coverage checklist by work setting (gym employee, independent in rented space, outdoors, online) plus modelled estimates.</t>
        </is>
      </c>
      <c r="W519" s="25" t="inlineStr">
        <is>
          <t>/professional-liability-insurance/; /guides/professional-liability-vs-general-liability-insurance/; /guides/certificate-of-insurance-explained/; /business-insurance/home-based/</t>
        </is>
      </c>
      <c r="X519" s="25" t="inlineStr">
        <is>
          <t>Instant professional liability estimate (/quote/)</t>
        </is>
      </c>
      <c r="Y519" s="36" t="inlineStr">
        <is>
          <t>Article; FAQPage; BreadcrumbList</t>
        </is>
      </c>
      <c r="Z519" s="37" t="n">
        <v>1400</v>
      </c>
      <c r="AA519" s="25" t="inlineStr">
        <is>
          <t>Ratehub has a personal trainer and fitness insurance quote page; no competitor seen addresses online coaching or requirements by work setting.</t>
        </is>
      </c>
      <c r="AB519" s="25" t="inlineStr">
        <is>
          <t>Focus keyword in title, H1, first 100 words and meta; 40-60 word answer naming both liability types. The work-setting checklist is the snippet target; link the COI guide for gym requirements. Licensed reviewer; review annually.</t>
        </is>
      </c>
      <c r="AC519" s="25" t="inlineStr">
        <is>
          <t>Estimates labelled modelled; waiver enforceability varies by province, so avoid legal conclusions. Verify any municipal park-permit insurance rules cited.</t>
        </is>
      </c>
      <c r="AD519" s="36" t="inlineStr">
        <is>
          <t>Annual</t>
        </is>
      </c>
      <c r="AE519" s="38" t="n"/>
      <c r="AF519" s="38" t="n"/>
      <c r="AG519" s="38" t="n"/>
    </row>
    <row r="520" ht="35.05" customHeight="1" s="22">
      <c r="A520" s="36">
        <f>"B"&amp;TEXT(ROW()-1,"0000")</f>
        <v/>
      </c>
      <c r="B520" s="38" t="inlineStr">
        <is>
          <t>Planned</t>
        </is>
      </c>
      <c r="C520" s="36" t="n">
        <v>3</v>
      </c>
      <c r="D520" s="36" t="inlineStr">
        <is>
          <t>Professional liability (E&amp;O)</t>
        </is>
      </c>
      <c r="E520" s="36" t="inlineStr">
        <is>
          <t>Personas</t>
        </is>
      </c>
      <c r="F520" s="25" t="inlineStr">
        <is>
          <t>Professional Liability Insurance for Accountants and Bookkeepers in Canada</t>
        </is>
      </c>
      <c r="G520" s="36" t="inlineStr">
        <is>
          <t>https://instasure.ca/guides/professional-liability-insurance-accountants-bookkeepers/</t>
        </is>
      </c>
      <c r="H520" s="36" t="inlineStr">
        <is>
          <t>professional liability insurance for accountants</t>
        </is>
      </c>
      <c r="I520" s="41">
        <f>IFERROR(INDEX('Nationwide KWs'!$D$2:$D$168,MATCH(H520,'Nationwide KWs'!$A$2:$A$168,0)),IFERROR(INDEX('Provincial KWs'!$E$2:$E$137,MATCH(H520,'Provincial KWs'!$A$2:$A$137,0)),IFERROR(INDEX('City KWs'!$F$2:$F$419,MATCH(H520,'City KWs'!$A$2:$A$419,0)),"")))</f>
        <v/>
      </c>
      <c r="J520" s="36" t="inlineStr">
        <is>
          <t>Niche</t>
        </is>
      </c>
      <c r="K520" s="25" t="inlineStr">
        <is>
          <t>cpa professional liability insurance requirement; bookkeeper insurance canada; tax preparer e&amp;o; accounting firm insurance; payroll service insurance</t>
        </is>
      </c>
      <c r="L520" s="36" t="inlineStr">
        <is>
          <t>Nationwide</t>
        </is>
      </c>
      <c r="M520" s="36" t="inlineStr">
        <is>
          <t>commercial</t>
        </is>
      </c>
      <c r="N520" s="36" t="inlineStr">
        <is>
          <t>MOFU</t>
        </is>
      </c>
      <c r="O520" s="25" t="inlineStr">
        <is>
          <t>Professional Liability Insurance for Accountants in Canada</t>
        </is>
      </c>
      <c r="P520" s="36">
        <f>LEN(O520)</f>
        <v/>
      </c>
      <c r="Q520" s="25" t="inlineStr">
        <is>
          <t>Professional liability insurance for accountants and bookkeepers: CPA rules, uncredentialed bookkeepers, tax-season claims and example costs. Get a quote.</t>
        </is>
      </c>
      <c r="R520" s="36">
        <f>LEN(Q520)</f>
        <v/>
      </c>
      <c r="S520" s="36">
        <f>IF(H520="","",IF(ISNUMBER(SEARCH(SUBSTITUTE(H520,"-"," "),SUBSTITUTE(O520,"-"," "))),"Yes","Check"))</f>
        <v/>
      </c>
      <c r="T520" s="25" t="inlineStr">
        <is>
          <t>Who must carry professional liability (short answer) | CPA public accounting requirements by province | Bookkeepers and tax preparers: unregulated but still exposed | Typical claims: missed deadlines, CRA penalties, payroll errors | Cyber and client data | Example estimates | Year-end risk checklist</t>
        </is>
      </c>
      <c r="U520" s="25" t="inlineStr">
        <is>
          <t>Do bookkeepers need insurance in Canada? | Is professional liability insurance mandatory for CPAs? | Does E&amp;O cover CRA penalties caused by my mistake? | How much is E&amp;O for a tax preparer?</t>
        </is>
      </c>
      <c r="V520" s="25" t="inlineStr">
        <is>
          <t>A requirements table by province (CPA bodies) plus modelled estimates for bookkeeper, tax preparer and small CPA firm profiles.</t>
        </is>
      </c>
      <c r="W520" s="25" t="inlineStr">
        <is>
          <t>/professional-liability-insurance/; /guides/errors-and-omissions-insurance-cost-canada/; /business-insurance/cyber/; /guides/regulator-mandated-errors-and-omissions-insurance/</t>
        </is>
      </c>
      <c r="X520" s="25" t="inlineStr">
        <is>
          <t>Instant professional liability estimate (/quote/)</t>
        </is>
      </c>
      <c r="Y520" s="36" t="inlineStr">
        <is>
          <t>Article; FAQPage; BreadcrumbList</t>
        </is>
      </c>
      <c r="Z520" s="37" t="n">
        <v>1400</v>
      </c>
      <c r="AA520" s="25" t="inlineStr">
        <is>
          <t>No competitor coverage seen; Rates.ca's professional liability and E&amp;O pages are generic.</t>
        </is>
      </c>
      <c r="AB520" s="25" t="inlineStr">
        <is>
          <t>Focus keyword in title, H1, first 100 words and meta; 40-60 word answer separating CPA licensees from unregulated bookkeepers. Add the year-end risk checklist and link the cyber page for client data. Licensed reviewer; review annually before tax season.</t>
        </is>
      </c>
      <c r="AC520" s="25" t="inlineStr">
        <is>
          <t>Verify each provincial CPA body's professional liability insurance rule for public accounting licensees; estimates labelled modelled.</t>
        </is>
      </c>
      <c r="AD520" s="36" t="inlineStr">
        <is>
          <t>Annual</t>
        </is>
      </c>
      <c r="AE520" s="38" t="n"/>
      <c r="AF520" s="38" t="n"/>
      <c r="AG520" s="38" t="n"/>
    </row>
    <row r="521" ht="46.25" customHeight="1" s="22">
      <c r="A521" s="36">
        <f>"B"&amp;TEXT(ROW()-1,"0000")</f>
        <v/>
      </c>
      <c r="B521" s="38" t="inlineStr">
        <is>
          <t>Planned</t>
        </is>
      </c>
      <c r="C521" s="36" t="n">
        <v>3</v>
      </c>
      <c r="D521" s="36" t="inlineStr">
        <is>
          <t>Professional liability (E&amp;O)</t>
        </is>
      </c>
      <c r="E521" s="36" t="inlineStr">
        <is>
          <t>Personas</t>
        </is>
      </c>
      <c r="F521" s="25" t="inlineStr">
        <is>
          <t>Professional Liability Insurance for Engineers and Architects in Canada</t>
        </is>
      </c>
      <c r="G521" s="36" t="inlineStr">
        <is>
          <t>https://instasure.ca/guides/professional-liability-insurance-engineers-architects/</t>
        </is>
      </c>
      <c r="H521" s="36" t="inlineStr">
        <is>
          <t>professional liability insurance for engineers</t>
        </is>
      </c>
      <c r="I521" s="41">
        <f>IFERROR(INDEX('Nationwide KWs'!$D$2:$D$168,MATCH(H521,'Nationwide KWs'!$A$2:$A$168,0)),IFERROR(INDEX('Provincial KWs'!$E$2:$E$137,MATCH(H521,'Provincial KWs'!$A$2:$A$137,0)),IFERROR(INDEX('City KWs'!$F$2:$F$419,MATCH(H521,'City KWs'!$A$2:$A$419,0)),"")))</f>
        <v/>
      </c>
      <c r="J521" s="36" t="inlineStr">
        <is>
          <t>Niche</t>
        </is>
      </c>
      <c r="K521" s="25" t="inlineStr">
        <is>
          <t>engineer e&amp;o insurance canada; peo certificate of authorization insurance; architect professional liability canada; project specific professional liability; design professional insurance</t>
        </is>
      </c>
      <c r="L521" s="36" t="inlineStr">
        <is>
          <t>Nationwide</t>
        </is>
      </c>
      <c r="M521" s="36" t="inlineStr">
        <is>
          <t>commercial</t>
        </is>
      </c>
      <c r="N521" s="36" t="inlineStr">
        <is>
          <t>MOFU</t>
        </is>
      </c>
      <c r="O521" s="25" t="inlineStr">
        <is>
          <t>Professional Liability Insurance for Engineers in Canada</t>
        </is>
      </c>
      <c r="P521" s="36">
        <f>LEN(O521)</f>
        <v/>
      </c>
      <c r="Q521" s="25" t="inlineStr">
        <is>
          <t>Professional liability insurance for engineers and architects: regulator rules, project policies, claims-made terms and premium drivers. Ask an advisor.</t>
        </is>
      </c>
      <c r="R521" s="36">
        <f>LEN(Q521)</f>
        <v/>
      </c>
      <c r="S521" s="36">
        <f>IF(H521="","",IF(ISNUMBER(SEARCH(SUBSTITUTE(H521,"-"," "),SUBSTITUTE(O521,"-"," "))),"Yes","Check"))</f>
        <v/>
      </c>
      <c r="T521" s="25" t="inlineStr">
        <is>
          <t>Is professional liability mandatory for engineers? (short answer) | Regulator rules by province: engineering and architecture | Practice policies vs project-specific policies | Claims-made terms and long-tail design claims | Contract limitations of liability | What drives premium: discipline, fees, claims | Checklist for new practices</t>
        </is>
      </c>
      <c r="U521" s="25" t="inlineStr">
        <is>
          <t>Do engineers in Ontario need professional liability insurance? | What is project-specific professional liability insurance? | How long after a project can a client sue an engineer? | Does my E&amp;O cover my subconsultants?</t>
        </is>
      </c>
      <c r="V521" s="25" t="inlineStr">
        <is>
          <t>A regulator rules table (PEO, APEGA, Engineers and Geoscientists BC, OIQ and the architecture associations) with links, plus a practice-vs-project policy comparison.</t>
        </is>
      </c>
      <c r="W521" s="25" t="inlineStr">
        <is>
          <t>/professional-liability-insurance/; /guides/claims-made-vs-occurrence-insurance/; /guides/tail-coverage-extended-reporting-period/; /guides/regulator-mandated-errors-and-omissions-insurance/</t>
        </is>
      </c>
      <c r="X521" s="25" t="inlineStr">
        <is>
          <t>Request a licensed advisor call (/professional-liability-insurance/)</t>
        </is>
      </c>
      <c r="Y521" s="36" t="inlineStr">
        <is>
          <t>Article; FAQPage; BreadcrumbList</t>
        </is>
      </c>
      <c r="Z521" s="37" t="n">
        <v>1500</v>
      </c>
      <c r="AA521" s="25" t="inlineStr">
        <is>
          <t>No competitor coverage seen.</t>
        </is>
      </c>
      <c r="AB521" s="25" t="inlineStr">
        <is>
          <t>Focus keyword in title, H1, first 100 words and meta; 40-60 word answer on whether regulators require cover or disclosure. Link the claims-made and tail guides where long-tail design claims are discussed. Licensed reviewer; review annually.</t>
        </is>
      </c>
      <c r="AC521" s="25" t="inlineStr">
        <is>
          <t>Verify each regulator's insurance or disclosure requirement (e.g. PEO rules for Certificate of Authorization holders) at the source. Quebec references are English explainers only.</t>
        </is>
      </c>
      <c r="AD521" s="36" t="inlineStr">
        <is>
          <t>Annual</t>
        </is>
      </c>
      <c r="AE521" s="38" t="n"/>
      <c r="AF521" s="38" t="n"/>
      <c r="AG521" s="38" t="n"/>
    </row>
    <row r="522" ht="35.05" customHeight="1" s="22">
      <c r="A522" s="36">
        <f>"B"&amp;TEXT(ROW()-1,"0000")</f>
        <v/>
      </c>
      <c r="B522" s="38" t="inlineStr">
        <is>
          <t>Planned</t>
        </is>
      </c>
      <c r="C522" s="36" t="n">
        <v>3</v>
      </c>
      <c r="D522" s="36" t="inlineStr">
        <is>
          <t>Professional liability (E&amp;O)</t>
        </is>
      </c>
      <c r="E522" s="36" t="inlineStr">
        <is>
          <t>Regulation</t>
        </is>
      </c>
      <c r="F522" s="25" t="inlineStr">
        <is>
          <t>E&amp;O Insurance for Mortgage Agents and Brokerages: Requirements by Province</t>
        </is>
      </c>
      <c r="G522" s="36" t="inlineStr">
        <is>
          <t>https://instasure.ca/guides/mortgage-broker-errors-omissions-insurance/</t>
        </is>
      </c>
      <c r="H522" s="36" t="inlineStr">
        <is>
          <t>mortgage broker errors and omissions insurance</t>
        </is>
      </c>
      <c r="I522" s="41">
        <f>IFERROR(INDEX('Nationwide KWs'!$D$2:$D$168,MATCH(H522,'Nationwide KWs'!$A$2:$A$168,0)),IFERROR(INDEX('Provincial KWs'!$E$2:$E$137,MATCH(H522,'Provincial KWs'!$A$2:$A$137,0)),IFERROR(INDEX('City KWs'!$F$2:$F$419,MATCH(H522,'City KWs'!$A$2:$A$419,0)),"")))</f>
        <v/>
      </c>
      <c r="J522" s="36" t="inlineStr">
        <is>
          <t>Niche</t>
        </is>
      </c>
      <c r="K522" s="25" t="inlineStr">
        <is>
          <t>mortgage agent e&amp;o insurance ontario; fsra brokerage insurance requirement; mortgage brokerage fidelity bond; mortgage administrator insurance; private lending e&amp;o</t>
        </is>
      </c>
      <c r="L522" s="36" t="inlineStr">
        <is>
          <t>Nationwide</t>
        </is>
      </c>
      <c r="M522" s="36" t="inlineStr">
        <is>
          <t>commercial</t>
        </is>
      </c>
      <c r="N522" s="36" t="inlineStr">
        <is>
          <t>MOFU</t>
        </is>
      </c>
      <c r="O522" s="25" t="inlineStr">
        <is>
          <t>Mortgage Broker Errors and Omissions Insurance in Canada</t>
        </is>
      </c>
      <c r="P522" s="36">
        <f>LEN(O522)</f>
        <v/>
      </c>
      <c r="Q522" s="25" t="inlineStr">
        <is>
          <t>Mortgage broker errors and omissions insurance: what FSRA and other regulators require of brokerages and agents, typical limits and exclusions. Learn more.</t>
        </is>
      </c>
      <c r="R522" s="36">
        <f>LEN(Q522)</f>
        <v/>
      </c>
      <c r="S522" s="36">
        <f>IF(H522="","",IF(ISNUMBER(SEARCH(SUBSTITUTE(H522,"-"," "),SUBSTITUTE(O522,"-"," "))),"Yes","Check"))</f>
        <v/>
      </c>
      <c r="T522" s="25" t="inlineStr">
        <is>
          <t>Do mortgage agents need their own E&amp;O? (short answer) | Ontario: FSRA brokerage insurance requirements | Other provinces: table of requirements | What mortgage E&amp;O covers and excludes | Private and syndicated lending exposures | Fidelity and crime coverage for brokerages | Renewal checklist</t>
        </is>
      </c>
      <c r="U522" s="25" t="inlineStr">
        <is>
          <t>Are mortgage agents in Ontario covered by their brokerage's E&amp;O? | What E&amp;O limits does FSRA require for mortgage brokerages? | Does E&amp;O cover private mortgage lending advice? | Do mortgage brokerages need a fidelity bond?</t>
        </is>
      </c>
      <c r="V522" s="25" t="inlineStr">
        <is>
          <t>A province table of mortgage brokerage E&amp;O and fidelity requirements with regulator links, dated.</t>
        </is>
      </c>
      <c r="W522" s="25" t="inlineStr">
        <is>
          <t>/professional-liability-insurance/; /professional-liability-insurance/ontario/; /guides/regulator-mandated-errors-and-omissions-insurance/; /mortgage-life-insurance/</t>
        </is>
      </c>
      <c r="X522" s="25" t="inlineStr">
        <is>
          <t>Request a licensed advisor call for brokerage E&amp;O (/professional-liability-insurance/)</t>
        </is>
      </c>
      <c r="Y522" s="36" t="inlineStr">
        <is>
          <t>Article; FAQPage; BreadcrumbList</t>
        </is>
      </c>
      <c r="Z522" s="37" t="n">
        <v>1400</v>
      </c>
      <c r="AA522" s="25" t="inlineStr">
        <is>
          <t>No competitor coverage seen.</t>
        </is>
      </c>
      <c r="AB522" s="25" t="inlineStr">
        <is>
          <t>Focus keyword in title, H1, first 100 words and meta; 40-60 word answer on brokerage-level vs agent-level cover. The province table is the asset; link the Ontario E&amp;O page with the anchor 'professional liability insurance in Ontario'. Licensed reviewer; update whenever FSRA or another regulator changes the rule.</t>
        </is>
      </c>
      <c r="AC522" s="25" t="inlineStr">
        <is>
          <t>Verify requirements under Ontario's Mortgage Brokerages, Lenders and Administrators Act and its regulations with FSRA, and other provinces with BCFSA, RECA and the rest; date the table.</t>
        </is>
      </c>
      <c r="AD522" s="36" t="inlineStr">
        <is>
          <t>On rule change</t>
        </is>
      </c>
      <c r="AE522" s="38" t="n"/>
      <c r="AF522" s="38" t="n"/>
      <c r="AG522" s="38" t="n"/>
    </row>
    <row r="523" ht="35.05" customHeight="1" s="22">
      <c r="A523" s="36">
        <f>"B"&amp;TEXT(ROW()-1,"0000")</f>
        <v/>
      </c>
      <c r="B523" s="38" t="inlineStr">
        <is>
          <t>Planned</t>
        </is>
      </c>
      <c r="C523" s="36" t="n">
        <v>3</v>
      </c>
      <c r="D523" s="36" t="inlineStr">
        <is>
          <t>Professional liability (E&amp;O)</t>
        </is>
      </c>
      <c r="E523" s="36" t="inlineStr">
        <is>
          <t>Regulation</t>
        </is>
      </c>
      <c r="F523" s="25" t="inlineStr">
        <is>
          <t>Real Estate Agent E&amp;O Insurance in Canada: What Your Regulator Provides and What It Doesn't</t>
        </is>
      </c>
      <c r="G523" s="36" t="inlineStr">
        <is>
          <t>https://instasure.ca/guides/real-estate-agent-errors-omissions-insurance/</t>
        </is>
      </c>
      <c r="H523" s="36" t="inlineStr">
        <is>
          <t>real estate errors and omissions insurance</t>
        </is>
      </c>
      <c r="I523" s="41">
        <f>IFERROR(INDEX('Nationwide KWs'!$D$2:$D$168,MATCH(H523,'Nationwide KWs'!$A$2:$A$168,0)),IFERROR(INDEX('Provincial KWs'!$E$2:$E$137,MATCH(H523,'Provincial KWs'!$A$2:$A$137,0)),IFERROR(INDEX('City KWs'!$F$2:$F$419,MATCH(H523,'City KWs'!$A$2:$A$419,0)),"")))</f>
        <v/>
      </c>
      <c r="J523" s="36" t="inlineStr">
        <is>
          <t>Niche</t>
        </is>
      </c>
      <c r="K523" s="25" t="inlineStr">
        <is>
          <t>reco insurance program; realtor e&amp;o insurance ontario; reix alberta; bc real estate errors and omissions; top-up e&amp;o realtor</t>
        </is>
      </c>
      <c r="L523" s="36" t="inlineStr">
        <is>
          <t>Nationwide</t>
        </is>
      </c>
      <c r="M523" s="36" t="inlineStr">
        <is>
          <t>commercial</t>
        </is>
      </c>
      <c r="N523" s="36" t="inlineStr">
        <is>
          <t>MOFU</t>
        </is>
      </c>
      <c r="O523" s="25" t="inlineStr">
        <is>
          <t>Real Estate Errors and Omissions Insurance in Canada</t>
        </is>
      </c>
      <c r="P523" s="36">
        <f>LEN(O523)</f>
        <v/>
      </c>
      <c r="Q523" s="25" t="inlineStr">
        <is>
          <t>Real estate errors and omissions insurance is mandatory in most provinces through regulator programs. See what each covers and when to add more. Ask us.</t>
        </is>
      </c>
      <c r="R523" s="36">
        <f>LEN(Q523)</f>
        <v/>
      </c>
      <c r="S523" s="36">
        <f>IF(H523="","",IF(ISNUMBER(SEARCH(SUBSTITUTE(H523,"-"," "),SUBSTITUTE(O523,"-"," "))),"Yes","Check"))</f>
        <v/>
      </c>
      <c r="T523" s="25" t="inlineStr">
        <is>
          <t>Is E&amp;O mandatory for real estate agents? (short answer) | Province table: mandatory program, provider and base limits | What mandatory programs typically exclude | Top-up and excess E&amp;O | Brokerage vs individual coverage | CGL, cyber and auto for agents</t>
        </is>
      </c>
      <c r="U523" s="25" t="inlineStr">
        <is>
          <t>Is E&amp;O insurance mandatory for realtors in Ontario? | Does RECO's insurance program cover everything? | Do real estate agents need cyber insurance? | Does my brokerage's policy cover me?</t>
        </is>
      </c>
      <c r="V523" s="25" t="inlineStr">
        <is>
          <t>A province table of mandatory real estate E&amp;O programs (regulator, insurer or exchange, base limits) linked to primary sources and dated.</t>
        </is>
      </c>
      <c r="W523" s="25" t="inlineStr">
        <is>
          <t>/professional-liability-insurance/; /guides/regulator-mandated-errors-and-omissions-insurance/; /business-insurance/cyber/; /professional-liability-insurance/ontario/</t>
        </is>
      </c>
      <c r="X523" s="25" t="inlineStr">
        <is>
          <t>Ask a licensed advisor about top-up E&amp;O (/professional-liability-insurance/)</t>
        </is>
      </c>
      <c r="Y523" s="36" t="inlineStr">
        <is>
          <t>Article; FAQPage; BreadcrumbList</t>
        </is>
      </c>
      <c r="Z523" s="37" t="n">
        <v>1500</v>
      </c>
      <c r="AA523" s="25" t="inlineStr">
        <is>
          <t>No competitor coverage seen among the six competitors; regulators describe their own programs one province at a time.</t>
        </is>
      </c>
      <c r="AB523" s="25" t="inlineStr">
        <is>
          <t>Focus keyword in title, H1, first 100 words and meta; 40-60 word answer naming the provinces with mandatory programs. The province table links each regulator; anchor 'which professions must carry E&amp;O' to the master table guide. Licensed reviewer; update whenever a regulator changes its program.</t>
        </is>
      </c>
      <c r="AC523" s="25" t="inlineStr">
        <is>
          <t>Verify each province's program (RECO in Ontario, BCFSA and the BC errors and omissions fund, RECA and REIX in Alberta, others), limits and exclusions with the regulator; date the table.</t>
        </is>
      </c>
      <c r="AD523" s="36" t="inlineStr">
        <is>
          <t>On rule change</t>
        </is>
      </c>
      <c r="AE523" s="38" t="n"/>
      <c r="AF523" s="38" t="n"/>
      <c r="AG523" s="38" t="n"/>
    </row>
    <row r="524" ht="35.05" customHeight="1" s="22">
      <c r="A524" s="36">
        <f>"B"&amp;TEXT(ROW()-1,"0000")</f>
        <v/>
      </c>
      <c r="B524" s="38" t="inlineStr">
        <is>
          <t>Published</t>
        </is>
      </c>
      <c r="C524" s="36" t="n">
        <v>1</v>
      </c>
      <c r="D524" s="36" t="inlineStr">
        <is>
          <t>Insurance basics &amp; consumer rights</t>
        </is>
      </c>
      <c r="E524" s="36" t="inlineStr">
        <is>
          <t>How instasure works</t>
        </is>
      </c>
      <c r="F524" s="25" t="inlineStr">
        <is>
          <t>Instant Insurance Estimates vs Quotes vs Policies: What 'Instant' Really Means</t>
        </is>
      </c>
      <c r="G524" s="36" t="inlineStr">
        <is>
          <t>https://instasure.ca/guides/instant-insurance-estimates-explained/</t>
        </is>
      </c>
      <c r="H524" s="36" t="inlineStr">
        <is>
          <t>instant insurance quote</t>
        </is>
      </c>
      <c r="I524" s="41">
        <f>IFERROR(INDEX('Nationwide KWs'!$D$2:$D$168,MATCH(H524,'Nationwide KWs'!$A$2:$A$168,0)),IFERROR(INDEX('Provincial KWs'!$E$2:$E$137,MATCH(H524,'Provincial KWs'!$A$2:$A$137,0)),IFERROR(INDEX('City KWs'!$F$2:$F$419,MATCH(H524,'City KWs'!$A$2:$A$419,0)),"")))</f>
        <v/>
      </c>
      <c r="J524" s="36" t="inlineStr">
        <is>
          <t>Low</t>
        </is>
      </c>
      <c r="K524" s="25" t="inlineStr">
        <is>
          <t>insurance estimate vs quote; online insurance quote canada; buy insurance online instantly; binding coverage; insurance quotes</t>
        </is>
      </c>
      <c r="L524" s="36" t="inlineStr">
        <is>
          <t>Nationwide</t>
        </is>
      </c>
      <c r="M524" s="36" t="inlineStr">
        <is>
          <t>commercial</t>
        </is>
      </c>
      <c r="N524" s="36" t="inlineStr">
        <is>
          <t>MOFU</t>
        </is>
      </c>
      <c r="O524" s="25" t="inlineStr">
        <is>
          <t>Instant Insurance Quote vs Estimate: What's the Difference</t>
        </is>
      </c>
      <c r="P524" s="36">
        <f>LEN(O524)</f>
        <v/>
      </c>
      <c r="Q524" s="25" t="inlineStr">
        <is>
          <t>Instant insurance quote vs estimate: how a 60-second estimate is built, why it isn't a binding price and which products you can buy online. Try one now.</t>
        </is>
      </c>
      <c r="R524" s="36">
        <f>LEN(Q524)</f>
        <v/>
      </c>
      <c r="S524" s="36">
        <f>IF(H524="","",IF(ISNUMBER(SEARCH(SUBSTITUTE(H524,"-"," "),SUBSTITUTE(O524,"-"," "))),"Yes","Check"))</f>
        <v/>
      </c>
      <c r="T524" s="25" t="inlineStr">
        <is>
          <t>Estimate, quote, policy: the difference (short answer) | How an instant estimate is calculated | What underwriting still checks | Why the final price can differ | Products you can buy and bind online in Canada | How to get the most accurate estimate | What happens after you submit</t>
        </is>
      </c>
      <c r="U524" s="25" t="inlineStr">
        <is>
          <t>Is an online insurance estimate a real quote? | Why did my final premium differ from the estimate? | Can I buy insurance online instantly in Canada? | Does an estimate affect my credit or insurance record?</t>
        </is>
      </c>
      <c r="V524" s="25" t="inlineStr">
        <is>
          <t>A flow diagram from estimate to quote to bound policy, plus a product table showing which lines can be bought and bound online, and where (verified).</t>
        </is>
      </c>
      <c r="W524" s="25" t="inlineStr">
        <is>
          <t>/quote/; /how-we-make-money/; /editorial-guidelines/; /insights/rate-index/; /guides/how-insurance-pricing-works-canada/</t>
        </is>
      </c>
      <c r="X524" s="25" t="inlineStr">
        <is>
          <t>Get an instant estimate in about 60 seconds (/quote/)</t>
        </is>
      </c>
      <c r="Y524" s="36" t="inlineStr">
        <is>
          <t>Article; FAQPage; BreadcrumbList</t>
        </is>
      </c>
      <c r="Z524" s="37" t="n">
        <v>1300</v>
      </c>
      <c r="AA524" s="25" t="inlineStr">
        <is>
          <t>Sonnet's FAQ says its quote is the final price if answers are accurate; Ratehub and Rates.ca sell 'compare quotes' flows. No competitor explains estimate vs quote vs bound policy.</t>
        </is>
      </c>
      <c r="AB524" s="25" t="inlineStr">
        <is>
          <t>Focus keyword in title, H1, first 100 words and meta; 40-60 word answer defining estimate, quote and bound policy. The flow diagram plus product table are the assets; link the Rate Index methodology and 'How we make money'. Reviewed by a licensed advisor; review twice a year as online-binding options change.</t>
        </is>
      </c>
      <c r="AC524" s="25" t="inlineStr">
        <is>
          <t>Use 'instant estimate', not 'instant policy', unless a product truly binds online in that province; describe the estimate model accurately and get licensed-advisor sign-off.</t>
        </is>
      </c>
      <c r="AD524" s="36" t="inlineStr">
        <is>
          <t>Semi-annual</t>
        </is>
      </c>
      <c r="AE524" s="38" t="inlineStr">
        <is>
          <t>Michael Le Chi</t>
        </is>
      </c>
      <c r="AF524" s="38" t="n"/>
      <c r="AG524" s="38" t="inlineStr">
        <is>
          <t>2026-10-12</t>
        </is>
      </c>
    </row>
    <row r="525" ht="46.25" customHeight="1" s="22">
      <c r="A525" s="36">
        <f>"B"&amp;TEXT(ROW()-1,"0000")</f>
        <v/>
      </c>
      <c r="B525" s="38" t="inlineStr">
        <is>
          <t>Planned</t>
        </is>
      </c>
      <c r="C525" s="36" t="n">
        <v>2</v>
      </c>
      <c r="D525" s="36" t="inlineStr">
        <is>
          <t>Insurance basics &amp; consumer rights</t>
        </is>
      </c>
      <c r="E525" s="36" t="inlineStr">
        <is>
          <t>Cancellations &amp; renewals</t>
        </is>
      </c>
      <c r="F525" s="25" t="inlineStr">
        <is>
          <t>Cancelled by Your Insurer? Notice Periods, Your Rights and Where to Get Cover Next</t>
        </is>
      </c>
      <c r="G525" s="36" t="inlineStr">
        <is>
          <t>https://instasure.ca/guides/insurer-cancelled-my-policy-rights/</t>
        </is>
      </c>
      <c r="H525" s="36" t="inlineStr">
        <is>
          <t>insurance company cancelled my policy</t>
        </is>
      </c>
      <c r="I525" s="41">
        <f>IFERROR(INDEX('Nationwide KWs'!$D$2:$D$168,MATCH(H525,'Nationwide KWs'!$A$2:$A$168,0)),IFERROR(INDEX('Provincial KWs'!$E$2:$E$137,MATCH(H525,'Provincial KWs'!$A$2:$A$137,0)),IFERROR(INDEX('City KWs'!$F$2:$F$419,MATCH(H525,'City KWs'!$A$2:$A$419,0)),"")))</f>
        <v/>
      </c>
      <c r="J525" s="36" t="inlineStr">
        <is>
          <t>Low</t>
        </is>
      </c>
      <c r="K525" s="25" t="inlineStr">
        <is>
          <t>car insurance cancelled by insurer; notice of cancellation insurance; cancelled for non-payment insurance; facility association; how to get insurance after cancellation</t>
        </is>
      </c>
      <c r="L525" s="36" t="inlineStr">
        <is>
          <t>Nationwide</t>
        </is>
      </c>
      <c r="M525" s="36" t="inlineStr">
        <is>
          <t>informational</t>
        </is>
      </c>
      <c r="N525" s="36" t="inlineStr">
        <is>
          <t>MOFU</t>
        </is>
      </c>
      <c r="O525" s="25" t="inlineStr">
        <is>
          <t>Insurance Company Cancelled My Policy: What to Do Next</t>
        </is>
      </c>
      <c r="P525" s="36">
        <f>LEN(O525)</f>
        <v/>
      </c>
      <c r="Q525" s="25" t="inlineStr">
        <is>
          <t>Insurance company cancelled your policy? See the notice insurers must give, why it happens, how to disclose it next time and where to get cover. Act now.</t>
        </is>
      </c>
      <c r="R525" s="36">
        <f>LEN(Q525)</f>
        <v/>
      </c>
      <c r="S525" s="36">
        <f>IF(H525="","",IF(ISNUMBER(SEARCH(SUBSTITUTE(H525,"-"," "),SUBSTITUTE(O525,"-"," "))),"Yes","Check"))</f>
        <v/>
      </c>
      <c r="T525" s="25" t="inlineStr">
        <is>
          <t>What to do in the first week (short answer) | Cancellation vs non-renewal: what insurers must give you | Common reasons: non-payment, claims, misrepresentation, property risk | Car insurance: the Facility Association and specialty insurers | Homes and businesses: hard-to-place options | Disclosing a cancellation on your next application | Complaint options if you think it's unfair</t>
        </is>
      </c>
      <c r="U525" s="25" t="inlineStr">
        <is>
          <t>Can an insurance company cancel my policy without notice? | How long do I have to find new insurance after a cancellation? | Do I have to tell a new insurer I was cancelled? | What is the Facility Association?</t>
        </is>
      </c>
      <c r="V525" s="25" t="inlineStr">
        <is>
          <t>A notice-period table by product and province (from the statutory conditions, verified) and a 7-day action plan.</t>
        </is>
      </c>
      <c r="W525" s="25" t="inlineStr">
        <is>
          <t>/car-insurance/high-risk-drivers/; /home-insurance/hard-to-insure/; /guides/how-to-file-insurance-complaint-canada/; /guides/cancel-insurance-policy-canada/</t>
        </is>
      </c>
      <c r="X525" s="25" t="inlineStr">
        <is>
          <t>Request a specialist call: High-risk auto desk (/car-insurance/high-risk-drivers/) or Hard-to-insure property desk (/home-insurance/hard-to-insure/)</t>
        </is>
      </c>
      <c r="Y525" s="36" t="inlineStr">
        <is>
          <t>Article; FAQPage; BreadcrumbList</t>
        </is>
      </c>
      <c r="Z525" s="37" t="n">
        <v>1600</v>
      </c>
      <c r="AA525" s="25" t="inlineStr">
        <is>
          <t>Ratehub and Rates.ca have Facility Association pages and one generic high-risk page each; no competitor seen covers insurer cancellation rights across car, home and business. (Home non-renewal is covered in depth by the home segment.)</t>
        </is>
      </c>
      <c r="AB525" s="25" t="inlineStr">
        <is>
          <t>Focus keyword in title, H1, first 100 words and meta; 40-60 word answer: check the notice, find out why, shop immediately and disclose it honestly. Add the 7-day plan as a checklist and link both specialist desks with exact anchors. Licensed reviewer; review annually.</t>
        </is>
      </c>
      <c r="AC525" s="25" t="inlineStr">
        <is>
          <t>Verify statutory notice periods for each province and product; describe the Facility Association from its own site and promise help, not placement.</t>
        </is>
      </c>
      <c r="AD525" s="36" t="inlineStr">
        <is>
          <t>Annual</t>
        </is>
      </c>
      <c r="AE525" s="38" t="n"/>
      <c r="AF525" s="38" t="n"/>
      <c r="AG525" s="38" t="n"/>
    </row>
    <row r="526" ht="46.25" customHeight="1" s="22">
      <c r="A526" s="36">
        <f>"B"&amp;TEXT(ROW()-1,"0000")</f>
        <v/>
      </c>
      <c r="B526" s="38" t="inlineStr">
        <is>
          <t>Planned</t>
        </is>
      </c>
      <c r="C526" s="36" t="n">
        <v>2</v>
      </c>
      <c r="D526" s="36" t="inlineStr">
        <is>
          <t>Insurance basics &amp; consumer rights</t>
        </is>
      </c>
      <c r="E526" s="36" t="inlineStr">
        <is>
          <t>Comparisons</t>
        </is>
      </c>
      <c r="F526" s="25" t="inlineStr">
        <is>
          <t>Insurance Broker vs Agent vs Direct Insurer: Who Works for You in Canada?</t>
        </is>
      </c>
      <c r="G526" s="36" t="inlineStr">
        <is>
          <t>https://instasure.ca/guides/insurance-broker-vs-agent-vs-direct-insurer/</t>
        </is>
      </c>
      <c r="H526" s="36" t="inlineStr">
        <is>
          <t>insurance broker vs agent</t>
        </is>
      </c>
      <c r="I526" s="41">
        <f>IFERROR(INDEX('Nationwide KWs'!$D$2:$D$168,MATCH(H526,'Nationwide KWs'!$A$2:$A$168,0)),IFERROR(INDEX('Provincial KWs'!$E$2:$E$137,MATCH(H526,'Provincial KWs'!$A$2:$A$137,0)),IFERROR(INDEX('City KWs'!$F$2:$F$419,MATCH(H526,'City KWs'!$A$2:$A$419,0)),"")))</f>
        <v/>
      </c>
      <c r="J526" s="36" t="inlineStr">
        <is>
          <t>Low</t>
        </is>
      </c>
      <c r="K526" s="25" t="inlineStr">
        <is>
          <t>insurance broker near me; captive agent vs broker canada; direct insurer vs broker; licensed insurance advisor; do insurance brokers cost more</t>
        </is>
      </c>
      <c r="L526" s="36" t="inlineStr">
        <is>
          <t>Nationwide</t>
        </is>
      </c>
      <c r="M526" s="36" t="inlineStr">
        <is>
          <t>informational</t>
        </is>
      </c>
      <c r="N526" s="36" t="inlineStr">
        <is>
          <t>MOFU</t>
        </is>
      </c>
      <c r="O526" s="25" t="inlineStr">
        <is>
          <t>Insurance Broker vs Agent vs Direct Insurer in Canada</t>
        </is>
      </c>
      <c r="P526" s="36">
        <f>LEN(O526)</f>
        <v/>
      </c>
      <c r="Q526" s="25" t="inlineStr">
        <is>
          <t>Insurance broker vs agent vs direct insurer: who each represents, how they're paid and licensed in your province, and when each fits. See the comparison.</t>
        </is>
      </c>
      <c r="R526" s="36">
        <f>LEN(Q526)</f>
        <v/>
      </c>
      <c r="S526" s="36">
        <f>IF(H526="","",IF(ISNUMBER(SEARCH(SUBSTITUTE(H526,"-"," "),SUBSTITUTE(O526,"-"," "))),"Yes","Check"))</f>
        <v/>
      </c>
      <c r="T526" s="25" t="inlineStr">
        <is>
          <t>The difference in one paragraph | Comparison table: who they represent, how they're paid, choice of insurers | Licensing: RIBO, FSRA, insurance councils and the AMF | Home, car and business: how P&amp;C distribution works | When a broker, agent or direct insurer fits | How Instasure's licensed advisors fit in | Questions to ask before you buy</t>
        </is>
      </c>
      <c r="U526" s="25" t="inlineStr">
        <is>
          <t>Do insurance brokers charge a fee in Canada? | Is it cheaper to buy insurance directly? | Can a P&amp;C broker also sell life insurance? | How do I check if an insurance broker is licensed?</t>
        </is>
      </c>
      <c r="V526" s="25" t="inlineStr">
        <is>
          <t>A comparison table (who they represent, compensation, product range, claims help, licensing body by province) and a question list to ask any seller.</t>
        </is>
      </c>
      <c r="W526" s="25" t="inlineStr">
        <is>
          <t>/advisors/; /how-we-make-money/; /licensing/; /guides/check-insurance-licence-canada/</t>
        </is>
      </c>
      <c r="X526" s="25" t="inlineStr">
        <is>
          <t>Get matched with a licensed advisor in your province (/quote/)</t>
        </is>
      </c>
      <c r="Y526" s="36" t="inlineStr">
        <is>
          <t>Article; FAQPage; BreadcrumbList</t>
        </is>
      </c>
      <c r="Z526" s="37" t="n">
        <v>1600</v>
      </c>
      <c r="AA526" s="25" t="inlineStr">
        <is>
          <t>No competitor coverage seen among the six researched; 'insurance broker near me' results are held by local brokers and ThinkInsure. (The life segment covers life-specific broker vs agent vs bank; this post covers home, car and business distribution.)</t>
        </is>
      </c>
      <c r="AB526" s="25" t="inlineStr">
        <is>
          <t>Focus keyword in title, H1, first 100 words and meta; 40-60 word answer: brokers represent you across several insurers, agents represent one insurer, direct insurers sell their own products. Put the comparison table right after it and link 'How we make money' for transparency. Licensed reviewer; review annually.</t>
        </is>
      </c>
      <c r="AC526" s="25" t="inlineStr">
        <is>
          <t>Describe Instasure as 'licensed advisors' unless the entity is a registered brokerage; verify licensing bodies for each province. No claim that one channel is cheaper.</t>
        </is>
      </c>
      <c r="AD526" s="36" t="inlineStr">
        <is>
          <t>Annual</t>
        </is>
      </c>
      <c r="AE526" s="38" t="n"/>
      <c r="AF526" s="38" t="n"/>
      <c r="AG526" s="38" t="n"/>
    </row>
    <row r="527" ht="57.45" customHeight="1" s="22">
      <c r="A527" s="36">
        <f>"B"&amp;TEXT(ROW()-1,"0000")</f>
        <v/>
      </c>
      <c r="B527" s="38" t="inlineStr">
        <is>
          <t>Planned</t>
        </is>
      </c>
      <c r="C527" s="36" t="n">
        <v>2</v>
      </c>
      <c r="D527" s="36" t="inlineStr">
        <is>
          <t>Insurance basics &amp; consumer rights</t>
        </is>
      </c>
      <c r="E527" s="36" t="inlineStr">
        <is>
          <t>Cost &amp; pricing</t>
        </is>
      </c>
      <c r="F527" s="25" t="inlineStr">
        <is>
          <t>How Insurance Companies Set Rates in Canada: Rating Factors, Rate Approvals and Why Quotes Differ</t>
        </is>
      </c>
      <c r="G527" s="36" t="inlineStr">
        <is>
          <t>https://instasure.ca/guides/how-insurance-pricing-works-canada/</t>
        </is>
      </c>
      <c r="H527" s="36" t="inlineStr">
        <is>
          <t>how insurance companies set rates</t>
        </is>
      </c>
      <c r="I527" s="41">
        <f>IFERROR(INDEX('Nationwide KWs'!$D$2:$D$168,MATCH(H527,'Nationwide KWs'!$A$2:$A$168,0)),IFERROR(INDEX('Provincial KWs'!$E$2:$E$137,MATCH(H527,'Provincial KWs'!$A$2:$A$137,0)),IFERROR(INDEX('City KWs'!$F$2:$F$419,MATCH(H527,'City KWs'!$A$2:$A$419,0)),"")))</f>
        <v/>
      </c>
      <c r="J527" s="36" t="inlineStr">
        <is>
          <t>Low</t>
        </is>
      </c>
      <c r="K527" s="25" t="inlineStr">
        <is>
          <t>how insurance premiums are calculated; insurance rating factors; auto insurance rate approval; why do insurance quotes differ; insurance premium canada</t>
        </is>
      </c>
      <c r="L527" s="36" t="inlineStr">
        <is>
          <t>Nationwide</t>
        </is>
      </c>
      <c r="M527" s="36" t="inlineStr">
        <is>
          <t>informational</t>
        </is>
      </c>
      <c r="N527" s="36" t="inlineStr">
        <is>
          <t>TOFU</t>
        </is>
      </c>
      <c r="O527" s="25" t="inlineStr">
        <is>
          <t>How Insurance Companies Set Rates in Canada, Explained</t>
        </is>
      </c>
      <c r="P527" s="36">
        <f>LEN(O527)</f>
        <v/>
      </c>
      <c r="Q527" s="25" t="inlineStr">
        <is>
          <t>How insurance companies set rates in Canada: loss costs, rating factors, regulator approval of car rates and why quotes differ. Get an instant estimate.</t>
        </is>
      </c>
      <c r="R527" s="36">
        <f>LEN(Q527)</f>
        <v/>
      </c>
      <c r="S527" s="36">
        <f>IF(H527="","",IF(ISNUMBER(SEARCH(SUBSTITUTE(H527,"-"," "),SUBSTITUTE(O527,"-"," "))),"Yes","Check"))</f>
        <v/>
      </c>
      <c r="T527" s="25" t="inlineStr">
        <is>
          <t>How a premium is built (short answer) | Loss costs, expenses and profit | Rating factors by product: car, home, life, business | Which provinces approve rates, and for which products | Why two insurers quote different prices for you | What you can change and what you can't | How instant estimates fit in</t>
        </is>
      </c>
      <c r="U527" s="25" t="inlineStr">
        <is>
          <t>Why are my insurance quotes so different? | Does the government approve insurance rates in Canada? | Do insurers use my postal code to price insurance? | Can an insurer raise my premium mid-term?</t>
        </is>
      </c>
      <c r="V527" s="25" t="inlineStr">
        <is>
          <t>A province table of who approves auto rates (FSRA, the Alberta Insurance Rate Board, the Nova Scotia Utility and Review Board, the New Brunswick Insurance Board, the Newfoundland and Labrador Public Utilities Board, IRAC in PEI, and the public insurers) plus a premium-building diagram that works across car, home, life and business.</t>
        </is>
      </c>
      <c r="W527" s="25" t="inlineStr">
        <is>
          <t>/quote/; /insights/rate-index/; /guides/why-is-my-car-insurance-going-up-2026/; /guides/instant-insurance-estimates-explained/; /editorial-guidelines/</t>
        </is>
      </c>
      <c r="X527" s="25" t="inlineStr">
        <is>
          <t>Get an instant estimate (/quote/)</t>
        </is>
      </c>
      <c r="Y527" s="36" t="inlineStr">
        <is>
          <t>Article; FAQPage; BreadcrumbList</t>
        </is>
      </c>
      <c r="Z527" s="37" t="n">
        <v>1900</v>
      </c>
      <c r="AA527" s="25" t="inlineStr">
        <is>
          <t>Sonnet's 'how auto insurance works' blog and Ratehub's 'how home insurance works' page each explain one product; no competitor seen explains pricing across products with a rate-approval table by province. (The auto segment covers car-only premium factors in depth; this post is the cross-product explainer.)</t>
        </is>
      </c>
      <c r="AB527" s="25" t="inlineStr">
        <is>
          <t>Focus keyword in title, H1, first 100 words and meta; 40-60 word answer: expected claims plus expenses and profit, adjusted by rating factors, with car rates approved in most provinces. Link the existing 'why is my car insurance going up' guide and the Rate Index with exact anchors; alt text 'how an insurance premium is built'. Licensed reviewer; review annually.</t>
        </is>
      </c>
      <c r="AC527" s="25" t="inlineStr">
        <is>
          <t>Verify each province's rate-approval body and which lines are prior-approved. Use percentages only from dated sources (e.g. the Applied Rating Index, marked for verification).</t>
        </is>
      </c>
      <c r="AD527" s="36" t="inlineStr">
        <is>
          <t>Annual</t>
        </is>
      </c>
      <c r="AE527" s="38" t="n"/>
      <c r="AF527" s="38" t="n"/>
      <c r="AG527" s="38" t="n"/>
    </row>
    <row r="528" ht="35.05" customHeight="1" s="22">
      <c r="A528" s="36">
        <f>"B"&amp;TEXT(ROW()-1,"0000")</f>
        <v/>
      </c>
      <c r="B528" s="38" t="inlineStr">
        <is>
          <t>Planned</t>
        </is>
      </c>
      <c r="C528" s="36" t="n">
        <v>2</v>
      </c>
      <c r="D528" s="36" t="inlineStr">
        <is>
          <t>Insurance basics &amp; consumer rights</t>
        </is>
      </c>
      <c r="E528" s="36" t="inlineStr">
        <is>
          <t>Insurer reviews &amp; methodology</t>
        </is>
      </c>
      <c r="F528" s="25" t="inlineStr">
        <is>
          <t>How to Judge an Insurance Company: Claims Service, Financial Strength, Complaints and Price</t>
        </is>
      </c>
      <c r="G528" s="36" t="inlineStr">
        <is>
          <t>https://instasure.ca/guides/how-to-choose-insurance-company-review-method/</t>
        </is>
      </c>
      <c r="H528" s="36" t="inlineStr">
        <is>
          <t>how to choose an insurance company</t>
        </is>
      </c>
      <c r="I528" s="41">
        <f>IFERROR(INDEX('Nationwide KWs'!$D$2:$D$168,MATCH(H528,'Nationwide KWs'!$A$2:$A$168,0)),IFERROR(INDEX('Provincial KWs'!$E$2:$E$137,MATCH(H528,'Provincial KWs'!$A$2:$A$137,0)),IFERROR(INDEX('City KWs'!$F$2:$F$419,MATCH(H528,'City KWs'!$A$2:$A$419,0)),"")))</f>
        <v/>
      </c>
      <c r="J528" s="36" t="inlineStr">
        <is>
          <t>Low</t>
        </is>
      </c>
      <c r="K528" s="25" t="inlineStr">
        <is>
          <t>insurance company reviews canada; insurer financial strength rating; insurance company ranking methodology; insurance company complaints data; how we review insurers</t>
        </is>
      </c>
      <c r="L528" s="36" t="inlineStr">
        <is>
          <t>Nationwide</t>
        </is>
      </c>
      <c r="M528" s="36" t="inlineStr">
        <is>
          <t>informational</t>
        </is>
      </c>
      <c r="N528" s="36" t="inlineStr">
        <is>
          <t>MOFU</t>
        </is>
      </c>
      <c r="O528" s="25" t="inlineStr">
        <is>
          <t>How to Choose an Insurance Company in Canada: 6 Tests</t>
        </is>
      </c>
      <c r="P528" s="36">
        <f>LEN(O528)</f>
        <v/>
      </c>
      <c r="Q528" s="25" t="inlineStr">
        <is>
          <t>How to choose an insurance company in Canada: six tests for claims service, financial strength, complaints, coverage and price, plus our review method.</t>
        </is>
      </c>
      <c r="R528" s="36">
        <f>LEN(Q528)</f>
        <v/>
      </c>
      <c r="S528" s="36">
        <f>IF(H528="","",IF(ISNUMBER(SEARCH(SUBSTITUTE(H528,"-"," "),SUBSTITUTE(O528,"-"," "))),"Yes","Check"))</f>
        <v/>
      </c>
      <c r="T528" s="25" t="inlineStr">
        <is>
          <t>Six tests for any insurer (short answer) | Claims service: what to look for | Financial strength and insolvency protection | Complaint data and how to read it | Coverage and policy wording quality | Price and how to compare it fairly | Our insurer review methodology</t>
        </is>
      </c>
      <c r="U528" s="25" t="inlineStr">
        <is>
          <t>How do I know if an insurance company is reliable? | What happens if my insurer goes bankrupt in Canada? | Where can I see complaints about an insurance company? | Why doesn't Instasure rank insurers as 'best'?</t>
        </is>
      </c>
      <c r="V528" s="25" t="inlineStr">
        <is>
          <t>The published Instasure insurer review method (criteria, weights, data sources, update cadence) with a scoring worksheet readers can use themselves.</t>
        </is>
      </c>
      <c r="W528" s="25" t="inlineStr">
        <is>
          <t>/editorial-guidelines/; /how-we-make-money/; /compare/; /guides/gio-vs-olhi-insurance-ombudservice/</t>
        </is>
      </c>
      <c r="X528" s="25" t="inlineStr">
        <is>
          <t>Compare insurers with a licensed advisor (/quote/)</t>
        </is>
      </c>
      <c r="Y528" s="36" t="inlineStr">
        <is>
          <t>Article; FAQPage; BreadcrumbList</t>
        </is>
      </c>
      <c r="Z528" s="37" t="n">
        <v>1800</v>
      </c>
      <c r="AA528" s="25" t="inlineStr">
        <is>
          <t>Ratehub (23 P&amp;C insurer pages), Rates.ca (18 seen) and PolicyAdvisor (47 life and CI reviews) publish reviews, and PolicyAdvisor runs 'Best X Companies' pages; none of the review pages seen states a scoring method.</t>
        </is>
      </c>
      <c r="AB528" s="25" t="inlineStr">
        <is>
          <t>Focus keyword in title, H1, first 100 words and meta; 40-60 word answer naming the six tests. Publish the method section as the canonical reference that future /reviews/ and head-to-head pages link to; link the insolvency-protection guide. Licensed reviewer; review twice a year.</t>
        </is>
      </c>
      <c r="AC528" s="25" t="inlineStr">
        <is>
          <t>This post gates future review, head-to-head and 'best companies' pages, so the method must be signed off before any ranking is published. Verify Assuris and PACICC protection limits on their own sites; no 'best' claims.</t>
        </is>
      </c>
      <c r="AD528" s="36" t="inlineStr">
        <is>
          <t>Semi-annual</t>
        </is>
      </c>
      <c r="AE528" s="38" t="n"/>
      <c r="AF528" s="38" t="n"/>
      <c r="AG528" s="38" t="n"/>
    </row>
    <row r="529" ht="35.05" customHeight="1" s="22">
      <c r="A529" s="36">
        <f>"B"&amp;TEXT(ROW()-1,"0000")</f>
        <v/>
      </c>
      <c r="B529" s="38" t="inlineStr">
        <is>
          <t>Planned</t>
        </is>
      </c>
      <c r="C529" s="36" t="n">
        <v>2</v>
      </c>
      <c r="D529" s="36" t="inlineStr">
        <is>
          <t>Insurance basics &amp; consumer rights</t>
        </is>
      </c>
      <c r="E529" s="36" t="inlineStr">
        <is>
          <t>Licensing &amp; trust</t>
        </is>
      </c>
      <c r="F529" s="25" t="inlineStr">
        <is>
          <t>How to Check if an Insurance Advisor Is Licensed in Your Province</t>
        </is>
      </c>
      <c r="G529" s="36" t="inlineStr">
        <is>
          <t>https://instasure.ca/guides/check-insurance-licence-canada/</t>
        </is>
      </c>
      <c r="H529" s="36" t="inlineStr">
        <is>
          <t>how to check if an insurance agent is licensed</t>
        </is>
      </c>
      <c r="I529" s="41">
        <f>IFERROR(INDEX('Nationwide KWs'!$D$2:$D$168,MATCH(H529,'Nationwide KWs'!$A$2:$A$168,0)),IFERROR(INDEX('Provincial KWs'!$E$2:$E$137,MATCH(H529,'Provincial KWs'!$A$2:$A$137,0)),IFERROR(INDEX('City KWs'!$F$2:$F$419,MATCH(H529,'City KWs'!$A$2:$A$419,0)),"")))</f>
        <v/>
      </c>
      <c r="J529" s="36" t="inlineStr">
        <is>
          <t>Low</t>
        </is>
      </c>
      <c r="K529" s="25" t="inlineStr">
        <is>
          <t>insurance licence lookup ontario; ribo broker search; fsra licence search; insurance council of bc licensee search; unlicensed insurance agent warning</t>
        </is>
      </c>
      <c r="L529" s="36" t="inlineStr">
        <is>
          <t>Nationwide</t>
        </is>
      </c>
      <c r="M529" s="36" t="inlineStr">
        <is>
          <t>informational</t>
        </is>
      </c>
      <c r="N529" s="36" t="inlineStr">
        <is>
          <t>TOFU</t>
        </is>
      </c>
      <c r="O529" s="25" t="inlineStr">
        <is>
          <t>How to Check if an Insurance Agent Is Licensed</t>
        </is>
      </c>
      <c r="P529" s="36">
        <f>LEN(O529)</f>
        <v/>
      </c>
      <c r="Q529" s="25" t="inlineStr">
        <is>
          <t>How to check if an insurance agent or broker is licensed: the licence register for each province, what to look for and red flags. Check yours in minutes.</t>
        </is>
      </c>
      <c r="R529" s="36">
        <f>LEN(Q529)</f>
        <v/>
      </c>
      <c r="S529" s="36">
        <f>IF(H529="","",IF(ISNUMBER(SEARCH(SUBSTITUTE(H529,"-"," "),SUBSTITUTE(O529,"-"," "))),"Yes","Check"))</f>
        <v/>
      </c>
      <c r="T529" s="25" t="inlineStr">
        <is>
          <t>Check a licence in two minutes (short answer) | Licence registers by province and territory | Life vs general insurance licences | What the register shows: classes, sponsor, conditions | Warning signs of unlicensed sellers | Why it matters: the protections you lose | How Instasure shows advisor licences</t>
        </is>
      </c>
      <c r="U529" s="25" t="inlineStr">
        <is>
          <t>How do I verify an insurance broker in Ontario? | What's the difference between a life licence and a general insurance licence? | What happens if I buy from an unlicensed agent? | Can an advisor licensed in one province sell to me in another?</t>
        </is>
      </c>
      <c r="V529" s="25" t="inlineStr">
        <is>
          <t>A 13-row register lookup table (province, regulator, link, licence classes shown) plus a warning-signs checklist.</t>
        </is>
      </c>
      <c r="W529" s="25" t="inlineStr">
        <is>
          <t>/licensing/; /advisors/; /guides/insurance-regulators-by-province-canada/; /guides/insurance-broker-vs-agent-vs-direct-insurer/</t>
        </is>
      </c>
      <c r="X529" s="25" t="inlineStr">
        <is>
          <t>Meet a licensed advisor with a published licence number (/advisors/)</t>
        </is>
      </c>
      <c r="Y529" s="36" t="inlineStr">
        <is>
          <t>Article; FAQPage; HowTo; BreadcrumbList</t>
        </is>
      </c>
      <c r="Z529" s="37" t="n">
        <v>1300</v>
      </c>
      <c r="AA529" s="25" t="inlineStr">
        <is>
          <t>No competitor coverage seen; FSRA publishes warnings about unlicensed auto insurance sellers, but no competitor has a national lookup guide.</t>
        </is>
      </c>
      <c r="AB529" s="25" t="inlineStr">
        <is>
          <t>Focus keyword in title, H1, first 100 words and meta; 40-60 word answer: search the provincial register by name and check the licence class. The lookup table is the citation target; link /licensing/ and /advisors/ to show Instasure's own licences. Licensed reviewer; check every register link twice a year.</t>
        </is>
      </c>
      <c r="AC529" s="25" t="inlineStr">
        <is>
          <t>Verify each register URL and what it shows, and reference FSRA's warning on unlicensed auto insurance sellers accurately. Publish only after real advisor licence numbers are live on /advisors/.</t>
        </is>
      </c>
      <c r="AD529" s="36" t="inlineStr">
        <is>
          <t>Semi-annual</t>
        </is>
      </c>
      <c r="AE529" s="38" t="n"/>
      <c r="AF529" s="38" t="n"/>
      <c r="AG529" s="38" t="n"/>
    </row>
    <row r="530" ht="46.25" customHeight="1" s="22">
      <c r="A530" s="36">
        <f>"B"&amp;TEXT(ROW()-1,"0000")</f>
        <v/>
      </c>
      <c r="B530" s="38" t="inlineStr">
        <is>
          <t>Planned</t>
        </is>
      </c>
      <c r="C530" s="36" t="n">
        <v>2</v>
      </c>
      <c r="D530" s="36" t="inlineStr">
        <is>
          <t>Insurance basics &amp; consumer rights</t>
        </is>
      </c>
      <c r="E530" s="36" t="inlineStr">
        <is>
          <t>Regulation</t>
        </is>
      </c>
      <c r="F530" s="25" t="inlineStr">
        <is>
          <t>Insurance Regulators in Canada: Who Oversees Insurance in Each Province and Territory</t>
        </is>
      </c>
      <c r="G530" s="36" t="inlineStr">
        <is>
          <t>https://instasure.ca/guides/insurance-regulators-by-province-canada/</t>
        </is>
      </c>
      <c r="H530" s="36" t="inlineStr">
        <is>
          <t>insurance regulator canada</t>
        </is>
      </c>
      <c r="I530" s="41">
        <f>IFERROR(INDEX('Nationwide KWs'!$D$2:$D$168,MATCH(H530,'Nationwide KWs'!$A$2:$A$168,0)),IFERROR(INDEX('Provincial KWs'!$E$2:$E$137,MATCH(H530,'Provincial KWs'!$A$2:$A$137,0)),IFERROR(INDEX('City KWs'!$F$2:$F$419,MATCH(H530,'City KWs'!$A$2:$A$419,0)),"")))</f>
        <v/>
      </c>
      <c r="J530" s="36" t="inlineStr">
        <is>
          <t>Low</t>
        </is>
      </c>
      <c r="K530" s="25" t="inlineStr">
        <is>
          <t>fsra insurance; insurance council of bc; alberta insurance council; amf insurance; who regulates insurance in canada; osfi vs provincial regulator</t>
        </is>
      </c>
      <c r="L530" s="36" t="inlineStr">
        <is>
          <t>Nationwide</t>
        </is>
      </c>
      <c r="M530" s="36" t="inlineStr">
        <is>
          <t>informational</t>
        </is>
      </c>
      <c r="N530" s="36" t="inlineStr">
        <is>
          <t>TOFU</t>
        </is>
      </c>
      <c r="O530" s="25" t="inlineStr">
        <is>
          <t>Insurance Regulators in Canada by Province and Territory</t>
        </is>
      </c>
      <c r="P530" s="36">
        <f>LEN(O530)</f>
        <v/>
      </c>
      <c r="Q530" s="25" t="inlineStr">
        <is>
          <t>Insurance regulators in Canada by province: who licenses advisors, who approves car rates, who handles complaints and what OSFI does. See the full table.</t>
        </is>
      </c>
      <c r="R530" s="36">
        <f>LEN(Q530)</f>
        <v/>
      </c>
      <c r="S530" s="36">
        <f>IF(H530="","",IF(ISNUMBER(SEARCH(SUBSTITUTE(H530,"-"," "),SUBSTITUTE(O530,"-"," "))),"Yes","Check"))</f>
        <v/>
      </c>
      <c r="T530" s="25" t="inlineStr">
        <is>
          <t>Who regulates insurance in Canada (short answer) | Federal vs provincial roles: OSFI, FCAC and the provinces | Province and territory table: regulator, licensing council, rate board | Broker and agent licensing bodies | Public auto insurers: ICBC, SGI, MPI and SAAQ | Consumer protection funds: Assuris and PACICC | How to use a regulator's licence register</t>
        </is>
      </c>
      <c r="U530" s="25" t="inlineStr">
        <is>
          <t>Who regulates insurance companies in Canada? | Who do I complain to about an insurance broker in Ontario? | What does OSFI do for insurance customers? | What happens if my insurance company goes bankrupt?</t>
        </is>
      </c>
      <c r="V530" s="25" t="inlineStr">
        <is>
          <t>A 13-row table listing the regulator, licensing body, auto rate-approval body, public insurer and licence-register link for every province and territory, dated.</t>
        </is>
      </c>
      <c r="W530" s="25" t="inlineStr">
        <is>
          <t>/licensing/; /guides/how-to-file-insurance-complaint-canada/; /guides/check-insurance-licence-canada/; /insurance/</t>
        </is>
      </c>
      <c r="X530" s="25" t="inlineStr">
        <is>
          <t>Find a licensed advisor in your province (/advisors/)</t>
        </is>
      </c>
      <c r="Y530" s="36" t="inlineStr">
        <is>
          <t>Article; FAQPage; BreadcrumbList</t>
        </is>
      </c>
      <c r="Z530" s="37" t="n">
        <v>2000</v>
      </c>
      <c r="AA530" s="25" t="inlineStr">
        <is>
          <t>No competitor coverage seen; the life and health research notes that no competitor surfaced regulator links.</t>
        </is>
      </c>
      <c r="AB530" s="25" t="inlineStr">
        <is>
          <t>Focus keyword in title, H1, first 100 words and meta; 40-60 word answer: provinces regulate market conduct and licensing, OSFI supervises federally regulated insurers' solvency. The 13-row table is the citation magnet; link each province hub from its row where possible. Licensed reviewer; update whenever a regulator is renamed or reorganised.</t>
        </is>
      </c>
      <c r="AC530" s="25" t="inlineStr">
        <is>
          <t>Verify every regulator name and URL (FSRA, BCFSA and the Insurance Council of BC, Alberta's Superintendent and the Alberta Insurance Council, FCAA, Insurance Council of Manitoba, AMF, FCNB, the Nova Scotia, PEI and NL superintendents, the territories) and each rate board; date the table.</t>
        </is>
      </c>
      <c r="AD530" s="36" t="inlineStr">
        <is>
          <t>On rule change</t>
        </is>
      </c>
      <c r="AE530" s="38" t="n"/>
      <c r="AF530" s="38" t="n"/>
      <c r="AG530" s="38" t="n"/>
    </row>
    <row r="531" ht="46.25" customHeight="1" s="22">
      <c r="A531" s="36">
        <f>"B"&amp;TEXT(ROW()-1,"0000")</f>
        <v/>
      </c>
      <c r="B531" s="38" t="inlineStr">
        <is>
          <t>Planned</t>
        </is>
      </c>
      <c r="C531" s="36" t="n">
        <v>3</v>
      </c>
      <c r="D531" s="36" t="inlineStr">
        <is>
          <t>Insurance basics &amp; consumer rights</t>
        </is>
      </c>
      <c r="E531" s="36" t="inlineStr">
        <is>
          <t>Cancellations &amp; renewals</t>
        </is>
      </c>
      <c r="F531" s="25" t="inlineStr">
        <is>
          <t>Cancelling Car, Home or Business Insurance Mid-Term: Penalties, Refunds and Notice</t>
        </is>
      </c>
      <c r="G531" s="36" t="inlineStr">
        <is>
          <t>https://instasure.ca/guides/cancel-insurance-policy-canada/</t>
        </is>
      </c>
      <c r="H531" s="36" t="inlineStr">
        <is>
          <t>insurance cancellation penalty</t>
        </is>
      </c>
      <c r="I531" s="41">
        <f>IFERROR(INDEX('Nationwide KWs'!$D$2:$D$168,MATCH(H531,'Nationwide KWs'!$A$2:$A$168,0)),IFERROR(INDEX('Provincial KWs'!$E$2:$E$137,MATCH(H531,'Provincial KWs'!$A$2:$A$137,0)),IFERROR(INDEX('City KWs'!$F$2:$F$419,MATCH(H531,'City KWs'!$A$2:$A$419,0)),"")))</f>
        <v/>
      </c>
      <c r="J531" s="36" t="inlineStr">
        <is>
          <t>Low</t>
        </is>
      </c>
      <c r="K531" s="25" t="inlineStr">
        <is>
          <t>short rate cancellation; pro rata refund insurance; cancel car insurance ontario; cancel home insurance mid-term; switching insurance mid-policy</t>
        </is>
      </c>
      <c r="L531" s="36" t="inlineStr">
        <is>
          <t>Nationwide</t>
        </is>
      </c>
      <c r="M531" s="36" t="inlineStr">
        <is>
          <t>informational</t>
        </is>
      </c>
      <c r="N531" s="36" t="inlineStr">
        <is>
          <t>MOFU</t>
        </is>
      </c>
      <c r="O531" s="25" t="inlineStr">
        <is>
          <t>Insurance Cancellation Penalty: Short-Rate vs Pro-Rata</t>
        </is>
      </c>
      <c r="P531" s="36">
        <f>LEN(O531)</f>
        <v/>
      </c>
      <c r="Q531" s="25" t="inlineStr">
        <is>
          <t>Insurance cancellation penalty explained: short-rate vs pro-rata refunds, notice rules and when switching mid-term still saves. Run the numbers first.</t>
        </is>
      </c>
      <c r="R531" s="36">
        <f>LEN(Q531)</f>
        <v/>
      </c>
      <c r="S531" s="36">
        <f>IF(H531="","",IF(ISNUMBER(SEARCH(SUBSTITUTE(H531,"-"," "),SUBSTITUTE(O531,"-"," "))),"Yes","Check"))</f>
        <v/>
      </c>
      <c r="T531" s="25" t="inlineStr">
        <is>
          <t>What it costs to cancel (short answer) | Short-rate vs pro-rata: a worked example | Car, home and business policies: how they differ | How to cancel properly: notice and proof | When an insurer cancels you instead | When switching mid-term still saves money | Cancellation checklist</t>
        </is>
      </c>
      <c r="U531" s="25" t="inlineStr">
        <is>
          <t>Is there a penalty for cancelling car insurance in Ontario? | How much notice do I need to cancel home insurance? | Do I get a refund if I cancel insurance early? | Can I cancel a business policy that I paid annually?</t>
        </is>
      </c>
      <c r="V531" s="25" t="inlineStr">
        <is>
          <t>An illustrative refund table for a 12-month policy cancelled at months 3, 6 and 9 under short-rate and pro-rata methods, plus a switch-or-wait worksheet.</t>
        </is>
      </c>
      <c r="W531" s="25" t="inlineStr">
        <is>
          <t>/quote/; /guides/insurer-cancelled-my-policy-rights/; /car-insurance/; /home-insurance/</t>
        </is>
      </c>
      <c r="X531" s="25" t="inlineStr">
        <is>
          <t>Compare before you cancel: instant estimate (/quote/)</t>
        </is>
      </c>
      <c r="Y531" s="36" t="inlineStr">
        <is>
          <t>Article; FAQPage; BreadcrumbList</t>
        </is>
      </c>
      <c r="Z531" s="37" t="n">
        <v>1500</v>
      </c>
      <c r="AA531" s="25" t="inlineStr">
        <is>
          <t>Sonnet has a cancellation calculator and an 'auto insurance cancellation penalties' blog, and Ratehub has 'can I cancel motorcycle insurance in winter'; none compares car, home and business or gives a switch-or-wait method. (Life policy cancellation is covered by the life segment.)</t>
        </is>
      </c>
      <c r="AB531" s="25" t="inlineStr">
        <is>
          <t>Focus keyword in title, H1, first 100 words and meta; 40-60 word answer contrasting short-rate and pro-rata refunds. Present the worked example as a table and add the worksheet; link the insurer-cancellation guide with the anchor 'if your insurer cancels you'. Licensed reviewer; review annually.</t>
        </is>
      </c>
      <c r="AC531" s="25" t="inlineStr">
        <is>
          <t>Short-rate tables vary by insurer; label the example illustrative and verify statutory notice rules (e.g. the Ontario Automobile Policy statutory conditions) for each province.</t>
        </is>
      </c>
      <c r="AD531" s="36" t="inlineStr">
        <is>
          <t>Annual</t>
        </is>
      </c>
      <c r="AE531" s="38" t="n"/>
      <c r="AF531" s="38" t="n"/>
      <c r="AG531" s="38" t="n"/>
    </row>
    <row r="532" ht="46.25" customHeight="1" s="22">
      <c r="A532" s="36">
        <f>"B"&amp;TEXT(ROW()-1,"0000")</f>
        <v/>
      </c>
      <c r="B532" s="38" t="inlineStr">
        <is>
          <t>Planned</t>
        </is>
      </c>
      <c r="C532" s="36" t="n">
        <v>3</v>
      </c>
      <c r="D532" s="36" t="inlineStr">
        <is>
          <t>Insurance basics &amp; consumer rights</t>
        </is>
      </c>
      <c r="E532" s="36" t="inlineStr">
        <is>
          <t>Claims</t>
        </is>
      </c>
      <c r="F532" s="25" t="inlineStr">
        <is>
          <t>How Insurance Claims Work in Canada: Adjusters, Proof of Loss, Timelines and Disputes</t>
        </is>
      </c>
      <c r="G532" s="36" t="inlineStr">
        <is>
          <t>https://instasure.ca/guides/how-insurance-claims-work-canada/</t>
        </is>
      </c>
      <c r="H532" s="36" t="inlineStr">
        <is>
          <t>insurance claim process canada</t>
        </is>
      </c>
      <c r="I532" s="41">
        <f>IFERROR(INDEX('Nationwide KWs'!$D$2:$D$168,MATCH(H532,'Nationwide KWs'!$A$2:$A$168,0)),IFERROR(INDEX('Provincial KWs'!$E$2:$E$137,MATCH(H532,'Provincial KWs'!$A$2:$A$137,0)),IFERROR(INDEX('City KWs'!$F$2:$F$419,MATCH(H532,'City KWs'!$A$2:$A$419,0)),"")))</f>
        <v/>
      </c>
      <c r="J532" s="36" t="inlineStr">
        <is>
          <t>Low</t>
        </is>
      </c>
      <c r="K532" s="25" t="inlineStr">
        <is>
          <t>how insurance claims work; insurance adjuster; proof of loss; claim denied what to do; appraisal clause insurance</t>
        </is>
      </c>
      <c r="L532" s="36" t="inlineStr">
        <is>
          <t>Nationwide</t>
        </is>
      </c>
      <c r="M532" s="36" t="inlineStr">
        <is>
          <t>informational</t>
        </is>
      </c>
      <c r="N532" s="36" t="inlineStr">
        <is>
          <t>TOFU</t>
        </is>
      </c>
      <c r="O532" s="25" t="inlineStr">
        <is>
          <t>Insurance Claim Process in Canada: Step by Step</t>
        </is>
      </c>
      <c r="P532" s="36">
        <f>LEN(O532)</f>
        <v/>
      </c>
      <c r="Q532" s="25" t="inlineStr">
        <is>
          <t>The insurance claim process in Canada: reporting, adjusters, proof of loss, settlement and what to do if your claim is denied or underpaid. See the steps.</t>
        </is>
      </c>
      <c r="R532" s="36">
        <f>LEN(Q532)</f>
        <v/>
      </c>
      <c r="S532" s="36">
        <f>IF(H532="","",IF(ISNUMBER(SEARCH(SUBSTITUTE(H532,"-"," "),SUBSTITUTE(O532,"-"," "))),"Yes","Check"))</f>
        <v/>
      </c>
      <c r="T532" s="25" t="inlineStr">
        <is>
          <t>The claim process in six steps (short answer) | Reporting a claim and what to say | The adjuster's role: insurer, independent and public adjusters | Proof of loss, documents and deadlines | Settlement: replacement cost, actual cash value and holdbacks | Denied or underpaid: appraisal, complaint, ombudservice, court | Claim diary template</t>
        </is>
      </c>
      <c r="U532" s="25" t="inlineStr">
        <is>
          <t>How long does an insurance company have to pay a claim in Canada? | Should I accept the first settlement offer? | What is the appraisal process in home insurance? | Will a claim raise my premium?</t>
        </is>
      </c>
      <c r="V532" s="25" t="inlineStr">
        <is>
          <t>A cross-product claims timeline graphic and a downloadable claim diary template.</t>
        </is>
      </c>
      <c r="W532" s="25" t="inlineStr">
        <is>
          <t>/guides/how-to-file-insurance-complaint-canada/; /guides/does-home-insurance-cover-water-damage-canada/; /guides/category/claims-rules/; /guides/how-to-read-an-insurance-policy/</t>
        </is>
      </c>
      <c r="X532" s="25" t="inlineStr">
        <is>
          <t>Talk to a licensed advisor about your coverage (/advisors/)</t>
        </is>
      </c>
      <c r="Y532" s="36" t="inlineStr">
        <is>
          <t>Article; FAQPage; HowTo; BreadcrumbList</t>
        </is>
      </c>
      <c r="Z532" s="37" t="n">
        <v>1800</v>
      </c>
      <c r="AA532" s="25" t="inlineStr">
        <is>
          <t>Rates.ca has a roof-replacement claim guide and Sonnet has claims pages for its own customers; no competitor seen publishes a cross-product claims guide with dispute options.</t>
        </is>
      </c>
      <c r="AB532" s="25" t="inlineStr">
        <is>
          <t>Focus keyword in title, H1, first 100 words and meta; the first H2 is a numbered six-step answer (HowTo). Add the timeline graphic with a text version and the claim diary download; link the complaint guide from the dispute section. Licensed reviewer; review annually.</t>
        </is>
      </c>
      <c r="AC532" s="25" t="inlineStr">
        <is>
          <t>Verify statutory conditions on notice, proof of loss and appraisal by province, and public adjuster licensing; no promises about outcomes.</t>
        </is>
      </c>
      <c r="AD532" s="36" t="inlineStr">
        <is>
          <t>Annual</t>
        </is>
      </c>
      <c r="AE532" s="38" t="n"/>
      <c r="AF532" s="38" t="n"/>
      <c r="AG532" s="38" t="n"/>
    </row>
    <row r="533" ht="35.05" customHeight="1" s="22">
      <c r="A533" s="36">
        <f>"B"&amp;TEXT(ROW()-1,"0000")</f>
        <v/>
      </c>
      <c r="B533" s="38" t="inlineStr">
        <is>
          <t>Planned</t>
        </is>
      </c>
      <c r="C533" s="36" t="n">
        <v>3</v>
      </c>
      <c r="D533" s="36" t="inlineStr">
        <is>
          <t>Insurance basics &amp; consumer rights</t>
        </is>
      </c>
      <c r="E533" s="36" t="inlineStr">
        <is>
          <t>Complaints &amp; disputes</t>
        </is>
      </c>
      <c r="F533" s="25" t="inlineStr">
        <is>
          <t>GIO vs OLHI: Which Insurance Ombudservice Handles Your Complaint?</t>
        </is>
      </c>
      <c r="G533" s="36" t="inlineStr">
        <is>
          <t>https://instasure.ca/guides/gio-vs-olhi-insurance-ombudservice/</t>
        </is>
      </c>
      <c r="H533" s="36" t="inlineStr">
        <is>
          <t>insurance ombudsman canada</t>
        </is>
      </c>
      <c r="I533" s="41">
        <f>IFERROR(INDEX('Nationwide KWs'!$D$2:$D$168,MATCH(H533,'Nationwide KWs'!$A$2:$A$168,0)),IFERROR(INDEX('Provincial KWs'!$E$2:$E$137,MATCH(H533,'Provincial KWs'!$A$2:$A$137,0)),IFERROR(INDEX('City KWs'!$F$2:$F$419,MATCH(H533,'City KWs'!$A$2:$A$419,0)),"")))</f>
        <v/>
      </c>
      <c r="J533" s="36" t="inlineStr">
        <is>
          <t>Low</t>
        </is>
      </c>
      <c r="K533" s="25" t="inlineStr">
        <is>
          <t>general insurance ombudservice; ombudservice for life and health insurance; gio complaint; olhi complaint; insurance ombudsman ontario</t>
        </is>
      </c>
      <c r="L533" s="36" t="inlineStr">
        <is>
          <t>Nationwide</t>
        </is>
      </c>
      <c r="M533" s="36" t="inlineStr">
        <is>
          <t>informational</t>
        </is>
      </c>
      <c r="N533" s="36" t="inlineStr">
        <is>
          <t>TOFU</t>
        </is>
      </c>
      <c r="O533" s="25" t="inlineStr">
        <is>
          <t>Insurance Ombudsman in Canada: GIO vs OLHI Explained</t>
        </is>
      </c>
      <c r="P533" s="36">
        <f>LEN(O533)</f>
        <v/>
      </c>
      <c r="Q533" s="25" t="inlineStr">
        <is>
          <t>Insurance ombudsman in Canada: GIO handles home, car and business complaints, OLHI handles life and health. See eligibility, timelines and how to apply.</t>
        </is>
      </c>
      <c r="R533" s="36">
        <f>LEN(Q533)</f>
        <v/>
      </c>
      <c r="S533" s="36">
        <f>IF(H533="","",IF(ISNUMBER(SEARCH(SUBSTITUTE(H533,"-"," "),SUBSTITUTE(O533,"-"," "))),"Yes","Check"))</f>
        <v/>
      </c>
      <c r="T533" s="25" t="inlineStr">
        <is>
          <t>Which ombudservice to use (short answer) | GIO: home, car and business insurance | OLHI: life, health, disability and travel | Eligibility: final position letters and time limits | What ombudservices can and can't do | Quebec and other exceptions | Prepare your file: document checklist</t>
        </is>
      </c>
      <c r="U533" s="25" t="inlineStr">
        <is>
          <t>Is the insurance ombudsman free in Canada? | Are ombudservice recommendations binding? | Does GIO handle complaints in Quebec? | Which ombudsman handles travel insurance complaints?</t>
        </is>
      </c>
      <c r="V533" s="25" t="inlineStr">
        <is>
          <t>A side-by-side GIO vs OLHI table (products, provinces, eligibility, typical timeline, type of outcome) with official links.</t>
        </is>
      </c>
      <c r="W533" s="25" t="inlineStr">
        <is>
          <t>/guides/how-to-file-insurance-complaint-canada/; /guides/insurance-regulators-by-province-canada/; /licensing/; /travel-insurance/</t>
        </is>
      </c>
      <c r="X533" s="25" t="inlineStr">
        <is>
          <t>Talk to a licensed advisor (/advisors/)</t>
        </is>
      </c>
      <c r="Y533" s="36" t="inlineStr">
        <is>
          <t>Article; FAQPage; BreadcrumbList</t>
        </is>
      </c>
      <c r="Z533" s="37" t="n">
        <v>1200</v>
      </c>
      <c r="AA533" s="25" t="inlineStr">
        <is>
          <t>No competitor coverage seen.</t>
        </is>
      </c>
      <c r="AB533" s="25" t="inlineStr">
        <is>
          <t>Focus keyword in title, H1, first 100 words and meta; 40-60 word answer splitting P&amp;C (GIO) from life and health (OLHI). The side-by-side table is the snippet target; link the complaint guide with the anchor 'how to complain about an insurance company'. Licensed reviewer; review annually.</t>
        </is>
      </c>
      <c r="AC533" s="25" t="inlineStr">
        <is>
          <t>Verify each ombudservice's mandate, member insurers, Quebec scope and time limits on its official site; call recommendations non-binding only if confirmed.</t>
        </is>
      </c>
      <c r="AD533" s="36" t="inlineStr">
        <is>
          <t>Annual</t>
        </is>
      </c>
      <c r="AE533" s="38" t="n"/>
      <c r="AF533" s="38" t="n"/>
      <c r="AG533" s="38" t="n"/>
    </row>
    <row r="534" ht="35.05" customHeight="1" s="22">
      <c r="A534" s="36">
        <f>"B"&amp;TEXT(ROW()-1,"0000")</f>
        <v/>
      </c>
      <c r="B534" s="38" t="inlineStr">
        <is>
          <t>Planned</t>
        </is>
      </c>
      <c r="C534" s="36" t="n">
        <v>3</v>
      </c>
      <c r="D534" s="36" t="inlineStr">
        <is>
          <t>Insurance basics &amp; consumer rights</t>
        </is>
      </c>
      <c r="E534" s="36" t="inlineStr">
        <is>
          <t>Complaints &amp; disputes</t>
        </is>
      </c>
      <c r="F534" s="25" t="inlineStr">
        <is>
          <t>How to Complain About an Insurance Company in Canada: Step by Step</t>
        </is>
      </c>
      <c r="G534" s="36" t="inlineStr">
        <is>
          <t>https://instasure.ca/guides/how-to-file-insurance-complaint-canada/</t>
        </is>
      </c>
      <c r="H534" s="36" t="inlineStr">
        <is>
          <t>how to file a complaint against an insurance company</t>
        </is>
      </c>
      <c r="I534" s="41">
        <f>IFERROR(INDEX('Nationwide KWs'!$D$2:$D$168,MATCH(H534,'Nationwide KWs'!$A$2:$A$168,0)),IFERROR(INDEX('Provincial KWs'!$E$2:$E$137,MATCH(H534,'Provincial KWs'!$A$2:$A$137,0)),IFERROR(INDEX('City KWs'!$F$2:$F$419,MATCH(H534,'City KWs'!$A$2:$A$419,0)),"")))</f>
        <v/>
      </c>
      <c r="J534" s="36" t="inlineStr">
        <is>
          <t>Low</t>
        </is>
      </c>
      <c r="K534" s="25" t="inlineStr">
        <is>
          <t>insurance complaint canada; insurance ombudsman canada; complaint against insurance broker ontario; fsra complaint; amf insurance complaint</t>
        </is>
      </c>
      <c r="L534" s="36" t="inlineStr">
        <is>
          <t>Nationwide</t>
        </is>
      </c>
      <c r="M534" s="36" t="inlineStr">
        <is>
          <t>informational</t>
        </is>
      </c>
      <c r="N534" s="36" t="inlineStr">
        <is>
          <t>TOFU</t>
        </is>
      </c>
      <c r="O534" s="25" t="inlineStr">
        <is>
          <t>How to File a Complaint Against an Insurance Company</t>
        </is>
      </c>
      <c r="P534" s="36">
        <f>LEN(O534)</f>
        <v/>
      </c>
      <c r="Q534" s="25" t="inlineStr">
        <is>
          <t>How to file a complaint against an insurance company in Canada: the insurer's process, GIO or OLHI, regulators and deadlines. Use our letter template.</t>
        </is>
      </c>
      <c r="R534" s="36">
        <f>LEN(Q534)</f>
        <v/>
      </c>
      <c r="S534" s="36">
        <f>IF(H534="","",IF(ISNUMBER(SEARCH(SUBSTITUTE(H534,"-"," "),SUBSTITUTE(O534,"-"," "))),"Yes","Check"))</f>
        <v/>
      </c>
      <c r="T534" s="25" t="inlineStr">
        <is>
          <t>The complaint path in four steps (short answer) | Step 1: the insurer's complaint officer | Step 2: the insurer's ombudsperson and final position letter | Step 3: GIO or OLHI | Step 4: your provincial regulator, and Quebec's different route | Complaints about brokers and agents | Complaint letter template</t>
        </is>
      </c>
      <c r="U534" s="25" t="inlineStr">
        <is>
          <t>How long does an insurance company have to respond to a complaint? | Is the General Insurance OmbudService free? | Can I complain to FSRA about my insurance company? | What if my complaint is about a broker?</t>
        </is>
      </c>
      <c r="V534" s="25" t="inlineStr">
        <is>
          <t>A complaint letter template and a flowchart of the escalation path by product line and province, including Quebec's AMF route.</t>
        </is>
      </c>
      <c r="W534" s="25" t="inlineStr">
        <is>
          <t>/guides/gio-vs-olhi-insurance-ombudservice/; /guides/insurance-regulators-by-province-canada/; /licensing/; /contact/</t>
        </is>
      </c>
      <c r="X534" s="25" t="inlineStr">
        <is>
          <t>Need a second opinion on your coverage? Talk to a licensed advisor (/advisors/)</t>
        </is>
      </c>
      <c r="Y534" s="36" t="inlineStr">
        <is>
          <t>Article; FAQPage; HowTo; BreadcrumbList</t>
        </is>
      </c>
      <c r="Z534" s="37" t="n">
        <v>1600</v>
      </c>
      <c r="AA534" s="25" t="inlineStr">
        <is>
          <t>Sonnet publishes a compliments-and-complaints page for its own customers; no competitor seen publishes an industry-wide complaint guide.</t>
        </is>
      </c>
      <c r="AB534" s="25" t="inlineStr">
        <is>
          <t>Focus keyword in title, H1, first 100 words and meta; the first H2 is a numbered four-step answer (HowTo steps). Add the flowchart with a text version and the downloadable letter template; link the GIO vs OLHI and regulator guides with exact anchors. Licensed reviewer; review annually.</t>
        </is>
      </c>
      <c r="AC534" s="25" t="inlineStr">
        <is>
          <t>Verify GIO and OLHI eligibility rules and time limits and the AMF complaint process at the source. No promises about outcomes.</t>
        </is>
      </c>
      <c r="AD534" s="36" t="inlineStr">
        <is>
          <t>Annual</t>
        </is>
      </c>
      <c r="AE534" s="38" t="n"/>
      <c r="AF534" s="38" t="n"/>
      <c r="AG534" s="38" t="n"/>
    </row>
    <row r="535" ht="46.25" customHeight="1" s="22">
      <c r="A535" s="36">
        <f>"B"&amp;TEXT(ROW()-1,"0000")</f>
        <v/>
      </c>
      <c r="B535" s="38" t="inlineStr">
        <is>
          <t>Planned</t>
        </is>
      </c>
      <c r="C535" s="36" t="n">
        <v>3</v>
      </c>
      <c r="D535" s="36" t="inlineStr">
        <is>
          <t>Insurance basics &amp; consumer rights</t>
        </is>
      </c>
      <c r="E535" s="36" t="inlineStr">
        <is>
          <t>Cost &amp; pricing</t>
        </is>
      </c>
      <c r="F535" s="25" t="inlineStr">
        <is>
          <t>Credit-Based Insurance Scores in Canada: How Insurers Use Credit and Your Consent Rights</t>
        </is>
      </c>
      <c r="G535" s="36" t="inlineStr">
        <is>
          <t>https://instasure.ca/guides/credit-based-insurance-score-canada/</t>
        </is>
      </c>
      <c r="H535" s="36" t="inlineStr">
        <is>
          <t>credit based insurance score</t>
        </is>
      </c>
      <c r="I535" s="41">
        <f>IFERROR(INDEX('Nationwide KWs'!$D$2:$D$168,MATCH(H535,'Nationwide KWs'!$A$2:$A$168,0)),IFERROR(INDEX('Provincial KWs'!$E$2:$E$137,MATCH(H535,'Provincial KWs'!$A$2:$A$137,0)),IFERROR(INDEX('City KWs'!$F$2:$F$419,MATCH(H535,'City KWs'!$A$2:$A$419,0)),"")))</f>
        <v/>
      </c>
      <c r="J535" s="36" t="inlineStr">
        <is>
          <t>Low</t>
        </is>
      </c>
      <c r="K535" s="25" t="inlineStr">
        <is>
          <t>does credit score affect home insurance; insurance credit check consent; credit score tenant insurance; insurance score canada; credit check business insurance</t>
        </is>
      </c>
      <c r="L535" s="36" t="inlineStr">
        <is>
          <t>Nationwide</t>
        </is>
      </c>
      <c r="M535" s="36" t="inlineStr">
        <is>
          <t>informational</t>
        </is>
      </c>
      <c r="N535" s="36" t="inlineStr">
        <is>
          <t>TOFU</t>
        </is>
      </c>
      <c r="O535" s="25" t="inlineStr">
        <is>
          <t>Credit-Based Insurance Scores in Canada: Your Rights</t>
        </is>
      </c>
      <c r="P535" s="36">
        <f>LEN(O535)</f>
        <v/>
      </c>
      <c r="Q535" s="25" t="inlineStr">
        <is>
          <t>Credit-based insurance scores in Canada: where insurers may use credit for home, tenant and business cover and your consent rights. Check your province.</t>
        </is>
      </c>
      <c r="R535" s="36">
        <f>LEN(Q535)</f>
        <v/>
      </c>
      <c r="S535" s="36">
        <f>IF(H535="","",IF(ISNUMBER(SEARCH(SUBSTITUTE(H535,"-"," "),SUBSTITUTE(O535,"-"," "))),"Yes","Check"))</f>
        <v/>
      </c>
      <c r="T535" s="25" t="inlineStr">
        <is>
          <t>Short answer: it depends on your province and product | Province-by-province table: home, tenant, car and business | How an insurance score differs from your credit score | Consent, adverse decisions and your rights | Will a quote hurt my credit? | How to improve or dispute what insurers see</t>
        </is>
      </c>
      <c r="U535" s="25" t="inlineStr">
        <is>
          <t>Can home insurers check my credit in Canada? | Does getting an insurance quote affect my credit score? | Can I refuse a credit check for home insurance? | Do business insurers check credit?</t>
        </is>
      </c>
      <c r="V535" s="25" t="inlineStr">
        <is>
          <t>A province-by-province table showing whether credit information may be used for home, tenant, car and business underwriting or rating, each row sourced to a regulator or statute and dated.</t>
        </is>
      </c>
      <c r="W535" s="25" t="inlineStr">
        <is>
          <t>/guides/how-insurance-pricing-works-canada/; /guides/insurance-history-reports-autoplus-hits-mib/; /home-insurance/; /tenant-insurance/</t>
        </is>
      </c>
      <c r="X535" s="25" t="inlineStr">
        <is>
          <t>Get an instant estimate (/quote/)</t>
        </is>
      </c>
      <c r="Y535" s="36" t="inlineStr">
        <is>
          <t>Article; FAQPage; BreadcrumbList</t>
        </is>
      </c>
      <c r="Z535" s="37" t="n">
        <v>1600</v>
      </c>
      <c r="AA535" s="25" t="inlineStr">
        <is>
          <t>No competitor coverage seen among the six researched. (The auto segment has a car-only credit-score post; this one covers home, tenant and business and the consent rules.)</t>
        </is>
      </c>
      <c r="AB535" s="25" t="inlineStr">
        <is>
          <t>Focus keyword in title, H1, first 100 words and meta; 40-60 word answer: rules vary by province and product, and consent is required where use is allowed. The province table is the citation target; link the pricing explainer with the anchor 'how insurers set rates'. Licensed reviewer; update whenever a province changes its credit rules.</t>
        </is>
      </c>
      <c r="AC535" s="25" t="inlineStr">
        <is>
          <t>Verify every province row with the regulator (including Ontario's restriction on credit in auto insurance) before publishing. Only use a 'no credit check' claim for Instasure's estimate if it is verified true.</t>
        </is>
      </c>
      <c r="AD535" s="36" t="inlineStr">
        <is>
          <t>On rule change</t>
        </is>
      </c>
      <c r="AE535" s="38" t="n"/>
      <c r="AF535" s="38" t="n"/>
      <c r="AG535" s="38" t="n"/>
    </row>
    <row r="536" ht="35.05" customHeight="1" s="22">
      <c r="A536" s="36">
        <f>"B"&amp;TEXT(ROW()-1,"0000")</f>
        <v/>
      </c>
      <c r="B536" s="38" t="inlineStr">
        <is>
          <t>Planned</t>
        </is>
      </c>
      <c r="C536" s="36" t="n">
        <v>3</v>
      </c>
      <c r="D536" s="36" t="inlineStr">
        <is>
          <t>Insurance basics &amp; consumer rights</t>
        </is>
      </c>
      <c r="E536" s="36" t="inlineStr">
        <is>
          <t>Disclosure &amp; underwriting</t>
        </is>
      </c>
      <c r="F536" s="25" t="inlineStr">
        <is>
          <t>Insurance Misrepresentation: What Happens If You Leave Something Off Your Application</t>
        </is>
      </c>
      <c r="G536" s="36" t="inlineStr">
        <is>
          <t>https://instasure.ca/guides/insurance-misrepresentation-material-change/</t>
        </is>
      </c>
      <c r="H536" s="36" t="inlineStr">
        <is>
          <t>insurance misrepresentation</t>
        </is>
      </c>
      <c r="I536" s="41">
        <f>IFERROR(INDEX('Nationwide KWs'!$D$2:$D$168,MATCH(H536,'Nationwide KWs'!$A$2:$A$168,0)),IFERROR(INDEX('Provincial KWs'!$E$2:$E$137,MATCH(H536,'Provincial KWs'!$A$2:$A$137,0)),IFERROR(INDEX('City KWs'!$F$2:$F$419,MATCH(H536,'City KWs'!$A$2:$A$419,0)),"")))</f>
        <v/>
      </c>
      <c r="J536" s="36" t="inlineStr">
        <is>
          <t>Low</t>
        </is>
      </c>
      <c r="K536" s="25" t="inlineStr">
        <is>
          <t>material misrepresentation insurance canada; failure to disclose insurance; material change in risk; life insurance contestability period; policy void non-disclosure</t>
        </is>
      </c>
      <c r="L536" s="36" t="inlineStr">
        <is>
          <t>Nationwide</t>
        </is>
      </c>
      <c r="M536" s="36" t="inlineStr">
        <is>
          <t>informational</t>
        </is>
      </c>
      <c r="N536" s="36" t="inlineStr">
        <is>
          <t>TOFU</t>
        </is>
      </c>
      <c r="O536" s="25" t="inlineStr">
        <is>
          <t>Insurance Misrepresentation: Risks of Not Disclosing</t>
        </is>
      </c>
      <c r="P536" s="36">
        <f>LEN(O536)</f>
        <v/>
      </c>
      <c r="Q536" s="25" t="inlineStr">
        <is>
          <t>Insurance misrepresentation can void a policy or cut a claim. See what to disclose for car, home, life and business cover and how to fix errors. Check now.</t>
        </is>
      </c>
      <c r="R536" s="36">
        <f>LEN(Q536)</f>
        <v/>
      </c>
      <c r="S536" s="36">
        <f>IF(H536="","",IF(ISNUMBER(SEARCH(SUBSTITUTE(H536,"-"," "),SUBSTITUTE(O536,"-"," "))),"Yes","Check"))</f>
        <v/>
      </c>
      <c r="T536" s="25" t="inlineStr">
        <is>
          <t>Short answer: disclose anything material | What 'material' means for car, home, life and business insurance | Material changes during the policy | Life insurance and the two-year contestability rule | Innocent vs fraudulent misrepresentation | How to correct a mistake on your application | Disclosure checklist by product</t>
        </is>
      </c>
      <c r="U536" s="25" t="inlineStr">
        <is>
          <t>What happens if I gave wrong information on my insurance application? | Do I have to tell my insurer about a renovation? | Can a life insurer deny a claim after two years? | What counts as a material change?</t>
        </is>
      </c>
      <c r="V536" s="25" t="inlineStr">
        <is>
          <t>A disclosure checklist by product (car, home, condo, life, business) listing commonly material facts and when to report changes.</t>
        </is>
      </c>
      <c r="W536" s="25" t="inlineStr">
        <is>
          <t>/guides/how-to-read-an-insurance-policy/; /life-insurance/medical-conditions/; /business-insurance/home-based/; /car-insurance/rideshare-and-delivery/</t>
        </is>
      </c>
      <c r="X536" s="25" t="inlineStr">
        <is>
          <t>Unsure what to disclose? Talk to a licensed advisor (/advisors/)</t>
        </is>
      </c>
      <c r="Y536" s="36" t="inlineStr">
        <is>
          <t>Article; FAQPage; BreadcrumbList</t>
        </is>
      </c>
      <c r="Z536" s="37" t="n">
        <v>1500</v>
      </c>
      <c r="AA536" s="25" t="inlineStr">
        <is>
          <t>No competitor coverage seen.</t>
        </is>
      </c>
      <c r="AB536" s="25" t="inlineStr">
        <is>
          <t>Focus keyword in title, H1, slug, meta and first 100 words; 40-60 word answer: a material misstatement can void cover or reduce a claim, so disclose and update. The product checklist is the snippet target; link the medical-conditions desk for life applicants. Licensed reviewer; review annually.</t>
        </is>
      </c>
      <c r="AC536" s="25" t="inlineStr">
        <is>
          <t>Verify life contestability rules in the provincial Insurance Acts and P&amp;C statutory conditions on material change. General information, not legal advice.</t>
        </is>
      </c>
      <c r="AD536" s="36" t="inlineStr">
        <is>
          <t>Annual</t>
        </is>
      </c>
      <c r="AE536" s="38" t="n"/>
      <c r="AF536" s="38" t="n"/>
      <c r="AG536" s="38" t="n"/>
    </row>
    <row r="537" ht="35.05" customHeight="1" s="22">
      <c r="A537" s="36">
        <f>"B"&amp;TEXT(ROW()-1,"0000")</f>
        <v/>
      </c>
      <c r="B537" s="38" t="inlineStr">
        <is>
          <t>Planned</t>
        </is>
      </c>
      <c r="C537" s="36" t="n">
        <v>3</v>
      </c>
      <c r="D537" s="36" t="inlineStr">
        <is>
          <t>Insurance basics &amp; consumer rights</t>
        </is>
      </c>
      <c r="E537" s="36" t="inlineStr">
        <is>
          <t>Disclosure &amp; underwriting</t>
        </is>
      </c>
      <c r="F537" s="25" t="inlineStr">
        <is>
          <t>Your Insurance History Reports: AutoPlus, HITS and MIB, and How to Request Them</t>
        </is>
      </c>
      <c r="G537" s="36" t="inlineStr">
        <is>
          <t>https://instasure.ca/guides/insurance-history-reports-autoplus-hits-mib/</t>
        </is>
      </c>
      <c r="H537" s="36" t="inlineStr">
        <is>
          <t>autoplus report</t>
        </is>
      </c>
      <c r="I537" s="41">
        <f>IFERROR(INDEX('Nationwide KWs'!$D$2:$D$168,MATCH(H537,'Nationwide KWs'!$A$2:$A$168,0)),IFERROR(INDEX('Provincial KWs'!$E$2:$E$137,MATCH(H537,'Provincial KWs'!$A$2:$A$137,0)),IFERROR(INDEX('City KWs'!$F$2:$F$419,MATCH(H537,'City KWs'!$A$2:$A$419,0)),"")))</f>
        <v/>
      </c>
      <c r="J537" s="36" t="inlineStr">
        <is>
          <t>Low</t>
        </is>
      </c>
      <c r="K537" s="25" t="inlineStr">
        <is>
          <t>how to get autoplus report; hits report home insurance; mib report canada; insurance claims history report; driving record vs autoplus</t>
        </is>
      </c>
      <c r="L537" s="36" t="inlineStr">
        <is>
          <t>Nationwide</t>
        </is>
      </c>
      <c r="M537" s="36" t="inlineStr">
        <is>
          <t>informational</t>
        </is>
      </c>
      <c r="N537" s="36" t="inlineStr">
        <is>
          <t>TOFU</t>
        </is>
      </c>
      <c r="O537" s="25" t="inlineStr">
        <is>
          <t>AutoPlus Report and Other Insurance History Reports</t>
        </is>
      </c>
      <c r="P537" s="36">
        <f>LEN(O537)</f>
        <v/>
      </c>
      <c r="Q537" s="25" t="inlineStr">
        <is>
          <t>An AutoPlus report shows your car insurance claims history. Learn how to request it, plus HITS for home and MIB for life, and fix errors. See the steps.</t>
        </is>
      </c>
      <c r="R537" s="36">
        <f>LEN(Q537)</f>
        <v/>
      </c>
      <c r="S537" s="36">
        <f>IF(H537="","",IF(ISNUMBER(SEARCH(SUBSTITUTE(H537,"-"," "),SUBSTITUTE(O537,"-"," "))),"Yes","Check"))</f>
        <v/>
      </c>
      <c r="T537" s="25" t="inlineStr">
        <is>
          <t>What insurance history reports exist (short answer) | AutoPlus: car insurance history | HITS: home insurance claims history | MIB: life and health applications | Driving records vs insurance records | How to request each report | How to dispute an error</t>
        </is>
      </c>
      <c r="U537" s="25" t="inlineStr">
        <is>
          <t>How do I get my AutoPlus report? | How long do claims stay on my insurance history? | Is an MIB report the same as a credit report? | Can I correct a wrong claim on my AutoPlus?</t>
        </is>
      </c>
      <c r="V537" s="25" t="inlineStr">
        <is>
          <t>A step-by-step request guide for each report with current request links, plus a dispute letter template.</t>
        </is>
      </c>
      <c r="W537" s="25" t="inlineStr">
        <is>
          <t>/guides/credit-based-insurance-score-canada/; /car-insurance/high-risk-drivers/; /life-insurance/medical-conditions/; /guides/how-insurance-pricing-works-canada/</t>
        </is>
      </c>
      <c r="X537" s="25" t="inlineStr">
        <is>
          <t>Get an instant estimate (/quote/)</t>
        </is>
      </c>
      <c r="Y537" s="36" t="inlineStr">
        <is>
          <t>Article; FAQPage; HowTo; BreadcrumbList</t>
        </is>
      </c>
      <c r="Z537" s="37" t="n">
        <v>1400</v>
      </c>
      <c r="AA537" s="25" t="inlineStr">
        <is>
          <t>No competitor coverage seen.</t>
        </is>
      </c>
      <c r="AB537" s="25" t="inlineStr">
        <is>
          <t>Focus keyword in title, H1, first 100 words and meta; 40-60 word answer naming each report and who holds it. Give each report its own HowTo-style request steps and link the high-risk desk for drivers with history issues. Licensed reviewer; review annually.</t>
        </is>
      </c>
      <c r="AC537" s="25" t="inlineStr">
        <is>
          <t>Verify report names, providers, retention periods and request processes with Equifax Canada and MIB, and confirm whether consumers can request HITS before publishing.</t>
        </is>
      </c>
      <c r="AD537" s="36" t="inlineStr">
        <is>
          <t>Annual</t>
        </is>
      </c>
      <c r="AE537" s="38" t="n"/>
      <c r="AF537" s="38" t="n"/>
      <c r="AG537" s="38" t="n"/>
    </row>
    <row r="538" ht="35.05" customHeight="1" s="22">
      <c r="A538" s="36">
        <f>"B"&amp;TEXT(ROW()-1,"0000")</f>
        <v/>
      </c>
      <c r="B538" s="38" t="inlineStr">
        <is>
          <t>Planned</t>
        </is>
      </c>
      <c r="C538" s="36" t="n">
        <v>3</v>
      </c>
      <c r="D538" s="36" t="inlineStr">
        <is>
          <t>Insurance basics &amp; consumer rights</t>
        </is>
      </c>
      <c r="E538" s="36" t="inlineStr">
        <is>
          <t>How instasure works</t>
        </is>
      </c>
      <c r="F538" s="25" t="inlineStr">
        <is>
          <t>How Insurance Comparison Sites Make Money, and What It Means for Your Quote</t>
        </is>
      </c>
      <c r="G538" s="36" t="inlineStr">
        <is>
          <t>https://instasure.ca/guides/how-insurance-comparison-sites-make-money/</t>
        </is>
      </c>
      <c r="H538" s="36" t="inlineStr">
        <is>
          <t>how do insurance comparison sites make money</t>
        </is>
      </c>
      <c r="I538" s="41">
        <f>IFERROR(INDEX('Nationwide KWs'!$D$2:$D$168,MATCH(H538,'Nationwide KWs'!$A$2:$A$168,0)),IFERROR(INDEX('Provincial KWs'!$E$2:$E$137,MATCH(H538,'Provincial KWs'!$A$2:$A$137,0)),IFERROR(INDEX('City KWs'!$F$2:$F$419,MATCH(H538,'City KWs'!$A$2:$A$419,0)),"")))</f>
        <v/>
      </c>
      <c r="J538" s="36" t="inlineStr">
        <is>
          <t>Niche</t>
        </is>
      </c>
      <c r="K538" s="25" t="inlineStr">
        <is>
          <t>insurance lead generation; are insurance comparison sites free; insurance referral fees canada; insurance broker commission canada; compare insurance quotes canada</t>
        </is>
      </c>
      <c r="L538" s="36" t="inlineStr">
        <is>
          <t>Nationwide</t>
        </is>
      </c>
      <c r="M538" s="36" t="inlineStr">
        <is>
          <t>informational</t>
        </is>
      </c>
      <c r="N538" s="36" t="inlineStr">
        <is>
          <t>MOFU</t>
        </is>
      </c>
      <c r="O538" s="25" t="inlineStr">
        <is>
          <t>How Do Insurance Comparison Sites Make Money?</t>
        </is>
      </c>
      <c r="P538" s="36">
        <f>LEN(O538)</f>
        <v/>
      </c>
      <c r="Q538" s="25" t="inlineStr">
        <is>
          <t>How do insurance comparison sites make money? Commissions, lead fees and ads, what Canadian rules require them to disclose and what to ask before you buy.</t>
        </is>
      </c>
      <c r="R538" s="36">
        <f>LEN(Q538)</f>
        <v/>
      </c>
      <c r="S538" s="36">
        <f>IF(H538="","",IF(ISNUMBER(SEARCH(SUBSTITUTE(H538,"-"," "),SUBSTITUTE(O538,"-"," "))),"Yes","Check"))</f>
        <v/>
      </c>
      <c r="T538" s="25" t="inlineStr">
        <is>
          <t>The three business models (short answer) | Commissions from insurers | Lead and referral fees, and provincial rules on them | Advertising and sponsored placements | What disclosure rules require | How Instasure makes money | Five questions to ask any comparison site</t>
        </is>
      </c>
      <c r="U538" s="25" t="inlineStr">
        <is>
          <t>Are insurance comparison sites free to use? | Do comparison sites show every insurer? | Are referral fees legal in Canada? | Does the price change if I buy through a comparison site?</t>
        </is>
      </c>
      <c r="V538" s="25" t="inlineStr">
        <is>
          <t>A business-model comparison table and a five-question checklist, linked to Instasure's own disclosure.</t>
        </is>
      </c>
      <c r="W538" s="25" t="inlineStr">
        <is>
          <t>/how-we-make-money/; /editorial-guidelines/; /licensing/; /compare/</t>
        </is>
      </c>
      <c r="X538" s="25" t="inlineStr">
        <is>
          <t>See how we make money (/how-we-make-money/), then get an instant estimate (/quote/)</t>
        </is>
      </c>
      <c r="Y538" s="36" t="inlineStr">
        <is>
          <t>Article; FAQPage; BreadcrumbList</t>
        </is>
      </c>
      <c r="Z538" s="37" t="n">
        <v>1300</v>
      </c>
      <c r="AA538" s="25" t="inlineStr">
        <is>
          <t>Rates.ca's llms.txt links its 'How we make money' page; no competitor seen explains the industry's business models or Canadian referral-fee rules.</t>
        </is>
      </c>
      <c r="AB538" s="25" t="inlineStr">
        <is>
          <t>Focus keyword in title, H1, first 100 words and meta; 40-60 word answer naming commissions, lead fees and advertising. Link Instasure's disclosure from the 'How Instasure makes money' H2 and keep the language factual. Licensed reviewer plus counsel sign-off; review annually.</t>
        </is>
      </c>
      <c r="AC538" s="25" t="inlineStr">
        <is>
          <t>Verify RIBO referral-fee rules (O. Reg. 991 s.15) and Insurance Council of BC disclosure rules; describe Instasure's model exactly as counsel approves and don't characterise named competitors' revenue.</t>
        </is>
      </c>
      <c r="AD538" s="36" t="inlineStr">
        <is>
          <t>Annual</t>
        </is>
      </c>
      <c r="AE538" s="38" t="n"/>
      <c r="AF538" s="38" t="n"/>
      <c r="AG538" s="38" t="n"/>
    </row>
    <row r="539" ht="35.05" customHeight="1" s="22">
      <c r="A539" s="36">
        <f>"B"&amp;TEXT(ROW()-1,"0000")</f>
        <v/>
      </c>
      <c r="B539" s="38" t="inlineStr">
        <is>
          <t>Planned</t>
        </is>
      </c>
      <c r="C539" s="36" t="n">
        <v>3</v>
      </c>
      <c r="D539" s="36" t="inlineStr">
        <is>
          <t>Insurance basics &amp; consumer rights</t>
        </is>
      </c>
      <c r="E539" s="36" t="inlineStr">
        <is>
          <t>How-to</t>
        </is>
      </c>
      <c r="F539" s="25" t="inlineStr">
        <is>
          <t>How to Read an Insurance Policy: Declarations, Wordings, Exclusions and Endorsements</t>
        </is>
      </c>
      <c r="G539" s="36" t="inlineStr">
        <is>
          <t>https://instasure.ca/guides/how-to-read-an-insurance-policy/</t>
        </is>
      </c>
      <c r="H539" s="36" t="inlineStr">
        <is>
          <t>how to read an insurance policy</t>
        </is>
      </c>
      <c r="I539" s="41">
        <f>IFERROR(INDEX('Nationwide KWs'!$D$2:$D$168,MATCH(H539,'Nationwide KWs'!$A$2:$A$168,0)),IFERROR(INDEX('Provincial KWs'!$E$2:$E$137,MATCH(H539,'Provincial KWs'!$A$2:$A$137,0)),IFERROR(INDEX('City KWs'!$F$2:$F$419,MATCH(H539,'City KWs'!$A$2:$A$419,0)),"")))</f>
        <v/>
      </c>
      <c r="J539" s="36" t="inlineStr">
        <is>
          <t>Low</t>
        </is>
      </c>
      <c r="K539" s="25" t="inlineStr">
        <is>
          <t>insurance declarations page; policy wording; insurance exclusions explained; insurance endorsement meaning; statutory conditions</t>
        </is>
      </c>
      <c r="L539" s="36" t="inlineStr">
        <is>
          <t>Nationwide</t>
        </is>
      </c>
      <c r="M539" s="36" t="inlineStr">
        <is>
          <t>informational</t>
        </is>
      </c>
      <c r="N539" s="36" t="inlineStr">
        <is>
          <t>TOFU</t>
        </is>
      </c>
      <c r="O539" s="25" t="inlineStr">
        <is>
          <t>How to Read an Insurance Policy: A Plain-Language Guide</t>
        </is>
      </c>
      <c r="P539" s="36">
        <f>LEN(O539)</f>
        <v/>
      </c>
      <c r="Q539" s="25" t="inlineStr">
        <is>
          <t>How to read an insurance policy: what the declarations page, insuring agreement, exclusions, conditions and endorsements mean. Follow our annotated sample.</t>
        </is>
      </c>
      <c r="R539" s="36">
        <f>LEN(Q539)</f>
        <v/>
      </c>
      <c r="S539" s="36">
        <f>IF(H539="","",IF(ISNUMBER(SEARCH(SUBSTITUTE(H539,"-"," "),SUBSTITUTE(O539,"-"," "))),"Yes","Check"))</f>
        <v/>
      </c>
      <c r="T539" s="25" t="inlineStr">
        <is>
          <t>The five parts of every policy (short answer) | Declarations page: who, what, how much | Insuring agreement and definitions | Exclusions and how to spot them | Conditions, including statutory conditions | Endorsements that add or remove cover | A 10-minute policy review checklist</t>
        </is>
      </c>
      <c r="U539" s="25" t="inlineStr">
        <is>
          <t>What is the declarations page on an insurance policy? | What are statutory conditions? | Do endorsements override the main policy wording? | Where do I find my deductible?</t>
        </is>
      </c>
      <c r="V539" s="25" t="inlineStr">
        <is>
          <t>An annotated sample policy (fictional) with callouts on each part, plus a 10-minute review checklist.</t>
        </is>
      </c>
      <c r="W539" s="25" t="inlineStr">
        <is>
          <t>/glossary/; /guides/insurance-misrepresentation-material-change/; /guides/how-insurance-claims-work-canada/; /guides/commercial-general-liability-insurance-explained/</t>
        </is>
      </c>
      <c r="X539" s="25" t="inlineStr">
        <is>
          <t>Have a licensed advisor review your policy (/advisors/)</t>
        </is>
      </c>
      <c r="Y539" s="36" t="inlineStr">
        <is>
          <t>Article; FAQPage; BreadcrumbList</t>
        </is>
      </c>
      <c r="Z539" s="37" t="n">
        <v>1500</v>
      </c>
      <c r="AA539" s="25" t="inlineStr">
        <is>
          <t>No competitor coverage seen.</t>
        </is>
      </c>
      <c r="AB539" s="25" t="inlineStr">
        <is>
          <t>Focus keyword in title, H1, slug, meta and first 100 words; 40-60 word answer listing the five parts. Use the annotated sample as an image with a full text walk-through and link glossary terms on first use. Licensed reviewer; review annually.</t>
        </is>
      </c>
      <c r="AC539" s="25" t="inlineStr">
        <is>
          <t>Use a fictional sample, never a real insurer's wording; verify statutory-conditions references in the provincial Insurance Acts.</t>
        </is>
      </c>
      <c r="AD539" s="36" t="inlineStr">
        <is>
          <t>Annual</t>
        </is>
      </c>
      <c r="AE539" s="38" t="n"/>
      <c r="AF539" s="38" t="n"/>
      <c r="AG539" s="38" t="n"/>
    </row>
    <row r="540" ht="35.05" customHeight="1" s="22">
      <c r="A540" s="36">
        <f>"B"&amp;TEXT(ROW()-1,"0000")</f>
        <v/>
      </c>
      <c r="B540" s="38" t="inlineStr">
        <is>
          <t>Planned</t>
        </is>
      </c>
      <c r="C540" s="36" t="n">
        <v>4</v>
      </c>
      <c r="D540" s="36" t="inlineStr">
        <is>
          <t>Insurance basics &amp; consumer rights</t>
        </is>
      </c>
      <c r="E540" s="36" t="inlineStr">
        <is>
          <t>Consumer protection</t>
        </is>
      </c>
      <c r="F540" s="25" t="inlineStr">
        <is>
          <t>What Happens If Your Insurance Company Goes Bankrupt? Assuris and PACICC Explained</t>
        </is>
      </c>
      <c r="G540" s="36" t="inlineStr">
        <is>
          <t>https://instasure.ca/guides/insurance-company-bankruptcy-assuris-pacicc/</t>
        </is>
      </c>
      <c r="H540" s="36" t="inlineStr">
        <is>
          <t>what happens if my insurance company goes bankrupt</t>
        </is>
      </c>
      <c r="I540" s="41">
        <f>IFERROR(INDEX('Nationwide KWs'!$D$2:$D$168,MATCH(H540,'Nationwide KWs'!$A$2:$A$168,0)),IFERROR(INDEX('Provincial KWs'!$E$2:$E$137,MATCH(H540,'Provincial KWs'!$A$2:$A$137,0)),IFERROR(INDEX('City KWs'!$F$2:$F$419,MATCH(H540,'City KWs'!$A$2:$A$419,0)),"")))</f>
        <v/>
      </c>
      <c r="J540" s="36" t="inlineStr">
        <is>
          <t>Niche</t>
        </is>
      </c>
      <c r="K540" s="25" t="inlineStr">
        <is>
          <t>assuris protection; pacicc coverage; insurance company insolvency canada; is my life insurance protected; osfi insurer solvency</t>
        </is>
      </c>
      <c r="L540" s="36" t="inlineStr">
        <is>
          <t>Nationwide</t>
        </is>
      </c>
      <c r="M540" s="36" t="inlineStr">
        <is>
          <t>informational</t>
        </is>
      </c>
      <c r="N540" s="36" t="inlineStr">
        <is>
          <t>TOFU</t>
        </is>
      </c>
      <c r="O540" s="25" t="inlineStr">
        <is>
          <t>What Happens If Your Insurance Company Goes Bankrupt?</t>
        </is>
      </c>
      <c r="P540" s="36">
        <f>LEN(O540)</f>
        <v/>
      </c>
      <c r="Q540" s="25" t="inlineStr">
        <is>
          <t>If your insurance company goes bankrupt in Canada, Assuris protects life and health policyholders and PACICC covers P&amp;C claims, within limits. See how.</t>
        </is>
      </c>
      <c r="R540" s="36">
        <f>LEN(Q540)</f>
        <v/>
      </c>
      <c r="S540" s="36">
        <f>IF(H540="","",IF(ISNUMBER(SEARCH(SUBSTITUTE(H540,"-"," "),SUBSTITUTE(O540,"-"," "))),"Yes","Check"))</f>
        <v/>
      </c>
      <c r="T540" s="25" t="inlineStr">
        <is>
          <t>Short answer: you're protected, within limits | Assuris: life, health and annuity policies | PACICC: home, car and business claims and unearned premiums | Who supervises insurer solvency: OSFI and the provinces | What to do if your insurer fails | How to check an insurer's membership</t>
        </is>
      </c>
      <c r="U540" s="25" t="inlineStr">
        <is>
          <t>Is my life insurance protected if the insurer fails? | Does PACICC cover my unpaid car insurance claim? | Are all Canadian insurers members of Assuris or PACICC? | Has a Canadian insurer ever gone bankrupt?</t>
        </is>
      </c>
      <c r="V540" s="25" t="inlineStr">
        <is>
          <t>A side-by-side Assuris vs PACICC table (products covered, protection limits, how claims are paid) linked to each fund's own pages and dated.</t>
        </is>
      </c>
      <c r="W540" s="25" t="inlineStr">
        <is>
          <t>/guides/how-to-choose-insurance-company-review-method/; /guides/insurance-regulators-by-province-canada/; /life-insurance/; /home-insurance/</t>
        </is>
      </c>
      <c r="X540" s="25" t="inlineStr">
        <is>
          <t>Talk to a licensed advisor (/advisors/)</t>
        </is>
      </c>
      <c r="Y540" s="36" t="inlineStr">
        <is>
          <t>Article; FAQPage; BreadcrumbList</t>
        </is>
      </c>
      <c r="Z540" s="37" t="n">
        <v>1200</v>
      </c>
      <c r="AA540" s="25" t="inlineStr">
        <is>
          <t>No competitor coverage seen.</t>
        </is>
      </c>
      <c r="AB540" s="25" t="inlineStr">
        <is>
          <t>Focus keyword in title, H1, first 100 words and meta; 40-60 word answer naming both funds and that protection has limits. The comparison table is the snippet target; link the review-method guide where financial strength is discussed. Licensed reviewer; review annually.</t>
        </is>
      </c>
      <c r="AC540" s="25" t="inlineStr">
        <is>
          <t>Verify Assuris and PACICC protection limits, membership rules and any historical examples on their official sites; don't imply unlimited protection.</t>
        </is>
      </c>
      <c r="AD540" s="36" t="inlineStr">
        <is>
          <t>Annual</t>
        </is>
      </c>
      <c r="AE540" s="38" t="n"/>
      <c r="AF540" s="38" t="n"/>
      <c r="AG540" s="38" t="n"/>
    </row>
    <row r="541" ht="46.25" customHeight="1" s="22">
      <c r="A541" s="36">
        <f>"B"&amp;TEXT(ROW()-1,"0000")</f>
        <v/>
      </c>
      <c r="B541" s="38" t="inlineStr">
        <is>
          <t>Planned</t>
        </is>
      </c>
      <c r="C541" s="36" t="n">
        <v>4</v>
      </c>
      <c r="D541" s="36" t="inlineStr">
        <is>
          <t>Insurance basics &amp; consumer rights</t>
        </is>
      </c>
      <c r="E541" s="36" t="inlineStr">
        <is>
          <t>Regulation</t>
        </is>
      </c>
      <c r="F541" s="25" t="inlineStr">
        <is>
          <t>AI and Insurance Pricing in Canada: What Insurers Can Do With Your Data, and Your Rights</t>
        </is>
      </c>
      <c r="G541" s="36" t="inlineStr">
        <is>
          <t>https://instasure.ca/guides/ai-insurance-pricing-canada/</t>
        </is>
      </c>
      <c r="H541" s="36" t="inlineStr">
        <is>
          <t>ai in insurance pricing</t>
        </is>
      </c>
      <c r="I541" s="41">
        <f>IFERROR(INDEX('Nationwide KWs'!$D$2:$D$168,MATCH(H541,'Nationwide KWs'!$A$2:$A$168,0)),IFERROR(INDEX('Provincial KWs'!$E$2:$E$137,MATCH(H541,'Provincial KWs'!$A$2:$A$137,0)),IFERROR(INDEX('City KWs'!$F$2:$F$419,MATCH(H541,'City KWs'!$A$2:$A$419,0)),"")))</f>
        <v/>
      </c>
      <c r="J541" s="36" t="inlineStr">
        <is>
          <t>Niche</t>
        </is>
      </c>
      <c r="K541" s="25" t="inlineStr">
        <is>
          <t>insurance algorithms canada; automated decision insurance quebec law 25; osfi model risk guideline; telematics data insurance; ai underwriting canada</t>
        </is>
      </c>
      <c r="L541" s="36" t="inlineStr">
        <is>
          <t>Nationwide</t>
        </is>
      </c>
      <c r="M541" s="36" t="inlineStr">
        <is>
          <t>informational</t>
        </is>
      </c>
      <c r="N541" s="36" t="inlineStr">
        <is>
          <t>TOFU</t>
        </is>
      </c>
      <c r="O541" s="25" t="inlineStr">
        <is>
          <t>AI in Insurance Pricing in Canada: Rules and Your Rights</t>
        </is>
      </c>
      <c r="P541" s="36">
        <f>LEN(O541)</f>
        <v/>
      </c>
      <c r="Q541" s="25" t="inlineStr">
        <is>
          <t>AI in insurance pricing in Canada: how insurers use models and data, what regulators and privacy laws require, and how to question an automated decision.</t>
        </is>
      </c>
      <c r="R541" s="36">
        <f>LEN(Q541)</f>
        <v/>
      </c>
      <c r="S541" s="36">
        <f>IF(H541="","",IF(ISNUMBER(SEARCH(SUBSTITUTE(H541,"-"," "),SUBSTITUTE(O541,"-"," "))),"Yes","Check"))</f>
        <v/>
      </c>
      <c r="T541" s="25" t="inlineStr">
        <is>
          <t>How AI is used in insurance today (short answer) | Pricing, underwriting, claims and fraud: where models show up | The rules that apply: rate approval, privacy law, OSFI and fair-treatment guidance | Quebec's automated-decision notice rule | Telematics and usage-based data | Your rights: access, correction and human review | How Instasure's estimates use, and don't use, automation</t>
        </is>
      </c>
      <c r="U541" s="25" t="inlineStr">
        <is>
          <t>Can an insurer use AI to set my premium in Canada? | Do I have a right to know if a decision was automated? | Does telematics data affect my price? | Can I ask a person to review an insurance decision?</t>
        </is>
      </c>
      <c r="V541" s="25" t="inlineStr">
        <is>
          <t>A rules map (rate regulators, PIPEDA, Quebec's private-sector privacy act as amended by Law 25, OSFI model risk guidance, CCIR/CISRO fair-treatment guidance) showing what each requires, with sources.</t>
        </is>
      </c>
      <c r="W541" s="25" t="inlineStr">
        <is>
          <t>/guides/how-insurance-pricing-works-canada/; /guides/instant-insurance-estimates-explained/; /privacy/; /editorial-guidelines/</t>
        </is>
      </c>
      <c r="X541" s="25" t="inlineStr">
        <is>
          <t>Get an instant estimate, then speak to a licensed person (/quote/)</t>
        </is>
      </c>
      <c r="Y541" s="36" t="inlineStr">
        <is>
          <t>Article; FAQPage; BreadcrumbList</t>
        </is>
      </c>
      <c r="Z541" s="37" t="n">
        <v>1700</v>
      </c>
      <c r="AA541" s="25" t="inlineStr">
        <is>
          <t>No competitor coverage seen.</t>
        </is>
      </c>
      <c r="AB541" s="25" t="inlineStr">
        <is>
          <t>Focus keyword in title, H1, first 100 words and meta; 40-60 word answer: insurers may use models within rate approval, privacy and fair-treatment rules, and Quebec requires notice of fully automated decisions. The rules map is the citation target; disclose plainly how Instasure's estimate engine works. Licensed reviewer; update whenever a guideline or law changes.</t>
        </is>
      </c>
      <c r="AC541" s="25" t="inlineStr">
        <is>
          <t>Verify OSFI guideline status and effective dates, Quebec automated-decision provisions and any FSRA guidance before publishing; describe industry use in general terms and don't attribute practices to named insurers without a source.</t>
        </is>
      </c>
      <c r="AD541" s="36" t="inlineStr">
        <is>
          <t>On rule change</t>
        </is>
      </c>
      <c r="AE541" s="38" t="n"/>
      <c r="AF541" s="38" t="n"/>
      <c r="AG541" s="38" t="n"/>
    </row>
  </sheetData>
  <autoFilter ref="A1:AG541"/>
  <dataValidations count="1">
    <dataValidation sqref="B2:B541" showDropDown="0" showInputMessage="0" showErrorMessage="0" allowBlank="1" type="list" errorStyle="stop" operator="between">
      <formula1>"Planned,Writing,In review,Published,On hold"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2026-10-03T21:24:53Z</dcterms:created>
  <dcterms:modified xsi:type="dcterms:W3CDTF">2026-10-12T13:23:57Z</dcterms:modified>
  <cp:revision>0</cp:revision>
</cp:coreProperties>
</file>