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asure Topic Plan" sheetId="1" state="visible" r:id="rId3"/>
    <sheet name="Knowledge Content" sheetId="2" state="visible" r:id="rId4"/>
    <sheet name="Topics by Product" sheetId="3" state="visible" r:id="rId5"/>
    <sheet name="Site Review" sheetId="4" state="visible" r:id="rId6"/>
    <sheet name="URL Inventory" sheetId="5" state="visible" r:id="rId7"/>
    <sheet name="Method &amp; Notes" sheetId="6" state="visible" r:id="rId8"/>
    <sheet name="Topic Index" sheetId="7" state="visible" r:id="rId9"/>
  </sheets>
  <definedNames>
    <definedName function="false" hidden="true" localSheetId="1" name="_xlnm._FilterDatabase" vbProcedure="false">'Knowledge Content'!$A$4:$P$33</definedName>
    <definedName function="false" hidden="true" localSheetId="6" name="_xlnm._FilterDatabase" vbProcedure="false">'Topic Index'!$A$4:$P$58</definedName>
    <definedName function="false" hidden="true" localSheetId="4" name="_xlnm._FilterDatabase" vbProcedure="false">'URL Inventory'!$A$4:$I$44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Page words minus the site template (menus, footer, forms): about 1,174 words, measured on a quote-form page that holds only the template. Assumption in 'Method &amp; Notes'!B6.</t>
        </r>
      </text>
    </comment>
  </commentList>
</comments>
</file>

<file path=xl/sharedStrings.xml><?xml version="1.0" encoding="utf-8"?>
<sst xmlns="http://schemas.openxmlformats.org/spreadsheetml/2006/main" count="3860" uniqueCount="2538">
  <si>
    <t xml:space="preserve">Product</t>
  </si>
  <si>
    <t xml:space="preserve">Mortgage Protection</t>
  </si>
  <si>
    <t xml:space="preserve">Term Life Insurance</t>
  </si>
  <si>
    <t xml:space="preserve">Life Insurance Basics &amp; Buying</t>
  </si>
  <si>
    <t xml:space="preserve">Permanent &amp; Whole Life</t>
  </si>
  <si>
    <t xml:space="preserve">No Medical &amp; Instant Life</t>
  </si>
  <si>
    <t xml:space="preserve">Health Insurance</t>
  </si>
  <si>
    <t xml:space="preserve">Critical Illness</t>
  </si>
  <si>
    <t xml:space="preserve">Family Life Insurance</t>
  </si>
  <si>
    <t xml:space="preserve">Life Insurance with Medical Conditions</t>
  </si>
  <si>
    <t xml:space="preserve">Final Expense</t>
  </si>
  <si>
    <t xml:space="preserve">Seniors (50+)</t>
  </si>
  <si>
    <t xml:space="preserve">Universal Life</t>
  </si>
  <si>
    <t xml:space="preserve">Joint Life</t>
  </si>
  <si>
    <t xml:space="preserve">Topic (H1)</t>
  </si>
  <si>
    <t xml:space="preserve">Mortgage Insurance in Canada: Default Insurance vs Mortgage Life Insurance Explained</t>
  </si>
  <si>
    <t xml:space="preserve">What Is Term Life Insurance and How Does It Work in Canada?</t>
  </si>
  <si>
    <t xml:space="preserve">How Does Life Insurance Work in Canada? Premiums, Payouts and Policies Explained</t>
  </si>
  <si>
    <t xml:space="preserve">Types of Life Insurance in Canada: Term, Whole, Universal and No-Medical Explained</t>
  </si>
  <si>
    <t xml:space="preserve">Is Life Insurance Worth It in Canada? When You Need It and When You Don't</t>
  </si>
  <si>
    <t xml:space="preserve">How Much Does Whole Life Insurance Cost in Canada?</t>
  </si>
  <si>
    <t xml:space="preserve">Instant Life Insurance in Canada: How Online Approval Works and How Products Compare</t>
  </si>
  <si>
    <t xml:space="preserve">Health Insurance After Losing Your Job: Conversion Plans and Your Options</t>
  </si>
  <si>
    <t xml:space="preserve">Declined for Life Insurance? Why It Happens and What to Do Next in Canada</t>
  </si>
  <si>
    <t xml:space="preserve">Is Critical Illness Insurance Worth It in Canada? A Decision Guide</t>
  </si>
  <si>
    <t xml:space="preserve">Family Life Insurance in Canada: How to Protect Everyone You Love</t>
  </si>
  <si>
    <t xml:space="preserve">Life Insurance With Pre-Existing Conditions in Canada: Your Options</t>
  </si>
  <si>
    <t xml:space="preserve">Life Insurance Medical Exams and Applications: What Insurers Ask and How to Prepare</t>
  </si>
  <si>
    <t xml:space="preserve">Term 100 Life Insurance in Canada: Lifetime Cover Without the Cash Value</t>
  </si>
  <si>
    <t xml:space="preserve">10, 20 or 30-Year Term Life Insurance: How to Choose the Right Length</t>
  </si>
  <si>
    <t xml:space="preserve">Funeral Insurance for Seniors: What You Can Buy at 60, 70 and 80</t>
  </si>
  <si>
    <t xml:space="preserve">How to Choose a Life Insurance Beneficiary in Canada: Spouses, Children, Estates and Trusts</t>
  </si>
  <si>
    <t xml:space="preserve">Life Insurance Over 70 in Canada: Options, Age Limits and Costs</t>
  </si>
  <si>
    <t xml:space="preserve">Life Insurance Over 50 in Canada: Costs, Types and How Much You Need</t>
  </si>
  <si>
    <t xml:space="preserve">What Happens When Term Life Insurance Expires? Renewal, Conversion and Your Options</t>
  </si>
  <si>
    <t xml:space="preserve">Whole Life vs Universal Life Insurance: How They Differ in Canada</t>
  </si>
  <si>
    <t xml:space="preserve">How to Make a Life Insurance Claim in Canada: Steps, Documents and Timelines</t>
  </si>
  <si>
    <t xml:space="preserve">Life Insurance Riders in Canada: Which Add-Ons Are Worth Paying For?</t>
  </si>
  <si>
    <t xml:space="preserve">What Does Life Insurance Not Cover? Exclusions Every Canadian Should Know</t>
  </si>
  <si>
    <t xml:space="preserve">Life Insurance With Diabetes in Canada: Type 1, Type 2 and What Underwriters Look For</t>
  </si>
  <si>
    <t xml:space="preserve">Participating Whole Life Insurance: Dividends, Cash Value and Surrender Value Explained</t>
  </si>
  <si>
    <t xml:space="preserve">What Affects Life Insurance Rates in Canada? How Quotes Are Calculated</t>
  </si>
  <si>
    <t xml:space="preserve">Life Insurance After Cancer in Canada: Waiting Periods, Remission and Your Options</t>
  </si>
  <si>
    <t xml:space="preserve">Buy Term and Invest the Difference: Does It Work in Canada?</t>
  </si>
  <si>
    <t xml:space="preserve">Using Life Insurance for Estate Planning in Canada: Capital Gains at Death, Cottages and Inheritances</t>
  </si>
  <si>
    <t xml:space="preserve">Decreasing Term vs Level Term Life Insurance for Your Mortgage</t>
  </si>
  <si>
    <t xml:space="preserve">How Does Universal Life Insurance Work in Canada?</t>
  </si>
  <si>
    <t xml:space="preserve">Funeral Insurance With No Medical Exam: How to Qualify and What It Costs</t>
  </si>
  <si>
    <t xml:space="preserve">Life Insurance for New Parents in Canada: How Much, What Type and When to Buy</t>
  </si>
  <si>
    <t xml:space="preserve">Funding a Buy-Sell Agreement With Life Insurance: A Guide for Canadian Business Owners</t>
  </si>
  <si>
    <t xml:space="preserve">Life Insurance After a Heart Attack or With Heart Disease in Canada</t>
  </si>
  <si>
    <t xml:space="preserve">How Life Insurance Companies Check Your Medical History in Canada</t>
  </si>
  <si>
    <t xml:space="preserve">Life Insurance Broker vs Agent vs Bank vs Online: Where Should You Buy?</t>
  </si>
  <si>
    <t xml:space="preserve">How to Choose a Life Insurance Company in Canada: What Actually Matters</t>
  </si>
  <si>
    <t xml:space="preserve">Is Group Life Insurance Enough? Work Coverage, Top-Ups and What Happens When You Leave</t>
  </si>
  <si>
    <t xml:space="preserve">How Much Critical Illness Insurance Do I Need?</t>
  </si>
  <si>
    <t xml:space="preserve">Is Children's Life Insurance Worth It? Pros, Cons and Alternatives in Canada</t>
  </si>
  <si>
    <t xml:space="preserve">Life Insurance for Stay-at-Home Parents: What Their Work Is Worth</t>
  </si>
  <si>
    <t xml:space="preserve">Health Insurance for Early Retirees: Bridging the Gap Before 65</t>
  </si>
  <si>
    <t xml:space="preserve">Guaranteed-Issue vs Underwritten Health Insurance: Pre-Existing Conditions Explained</t>
  </si>
  <si>
    <t xml:space="preserve">Joint vs Individual Life Insurance: What Couples Should Choose</t>
  </si>
  <si>
    <t xml:space="preserve">Life Insurance With Depression or Anxiety in Canada: How Mental Health Is Underwritten</t>
  </si>
  <si>
    <t xml:space="preserve">How to Convert Term Life Insurance to Permanent in Canada</t>
  </si>
  <si>
    <t xml:space="preserve">12 Life Insurance Myths Canadians Still Believe (and the Facts)</t>
  </si>
  <si>
    <t xml:space="preserve">Funeral Insurance Waiting Periods: How the Two-Year Rule Works</t>
  </si>
  <si>
    <t xml:space="preserve">Life Insurance for Young Adults: Should You Buy in Your 20s?</t>
  </si>
  <si>
    <t xml:space="preserve">Joint Last-to-Die Life Insurance: How Couples Cover Estate Taxes</t>
  </si>
  <si>
    <t xml:space="preserve">Joint Mortgage Life Insurance: What Couples Need to Know Before They Sign</t>
  </si>
  <si>
    <t xml:space="preserve">Life Insurance Rating Classes Explained: Preferred, Standard and Rated</t>
  </si>
  <si>
    <t xml:space="preserve">Priority (1 = do first)</t>
  </si>
  <si>
    <t xml:space="preserve">Traffic rank (of 54)</t>
  </si>
  <si>
    <t xml:space="preserve">Monthly searches (modelled)</t>
  </si>
  <si>
    <t xml:space="preserve">Primary keyword</t>
  </si>
  <si>
    <t xml:space="preserve">mortgage insurance canada</t>
  </si>
  <si>
    <t xml:space="preserve">what is term life insurance</t>
  </si>
  <si>
    <t xml:space="preserve">how does life insurance work</t>
  </si>
  <si>
    <t xml:space="preserve">types of life insurance canada</t>
  </si>
  <si>
    <t xml:space="preserve">is life insurance worth it</t>
  </si>
  <si>
    <t xml:space="preserve">whole life insurance cost</t>
  </si>
  <si>
    <t xml:space="preserve">instant life insurance canada</t>
  </si>
  <si>
    <t xml:space="preserve">health insurance after losing job canada</t>
  </si>
  <si>
    <t xml:space="preserve">declined for life insurance</t>
  </si>
  <si>
    <t xml:space="preserve">is critical illness insurance worth it</t>
  </si>
  <si>
    <t xml:space="preserve">family life insurance</t>
  </si>
  <si>
    <t xml:space="preserve">life insurance with pre existing conditions</t>
  </si>
  <si>
    <t xml:space="preserve">life insurance medical exam</t>
  </si>
  <si>
    <t xml:space="preserve">term 100 life insurance</t>
  </si>
  <si>
    <t xml:space="preserve">20 year term life insurance</t>
  </si>
  <si>
    <t xml:space="preserve">funeral insurance for seniors</t>
  </si>
  <si>
    <t xml:space="preserve">life insurance beneficiary canada</t>
  </si>
  <si>
    <t xml:space="preserve">life insurance over 70</t>
  </si>
  <si>
    <t xml:space="preserve">life insurance over 50</t>
  </si>
  <si>
    <t xml:space="preserve">what happens when term life insurance expires</t>
  </si>
  <si>
    <t xml:space="preserve">whole life vs universal life insurance</t>
  </si>
  <si>
    <t xml:space="preserve">how to claim life insurance canada</t>
  </si>
  <si>
    <t xml:space="preserve">life insurance riders</t>
  </si>
  <si>
    <t xml:space="preserve">what does life insurance not cover</t>
  </si>
  <si>
    <t xml:space="preserve">life insurance for diabetics</t>
  </si>
  <si>
    <t xml:space="preserve">participating whole life insurance</t>
  </si>
  <si>
    <t xml:space="preserve">what affects life insurance rates</t>
  </si>
  <si>
    <t xml:space="preserve">life insurance after cancer</t>
  </si>
  <si>
    <t xml:space="preserve">buy term and invest the difference</t>
  </si>
  <si>
    <t xml:space="preserve">life insurance for estate planning canada</t>
  </si>
  <si>
    <t xml:space="preserve">decreasing term life insurance</t>
  </si>
  <si>
    <t xml:space="preserve">how does universal life insurance work</t>
  </si>
  <si>
    <t xml:space="preserve">funeral insurance no medical</t>
  </si>
  <si>
    <t xml:space="preserve">life insurance for new parents</t>
  </si>
  <si>
    <t xml:space="preserve">buy sell agreement life insurance</t>
  </si>
  <si>
    <t xml:space="preserve">life insurance after heart attack</t>
  </si>
  <si>
    <t xml:space="preserve">how do life insurance companies check medical history</t>
  </si>
  <si>
    <t xml:space="preserve">life insurance broker vs agent</t>
  </si>
  <si>
    <t xml:space="preserve">how to choose a life insurance company</t>
  </si>
  <si>
    <t xml:space="preserve">is group life insurance enough</t>
  </si>
  <si>
    <t xml:space="preserve">how much critical illness insurance do i need</t>
  </si>
  <si>
    <t xml:space="preserve">is children's life insurance worth it</t>
  </si>
  <si>
    <t xml:space="preserve">life insurance for stay at home parent</t>
  </si>
  <si>
    <t xml:space="preserve">health insurance for early retirees canada</t>
  </si>
  <si>
    <t xml:space="preserve">guaranteed issue health insurance</t>
  </si>
  <si>
    <t xml:space="preserve">joint vs individual life insurance</t>
  </si>
  <si>
    <t xml:space="preserve">life insurance with depression</t>
  </si>
  <si>
    <t xml:space="preserve">convert term life insurance to permanent</t>
  </si>
  <si>
    <t xml:space="preserve">life insurance myths</t>
  </si>
  <si>
    <t xml:space="preserve">funeral insurance waiting period</t>
  </si>
  <si>
    <t xml:space="preserve">life insurance for young adults</t>
  </si>
  <si>
    <t xml:space="preserve">joint last to die life insurance</t>
  </si>
  <si>
    <t xml:space="preserve">joint mortgage life insurance</t>
  </si>
  <si>
    <t xml:space="preserve">life insurance rating classes</t>
  </si>
  <si>
    <t xml:space="preserve">SEO title tag</t>
  </si>
  <si>
    <t xml:space="preserve">Mortgage Insurance in Canada: CMHC vs Mortgage Life Cover</t>
  </si>
  <si>
    <t xml:space="preserve">What Is Term Life Insurance? How It Works in Canada</t>
  </si>
  <si>
    <t xml:space="preserve">How Does Life Insurance Work in Canada? A Simple Guide</t>
  </si>
  <si>
    <t xml:space="preserve">Types of Life Insurance in Canada: Every Option Explained</t>
  </si>
  <si>
    <t xml:space="preserve">Is Life Insurance Worth It in Canada? A Plain Answer</t>
  </si>
  <si>
    <t xml:space="preserve">Whole Life Insurance Cost in Canada: Example Premiums</t>
  </si>
  <si>
    <t xml:space="preserve">Instant Life Insurance in Canada: Online Options Compared</t>
  </si>
  <si>
    <t xml:space="preserve">Health Insurance After Losing Your Job in Canada</t>
  </si>
  <si>
    <t xml:space="preserve">Declined for Life Insurance? What to Do Next (Canada)</t>
  </si>
  <si>
    <t xml:space="preserve">Is Critical Illness Insurance Worth It? Canada Guide</t>
  </si>
  <si>
    <t xml:space="preserve">Family Life Insurance in Canada: How to Cover Everyone</t>
  </si>
  <si>
    <t xml:space="preserve">Life Insurance With Pre-Existing Conditions in Canada</t>
  </si>
  <si>
    <t xml:space="preserve">Life Insurance Medical Exam: What to Expect in Canada</t>
  </si>
  <si>
    <t xml:space="preserve">Term 100 Life Insurance in Canada: How It Works</t>
  </si>
  <si>
    <t xml:space="preserve">20 Year Term Life Insurance vs 10 and 30-Year Terms</t>
  </si>
  <si>
    <t xml:space="preserve">Funeral Insurance for Seniors in Canada: Options by Age</t>
  </si>
  <si>
    <t xml:space="preserve">Choosing a Life Insurance Beneficiary in Canada</t>
  </si>
  <si>
    <t xml:space="preserve">Life Insurance Over 70 in Canada: Options and Age Limits</t>
  </si>
  <si>
    <t xml:space="preserve">Life Insurance Over 50 in Canada: Costs and Options</t>
  </si>
  <si>
    <t xml:space="preserve">What Happens When Term Life Insurance Expires?</t>
  </si>
  <si>
    <t xml:space="preserve">Whole Life vs Universal Life Insurance in Canada</t>
  </si>
  <si>
    <t xml:space="preserve">How to Claim Life Insurance in Canada: Step by Step</t>
  </si>
  <si>
    <t xml:space="preserve">Life Insurance Riders in Canada: What Each Add-On Does</t>
  </si>
  <si>
    <t xml:space="preserve">What Does Life Insurance Not Cover? Canadian Exclusions</t>
  </si>
  <si>
    <t xml:space="preserve">Life Insurance for Diabetics in Canada: Type 1 and 2</t>
  </si>
  <si>
    <t xml:space="preserve">Participating Whole Life Insurance and Cash Value</t>
  </si>
  <si>
    <t xml:space="preserve">What Affects Life Insurance Rates in Canada? Key Factors</t>
  </si>
  <si>
    <t xml:space="preserve">Life Insurance After Cancer in Canada: Options by Stage</t>
  </si>
  <si>
    <t xml:space="preserve">Buy Term and Invest the Difference in Canada: Does It Work?</t>
  </si>
  <si>
    <t xml:space="preserve">Life Insurance for Estate Planning in Canada: A Guide</t>
  </si>
  <si>
    <t xml:space="preserve">Decreasing Term Life Insurance vs Level Term (Canada)</t>
  </si>
  <si>
    <t xml:space="preserve">Funeral Insurance With No Medical Exam: How to Qualify</t>
  </si>
  <si>
    <t xml:space="preserve">Life Insurance for New Parents in Canada: A Clear Plan</t>
  </si>
  <si>
    <t xml:space="preserve">Buy-Sell Agreement Life Insurance: Owner's Guide (Canada)</t>
  </si>
  <si>
    <t xml:space="preserve">Life Insurance After a Heart Attack in Canada: Options</t>
  </si>
  <si>
    <t xml:space="preserve">How Life Insurance Companies Check Your Medical History</t>
  </si>
  <si>
    <t xml:space="preserve">Life Insurance Broker vs Agent vs Bank: Where to Buy</t>
  </si>
  <si>
    <t xml:space="preserve">How to Choose a Life Insurance Company in Canada</t>
  </si>
  <si>
    <t xml:space="preserve">Is Group Life Insurance Enough? Work Cover vs Your Own</t>
  </si>
  <si>
    <t xml:space="preserve">Is Children's Life Insurance Worth It? Pros and Cons</t>
  </si>
  <si>
    <t xml:space="preserve">Life Insurance for Stay-at-Home Parents in Canada</t>
  </si>
  <si>
    <t xml:space="preserve">Health Insurance for Early Retirees in Canada (Under 65)</t>
  </si>
  <si>
    <t xml:space="preserve">Guaranteed Issue Health Insurance vs Underwritten</t>
  </si>
  <si>
    <t xml:space="preserve">Joint vs Individual Life Insurance for Couples (Canada)</t>
  </si>
  <si>
    <t xml:space="preserve">Life Insurance With Depression or Anxiety in Canada</t>
  </si>
  <si>
    <t xml:space="preserve">Convert Term Life Insurance to Permanent: How It Works</t>
  </si>
  <si>
    <t xml:space="preserve">12 Life Insurance Myths Canadians Still Believe</t>
  </si>
  <si>
    <t xml:space="preserve">Funeral Insurance Waiting Periods: The Two-Year Rule</t>
  </si>
  <si>
    <t xml:space="preserve">Joint Last-to-Die Life Insurance: Estate Tax Guide</t>
  </si>
  <si>
    <t xml:space="preserve">Joint Mortgage Life Insurance: A Guide for Couples</t>
  </si>
  <si>
    <t xml:space="preserve">Life Insurance Rating Classes: Preferred to Rated</t>
  </si>
  <si>
    <t xml:space="preserve">Title length (target 45–60)</t>
  </si>
  <si>
    <t xml:space="preserve">Meta description</t>
  </si>
  <si>
    <t xml:space="preserve">Mortgage insurance in Canada explained: CMHC default insurance vs mortgage life insurance, who each protects, what is mandatory and when term life fits.</t>
  </si>
  <si>
    <t xml:space="preserve">What is term life insurance? How 10, 20 and 30-year terms work in Canada, what drives the price, renewal and conversion, pros and cons, and who it suits.</t>
  </si>
  <si>
    <t xml:space="preserve">How does life insurance work in Canada? Premiums, death benefits, beneficiaries, term vs permanent, how insurers price risk, taxes and how a claim gets paid.</t>
  </si>
  <si>
    <t xml:space="preserve">Types of life insurance in Canada: term, term to 100, whole, universal, no-medical, joint, group and creditor cover, with a comparison table and tips.</t>
  </si>
  <si>
    <t xml:space="preserve">Is life insurance worth it in Canada? Who usually needs it, who may not, what to check before cancelling, cheaper ways to stay covered and a self-test.</t>
  </si>
  <si>
    <t xml:space="preserve">Whole life insurance cost in Canada: example premiums by age and amount, lifetime vs 20-pay, par vs non-par, and ways to make permanent cover affordable.</t>
  </si>
  <si>
    <t xml:space="preserve">Instant life insurance in Canada: how online approval works, issue ages and maximums, the health questions, when instant costs more and how to apply safely.</t>
  </si>
  <si>
    <t xml:space="preserve">Health insurance after losing your job in Canada: how long group benefits last, no-medical conversion plans, new plan costs, a spouse's plan and a checklist.</t>
  </si>
  <si>
    <t xml:space="preserve">Declined for life insurance in Canada? What declined, postponed and rated mean, how to get the reason, the MIB, reapplying and no-medical options.</t>
  </si>
  <si>
    <t xml:space="preserve">Is critical illness insurance worth it in Canada? Costs health plans don't pay, who benefits most, when to skip it and a five-question decision test.</t>
  </si>
  <si>
    <t xml:space="preserve">Family life insurance in Canada: why one policy rarely covers everyone, options for parents, couples and children, a comparison table and how to buy.</t>
  </si>
  <si>
    <t xml:space="preserve">Life insurance with pre-existing conditions in Canada: how underwriters assess health issues, why disclosure matters, no-medical options and better odds.</t>
  </si>
  <si>
    <t xml:space="preserve">Life insurance medical exam in Canada: what the paramedical exam involves, blood and urine tests, doctor reports, underwriting time and how to prepare.</t>
  </si>
  <si>
    <t xml:space="preserve">Term 100 life insurance in Canada: lifetime cover, level premiums and no cash value. How it compares with whole and universal life, what it costs, who it suits.</t>
  </si>
  <si>
    <t xml:space="preserve">20 year term life insurance vs 10 and 30-year terms in Canada: price differences, matching your mortgage and kids, laddering and a term length decision table.</t>
  </si>
  <si>
    <t xml:space="preserve">Funeral insurance for seniors in Canada: options at 60, 70 and 80, simplified vs guaranteed issue, labelled cost estimates by age and replacing group life.</t>
  </si>
  <si>
    <t xml:space="preserve">Choosing a life insurance beneficiary in Canada: revocable vs irrevocable, minor children, contingent and multiple beneficiaries, your estate and Quebec rules.</t>
  </si>
  <si>
    <t xml:space="preserve">Life insurance over 70 in Canada: policies you can still buy, age limits at 75, 80 and 85, no-medical and guaranteed issue options, costs and if it's worth it.</t>
  </si>
  <si>
    <t xml:space="preserve">Life insurance over 50 in Canada: example rates by age and amount, term vs permanent, no-medical options, health factors after 50 and how much cover you need.</t>
  </si>
  <si>
    <t xml:space="preserve">What happens when term life insurance expires in Canada: renewal rates, converting to permanent without a medical, buying a new policy or letting it lapse.</t>
  </si>
  <si>
    <t xml:space="preserve">Whole life vs universal life insurance in Canada: guarantees, cash value, investment options, level vs YRT cost of insurance, tax rules and who each one suits.</t>
  </si>
  <si>
    <t xml:space="preserve">How to claim life insurance in Canada: find the policy, gather documents, submit forms, typical payout times, the two-year rule and denied claims.</t>
  </si>
  <si>
    <t xml:space="preserve">Life insurance riders in Canada: waiver of premium, child term, guaranteed insurability, critical illness and accidental death, with costs and who each suits.</t>
  </si>
  <si>
    <t xml:space="preserve">What life insurance does not cover in Canada: the suicide clause, the two-year contestability rule, misrepresentation, lapses, accidental death limits.</t>
  </si>
  <si>
    <t xml:space="preserve">Life insurance for diabetics in Canada: how type 1 or 2, A1C, age at diagnosis and complications affect rates, no-medical options and an application checklist.</t>
  </si>
  <si>
    <t xml:space="preserve">Participating whole life insurance in Canada: how dividends and cash value grow, surrender value, policy loans, paid-up additions and when a par policy fits.</t>
  </si>
  <si>
    <t xml:space="preserve">What affects life insurance rates in Canada: age, sex, health, smoking, family history, job, hobbies, driving record, amount and term, and how quotes work.</t>
  </si>
  <si>
    <t xml:space="preserve">Life insurance after cancer in Canada: how type, stage and time since treatment affect approval, typical waiting periods, no-medical options and records.</t>
  </si>
  <si>
    <t xml:space="preserve">Buy term and invest the difference, or whole life? A worked Canadian TFSA example, the discipline risk, taxes and the cases where permanent cover wins.</t>
  </si>
  <si>
    <t xml:space="preserve">Life insurance for estate planning in Canada: covering tax on capital gains at death, keeping the cottage, equalising inheritances, charity and probate.</t>
  </si>
  <si>
    <t xml:space="preserve">Decreasing term life insurance vs level term in Canada: how each works, the cost over a 25-year mortgage, where lender insurance fits and which to choose.</t>
  </si>
  <si>
    <t xml:space="preserve">How universal life insurance works in Canada: cost of insurance, the investment account, flexible deposits, tax-exempt growth, the risks and how to buy.</t>
  </si>
  <si>
    <t xml:space="preserve">Funeral insurance with no medical exam in Canada: the health questions simplified plans ask, when guaranteed acceptance fits and how health changes cost.</t>
  </si>
  <si>
    <t xml:space="preserve">Life insurance for new parents in Canada: how much cover a family with a baby needs, insuring a stay-at-home parent, parental leave and a checklist.</t>
  </si>
  <si>
    <t xml:space="preserve">Buy-sell agreement life insurance in Canada: funding a partner buyout, cross-purchase vs corporate-owned policies, the capital dividend account and sizing.</t>
  </si>
  <si>
    <t xml:space="preserve">Life insurance after a heart attack in Canada: waiting times, stents and bypass, the tests underwriters ask for and no-medical options while you recover.</t>
  </si>
  <si>
    <t xml:space="preserve">How life insurance companies check your medical history in Canada: health questions, the MIB, doctor reports, prescriptions, exams and the two-year rule.</t>
  </si>
  <si>
    <t xml:space="preserve">Life insurance broker vs agent vs bank vs online in Canada: insurer choice, advice, underwriting help, how each is paid and the questions to ask before you buy.</t>
  </si>
  <si>
    <t xml:space="preserve">How to choose a life insurance company in Canada: financial strength, claims practices, Assuris protection, complaint records, products and service.</t>
  </si>
  <si>
    <t xml:space="preserve">Is group life insurance enough in Canada? What work plans pay, optional top-ups, what happens when you leave or are laid off, conversion and sizing.</t>
  </si>
  <si>
    <t xml:space="preserve">How much critical illness insurance do you need in Canada? A three-step worksheet for income, uncovered costs and debts, plus term choices and group cover.</t>
  </si>
  <si>
    <t xml:space="preserve">Is children's life insurance worth it in Canada? What it covers, the case for and against, child riders and RESPs as alternatives, and grandparent policies.</t>
  </si>
  <si>
    <t xml:space="preserve">Life insurance for stay-at-home parents in Canada: what unpaid work costs to replace, how much cover to buy, term vs permanent and what it costs.</t>
  </si>
  <si>
    <t xml:space="preserve">Health insurance for early retirees in Canada: retiree benefits, converting a group plan, plan costs from 55 to 64, drug coverage before 65 and travel cover.</t>
  </si>
  <si>
    <t xml:space="preserve">Guaranteed issue health insurance vs underwritten plans in Canada: pre-existing conditions, drug coverage limits, conversion plans and how to choose.</t>
  </si>
  <si>
    <t xml:space="preserve">Joint vs individual life insurance for Canadian couples: first-to-die vs last-to-die, cost, the single payout, separation and a couple's decision guide.</t>
  </si>
  <si>
    <t xml:space="preserve">Life insurance with depression or anxiety in Canada: what underwriters ask, how severity, medication and time off work count, and how to apply with confidence.</t>
  </si>
  <si>
    <t xml:space="preserve">How to convert term life insurance to permanent in Canada: conversion deadlines, no-medical eligibility, which plans qualify and what the new premium costs.</t>
  </si>
  <si>
    <t xml:space="preserve">Twelve life insurance myths debunked for Canadians: cost, medical exams, group cover, stay-at-home parents, age, health, investing and salary rules.</t>
  </si>
  <si>
    <t xml:space="preserve">Funeral insurance waiting periods in Canada: how the two-year rule and graded benefits work, accidental death cover and how to avoid a waiting period.</t>
  </si>
  <si>
    <t xml:space="preserve">Life insurance for young adults in Canada: when buying in your 20s makes sense, locking in rates and insurability, what it costs, and when you can safely wait.</t>
  </si>
  <si>
    <t xml:space="preserve">Joint last-to-die life insurance in Canada: how it pays at the second death, covering the tax on a cottage or RRIF, cost vs two policies and who it suits.</t>
  </si>
  <si>
    <t xml:space="preserve">Joint mortgage life insurance in Canada pays once: what that means for the surviving partner, separation and refinancing, and how two term policies compare.</t>
  </si>
  <si>
    <t xml:space="preserve">Life insurance rating classes in Canada: preferred plus, preferred, standard and table ratings, how BMI, blood pressure and family history count, and cost.</t>
  </si>
  <si>
    <t xml:space="preserve">Meta length (target 140–160)</t>
  </si>
  <si>
    <t xml:space="preserve">URL</t>
  </si>
  <si>
    <t xml:space="preserve">https://instasure.ca/guides/mortgage-insurance-canada-explained/</t>
  </si>
  <si>
    <t xml:space="preserve">https://instasure.ca/guides/what-is-term-life-insurance-canada/</t>
  </si>
  <si>
    <t xml:space="preserve">https://instasure.ca/guides/how-does-life-insurance-work-canada/</t>
  </si>
  <si>
    <t xml:space="preserve">https://instasure.ca/guides/types-of-life-insurance-canada/</t>
  </si>
  <si>
    <t xml:space="preserve">https://instasure.ca/guides/is-life-insurance-worth-it-canada/</t>
  </si>
  <si>
    <t xml:space="preserve">https://instasure.ca/guides/whole-life-insurance-cost-canada/</t>
  </si>
  <si>
    <t xml:space="preserve">https://instasure.ca/guides/instant-life-insurance-canada/</t>
  </si>
  <si>
    <t xml:space="preserve">https://instasure.ca/guides/health-insurance-after-losing-job/</t>
  </si>
  <si>
    <t xml:space="preserve">https://instasure.ca/guides/declined-for-life-insurance-what-next/</t>
  </si>
  <si>
    <t xml:space="preserve">https://instasure.ca/guides/is-critical-illness-insurance-worth-it/</t>
  </si>
  <si>
    <t xml:space="preserve">https://instasure.ca/guides/family-life-insurance-canada/</t>
  </si>
  <si>
    <t xml:space="preserve">https://instasure.ca/guides/life-insurance-pre-existing-conditions-canada/</t>
  </si>
  <si>
    <t xml:space="preserve">https://instasure.ca/guides/life-insurance-medical-exam-application/</t>
  </si>
  <si>
    <t xml:space="preserve">https://instasure.ca/guides/term-100-life-insurance-canada/</t>
  </si>
  <si>
    <t xml:space="preserve">https://instasure.ca/guides/10-20-30-year-term-life-insurance/</t>
  </si>
  <si>
    <t xml:space="preserve">https://instasure.ca/guides/funeral-insurance-for-seniors-canada/</t>
  </si>
  <si>
    <t xml:space="preserve">https://instasure.ca/guides/life-insurance-beneficiary-canada/</t>
  </si>
  <si>
    <t xml:space="preserve">https://instasure.ca/guides/life-insurance-over-70-canada/</t>
  </si>
  <si>
    <t xml:space="preserve">https://instasure.ca/guides/life-insurance-over-50-canada/</t>
  </si>
  <si>
    <t xml:space="preserve">https://instasure.ca/guides/what-happens-when-term-life-insurance-expires/</t>
  </si>
  <si>
    <t xml:space="preserve">https://instasure.ca/guides/whole-life-vs-universal-life-insurance/</t>
  </si>
  <si>
    <t xml:space="preserve">https://instasure.ca/guides/how-to-make-a-life-insurance-claim-canada/</t>
  </si>
  <si>
    <t xml:space="preserve">https://instasure.ca/guides/life-insurance-riders-canada/</t>
  </si>
  <si>
    <t xml:space="preserve">https://instasure.ca/guides/what-does-life-insurance-not-cover/</t>
  </si>
  <si>
    <t xml:space="preserve">https://instasure.ca/guides/life-insurance-with-diabetes-canada/</t>
  </si>
  <si>
    <t xml:space="preserve">https://instasure.ca/guides/participating-whole-life-insurance-cash-value/</t>
  </si>
  <si>
    <t xml:space="preserve">https://instasure.ca/guides/what-affects-life-insurance-rates/</t>
  </si>
  <si>
    <t xml:space="preserve">https://instasure.ca/guides/life-insurance-after-cancer-canada/</t>
  </si>
  <si>
    <t xml:space="preserve">https://instasure.ca/guides/buy-term-and-invest-the-difference-canada/</t>
  </si>
  <si>
    <t xml:space="preserve">https://instasure.ca/guides/life-insurance-estate-planning-canada/</t>
  </si>
  <si>
    <t xml:space="preserve">https://instasure.ca/guides/decreasing-term-vs-level-term-life-insurance/</t>
  </si>
  <si>
    <t xml:space="preserve">https://instasure.ca/guides/how-universal-life-insurance-works/</t>
  </si>
  <si>
    <t xml:space="preserve">https://instasure.ca/guides/funeral-insurance-no-medical-exam/</t>
  </si>
  <si>
    <t xml:space="preserve">https://instasure.ca/guides/life-insurance-for-new-parents-canada/</t>
  </si>
  <si>
    <t xml:space="preserve">https://instasure.ca/guides/buy-sell-agreement-life-insurance-canada/</t>
  </si>
  <si>
    <t xml:space="preserve">https://instasure.ca/guides/life-insurance-after-heart-attack-canada/</t>
  </si>
  <si>
    <t xml:space="preserve">https://instasure.ca/guides/how-life-insurance-companies-check-medical-history/</t>
  </si>
  <si>
    <t xml:space="preserve">https://instasure.ca/guides/life-insurance-broker-vs-agent-vs-bank/</t>
  </si>
  <si>
    <t xml:space="preserve">https://instasure.ca/guides/how-to-choose-a-life-insurance-company/</t>
  </si>
  <si>
    <t xml:space="preserve">https://instasure.ca/guides/is-group-life-insurance-enough/</t>
  </si>
  <si>
    <t xml:space="preserve">https://instasure.ca/guides/how-much-critical-illness-insurance-do-i-need/</t>
  </si>
  <si>
    <t xml:space="preserve">https://instasure.ca/guides/is-childrens-life-insurance-worth-it/</t>
  </si>
  <si>
    <t xml:space="preserve">https://instasure.ca/guides/life-insurance-for-stay-at-home-parents/</t>
  </si>
  <si>
    <t xml:space="preserve">https://instasure.ca/guides/health-insurance-for-early-retirees/</t>
  </si>
  <si>
    <t xml:space="preserve">https://instasure.ca/guides/guaranteed-issue-vs-underwritten-health-insurance/</t>
  </si>
  <si>
    <t xml:space="preserve">https://instasure.ca/guides/joint-life-insurance-vs-two-policies/</t>
  </si>
  <si>
    <t xml:space="preserve">https://instasure.ca/guides/life-insurance-depression-anxiety-canada/</t>
  </si>
  <si>
    <t xml:space="preserve">https://instasure.ca/guides/convert-term-life-insurance-to-permanent/</t>
  </si>
  <si>
    <t xml:space="preserve">https://instasure.ca/guides/life-insurance-myths-canada/</t>
  </si>
  <si>
    <t xml:space="preserve">https://instasure.ca/guides/funeral-insurance-waiting-period/</t>
  </si>
  <si>
    <t xml:space="preserve">https://instasure.ca/guides/life-insurance-for-young-adults-canada/</t>
  </si>
  <si>
    <t xml:space="preserve">https://instasure.ca/guides/joint-last-to-die-life-insurance/</t>
  </si>
  <si>
    <t xml:space="preserve">https://instasure.ca/guides/joint-mortgage-life-insurance/</t>
  </si>
  <si>
    <t xml:space="preserve">https://instasure.ca/guides/life-insurance-rating-classes-canada/</t>
  </si>
  <si>
    <t xml:space="preserve">Secondary keywords (H2s, FAQ, body)</t>
  </si>
  <si>
    <t xml:space="preserve">cmhc insurance vs mortgage life insurance, is mortgage life insurance mandatory, mortgage protection insurance, mortgage default insurance, mortgage loan insurance</t>
  </si>
  <si>
    <t xml:space="preserve">how does term life insurance work, term life insurance canada, types of term life insurance, term life insurance pros and cons, yearly renewable term</t>
  </si>
  <si>
    <t xml:space="preserve">how does life insurance work in canada, life insurance explained, what is life insurance, how do life insurance payouts work, life insurance basics</t>
  </si>
  <si>
    <t xml:space="preserve">different types of life insurance, term vs permanent life insurance, term to 100 life insurance, what is permanent life insurance, variable life insurance canada</t>
  </si>
  <si>
    <t xml:space="preserve">do i need life insurance, who needs life insurance, life insurance for single people, do i need life insurance if i have no kids, should i cancel life insurance</t>
  </si>
  <si>
    <t xml:space="preserve">whole life insurance rates canada, limited pay whole life insurance, 20 pay whole life cost, whole life insurance cost by age, permanent life insurance cost</t>
  </si>
  <si>
    <t xml:space="preserve">buy life insurance online, instant approval life insurance, same day life insurance canada, online term life insurance canada, life insurance without meeting an advisor</t>
  </si>
  <si>
    <t xml:space="preserve">health insurance between jobs canada, group benefits conversion plan, what happens to benefits when laid off, continue health insurance after leaving job, individual health plan no medical</t>
  </si>
  <si>
    <t xml:space="preserve">denied life insurance canada, life insurance postponed, reapply after life insurance decline, high risk life insurance, anonymous pre-underwriting</t>
  </si>
  <si>
    <t xml:space="preserve">what is critical illness insurance, should i get critical illness insurance, critical illness insurance pros and cons, do i need critical illness insurance, critical illness insurance with group benefits</t>
  </si>
  <si>
    <t xml:space="preserve">family life insurance canada, life insurance for the whole family, life insurance for parents and children, family life insurance plan, life insurance for young families</t>
  </si>
  <si>
    <t xml:space="preserve">life insurance with health issues, how to get life insurance with health problems, high risk life insurance canada, life insurance for chronic illness, no medical life insurance pre existing conditions</t>
  </si>
  <si>
    <t xml:space="preserve">what is asked on a life insurance application, paramedical exam, life insurance blood test, attending physician statement, how long does life insurance underwriting take</t>
  </si>
  <si>
    <t xml:space="preserve">term to 100 life insurance, term 100 vs whole life, term 100 cost, permanent life insurance without cash value, term 100 canada</t>
  </si>
  <si>
    <t xml:space="preserve">10 year term life insurance, 30 year term life insurance, how long should term life insurance be, term length for mortgage, term to 65</t>
  </si>
  <si>
    <t xml:space="preserve">funeral insurance over 70, funeral insurance over 80, final expense insurance for seniors, burial insurance for seniors, life insurance for seniors over 75</t>
  </si>
  <si>
    <t xml:space="preserve">revocable vs irrevocable beneficiary, minor child beneficiary life insurance, contingent beneficiary, multiple beneficiaries life insurance, naming estate as beneficiary</t>
  </si>
  <si>
    <t xml:space="preserve">life insurance age limit canada, life insurance over 75, life insurance for seniors over 80, is life insurance worth it after 70, guaranteed issue life insurance for seniors</t>
  </si>
  <si>
    <t xml:space="preserve">life insurance cost for 50 year old, term life insurance over 50, no medical life insurance at 50, life insurance for 55 year old, life insurance at 60 canada</t>
  </si>
  <si>
    <t xml:space="preserve">term life insurance renewal, convert term life to whole life, term conversion deadline, renewable term life insurance canada, end of term life insurance</t>
  </si>
  <si>
    <t xml:space="preserve">universal life insurance canada, universal life insurance pros and cons, level vs yrt cost of insurance, is universal life insurance worth it, variable life insurance canada</t>
  </si>
  <si>
    <t xml:space="preserve">life insurance claim process, how long does a life insurance payout take, life insurance claim documents, why life insurance claims are denied, life insurance contestability period</t>
  </si>
  <si>
    <t xml:space="preserve">waiver of premium rider, child term rider, guaranteed insurability rider, critical illness rider vs standalone, accidental death benefit rider</t>
  </si>
  <si>
    <t xml:space="preserve">life insurance exclusions canada, life insurance suicide clause canada, life insurance contestability period, does life insurance cover overdose, life insurance fine print</t>
  </si>
  <si>
    <t xml:space="preserve">life insurance type 2 diabetes canada, life insurance type 1 diabetes, insulin dependent life insurance, a1c life insurance, no medical life insurance diabetes</t>
  </si>
  <si>
    <t xml:space="preserve">cash value life insurance canada, cash surrender value, whole life dividends, paid-up additions, par vs non-par whole life, life insurance as savings</t>
  </si>
  <si>
    <t xml:space="preserve">how are life insurance quotes calculated, life insurance rates canada, factors affecting life insurance premiums, why are life insurance quotes different, how to lower life insurance premiums</t>
  </si>
  <si>
    <t xml:space="preserve">life insurance for cancer survivors canada, life insurance with cancer, life insurance in remission, stage 4 cancer life insurance, guaranteed issue after cancer</t>
  </si>
  <si>
    <t xml:space="preserve">is whole life insurance a good investment, term vs whole life investment, life insurance as an investment canada, whole life vs tfsa, cash value vs investing</t>
  </si>
  <si>
    <t xml:space="preserve">deemed disposition at death canada, capital gains tax on cottage at death, life insurance for inheritance, best way to leave money to family, life insurance probate</t>
  </si>
  <si>
    <t xml:space="preserve">decreasing term life insurance canada, level term life insurance, increasing term life insurance, mortgage term life insurance, reducing term insurance</t>
  </si>
  <si>
    <t xml:space="preserve">universal life insurance explained, universal life insurance tax, universal life cash value, universal life insurance canada, what is universal life insurance</t>
  </si>
  <si>
    <t xml:space="preserve">no medical funeral insurance, final expense insurance no medical exam, guaranteed acceptance funeral insurance, simplified issue funeral insurance, funeral insurance with health conditions</t>
  </si>
  <si>
    <t xml:space="preserve">life insurance for young parents, life insurance after having a baby, how much life insurance with kids, life insurance during parental leave, life insurance for young families</t>
  </si>
  <si>
    <t xml:space="preserve">shareholder agreement life insurance, business partner life insurance, cross-purchase vs corporate redemption, capital dividend account life insurance, joint first to die business partners</t>
  </si>
  <si>
    <t xml:space="preserve">life insurance heart disease canada, life insurance with a heart condition, life insurance after stent, life insurance after bypass surgery, atrial fibrillation life insurance</t>
  </si>
  <si>
    <t xml:space="preserve">mib life insurance canada, attending physician statement, life insurance medical records, can life insurance see my medical records, life insurance misrepresentation</t>
  </si>
  <si>
    <t xml:space="preserve">independent life insurance broker canada, captive agent vs broker, buying life insurance from your bank, buy life insurance online vs advisor, how are life insurance advisors paid</t>
  </si>
  <si>
    <t xml:space="preserve">most reputable life insurance companies canada, life insurance company ratings, assuris protection, life insurance claim settlement ratio canada, can i trust online insurance reviews</t>
  </si>
  <si>
    <t xml:space="preserve">group life insurance vs individual, group life insurance conversion, life insurance when you leave your job, optional group life top up, employer life insurance canada</t>
  </si>
  <si>
    <t xml:space="preserve">critical illness insurance calculator, critical illness coverage amount, critical illness insurance term length, term 10 vs term 100 critical illness, critical illness insurance canada</t>
  </si>
  <si>
    <t xml:space="preserve">children's life insurance, life insurance for kids canada, child term rider, whole life for children, grandparent buying life insurance for grandchild</t>
  </si>
  <si>
    <t xml:space="preserve">stay at home mom life insurance, stay at home dad life insurance, life insurance for non working spouse, spousal life insurance canada, how much life insurance for a stay at home mom</t>
  </si>
  <si>
    <t xml:space="preserve">retiree health benefits canada, health insurance after retirement before 65, retiree health and dental plan, post retirement health insurance, health insurance for retirees canada</t>
  </si>
  <si>
    <t xml:space="preserve">health insurance pre existing conditions canada, no medical health insurance canada, guaranteed approval health insurance, underwritten health plan, pre-existing condition exclusion health plan</t>
  </si>
  <si>
    <t xml:space="preserve">joint life insurance, first to die life insurance, joint last to die life insurance, life insurance for couples canada, joint life insurance divorce</t>
  </si>
  <si>
    <t xml:space="preserve">life insurance with anxiety canada, mental health life insurance, antidepressants life insurance, adhd life insurance, does therapy affect life insurance</t>
  </si>
  <si>
    <t xml:space="preserve">term life conversion option, convert term to whole life, term conversion deadline, conversion privilege life insurance, convertible term life insurance</t>
  </si>
  <si>
    <t xml:space="preserve">life insurance misconceptions, is life insurance a waste of money, do i need life insurance, life insurance facts canada, common life insurance mistakes</t>
  </si>
  <si>
    <t xml:space="preserve">final expense insurance waiting period, guaranteed issue waiting period, graded death benefit, funeral insurance two year rule, accidental death funeral insurance</t>
  </si>
  <si>
    <t xml:space="preserve">life insurance in your 20s, should i get life insurance at 25, life insurance for students canada, cheap life insurance for young adults, too young for life insurance</t>
  </si>
  <si>
    <t xml:space="preserve">last to die life insurance canada, joint second to die, life insurance for estate taxes, cottage capital gains life insurance, joint survivorship life insurance</t>
  </si>
  <si>
    <t xml:space="preserve">mortgage insurance for couples, joint mortgage insurance pays once, mortgage life insurance after divorce, two term policies vs joint mortgage insurance, co-borrower mortgage insurance</t>
  </si>
  <si>
    <t xml:space="preserve">preferred vs standard life insurance, table rating life insurance, life insurance build chart bmi, life insurance underwriting classes, rated life insurance policy</t>
  </si>
  <si>
    <t xml:space="preserve">Value asset (why it ranks and gets cited)</t>
  </si>
  <si>
    <t xml:space="preserve">A two-column comparison graphic (default insurance vs life cover: who pays, who benefits, when it pays, required or optional) and a signing-day question card.</t>
  </si>
  <si>
    <t xml:space="preserve">A worked timeline for one 35-year-old buying 20-year term: premium schedule from the Instasure model, the renewal-rate jump at year 21 and the conversion deadline, shown as a labelled chart and table (estimates, dated).</t>
  </si>
  <si>
    <t xml:space="preserve">A one-screen diagram of a policy's life cycle (apply, underwriting, premiums, claim, tax-free payout) with the roles of owner, life insured and beneficiary, plus a plain-language glossary box.</t>
  </si>
  <si>
    <t xml:space="preserve">A one-screen comparison table of seven policy types (term 10/20/30, term to 100, participating whole, universal, simplified issue, guaranteed issue, group) with columns for duration, cash value, premium pattern, medical underwriting and typical use, plus a five-question decision tree.</t>
  </si>
  <si>
    <t xml:space="preserve">A six-question self-test that scores need (dependants, debts, income reliance, estate goals) with result bands, plus a 'before you cancel' checklist tied to 2026 reports of Canadians cutting insurance.</t>
  </si>
  <si>
    <t xml:space="preserve">A dated example-premium table for $100K and $250K whole life at ages 30, 45 and 60 across lifetime, 20-pay and 10-pay options from the Instasure model.</t>
  </si>
  <si>
    <t xml:space="preserve">A dated comparison table of direct-to-consumer products (Sun Life Go Term, Go Simplified, Go Guaranteed, Manulife CoverMe and others) with issue ages, maximum coverage, number of health questions, refund period and time to coverage, each cell sourced.</t>
  </si>
  <si>
    <t xml:space="preserve">A 30-day action checklist with deadlines and a comparison table of conversion plan vs underwritten plan vs guaranteed-issue plan.</t>
  </si>
  <si>
    <t xml:space="preserve">A step-by-step recovery plan (get the reason, request records, fix errors, shop with a desk advisor, fallback options) and a decision tree from decline reason to next step.</t>
  </si>
  <si>
    <t xml:space="preserve">A five-question decision tree plus a worked example comparing a lump-sum benefit with six months of lost income and uncovered costs for a stated two-income household.</t>
  </si>
  <si>
    <t xml:space="preserve">A comparison table of family coverage options (term per parent, joint, whole or universal, mortgage, children's policy, child rider) by who is covered, payout, cost and best use, plus a worked family example.</t>
  </si>
  <si>
    <t xml:space="preserve">A condition-by-condition table (diabetes, cancer history, heart, blood pressure, mental health, other chronic conditions) showing the usual route (fully underwritten, simplified, guaranteed) and what records help, reviewed by the Medical underwriting desk.</t>
  </si>
  <si>
    <t xml:space="preserve">An exam-day preparation checklist and an underwriting timeline graphic (application to approval) with typical step durations, plus the question categories found on a standard application.</t>
  </si>
  <si>
    <t xml:space="preserve">A side-by-side table (term 100, participating whole life, universal life, 30-year term) by premium, cash value, guarantees and best use, plus labelled example premiums for one profile from the Instasure model.</t>
  </si>
  <si>
    <t xml:space="preserve">A decision table matching term length to life-stage triggers (youngest child's age, mortgage years left, planned retirement date) plus a price-by-term comparison for one example profile from the Instasure model.</t>
  </si>
  <si>
    <t xml:space="preserve">A dated table of Instasure example estimates for $10,000 and $15,000 at ages 60, 65, 70, 75 and 80 (female and male non-smokers), labelled with profile and month, plus a pre-purchase checklist.</t>
  </si>
  <si>
    <t xml:space="preserve">A beneficiary-designation decision tree and a table comparing options (spouse, minor child with trustee, insurance trust, estate, charity) by payout speed, probate, creditor protection and control.</t>
  </si>
  <si>
    <t xml:space="preserve">An issue-age table by product type (term 10/20, term to 100, whole life, simplified issue, guaranteed issue, final expense) with typical maximum issue ages and coverage caps, each verified against insurer guides and dated.</t>
  </si>
  <si>
    <t xml:space="preserve">A dated age-50 rate table (sex × amount × term × smoker status) and a side-by-side of fully underwritten vs simplified-issue estimates for the same profile.</t>
  </si>
  <si>
    <t xml:space="preserve">A five-year pre-expiry checklist and a three-way comparison (renew, convert, reapply) with a worked example of renewal vs new-policy cost for a 55-year-old from the Instasure model.</t>
  </si>
  <si>
    <t xml:space="preserve">A side-by-side table (premium flexibility, guarantees, cash value, investment risk, cost-of-insurance type, typical fit) and a worked example showing how a UL policy can lapse when returns fall short.</t>
  </si>
  <si>
    <t xml:space="preserve">A printable claim checklist (documents by situation: death in Canada, death abroad, accidental death) and a timeline graphic from notification to payout, with OLHI escalation steps.</t>
  </si>
  <si>
    <t xml:space="preserve">A rider checklist table showing what each rider pays, typical eligibility, who it suits, red flags and a 'skip it if' column.</t>
  </si>
  <si>
    <t xml:space="preserve">An exclusions table (exclusion, how long it applies, what is paid instead, how to avoid the problem) with the source of each rule, plus a "read before you sign" checklist.</t>
  </si>
  <si>
    <t xml:space="preserve">An underwriting factor matrix for diabetes (type, diagnosis age, A1C band, complications) showing likely outcome ranges, reviewed by the medical underwriting desk, plus a document checklist.</t>
  </si>
  <si>
    <t xml:space="preserve">An annotated sample policy illustration (guaranteed vs non-guaranteed columns) with plain-language callouts, plus a glossary box of participating-policy terms.</t>
  </si>
  <si>
    <t xml:space="preserve">A factor table (each rating factor, how insurers check it, how much it can move the price as a labelled model example, what you can change) built from the Instasure model.</t>
  </si>
  <si>
    <t xml:space="preserve">A cancer-type table (skin, breast, prostate, thyroid, colon, blood cancers) with typical postponement periods and post-remission outcomes, reviewed by the medical underwriting desk, plus a bridge-coverage plan.</t>
  </si>
  <si>
    <t xml:space="preserve">A worked 30-year example (term plus TFSA contributions vs participating whole life) with every assumption stated (premiums from the Instasure model, a stated return range, no tax advice), plus a "which approach fits" table.</t>
  </si>
  <si>
    <t xml:space="preserve">A worked example estimating the deemed-disposition tax on a cottage and a RRIF for a couple, then sizing a joint last-to-die policy to cover it (assumptions and CRA sources stated).</t>
  </si>
  <si>
    <t xml:space="preserve">A benefit-over-time chart (decreasing term, level term, lender balance-based cover) for one $500,000 mortgage, with model cost estimates.</t>
  </si>
  <si>
    <t xml:space="preserve">A diagram of one universal life policy over 20 years (deposits in, cost of insurance out, account value) with level vs YRT shown side by side, plus a step-by-step buying checklist.</t>
  </si>
  <si>
    <t xml:space="preserve">A sample of typical simplified-issue question types (described, not copied from an insurer) and a cost comparison of simplified vs guaranteed issue from the quote engine tiers, labelled.</t>
  </si>
  <si>
    <t xml:space="preserve">A worked example for a family with a newborn (income replacement, childcare replacement cost, mortgage) and a one-page new-parent checklist covering will, guardian, beneficiary and coverage.</t>
  </si>
  <si>
    <t xml:space="preserve">A structure comparison table (cross-purchase, promissory note, corporate redemption, hybrid) with tax notes, plus a worked two-partner example sizing coverage to a stated valuation.</t>
  </si>
  <si>
    <t xml:space="preserve">A cardiac-event timeline (0–6 months, 6–12 months, 1–2 years, 2+ years) with typical options at each stage, plus a list of cardiology reports to request, desk-reviewed.</t>
  </si>
  <si>
    <t xml:space="preserve">A flow diagram from application to decision showing each information source (application, MIB, doctor reports, prescription records, exam results) and when consent is given, plus a "what to have ready" checklist.</t>
  </si>
  <si>
    <t xml:space="preserve">A channel comparison table (insurer choice, advice, underwriting help, cost, payment model, after-sale service) and a seven-question checklist to ask any seller.</t>
  </si>
  <si>
    <t xml:space="preserve">A checklist scorecard (financial strength, Assuris coverage, complaint route, conversion options, underwriting flexibility, service) the reader can apply to any insurer, with the source for each item. No ranking until a review method is published.</t>
  </si>
  <si>
    <t xml:space="preserve">A group-vs-individual comparison table and a worked layoff scenario showing coverage before and after a job loss, with a conversion-window checklist (deadline verified per plan).</t>
  </si>
  <si>
    <t xml:space="preserve">A fill-in sizing worksheet (income gap + uncovered costs + debts − group cover) with a worked family example, and an embedded instant estimate pre-filled with the resulting amount.</t>
  </si>
  <si>
    <t xml:space="preserve">A 25-year comparison of three approaches for one child (whole life policy, child term rider, investing the same premium in an RESP or TFSA), with assumptions stated and labelled hypothetical.</t>
  </si>
  <si>
    <t xml:space="preserve">A replacement-cost worksheet (childcare, household work, transport, lost income if the working parent cuts hours) with a worked example using cited childcare costs, sized into a term amount and length.</t>
  </si>
  <si>
    <t xml:space="preserve">Year-by-year budget template from retirement to 65 with modelled plan premiums and out-of-pocket estimates, plus a province table of the age when public drug coverage for seniors begins.</t>
  </si>
  <si>
    <t xml:space="preserve">Comparison table of plan routes (guaranteed issue, underwritten, conversion) by health questions, drug limits, maximums and cost, with a worked example for a person on a monthly maintenance drug.</t>
  </si>
  <si>
    <t xml:space="preserve">A cost-and-payout comparison for one example couple (joint first-to-die vs two term policies vs joint last-to-die) from the Instasure model, plus a separation scenario table.</t>
  </si>
  <si>
    <t xml:space="preserve">A severity-and-stability table showing typical outcomes and the questionnaire items insurers use, reviewed by the medical underwriting desk, with a support-resources box (9-8-8 suicide crisis line).</t>
  </si>
  <si>
    <t xml:space="preserve">A conversion timeline for one example policy (purchase, conversion deadline, renewal) and a table comparing full conversion, partial conversion and a new policy by health questions, premium and coverage length.</t>
  </si>
  <si>
    <t xml:space="preserve">A myth-vs-fact table with a source or labelled model example for every fact, plus one example premium table by age from the Instasure model to answer "too expensive".</t>
  </si>
  <si>
    <t xml:space="preserve">A year-by-year table showing what a typical graded or limited-benefit policy pays (refund of premiums, with or without interest, or the full benefit) versus a simplified-issue policy, flagged as typical structures to verify.</t>
  </si>
  <si>
    <t xml:space="preserve">A "buy now or wait" decision table by situation (no debts, co-signed loans, partner, mortgage, family history) with labelled example premiums at 25, 30 and 35 from the Instasure model.</t>
  </si>
  <si>
    <t xml:space="preserve">A worked example for one couple (cottage gain and RRIF balance at the second death, estimated tax, policy sized to cover it) with every assumption stated, reviewed against CRA rules.</t>
  </si>
  <si>
    <t xml:space="preserve">A scenario table (one partner dies, both die, separation, refinance, switching lenders) showing outcomes under joint lender cover vs two term policies.</t>
  </si>
  <si>
    <t xml:space="preserve">A rating-class price impact table for one profile (preferred plus through table 4) from the Instasure model and an illustrative explanation of build-chart bands (no insurer's proprietary chart reproduced).</t>
  </si>
  <si>
    <t xml:space="preserve">Call to action</t>
  </si>
  <si>
    <t xml:space="preserve">Mortgage protection calculator (/calculators/mortgage-protection/)</t>
  </si>
  <si>
    <t xml:space="preserve">Instant term life estimate (/quote/)</t>
  </si>
  <si>
    <t xml:space="preserve">Instant life insurance estimate (/quote/life-insurance/)</t>
  </si>
  <si>
    <t xml:space="preserve">Instant life insurance estimate (/quote/)</t>
  </si>
  <si>
    <t xml:space="preserve">Life insurance needs calculator (/calculators/life-insurance-needs/)</t>
  </si>
  <si>
    <t xml:space="preserve">Instant health &amp; dental estimate (/health-dental-insurance/)</t>
  </si>
  <si>
    <t xml:space="preserve">Request a specialist call: Medical underwriting desk (/life-insurance/medical-conditions/)</t>
  </si>
  <si>
    <t xml:space="preserve">Instant critical illness estimate (/critical-illness-insurance/)</t>
  </si>
  <si>
    <t xml:space="preserve">Funeral expense estimate, from about $1 a day for the example profile (/life-insurance/funeral-expense/); Request a specialist call: Funeral expense desk</t>
  </si>
  <si>
    <t xml:space="preserve">Book a policy review with a licensed advisor (/advisors/)</t>
  </si>
  <si>
    <t xml:space="preserve">Instant seniors life insurance estimate (/quote/)</t>
  </si>
  <si>
    <t xml:space="preserve">Talk to a licensed advisor about permanent cover (/life-insurance/universal-life/)</t>
  </si>
  <si>
    <t xml:space="preserve">Talk to a licensed advisor about permanent cover (/whole-life-insurance/)</t>
  </si>
  <si>
    <t xml:space="preserve">Talk to a licensed advisor about business cover (/business-insurance/key-person/)</t>
  </si>
  <si>
    <t xml:space="preserve">Talk to a licensed advisor (/life-insurance/children/)</t>
  </si>
  <si>
    <t xml:space="preserve">Must link to</t>
  </si>
  <si>
    <t xml:space="preserve">/mortgage-life-insurance/
/guides/mortgage-life-insurance-vs-term-life-insurance/
/calculators/mortgage-protection/
/glossary/</t>
  </si>
  <si>
    <t xml:space="preserve">/term-life-insurance/
/guides/how-much-does-life-insurance-cost-canada/
/guides/term-vs-whole-life-insurance-canada/
/calculators/life-insurance-needs/</t>
  </si>
  <si>
    <t xml:space="preserve">/life-insurance/
/guides/types-of-life-insurance-canada/
/guides/how-much-life-insurance-do-i-need-canada/
/guides/is-life-insurance-taxable-in-canada/
/calculators/life-insurance-needs/</t>
  </si>
  <si>
    <t xml:space="preserve">/life-insurance/
/term-life-insurance/
/whole-life-insurance/
/no-medical-life-insurance/
/guides/term-vs-whole-life-insurance-canada/</t>
  </si>
  <si>
    <t xml:space="preserve">/life-insurance/
/calculators/life-insurance-needs/
/guides/how-much-life-insurance-do-i-need-canada/
/guides/term-vs-whole-life-insurance-canada/</t>
  </si>
  <si>
    <t xml:space="preserve">/whole-life-insurance/
/guides/term-vs-whole-life-insurance-canada/
/guides/participating-whole-life-insurance-cash-value/
/life-insurance/final-expense/</t>
  </si>
  <si>
    <t xml:space="preserve">/no-medical-life-insurance/
/term-life-insurance/
/guides/simplified-vs-guaranteed-issue-life-insurance/
/how-we-make-money/</t>
  </si>
  <si>
    <t xml:space="preserve">/health-dental-insurance/
/guides/guaranteed-issue-vs-underwritten-health-insurance/
/guides/private-health-insurance-cost-canada/
/guides/group-vs-individual-disability-insurance/</t>
  </si>
  <si>
    <t xml:space="preserve">/life-insurance/medical-conditions/
/no-medical-life-insurance/
/guides/simplified-vs-guaranteed-issue-life-insurance/
/guides/life-insurance-medical-exam-application/</t>
  </si>
  <si>
    <t xml:space="preserve">/critical-illness-insurance/
/guides/critical-illness-vs-disability-insurance/
/guides/cancer-drug-coverage-by-province/
/guides/critical-illness-insurance-cost-canada/</t>
  </si>
  <si>
    <t xml:space="preserve">/calculators/life-insurance-needs/
/life-insurance/children/
/life-insurance/joint/
/guides/how-much-life-insurance-do-i-need-canada/
/guides/life-insurance-for-new-parents-canada/</t>
  </si>
  <si>
    <t xml:space="preserve">/life-insurance/medical-conditions/
/guides/life-insurance-with-diabetes-canada/
/guides/life-insurance-after-cancer-canada/
/guides/life-insurance-after-heart-attack-canada/
/guides/simplified-vs-guaranteed-issue-life-insurance/</t>
  </si>
  <si>
    <t xml:space="preserve">/life-insurance/
/no-medical-life-insurance/
/life-insurance/medical-conditions/
/guides/life-insurance-rating-classes-canada/</t>
  </si>
  <si>
    <t xml:space="preserve">/whole-life-insurance/
/guides/types-of-life-insurance-canada/
/guides/whole-life-vs-universal-life-insurance/
/guides/life-insurance-estate-planning-canada/</t>
  </si>
  <si>
    <t xml:space="preserve">/term-life-insurance/
/guides/how-much-does-life-insurance-cost-canada/
/calculators/life-insurance-needs/
/guides/life-insurance-laddering-canada/</t>
  </si>
  <si>
    <t xml:space="preserve">/life-insurance/funeral-expense/
/life-insurance/seniors/
/life-insurance/final-expense/
/no-medical-life-insurance/</t>
  </si>
  <si>
    <t xml:space="preserve">/life-insurance/
/guides/does-life-insurance-go-through-probate/
/guides/is-life-insurance-taxable-in-canada/
/life-insurance/children/
/guides/quebec-life-insurance-beneficiary-rules/</t>
  </si>
  <si>
    <t xml:space="preserve">/life-insurance/seniors/
/life-insurance/final-expense/
/no-medical-life-insurance/
/guides/simplified-vs-guaranteed-issue-life-insurance/</t>
  </si>
  <si>
    <t xml:space="preserve">/term-life-insurance/
/no-medical-life-insurance/
/guides/how-much-does-life-insurance-cost-canada/
/guides/simplified-vs-guaranteed-issue-life-insurance/</t>
  </si>
  <si>
    <t xml:space="preserve">/term-life-insurance/
/whole-life-insurance/
/guides/term-vs-whole-life-insurance-canada/
/life-insurance/medical-conditions/</t>
  </si>
  <si>
    <t xml:space="preserve">/life-insurance/universal-life/
/whole-life-insurance/
/guides/term-vs-whole-life-insurance-canada/
/guides/participating-whole-life-insurance-cash-value/</t>
  </si>
  <si>
    <t xml:space="preserve">/life-insurance/
/guides/find-a-lost-life-insurance-policy-canada/
/guides/life-insurance-beneficiary-canada/
/guides/category/claims-rules/</t>
  </si>
  <si>
    <t xml:space="preserve">/life-insurance/
/term-life-insurance/
/critical-illness-insurance/
/life-insurance/children/
/guides/critical-illness-vs-disability-insurance/</t>
  </si>
  <si>
    <t xml:space="preserve">/guides/how-to-make-a-life-insurance-claim-canada/
/guides/life-insurance-riders-canada/
/guides/how-life-insurance-companies-check-medical-history/
/guides/does-life-insurance-cover-you-abroad/</t>
  </si>
  <si>
    <t xml:space="preserve">/life-insurance/medical-conditions/
/no-medical-life-insurance/
/guides/simplified-vs-guaranteed-issue-life-insurance/
/critical-illness-insurance/</t>
  </si>
  <si>
    <t xml:space="preserve">/whole-life-insurance/
/guides/term-vs-whole-life-insurance-canada/
/life-insurance/universal-life/
/glossary/</t>
  </si>
  <si>
    <t xml:space="preserve">/quote/life-insurance/
/guides/how-much-does-life-insurance-cost-canada/
/guides/life-insurance-rating-classes-canada/
/guides/instant-insurance-estimates-explained/</t>
  </si>
  <si>
    <t xml:space="preserve">/life-insurance/medical-conditions/
/no-medical-life-insurance/
/guides/simplified-vs-guaranteed-issue-life-insurance/
/guides/declined-for-life-insurance-what-next/</t>
  </si>
  <si>
    <t xml:space="preserve">/guides/term-vs-whole-life-insurance-canada/
/guides/participating-whole-life-insurance-cash-value/
/term-life-insurance/
/whole-life-insurance/</t>
  </si>
  <si>
    <t xml:space="preserve">/whole-life-insurance/
/life-insurance/joint/
/life-insurance/universal-life/
/guides/does-life-insurance-go-through-probate/
/guides/is-life-insurance-taxable-in-canada/</t>
  </si>
  <si>
    <t xml:space="preserve">/term-life-insurance/
/mortgage-life-insurance/
/calculators/mortgage-protection/
/guides/mortgage-life-insurance-vs-term-life-insurance/</t>
  </si>
  <si>
    <t xml:space="preserve">/life-insurance/universal-life/
/guides/whole-life-vs-universal-life-insurance/
/guides/is-life-insurance-taxable-in-canada/
/whole-life-insurance/</t>
  </si>
  <si>
    <t xml:space="preserve">/life-insurance/funeral-expense/
/no-medical-life-insurance/
/life-insurance/medical-conditions/
/guides/funeral-insurance-waiting-period/</t>
  </si>
  <si>
    <t xml:space="preserve">/life-insurance/
/term-life-insurance/
/calculators/life-insurance-needs/
/life-insurance/children/
/guides/life-insurance-beneficiary-canada/</t>
  </si>
  <si>
    <t xml:space="preserve">/business-insurance/key-person/
/life-insurance/
/guides/corporate-owned-life-insurance-canada/
/group-benefits/</t>
  </si>
  <si>
    <t xml:space="preserve">/life-insurance/medical-conditions/
/no-medical-life-insurance/
/critical-illness-insurance/
/guides/simplified-vs-guaranteed-issue-life-insurance/</t>
  </si>
  <si>
    <t xml:space="preserve">/guides/life-insurance-medical-exam-application/
/guides/life-insurance-rating-classes-canada/
/guides/declined-for-life-insurance-what-next/
/life-insurance/medical-conditions/</t>
  </si>
  <si>
    <t xml:space="preserve">/how-we-make-money/
/advisors/
/licensing/
/guides/instant-life-insurance-canada/
/life-insurance/</t>
  </si>
  <si>
    <t xml:space="preserve">/guides/life-insurance-broker-vs-agent-vs-bank/
/guides/how-to-make-a-life-insurance-claim-canada/
/how-we-make-money/
/editorial-guidelines/</t>
  </si>
  <si>
    <t xml:space="preserve">/life-insurance/
/term-life-insurance/
/group-benefits/
/guides/how-much-life-insurance-do-i-need-canada/
/calculators/life-insurance-needs/</t>
  </si>
  <si>
    <t xml:space="preserve">/critical-illness-insurance/
/calculators/life-insurance-needs/
/guides/critical-illness-insurance-cost-canada/
/guides/cancer-drug-coverage-by-province/</t>
  </si>
  <si>
    <t xml:space="preserve">/life-insurance/children/
/whole-life-insurance/
/guides/life-insurance-riders-canada/
/guides/participating-whole-life-insurance-cash-value/</t>
  </si>
  <si>
    <t xml:space="preserve">/calculators/life-insurance-needs/
/guides/life-insurance-for-new-parents-canada/
/guides/family-life-insurance-canada/
/term-life-insurance/</t>
  </si>
  <si>
    <t xml:space="preserve">/health-dental-insurance/
/travel-insurance/snowbirds/
/guides/health-insurance-for-seniors-over-65/
/guides/prescription-drug-coverage-by-province/</t>
  </si>
  <si>
    <t xml:space="preserve">/health-dental-insurance/
/guides/health-insurance-after-losing-job/
/guides/private-health-insurance-cost-canada/
/life-insurance/medical-conditions/</t>
  </si>
  <si>
    <t xml:space="preserve">/life-insurance/joint/
/term-life-insurance/
/guides/mortgage-life-insurance-vs-term-life-insurance/
/guides/joint-mortgage-life-insurance/</t>
  </si>
  <si>
    <t xml:space="preserve">/life-insurance/medical-conditions/
/guides/declined-for-life-insurance-what-next/
/no-medical-life-insurance/
/disability-insurance/</t>
  </si>
  <si>
    <t xml:space="preserve">/guides/what-happens-when-term-life-insurance-expires/
/whole-life-insurance/
/life-insurance/universal-life/
/guides/term-vs-whole-life-insurance-canada/</t>
  </si>
  <si>
    <t xml:space="preserve">/guides/is-life-insurance-worth-it-canada/
/guides/is-group-life-insurance-enough/
/guides/life-insurance-for-stay-at-home-parents/
/guides/life-insurance-pre-existing-conditions-canada/
/guides/buy-term-and-invest-the-difference-canada/</t>
  </si>
  <si>
    <t xml:space="preserve">/life-insurance/funeral-expense/
/no-medical-life-insurance/
/guides/simplified-vs-guaranteed-issue-life-insurance/
/life-insurance/final-expense/</t>
  </si>
  <si>
    <t xml:space="preserve">/term-life-insurance/
/guides/how-much-does-life-insurance-cost-canada/
/guides/is-group-life-insurance-enough/
/guides/is-life-insurance-worth-it-canada/</t>
  </si>
  <si>
    <t xml:space="preserve">/guides/life-insurance-estate-planning-canada/
/life-insurance/joint/
/guides/joint-life-insurance-vs-two-policies/
/guides/term-100-life-insurance-canada/</t>
  </si>
  <si>
    <t xml:space="preserve">/mortgage-life-insurance/
/life-insurance/joint/
/guides/joint-life-insurance-vs-two-policies/
/calculators/mortgage-protection/</t>
  </si>
  <si>
    <t xml:space="preserve">/life-insurance/medical-conditions/
/guides/how-much-does-life-insurance-cost-canada/
/guides/life-insurance-medical-exam-application/
/life-insurance/</t>
  </si>
  <si>
    <t xml:space="preserve">Blog plan row</t>
  </si>
  <si>
    <t xml:space="preserve">B0096 (priority 1 in docs/blog-content-plan.csv)</t>
  </si>
  <si>
    <t xml:space="preserve">B0036 (priority 2 in docs/blog-content-plan.csv)</t>
  </si>
  <si>
    <t xml:space="preserve">New topic: add to the blog plan</t>
  </si>
  <si>
    <t xml:space="preserve">B0035 (priority 2 in docs/blog-content-plan.csv)</t>
  </si>
  <si>
    <t xml:space="preserve">B0057 (priority 2 in docs/blog-content-plan.csv)</t>
  </si>
  <si>
    <t xml:space="preserve">B0073 (priority 3 in docs/blog-content-plan.csv)</t>
  </si>
  <si>
    <t xml:space="preserve">B0023 (priority 1 in docs/blog-content-plan.csv)</t>
  </si>
  <si>
    <t xml:space="preserve">B0150 (priority 1 in docs/blog-content-plan.csv)</t>
  </si>
  <si>
    <t xml:space="preserve">B0026 (priority 1 in docs/blog-content-plan.csv)</t>
  </si>
  <si>
    <t xml:space="preserve">B0118 (priority 2 in docs/blog-content-plan.csv)</t>
  </si>
  <si>
    <t xml:space="preserve">B0066 (priority 2 in docs/blog-content-plan.csv)</t>
  </si>
  <si>
    <t xml:space="preserve">B0033 (priority 2 in docs/blog-content-plan.csv)</t>
  </si>
  <si>
    <t xml:space="preserve">B0041 (priority 2 in docs/blog-content-plan.csv)</t>
  </si>
  <si>
    <t xml:space="preserve">B0064 (priority 2 in docs/blog-content-plan.csv)</t>
  </si>
  <si>
    <t xml:space="preserve">B0058 (priority 2 in docs/blog-content-plan.csv)</t>
  </si>
  <si>
    <t xml:space="preserve">B0031 (priority 2 in docs/blog-content-plan.csv)</t>
  </si>
  <si>
    <t xml:space="preserve">B0061 (priority 2 in docs/blog-content-plan.csv)</t>
  </si>
  <si>
    <t xml:space="preserve">B0072 (priority 3 in docs/blog-content-plan.csv)</t>
  </si>
  <si>
    <t xml:space="preserve">B0028 (priority 2 in docs/blog-content-plan.csv)</t>
  </si>
  <si>
    <t xml:space="preserve">B0075 (priority 3 in docs/blog-content-plan.csv)</t>
  </si>
  <si>
    <t xml:space="preserve">B0055 (priority 2 in docs/blog-content-plan.csv)</t>
  </si>
  <si>
    <t xml:space="preserve">B0076 (priority 3 in docs/blog-content-plan.csv)</t>
  </si>
  <si>
    <t xml:space="preserve">B0053 (priority 2 in docs/blog-content-plan.csv)</t>
  </si>
  <si>
    <t xml:space="preserve">B0065 (priority 2 in docs/blog-content-plan.csv)</t>
  </si>
  <si>
    <t xml:space="preserve">B0106 (priority 3 in docs/blog-content-plan.csv)</t>
  </si>
  <si>
    <t xml:space="preserve">B0040 (priority 2 in docs/blog-content-plan.csv)</t>
  </si>
  <si>
    <t xml:space="preserve">B0059 (priority 2 in docs/blog-content-plan.csv)</t>
  </si>
  <si>
    <t xml:space="preserve">B0027 (priority 2 in docs/blog-content-plan.csv)</t>
  </si>
  <si>
    <t xml:space="preserve">B0083 (priority 3 in docs/blog-content-plan.csv)</t>
  </si>
  <si>
    <t xml:space="preserve">B0029 (priority 2 in docs/blog-content-plan.csv)</t>
  </si>
  <si>
    <t xml:space="preserve">B0034 (priority 2 in docs/blog-content-plan.csv)</t>
  </si>
  <si>
    <t xml:space="preserve">B0121 (priority 2 in docs/blog-content-plan.csv)</t>
  </si>
  <si>
    <t xml:space="preserve">B0087 (priority 3 in docs/blog-content-plan.csv)</t>
  </si>
  <si>
    <t xml:space="preserve">B0160 (priority 2 in docs/blog-content-plan.csv)</t>
  </si>
  <si>
    <t xml:space="preserve">B0155 (priority 2 in docs/blog-content-plan.csv)</t>
  </si>
  <si>
    <t xml:space="preserve">B0071 (priority 3 in docs/blog-content-plan.csv)</t>
  </si>
  <si>
    <t xml:space="preserve">B0054 (priority 2 in docs/blog-content-plan.csv)</t>
  </si>
  <si>
    <t xml:space="preserve">B0039 (priority 2 in docs/blog-content-plan.csv)</t>
  </si>
  <si>
    <t xml:space="preserve">B0099 (priority 2 in docs/blog-content-plan.csv)</t>
  </si>
  <si>
    <t xml:space="preserve">B0067 (priority 2 in docs/blog-content-plan.csv)</t>
  </si>
  <si>
    <t xml:space="preserve">Covers familialife.ca pages</t>
  </si>
  <si>
    <t xml:space="preserve">The Ultimate Guide on Mortgage Insurance (familialife.ca/what-is-mortgage-insurance/); Mortgage Protection Insurance (familialife.ca/mortgage-protection-insurance/)</t>
  </si>
  <si>
    <t xml:space="preserve">Term Life Insurance (familialife.ca/term-life-insurance/); Everything about Term Life Insurance (familialife.ca/everything-about-term-life-insurance/)</t>
  </si>
  <si>
    <t xml:space="preserve">How Does Life Insurance Work in Canada? (familialife.ca/how-does-life-insurance-work-in-canada/); Life Insurance Quotes in Canada (familialife.ca/life-insurance-quotes-in-canada/)</t>
  </si>
  <si>
    <t xml:space="preserve">How Does Life Insurance Work in Canada? (familialife.ca/how-does-life-insurance-work-in-canada/); Everything about Permanent Life Insurance in Canada (familialife.ca/everything-about-permanent-life-insurance/); Family Life Insurance in Canada: Separating Fact from Fiction (familialife.ca/family-life-insurance/)</t>
  </si>
  <si>
    <t xml:space="preserve">12 Life Insurance Myths You Need to Stop Believing (familialife.ca/12-myths-debunked/); Don’t Buy Life Insurance Without Doing These 2 Things (familialife.ca/two-things-before-buying/)</t>
  </si>
  <si>
    <t xml:space="preserve">Permanent Life Insurance (familialife.ca/whole-life-insurance/); Everything about Permanent Life Insurance in Canada (familialife.ca/everything-about-permanent-life-insurance/)</t>
  </si>
  <si>
    <t xml:space="preserve">Familia Life - Lowest Life Insurance Rates in Canada (familialife.ca/); No Medical Insurance (familialife.ca/no-medical-insurance/); Everything about No Medical Life Insurance (familialife.ca/everything-about-no-medical-life-insurance/)</t>
  </si>
  <si>
    <t xml:space="preserve">Health Insurance (familialife.ca/health-insurance/)</t>
  </si>
  <si>
    <t xml:space="preserve">How To Get Life Insurance If You Have Health Issues (familialife.ca/how-to-get-life-insurance-if-you-have-health-issues/); Familia Life - Lowest Life Insurance Rates in Canada (familialife.ca/)</t>
  </si>
  <si>
    <t xml:space="preserve">Protect Your Health and Wallet: A Complete Guide to Critical Illness Insurance in Canada (familialife.ca/whats-ci/)</t>
  </si>
  <si>
    <t xml:space="preserve">Family Life Insurance in Canada: Separating Fact from Fiction (familialife.ca/family-life-insurance/); Familia Life - Lowest Life Insurance Rates in Canada (familialife.ca/)</t>
  </si>
  <si>
    <t xml:space="preserve">How To Get Life Insurance If You Have Health Issues (familialife.ca/how-to-get-life-insurance-if-you-have-health-issues/); 12 Life Insurance Myths You Need to Stop Believing (familialife.ca/12-myths-debunked/); Life Insurance Quotes in Canada (familialife.ca/life-insurance-quotes-in-canada/)</t>
  </si>
  <si>
    <t xml:space="preserve">How Do Life Insurance Companies Check Medical Background? (familialife.ca/how-do-life-insurance-companies-check-medical-background/); Everything about No Medical Life Insurance (familialife.ca/everything-about-no-medical-life-insurance/)</t>
  </si>
  <si>
    <t xml:space="preserve">Everything about Permanent Life Insurance in Canada (familialife.ca/everything-about-permanent-life-insurance/)</t>
  </si>
  <si>
    <t xml:space="preserve">Everything about Term Life Insurance (familialife.ca/everything-about-term-life-insurance/)</t>
  </si>
  <si>
    <t xml:space="preserve">Final Expense (familialife.ca/final-expense-insurance/); Life Insurance After 50: A Canadian Senior’s Handbook (familialife.ca/seniors-life-insurance/)</t>
  </si>
  <si>
    <t xml:space="preserve">Joint Life Insurance vs Individual Life Insurance: A Comparative Analysis (familialife.ca/what-is-joint-life/); Family Life Insurance in Canada: Separating Fact from Fiction (familialife.ca/family-life-insurance/)</t>
  </si>
  <si>
    <t xml:space="preserve">Life Insurance After 50: A Canadian Senior’s Handbook (familialife.ca/seniors-life-insurance/)</t>
  </si>
  <si>
    <t xml:space="preserve">What Happens at the End of Term Life Insurance? (familialife.ca/what-happens-at-the-end-of-term-life-insurance/); Everything about Term Life Insurance (familialife.ca/everything-about-term-life-insurance/)</t>
  </si>
  <si>
    <t xml:space="preserve">Permanent Life Insurance (familialife.ca/whole-life-insurance/); Everything about Permanent Life Insurance in Canada (familialife.ca/everything-about-permanent-life-insurance/); What is Universal Life Insurance and How Does it Work? (familialife.ca/what-is-universal-life-insurance/)</t>
  </si>
  <si>
    <t xml:space="preserve">A Step-by-Step Guide to Filing a Life Insurance Claim (familialife.ca/how-to-claim/)</t>
  </si>
  <si>
    <t xml:space="preserve">Life Insurance Quotes in Canada (familialife.ca/life-insurance-quotes-in-canada/)</t>
  </si>
  <si>
    <t xml:space="preserve">Life Insurance Quotes in Canada (familialife.ca/life-insurance-quotes-in-canada/); Family Life Insurance in Canada: Separating Fact from Fiction (familialife.ca/family-life-insurance/)</t>
  </si>
  <si>
    <t xml:space="preserve">Life Insurance for Diabetics: How to Get the Best Rates in Canada (familialife.ca/life-insurance-for-diabetics/); Everything about No Medical Life Insurance (familialife.ca/everything-about-no-medical-life-insurance/)</t>
  </si>
  <si>
    <t xml:space="preserve">Life Insurance with a Cancer Diagnosis in Canada (familialife.ca/life-insurance-with-cancer/)</t>
  </si>
  <si>
    <t xml:space="preserve">12 Life Insurance Myths You Need to Stop Believing (familialife.ca/12-myths-debunked/); Permanent Life Insurance (familialife.ca/whole-life-insurance/)</t>
  </si>
  <si>
    <t xml:space="preserve">Life Insurance After 50: A Canadian Senior’s Handbook (familialife.ca/seniors-life-insurance/); Joint Life Insurance vs Individual Life Insurance: A Comparative Analysis (familialife.ca/what-is-joint-life/); Family Life Insurance in Canada: Separating Fact from Fiction (familialife.ca/family-life-insurance/)</t>
  </si>
  <si>
    <t xml:space="preserve">Everything about Term Life Insurance (familialife.ca/everything-about-term-life-insurance/); The Ultimate Guide on Mortgage Insurance (familialife.ca/what-is-mortgage-insurance/)</t>
  </si>
  <si>
    <t xml:space="preserve">What is Universal Life Insurance and How Does it Work? (familialife.ca/what-is-universal-life-insurance/)</t>
  </si>
  <si>
    <t xml:space="preserve">Final Expense (familialife.ca/final-expense-insurance/)</t>
  </si>
  <si>
    <t xml:space="preserve">Familia Life - Lowest Life Insurance Rates in Canada (familialife.ca/); Family Life Insurance in Canada: Separating Fact from Fiction (familialife.ca/family-life-insurance/)</t>
  </si>
  <si>
    <t xml:space="preserve">Joint Life Insurance vs Individual Life Insurance: A Comparative Analysis (familialife.ca/what-is-joint-life/)</t>
  </si>
  <si>
    <t xml:space="preserve">Applying for Life Insurance with a Heart Condition in Canada (familialife.ca/life-insurance-with-heart-condition/)</t>
  </si>
  <si>
    <t xml:space="preserve">How Do Life Insurance Companies Check Medical Background? (familialife.ca/how-do-life-insurance-companies-check-medical-background/)</t>
  </si>
  <si>
    <t xml:space="preserve">Don’t Buy Life Insurance Without Doing These 2 Things (familialife.ca/two-things-before-buying/); Life Insurance for Diabetics: How to Get the Best Rates in Canada (familialife.ca/life-insurance-for-diabetics/)</t>
  </si>
  <si>
    <t xml:space="preserve">Don’t Buy Life Insurance Without Doing These 2 Things (familialife.ca/two-things-before-buying/)</t>
  </si>
  <si>
    <t xml:space="preserve">12 Life Insurance Myths You Need to Stop Believing (familialife.ca/12-myths-debunked/)</t>
  </si>
  <si>
    <t xml:space="preserve">Family Life Insurance in Canada: Separating Fact from Fiction (familialife.ca/family-life-insurance/)</t>
  </si>
  <si>
    <t xml:space="preserve">12 Life Insurance Myths You Need to Stop Believing (familialife.ca/12-myths-debunked/); Family Life Insurance in Canada: Separating Fact from Fiction (familialife.ca/family-life-insurance/)</t>
  </si>
  <si>
    <t xml:space="preserve">What Happens at the End of Term Life Insurance? (familialife.ca/what-happens-at-the-end-of-term-life-insurance/); Everything about Permanent Life Insurance in Canada (familialife.ca/everything-about-permanent-life-insurance/)</t>
  </si>
  <si>
    <t xml:space="preserve">Joint Life Insurance vs Individual Life Insurance: A Comparative Analysis (familialife.ca/what-is-joint-life/); Life Insurance After 50: A Canadian Senior’s Handbook (familialife.ca/seniors-life-insurance/)</t>
  </si>
  <si>
    <t xml:space="preserve">Joint Life Insurance vs Individual Life Insurance: A Comparative Analysis (familialife.ca/what-is-joint-life/); Mortgage Protection Insurance (familialife.ca/mortgage-protection-insurance/)</t>
  </si>
  <si>
    <t xml:space="preserve">Everything about No Medical Life Insurance (familialife.ca/everything-about-no-medical-life-insurance/); Life Insurance with a Cancer Diagnosis in Canada (familialife.ca/life-insurance-with-cancer/)</t>
  </si>
  <si>
    <t xml:space="preserve">Notes / compliance</t>
  </si>
  <si>
    <t xml:space="preserve">Enhances blog plan row B0096 with a higher-traffic primary keyword; use this title and URL when the row is written (the plan's URL was /guides/mortgage-default-insurance-vs-mortgage-life-insurance/).</t>
  </si>
  <si>
    <t xml:space="preserve">Do not quote Instasure critical illness prices until a licensed advisor reviews the CI model (see docs/drafts/README.md).</t>
  </si>
  <si>
    <t xml:space="preserve">Hub page for the medical-condition cluster: link every condition guide from it and back. Never promise approval.</t>
  </si>
  <si>
    <t xml:space="preserve">Avoid "cheapest" in the published title (no published methodology); the video title can ask it as a question only if the answer is balanced.</t>
  </si>
  <si>
    <t xml:space="preserve">Enhances blog plan row B0058 (focus was "life insurance age limit canada", URL /guides/life-insurance-age-limit-canada/); the age-limit keyword stays as a secondary keyword and H2.</t>
  </si>
  <si>
    <t xml:space="preserve">Enhances blog plan row B0031 (focus was "life insurance cost for 50 year old", URL /guides/life-insurance-cost-at-50-canada/).</t>
  </si>
  <si>
    <t xml:space="preserve">Exclusion periods vary by contract and province; cite the provincial Insurance Act rules for contestability and say "check your policy" for the rest.</t>
  </si>
  <si>
    <t xml:space="preserve">An investment comparison: state assumptions and return ranges, show both outcomes, no promises of returns, no individual investment advice.</t>
  </si>
  <si>
    <t xml:space="preserve">Describe information sources insurers may use with consent; verify MIB and privacy statements against MIB's Canadian consumer page and the Office of the Privacy Commissioner.</t>
  </si>
  <si>
    <t xml:space="preserve">Must not rank or name a "best" insurer; Assuris limits must be quoted from assuris.ca with the date.</t>
  </si>
  <si>
    <t xml:space="preserve">Video title must be backed by the article's worked example; soften to a question if the example doesn't support "probably not".</t>
  </si>
  <si>
    <t xml:space="preserve">Do not quote Instasure critical illness prices until the CI model is reviewed.</t>
  </si>
  <si>
    <t xml:space="preserve">Childcare costs must come from a cited source (Statistics Canada or provincial childcare data); insurer limits on non-earning spouses vary, so describe them generally.</t>
  </si>
  <si>
    <t xml:space="preserve">Conversion deadlines and eligible plans vary by insurer and policy: describe them as "check your contract", never as a fixed age.</t>
  </si>
  <si>
    <t xml:space="preserve">Strong video series: one short per myth. Every "fact" needs a source or a labelled estimate.</t>
  </si>
  <si>
    <t xml:space="preserve">"cheap life insurance for young adults" is a secondary keyword only; never claim "cheapest".</t>
  </si>
  <si>
    <t xml:space="preserve">Tax examples must cite CRA rules (deemed disposition, RRIF income at death) and say they are illustrations, not tax advice.</t>
  </si>
  <si>
    <t xml:space="preserve">Video title</t>
  </si>
  <si>
    <t xml:space="preserve">CMHC Insurance vs Mortgage Life Insurance: Most Buyers Mix These Up</t>
  </si>
  <si>
    <t xml:space="preserve">Term Life Insurance Explained in 5 Minutes (Canada)</t>
  </si>
  <si>
    <t xml:space="preserve">How Life Insurance Works in Canada (Explained Simply)</t>
  </si>
  <si>
    <t xml:space="preserve">Every Type of Life Insurance in Canada Explained in 8 Minutes</t>
  </si>
  <si>
    <t xml:space="preserve">Do You Actually Need Life Insurance? A 2-Minute Test</t>
  </si>
  <si>
    <t xml:space="preserve">What Whole Life Insurance Really Costs in Canada (Example Premiums)</t>
  </si>
  <si>
    <t xml:space="preserve">Can You Really Get Life Insurance Online in Minutes in Canada?</t>
  </si>
  <si>
    <t xml:space="preserve">Lost Your Job? How to Keep Your Health and Dental Coverage</t>
  </si>
  <si>
    <t xml:space="preserve">Declined for Life Insurance? Do This Next</t>
  </si>
  <si>
    <t xml:space="preserve">Is Critical Illness Insurance Worth It? A 5-Question Test</t>
  </si>
  <si>
    <t xml:space="preserve">Family Life Insurance: Is There One Policy That Covers Everyone?</t>
  </si>
  <si>
    <t xml:space="preserve">Life Insurance With Health Problems: How to Still Get Covered</t>
  </si>
  <si>
    <t xml:space="preserve">The Life Insurance Medical Exam: What Happens and How to Prepare</t>
  </si>
  <si>
    <t xml:space="preserve">Term 100 Life Insurance: The Cheapest Way to Get Lifetime Cover?</t>
  </si>
  <si>
    <t xml:space="preserve">10, 20 or 30-Year Term Life Insurance? How to Pick the Right Length</t>
  </si>
  <si>
    <t xml:space="preserve">Funeral Insurance at 60, 70 and 80: What Seniors Can Still Buy</t>
  </si>
  <si>
    <t xml:space="preserve">Who Should Be Your Life Insurance Beneficiary? Avoid These Mistakes</t>
  </si>
  <si>
    <t xml:space="preserve">Life Insurance After 70: Is It Worth It and What Can You Still Buy?</t>
  </si>
  <si>
    <t xml:space="preserve">Buying Life Insurance in Your 50s: Costs, Types and Mistakes to Avoid</t>
  </si>
  <si>
    <t xml:space="preserve">Your Term Life Insurance Is Ending: 4 Options Explained</t>
  </si>
  <si>
    <t xml:space="preserve">Whole Life vs Universal Life Insurance: Which One Fits You?</t>
  </si>
  <si>
    <t xml:space="preserve">How to Claim Life Insurance After a Death: Step by Step</t>
  </si>
  <si>
    <t xml:space="preserve">Life Insurance Riders: Which Add-Ons Are Worth It?</t>
  </si>
  <si>
    <t xml:space="preserve">What Life Insurance Won't Pay For: The Fine Print Explained</t>
  </si>
  <si>
    <t xml:space="preserve">Life Insurance With Diabetes: What Insurers Actually Look At</t>
  </si>
  <si>
    <t xml:space="preserve">Can Life Insurance Be a Savings Plan? Whole Life Cash Value Explained</t>
  </si>
  <si>
    <t xml:space="preserve">Why Your Life Insurance Quote Is Higher Than Your Friend's</t>
  </si>
  <si>
    <t xml:space="preserve">Can You Get Life Insurance After Cancer? Timelines Explained</t>
  </si>
  <si>
    <t xml:space="preserve">Buy Term and Invest the Difference: Real Numbers for Canadians</t>
  </si>
  <si>
    <t xml:space="preserve">How Life Insurance Pays the Tax Bill When You Die (Canada)</t>
  </si>
  <si>
    <t xml:space="preserve">Decreasing vs Level Term Life Insurance: Which Protects Your Mortgage?</t>
  </si>
  <si>
    <t xml:space="preserve">Universal Life Insurance Explained: How the Investment Account Works</t>
  </si>
  <si>
    <t xml:space="preserve">Funeral Insurance With No Medical Exam: Who Qualifies?</t>
  </si>
  <si>
    <t xml:space="preserve">New Parents: The Life Insurance Checklist Nobody Gives You</t>
  </si>
  <si>
    <t xml:space="preserve">Business Partners: How Life Insurance Funds a Buyout</t>
  </si>
  <si>
    <t xml:space="preserve">Life Insurance After a Heart Attack: When and How to Apply</t>
  </si>
  <si>
    <t xml:space="preserve">How Insurers Check Your Medical History (and What They Can See)</t>
  </si>
  <si>
    <t xml:space="preserve">Broker, Agent, Bank or Online: Where Should You Buy Life Insurance?</t>
  </si>
  <si>
    <t xml:space="preserve">How to Pick a Life Insurance Company You Can Trust</t>
  </si>
  <si>
    <t xml:space="preserve">Is Your Work Life Insurance Enough? Probably Not. Here's Why</t>
  </si>
  <si>
    <t xml:space="preserve">How Much Critical Illness Insurance Do You Need? 3 Steps</t>
  </si>
  <si>
    <t xml:space="preserve">Should You Buy Life Insurance for Your Child? Pros and Cons</t>
  </si>
  <si>
    <t xml:space="preserve">Why Stay-at-Home Parents Need Life Insurance Too</t>
  </si>
  <si>
    <t xml:space="preserve">Retiring Before 65? How to Replace Your Health Benefits</t>
  </si>
  <si>
    <t xml:space="preserve">Health Insurance With a Pre-Existing Condition: Your 3 Routes</t>
  </si>
  <si>
    <t xml:space="preserve">Joint vs Individual Life Insurance: What Couples Get Wrong</t>
  </si>
  <si>
    <t xml:space="preserve">Does Depression or Anxiety Affect Life Insurance in Canada?</t>
  </si>
  <si>
    <t xml:space="preserve">How to Convert Term Life Insurance Without a Medical Exam</t>
  </si>
  <si>
    <t xml:space="preserve">12 Life Insurance Myths That Cost Canadians Money</t>
  </si>
  <si>
    <t xml:space="preserve">Funeral Insurance Waiting Periods: What Happens in Years 1 and 2</t>
  </si>
  <si>
    <t xml:space="preserve">Life Insurance in Your 20s: Smart Move or Waste of Money?</t>
  </si>
  <si>
    <t xml:space="preserve">Joint Last-to-Die Life Insurance: Protect the Cottage From Taxes</t>
  </si>
  <si>
    <t xml:space="preserve">Joint Mortgage Insurance Pays Once: What That Means for Couples</t>
  </si>
  <si>
    <t xml:space="preserve">Preferred, Standard or Rated? How Insurers Grade Your Health</t>
  </si>
  <si>
    <t xml:space="preserve">Video opening question</t>
  </si>
  <si>
    <t xml:space="preserve">Does CMHC insurance pay off my mortgage if I die?</t>
  </si>
  <si>
    <t xml:space="preserve">Does term life insurance pay out if I outlive it?</t>
  </si>
  <si>
    <t xml:space="preserve">How does a life insurance payout work in Canada?</t>
  </si>
  <si>
    <t xml:space="preserve">What is the most common type of life insurance in Canada?</t>
  </si>
  <si>
    <t xml:space="preserve">Do I need life insurance if I'm single with no kids?</t>
  </si>
  <si>
    <t xml:space="preserve">Why is whole life insurance so expensive?</t>
  </si>
  <si>
    <t xml:space="preserve">Can I get life insurance coverage the same day in Canada?</t>
  </si>
  <si>
    <t xml:space="preserve">How long do I have to convert my group health benefits?</t>
  </si>
  <si>
    <t xml:space="preserve">Can I get the reason my life insurance was declined?</t>
  </si>
  <si>
    <t xml:space="preserve">Is critical illness insurance a waste of money?</t>
  </si>
  <si>
    <t xml:space="preserve">What type of life insurance is best for a family?</t>
  </si>
  <si>
    <t xml:space="preserve">Can I be denied life insurance for a pre-existing condition?</t>
  </si>
  <si>
    <t xml:space="preserve">Who pays for a life insurance medical exam?</t>
  </si>
  <si>
    <t xml:space="preserve">Is term 100 the same as whole life insurance?</t>
  </si>
  <si>
    <t xml:space="preserve">Is 20-year or 30-year term life insurance better value?</t>
  </si>
  <si>
    <t xml:space="preserve">Can I get funeral insurance at 80?</t>
  </si>
  <si>
    <t xml:space="preserve">Can I name my child as a life insurance beneficiary in Canada?</t>
  </si>
  <si>
    <t xml:space="preserve">Can I buy term life insurance at 70?</t>
  </si>
  <si>
    <t xml:space="preserve">Can I get 20-year term life insurance at 50?</t>
  </si>
  <si>
    <t xml:space="preserve">Does term life insurance renew automatically in Canada?</t>
  </si>
  <si>
    <t xml:space="preserve">Can a universal life policy lapse?</t>
  </si>
  <si>
    <t xml:space="preserve">How long does a life insurance payout take in Canada?</t>
  </si>
  <si>
    <t xml:space="preserve">Is a waiver of premium rider worth it?</t>
  </si>
  <si>
    <t xml:space="preserve">Does life insurance pay out for suicide in Canada?</t>
  </si>
  <si>
    <t xml:space="preserve">What A1C do insurers want for life insurance?</t>
  </si>
  <si>
    <t xml:space="preserve">Are whole life dividends guaranteed?</t>
  </si>
  <si>
    <t xml:space="preserve">How are life insurance quotes determined?</t>
  </si>
  <si>
    <t xml:space="preserve">How long after cancer can I get life insurance?</t>
  </si>
  <si>
    <t xml:space="preserve">Is whole life insurance a good investment in Canada?</t>
  </si>
  <si>
    <t xml:space="preserve">Do you pay capital gains tax on a cottage when you die in Canada?</t>
  </si>
  <si>
    <t xml:space="preserve">Is decreasing term life insurance available in Canada?</t>
  </si>
  <si>
    <t xml:space="preserve">Can universal life insurance lose value?</t>
  </si>
  <si>
    <t xml:space="preserve">What health questions do funeral insurance applications ask?</t>
  </si>
  <si>
    <t xml:space="preserve">When should new parents buy life insurance?</t>
  </si>
  <si>
    <t xml:space="preserve">Who should own buy-sell life insurance, the partners or the company?</t>
  </si>
  <si>
    <t xml:space="preserve">How long after a heart attack can I get life insurance?</t>
  </si>
  <si>
    <t xml:space="preserve">Can life insurance companies see my medical records without consent?</t>
  </si>
  <si>
    <t xml:space="preserve">Is it cheaper to buy life insurance directly from an insurer?</t>
  </si>
  <si>
    <t xml:space="preserve">How do I know if a life insurance company is reputable?</t>
  </si>
  <si>
    <t xml:space="preserve">How much life insurance does an employer usually provide?</t>
  </si>
  <si>
    <t xml:space="preserve">Is $50,000 enough critical illness insurance?</t>
  </si>
  <si>
    <t xml:space="preserve">How much does life insurance for a child cost in Canada?</t>
  </si>
  <si>
    <t xml:space="preserve">How much life insurance does a stay-at-home mom or dad need?</t>
  </si>
  <si>
    <t xml:space="preserve">What happens to my health benefits when I retire early?</t>
  </si>
  <si>
    <t xml:space="preserve">Can I get health insurance with a pre-existing condition in Canada?</t>
  </si>
  <si>
    <t xml:space="preserve">Is joint life insurance cheaper than two policies?</t>
  </si>
  <si>
    <t xml:space="preserve">Does seeing a therapist affect life insurance?</t>
  </si>
  <si>
    <t xml:space="preserve">Do I need a medical exam to convert term life insurance?</t>
  </si>
  <si>
    <t xml:space="preserve">Is life insurance a waste of money?</t>
  </si>
  <si>
    <t xml:space="preserve">Does all funeral insurance have a waiting period?</t>
  </si>
  <si>
    <t xml:space="preserve">Is it worth getting life insurance at 25?</t>
  </si>
  <si>
    <t xml:space="preserve">When does last-to-die life insurance make sense?</t>
  </si>
  <si>
    <t xml:space="preserve">Does joint mortgage insurance pay out twice if both partners die?</t>
  </si>
  <si>
    <t xml:space="preserve">What is the top rating class for life insurance?</t>
  </si>
  <si>
    <t xml:space="preserve">Subheadings: article outline and video chapters</t>
  </si>
  <si>
    <t xml:space="preserve">10 sections · 5 FAQ</t>
  </si>
  <si>
    <t xml:space="preserve">12 sections · 5 FAQ</t>
  </si>
  <si>
    <t xml:space="preserve">11 sections · 4 FAQ</t>
  </si>
  <si>
    <t xml:space="preserve">12 sections · 4 FAQ</t>
  </si>
  <si>
    <t xml:space="preserve">8 sections · 4 FAQ</t>
  </si>
  <si>
    <t xml:space="preserve">9 sections · 4 FAQ</t>
  </si>
  <si>
    <t xml:space="preserve">10 sections · 4 FAQ</t>
  </si>
  <si>
    <t xml:space="preserve">11 sections · 5 FAQ</t>
  </si>
  <si>
    <t xml:space="preserve">14 sections · 5 FAQ</t>
  </si>
  <si>
    <t xml:space="preserve">15 sections · 4 FAQ</t>
  </si>
  <si>
    <t xml:space="preserve">How to read the outline:
Bold = H2 section
– = H3 under the H2 above
Q: = FAQ question (FAQPage schema)
The first H2 holds a 40–60 word direct answer. Use the H2s as video chapters.</t>
  </si>
  <si>
    <t xml:space="preserve">What is mortgage insurance in Canada? (quick answer)</t>
  </si>
  <si>
    <t xml:space="preserve">What is term life insurance? (quick answer)</t>
  </si>
  <si>
    <t xml:space="preserve">How does life insurance work? (quick answer)</t>
  </si>
  <si>
    <t xml:space="preserve">What are the main types of life insurance in Canada? (quick answer)</t>
  </si>
  <si>
    <t xml:space="preserve">Is life insurance worth it? (quick answer)</t>
  </si>
  <si>
    <t xml:space="preserve">How much does whole life insurance cost? (quick answer)</t>
  </si>
  <si>
    <t xml:space="preserve">Can you buy life insurance instantly in Canada? (quick answer)</t>
  </si>
  <si>
    <t xml:space="preserve">What happens to your benefits when you leave a job? (quick answer)</t>
  </si>
  <si>
    <t xml:space="preserve">What to do if you are declined for life insurance (quick answer)</t>
  </si>
  <si>
    <t xml:space="preserve">Is critical illness insurance worth it? (quick answer)</t>
  </si>
  <si>
    <t xml:space="preserve">Is there a family life insurance policy in Canada? (quick answer)</t>
  </si>
  <si>
    <t xml:space="preserve">Can you get life insurance with a pre-existing condition? (quick answer)</t>
  </si>
  <si>
    <t xml:space="preserve">Do you need a medical exam for life insurance? (quick answer)</t>
  </si>
  <si>
    <t xml:space="preserve">What is term 100 life insurance? (quick answer)</t>
  </si>
  <si>
    <t xml:space="preserve">Which term length should you choose? (quick answer)</t>
  </si>
  <si>
    <t xml:space="preserve">Can seniors still buy funeral insurance? (quick answer)</t>
  </si>
  <si>
    <t xml:space="preserve">Who can be a life insurance beneficiary? (quick answer)</t>
  </si>
  <si>
    <t xml:space="preserve">Can you get life insurance over 70? (quick answer)</t>
  </si>
  <si>
    <t xml:space="preserve">Do you need life insurance over 50? (quick answer)</t>
  </si>
  <si>
    <t xml:space="preserve">What happens when your term life insurance ends? (quick answer)</t>
  </si>
  <si>
    <t xml:space="preserve">Whole life vs universal life: the short answer</t>
  </si>
  <si>
    <t xml:space="preserve">How to make a life insurance claim (quick answer)</t>
  </si>
  <si>
    <t xml:space="preserve">What are life insurance riders? (quick answer)</t>
  </si>
  <si>
    <t xml:space="preserve">What does life insurance not cover? (quick answer)</t>
  </si>
  <si>
    <t xml:space="preserve">Can diabetics get life insurance in Canada? (quick answer)</t>
  </si>
  <si>
    <t xml:space="preserve">What is participating whole life insurance? (quick answer)</t>
  </si>
  <si>
    <t xml:space="preserve">What affects life insurance rates? (quick answer)</t>
  </si>
  <si>
    <t xml:space="preserve">Can cancer survivors get life insurance? (quick answer)</t>
  </si>
  <si>
    <t xml:space="preserve">Buy term and invest the difference: the short answer</t>
  </si>
  <si>
    <t xml:space="preserve">How life insurance helps with estate planning (quick answer)</t>
  </si>
  <si>
    <t xml:space="preserve">Decreasing vs level term: the short answer</t>
  </si>
  <si>
    <t xml:space="preserve">How does universal life insurance work? (quick answer)</t>
  </si>
  <si>
    <t xml:space="preserve">Can you get funeral insurance with no medical exam? (quick answer)</t>
  </si>
  <si>
    <t xml:space="preserve">Do new parents need life insurance? (quick answer)</t>
  </si>
  <si>
    <t xml:space="preserve">What is buy-sell agreement life insurance? (quick answer)</t>
  </si>
  <si>
    <t xml:space="preserve">Can you get life insurance after a heart attack? (quick answer)</t>
  </si>
  <si>
    <t xml:space="preserve">How do insurers check your medical history? (quick answer)</t>
  </si>
  <si>
    <t xml:space="preserve">Broker, agent, bank or online: the short answer</t>
  </si>
  <si>
    <t xml:space="preserve">How to choose a life insurance company (quick answer)</t>
  </si>
  <si>
    <t xml:space="preserve">Is group life insurance enough on its own? (quick answer)</t>
  </si>
  <si>
    <t xml:space="preserve">How much critical illness coverage you need (quick answer)</t>
  </si>
  <si>
    <t xml:space="preserve">Is children's life insurance worth it? (quick answer)</t>
  </si>
  <si>
    <t xml:space="preserve">Does a stay-at-home parent need life insurance? (quick answer)</t>
  </si>
  <si>
    <t xml:space="preserve">Your options after leaving work before 65 (quick answer)</t>
  </si>
  <si>
    <t xml:space="preserve">Guaranteed issue vs underwritten (quick answer)</t>
  </si>
  <si>
    <t xml:space="preserve">Joint or individual life insurance: the short answer</t>
  </si>
  <si>
    <t xml:space="preserve">Can you get life insurance with depression or anxiety? (quick answer)</t>
  </si>
  <si>
    <t xml:space="preserve">Can you convert term life insurance to permanent? (quick answer)</t>
  </si>
  <si>
    <t xml:space="preserve">The 12 myths at a glance (quick answer)</t>
  </si>
  <si>
    <t xml:space="preserve">What is a funeral insurance waiting period? (quick answer)</t>
  </si>
  <si>
    <t xml:space="preserve">Do young adults need life insurance? (quick answer)</t>
  </si>
  <si>
    <t xml:space="preserve">What is joint last-to-die life insurance? (quick answer)</t>
  </si>
  <si>
    <t xml:space="preserve">How joint mortgage life insurance works (quick answer)</t>
  </si>
  <si>
    <t xml:space="preserve">What are life insurance rating classes? (quick answer)</t>
  </si>
  <si>
    <t xml:space="preserve">Mortgage default insurance (CMHC, Sagen, Canada Guaranty)</t>
  </si>
  <si>
    <t xml:space="preserve">How term life insurance works in Canada</t>
  </si>
  <si>
    <t xml:space="preserve">The basics: policy owner, life insured and beneficiary</t>
  </si>
  <si>
    <t xml:space="preserve">Term life insurance: 10, 20, 30 years and term to 65</t>
  </si>
  <si>
    <t xml:space="preserve">Who usually needs life insurance</t>
  </si>
  <si>
    <t xml:space="preserve">Example whole life premiums by age and coverage (labelled estimates)</t>
  </si>
  <si>
    <t xml:space="preserve">How instant decisions work behind the scenes</t>
  </si>
  <si>
    <t xml:space="preserve">How long group coverage lasts after termination</t>
  </si>
  <si>
    <t xml:space="preserve">Declined, postponed or rated: what each means</t>
  </si>
  <si>
    <t xml:space="preserve">How critical illness insurance works: the tax-free lump sum</t>
  </si>
  <si>
    <t xml:space="preserve">What insurers mean by "family" coverage</t>
  </si>
  <si>
    <t xml:space="preserve">How insurers assess health issues</t>
  </si>
  <si>
    <t xml:space="preserve">When an exam is required: age and coverage amount</t>
  </si>
  <si>
    <t xml:space="preserve">How term 100 works</t>
  </si>
  <si>
    <t xml:space="preserve">10-year term life insurance</t>
  </si>
  <si>
    <t xml:space="preserve">Options at 60, 70 and 80</t>
  </si>
  <si>
    <t xml:space="preserve">Revocable vs irrevocable beneficiaries</t>
  </si>
  <si>
    <t xml:space="preserve">Is there an age limit for life insurance in Canada?</t>
  </si>
  <si>
    <t xml:space="preserve">What life insurance costs at 50, 55 and 60 (labelled estimates)</t>
  </si>
  <si>
    <t xml:space="preserve">Option 1: Renew automatically</t>
  </si>
  <si>
    <t xml:space="preserve">How whole life insurance works</t>
  </si>
  <si>
    <t xml:space="preserve">Step 1: Find the policy and contact the insurer</t>
  </si>
  <si>
    <t xml:space="preserve">Waiver of premium</t>
  </si>
  <si>
    <t xml:space="preserve">The suicide exclusion</t>
  </si>
  <si>
    <t xml:space="preserve">Type 1 vs type 2 diabetes underwriting</t>
  </si>
  <si>
    <t xml:space="preserve">Can permanent life insurance be used as savings?</t>
  </si>
  <si>
    <t xml:space="preserve">Age: why waiting costs more</t>
  </si>
  <si>
    <t xml:space="preserve">Does life insurance cover death from cancer?</t>
  </si>
  <si>
    <t xml:space="preserve">How the strategy works</t>
  </si>
  <si>
    <t xml:space="preserve">Deemed disposition: the tax bill at death</t>
  </si>
  <si>
    <t xml:space="preserve">How decreasing term life insurance works</t>
  </si>
  <si>
    <t xml:space="preserve">The two parts: insurance cost and investment account</t>
  </si>
  <si>
    <t xml:space="preserve">The health questions simplified-issue plans ask</t>
  </si>
  <si>
    <t xml:space="preserve">How much cover a new family needs</t>
  </si>
  <si>
    <t xml:space="preserve">Why business partners fund buyouts with insurance</t>
  </si>
  <si>
    <t xml:space="preserve">What counts as a heart condition for life insurance</t>
  </si>
  <si>
    <t xml:space="preserve">The application: health questions you must answer</t>
  </si>
  <si>
    <t xml:space="preserve">Independent brokers and advisors</t>
  </si>
  <si>
    <t xml:space="preserve">Financial strength: ratings and capital</t>
  </si>
  <si>
    <t xml:space="preserve">What a typical group plan pays</t>
  </si>
  <si>
    <t xml:space="preserve">Step 1: Months of income to replace</t>
  </si>
  <si>
    <t xml:space="preserve">What children's life insurance covers</t>
  </si>
  <si>
    <t xml:space="preserve">The real cost of replacing a stay-at-home parent</t>
  </si>
  <si>
    <t xml:space="preserve">Employer retiree benefits: what's typical</t>
  </si>
  <si>
    <t xml:space="preserve">How guaranteed-issue plans handle pre-existing conditions</t>
  </si>
  <si>
    <t xml:space="preserve">What is individual life insurance?</t>
  </si>
  <si>
    <t xml:space="preserve">What underwriters ask about mental health</t>
  </si>
  <si>
    <t xml:space="preserve">How the conversion privilege works</t>
  </si>
  <si>
    <t xml:space="preserve">Myth 1: Life insurance is too expensive</t>
  </si>
  <si>
    <t xml:space="preserve">How graded and limited benefits work</t>
  </si>
  <si>
    <t xml:space="preserve">Myth: "I'm too young for life insurance"</t>
  </si>
  <si>
    <t xml:space="preserve">Why it pays at the second death</t>
  </si>
  <si>
    <t xml:space="preserve">It pays once: what that means for the survivor</t>
  </si>
  <si>
    <t xml:space="preserve">Preferred plus, preferred and standard</t>
  </si>
  <si>
    <t xml:space="preserve">– When it's required: less than 20% down</t>
  </si>
  <si>
    <t xml:space="preserve">– Level premiums and the death benefit</t>
  </si>
  <si>
    <t xml:space="preserve">Premiums and the death benefit</t>
  </si>
  <si>
    <t xml:space="preserve">Term to 100</t>
  </si>
  <si>
    <t xml:space="preserve">Who may not need it</t>
  </si>
  <si>
    <t xml:space="preserve">What drives the price of whole life insurance</t>
  </si>
  <si>
    <t xml:space="preserve">– Health questions, the MIB and prescription checks</t>
  </si>
  <si>
    <t xml:space="preserve">Conversion plans: the no-medical window</t>
  </si>
  <si>
    <t xml:space="preserve">How to find out why</t>
  </si>
  <si>
    <t xml:space="preserve">What a serious illness costs that provincial health plans don't pay</t>
  </si>
  <si>
    <t xml:space="preserve">Ways to protect a family</t>
  </si>
  <si>
    <t xml:space="preserve">– Fully underwritten</t>
  </si>
  <si>
    <t xml:space="preserve">What the application asks</t>
  </si>
  <si>
    <t xml:space="preserve">– Level premiums for life (or paid up at 100)</t>
  </si>
  <si>
    <t xml:space="preserve">– Short needs and bridge coverage</t>
  </si>
  <si>
    <t xml:space="preserve">Simplified vs guaranteed issue for older buyers</t>
  </si>
  <si>
    <t xml:space="preserve">Naming minor children: trustees and trusts</t>
  </si>
  <si>
    <t xml:space="preserve">Your options at 65, 70, 75 and 80+</t>
  </si>
  <si>
    <t xml:space="preserve">Term vs permanent life insurance after 50</t>
  </si>
  <si>
    <t xml:space="preserve">– How renewal premiums are set</t>
  </si>
  <si>
    <t xml:space="preserve">How universal life insurance works</t>
  </si>
  <si>
    <t xml:space="preserve">Step 2: Gather the documents</t>
  </si>
  <si>
    <t xml:space="preserve">Child term rider</t>
  </si>
  <si>
    <t xml:space="preserve">The two-year contestability period</t>
  </si>
  <si>
    <t xml:space="preserve">Why insurers consider diabetes</t>
  </si>
  <si>
    <t xml:space="preserve">How cash value builds</t>
  </si>
  <si>
    <t xml:space="preserve">Sex and life expectancy</t>
  </si>
  <si>
    <t xml:space="preserve">What insurers weigh</t>
  </si>
  <si>
    <t xml:space="preserve">Worked example: term plus a TFSA vs whole life (assumptions stated)</t>
  </si>
  <si>
    <t xml:space="preserve">RRSP and RRIF balances at death</t>
  </si>
  <si>
    <t xml:space="preserve">How level term life insurance works</t>
  </si>
  <si>
    <t xml:space="preserve">– Level vs YRT cost of insurance</t>
  </si>
  <si>
    <t xml:space="preserve">When guaranteed acceptance is the right fallback</t>
  </si>
  <si>
    <t xml:space="preserve">Insuring a stay-at-home parent</t>
  </si>
  <si>
    <t xml:space="preserve">Joint first-to-die vs individual policies for partners</t>
  </si>
  <si>
    <t xml:space="preserve">What underwriters look at</t>
  </si>
  <si>
    <t xml:space="preserve">The MIB: what it records and how to see your file</t>
  </si>
  <si>
    <t xml:space="preserve">Captive agents</t>
  </si>
  <si>
    <t xml:space="preserve">Assuris: what happens if an insurer fails</t>
  </si>
  <si>
    <t xml:space="preserve">Optional top-ups: pros and cons</t>
  </si>
  <si>
    <t xml:space="preserve">Step 2: Costs provincial plans don't pay</t>
  </si>
  <si>
    <t xml:space="preserve">The case for: insurability and cash value</t>
  </si>
  <si>
    <t xml:space="preserve">– Childcare</t>
  </si>
  <si>
    <t xml:space="preserve">Converting your group plan at retirement</t>
  </si>
  <si>
    <t xml:space="preserve">What underwriting asks and what it unlocks</t>
  </si>
  <si>
    <t xml:space="preserve">– One life, its own beneficiaries</t>
  </si>
  <si>
    <t xml:space="preserve">Mild, moderate and severe: how ratings differ</t>
  </si>
  <si>
    <t xml:space="preserve">– No new medical evidence</t>
  </si>
  <si>
    <t xml:space="preserve">Myth 2: It's only for funeral costs</t>
  </si>
  <si>
    <t xml:space="preserve">What is paid if death happens in year one or two</t>
  </si>
  <si>
    <t xml:space="preserve">When buying in your 20s makes sense</t>
  </si>
  <si>
    <t xml:space="preserve">The tax bill at the second death: deemed disposition and RRIF income</t>
  </si>
  <si>
    <t xml:space="preserve">Joint lender cover vs two individual term policies</t>
  </si>
  <si>
    <t xml:space="preserve">Rated policies: table ratings and flat extras</t>
  </si>
  <si>
    <t xml:space="preserve">– How the premium is calculated and added to your mortgage</t>
  </si>
  <si>
    <t xml:space="preserve">– Term lengths: 10, 20, 30 years and term to 65</t>
  </si>
  <si>
    <t xml:space="preserve">Types of life insurance</t>
  </si>
  <si>
    <t xml:space="preserve">Permanent life insurance: whole and universal</t>
  </si>
  <si>
    <t xml:space="preserve">Cutting coverage to save money: what to check first</t>
  </si>
  <si>
    <t xml:space="preserve">– Age, sex, health and smoking</t>
  </si>
  <si>
    <t xml:space="preserve">– Accelerated underwriting vs simplified issue</t>
  </si>
  <si>
    <t xml:space="preserve">Conversion vs a new underwritten plan vs guaranteed issue</t>
  </si>
  <si>
    <t xml:space="preserve">Does a decline follow you? The MIB explained</t>
  </si>
  <si>
    <t xml:space="preserve">Who benefits most from critical illness coverage</t>
  </si>
  <si>
    <t xml:space="preserve">– Term life for each parent</t>
  </si>
  <si>
    <t xml:space="preserve">– Simplified issue</t>
  </si>
  <si>
    <t xml:space="preserve">What happens at a paramedical exam</t>
  </si>
  <si>
    <t xml:space="preserve">– No cash value, no dividends</t>
  </si>
  <si>
    <t xml:space="preserve">– What renewal costs after year 10</t>
  </si>
  <si>
    <t xml:space="preserve">Estimated monthly cost by age (labelled)</t>
  </si>
  <si>
    <t xml:space="preserve">Contingent and multiple beneficiaries</t>
  </si>
  <si>
    <t xml:space="preserve">Issue-age table by product type</t>
  </si>
  <si>
    <t xml:space="preserve">Fully underwritten vs no-medical at 50+</t>
  </si>
  <si>
    <t xml:space="preserve">– Renewal age limits: check your contract</t>
  </si>
  <si>
    <t xml:space="preserve">Level vs YRT cost of insurance</t>
  </si>
  <si>
    <t xml:space="preserve">Step 3: Submit the claim forms</t>
  </si>
  <si>
    <t xml:space="preserve">Guaranteed insurability rider</t>
  </si>
  <si>
    <t xml:space="preserve">Misrepresentation and non-disclosure</t>
  </si>
  <si>
    <t xml:space="preserve">– Life expectancy and complications</t>
  </si>
  <si>
    <t xml:space="preserve">– Guaranteed cash value</t>
  </si>
  <si>
    <t xml:space="preserve">Health, build and family history</t>
  </si>
  <si>
    <t xml:space="preserve">– Type of cancer</t>
  </si>
  <si>
    <t xml:space="preserve">When buy term and invest wins</t>
  </si>
  <si>
    <t xml:space="preserve">Keeping the family cottage</t>
  </si>
  <si>
    <t xml:space="preserve">Increasing term and indexed coverage</t>
  </si>
  <si>
    <t xml:space="preserve">– Investment options inside the policy</t>
  </si>
  <si>
    <t xml:space="preserve">Health conditions and funeral insurance</t>
  </si>
  <si>
    <t xml:space="preserve">Buying while on parental leave</t>
  </si>
  <si>
    <t xml:space="preserve">Cross-purchase vs corporate-owned structures</t>
  </si>
  <si>
    <t xml:space="preserve">– Age at diagnosis and family history</t>
  </si>
  <si>
    <t xml:space="preserve">Attending physician statements and medical records</t>
  </si>
  <si>
    <t xml:space="preserve">Bank and creditor channels</t>
  </si>
  <si>
    <t xml:space="preserve">Claims practices and how to judge them</t>
  </si>
  <si>
    <t xml:space="preserve">What happens to group life when you leave or are laid off</t>
  </si>
  <si>
    <t xml:space="preserve">Step 3: Debts and childcare during recovery</t>
  </si>
  <si>
    <t xml:space="preserve">The case against: cost and opportunity cost</t>
  </si>
  <si>
    <t xml:space="preserve">– Household work and transport</t>
  </si>
  <si>
    <t xml:space="preserve">Individual plans for ages 55 to 64: costs and limits</t>
  </si>
  <si>
    <t xml:space="preserve">Drug coverage limits on guaranteed-issue plans</t>
  </si>
  <si>
    <t xml:space="preserve">– When it fits best: single earners and business owners</t>
  </si>
  <si>
    <t xml:space="preserve">Medication and therapy: do they count against you?</t>
  </si>
  <si>
    <t xml:space="preserve">– Conversion deadlines: the age or policy year in your contract</t>
  </si>
  <si>
    <t xml:space="preserve">Myth 3: You always need a medical exam</t>
  </si>
  <si>
    <t xml:space="preserve">Accidental death during the waiting period</t>
  </si>
  <si>
    <t xml:space="preserve">– Co-signed debts and private student loans</t>
  </si>
  <si>
    <t xml:space="preserve">Covering the family cottage, rental property or business shares</t>
  </si>
  <si>
    <t xml:space="preserve">Separation, divorce and refinancing</t>
  </si>
  <si>
    <t xml:space="preserve">What decides your class</t>
  </si>
  <si>
    <t xml:space="preserve">– Who it protects: the lender</t>
  </si>
  <si>
    <t xml:space="preserve">– Renewable and convertible features</t>
  </si>
  <si>
    <t xml:space="preserve">– Term life insurance</t>
  </si>
  <si>
    <t xml:space="preserve">Is variable life insurance sold in Canada?</t>
  </si>
  <si>
    <t xml:space="preserve">Lower-cost ways to keep protection</t>
  </si>
  <si>
    <t xml:space="preserve">– Coverage amount</t>
  </si>
  <si>
    <t xml:space="preserve">Online products compared: issue ages, maximums, questions (dated table)</t>
  </si>
  <si>
    <t xml:space="preserve">Coverage between jobs: how soon a new plan starts</t>
  </si>
  <si>
    <t xml:space="preserve">Reapplying with another insurer</t>
  </si>
  <si>
    <t xml:space="preserve">When critical illness insurance is not worth it</t>
  </si>
  <si>
    <t xml:space="preserve">– Joint life insurance</t>
  </si>
  <si>
    <t xml:space="preserve">– Guaranteed issue</t>
  </si>
  <si>
    <t xml:space="preserve">Blood, urine and other tests</t>
  </si>
  <si>
    <t xml:space="preserve">– What happens at age 100</t>
  </si>
  <si>
    <t xml:space="preserve">20-year term life insurance</t>
  </si>
  <si>
    <t xml:space="preserve">Replacing group life that ended at retirement</t>
  </si>
  <si>
    <t xml:space="preserve">Naming your estate: pros and cons</t>
  </si>
  <si>
    <t xml:space="preserve">Term vs whole life after 70</t>
  </si>
  <si>
    <t xml:space="preserve">Health factors that matter most after 50</t>
  </si>
  <si>
    <t xml:space="preserve">Option 2: Convert to permanent life insurance</t>
  </si>
  <si>
    <t xml:space="preserve">Cash value and investment accounts compared</t>
  </si>
  <si>
    <t xml:space="preserve">How long payouts usually take</t>
  </si>
  <si>
    <t xml:space="preserve">Critical illness rider vs a standalone policy</t>
  </si>
  <si>
    <t xml:space="preserve">Lapsed policies and grace periods</t>
  </si>
  <si>
    <t xml:space="preserve">– How risk changes with age: under 40, 40 to 60, over 60</t>
  </si>
  <si>
    <t xml:space="preserve">– Dividends and the dividend scale</t>
  </si>
  <si>
    <t xml:space="preserve">Smoking, vaping and cannabis</t>
  </si>
  <si>
    <t xml:space="preserve">– Stage and grade</t>
  </si>
  <si>
    <t xml:space="preserve">– Temporary needs: mortgage, children, income</t>
  </si>
  <si>
    <t xml:space="preserve">Equalising inheritances between children</t>
  </si>
  <si>
    <t xml:space="preserve">Cost comparison over a 25-year mortgage</t>
  </si>
  <si>
    <t xml:space="preserve">Flexible deposits: minimum, target and maximum</t>
  </si>
  <si>
    <t xml:space="preserve">Cost difference (labelled estimates)</t>
  </si>
  <si>
    <t xml:space="preserve">Term, child riders and children's policies</t>
  </si>
  <si>
    <t xml:space="preserve">The capital dividend account explained</t>
  </si>
  <si>
    <t xml:space="preserve">– Build, blood pressure and cholesterol</t>
  </si>
  <si>
    <t xml:space="preserve">Prescription and pharmacy records</t>
  </si>
  <si>
    <t xml:space="preserve">Direct online insurers</t>
  </si>
  <si>
    <t xml:space="preserve">– Why "claim settlement ratio" figures need care in Canada</t>
  </si>
  <si>
    <t xml:space="preserve">The conversion privilege and its limits</t>
  </si>
  <si>
    <t xml:space="preserve">Choosing a term: 10, 20, to 65, to 75 or to 100</t>
  </si>
  <si>
    <t xml:space="preserve">Child riders and RESPs as alternatives</t>
  </si>
  <si>
    <t xml:space="preserve">– Lost income if the working parent cuts hours</t>
  </si>
  <si>
    <t xml:space="preserve">Drug coverage before provincial senior plans start</t>
  </si>
  <si>
    <t xml:space="preserve">Conversion plans as a third route</t>
  </si>
  <si>
    <t xml:space="preserve">What is joint life insurance?</t>
  </si>
  <si>
    <t xml:space="preserve">Time off work and disability claims</t>
  </si>
  <si>
    <t xml:space="preserve">– Which permanent plans are eligible</t>
  </si>
  <si>
    <t xml:space="preserve">Myth 4: Only people with dependants need it</t>
  </si>
  <si>
    <t xml:space="preserve">Which policies have no waiting period</t>
  </si>
  <si>
    <t xml:space="preserve">– A partner, a mortgage or plans for children</t>
  </si>
  <si>
    <t xml:space="preserve">Cost vs two individual permanent policies</t>
  </si>
  <si>
    <t xml:space="preserve">Co-borrowers who aren't spouses</t>
  </si>
  <si>
    <t xml:space="preserve">– Height, weight and BMI build charts</t>
  </si>
  <si>
    <t xml:space="preserve">Mortgage protection insurance (mortgage life insurance)</t>
  </si>
  <si>
    <t xml:space="preserve">Types of term life insurance</t>
  </si>
  <si>
    <t xml:space="preserve">– Whole life insurance</t>
  </si>
  <si>
    <t xml:space="preserve">No-medical options: simplified and guaranteed issue</t>
  </si>
  <si>
    <t xml:space="preserve">A two-minute self-test</t>
  </si>
  <si>
    <t xml:space="preserve">– Payment period: lifetime, 20-pay or 10-pay</t>
  </si>
  <si>
    <t xml:space="preserve">Buying remotely with a licensed advisor (no face-to-face meeting)</t>
  </si>
  <si>
    <t xml:space="preserve">Spouse's plan and provincial programs</t>
  </si>
  <si>
    <t xml:space="preserve">Simplified and guaranteed issue as a fallback</t>
  </si>
  <si>
    <t xml:space="preserve">Critical illness vs emergency savings: a worked example</t>
  </si>
  <si>
    <t xml:space="preserve">– Whole and universal life</t>
  </si>
  <si>
    <t xml:space="preserve">Common conditions and what to expect</t>
  </si>
  <si>
    <t xml:space="preserve">Doctor reports and the MIB</t>
  </si>
  <si>
    <t xml:space="preserve">Term 100 vs whole life insurance</t>
  </si>
  <si>
    <t xml:space="preserve">– Raising children and most mortgages</t>
  </si>
  <si>
    <t xml:space="preserve">Questions to ask before you sign</t>
  </si>
  <si>
    <t xml:space="preserve">Quebec's different rules</t>
  </si>
  <si>
    <t xml:space="preserve">No-medical and guaranteed issue for seniors</t>
  </si>
  <si>
    <t xml:space="preserve">How much cover you still need: debts, income, spouse, estate</t>
  </si>
  <si>
    <t xml:space="preserve">– No new medical questions</t>
  </si>
  <si>
    <t xml:space="preserve">Guarantees and risks compared</t>
  </si>
  <si>
    <t xml:space="preserve">Why claims are delayed or denied: the two-year contestability rule</t>
  </si>
  <si>
    <t xml:space="preserve">Accidental death benefit</t>
  </si>
  <si>
    <t xml:space="preserve">Exclusions on accidental death benefits and riders</t>
  </si>
  <si>
    <t xml:space="preserve">What affects the price</t>
  </si>
  <si>
    <t xml:space="preserve">Cash value vs cash surrender value</t>
  </si>
  <si>
    <t xml:space="preserve">Occupation, hobbies and travel</t>
  </si>
  <si>
    <t xml:space="preserve">– Time since diagnosis and treatment</t>
  </si>
  <si>
    <t xml:space="preserve">– Disciplined investors with TFSA and RRSP room</t>
  </si>
  <si>
    <t xml:space="preserve">Joint last-to-die policies for couples</t>
  </si>
  <si>
    <t xml:space="preserve">Where your bank's mortgage insurance fits</t>
  </si>
  <si>
    <t xml:space="preserve">Death benefit options: level vs level plus account value</t>
  </si>
  <si>
    <t xml:space="preserve">How the Funeral expense desk helps</t>
  </si>
  <si>
    <t xml:space="preserve">A new-parent checklist: will, guardian, beneficiary</t>
  </si>
  <si>
    <t xml:space="preserve">Valuing the business and sizing coverage</t>
  </si>
  <si>
    <t xml:space="preserve">– Medications and follow-up tests</t>
  </si>
  <si>
    <t xml:space="preserve">Paramedical exams, blood and urine tests</t>
  </si>
  <si>
    <t xml:space="preserve">How each is paid: commissions and disclosure</t>
  </si>
  <si>
    <t xml:space="preserve">Complaint records: OLHI and provincial regulators</t>
  </si>
  <si>
    <t xml:space="preserve">Group vs individual coverage compared</t>
  </si>
  <si>
    <t xml:space="preserve">A worked example for a two-income family</t>
  </si>
  <si>
    <t xml:space="preserve">Grandparents buying a policy</t>
  </si>
  <si>
    <t xml:space="preserve">How much cover to buy: worked example</t>
  </si>
  <si>
    <t xml:space="preserve">Travel coverage for early retirees</t>
  </si>
  <si>
    <t xml:space="preserve">Worked example: someone with a chronic prescription</t>
  </si>
  <si>
    <t xml:space="preserve">– Joint first-to-die</t>
  </si>
  <si>
    <t xml:space="preserve">ADHD, PTSD and other diagnoses</t>
  </si>
  <si>
    <t xml:space="preserve">Full vs partial conversion</t>
  </si>
  <si>
    <t xml:space="preserve">Myth 5: Group insurance at work is enough</t>
  </si>
  <si>
    <t xml:space="preserve">Level premiums and lifetime cover: what "rates never go up" really means</t>
  </si>
  <si>
    <t xml:space="preserve">– A family history of illness</t>
  </si>
  <si>
    <t xml:space="preserve">Underwriting when one spouse has health issues</t>
  </si>
  <si>
    <t xml:space="preserve">Couple decision checklist</t>
  </si>
  <si>
    <t xml:space="preserve">– Blood pressure and cholesterol</t>
  </si>
  <si>
    <t xml:space="preserve">– How lender coverage works</t>
  </si>
  <si>
    <t xml:space="preserve">– Level term</t>
  </si>
  <si>
    <t xml:space="preserve">– Universal life insurance</t>
  </si>
  <si>
    <t xml:space="preserve">Joint life insurance: first-to-die and last-to-die</t>
  </si>
  <si>
    <t xml:space="preserve">Michael's take</t>
  </si>
  <si>
    <t xml:space="preserve">Participating vs non-participating whole life cost</t>
  </si>
  <si>
    <t xml:space="preserve">When an instant policy costs more than a fully underwritten one</t>
  </si>
  <si>
    <t xml:space="preserve">Life and disability coverage you can convert too</t>
  </si>
  <si>
    <t xml:space="preserve">Anonymous pre-underwriting before you apply</t>
  </si>
  <si>
    <t xml:space="preserve">Group benefits, disability insurance and critical illness: how they fit together</t>
  </si>
  <si>
    <t xml:space="preserve">– Mortgage life insurance</t>
  </si>
  <si>
    <t xml:space="preserve">– Diabetes</t>
  </si>
  <si>
    <t xml:space="preserve">How long underwriting takes</t>
  </si>
  <si>
    <t xml:space="preserve">Term 100 vs universal life insurance</t>
  </si>
  <si>
    <t xml:space="preserve">30-year term life insurance</t>
  </si>
  <si>
    <t xml:space="preserve">How to change a beneficiary</t>
  </si>
  <si>
    <t xml:space="preserve">When life insurance is worth it after 70</t>
  </si>
  <si>
    <t xml:space="preserve">Replacing group life before retirement</t>
  </si>
  <si>
    <t xml:space="preserve">– Conversion deadlines and eligible plans</t>
  </si>
  <si>
    <t xml:space="preserve">Tax-sheltered growth and exempt-policy limits</t>
  </si>
  <si>
    <t xml:space="preserve">What to do if a claim is denied</t>
  </si>
  <si>
    <t xml:space="preserve">Rider cost and value checklist</t>
  </si>
  <si>
    <t xml:space="preserve">High-risk activities, travel and war exclusions</t>
  </si>
  <si>
    <t xml:space="preserve">– Age at diagnosis</t>
  </si>
  <si>
    <t xml:space="preserve">Using your cash value: policy loans, withdrawals and collateral</t>
  </si>
  <si>
    <t xml:space="preserve">Driving record and criminal record</t>
  </si>
  <si>
    <t xml:space="preserve">– Recurrence and other health issues</t>
  </si>
  <si>
    <t xml:space="preserve">When permanent insurance wins</t>
  </si>
  <si>
    <t xml:space="preserve">Avoiding probate with named beneficiaries</t>
  </si>
  <si>
    <t xml:space="preserve">– A shrinking benefit with a level premium</t>
  </si>
  <si>
    <t xml:space="preserve">Tax implications</t>
  </si>
  <si>
    <t xml:space="preserve">Disability and critical illness buyouts</t>
  </si>
  <si>
    <t xml:space="preserve">– Smoking and lifestyle</t>
  </si>
  <si>
    <t xml:space="preserve">Risk classification: turning your history into a price</t>
  </si>
  <si>
    <t xml:space="preserve">What good advice looks like: experience, underwriting know-how, transparency</t>
  </si>
  <si>
    <t xml:space="preserve">Product range, underwriting and conversion options</t>
  </si>
  <si>
    <t xml:space="preserve">How to size a personal policy around group cover</t>
  </si>
  <si>
    <t xml:space="preserve">Coordinating with disability and group coverage</t>
  </si>
  <si>
    <t xml:space="preserve">Verdict by family situation</t>
  </si>
  <si>
    <t xml:space="preserve">Term length: until the youngest child is independent</t>
  </si>
  <si>
    <t xml:space="preserve">Budgeting health costs from retirement to 65</t>
  </si>
  <si>
    <t xml:space="preserve">How to choose</t>
  </si>
  <si>
    <t xml:space="preserve">– Joint last-to-die</t>
  </si>
  <si>
    <t xml:space="preserve">Disclosure: why honesty protects your claim</t>
  </si>
  <si>
    <t xml:space="preserve">What the new premium costs (example estimate)</t>
  </si>
  <si>
    <t xml:space="preserve">Myth 6: Stay-at-home parents don't need cover</t>
  </si>
  <si>
    <t xml:space="preserve">Questions to ask the insurer</t>
  </si>
  <si>
    <t xml:space="preserve">Locking in insurability and lower rates</t>
  </si>
  <si>
    <t xml:space="preserve">Ownership, beneficiaries and probate</t>
  </si>
  <si>
    <t xml:space="preserve">– Family history</t>
  </si>
  <si>
    <t xml:space="preserve">– Decreasing term (mortgage-style)</t>
  </si>
  <si>
    <t xml:space="preserve">– No-medical life insurance</t>
  </si>
  <si>
    <t xml:space="preserve">Group and creditor life insurance</t>
  </si>
  <si>
    <t xml:space="preserve">FAQ</t>
  </si>
  <si>
    <t xml:space="preserve">Whole life vs term life: the price gap</t>
  </si>
  <si>
    <t xml:space="preserve">Provinces where online buying is limited</t>
  </si>
  <si>
    <t xml:space="preserve">A 30-day action checklist</t>
  </si>
  <si>
    <t xml:space="preserve">Improving your insurability over time</t>
  </si>
  <si>
    <t xml:space="preserve">A five-question decision tree</t>
  </si>
  <si>
    <t xml:space="preserve">– Children's life insurance and child riders</t>
  </si>
  <si>
    <t xml:space="preserve">– Cancer history</t>
  </si>
  <si>
    <t xml:space="preserve">Exam-day preparation checklist</t>
  </si>
  <si>
    <t xml:space="preserve">Term 100 vs a 20 or 30-year term</t>
  </si>
  <si>
    <t xml:space="preserve">– Young families and first-time buyers</t>
  </si>
  <si>
    <t xml:space="preserve">– Final expenses</t>
  </si>
  <si>
    <t xml:space="preserve">Types compared: term, whole, universal, simplified and guaranteed issue</t>
  </si>
  <si>
    <t xml:space="preserve">Option 3: Apply for a new term policy</t>
  </si>
  <si>
    <t xml:space="preserve">Waiting periods on no-medical policies</t>
  </si>
  <si>
    <t xml:space="preserve">– Type of diabetes and treatment (insulin or oral medication)</t>
  </si>
  <si>
    <t xml:space="preserve">Dividend options: paid-up additions, cash or premium reduction</t>
  </si>
  <si>
    <t xml:space="preserve">Coverage amount, term length and policy type</t>
  </si>
  <si>
    <t xml:space="preserve">Typical postponement periods by cancer type</t>
  </si>
  <si>
    <t xml:space="preserve">– Lifelong needs: estate taxes, final expenses, a dependant with a disability</t>
  </si>
  <si>
    <t xml:space="preserve">Charitable gifts with life insurance</t>
  </si>
  <si>
    <t xml:space="preserve">Which to choose: decision guide</t>
  </si>
  <si>
    <t xml:space="preserve">– Tax-exempt growth and the exempt test</t>
  </si>
  <si>
    <t xml:space="preserve">Setup checklist with your lawyer and accountant</t>
  </si>
  <si>
    <t xml:space="preserve">How long insurers wait after a cardiac event (timeline)</t>
  </si>
  <si>
    <t xml:space="preserve">Leaving something out: misrepresentation and the two-year rule</t>
  </si>
  <si>
    <t xml:space="preserve">How to check a licence in your province</t>
  </si>
  <si>
    <t xml:space="preserve">Service: online tools, advisors and policy changes</t>
  </si>
  <si>
    <t xml:space="preserve">How insurers set limits for a parent without income</t>
  </si>
  <si>
    <t xml:space="preserve">Key differences</t>
  </si>
  <si>
    <t xml:space="preserve">No-medical options if you are declined</t>
  </si>
  <si>
    <t xml:space="preserve">When converting makes sense</t>
  </si>
  <si>
    <t xml:space="preserve">Myth 7: You're too young to need it</t>
  </si>
  <si>
    <t xml:space="preserve">What it costs in your 20s (labelled estimates)</t>
  </si>
  <si>
    <t xml:space="preserve">Last-to-die cover for blended families</t>
  </si>
  <si>
    <t xml:space="preserve">– Smoking, vaping and cannabis</t>
  </si>
  <si>
    <t xml:space="preserve">– Underwriting at claim time: what to check</t>
  </si>
  <si>
    <t xml:space="preserve">– Increasing and indexed term</t>
  </si>
  <si>
    <t xml:space="preserve">How life insurance is priced</t>
  </si>
  <si>
    <t xml:space="preserve">Side-by-side comparison table</t>
  </si>
  <si>
    <t xml:space="preserve">Q: Do I need life insurance if I'm single with no kids?</t>
  </si>
  <si>
    <t xml:space="preserve">Is whole life insurance worth the cost?</t>
  </si>
  <si>
    <t xml:space="preserve">How to apply online without misstatements</t>
  </si>
  <si>
    <t xml:space="preserve">How to buy only the coverage you need</t>
  </si>
  <si>
    <t xml:space="preserve">Comparison table: family life insurance options</t>
  </si>
  <si>
    <t xml:space="preserve">– Heart conditions</t>
  </si>
  <si>
    <t xml:space="preserve">No-exam alternatives and when they cost more</t>
  </si>
  <si>
    <t xml:space="preserve">How much does term 100 cost? (example estimates)</t>
  </si>
  <si>
    <t xml:space="preserve">Term to 65 and term to 100</t>
  </si>
  <si>
    <t xml:space="preserve">Q: Can I get funeral insurance at 80?</t>
  </si>
  <si>
    <t xml:space="preserve">– Estate taxes and leaving an inheritance</t>
  </si>
  <si>
    <t xml:space="preserve">Option 4: Let the policy expire</t>
  </si>
  <si>
    <t xml:space="preserve">Comparison table</t>
  </si>
  <si>
    <t xml:space="preserve">How to read the fine print before you sign</t>
  </si>
  <si>
    <t xml:space="preserve">– A1C and blood sugar control</t>
  </si>
  <si>
    <t xml:space="preserve">Par vs non-par whole life</t>
  </si>
  <si>
    <t xml:space="preserve">How quotes are calculated</t>
  </si>
  <si>
    <t xml:space="preserve">Your options by stage of recovery</t>
  </si>
  <si>
    <t xml:space="preserve">– Tax-sheltered growth after registered room is full</t>
  </si>
  <si>
    <t xml:space="preserve">Worked example: a cottage-owning couple</t>
  </si>
  <si>
    <t xml:space="preserve">– Withdrawals, policy loans and taxable gains</t>
  </si>
  <si>
    <t xml:space="preserve">Q: What health questions do funeral insurance applications ask?</t>
  </si>
  <si>
    <t xml:space="preserve">Q: When should new parents buy life insurance?</t>
  </si>
  <si>
    <t xml:space="preserve">Stents, bypass surgery, heart failure and atrial fibrillation</t>
  </si>
  <si>
    <t xml:space="preserve">Your privacy rights and consent</t>
  </si>
  <si>
    <t xml:space="preserve">Questions to ask before you buy</t>
  </si>
  <si>
    <t xml:space="preserve">Can you trust online reviews of insurers?</t>
  </si>
  <si>
    <t xml:space="preserve">Term vs permanent for a stay-at-home parent</t>
  </si>
  <si>
    <t xml:space="preserve">– Coverage and payouts</t>
  </si>
  <si>
    <t xml:space="preserve">– Your health has changed</t>
  </si>
  <si>
    <t xml:space="preserve">Myth 8: You're too old to get it</t>
  </si>
  <si>
    <t xml:space="preserve">When you can safely wait</t>
  </si>
  <si>
    <t xml:space="preserve">Q: Does joint mortgage insurance pay out twice if both partners die?</t>
  </si>
  <si>
    <t xml:space="preserve">Worked example: one diabetic applicant across rating classes</t>
  </si>
  <si>
    <t xml:space="preserve">Mortgage default vs mortgage protection vs mortgage loan insurance: comparison table</t>
  </si>
  <si>
    <t xml:space="preserve">– Yearly renewable term (YRT)</t>
  </si>
  <si>
    <t xml:space="preserve">How payouts work</t>
  </si>
  <si>
    <t xml:space="preserve">How to choose the right type</t>
  </si>
  <si>
    <t xml:space="preserve">Q: Is life insurance worth it after the mortgage is paid?</t>
  </si>
  <si>
    <t xml:space="preserve">Ways to make permanent cover affordable</t>
  </si>
  <si>
    <t xml:space="preserve">How much cover a family needs</t>
  </si>
  <si>
    <t xml:space="preserve">– High blood pressure and cholesterol</t>
  </si>
  <si>
    <t xml:space="preserve">Who term 100 suits</t>
  </si>
  <si>
    <t xml:space="preserve">How price changes with term length (example estimates)</t>
  </si>
  <si>
    <t xml:space="preserve">Q: Is there an age limit for funeral insurance?</t>
  </si>
  <si>
    <t xml:space="preserve">Q: Can I name my child as a life insurance beneficiary in Canada?</t>
  </si>
  <si>
    <t xml:space="preserve">– Debts and a surviving spouse's income</t>
  </si>
  <si>
    <t xml:space="preserve">What to weigh before you decide</t>
  </si>
  <si>
    <t xml:space="preserve">Who each one suits</t>
  </si>
  <si>
    <t xml:space="preserve">Q: How long does a life insurance payout take in Canada?</t>
  </si>
  <si>
    <t xml:space="preserve">Q: Is a waiver of premium rider worth it?</t>
  </si>
  <si>
    <t xml:space="preserve">– Complications: kidney, eye, nerve and heart</t>
  </si>
  <si>
    <t xml:space="preserve">How cash value growth is taxed (exempt policies)</t>
  </si>
  <si>
    <t xml:space="preserve">– Mortality tables and actuarial pricing</t>
  </si>
  <si>
    <t xml:space="preserve">– During treatment: guaranteed issue</t>
  </si>
  <si>
    <t xml:space="preserve">– Guarantees vs market risk</t>
  </si>
  <si>
    <t xml:space="preserve">– The tax-free death benefit</t>
  </si>
  <si>
    <t xml:space="preserve">Q: Can I get funeral insurance with diabetes or heart disease?</t>
  </si>
  <si>
    <t xml:space="preserve">Q: Can I get life insurance while on maternity or parental leave?</t>
  </si>
  <si>
    <t xml:space="preserve">Your options: traditional, simplified and guaranteed issue</t>
  </si>
  <si>
    <t xml:space="preserve">Red flags: signs of an unreliable seller</t>
  </si>
  <si>
    <t xml:space="preserve">Q: How much life insurance does an employer usually provide?</t>
  </si>
  <si>
    <t xml:space="preserve">Q: Is $50,000 enough critical illness insurance?</t>
  </si>
  <si>
    <t xml:space="preserve">Q: How much does life insurance for a child cost in Canada?</t>
  </si>
  <si>
    <t xml:space="preserve">Q: What happens to my health benefits when I retire early?</t>
  </si>
  <si>
    <t xml:space="preserve">Q: Can I get health insurance with a pre-existing condition in Canada?</t>
  </si>
  <si>
    <t xml:space="preserve">– Cost</t>
  </si>
  <si>
    <t xml:space="preserve">– You need cover for life: estate, final expenses, a dependant with a disability</t>
  </si>
  <si>
    <t xml:space="preserve">Myth 9: Pre-existing conditions disqualify you</t>
  </si>
  <si>
    <t xml:space="preserve">Q: Does all funeral insurance have a waiting period?</t>
  </si>
  <si>
    <t xml:space="preserve">Group coverage through work: is it enough?</t>
  </si>
  <si>
    <t xml:space="preserve">Q: What happens to joint mortgage insurance if we separate?</t>
  </si>
  <si>
    <t xml:space="preserve">Rating class price impact table</t>
  </si>
  <si>
    <t xml:space="preserve">Is mortgage life insurance mandatory?</t>
  </si>
  <si>
    <t xml:space="preserve">How much does term life insurance cost?</t>
  </si>
  <si>
    <t xml:space="preserve">– Is the death benefit taxable?</t>
  </si>
  <si>
    <t xml:space="preserve">Q: Is it smarter to invest instead of buying life insurance?</t>
  </si>
  <si>
    <t xml:space="preserve">– Term to 100</t>
  </si>
  <si>
    <t xml:space="preserve">Q: How long do I have to convert my group health benefits?</t>
  </si>
  <si>
    <t xml:space="preserve">Q: Can I get the reason my life insurance was declined?</t>
  </si>
  <si>
    <t xml:space="preserve">– Mental health</t>
  </si>
  <si>
    <t xml:space="preserve">– Estate taxes and final expenses</t>
  </si>
  <si>
    <t xml:space="preserve">Matching your term to your mortgage and your kids</t>
  </si>
  <si>
    <t xml:space="preserve">Q: Do seniors need a medical exam for funeral insurance?</t>
  </si>
  <si>
    <t xml:space="preserve">Q: What happens if my beneficiary dies before me?</t>
  </si>
  <si>
    <t xml:space="preserve">– A dependant with special needs</t>
  </si>
  <si>
    <t xml:space="preserve">Q: Can I get 20-year term life insurance at 50?</t>
  </si>
  <si>
    <t xml:space="preserve">– Your health today</t>
  </si>
  <si>
    <t xml:space="preserve">Q: What documents do I need to claim life insurance?</t>
  </si>
  <si>
    <t xml:space="preserve">Q: Can I add a rider after my policy starts?</t>
  </si>
  <si>
    <t xml:space="preserve">– Other conditions: blood pressure, cholesterol, weight</t>
  </si>
  <si>
    <t xml:space="preserve">Reading a policy illustration line by line</t>
  </si>
  <si>
    <t xml:space="preserve">– Risk classes</t>
  </si>
  <si>
    <t xml:space="preserve">– After treatment: simplified issue</t>
  </si>
  <si>
    <t xml:space="preserve">The behaviour risk: actually investing the difference</t>
  </si>
  <si>
    <t xml:space="preserve">Q: Is decreasing term life insurance available in Canada?</t>
  </si>
  <si>
    <t xml:space="preserve">Risks: lapse, market returns and rising YRT costs</t>
  </si>
  <si>
    <t xml:space="preserve">Q: Is guaranteed acceptance funeral insurance more expensive?</t>
  </si>
  <si>
    <t xml:space="preserve">Q: How much life insurance does a stay-at-home parent need?</t>
  </si>
  <si>
    <t xml:space="preserve">Q: Who should own buy-sell life insurance, the partners or the company?</t>
  </si>
  <si>
    <t xml:space="preserve">Will existing life insurance pay after a heart attack?</t>
  </si>
  <si>
    <t xml:space="preserve">Q: Can I keep my group life insurance if I quit?</t>
  </si>
  <si>
    <t xml:space="preserve">Q: Should critical illness coverage equal my annual salary?</t>
  </si>
  <si>
    <t xml:space="preserve">Q: Can grandparents buy life insurance on a grandchild?</t>
  </si>
  <si>
    <t xml:space="preserve">Q: Can I get health insurance at 60 without a medical?</t>
  </si>
  <si>
    <t xml:space="preserve">Q: What does guaranteed issue mean?</t>
  </si>
  <si>
    <t xml:space="preserve">– Flexibility after life changes</t>
  </si>
  <si>
    <t xml:space="preserve">Q: Does seeing a therapist affect life insurance?</t>
  </si>
  <si>
    <t xml:space="preserve">When it doesn't: lower-cost alternatives</t>
  </si>
  <si>
    <t xml:space="preserve">Myth 10: Investing beats insurance every time</t>
  </si>
  <si>
    <t xml:space="preserve">Q: What happens if I die during the waiting period?</t>
  </si>
  <si>
    <t xml:space="preserve">Term, permanent or a convertible term policy?</t>
  </si>
  <si>
    <t xml:space="preserve">Q: When does last-to-die life insurance make sense?</t>
  </si>
  <si>
    <t xml:space="preserve">Q: Can unmarried co-owners get joint mortgage insurance?</t>
  </si>
  <si>
    <t xml:space="preserve">How to ask for a reconsideration</t>
  </si>
  <si>
    <t xml:space="preserve">Why term life insurance can be a better fit</t>
  </si>
  <si>
    <t xml:space="preserve">– What drives your premium: age, health, smoking, amount and term</t>
  </si>
  <si>
    <t xml:space="preserve">– Paying final expenses</t>
  </si>
  <si>
    <t xml:space="preserve">Q: Should retirees keep life insurance?</t>
  </si>
  <si>
    <t xml:space="preserve">– Blending term and permanent</t>
  </si>
  <si>
    <t xml:space="preserve">Q: Can I get life insurance coverage the same day in Canada?</t>
  </si>
  <si>
    <t xml:space="preserve">Q: Do my benefits continue during the notice period?</t>
  </si>
  <si>
    <t xml:space="preserve">Q: Will one decline stop other insurers from approving me?</t>
  </si>
  <si>
    <t xml:space="preserve">Q: Is critical illness insurance a waste of money?</t>
  </si>
  <si>
    <t xml:space="preserve">How to buy family life insurance</t>
  </si>
  <si>
    <t xml:space="preserve">– Other chronic conditions</t>
  </si>
  <si>
    <t xml:space="preserve">Q: Who pays for a life insurance medical exam?</t>
  </si>
  <si>
    <t xml:space="preserve">– Leaving an inheritance</t>
  </si>
  <si>
    <t xml:space="preserve">Laddering two policies instead of one</t>
  </si>
  <si>
    <t xml:space="preserve">Q: Should I buy funeral insurance or save the money?</t>
  </si>
  <si>
    <t xml:space="preserve">Q: Should I name my estate as beneficiary?</t>
  </si>
  <si>
    <t xml:space="preserve">– Charitable giving</t>
  </si>
  <si>
    <t xml:space="preserve">Q: Is no-medical life insurance worth it at 50?</t>
  </si>
  <si>
    <t xml:space="preserve">– Debts and dependants still relying on you</t>
  </si>
  <si>
    <t xml:space="preserve">Q: Can a life insurance claim be denied after two years?</t>
  </si>
  <si>
    <t xml:space="preserve">Q: Does a child term rider cover all my children?</t>
  </si>
  <si>
    <t xml:space="preserve">Q: Does life insurance pay out for suicide in Canada?</t>
  </si>
  <si>
    <t xml:space="preserve">Prediabetes and gestational diabetes</t>
  </si>
  <si>
    <t xml:space="preserve">When participating whole life fits, and when it doesn't</t>
  </si>
  <si>
    <t xml:space="preserve">– Medical exams and records</t>
  </si>
  <si>
    <t xml:space="preserve">– In remission: fully underwritten (standard or rated)</t>
  </si>
  <si>
    <t xml:space="preserve">Is life insurance an investment? Myth vs reality</t>
  </si>
  <si>
    <t xml:space="preserve">Q: Do you pay capital gains tax on a cottage when you die in Canada?</t>
  </si>
  <si>
    <t xml:space="preserve">Q: Is decreasing term cheaper than level term?</t>
  </si>
  <si>
    <t xml:space="preserve">Universal life vs whole life vs term</t>
  </si>
  <si>
    <t xml:space="preserve">Q: What if I answer a health question wrong?</t>
  </si>
  <si>
    <t xml:space="preserve">Q: Should I name my baby as a beneficiary?</t>
  </si>
  <si>
    <t xml:space="preserve">Q: How much buy-sell coverage do we need?</t>
  </si>
  <si>
    <t xml:space="preserve">How lifestyle changes help your rating</t>
  </si>
  <si>
    <t xml:space="preserve">Q: Can life insurance companies see my medical records without consent?</t>
  </si>
  <si>
    <t xml:space="preserve">Q: Is it cheaper to buy life insurance directly from an insurer?</t>
  </si>
  <si>
    <t xml:space="preserve">Q: Is optional group life cheaper than individual term?</t>
  </si>
  <si>
    <t xml:space="preserve">Q: How long should my critical illness term be?</t>
  </si>
  <si>
    <t xml:space="preserve">Q: Is a child term rider enough?</t>
  </si>
  <si>
    <t xml:space="preserve">Q: How much life insurance does a stay-at-home mom or dad need?</t>
  </si>
  <si>
    <t xml:space="preserve">Q: When do provincial drug plans start covering seniors?</t>
  </si>
  <si>
    <t xml:space="preserve">Q: Do guaranteed-issue plans cover existing prescriptions?</t>
  </si>
  <si>
    <t xml:space="preserve">Joint vs individual term life</t>
  </si>
  <si>
    <t xml:space="preserve">Q: Can I get life insurance if I take antidepressants?</t>
  </si>
  <si>
    <t xml:space="preserve">How to convert, step by step</t>
  </si>
  <si>
    <t xml:space="preserve">Myth 11: Permanent insurance is only for the wealthy</t>
  </si>
  <si>
    <t xml:space="preserve">Q: Is accidental death covered from day one?</t>
  </si>
  <si>
    <t xml:space="preserve">Q: Is joint last-to-die cheaper than two policies?</t>
  </si>
  <si>
    <t xml:space="preserve">Q: Is joint mortgage insurance cheaper than two policies?</t>
  </si>
  <si>
    <t xml:space="preserve">– A fixed benefit</t>
  </si>
  <si>
    <t xml:space="preserve">– Example estimates by age (labelled, dated)</t>
  </si>
  <si>
    <t xml:space="preserve">– Paying off the mortgage</t>
  </si>
  <si>
    <t xml:space="preserve">Q: What is the most common type of life insurance in Canada?</t>
  </si>
  <si>
    <t xml:space="preserve">– Converting term later</t>
  </si>
  <si>
    <t xml:space="preserve">Q: Is buying life insurance online cheaper?</t>
  </si>
  <si>
    <t xml:space="preserve">Q: Is a conversion plan more expensive than a new plan?</t>
  </si>
  <si>
    <t xml:space="preserve">Q: How long should I wait before reapplying?</t>
  </si>
  <si>
    <t xml:space="preserve">Q: Do I need critical illness insurance if I have group benefits?</t>
  </si>
  <si>
    <t xml:space="preserve">– Work out your family's needs</t>
  </si>
  <si>
    <t xml:space="preserve">Disclose your full medical history: why it protects your claim</t>
  </si>
  <si>
    <t xml:space="preserve">Q: Can I eat before a life insurance blood test?</t>
  </si>
  <si>
    <t xml:space="preserve">– Business owners funding buy-sell agreements</t>
  </si>
  <si>
    <t xml:space="preserve">Term length decision table</t>
  </si>
  <si>
    <t xml:space="preserve">Q: Can I change my beneficiary without telling them?</t>
  </si>
  <si>
    <t xml:space="preserve">What it costs: labelled estimates by age</t>
  </si>
  <si>
    <t xml:space="preserve">Q: How much does $250,000 of life insurance cost at 50?</t>
  </si>
  <si>
    <t xml:space="preserve">– Affordability on a fixed income</t>
  </si>
  <si>
    <t xml:space="preserve">Q: Can a universal life policy lapse?</t>
  </si>
  <si>
    <t xml:space="preserve">Q: Who do I complain to if my claim is denied?</t>
  </si>
  <si>
    <t xml:space="preserve">Q: Is a critical illness rider the same as critical illness insurance?</t>
  </si>
  <si>
    <t xml:space="preserve">Q: Does life insurance cover death from a drug overdose?</t>
  </si>
  <si>
    <t xml:space="preserve">Fully underwritten vs no-medical options</t>
  </si>
  <si>
    <t xml:space="preserve">Temporary health issues vs chronic conditions</t>
  </si>
  <si>
    <t xml:space="preserve">Cancer-type table: skin, breast, prostate, thyroid, colon and blood cancers</t>
  </si>
  <si>
    <t xml:space="preserve">Q: How much life insurance do I need to cover estate taxes?</t>
  </si>
  <si>
    <t xml:space="preserve">Q: Does lender mortgage insurance work like decreasing term?</t>
  </si>
  <si>
    <t xml:space="preserve">Is universal life insurance right for you?</t>
  </si>
  <si>
    <t xml:space="preserve">Q: Is the payout tax-free to the corporation?</t>
  </si>
  <si>
    <t xml:space="preserve">Cardiology reports to request before you apply</t>
  </si>
  <si>
    <t xml:space="preserve">Q: Do insurers check pharmacy records in Canada?</t>
  </si>
  <si>
    <t xml:space="preserve">Q: How are life insurance brokers paid in Canada?</t>
  </si>
  <si>
    <t xml:space="preserve">Q: How do I know if a life insurance company is reputable?</t>
  </si>
  <si>
    <t xml:space="preserve">Q: Does group life insurance cover me after retirement?</t>
  </si>
  <si>
    <t xml:space="preserve">Q: Does group critical illness coverage count toward what I need?</t>
  </si>
  <si>
    <t xml:space="preserve">Q: Who owns a child's life insurance policy?</t>
  </si>
  <si>
    <t xml:space="preserve">Q: Can you get life insurance without an income?</t>
  </si>
  <si>
    <t xml:space="preserve">Q: Should early retirees keep travel insurance?</t>
  </si>
  <si>
    <t xml:space="preserve">Q: Is underwritten health insurance cheaper?</t>
  </si>
  <si>
    <t xml:space="preserve">Joint vs individual permanent life</t>
  </si>
  <si>
    <t xml:space="preserve">Q: Will a past suicide attempt mean a decline?</t>
  </si>
  <si>
    <t xml:space="preserve">Myth 12: Ten times your salary is always enough</t>
  </si>
  <si>
    <t xml:space="preserve">Q: Can I switch to a policy without a waiting period?</t>
  </si>
  <si>
    <t xml:space="preserve">Q: Can one spouse be uninsurable and still get joint last-to-die?</t>
  </si>
  <si>
    <t xml:space="preserve">Pros and cons of term life insurance</t>
  </si>
  <si>
    <t xml:space="preserve">Life insurance with health issues</t>
  </si>
  <si>
    <t xml:space="preserve">Q: Is term to 100 the same as whole life?</t>
  </si>
  <si>
    <t xml:space="preserve">Q: What happens if an online application is referred to underwriting?</t>
  </si>
  <si>
    <t xml:space="preserve">Q: Can I get health insurance with a pre-existing condition after leaving work?</t>
  </si>
  <si>
    <t xml:space="preserve">Q: What is anonymous pre-underwriting?</t>
  </si>
  <si>
    <t xml:space="preserve">Q: What are the downsides of critical illness insurance?</t>
  </si>
  <si>
    <t xml:space="preserve">– Compare insurers and policy types</t>
  </si>
  <si>
    <t xml:space="preserve">Q: What is the MIB and can I see my file?</t>
  </si>
  <si>
    <t xml:space="preserve">Drawbacks to know</t>
  </si>
  <si>
    <t xml:space="preserve">The medical questions to expect</t>
  </si>
  <si>
    <t xml:space="preserve">Q: Should I buy permanent life insurance at 50?</t>
  </si>
  <si>
    <t xml:space="preserve">– Estate planning and final expenses</t>
  </si>
  <si>
    <t xml:space="preserve">Q: Which is cheaper, whole life or universal life?</t>
  </si>
  <si>
    <t xml:space="preserve">Q: Will life insurance pay if I die abroad?</t>
  </si>
  <si>
    <t xml:space="preserve">Term vs permanent cover for diabetics</t>
  </si>
  <si>
    <t xml:space="preserve">Why quotes from different insurers vary</t>
  </si>
  <si>
    <t xml:space="preserve">Records to gather before you apply</t>
  </si>
  <si>
    <t xml:space="preserve">Q: Can I reduce a level term policy later?</t>
  </si>
  <si>
    <t xml:space="preserve">Buying universal life insurance, step by step</t>
  </si>
  <si>
    <t xml:space="preserve">Q: What happens to the policy if a partner leaves?</t>
  </si>
  <si>
    <t xml:space="preserve">Q: What is the MIB and can I correct my file?</t>
  </si>
  <si>
    <t xml:space="preserve">Q: Can a bank advisor sell me any insurer's policy?</t>
  </si>
  <si>
    <t xml:space="preserve">Q: What happens to my policy if my insurer goes bankrupt?</t>
  </si>
  <si>
    <t xml:space="preserve">Q: Is spousal coverage through work enough?</t>
  </si>
  <si>
    <t xml:space="preserve">Scenarios: married couples, business partners, parents and adult children</t>
  </si>
  <si>
    <t xml:space="preserve">Q: Does ADHD affect life insurance in Canada?</t>
  </si>
  <si>
    <t xml:space="preserve">Q: Is it worth getting life insurance at 25?</t>
  </si>
  <si>
    <t xml:space="preserve">Q: What happens to the policy after a divorce?</t>
  </si>
  <si>
    <t xml:space="preserve">Q: What is the top rating class for life insurance?</t>
  </si>
  <si>
    <t xml:space="preserve">– You choose the beneficiary</t>
  </si>
  <si>
    <t xml:space="preserve">– Pros: affordability, simplicity, flexibility</t>
  </si>
  <si>
    <t xml:space="preserve">How much life insurance you need</t>
  </si>
  <si>
    <t xml:space="preserve">Q: Which types of life insurance build cash value?</t>
  </si>
  <si>
    <t xml:space="preserve">Q: Can I buy life insurance online in Quebec?</t>
  </si>
  <si>
    <t xml:space="preserve">Q: Is critical illness insurance worth it for a 30-year-old?</t>
  </si>
  <si>
    <t xml:space="preserve">– Work with a licensed advisor</t>
  </si>
  <si>
    <t xml:space="preserve">How a licensed advisor helps: shopping underwriting, not just price</t>
  </si>
  <si>
    <t xml:space="preserve">Q: How long does life insurance underwriting take in Canada?</t>
  </si>
  <si>
    <t xml:space="preserve">– The policy lapses if you stop paying</t>
  </si>
  <si>
    <t xml:space="preserve">Renew vs convert vs new policy: comparison table</t>
  </si>
  <si>
    <t xml:space="preserve">Q: Can I switch from universal life to whole life?</t>
  </si>
  <si>
    <t xml:space="preserve">Q: Can an insurer refuse to pay after two years?</t>
  </si>
  <si>
    <t xml:space="preserve">The underwriting process: tests, records and timing</t>
  </si>
  <si>
    <t xml:space="preserve">Q: Are whole life dividends guaranteed?</t>
  </si>
  <si>
    <t xml:space="preserve">How to lower your life insurance rate</t>
  </si>
  <si>
    <t xml:space="preserve">Critical illness insurance after cancer</t>
  </si>
  <si>
    <t xml:space="preserve">Q: Is whole life insurance a good investment in Canada?</t>
  </si>
  <si>
    <t xml:space="preserve">Q: What is the best way to leave money to family?</t>
  </si>
  <si>
    <t xml:space="preserve">– Work out your insurance need</t>
  </si>
  <si>
    <t xml:space="preserve">Q: Can an insurer deny a claim for something I didn't disclose?</t>
  </si>
  <si>
    <t xml:space="preserve">Q: Do I pay more if I use a broker?</t>
  </si>
  <si>
    <t xml:space="preserve">Q: Can I switch insurance companies later?</t>
  </si>
  <si>
    <t xml:space="preserve">Q: What does it cost to insure a stay-at-home parent?</t>
  </si>
  <si>
    <t xml:space="preserve">Underwriting for joint life: how two health histories combine</t>
  </si>
  <si>
    <t xml:space="preserve">Q: Do I need a medical exam to convert term life insurance?</t>
  </si>
  <si>
    <t xml:space="preserve">Q: Are student loans forgiven if you die in Canada?</t>
  </si>
  <si>
    <t xml:space="preserve">Q: Can my rating class improve later?</t>
  </si>
  <si>
    <t xml:space="preserve">– It moves with you when you switch lenders</t>
  </si>
  <si>
    <t xml:space="preserve">– Cons: temporary cover, no cash value, renewal increases</t>
  </si>
  <si>
    <t xml:space="preserve">How to buy: online, through an advisor or at work</t>
  </si>
  <si>
    <t xml:space="preserve">Q: Can I combine term and permanent life insurance?</t>
  </si>
  <si>
    <t xml:space="preserve">Q: Why is whole life insurance so expensive?</t>
  </si>
  <si>
    <t xml:space="preserve">– Know your policy before you sign</t>
  </si>
  <si>
    <t xml:space="preserve">Improving your insurability</t>
  </si>
  <si>
    <t xml:space="preserve">– Availability varies by insurer</t>
  </si>
  <si>
    <t xml:space="preserve">Q: Is 20-year or 30-year term life insurance better value?</t>
  </si>
  <si>
    <t xml:space="preserve">A five-year checklist before your term ends</t>
  </si>
  <si>
    <t xml:space="preserve">Q: Does universal life insurance build cash value?</t>
  </si>
  <si>
    <t xml:space="preserve">What helps your case and what hurts it</t>
  </si>
  <si>
    <t xml:space="preserve">Q: Can I borrow against the cash value of my policy?</t>
  </si>
  <si>
    <t xml:space="preserve">Q: What if I can't keep investing every month?</t>
  </si>
  <si>
    <t xml:space="preserve">– Choose a licensed advisor</t>
  </si>
  <si>
    <t xml:space="preserve">Q: How long after a heart attack can I get life insurance?</t>
  </si>
  <si>
    <t xml:space="preserve">Q: Can I trust online reviews about insurance companies?</t>
  </si>
  <si>
    <t xml:space="preserve">What happens if you separate or divorce</t>
  </si>
  <si>
    <t xml:space="preserve">Q: Can I convert only part of my coverage?</t>
  </si>
  <si>
    <t xml:space="preserve">Q: Is life insurance a waste of money?</t>
  </si>
  <si>
    <t xml:space="preserve">Q: How much life insurance should a 25-year-old get?</t>
  </si>
  <si>
    <t xml:space="preserve">Q: Does BMI affect life insurance rates in Canada?</t>
  </si>
  <si>
    <t xml:space="preserve">When lender coverage can make sense</t>
  </si>
  <si>
    <t xml:space="preserve">Is term insurance a waste if you outlive it?</t>
  </si>
  <si>
    <t xml:space="preserve">Q: Is limited-pay whole life worth it?</t>
  </si>
  <si>
    <t xml:space="preserve">Choosing the right amount when cover is rated</t>
  </si>
  <si>
    <t xml:space="preserve">Q: Can I renew a 10-year term policy?</t>
  </si>
  <si>
    <t xml:space="preserve">Q: Can I buy term life insurance at 70?</t>
  </si>
  <si>
    <t xml:space="preserve">Diabetes underwriting factor matrix</t>
  </si>
  <si>
    <t xml:space="preserve">Q: Is the cash surrender value taxable?</t>
  </si>
  <si>
    <t xml:space="preserve">Q: Does buy term and invest work for business owners?</t>
  </si>
  <si>
    <t xml:space="preserve">– Medical underwriting</t>
  </si>
  <si>
    <t xml:space="preserve">Q: Can you get life insurance with a stent?</t>
  </si>
  <si>
    <t xml:space="preserve">Pros and cons table</t>
  </si>
  <si>
    <t xml:space="preserve">Q: Does my premium go up when I convert?</t>
  </si>
  <si>
    <t xml:space="preserve">Q: Can I get life insurance without a medical exam?</t>
  </si>
  <si>
    <t xml:space="preserve">Q: Can I increase my coverage later?</t>
  </si>
  <si>
    <t xml:space="preserve">Q: What does a table 2 rating mean?</t>
  </si>
  <si>
    <t xml:space="preserve">Questions to ask at signing</t>
  </si>
  <si>
    <t xml:space="preserve">Who term life insurance suits</t>
  </si>
  <si>
    <t xml:space="preserve">Q: How much is a $100,000 whole life policy?</t>
  </si>
  <si>
    <t xml:space="preserve">Q: Should my term match my mortgage amortization?</t>
  </si>
  <si>
    <t xml:space="preserve">Q: What is the oldest age to get life insurance in Canada?</t>
  </si>
  <si>
    <t xml:space="preserve">Q: What happens if the insurer cuts its dividend scale?</t>
  </si>
  <si>
    <t xml:space="preserve">Q: How are life insurance quotes determined?</t>
  </si>
  <si>
    <t xml:space="preserve">Q: How long after cancer can I get life insurance?</t>
  </si>
  <si>
    <t xml:space="preserve">Q: Can I do both: term now and permanent later?</t>
  </si>
  <si>
    <t xml:space="preserve">– Policy issue and annual statements</t>
  </si>
  <si>
    <t xml:space="preserve">Q: Can you get life insurance after heart bypass surgery?</t>
  </si>
  <si>
    <t xml:space="preserve">Q: What happens if I miss the conversion deadline?</t>
  </si>
  <si>
    <t xml:space="preserve">Q: Does life insurance cover suicide in Canada?</t>
  </si>
  <si>
    <t xml:space="preserve">– Young families</t>
  </si>
  <si>
    <t xml:space="preserve">Q: How does a life insurance payout work in Canada?</t>
  </si>
  <si>
    <t xml:space="preserve">Q: Can I lower my whole life premium later?</t>
  </si>
  <si>
    <t xml:space="preserve">Q: What type of life insurance is best for a family?</t>
  </si>
  <si>
    <t xml:space="preserve">Q: Is term 100 the same as whole life insurance?</t>
  </si>
  <si>
    <t xml:space="preserve">Q: Can I shorten or reduce my term later?</t>
  </si>
  <si>
    <t xml:space="preserve">Q: Is life insurance worth it after 70?</t>
  </si>
  <si>
    <t xml:space="preserve">Q: Does term life insurance renew automatically in Canada?</t>
  </si>
  <si>
    <t xml:space="preserve">Q: Is life insurance more expensive as you age?</t>
  </si>
  <si>
    <t xml:space="preserve">Q: Can a stage 4 cancer patient get life insurance?</t>
  </si>
  <si>
    <t xml:space="preserve">Q: Does atrial fibrillation affect life insurance?</t>
  </si>
  <si>
    <t xml:space="preserve">Q: Is life insurance through work enough?</t>
  </si>
  <si>
    <t xml:space="preserve">– Homeowners with a mortgage</t>
  </si>
  <si>
    <t xml:space="preserve">Q: What happens if I stop paying premiums?</t>
  </si>
  <si>
    <t xml:space="preserve">Q: Is there life insurance that covers the whole family?</t>
  </si>
  <si>
    <t xml:space="preserve">Q: Can I be denied life insurance for a pre-existing condition?</t>
  </si>
  <si>
    <t xml:space="preserve">Q: Does term 100 have a cash value?</t>
  </si>
  <si>
    <t xml:space="preserve">Q: Is guaranteed issue the only option after 80?</t>
  </si>
  <si>
    <t xml:space="preserve">Q: How much do premiums rise at renewal?</t>
  </si>
  <si>
    <t xml:space="preserve">Q: What A1C do insurers want for life insurance?</t>
  </si>
  <si>
    <t xml:space="preserve">Q: Do all life insurance policies require a medical exam?</t>
  </si>
  <si>
    <t xml:space="preserve">Q: Can I get life insurance if I had cancer 10 years ago?</t>
  </si>
  <si>
    <t xml:space="preserve">Q: Is a heart attack covered by my life insurance?</t>
  </si>
  <si>
    <t xml:space="preserve">Q: Is joint life insurance cheaper than two policies?</t>
  </si>
  <si>
    <t xml:space="preserve">Q: Does CMHC insurance pay off my mortgage if I die?</t>
  </si>
  <si>
    <t xml:space="preserve">– Business owners and partners</t>
  </si>
  <si>
    <t xml:space="preserve">Q: Do you get money back from life insurance?</t>
  </si>
  <si>
    <t xml:space="preserve">Q: What is one benefit of life insurance to your family?</t>
  </si>
  <si>
    <t xml:space="preserve">Q: Is no-medical life insurance better if I have health issues?</t>
  </si>
  <si>
    <t xml:space="preserve">Q: What happens to term 100 if I live past 100?</t>
  </si>
  <si>
    <t xml:space="preserve">Q: Do seniors need a medical exam for life insurance?</t>
  </si>
  <si>
    <t xml:space="preserve">Q: What is the deadline to convert term life insurance?</t>
  </si>
  <si>
    <t xml:space="preserve">Q: Can insulin-dependent diabetics get life insurance?</t>
  </si>
  <si>
    <t xml:space="preserve">Q: Can I get life insurance with a pre-existing condition?</t>
  </si>
  <si>
    <t xml:space="preserve">Q: Will my existing policy pay if I die of cancer?</t>
  </si>
  <si>
    <t xml:space="preserve">Q: Can universal life insurance lose value?</t>
  </si>
  <si>
    <t xml:space="preserve">Q: What happens to joint life insurance after a divorce?</t>
  </si>
  <si>
    <t xml:space="preserve">Q: Can my bank require me to buy mortgage life insurance?</t>
  </si>
  <si>
    <t xml:space="preserve">Term vs permanent life insurance at a glance</t>
  </si>
  <si>
    <t xml:space="preserve">Q: Who gets the money if there is no beneficiary?</t>
  </si>
  <si>
    <t xml:space="preserve">Q: Will my premiums go down if my health improves?</t>
  </si>
  <si>
    <t xml:space="preserve">Q: Can I convert my term policy to term 100?</t>
  </si>
  <si>
    <t xml:space="preserve">Q: Can I get a new policy if my health has changed?</t>
  </si>
  <si>
    <t xml:space="preserve">Q: How does type 2 diabetes affect life insurance rates?</t>
  </si>
  <si>
    <t xml:space="preserve">Q: Do women pay less for life insurance?</t>
  </si>
  <si>
    <t xml:space="preserve">Q: Does skin cancer affect life insurance?</t>
  </si>
  <si>
    <t xml:space="preserve">Q: Can I skip premium payments on universal life?</t>
  </si>
  <si>
    <t xml:space="preserve">Q: Can I split a joint policy into two individual policies?</t>
  </si>
  <si>
    <t xml:space="preserve">Q: Is mortgage protection insurance the same as mortgage insurance?</t>
  </si>
  <si>
    <t xml:space="preserve">A worked example: a 35-year-old with a mortgage</t>
  </si>
  <si>
    <t xml:space="preserve">Q: What happens if I don't disclose a condition?</t>
  </si>
  <si>
    <t xml:space="preserve">Q: Do I get money back when term life insurance expires?</t>
  </si>
  <si>
    <t xml:space="preserve">Q: Does prediabetes raise life insurance rates?</t>
  </si>
  <si>
    <t xml:space="preserve">Q: Is the universal life death benefit tax-free?</t>
  </si>
  <si>
    <t xml:space="preserve">Q: Does joint first-to-die pay out twice?</t>
  </si>
  <si>
    <t xml:space="preserve">Q: Do I need mortgage insurance with 20% down?</t>
  </si>
  <si>
    <t xml:space="preserve">How to buy term life insurance in Canada</t>
  </si>
  <si>
    <t xml:space="preserve">Q: Is no-medical life insurance a good option for diabetics?</t>
  </si>
  <si>
    <t xml:space="preserve">Q: Who should consider universal life insurance?</t>
  </si>
  <si>
    <t xml:space="preserve">Q: Can I cancel mortgage life insurance after signing?</t>
  </si>
  <si>
    <t xml:space="preserve">Q: Does term life insurance pay out if I outlive it?</t>
  </si>
  <si>
    <t xml:space="preserve">Q: Can I cancel term life insurance at any time?</t>
  </si>
  <si>
    <t xml:space="preserve">Q: Is a term life insurance payout taxable in Canada?</t>
  </si>
  <si>
    <t xml:space="preserve">Q: Can I get term life insurance without a medical exam?</t>
  </si>
  <si>
    <t xml:space="preserve">Q: Can I convert term life insurance to permanent?</t>
  </si>
  <si>
    <t xml:space="preserve">familialife.ca: knowledge-based content that creates value</t>
  </si>
  <si>
    <t xml:space="preserve">Every page that teaches the reader something (guides, articles, product explainers). Outlines from Internet Archive snapshots (see 'Method &amp; Notes'); three pages known from search results only.</t>
  </si>
  <si>
    <t xml:space="preserve">#</t>
  </si>
  <si>
    <t xml:space="preserve">Content type</t>
  </si>
  <si>
    <t xml:space="preserve">Product / topic</t>
  </si>
  <si>
    <t xml:space="preserve">Title (as published)</t>
  </si>
  <si>
    <t xml:space="preserve">What the reader learns (value created)</t>
  </si>
  <si>
    <t xml:space="preserve">Value devices</t>
  </si>
  <si>
    <t xml:space="preserve">Main sections</t>
  </si>
  <si>
    <t xml:space="preserve">Subheadings (count)</t>
  </si>
  <si>
    <t xml:space="preserve">Page words (incl. site template)</t>
  </si>
  <si>
    <t xml:space="preserve">Approx. article words</t>
  </si>
  <si>
    <t xml:space="preserve">Published</t>
  </si>
  <si>
    <t xml:space="preserve">Last updated</t>
  </si>
  <si>
    <t xml:space="preserve">Schema types</t>
  </si>
  <si>
    <t xml:space="preserve">Instasure equivalent</t>
  </si>
  <si>
    <t xml:space="preserve">Outline source</t>
  </si>
  <si>
    <t xml:space="preserve">Home page</t>
  </si>
  <si>
    <t xml:space="preserve">Brand &amp; home page</t>
  </si>
  <si>
    <t xml:space="preserve">Familia Life - Lowest Life Insurance Rates in Canada</t>
  </si>
  <si>
    <t xml:space="preserve">https://familialife.ca/</t>
  </si>
  <si>
    <t xml:space="preserve">Brand pitch: national brokers comparing Canadian insurers, with highlights for young families, final expense, high-risk and hard-to-insure clients, mortgage protection and fully remote (no face-to-face) service; client testimonials; latest articles.</t>
  </si>
  <si>
    <t xml:space="preserve">Cost and pricing factors</t>
  </si>
  <si>
    <t xml:space="preserve">Life Insurance is a sturdy umbrella - Often overlooked in fair weather, but priceless protection when life's storms hit. | Best Life Insurance Rates in Canada | Buying life insurance can seem like a perplexing puzzle | Read our latest</t>
  </si>
  <si>
    <t xml:space="preserve">2020-06-09</t>
  </si>
  <si>
    <t xml:space="preserve">2025-03-30</t>
  </si>
  <si>
    <t xml:space="preserve">Article, InsuranceAgency, Organization, Person, SearchAction, WebPage, WebSite</t>
  </si>
  <si>
    <t xml:space="preserve">Home page (instant estimates, desks, insurer scroller)</t>
  </si>
  <si>
    <t xml:space="preserve">Internet Archive snapshot 2025-04-18</t>
  </si>
  <si>
    <t xml:space="preserve">Product explainer page</t>
  </si>
  <si>
    <t xml:space="preserve">https://familialife.ca/term-life-insurance/</t>
  </si>
  <si>
    <t xml:space="preserve">What term life is in Canada, whether coverage that expires is a drawback, benefits and cost; quote call to action.</t>
  </si>
  <si>
    <t xml:space="preserve">Benefits / pros and cons, Cost and pricing factors</t>
  </si>
  <si>
    <t xml:space="preserve">2022-03-04</t>
  </si>
  <si>
    <t xml:space="preserve">2023-06-07</t>
  </si>
  <si>
    <t xml:space="preserve">Article, BreadcrumbList, InsuranceAgency, Organization, Person, WebPage, WebSite</t>
  </si>
  <si>
    <t xml:space="preserve">/term-life-insurance/ product page</t>
  </si>
  <si>
    <t xml:space="preserve">Internet Archive snapshot 2024-01-16</t>
  </si>
  <si>
    <t xml:space="preserve">Guide</t>
  </si>
  <si>
    <t xml:space="preserve">Everything about Term Life Insurance</t>
  </si>
  <si>
    <t xml:space="preserve">https://familialife.ca/everything-about-term-life-insurance/</t>
  </si>
  <si>
    <t xml:space="preserve">Types of term (decreasing, increasing, yearly renewable), who it suits (young families, homeowners, business owners), pros (affordability, simplicity, flexibility) and cons (temporary cover, no cash value, rising renewal premiums).</t>
  </si>
  <si>
    <t xml:space="preserve">Term Life Insurance 101. | What Is Term Life Insurance?</t>
  </si>
  <si>
    <t xml:space="preserve">2023-06-01</t>
  </si>
  <si>
    <t xml:space="preserve">BlogPosting, BreadcrumbList, InsuranceAgency, Organization, Person, WebPage, WebSite</t>
  </si>
  <si>
    <t xml:space="preserve">Partly: Term vs Whole Life Insurance in Canada (published); Types of Life Insurance in Canada (planned)</t>
  </si>
  <si>
    <t xml:space="preserve">Article</t>
  </si>
  <si>
    <t xml:space="preserve">What Happens at the End of Term Life Insurance?</t>
  </si>
  <si>
    <t xml:space="preserve">https://familialife.ca/what-happens-at-the-end-of-term-life-insurance/</t>
  </si>
  <si>
    <t xml:space="preserve">What happens when a term ends (policy ends, renewal, conversion), what to weigh (health, finances, affordability, estate), new term policy vs conversion vs letting it expire.</t>
  </si>
  <si>
    <t xml:space="preserve">The Term Ends – Now What? | Factors To Consider at the End of Your Term Life Insurance | Is A New Term Policy An Option? | Conversion to Permanent Life Insurance | Letting Your Term Life Insurance Expire</t>
  </si>
  <si>
    <t xml:space="preserve">2023-06-23</t>
  </si>
  <si>
    <t xml:space="preserve">2023-09-06</t>
  </si>
  <si>
    <t xml:space="preserve">Planned: What Happens When Term Life Insurance Expires?</t>
  </si>
  <si>
    <t xml:space="preserve">Permanent Life Insurance</t>
  </si>
  <si>
    <t xml:space="preserve">https://familialife.ca/whole-life-insurance/</t>
  </si>
  <si>
    <t xml:space="preserve">What permanent life is, its types (whole, universal, variable), permanent vs term, and using permanent insurance as savings.</t>
  </si>
  <si>
    <t xml:space="preserve">Comparisons</t>
  </si>
  <si>
    <t xml:space="preserve">Permanent Life Insurance | Why Familia Life?</t>
  </si>
  <si>
    <t xml:space="preserve">2023-06-09</t>
  </si>
  <si>
    <t xml:space="preserve">/whole-life-insurance/ product page</t>
  </si>
  <si>
    <t xml:space="preserve">Everything about Permanent Life Insurance in Canada</t>
  </si>
  <si>
    <t xml:space="preserve">https://familialife.ca/everything-about-permanent-life-insurance/</t>
  </si>
  <si>
    <t xml:space="preserve">Definition and key features, types (whole, universal, Term 100) with benefits, advantages, permanent vs term comparison, no-medical permanent options, how much to buy, converting term to permanent.</t>
  </si>
  <si>
    <t xml:space="preserve">2 tables, Comparisons, Scenarios / examples, Benefits / pros and cons, Cost and pricing factors</t>
  </si>
  <si>
    <t xml:space="preserve">What is Permanent Life Insurance?</t>
  </si>
  <si>
    <t xml:space="preserve">2023-08-17</t>
  </si>
  <si>
    <t xml:space="preserve">2023-09-19</t>
  </si>
  <si>
    <t xml:space="preserve">Partly: Term vs Whole Life (published); Whole Life vs Universal Life (planned)</t>
  </si>
  <si>
    <t xml:space="preserve">What is Universal Life Insurance and How Does it Work?</t>
  </si>
  <si>
    <t xml:space="preserve">https://familialife.ca/what-is-universal-life-insurance/</t>
  </si>
  <si>
    <t xml:space="preserve">How universal life works, the cash-value component, how it differs from other types, who it suits, tax implications and a step-by-step buying process.</t>
  </si>
  <si>
    <t xml:space="preserve">Steps / checklist, Underwriting explained</t>
  </si>
  <si>
    <t xml:space="preserve">The Basics of Universal Life Insurance | Understanding the Cash Value Component | Differentiating Universal Life Insurance from Other Types | Is Universal Life Insurance Right for You? | Tax Implications and the Purchase Process | Buying Universal Life Insurance: Step-by-Step</t>
  </si>
  <si>
    <t xml:space="preserve">2023-06-22</t>
  </si>
  <si>
    <t xml:space="preserve">2023-08-31</t>
  </si>
  <si>
    <t xml:space="preserve">Planned: Whole Life vs Universal Life; /life-insurance/universal-life/ service page</t>
  </si>
  <si>
    <t xml:space="preserve">Joint Life Insurance vs Individual Life Insurance: A Comparative Analysis</t>
  </si>
  <si>
    <t xml:space="preserve">https://familialife.ca/what-is-joint-life/</t>
  </si>
  <si>
    <t xml:space="preserve">Individual vs joint life: features, first-to-die vs last-to-die, scenarios (couples, business partners, estate planning), term and permanent versions, case studies, pros and cons, joint underwriting (average age band), coverage and pricing, FAQ.</t>
  </si>
  <si>
    <t xml:space="preserve">FAQ, 1 table, Comparisons, Scenarios / examples, Benefits / pros and cons, Cost and pricing factors, Underwriting explained</t>
  </si>
  <si>
    <t xml:space="preserve">What is Individual Life Insurance? | What is Joint Life Insurance? | Key Differences | Comparative Analysis | Pros and Cons of Individual Life Insurance | Pros and Cons of Joint Life Insurance | Underwriting for Joint Life Insurance: A Deeper Dive | How Much Insurance Do You Need? | Quotes and Pricing</t>
  </si>
  <si>
    <t xml:space="preserve">2023-09-08</t>
  </si>
  <si>
    <t xml:space="preserve">Planned: Joint Life Insurance vs Two Separate Policies; /life-insurance/joint/ service page</t>
  </si>
  <si>
    <t xml:space="preserve">Internet Archive snapshot 2024-01-09</t>
  </si>
  <si>
    <t xml:space="preserve">No Medical Life Insurance</t>
  </si>
  <si>
    <t xml:space="preserve">No Medical Insurance</t>
  </si>
  <si>
    <t xml:space="preserve">https://familialife.ca/no-medical-insurance/</t>
  </si>
  <si>
    <t xml:space="preserve">What no-medical insurance is, how it works, its benefits and cost.</t>
  </si>
  <si>
    <t xml:space="preserve">/no-medical-life-insurance/ product page</t>
  </si>
  <si>
    <t xml:space="preserve">Internet Archive snapshot 2024-01-19</t>
  </si>
  <si>
    <t xml:space="preserve">Everything about No Medical Life Insurance</t>
  </si>
  <si>
    <t xml:space="preserve">https://familialife.ca/everything-about-no-medical-life-insurance/</t>
  </si>
  <si>
    <t xml:space="preserve">What no-medical life insurance is, benefits, who it suits (health conditions, seniors, speed, needle phobia, busy schedules), rate classes (standard, preferred, ratings) with a diabetic worked example, and simplified issue.</t>
  </si>
  <si>
    <t xml:space="preserve">Benefits / pros and cons, Cost and pricing factors, Underwriting explained</t>
  </si>
  <si>
    <t xml:space="preserve">No Medical Life Insurance 101. | What Is No Medical Life Insurance?</t>
  </si>
  <si>
    <t xml:space="preserve">2023-06-02</t>
  </si>
  <si>
    <t xml:space="preserve">Published: No-Medical Life Insurance: Simplified Issue vs Guaranteed Issue</t>
  </si>
  <si>
    <t xml:space="preserve">How To Get Life Insurance If You Have Health Issues</t>
  </si>
  <si>
    <t xml:space="preserve">https://familialife.ca/how-to-get-life-insurance-if-you-have-health-issues/</t>
  </si>
  <si>
    <t xml:space="preserve">Options for applicants with health issues: full disclosure, no-medical policies, working with an advisor, improving insurability and sizing coverage.</t>
  </si>
  <si>
    <t xml:space="preserve">Underwriting explained</t>
  </si>
  <si>
    <t xml:space="preserve">Understanding Life Insurance Options | Navigating Health Issues and Life Insurance | Leverage the Expertise of an Insurance Advisor | Role of No Medical Life Insurance | Enhancing Your Insurability and Determining Coverage Amount | Conclusion</t>
  </si>
  <si>
    <t xml:space="preserve">2020-04-22</t>
  </si>
  <si>
    <t xml:space="preserve">/life-insurance/medical-conditions/ (Medical underwriting desk)</t>
  </si>
  <si>
    <t xml:space="preserve">Life Insurance for Diabetics: How to Get the Best Rates in Canada</t>
  </si>
  <si>
    <t xml:space="preserve">https://familialife.ca/life-insurance-for-diabetics/</t>
  </si>
  <si>
    <t xml:space="preserve">How insurers view type 1 and type 2 diabetes, risks by age group, pricing factors (age at diagnosis, type, complications, blood-sugar control), underwriting requirements, broker vs captive agent, non-medical vs traditional, permanent options, FAQ.</t>
  </si>
  <si>
    <t xml:space="preserve">FAQ, 4 tables, Comparisons, Cost and pricing factors, Underwriting explained</t>
  </si>
  <si>
    <t xml:space="preserve">Why Life Insurance Companies Consider Diabetes | Pricing Life Insurance for Diabetics | The Underwriting Process | Recommendations for Diabetics Seeking Life Insurance | Best Life Insurance Options for Diabetics | FAQ: Life Insurance for Diabetics</t>
  </si>
  <si>
    <t xml:space="preserve">2023-09-22</t>
  </si>
  <si>
    <t xml:space="preserve">Planned: Life Insurance With Diabetes in Canada</t>
  </si>
  <si>
    <t xml:space="preserve">Life Insurance with a Cancer Diagnosis in Canada</t>
  </si>
  <si>
    <t xml:space="preserve">https://familialife.ca/life-insurance-with-cancer/</t>
  </si>
  <si>
    <t xml:space="preserve">Whether cancer is covered, guaranteed, simplified and traditional options, what insurers weigh (type, stage and grade, time since diagnosis), offer types by health, FAQ (stage 4, cancer 10 years ago).</t>
  </si>
  <si>
    <t xml:space="preserve">FAQ, 2 tables, Key takeaways, Cost and pricing factors</t>
  </si>
  <si>
    <t xml:space="preserve">Does Life Insurance Cover Cancer? | Factors Insurers Consider for Cancer Patients | Types of Insurance Offers Based on Health | Your Beacon: Familia Life Brokers | Where to Anchor: Life Insurance Options | Frequently Asked Questions | Conclusion</t>
  </si>
  <si>
    <t xml:space="preserve">2023-10-04</t>
  </si>
  <si>
    <t xml:space="preserve">Planned: Life Insurance After Cancer in Canada</t>
  </si>
  <si>
    <t xml:space="preserve">Applying for Life Insurance with a Heart Condition in Canada</t>
  </si>
  <si>
    <t xml:space="preserve">https://familialife.ca/life-insurance-with-heart-condition/</t>
  </si>
  <si>
    <t xml:space="preserve">How heart conditions are assessed (age, family history, build, history, habits, medication), options after a heart attack (traditional, simplified, guaranteed), 10-question FAQ (stents, bypass, timing), working with a broker.</t>
  </si>
  <si>
    <t xml:space="preserve">FAQ, 2 tables, Key takeaways, Comparisons, Underwriting explained</t>
  </si>
  <si>
    <t xml:space="preserve">Understanding Heart Conditions for Life Insurance | Details on Heart Disease and Life Insurance | Life Insurance Options after a Heart Attack | Getting the Right Coverage for Your Situation | Frequently Asked Questions (FAQs) | Working with a Broker | Conclusion</t>
  </si>
  <si>
    <t xml:space="preserve">2023-10-03</t>
  </si>
  <si>
    <t xml:space="preserve">Planned: Life Insurance After a Heart Attack or With Heart Disease</t>
  </si>
  <si>
    <t xml:space="preserve">Mortgage Protection Insurance</t>
  </si>
  <si>
    <t xml:space="preserve">https://familialife.ca/mortgage-protection-insurance/</t>
  </si>
  <si>
    <t xml:space="preserve">What mortgage insurance is, its main drawbacks, term life as the alternative and the cost difference.</t>
  </si>
  <si>
    <t xml:space="preserve">/mortgage-life-insurance/ product page (Mortgage renewal protection desk)</t>
  </si>
  <si>
    <t xml:space="preserve">The Ultimate Guide on Mortgage Insurance</t>
  </si>
  <si>
    <t xml:space="preserve">https://familialife.ca/what-is-mortgage-insurance/</t>
  </si>
  <si>
    <t xml:space="preserve">Mortgage insurance vs mortgage protection vs mortgage loan (default) insurance, why term life can beat bank protection (fixed benefit, cost, flexibility), its pitfalls, when term isn't ideal, choosing an advisor.</t>
  </si>
  <si>
    <t xml:space="preserve">Mortgage Insurance, Explained | Unraveling Mortgage Protection Insurance | Mortgage Loan Insurance: A Closer Look | Why Term Life Insurance Can Be A Better Choice | Deep Dive into the Pitfalls of Mortgage Protection Insurance | Advantages of Term Life Insurance Over MPI | Choose Wisely, Live Confidently | When Term Life Insurance Isn’t the Perfect Solution | Choose the Right Life Insurance Advisor</t>
  </si>
  <si>
    <t xml:space="preserve">Published: Mortgage Life Insurance vs Term Life; Mortgage Life Insurance Cost</t>
  </si>
  <si>
    <t xml:space="preserve">Product (sales) page</t>
  </si>
  <si>
    <t xml:space="preserve">https://familialife.ca/final-expense-insurance/</t>
  </si>
  <si>
    <t xml:space="preserve">Final expense pitch: level rates, no expiry, no medical exam, waiting-period question; quote call to action.</t>
  </si>
  <si>
    <t xml:space="preserve">Cost and pricing factors, Underwriting explained</t>
  </si>
  <si>
    <t xml:space="preserve">Let's face it, nobody wants to ponder about their own funeral. | Buying Final Expense Coverage made Easy Quick Hassle FREE</t>
  </si>
  <si>
    <t xml:space="preserve">2021-02-20</t>
  </si>
  <si>
    <t xml:space="preserve">/life-insurance/final-expense/ and /life-insurance/funeral-expense/; Published: How Does Funeral Insurance Work</t>
  </si>
  <si>
    <t xml:space="preserve">Life Insurance After 50: A Canadian Senior’s Handbook</t>
  </si>
  <si>
    <t xml:space="preserve">https://familialife.ca/seniors-life-insurance/</t>
  </si>
  <si>
    <t xml:space="preserve">Life insurance after 50: types, whole vs term, when seniors need cover (final expenses, income, estate, special needs, debts, charity), whether it's worth it after 70, medical background, no-medical and guaranteed approval options.</t>
  </si>
  <si>
    <t xml:space="preserve">1 table, Comparisons, Underwriting explained</t>
  </si>
  <si>
    <t xml:space="preserve">What is Senior Life Insurance? | Types of Life Insurance Plans for Seniors | When is Life Insurance Necessary for Seniors? | The Medical Background Scoop | Life Insurance Type Comparison | No Medical Life Insurance for Seniors | Guaranteed Approval Life Insurance: The Last Resort</t>
  </si>
  <si>
    <t xml:space="preserve">2023-09-18</t>
  </si>
  <si>
    <t xml:space="preserve">/life-insurance/seniors/ service page; Planned: Funeral Insurance for Seniors</t>
  </si>
  <si>
    <t xml:space="preserve">Family Life Insurance in Canada: Separating Fact from Fiction</t>
  </si>
  <si>
    <t xml:space="preserve">https://familialife.ca/family-life-insurance/</t>
  </si>
  <si>
    <t xml:space="preserve">Why no single policy covers a whole family, the types (whole, universal, mortgage, joint, children's) with a comparison table, why use a broker, how to buy, FAQ.</t>
  </si>
  <si>
    <t xml:space="preserve">FAQ, 2 tables, Myth vs reality, Comparisons, Steps / checklist</t>
  </si>
  <si>
    <t xml:space="preserve">The Reality of Family Life Insurance in Canada | Types of Family Life Insurance in Canada | Finding the Ideal Family Life Insurance | How to Buy Family Life Insurance | Conclusion | Frequently Asked Questions (FAQ)</t>
  </si>
  <si>
    <t xml:space="preserve">2023-09-29</t>
  </si>
  <si>
    <t xml:space="preserve">Gap: no family life guide (/life-insurance/children/ service page exists; children's life insurance guide planned)</t>
  </si>
  <si>
    <t xml:space="preserve">Guide (search only)</t>
  </si>
  <si>
    <t xml:space="preserve">Protect Your Health and Wallet: A Complete Guide to Critical Illness Insurance in Canada</t>
  </si>
  <si>
    <t xml:space="preserve">https://familialife.ca/whats-ci/</t>
  </si>
  <si>
    <t xml:space="preserve">Listed on the blog (posted September 7, 2023). Search results show only its opening line: critical illness insurance as a financial safety net when diagnosed with a major illness.</t>
  </si>
  <si>
    <t xml:space="preserve">Published: What Does Critical Illness Insurance Cover?; Critical Illness vs Disability</t>
  </si>
  <si>
    <t xml:space="preserve">Search results only (page blocks automated access; no archived copy)</t>
  </si>
  <si>
    <t xml:space="preserve">https://familialife.ca/health-insurance/</t>
  </si>
  <si>
    <t xml:space="preserve">Health insurance for people leaving an employer, between jobs or retired: low-premium claim, guaranteed approval plans, immediate coverage.</t>
  </si>
  <si>
    <t xml:space="preserve">Leaving work? In between jobs? Retired? We got you covered! | Buying Health Insurance made Easy Quick Hassle FREE</t>
  </si>
  <si>
    <t xml:space="preserve">/health-dental-insurance/; Published: Private Health Insurance Cost</t>
  </si>
  <si>
    <t xml:space="preserve">How Does Life Insurance Work in Canada?</t>
  </si>
  <si>
    <t xml:space="preserve">https://familialife.ca/how-does-life-insurance-work-in-canada/</t>
  </si>
  <si>
    <t xml:space="preserve">The basics, types of life insurance, how pricing works, how payouts work (final expenses, mortgage, health issues), how much you need, choosing an advisor.</t>
  </si>
  <si>
    <t xml:space="preserve">The Basics: What is Life Insurance? | Different Types of Life Insurance | How is Life Insurance Priced? | How Life Insurance Payouts Work | How Much Life Insurance Do You Need?</t>
  </si>
  <si>
    <t xml:space="preserve">Planned: Types of Life Insurance in Canada</t>
  </si>
  <si>
    <t xml:space="preserve">Finding the Right Amount of Life Insurance: Budget, Debts, and Dependents</t>
  </si>
  <si>
    <t xml:space="preserve">https://familialife.ca/how-much-life-insurance-should-i-get/</t>
  </si>
  <si>
    <t xml:space="preserve">Five steps to the right amount: affordability, needs analysis, debts, dependants' needs, balancing all three.</t>
  </si>
  <si>
    <t xml:space="preserve">Steps / checklist</t>
  </si>
  <si>
    <t xml:space="preserve">1. Prioritize Affordability. | 2. Understanding Needs Analysis. | 3. Assessing Debts. | 4. Comprehensive Assessment of Dependents’ Needs. | 5. Balancing Budget, Debts, and Dependents.</t>
  </si>
  <si>
    <t xml:space="preserve">2021-01-22</t>
  </si>
  <si>
    <t xml:space="preserve">Published: How Much Life Insurance Do I Need in Canada?</t>
  </si>
  <si>
    <t xml:space="preserve">Life Insurance Quotes in Canada</t>
  </si>
  <si>
    <t xml:space="preserve">https://familialife.ca/life-insurance-quotes-in-canada/</t>
  </si>
  <si>
    <t xml:space="preserve">Why quotes vary (age, health, occupation, term and amount, gender), how quotes are calculated (actuarial science, risk classes, medicals, credit checks), how health affects a quote, life vs mortgage insurance, fine print (exclusions, riders), 5-question FAQ.</t>
  </si>
  <si>
    <t xml:space="preserve">FAQ, Comparisons, Cost and pricing factors, Underwriting explained</t>
  </si>
  <si>
    <t xml:space="preserve">Introduction: Navigating the Maze of Life Insurance Quotes in Canada | Why Life Insurance Quotes Vary: Factors that Influence Your Premium | Decoding the Different Types of Life Insurance Policies | Understanding Quote Calculations | The Financial Implications of Life Insurance | How Health Concerns Impact Your Quote | Life Insurance vs. Mortgage Insurance: A Quick Comparison | The Importance of Reading the Fine Print | Working With a Competent Advisor is Crucial | Frequently Asked Questions:</t>
  </si>
  <si>
    <t xml:space="preserve">2023-09-05</t>
  </si>
  <si>
    <t xml:space="preserve">Published: How Much Does Life Insurance Cost in Canada?; Instant Estimates Explained</t>
  </si>
  <si>
    <t xml:space="preserve">How Do Life Insurance Companies Check Medical Background?</t>
  </si>
  <si>
    <t xml:space="preserve">https://familialife.ca/how-do-life-insurance-companies-check-medical-background/</t>
  </si>
  <si>
    <t xml:space="preserve">How insurers review medical history, medical exams, risk classification, medical records, risk vs premium, tailoring cover to your health.</t>
  </si>
  <si>
    <t xml:space="preserve">Comparisons, Cost and pricing factors, Underwriting explained</t>
  </si>
  <si>
    <t xml:space="preserve">A Deep Dive Into Medical History | Medical Examinations: The Next Step | Risk Classification | Unfolding The Medical Record Enigma | Risk vs Premium: The Balancing Act | Tailoring Insurance To Your Health | Choosing The Right Path</t>
  </si>
  <si>
    <t xml:space="preserve">2023-06-14</t>
  </si>
  <si>
    <t xml:space="preserve">2023-09-14</t>
  </si>
  <si>
    <t xml:space="preserve">Planned: Life Insurance Medical Exams and Applications</t>
  </si>
  <si>
    <t xml:space="preserve">12 Life Insurance Myths You Need to Stop Believing</t>
  </si>
  <si>
    <t xml:space="preserve">https://familialife.ca/12-myths-debunked/</t>
  </si>
  <si>
    <t xml:space="preserve">Twelve myths (cost, funeral-only, mandatory medicals, dependants, group cover, stay-at-home parents, too young, too old, preexisting conditions, investments, permanent for the wealthy, 2x salary), each with 'the reality', breakdowns, a premiums-by-age table and tips.</t>
  </si>
  <si>
    <t xml:space="preserve">7 tables, Key takeaways, Myth vs reality, Comparisons, Scenarios / examples, Benefits / pros and cons, Cost and pricing factors, Underwriting explained</t>
  </si>
  <si>
    <t xml:space="preserve">Myth 1: Life Insurance Is Expensive | Myth 2: Life Insurance Is Just for Funeral Costs | Myth 3: Medical Exams Are Mandatory | Myth 4: Only for Those with Dependents | Myth 5: Group Insurance Is Sufficient | Myth 6: Stay-at-Home Parents Don’t Need Insurance | Myth 7: Too Young for Life Insurance | Myth 8: Too Old for Life Insurance | Myth 9: Preexisting Conditions Disqualify You | Myth 10: Other Investments Are Better | Myth 11: Permanent Insurance Is for the Wealthy | Myth 12: Coverage Should Be Twice the Annual Salary | Conclusion</t>
  </si>
  <si>
    <t xml:space="preserve">2023-09-20</t>
  </si>
  <si>
    <t xml:space="preserve">Gap: not in the Instasure plan</t>
  </si>
  <si>
    <t xml:space="preserve">Don’t Buy Life Insurance Without Doing These 2 Things</t>
  </si>
  <si>
    <t xml:space="preserve">https://familialife.ca/two-things-before-buying/</t>
  </si>
  <si>
    <t xml:space="preserve">Two must-dos: use an experienced broker (access to insurers, underwriting expertise, trust) and choose a reputable insurer (longevity, claim settlement ratio); to-do list; FAQ.</t>
  </si>
  <si>
    <t xml:space="preserve">FAQ, Comparisons, Steps / checklist, Underwriting explained</t>
  </si>
  <si>
    <t xml:space="preserve">The Pitfalls of Hasty Decisions | Thing #1: The Indispensable Role of a Broker | Thing #2: Choosing Reputable Insurance Companies</t>
  </si>
  <si>
    <t xml:space="preserve">2023-09-07</t>
  </si>
  <si>
    <t xml:space="preserve">Planned: Life Insurance Broker vs Agent vs Bank vs Online</t>
  </si>
  <si>
    <t xml:space="preserve">Article (search only)</t>
  </si>
  <si>
    <t xml:space="preserve">Are Life Insurance Premiums Tax Deductible in Canada?</t>
  </si>
  <si>
    <t xml:space="preserve">https://familialife.ca/are-life-insurance-premiums-tax-deductible-in-canada/</t>
  </si>
  <si>
    <t xml:space="preserve">Newer article found only in search results. Search snippets indicate: premiums generally not deductible for individuals; exceptions mentioned for business owners using a policy as loan collateral and some employer-paid group term plans.</t>
  </si>
  <si>
    <t xml:space="preserve">Published: Is Life Insurance Taxable in Canada?</t>
  </si>
  <si>
    <t xml:space="preserve">A Step-by-Step Guide to Filing a Life Insurance Claim</t>
  </si>
  <si>
    <t xml:space="preserve">https://familialife.ca/how-to-claim/</t>
  </si>
  <si>
    <t xml:space="preserve">Listed on the blog as a featured article. No outline available.</t>
  </si>
  <si>
    <t xml:space="preserve">Planned: How to Make a Life Insurance Claim in Canada</t>
  </si>
  <si>
    <t xml:space="preserve">Archive 2025-04-18 · 10 subheadings</t>
  </si>
  <si>
    <t xml:space="preserve">Archive 2024-01-16 · 5 subheadings</t>
  </si>
  <si>
    <t xml:space="preserve">Archive 2024-01-16 · 19 subheadings</t>
  </si>
  <si>
    <t xml:space="preserve">Archive 2024-01-16 · 13 subheadings</t>
  </si>
  <si>
    <t xml:space="preserve">Archive 2024-01-16 · 9 subheadings</t>
  </si>
  <si>
    <t xml:space="preserve">Archive 2024-01-16 · 47 subheadings</t>
  </si>
  <si>
    <t xml:space="preserve">Archive 2024-01-16 · 11 subheadings</t>
  </si>
  <si>
    <t xml:space="preserve">Archive 2024-01-09 · 67 subheadings</t>
  </si>
  <si>
    <t xml:space="preserve">Archive 2024-01-19 · 5 subheadings</t>
  </si>
  <si>
    <t xml:space="preserve">Archive 2024-01-19 · 21 subheadings</t>
  </si>
  <si>
    <t xml:space="preserve">Archive 2024-01-19 · 16 subheadings</t>
  </si>
  <si>
    <t xml:space="preserve">Archive 2024-01-19 · 51 subheadings</t>
  </si>
  <si>
    <t xml:space="preserve">Archive 2024-01-19 · 34 subheadings</t>
  </si>
  <si>
    <t xml:space="preserve">Archive 2024-01-19 · 32 subheadings</t>
  </si>
  <si>
    <t xml:space="preserve">Archive 2024-01-19 · 19 subheadings</t>
  </si>
  <si>
    <t xml:space="preserve">Archive 2024-01-16 · 8 subheadings</t>
  </si>
  <si>
    <t xml:space="preserve">Archive 2024-01-19 · 23 subheadings</t>
  </si>
  <si>
    <t xml:space="preserve">Archive 2024-01-19 · 38 subheadings</t>
  </si>
  <si>
    <t xml:space="preserve">Search results only: outline not available</t>
  </si>
  <si>
    <t xml:space="preserve">Archive 2024-01-16 · 6 subheadings</t>
  </si>
  <si>
    <t xml:space="preserve">Archive 2024-01-16 · 12 subheadings</t>
  </si>
  <si>
    <t xml:space="preserve">Archive 2024-01-16 · 31 subheadings</t>
  </si>
  <si>
    <t xml:space="preserve">Archive 2024-01-19 · 7 subheadings</t>
  </si>
  <si>
    <t xml:space="preserve">Archive 2024-01-19 · 64 subheadings</t>
  </si>
  <si>
    <t xml:space="preserve">Archive 2024-01-19 · 27 subheadings</t>
  </si>
  <si>
    <t xml:space="preserve">Subheadings</t>
  </si>
  <si>
    <t xml:space="preserve">Life Insurance is a sturdy umbrella - Often overlooked in fair weather, but priceless protection when life's storms hit.</t>
  </si>
  <si>
    <t xml:space="preserve">Term Life Insurance 101.</t>
  </si>
  <si>
    <t xml:space="preserve">The Term Ends – Now What?</t>
  </si>
  <si>
    <t xml:space="preserve">What is Individual Life Insurance?</t>
  </si>
  <si>
    <t xml:space="preserve">No Medical Life Insurance 101.</t>
  </si>
  <si>
    <t xml:space="preserve">Understanding Life Insurance Options</t>
  </si>
  <si>
    <t xml:space="preserve">Type I and Type II Diabetics: You’re Covered!</t>
  </si>
  <si>
    <t xml:space="preserve">Key Takeaways</t>
  </si>
  <si>
    <t xml:space="preserve">• Key Takeaways</t>
  </si>
  <si>
    <t xml:space="preserve">Mortgage Insurance, Explained</t>
  </si>
  <si>
    <t xml:space="preserve">Let's face it, nobody wants to ponder about their own funeral.</t>
  </si>
  <si>
    <t xml:space="preserve">What is Senior Life Insurance?</t>
  </si>
  <si>
    <t xml:space="preserve">Leaving work? In between jobs? Retired? We got you covered!</t>
  </si>
  <si>
    <t xml:space="preserve">The Basics: What is Life Insurance?</t>
  </si>
  <si>
    <t xml:space="preserve">Introduction: Navigating the Maze of Life Insurance Quotes in Canada</t>
  </si>
  <si>
    <t xml:space="preserve">A Deep Dive Into Medical History</t>
  </si>
  <si>
    <t xml:space="preserve">The Pitfalls of Hasty Decisions</t>
  </si>
  <si>
    <t xml:space="preserve">Best Life Insurance Rates in Canada</t>
  </si>
  <si>
    <t xml:space="preserve">Understanding Term Life Insurance in Canada</t>
  </si>
  <si>
    <t xml:space="preserve">What Is Term Life Insurance?</t>
  </si>
  <si>
    <t xml:space="preserve">• Policy Ends</t>
  </si>
  <si>
    <t xml:space="preserve">Understanding Permanent Life Insurance</t>
  </si>
  <si>
    <t xml:space="preserve">The Basics of Universal Life Insurance</t>
  </si>
  <si>
    <t xml:space="preserve">Features</t>
  </si>
  <si>
    <t xml:space="preserve">Understanding No Medical Insurance</t>
  </si>
  <si>
    <t xml:space="preserve">What Is No Medical Life Insurance?</t>
  </si>
  <si>
    <t xml:space="preserve">• Whole Life Insurance</t>
  </si>
  <si>
    <t xml:space="preserve">Medical or Non-Medical: You Choose!</t>
  </si>
  <si>
    <t xml:space="preserve">• Navigating Coverage</t>
  </si>
  <si>
    <t xml:space="preserve">Understanding Heart Conditions for Life Insurance</t>
  </si>
  <si>
    <t xml:space="preserve">Understanding Mortgage Insurance</t>
  </si>
  <si>
    <t xml:space="preserve">Unraveling Mortgage Protection Insurance</t>
  </si>
  <si>
    <t xml:space="preserve">• We only work with reputable Canadian companies</t>
  </si>
  <si>
    <t xml:space="preserve">What type of life insurance is best for seniors?</t>
  </si>
  <si>
    <t xml:space="preserve">The Reality of Family Life Insurance in Canada</t>
  </si>
  <si>
    <t xml:space="preserve">LOWEST PREMIUM - GUARANTEED!</t>
  </si>
  <si>
    <t xml:space="preserve">Different Types of Life Insurance</t>
  </si>
  <si>
    <t xml:space="preserve">1. Prioritize Affordability.</t>
  </si>
  <si>
    <t xml:space="preserve">Why Life Insurance Quotes Vary: Factors that Influence Your Premium</t>
  </si>
  <si>
    <t xml:space="preserve">Medical Examinations: The Next Step</t>
  </si>
  <si>
    <t xml:space="preserve">• Tip</t>
  </si>
  <si>
    <t xml:space="preserve">Understanding the Basics: No Deep Dives, Just Snorkeling</t>
  </si>
  <si>
    <t xml:space="preserve">Your family, our priority. We're here to protect and secure what matters most to you.</t>
  </si>
  <si>
    <t xml:space="preserve">Is Term Insurance No Good Because It Expires?</t>
  </si>
  <si>
    <t xml:space="preserve">Different Types of Term Life Insurance</t>
  </si>
  <si>
    <t xml:space="preserve">• Renewal</t>
  </si>
  <si>
    <t xml:space="preserve">Different Types of Permanent Life Insurance</t>
  </si>
  <si>
    <t xml:space="preserve">• Definition</t>
  </si>
  <si>
    <t xml:space="preserve">Understanding the Cash Value Component</t>
  </si>
  <si>
    <t xml:space="preserve">• Single Coverage</t>
  </si>
  <si>
    <t xml:space="preserve">How It Works</t>
  </si>
  <si>
    <t xml:space="preserve">The Benefits of No Medical Life Insurance:</t>
  </si>
  <si>
    <t xml:space="preserve">Navigating Health Issues and Life Insurance</t>
  </si>
  <si>
    <t xml:space="preserve">• Table: Traditional vs. Non-Medical Plans</t>
  </si>
  <si>
    <t xml:space="preserve">• Policy Varieties</t>
  </si>
  <si>
    <t xml:space="preserve">• Age</t>
  </si>
  <si>
    <t xml:space="preserve">Main Drawbacks of Mortgage Insurance</t>
  </si>
  <si>
    <t xml:space="preserve">Mortgage Loan Insurance: A Closer Look</t>
  </si>
  <si>
    <t xml:space="preserve">Best Rates for Final Expense Insurance</t>
  </si>
  <si>
    <t xml:space="preserve">Types of Life Insurance Plans for Seniors</t>
  </si>
  <si>
    <t xml:space="preserve">Myth-Busting Time!</t>
  </si>
  <si>
    <t xml:space="preserve">LEAVING YOUR EMPLOYER?</t>
  </si>
  <si>
    <t xml:space="preserve">• Whole life insurance</t>
  </si>
  <si>
    <t xml:space="preserve">2. Understanding Needs Analysis.</t>
  </si>
  <si>
    <t xml:space="preserve">Age and its Influence</t>
  </si>
  <si>
    <t xml:space="preserve">Risk Classification</t>
  </si>
  <si>
    <t xml:space="preserve">Myth 1: Life Insurance Is Expensive</t>
  </si>
  <si>
    <t xml:space="preserve">Thing #1: The Indispensable Role of a Broker</t>
  </si>
  <si>
    <t xml:space="preserve">Life Insurance For Young Families</t>
  </si>
  <si>
    <t xml:space="preserve">Benefits</t>
  </si>
  <si>
    <t xml:space="preserve">Decreasing Term Insurance</t>
  </si>
  <si>
    <t xml:space="preserve">• Conversion to Permanent Life Insurance</t>
  </si>
  <si>
    <t xml:space="preserve">Key Features:</t>
  </si>
  <si>
    <t xml:space="preserve">Differentiating Universal Life Insurance from Other Types</t>
  </si>
  <si>
    <t xml:space="preserve">• Flexible</t>
  </si>
  <si>
    <t xml:space="preserve">Benefits of getting no medical life insurance</t>
  </si>
  <si>
    <t xml:space="preserve">Quick and Convenient Application Process</t>
  </si>
  <si>
    <t xml:space="preserve">• Disclose Your Medical History Fully</t>
  </si>
  <si>
    <t xml:space="preserve">Why Life Insurance Companies Consider Diabetes</t>
  </si>
  <si>
    <t xml:space="preserve">• Insurer’s Lens</t>
  </si>
  <si>
    <t xml:space="preserve">• Family History</t>
  </si>
  <si>
    <t xml:space="preserve">The Alternative Option: Term Life Insurance</t>
  </si>
  <si>
    <t xml:space="preserve">Why Term Life Insurance Can Be A Better Choice</t>
  </si>
  <si>
    <t xml:space="preserve">RATES WILL NEVER GO UP</t>
  </si>
  <si>
    <t xml:space="preserve">Which is Better: Whole Life or Term Life Insurance?</t>
  </si>
  <si>
    <t xml:space="preserve">What Insurance Companies Really Mean</t>
  </si>
  <si>
    <t xml:space="preserve">GUARANTEED APPROVAL PLANS AVAILABLE</t>
  </si>
  <si>
    <t xml:space="preserve">• Universal life insurance</t>
  </si>
  <si>
    <t xml:space="preserve">3. Assessing Debts.</t>
  </si>
  <si>
    <t xml:space="preserve">Health Factors</t>
  </si>
  <si>
    <t xml:space="preserve">Unfolding The Medical Record Enigma</t>
  </si>
  <si>
    <t xml:space="preserve">The Reality</t>
  </si>
  <si>
    <t xml:space="preserve">What’s a Broker and Why Should You Care?</t>
  </si>
  <si>
    <t xml:space="preserve">Final Expense Insurance</t>
  </si>
  <si>
    <t xml:space="preserve">Cost</t>
  </si>
  <si>
    <t xml:space="preserve">Increasing Term Insurance</t>
  </si>
  <si>
    <t xml:space="preserve">Factors To Consider at the End of Your Term Life Insurance</t>
  </si>
  <si>
    <t xml:space="preserve">• Universal Life Insurance</t>
  </si>
  <si>
    <t xml:space="preserve">• Lifelong Coverage</t>
  </si>
  <si>
    <t xml:space="preserve">Is Universal Life Insurance Right for You?</t>
  </si>
  <si>
    <t xml:space="preserve">• Independent</t>
  </si>
  <si>
    <t xml:space="preserve">Flexibility in Coverage Amounts</t>
  </si>
  <si>
    <t xml:space="preserve">• Consider No Medical Life Insurance</t>
  </si>
  <si>
    <t xml:space="preserve">The Risk Equation: Why Diabetes Matters to Insurers</t>
  </si>
  <si>
    <t xml:space="preserve">• Tailored Solutions</t>
  </si>
  <si>
    <t xml:space="preserve">• Body Build</t>
  </si>
  <si>
    <t xml:space="preserve">Cost Differences Between Mortgage Insurance and Term Life Insurance</t>
  </si>
  <si>
    <t xml:space="preserve">• Fixed Benefits</t>
  </si>
  <si>
    <t xml:space="preserve">THERE IS NO EXPIRY</t>
  </si>
  <si>
    <t xml:space="preserve">Types of Family Life Insurance in Canada</t>
  </si>
  <si>
    <t xml:space="preserve">IMMEDIATE COVERAGE</t>
  </si>
  <si>
    <t xml:space="preserve">How is Life Insurance Priced?</t>
  </si>
  <si>
    <t xml:space="preserve">4. Comprehensive Assessment of Dependents’ Needs.</t>
  </si>
  <si>
    <t xml:space="preserve">Occupation and Lifestyle</t>
  </si>
  <si>
    <t xml:space="preserve">Risk vs Premium: The Balancing Act</t>
  </si>
  <si>
    <t xml:space="preserve">Cost Breakdown</t>
  </si>
  <si>
    <t xml:space="preserve">The Gold Standard: Why Experienced Brokers Shine</t>
  </si>
  <si>
    <t xml:space="preserve">High-Risk &amp; Hard to Insure clients</t>
  </si>
  <si>
    <t xml:space="preserve">Yearly Renewable Term Insurance</t>
  </si>
  <si>
    <t xml:space="preserve">• Health Condition</t>
  </si>
  <si>
    <t xml:space="preserve">• Variable Life Insurance</t>
  </si>
  <si>
    <t xml:space="preserve">• Cash Value Accumulation</t>
  </si>
  <si>
    <t xml:space="preserve">Tax Implications and the Purchase Process</t>
  </si>
  <si>
    <t xml:space="preserve">Scenarios Where It’s Beneficial</t>
  </si>
  <si>
    <t xml:space="preserve">Simplified Underwriting Process</t>
  </si>
  <si>
    <t xml:space="preserve">• Work with an Insurance Advisor</t>
  </si>
  <si>
    <t xml:space="preserve">The Impact on Life Expectancy</t>
  </si>
  <si>
    <t xml:space="preserve">• Securing the Future</t>
  </si>
  <si>
    <t xml:space="preserve">Details on Heart Disease and Life Insurance</t>
  </si>
  <si>
    <t xml:space="preserve">• Cost-Effectiveness</t>
  </si>
  <si>
    <t xml:space="preserve">NO MEDICAL EXAMS OR NEEDLES NECESSARY</t>
  </si>
  <si>
    <t xml:space="preserve">When is Life Insurance Necessary for Seniors?</t>
  </si>
  <si>
    <t xml:space="preserve">The Insurance Buffet</t>
  </si>
  <si>
    <t xml:space="preserve">Buying Health Insurance made Easy Quick Hassle FREE</t>
  </si>
  <si>
    <t xml:space="preserve">• No medical life insurance</t>
  </si>
  <si>
    <t xml:space="preserve">5. Balancing Budget, Debts, and Dependents.</t>
  </si>
  <si>
    <t xml:space="preserve">Policy Duration and Amount</t>
  </si>
  <si>
    <t xml:space="preserve">Tailoring Insurance To Your Health</t>
  </si>
  <si>
    <t xml:space="preserve">• Did You Know?</t>
  </si>
  <si>
    <t xml:space="preserve">• Access to All Canadian Insurers</t>
  </si>
  <si>
    <t xml:space="preserve">Who is Term Life Insurance for?</t>
  </si>
  <si>
    <t xml:space="preserve">• Current Financial Responsibilities</t>
  </si>
  <si>
    <t xml:space="preserve">Which Option is Better: Permanent or Term Life Insurance?</t>
  </si>
  <si>
    <t xml:space="preserve">• Fixed Premiums</t>
  </si>
  <si>
    <t xml:space="preserve">Buying Universal Life Insurance: Step-by-Step</t>
  </si>
  <si>
    <t xml:space="preserve">• Single Breadwinners</t>
  </si>
  <si>
    <t xml:space="preserve">Guaranteed Acceptance Options</t>
  </si>
  <si>
    <t xml:space="preserve">Leverage the Expertise of an Insurance Advisor</t>
  </si>
  <si>
    <t xml:space="preserve">• Note</t>
  </si>
  <si>
    <t xml:space="preserve">Does Life Insurance Cover Cancer?</t>
  </si>
  <si>
    <t xml:space="preserve">• Detailed Medical History</t>
  </si>
  <si>
    <t xml:space="preserve">• Flexibility</t>
  </si>
  <si>
    <t xml:space="preserve">IS THERE ANY WAITING PERIOD?</t>
  </si>
  <si>
    <t xml:space="preserve">• Final Expenses</t>
  </si>
  <si>
    <t xml:space="preserve">Whole Life Insurance</t>
  </si>
  <si>
    <t xml:space="preserve">How Life Insurance Payouts Work</t>
  </si>
  <si>
    <t xml:space="preserve">Gender’s Role</t>
  </si>
  <si>
    <t xml:space="preserve">Choosing The Right Path</t>
  </si>
  <si>
    <t xml:space="preserve">Myth 2: Life Insurance Is Just for Funeral Costs</t>
  </si>
  <si>
    <t xml:space="preserve">• Years of Experience</t>
  </si>
  <si>
    <t xml:space="preserve">100% None Face-to-Face</t>
  </si>
  <si>
    <t xml:space="preserve">Young Families</t>
  </si>
  <si>
    <t xml:space="preserve">• Affordability</t>
  </si>
  <si>
    <t xml:space="preserve">Can Permanent Life Insurance be used as a Saving?</t>
  </si>
  <si>
    <t xml:space="preserve">• Death Benefit</t>
  </si>
  <si>
    <t xml:space="preserve">• Determine Your Insurance Needs</t>
  </si>
  <si>
    <t xml:space="preserve">• Business Owners</t>
  </si>
  <si>
    <t xml:space="preserve">Who is no medical life insurance for?</t>
  </si>
  <si>
    <t xml:space="preserve">• Personalized Advice</t>
  </si>
  <si>
    <t xml:space="preserve">The Silver Lining: Manage Well, Live Well</t>
  </si>
  <si>
    <t xml:space="preserve">Guaranteed Issue Life Insurance</t>
  </si>
  <si>
    <t xml:space="preserve">• Lifestyle Habits</t>
  </si>
  <si>
    <t xml:space="preserve">Deep Dive into the Pitfalls of Mortgage Protection Insurance</t>
  </si>
  <si>
    <t xml:space="preserve">Buying Final Expense Coverage made Easy Quick Hassle FREE</t>
  </si>
  <si>
    <t xml:space="preserve">• Income Replacement</t>
  </si>
  <si>
    <t xml:space="preserve">Universal Life Insurance</t>
  </si>
  <si>
    <t xml:space="preserve">Dealing with Final Expenses</t>
  </si>
  <si>
    <t xml:space="preserve">Decoding the Different Types of Life Insurance Policies</t>
  </si>
  <si>
    <t xml:space="preserve">• Underwriting Expertise</t>
  </si>
  <si>
    <t xml:space="preserve">Buying life insurance can seem like a perplexing puzzle</t>
  </si>
  <si>
    <t xml:space="preserve">Homeowners with Mortgage</t>
  </si>
  <si>
    <t xml:space="preserve">• Estate Planning</t>
  </si>
  <si>
    <t xml:space="preserve">Why Familia Life?</t>
  </si>
  <si>
    <t xml:space="preserve">Types of Permanent Life Insurance in Canada</t>
  </si>
  <si>
    <t xml:space="preserve">• Choose a Reliable Insurance Advisor</t>
  </si>
  <si>
    <t xml:space="preserve">What is Joint Life Insurance?</t>
  </si>
  <si>
    <t xml:space="preserve">Individuals with Pre-existing Health Conditions</t>
  </si>
  <si>
    <t xml:space="preserve">• Understanding of Underwriting Policies</t>
  </si>
  <si>
    <t xml:space="preserve">Statistical Risks</t>
  </si>
  <si>
    <t xml:space="preserve">Simplified Issue Life Insurance</t>
  </si>
  <si>
    <t xml:space="preserve">• Medications</t>
  </si>
  <si>
    <t xml:space="preserve">• Decreasing Value</t>
  </si>
  <si>
    <t xml:space="preserve">Mortgage Life Insurance</t>
  </si>
  <si>
    <t xml:space="preserve">Insurance and Mortgage Protection</t>
  </si>
  <si>
    <t xml:space="preserve">Where the Money Goes</t>
  </si>
  <si>
    <t xml:space="preserve">Trust: The Bedrock of a Healthy Broker-Client Relationship</t>
  </si>
  <si>
    <t xml:space="preserve">Read our latest</t>
  </si>
  <si>
    <t xml:space="preserve">Business Owners</t>
  </si>
  <si>
    <t xml:space="preserve">Is A New Term Policy An Option?</t>
  </si>
  <si>
    <t xml:space="preserve">• Medical Background Check</t>
  </si>
  <si>
    <t xml:space="preserve">Older Individuals &amp; Seniors</t>
  </si>
  <si>
    <t xml:space="preserve">• Navigating Through Different Options</t>
  </si>
  <si>
    <t xml:space="preserve">• List of Diabetes-Related Risks by Age Group</t>
  </si>
  <si>
    <t xml:space="preserve">Traditional Life Insurance</t>
  </si>
  <si>
    <t xml:space="preserve">Life Insurance Options after a Heart Attack</t>
  </si>
  <si>
    <t xml:space="preserve">• Limited Coverage</t>
  </si>
  <si>
    <t xml:space="preserve">• Special Needs</t>
  </si>
  <si>
    <t xml:space="preserve">Joint Life Insurance</t>
  </si>
  <si>
    <t xml:space="preserve">Life Insurance with Health Issues</t>
  </si>
  <si>
    <t xml:space="preserve">Understanding Quote Calculations</t>
  </si>
  <si>
    <t xml:space="preserve">• Mortgage Payments</t>
  </si>
  <si>
    <t xml:space="preserve">• Transparency</t>
  </si>
  <si>
    <t xml:space="preserve">Pros and Cons of Term Life Insurance</t>
  </si>
  <si>
    <t xml:space="preserve">Conversion to Permanent Life Insurance</t>
  </si>
  <si>
    <t xml:space="preserve">• Description</t>
  </si>
  <si>
    <t xml:space="preserve">• Policy Issuance</t>
  </si>
  <si>
    <t xml:space="preserve">• Dual Coverage</t>
  </si>
  <si>
    <t xml:space="preserve">Those Seeking Convenience and Speed</t>
  </si>
  <si>
    <t xml:space="preserve">Role of No Medical Life Insurance</t>
  </si>
  <si>
    <t xml:space="preserve">• Under 40</t>
  </si>
  <si>
    <t xml:space="preserve">Factors Insurers Consider for Cancer Patients</t>
  </si>
  <si>
    <t xml:space="preserve">• Traditional Life Insurance</t>
  </si>
  <si>
    <t xml:space="preserve">• Lack of Control</t>
  </si>
  <si>
    <t xml:space="preserve">• Debts</t>
  </si>
  <si>
    <t xml:space="preserve">Life Insurance for Children</t>
  </si>
  <si>
    <t xml:space="preserve">How Much Life Insurance Do You Need?</t>
  </si>
  <si>
    <t xml:space="preserve">The Actuarial Science</t>
  </si>
  <si>
    <t xml:space="preserve">• Children’s Education</t>
  </si>
  <si>
    <t xml:space="preserve">• Client’s Best Interest</t>
  </si>
  <si>
    <t xml:space="preserve">Advantages of Term Life Insurance</t>
  </si>
  <si>
    <t xml:space="preserve">Letting Your Term Life Insurance Expire</t>
  </si>
  <si>
    <t xml:space="preserve">• Benefits</t>
  </si>
  <si>
    <t xml:space="preserve">• Unified Policy</t>
  </si>
  <si>
    <t xml:space="preserve">Individuals with Needle Phobia or Medical Procedure Anxiety</t>
  </si>
  <si>
    <t xml:space="preserve">Enhancing Your Insurability and Determining Coverage Amount</t>
  </si>
  <si>
    <t xml:space="preserve">• 40-60</t>
  </si>
  <si>
    <t xml:space="preserve">• Type of Cancer</t>
  </si>
  <si>
    <t xml:space="preserve">• Simplified Life Insurance</t>
  </si>
  <si>
    <t xml:space="preserve">Advantages of Term Life Insurance Over MPI</t>
  </si>
  <si>
    <t xml:space="preserve">• Charitable Donation</t>
  </si>
  <si>
    <t xml:space="preserve">Table: Comparing Different Types of Family Life Insurance</t>
  </si>
  <si>
    <t xml:space="preserve">Choosing the Right Life Insurance Advisor</t>
  </si>
  <si>
    <t xml:space="preserve">Risk Categories</t>
  </si>
  <si>
    <t xml:space="preserve">• Day-to-Day Expenses</t>
  </si>
  <si>
    <t xml:space="preserve">Thing #2: Choosing Reputable Insurance Companies</t>
  </si>
  <si>
    <t xml:space="preserve">Affordability</t>
  </si>
  <si>
    <t xml:space="preserve">Wrapping Up</t>
  </si>
  <si>
    <t xml:space="preserve">• Types</t>
  </si>
  <si>
    <t xml:space="preserve">Individuals with Busy Schedules</t>
  </si>
  <si>
    <t xml:space="preserve">• Over 60</t>
  </si>
  <si>
    <t xml:space="preserve">• Stage and Grade</t>
  </si>
  <si>
    <t xml:space="preserve">• Guaranteed Life Insurance</t>
  </si>
  <si>
    <t xml:space="preserve">• Greater Coverage</t>
  </si>
  <si>
    <t xml:space="preserve">Is Life Insurance Worth It After 70?</t>
  </si>
  <si>
    <t xml:space="preserve">Finding the Ideal Family Life Insurance</t>
  </si>
  <si>
    <t xml:space="preserve">The Role of Medical Examinations</t>
  </si>
  <si>
    <t xml:space="preserve">• Pro Tip</t>
  </si>
  <si>
    <t xml:space="preserve">Why the Name Matters: The Importance of Company Reputation</t>
  </si>
  <si>
    <t xml:space="preserve">Simplicity</t>
  </si>
  <si>
    <t xml:space="preserve">Joint-First-to-Die vs Joint-Last-to-Die</t>
  </si>
  <si>
    <t xml:space="preserve">Understanding Different Insurance Rate Classifications</t>
  </si>
  <si>
    <t xml:space="preserve">• Debt and Final Expenses</t>
  </si>
  <si>
    <t xml:space="preserve">Pricing Life Insurance for Diabetics</t>
  </si>
  <si>
    <t xml:space="preserve">• Time Since Diagnosis</t>
  </si>
  <si>
    <t xml:space="preserve">Getting the Right Coverage for Your Situation</t>
  </si>
  <si>
    <t xml:space="preserve">• Cost Advantage</t>
  </si>
  <si>
    <t xml:space="preserve">The Medical Background Scoop</t>
  </si>
  <si>
    <t xml:space="preserve">Why Making the Right Choice Matters</t>
  </si>
  <si>
    <t xml:space="preserve">Credit and Background Checks</t>
  </si>
  <si>
    <t xml:space="preserve">Myth 3: Medical Exams Are Mandatory</t>
  </si>
  <si>
    <t xml:space="preserve">The Dynamic Duo: Longevity and Claim Settlement Ratio</t>
  </si>
  <si>
    <t xml:space="preserve">Flexibility</t>
  </si>
  <si>
    <t xml:space="preserve">• Joint-First-to-Die</t>
  </si>
  <si>
    <t xml:space="preserve">What is a Standard Rate?</t>
  </si>
  <si>
    <t xml:space="preserve">• Future Financial Goals</t>
  </si>
  <si>
    <t xml:space="preserve">A Closer Look at the Price Tag</t>
  </si>
  <si>
    <t xml:space="preserve">• Complicating Issues</t>
  </si>
  <si>
    <t xml:space="preserve">Frequently Asked Questions (FAQs)</t>
  </si>
  <si>
    <t xml:space="preserve">• Flexibility and Control</t>
  </si>
  <si>
    <t xml:space="preserve">What is the best insurance for those over 65?</t>
  </si>
  <si>
    <t xml:space="preserve">Why Familia Life Recommends Using a Skilled Broker</t>
  </si>
  <si>
    <t xml:space="preserve">The Financial Implications of Life Insurance</t>
  </si>
  <si>
    <t xml:space="preserve">• Longevity</t>
  </si>
  <si>
    <t xml:space="preserve">Disadvantages of Term Life Insurance</t>
  </si>
  <si>
    <t xml:space="preserve">• Term 100</t>
  </si>
  <si>
    <t xml:space="preserve">• Joint-Last-to-Die</t>
  </si>
  <si>
    <t xml:space="preserve">What is a Preferred Rate?</t>
  </si>
  <si>
    <t xml:space="preserve">Conclusion</t>
  </si>
  <si>
    <t xml:space="preserve">Key Factors in Pricing</t>
  </si>
  <si>
    <t xml:space="preserve">• Table 1: Factors Insurers Consider</t>
  </si>
  <si>
    <t xml:space="preserve">Is a heart attack covered in life insurance?</t>
  </si>
  <si>
    <t xml:space="preserve">Choose Wisely, Live Confidently</t>
  </si>
  <si>
    <t xml:space="preserve">Life Insurance Type Comparison</t>
  </si>
  <si>
    <t xml:space="preserve">Affordability Meets Value at Familia Life</t>
  </si>
  <si>
    <t xml:space="preserve">How Health Concerns Impact Your Quote</t>
  </si>
  <si>
    <t xml:space="preserve">Pros and Cons</t>
  </si>
  <si>
    <t xml:space="preserve">• Claim Settlement Ratio</t>
  </si>
  <si>
    <t xml:space="preserve">Temporary coverage</t>
  </si>
  <si>
    <t xml:space="preserve">Scenarios and Examples</t>
  </si>
  <si>
    <t xml:space="preserve">What are “ratings”?</t>
  </si>
  <si>
    <t xml:space="preserve">• Age at Diagnosis</t>
  </si>
  <si>
    <t xml:space="preserve">Types of Insurance Offers Based on Health</t>
  </si>
  <si>
    <t xml:space="preserve">Will the insurance payout after a heart attack?</t>
  </si>
  <si>
    <t xml:space="preserve">When Term Life Insurance Isn’t the Perfect Solution</t>
  </si>
  <si>
    <t xml:space="preserve">Is Term Life Insurance Worth It for Seniors?</t>
  </si>
  <si>
    <t xml:space="preserve">Comprehensive Protection: A Familia Life Specialty</t>
  </si>
  <si>
    <t xml:space="preserve">Common Health Conditions</t>
  </si>
  <si>
    <t xml:space="preserve">Comparison: Reputable vs. Sketchy</t>
  </si>
  <si>
    <t xml:space="preserve">No cash value</t>
  </si>
  <si>
    <t xml:space="preserve">Married Couples with Shared Financial Responsibilities</t>
  </si>
  <si>
    <t xml:space="preserve">Mild Diabetes (Controlled Without Medication)</t>
  </si>
  <si>
    <t xml:space="preserve">• Type of Diabetes</t>
  </si>
  <si>
    <t xml:space="preserve">• Traditional Life Insurance (Standard Rates)</t>
  </si>
  <si>
    <t xml:space="preserve">Can I get insured after heart failure, disease, or attack?</t>
  </si>
  <si>
    <t xml:space="preserve">Choose the Right Life Insurance Advisor</t>
  </si>
  <si>
    <t xml:space="preserve">Is Whole Life Insurance Worth It for Seniors?</t>
  </si>
  <si>
    <t xml:space="preserve">Exceptional Customer Service: A Familia Life Hallmark</t>
  </si>
  <si>
    <t xml:space="preserve">Mental Health Considerations</t>
  </si>
  <si>
    <t xml:space="preserve">Myth 4: Only for Those with Dependents</t>
  </si>
  <si>
    <t xml:space="preserve">Your To-Do List</t>
  </si>
  <si>
    <t xml:space="preserve">Increasing Premiums</t>
  </si>
  <si>
    <t xml:space="preserve">Advantages of Permanent Life Insurance</t>
  </si>
  <si>
    <t xml:space="preserve">Business Partners</t>
  </si>
  <si>
    <t xml:space="preserve">Moderate to Severe Diabetes (Requires Medication)</t>
  </si>
  <si>
    <t xml:space="preserve">• Complications</t>
  </si>
  <si>
    <t xml:space="preserve">• Traditional Rated Life Insurance (Increased Rates)</t>
  </si>
  <si>
    <t xml:space="preserve">What’s the best life insurance for heart conditions?</t>
  </si>
  <si>
    <t xml:space="preserve">Final Thoughts</t>
  </si>
  <si>
    <t xml:space="preserve">No Medical Life Insurance for Seniors</t>
  </si>
  <si>
    <t xml:space="preserve">Flexibility: Because Life Happens</t>
  </si>
  <si>
    <t xml:space="preserve">No-medical Life Insurance Options</t>
  </si>
  <si>
    <t xml:space="preserve">• Consult a Broker</t>
  </si>
  <si>
    <t xml:space="preserve">Parents and Children for Estate Planning</t>
  </si>
  <si>
    <t xml:space="preserve">Multiple Health Conditions</t>
  </si>
  <si>
    <t xml:space="preserve">• Blood Sugar Control</t>
  </si>
  <si>
    <t xml:space="preserve">• No Medical Life Insurance (Simplified Issue)</t>
  </si>
  <si>
    <t xml:space="preserve">How to get a quote?</t>
  </si>
  <si>
    <t xml:space="preserve">Where is the best place to get life insurance for Seniors?</t>
  </si>
  <si>
    <t xml:space="preserve">List: Why Familia Life Stands Out</t>
  </si>
  <si>
    <t xml:space="preserve">Temporary Health Issues vs. Chronic Conditions</t>
  </si>
  <si>
    <t xml:space="preserve">Single Life Insurance Use-Cases</t>
  </si>
  <si>
    <t xml:space="preserve">• Research Companies</t>
  </si>
  <si>
    <t xml:space="preserve">Key Differences</t>
  </si>
  <si>
    <t xml:space="preserve">What is a Simplified Issue Life Insurance?</t>
  </si>
  <si>
    <t xml:space="preserve">• Additional Medical Conditions</t>
  </si>
  <si>
    <t xml:space="preserve">• Table 2: Insurance Offers Based on Health</t>
  </si>
  <si>
    <t xml:space="preserve">Can you get life insurance after you’ve had a heart attack?</t>
  </si>
  <si>
    <t xml:space="preserve">Guaranteed Approval Life Insurance: The Last Resort</t>
  </si>
  <si>
    <t xml:space="preserve">How to Buy Family Life Insurance</t>
  </si>
  <si>
    <t xml:space="preserve">Life Insurance vs. Mortgage Insurance: A Quick Comparison</t>
  </si>
  <si>
    <t xml:space="preserve">• Debt Payoff</t>
  </si>
  <si>
    <t xml:space="preserve">The Road Ahead</t>
  </si>
  <si>
    <t xml:space="preserve">• Coverage Scope</t>
  </si>
  <si>
    <t xml:space="preserve">• What Helps and Hurts Your Case</t>
  </si>
  <si>
    <t xml:space="preserve">Your Beacon: Familia Life Brokers</t>
  </si>
  <si>
    <t xml:space="preserve">Can you get life insurance if you have a stent?</t>
  </si>
  <si>
    <t xml:space="preserve">What type of life insurance is best for 70 year old?</t>
  </si>
  <si>
    <t xml:space="preserve">Get Your Ducks in a Row</t>
  </si>
  <si>
    <t xml:space="preserve">The Importance of Reading the Fine Print</t>
  </si>
  <si>
    <t xml:space="preserve">• Charitable Contributions</t>
  </si>
  <si>
    <t xml:space="preserve">• Death Benefits and Beneficiaries</t>
  </si>
  <si>
    <t xml:space="preserve">• Cost Efficiency</t>
  </si>
  <si>
    <t xml:space="preserve">Improve Your Case: What Can Help</t>
  </si>
  <si>
    <t xml:space="preserve">Where to Anchor: Life Insurance Options</t>
  </si>
  <si>
    <t xml:space="preserve">What is considered heart trouble for life insurance?</t>
  </si>
  <si>
    <t xml:space="preserve">What is the cheapest life insurance for seniors over 70?</t>
  </si>
  <si>
    <t xml:space="preserve">Identify Your Family’s Needs</t>
  </si>
  <si>
    <t xml:space="preserve">Policy Exclusions and Limitations</t>
  </si>
  <si>
    <t xml:space="preserve">1. Why is a Broker So Important in the Life Insurance Process?</t>
  </si>
  <si>
    <t xml:space="preserve">Comparison: Permanent vs. Term Life Insurance</t>
  </si>
  <si>
    <t xml:space="preserve">• Policy Flexibility</t>
  </si>
  <si>
    <t xml:space="preserve">Watch Out: What Could Hurt</t>
  </si>
  <si>
    <t xml:space="preserve">Frequently Asked Questions</t>
  </si>
  <si>
    <t xml:space="preserve">Can you get life insurance after heart bypass surgery?</t>
  </si>
  <si>
    <t xml:space="preserve">Research and Choose a Reputable Insurance Company</t>
  </si>
  <si>
    <t xml:space="preserve">Potential Riders</t>
  </si>
  <si>
    <t xml:space="preserve">• Think About This</t>
  </si>
  <si>
    <t xml:space="preserve">2. How Do I Know if a Company is Reputable?</t>
  </si>
  <si>
    <t xml:space="preserve">• Duration of Coverage</t>
  </si>
  <si>
    <t xml:space="preserve">Individual vs Joint Term Life</t>
  </si>
  <si>
    <t xml:space="preserve">The Underwriting Process</t>
  </si>
  <si>
    <t xml:space="preserve">Can I get life insurance if I have cancer in Canada?</t>
  </si>
  <si>
    <t xml:space="preserve">The Role of Insurance Agents</t>
  </si>
  <si>
    <t xml:space="preserve">Working With a Competent Advisor is Crucial</t>
  </si>
  <si>
    <t xml:space="preserve">Myth 5: Group Insurance Is Sufficient</t>
  </si>
  <si>
    <t xml:space="preserve">3. Can I Trust Online Reviews About Insurance Companies?</t>
  </si>
  <si>
    <t xml:space="preserve">• Cost Implications</t>
  </si>
  <si>
    <t xml:space="preserve">• Individual Term Life</t>
  </si>
  <si>
    <t xml:space="preserve">The Waiting Game</t>
  </si>
  <si>
    <t xml:space="preserve">Can a Stage 4 cancer patient get life insurance?</t>
  </si>
  <si>
    <t xml:space="preserve">Working with a Broker</t>
  </si>
  <si>
    <t xml:space="preserve">Two Things Before Buying</t>
  </si>
  <si>
    <t xml:space="preserve">Frequently Asked Questions:</t>
  </si>
  <si>
    <t xml:space="preserve">4. What if I Have Health Issues? Can I Still Get Life Insurance?</t>
  </si>
  <si>
    <t xml:space="preserve">• Purpose and Benefits</t>
  </si>
  <si>
    <t xml:space="preserve">• Joint Term Life</t>
  </si>
  <si>
    <t xml:space="preserve">Additional Medical Requirements</t>
  </si>
  <si>
    <t xml:space="preserve">What is the best insurance for cancer patients?</t>
  </si>
  <si>
    <t xml:space="preserve">• Wide Access to Insurers</t>
  </si>
  <si>
    <t xml:space="preserve">• Know Your Policy Inside and Out</t>
  </si>
  <si>
    <t xml:space="preserve">Q1: How are life insurance quotes determined?</t>
  </si>
  <si>
    <t xml:space="preserve">Group vs Individual Policies</t>
  </si>
  <si>
    <t xml:space="preserve">5. Can I Change My Insurance Company Later On?</t>
  </si>
  <si>
    <t xml:space="preserve">• Suitability check-up</t>
  </si>
  <si>
    <t xml:space="preserve">Individual vs. Joint Permanent Life</t>
  </si>
  <si>
    <t xml:space="preserve">• List: Typical Underwriting Requirements</t>
  </si>
  <si>
    <t xml:space="preserve">Can I get life insurance if I had cancer 10 years ago?</t>
  </si>
  <si>
    <t xml:space="preserve">• Personalized Guidance</t>
  </si>
  <si>
    <t xml:space="preserve">• Consult Multiple Sources</t>
  </si>
  <si>
    <t xml:space="preserve">Q2: Is life insurance more expensive as you age?</t>
  </si>
  <si>
    <t xml:space="preserve">Understanding No Medical Life Insurance within the Permanent Category</t>
  </si>
  <si>
    <t xml:space="preserve">• Individual Permanent Life</t>
  </si>
  <si>
    <t xml:space="preserve">Recommendations for Diabetics Seeking Life Insurance</t>
  </si>
  <si>
    <t xml:space="preserve">How does a cancer diagnosis affect life insurance?</t>
  </si>
  <si>
    <t xml:space="preserve">• Understanding Underwriting Nuances</t>
  </si>
  <si>
    <t xml:space="preserve">Q3: Do all life insurance policies require a medical exam?</t>
  </si>
  <si>
    <t xml:space="preserve">Myth 6: Stay-at-Home Parents Don’t Need Insurance</t>
  </si>
  <si>
    <t xml:space="preserve">• Brief about No Medical Life Insurance</t>
  </si>
  <si>
    <t xml:space="preserve">• Joint Permanent Life</t>
  </si>
  <si>
    <t xml:space="preserve">Work with a Broker: Your Best Ally</t>
  </si>
  <si>
    <t xml:space="preserve">• Premiums</t>
  </si>
  <si>
    <t xml:space="preserve">• Simplified Process</t>
  </si>
  <si>
    <t xml:space="preserve">The Final Word</t>
  </si>
  <si>
    <t xml:space="preserve">Q4: Can I get life insurance if I have a pre-existing condition?</t>
  </si>
  <si>
    <t xml:space="preserve">The Interplay of Types and Choices</t>
  </si>
  <si>
    <t xml:space="preserve">Why Brokers Are Better</t>
  </si>
  <si>
    <t xml:space="preserve">• Eligibility</t>
  </si>
  <si>
    <t xml:space="preserve">• Comparative Analysis</t>
  </si>
  <si>
    <t xml:space="preserve">Importance of the Right Choice</t>
  </si>
  <si>
    <t xml:space="preserve">Q5: How do Canadian life insurance policies differ from those in other countries?</t>
  </si>
  <si>
    <t xml:space="preserve">The Real Cost of a Stay-At-Home Parent</t>
  </si>
  <si>
    <t xml:space="preserve">• Downsides</t>
  </si>
  <si>
    <t xml:space="preserve">Comparative Analysis</t>
  </si>
  <si>
    <t xml:space="preserve">• Diverse Options</t>
  </si>
  <si>
    <t xml:space="preserve">• Coverage Amount</t>
  </si>
  <si>
    <t xml:space="preserve">The Need for Proper Research and Consultation</t>
  </si>
  <si>
    <t xml:space="preserve">• Who Should Consider It?</t>
  </si>
  <si>
    <t xml:space="preserve">Table: Feature-by-Feature Comparison</t>
  </si>
  <si>
    <t xml:space="preserve">• Waiting Periods</t>
  </si>
  <si>
    <t xml:space="preserve">Frequently Asked Questions (FAQ)</t>
  </si>
  <si>
    <t xml:space="preserve">Myth 7: Too Young for Life Insurance</t>
  </si>
  <si>
    <t xml:space="preserve">Determining How Much Permanent Life Insurance You Need</t>
  </si>
  <si>
    <t xml:space="preserve">Case Studies: Real-life Scenarios</t>
  </si>
  <si>
    <t xml:space="preserve">• Saves Time and Money</t>
  </si>
  <si>
    <t xml:space="preserve">• Factors to Consider</t>
  </si>
  <si>
    <t xml:space="preserve">Financial Implications</t>
  </si>
  <si>
    <t xml:space="preserve">• Broker vs. Captive Agent vs. Call Center Agent</t>
  </si>
  <si>
    <t xml:space="preserve">What is family life insurance Canada?</t>
  </si>
  <si>
    <t xml:space="preserve">Premiums by Age</t>
  </si>
  <si>
    <t xml:space="preserve">• Financial Obligations</t>
  </si>
  <si>
    <t xml:space="preserve">Long-term vs Short-term Benefits</t>
  </si>
  <si>
    <t xml:space="preserve">Non-Medical vs. Traditional</t>
  </si>
  <si>
    <t xml:space="preserve">Is there life insurance that covers the whole family?</t>
  </si>
  <si>
    <t xml:space="preserve">• Smart Move</t>
  </si>
  <si>
    <t xml:space="preserve">• Dependents</t>
  </si>
  <si>
    <t xml:space="preserve">Pros and Cons of Individual Life Insurance</t>
  </si>
  <si>
    <t xml:space="preserve">Avoid Short-Term Contracts</t>
  </si>
  <si>
    <t xml:space="preserve">What is one benefit of life insurance to your family?</t>
  </si>
  <si>
    <t xml:space="preserve">Myth 8: Too Old for Life Insurance</t>
  </si>
  <si>
    <t xml:space="preserve">Advantages</t>
  </si>
  <si>
    <t xml:space="preserve">The Power of Permanent</t>
  </si>
  <si>
    <t xml:space="preserve">What is the best way to leave money to family?</t>
  </si>
  <si>
    <t xml:space="preserve">• Future Financial Needs</t>
  </si>
  <si>
    <t xml:space="preserve">Diabetics with Additional Health Issues</t>
  </si>
  <si>
    <t xml:space="preserve">Tips for Older Applicants</t>
  </si>
  <si>
    <t xml:space="preserve">• Existing Savings and Investments</t>
  </si>
  <si>
    <t xml:space="preserve">• Multiple Beneficiaries</t>
  </si>
  <si>
    <t xml:space="preserve">Best Life Insurance Options for Diabetics</t>
  </si>
  <si>
    <t xml:space="preserve">• Shop Around</t>
  </si>
  <si>
    <t xml:space="preserve">• Tax implications of your assets</t>
  </si>
  <si>
    <t xml:space="preserve">• Independence</t>
  </si>
  <si>
    <t xml:space="preserve">Non-Medical Policies: Often Your Best Bet</t>
  </si>
  <si>
    <t xml:space="preserve">• Consult Advisors</t>
  </si>
  <si>
    <t xml:space="preserve">End-of-Term Scenarios and Their Impact on Permanent Policies</t>
  </si>
  <si>
    <t xml:space="preserve">Disadvantages</t>
  </si>
  <si>
    <t xml:space="preserve">Why Permanent Policies Shine</t>
  </si>
  <si>
    <t xml:space="preserve">• What Happens When a Term Policy Ends?</t>
  </si>
  <si>
    <t xml:space="preserve">• Cost</t>
  </si>
  <si>
    <t xml:space="preserve">• Non-Medical vs. Fully-Underwritten Life Insurance</t>
  </si>
  <si>
    <t xml:space="preserve">Myth 9: Preexisting Conditions Disqualify You</t>
  </si>
  <si>
    <t xml:space="preserve">• Expiration Without Claim</t>
  </si>
  <si>
    <t xml:space="preserve">• Simplicity</t>
  </si>
  <si>
    <t xml:space="preserve">Individual Needs Vary: Consult a Broker</t>
  </si>
  <si>
    <t xml:space="preserve">• Renewal Option</t>
  </si>
  <si>
    <t xml:space="preserve">Pros and Cons of Joint Life Insurance</t>
  </si>
  <si>
    <t xml:space="preserve">Considerations for Preexisting Conditions</t>
  </si>
  <si>
    <t xml:space="preserve">• Converting Term Policies to Permanent</t>
  </si>
  <si>
    <t xml:space="preserve">FAQ: Life Insurance for Diabetics</t>
  </si>
  <si>
    <t xml:space="preserve">• Conclusion</t>
  </si>
  <si>
    <t xml:space="preserve">• Cost-Effective</t>
  </si>
  <si>
    <t xml:space="preserve">Do diabetics qualify for life insurance?</t>
  </si>
  <si>
    <t xml:space="preserve">Myth 10: Other Investments Are Better</t>
  </si>
  <si>
    <t xml:space="preserve">• Unified Management</t>
  </si>
  <si>
    <t xml:space="preserve">Does Canada life cover diabetes?</t>
  </si>
  <si>
    <t xml:space="preserve">Can insulin-dependent diabetics get life insurance?</t>
  </si>
  <si>
    <t xml:space="preserve">Investment Comparison</t>
  </si>
  <si>
    <t xml:space="preserve">How does Type 2 diabetes affect life insurance?</t>
  </si>
  <si>
    <t xml:space="preserve">• Limited Flexibility</t>
  </si>
  <si>
    <t xml:space="preserve">Is Type 2 diabetes considered a permanent disability?</t>
  </si>
  <si>
    <t xml:space="preserve">Myth 11: Permanent Insurance Is for the Wealthy</t>
  </si>
  <si>
    <t xml:space="preserve">• Single Payout</t>
  </si>
  <si>
    <t xml:space="preserve">Underwriting for Joint Life Insurance: A Deeper Dive</t>
  </si>
  <si>
    <t xml:space="preserve">Scenarios for Permanent Insurance</t>
  </si>
  <si>
    <t xml:space="preserve">Individual vs Joint Underwriting</t>
  </si>
  <si>
    <t xml:space="preserve">• Wealth Transfer</t>
  </si>
  <si>
    <t xml:space="preserve">The Average Age Band Factor</t>
  </si>
  <si>
    <t xml:space="preserve">• Business Planning</t>
  </si>
  <si>
    <t xml:space="preserve">The Domino Effect on Risk</t>
  </si>
  <si>
    <t xml:space="preserve">What to Expect in Medical Checks</t>
  </si>
  <si>
    <t xml:space="preserve">Myth 12: Coverage Should Be Twice the Annual Salary</t>
  </si>
  <si>
    <t xml:space="preserve">How Much Insurance Do You Need?</t>
  </si>
  <si>
    <t xml:space="preserve">Quotes and Pricing</t>
  </si>
  <si>
    <t xml:space="preserve">How Much Coverage Do You Really Need?</t>
  </si>
  <si>
    <t xml:space="preserve">1. What’s the Main Difference Between Joint and Individual Life Insurance?</t>
  </si>
  <si>
    <t xml:space="preserve">• Expenses</t>
  </si>
  <si>
    <t xml:space="preserve">2. Can I Convert a Joint Life Insurance Policy into Two Individual Policies?</t>
  </si>
  <si>
    <t xml:space="preserve">• Future Goals</t>
  </si>
  <si>
    <t xml:space="preserve">3. How Do Medical Background Checks Work for Joint Life Insurance?</t>
  </si>
  <si>
    <t xml:space="preserve">4. What Happens If One Person Dies in a Joint Life Insurance Policy?</t>
  </si>
  <si>
    <t xml:space="preserve">5. How Do I Decide How Much Coverage I Need?</t>
  </si>
  <si>
    <t xml:space="preserve">familialife.ca: full site review (Familia Life)</t>
  </si>
  <si>
    <t xml:space="preserve">Reviewed October 14, 2026. Live site blocks automated access (HTTP 403), so page content comes from Internet Archive snapshots (mostly January 2024; home page April 2025) plus current search results. See 'Method &amp; Notes'.</t>
  </si>
  <si>
    <t xml:space="preserve">AT A GLANCE (formulas over the other tabs)</t>
  </si>
  <si>
    <t xml:space="preserve">Knowledge pages listed</t>
  </si>
  <si>
    <t xml:space="preserve">  Guides</t>
  </si>
  <si>
    <t xml:space="preserve">  Articles</t>
  </si>
  <si>
    <t xml:space="preserve">  Product explainer and sales pages</t>
  </si>
  <si>
    <t xml:space="preserve">  Known from search results only</t>
  </si>
  <si>
    <t xml:space="preserve">Pages with an FAQ section</t>
  </si>
  <si>
    <t xml:space="preserve">Subheadings catalogued (Topics by Product)</t>
  </si>
  <si>
    <t xml:space="preserve">Average approx. article words (archived pages)</t>
  </si>
  <si>
    <t xml:space="preserve">Topics with no Instasure equivalent yet</t>
  </si>
  <si>
    <t xml:space="preserve">All URLs found (URL Inventory)</t>
  </si>
  <si>
    <t xml:space="preserve">Instasure topics to add (Tab 1)</t>
  </si>
  <si>
    <t xml:space="preserve">  Priority 1 topics</t>
  </si>
  <si>
    <t xml:space="preserve">  New topics not yet in the blog plan</t>
  </si>
  <si>
    <t xml:space="preserve">  Modelled monthly searches across all topics</t>
  </si>
  <si>
    <t xml:space="preserve">WHO THEY ARE</t>
  </si>
  <si>
    <t xml:space="preserve">Business</t>
  </si>
  <si>
    <t xml:space="preserve">Familia Life, a Toronto-based life insurance brokerage. It presents itself as a team of national brokers with access to 20+ Canadian insurers (self-reported; not verified). Toll-free 1-844-625-0992, info@familialife.ca. Author named on the blog: Richard Kim.</t>
  </si>
  <si>
    <t xml:space="preserve">Products sold</t>
  </si>
  <si>
    <t xml:space="preserve">Term life, permanent/whole life (incl. universal), no-medical life, mortgage protection (positioned as term life instead of bank coverage), final expense, and health insurance for people leaving group plans. Critical illness appears only as a blog guide and a rider mention.</t>
  </si>
  <si>
    <t xml:space="preserve">Platform</t>
  </si>
  <si>
    <t xml:space="preserve">WordPress with Elementor and the Pixfort theme, hosted on SiteGround (CDN with bot protection). Lead capture: per-product quote forms plus a multi-step quote quiz (coverage, age, smoking, conditions, postal code, then contact details).</t>
  </si>
  <si>
    <t xml:space="preserve">HOW THE CONTENT CREATES VALUE</t>
  </si>
  <si>
    <t xml:space="preserve">Long-form explainers</t>
  </si>
  <si>
    <t xml:space="preserve">Each core product has a long 'Everything about…' guide (term, permanent, no medical) that defines the product, lists types, who it suits, pros and cons, and cost logic.</t>
  </si>
  <si>
    <t xml:space="preserve">Underwriting and health niche</t>
  </si>
  <si>
    <t xml:space="preserve">Their strongest content: diabetes, cancer and heart-condition guides, plus 'how insurers check medical background', 'health issues' and rate-class explanations (standard, preferred, ratings) with a worked example (45-year-old diabetic). Each ends with FAQs targeting long-tail questions (stage 4 cancer, stents, bypass, insulin-dependent).</t>
  </si>
  <si>
    <t xml:space="preserve">Decision help</t>
  </si>
  <si>
    <t xml:space="preserve">Comparisons (joint vs individual, permanent vs term, term vs bank mortgage protection), myth-busting (12 myths with 'the reality'), 'two things before buying', end-of-term options, how much to buy.</t>
  </si>
  <si>
    <t xml:space="preserve">Broker positioning</t>
  </si>
  <si>
    <t xml:space="preserve">Almost every guide steers to 'work with a broker' (broker vs captive agent vs call centre, access to all insurers, underwriting expertise). Content is the trust engine for the quote forms.</t>
  </si>
  <si>
    <t xml:space="preserve">Formats used</t>
  </si>
  <si>
    <t xml:space="preserve">Key takeaways boxes, FAQ blocks, comparison tables (up to 7 per page), scenario examples, numbered steps, bold lead-in labels for sub-points. No calculators, no rate tables by age (apart from one table in the myths article), no province or city pages.</t>
  </si>
  <si>
    <t xml:space="preserve">WEAKNESSES AND SEO ISSUES</t>
  </si>
  <si>
    <t xml:space="preserve">H1 misuse</t>
  </si>
  <si>
    <t xml:space="preserve">The mega-menu codes every menu item as an H1: 36–37 H1 tags on every page. The real page title is often an H2 or missing as H1, which muddies the heading outline for search engines and screen readers.</t>
  </si>
  <si>
    <t xml:space="preserve">Thin product pages</t>
  </si>
  <si>
    <t xml:space="preserve">Product pages carry only 4–5 short sections (Understanding / How it works / Benefits / Cost) and rely on testimonials (8 client names coded as H5 headings) and quote buttons.</t>
  </si>
  <si>
    <t xml:space="preserve">Headings misused for paragraphs</t>
  </si>
  <si>
    <t xml:space="preserve">Full paragraphs are marked up as headings on: /everything-about-no-medical-life-insurance, /everything-about-term-life-insurance.</t>
  </si>
  <si>
    <t xml:space="preserve">Missing meta descriptions</t>
  </si>
  <si>
    <t xml:space="preserve">No meta description on 7 pages: /how-much-life-insurance-should-i-get, /mortgage-protection-insurance, /mortgage-protection-insurance-quote-form, /no-medical-insurance, /no-medical-life-insurance-quote-form, /permanent-life-insurance-quote-form, /term-life-insurance-quote-form.</t>
  </si>
  <si>
    <t xml:space="preserve">No FAQ markup</t>
  </si>
  <si>
    <t xml:space="preserve">FAQ sections exist on several guides, but no FAQPage structured data was found (schema is BlogPosting/Article, BreadcrumbList, InsuranceAgency, Person).</t>
  </si>
  <si>
    <t xml:space="preserve">Stale content</t>
  </si>
  <si>
    <t xml:space="preserve">Article publish dates run 2020-04-22 to 2023-10-04; last edits found 2022-12-06 to 2025-03-30. Apart from the newer tax-deductibility article (found only in search), no new guides appear after October 2023, and figures carry no 'as of' dates.</t>
  </si>
  <si>
    <t xml:space="preserve">Compliance-risk claims</t>
  </si>
  <si>
    <t xml:space="preserve">Superlatives and guarantees in titles and headings: 'Lowest Life Insurance Rates in Canada', 'Best Life Insurance Rates in Canada', 'LOWEST PREMIUM - GUARANTEED!', 'RATES WILL NEVER GO UP'. These are claims Canadian advertising rules (Competition Act, FSRA/RIBO) expect to be substantiated.</t>
  </si>
  <si>
    <t xml:space="preserve">Crawlability</t>
  </si>
  <si>
    <t xml:space="preserve">The site answers HTTP 403 to non-browser and data-centre requests (SiteGround bot protection). Pages like the critical illness and claims guides were captured by the archive only as challenge pages, which suggests some crawlers may also be blocked.</t>
  </si>
  <si>
    <t xml:space="preserve">Coverage gaps</t>
  </si>
  <si>
    <t xml:space="preserve">No pages for critical illness (product), disability, travel/super visa, business or group benefits, no provincial pages, no tools or calculators, no licensed-reviewer lines on articles.</t>
  </si>
  <si>
    <t xml:space="preserve">WHAT INSTASURE CAN TAKE FROM THIS</t>
  </si>
  <si>
    <t xml:space="preserve">Topics to publish first</t>
  </si>
  <si>
    <t xml:space="preserve">Their medical-condition trio (diabetes, cancer, heart) is already in the Instasure plan as planned guides: moving them up, with Instasure's Medical underwriting desk as the call to action, targets their strongest content directly.</t>
  </si>
  <si>
    <t xml:space="preserve">Clear gaps</t>
  </si>
  <si>
    <t xml:space="preserve">Life insurance myths and family life insurance have no Instasure equivalent; joint life, universal life, end-of-term options, medical exams and how to claim are planned but unpublished (see Tab 1, column O).</t>
  </si>
  <si>
    <t xml:space="preserve">Topic plan (Tab 1)</t>
  </si>
  <si>
    <t xml:space="preserve">The first tab turns this review into 54 Instasure pages, ordered by modelled search traffic: SEO title, meta description, URL, primary and secondary keywords, value asset, call to action, links and a full H2/H3/FAQ outline for each, plus a video title. 39 reuse a blog plan row; 15 are new.</t>
  </si>
  <si>
    <t xml:space="preserve">Ways to beat them</t>
  </si>
  <si>
    <t xml:space="preserve">Fresh 'as of' dates, a licensed reviewer line, FAQPage markup, one H1 per page, instant estimates and rate tables (they have none), and province coverage.</t>
  </si>
  <si>
    <t xml:space="preserve">familialife.ca: every URL found</t>
  </si>
  <si>
    <t xml:space="preserve">From the Internet Archive index, the archived blog listing and search results (October 14, 2026).</t>
  </si>
  <si>
    <t xml:space="preserve">Page type</t>
  </si>
  <si>
    <t xml:space="preserve">Title</t>
  </si>
  <si>
    <t xml:space="preserve">Source</t>
  </si>
  <si>
    <t xml:space="preserve">Page words</t>
  </si>
  <si>
    <t xml:space="preserve">H1 tags (raw)</t>
  </si>
  <si>
    <t xml:space="preserve">At Familia Life, we deliver the best life insurance rates in Canada and unbiased advice, always putting your family first.</t>
  </si>
  <si>
    <t xml:space="preserve">Archive 2025-04-18</t>
  </si>
  <si>
    <t xml:space="preserve">Term life insurance in Canada is a form of life insurance coverage that is active for a predetermined period, often known as a "term". This could span 10, 20,</t>
  </si>
  <si>
    <t xml:space="preserve">Archive 2024-01-16</t>
  </si>
  <si>
    <t xml:space="preserve">Everything you need to know about Term Life Insurance in Canada</t>
  </si>
  <si>
    <t xml:space="preserve">In this informative article, we explore what happens at the end of term life insurance in Canada. It covers the different options available, including renewal, conversion to permanent insurance, or letting the policy simply expire. We emphasize the importance of considering your individual circumstances and future financial needs, encouraging readers to stay informed and consult with a trusted life insurance advisor when making crucial decisions.</t>
  </si>
  <si>
    <t xml:space="preserve">Lowest whole life insurance rates in Canada. Qualify within minutes. Get your free quote today.</t>
  </si>
  <si>
    <t xml:space="preserve">Navigating the world of life insurance can be daunting, especially with the myriad of options available. This article delves deep into the realm of Permanent Life Insurance, contrasting it with its counterpart - Term Life Insurance. Readers will gain insights into the types, advantages, cost implications, and key considerations of Permanent Life Insurance. Whether you're contemplating which policy is right for you or simply seeking to understand the intricacies of life insurance, this guide offers clarity and direction.</t>
  </si>
  <si>
    <t xml:space="preserve">Understanding the complexities of universal life insurance can be a challenging task. This comprehensive guide breaks down the basics of universal life insurance, differentiates it from other insurance types, and explores its tax implications. Uncover whether this flexible, investment-linked insurance option could be the right fit for your financial planning. Navigate your path in the insurance landscape with the help of Familialife.ca, your trusted Canadian Insurance brokerage firm.</t>
  </si>
  <si>
    <t xml:space="preserve">Choosing between Joint and Individual Life Insurance can feel like a high-stakes game of "Would You Rather?" But it doesn't have to be. Our comprehensive guide dives deep into the nuances of both options, offering real-life scenarios, pros and cons, and even a feature-by-feature comparison. Whether you're a couple looking to share financial responsibilities or an individual seeking tailored coverage, this article is your roadmap to making an informed decision. Get the answers to all your burning questions and more. Ready to secure your family's financial future? Read on.</t>
  </si>
  <si>
    <t xml:space="preserve">Archive 2024-01-09</t>
  </si>
  <si>
    <t xml:space="preserve">(missing)</t>
  </si>
  <si>
    <t xml:space="preserve">Archive 2024-01-19</t>
  </si>
  <si>
    <t xml:space="preserve">Everything you need to know about No Medical Life Insurance in Canada</t>
  </si>
  <si>
    <t xml:space="preserve">How do you get or qualify for a life insurance if you have health issues? In this article, we'll answer all of your questions on how you can get life insurance even if you have health concerns.</t>
  </si>
  <si>
    <t xml:space="preserve">Think diabetes puts life insurance out of reach? Think again! This comprehensive guide dispels the myths and lays out the facts about securing life insurance as a diabetic in Canada. From understanding how your diagnosis impacts rates to tips for navigating the underwriting process, we've got you covered. Read on to learn why working with a broker could be your best bet and how to get the most out of your policy.</t>
  </si>
  <si>
    <t xml:space="preserve">Embarking on the quest for life insurance post-cancer diagnosis can be daunting, but with Familia Life at your helm, it's a journey you won’t have to make alone. Delve into the variety of insurance policies available, understand the insurer's lens, and learn how our adept brokers can tailor insurance solutions to your unique circumstances. From decoding the impact of your cancer type, stage, and other health conditions, to guiding you through Canada’s insurance landscape, Familia Life is your beacon towards securing financial peace of mind for you and your loved ones. Discover answers to pressing questions and how Familia Life brokers advocate for you in securing favorable insurance terms, even in the face of medical adversities.</t>
  </si>
  <si>
    <t xml:space="preserve">Navigating the complex world of life insurance with a heart condition can feel overwhelming. Our comprehensive guide demystifies the process, from understanding what constitutes a heart condition to exploring various insurance options. We delve deep into the underwriting process and provide a robust FAQ section to answer your burning questions. Whether you've had a heart attack, surgery, or are managing a congenital condition, this article is your roadmap to securing the right life insurance policy.</t>
  </si>
  <si>
    <t xml:space="preserve">Navigating the labyrinth of mortgage-related insurance products can be daunting. This comprehensive guide clarifies the complexities, shedding light on the distinctions between Mortgage Insurance, Mortgage Protection Insurance, and Mortgage Loan Insurance. Unravel the mystery and discover why Term Life Insurance often trumps the bank's Mortgage Protection Insurance in terms of value and flexibility. The ultimate guide on Mortgage Insurance has all the answers to help you make informed decisions for your financial future.</t>
  </si>
  <si>
    <t xml:space="preserve">Lowest Final Expense insurance in Canada. Qualify within minutes. Get your free quote today - no obligations.</t>
  </si>
  <si>
    <t xml:space="preserve">Unraveling the intricacies of senior life insurance in Canada is simpler than you think. Our in-depth guide aims to clarify the landscape and empower you to make a well-informed decision. Tailored for those who are 50 and older, we cover various insurance types, their strengths and weaknesses, and crucial factors like end-of-life expenses and estate planning. With this resource, you're well-equipped to select a policy that best suits your unique circumstances and financial aspirations.</t>
  </si>
  <si>
    <t xml:space="preserve">Confused about family life insurance in Canada? You're not alone. Dive into this comprehensive guide to discover what really counts when choosing the perfect plan for your loved ones. From the importance of a skilled broker to the balance between affordability and value, we've got you covered. Familia Life is here to help you navigate the complex world of family insurance, so you can make an informed decision that genuinely meets your family's needs. Ready to secure your family's financial future? Let's get started!</t>
  </si>
  <si>
    <t xml:space="preserve">Search results only</t>
  </si>
  <si>
    <t xml:space="preserve">Lost employer health coverage? Facing big medical bills? Don't stress! We've got tailored plans for you and your family. We've got your back.</t>
  </si>
  <si>
    <t xml:space="preserve">Life insurance in Canada: a quick guide that walks you through the basic concepts, different types of policies, how premiums are determined, tax implications, and how to choose the right coverage for your needs. Stay informed to make the best decisions for your family's future.</t>
  </si>
  <si>
    <t xml:space="preserve">"Life insurance can often feel like a maze of terms, rates, and policies. Delve into the intricacies of how life insurance quotes are determined in Canada, and arm yourself with the knowledge to navigate this essential financial safeguard. From understanding the factors that influence your premium to demystifying the Canadian life insurance landscape, this comprehensive guide answers your most pressing questions."</t>
  </si>
  <si>
    <t xml:space="preserve">How does life insurance companies check medical backgrounds? We answer this question in-depth in this article.</t>
  </si>
  <si>
    <t xml:space="preserve">Unravel the tangled web of life insurance myths that could be holding you back from vital financial planning. From misconceptions about costs to the role of preexisting conditions, this comprehensive guide busts 12 common myths, setting the facts straight. Whether you're young, old, or somewhere in between, find out how life insurance can fit into your financial roadmap. Brought to you by Familia Life, your trusted Canadian life and health insurance brokerage. 🍁</t>
  </si>
  <si>
    <t xml:space="preserve">Ready to dive into the world of life insurance? Hold up! Our latest article zeroes in on two must-dos: picking a seasoned broker and opting for a reputable insurance company. Discover why these are your keys to unlocking a secure future. 🌟🔒</t>
  </si>
  <si>
    <t xml:space="preserve">https://familialife.ca/about/</t>
  </si>
  <si>
    <t xml:space="preserve">Company page</t>
  </si>
  <si>
    <t xml:space="preserve">About Us</t>
  </si>
  <si>
    <t xml:space="preserve">There were over 45,000 life insurance agents in Canada as of 2017 and counting, according to FSRA (Financial Services Regulatory Authority of Ontario).</t>
  </si>
  <si>
    <t xml:space="preserve">2019-07-12</t>
  </si>
  <si>
    <t xml:space="preserve">https://familialife.ca/contact-us/</t>
  </si>
  <si>
    <t xml:space="preserve">Contact page</t>
  </si>
  <si>
    <t xml:space="preserve">Contact Us</t>
  </si>
  <si>
    <t xml:space="preserve">info@familialife.ca</t>
  </si>
  <si>
    <t xml:space="preserve">2022-03-03</t>
  </si>
  <si>
    <t xml:space="preserve">2023-12-27</t>
  </si>
  <si>
    <t xml:space="preserve">https://familialife.ca/blog/</t>
  </si>
  <si>
    <t xml:space="preserve">Blog index</t>
  </si>
  <si>
    <t xml:space="preserve">Blog posts</t>
  </si>
  <si>
    <t xml:space="preserve">Featured Articles. Search Everything about No Medical Life Insurance Everything you need to know about No Medical Life Insurance in Canada Read More Richard</t>
  </si>
  <si>
    <t xml:space="preserve">2021-02-16</t>
  </si>
  <si>
    <t xml:space="preserve">https://familialife.ca/author/richard-kim/</t>
  </si>
  <si>
    <t xml:space="preserve">Author archive (search only)</t>
  </si>
  <si>
    <t xml:space="preserve">Familia Life (author archive: Richard Kim)</t>
  </si>
  <si>
    <t xml:space="preserve">https://familialife.ca/get-your-quote-today/</t>
  </si>
  <si>
    <t xml:space="preserve">Quote quiz (search only)</t>
  </si>
  <si>
    <t xml:space="preserve">Lead info quiz</t>
  </si>
  <si>
    <t xml:space="preserve">https://familialife.ca/term-life-insurance-quote-form/</t>
  </si>
  <si>
    <t xml:space="preserve">Quote form</t>
  </si>
  <si>
    <t xml:space="preserve">Term Life Insurance Quote – Form</t>
  </si>
  <si>
    <t xml:space="preserve">2022-12-06</t>
  </si>
  <si>
    <t xml:space="preserve">https://familialife.ca/permanent-life-insurance-quote-form/</t>
  </si>
  <si>
    <t xml:space="preserve">Permanent Life Insurance Quote – Form</t>
  </si>
  <si>
    <t xml:space="preserve">https://familialife.ca/no-medical-life-insurance-quote-form/</t>
  </si>
  <si>
    <t xml:space="preserve">No Medical Life Insurance Quote – Form</t>
  </si>
  <si>
    <t xml:space="preserve">https://familialife.ca/mortgage-protection-insurance-quote-form/</t>
  </si>
  <si>
    <t xml:space="preserve">Mortgage Protection Insurance Quote – Form</t>
  </si>
  <si>
    <t xml:space="preserve">https://familialife.ca/privacy-policy/</t>
  </si>
  <si>
    <t xml:space="preserve">Legal</t>
  </si>
  <si>
    <t xml:space="preserve">Privacy Policy</t>
  </si>
  <si>
    <t xml:space="preserve">Familia Life Privacy Policy</t>
  </si>
  <si>
    <t xml:space="preserve">2020-05-10</t>
  </si>
  <si>
    <t xml:space="preserve">https://familialife.ca/terms-and-conditions/</t>
  </si>
  <si>
    <t xml:space="preserve">Terms and Conditions</t>
  </si>
  <si>
    <t xml:space="preserve">These Website Standard Terms and Conditions written on this webpage shall manage your use of our website, https://familialife.ca/ accessible</t>
  </si>
  <si>
    <t xml:space="preserve">2021-02-17</t>
  </si>
  <si>
    <t xml:space="preserve">Method &amp; notes</t>
  </si>
  <si>
    <t xml:space="preserve">Review date</t>
  </si>
  <si>
    <t xml:space="preserve">October 14, 2026</t>
  </si>
  <si>
    <t xml:space="preserve">Access</t>
  </si>
  <si>
    <t xml:space="preserve">familialife.ca returns HTTP 403 to automated requests (SiteGround CDN bot protection). No attempt was made to get around it.</t>
  </si>
  <si>
    <t xml:space="preserve">Sources</t>
  </si>
  <si>
    <t xml:space="preserve">Internet Archive (web.archive.org) latest snapshot of each page, plus web search results restricted to familialife.ca for pages added later.</t>
  </si>
  <si>
    <t xml:space="preserve">Site template words (assumption)</t>
  </si>
  <si>
    <t xml:space="preserve">Used by 'Approx. article words' in Tab 1: page words minus the menus, footer and forms that appear on every page, measured on a quote-form page that contains only the template. Edit this cell to change the estimate.</t>
  </si>
  <si>
    <t xml:space="preserve">Snapshot dates</t>
  </si>
  <si>
    <t xml:space="preserve">Most pages: January 9–19, 2024. Home page: April 18, 2025. The live pages may have changed since.</t>
  </si>
  <si>
    <t xml:space="preserve">Search-only pages</t>
  </si>
  <si>
    <t xml:space="preserve">Critical illness guide (/whats-ci/), claims guide (/how-to-claim/) and premium tax article (/are-life-insurance-premiums-tax-deductible-in-canada/): titles and topics from search results; outlines not available. The archive holds only bot-challenge pages for the first two.</t>
  </si>
  <si>
    <t xml:space="preserve">How subheadings were extracted</t>
  </si>
  <si>
    <t xml:space="preserve">All H1–H6 headings in page order, plus bold lead-in labels at the start of a paragraph or list item (shown with •). Removed: menu, footer and call-to-action headings repeated across pages, client testimonial names, 'Answer' placeholders, related-post titles, inline 'Learn more' links, and paragraphs wrongly marked up as headings (over 130 characters).</t>
  </si>
  <si>
    <t xml:space="preserve">Indentation in Tab 2</t>
  </si>
  <si>
    <t xml:space="preserve">Top-level sections are bold and flush left; each deeper heading level is indented; • items are bold labels inside the text under the heading above them.</t>
  </si>
  <si>
    <t xml:space="preserve">Claims</t>
  </si>
  <si>
    <t xml:space="preserve">Business facts (20+ insurers, contact details) are self-reported by the site and were not verified.</t>
  </si>
  <si>
    <t xml:space="preserve">Priority 1 threshold (monthly searches)</t>
  </si>
  <si>
    <t xml:space="preserve">Priority 2 threshold (monthly searches)</t>
  </si>
  <si>
    <t xml:space="preserve">Priority rule (Tab 1 and Topic Index)</t>
  </si>
  <si>
    <t xml:space="preserve">Priority 1: modelled monthly searches at or above B13, or the blog plan already marks the topic priority 1. Priority 2: at or above B14. Otherwise 3. Edit B13:B14 or the volumes in 'Topic Index' column E and priorities and ranks recalculate (column order in Tab 1 is fixed at build time).</t>
  </si>
  <si>
    <t xml:space="preserve">Search volumes</t>
  </si>
  <si>
    <t xml:space="preserve">No keyword tool was connected for this review. Volumes come from the Instasure keyword map (src/data/keywords.js, same model) where the keyword is listed there; otherwise they are modelled order-of-magnitude estimates for Canada, marked 'Modelled for this plan'. Use them to order work, and replace them with Keyword Planner, Ahrefs or Semrush data before forecasting traffic.</t>
  </si>
  <si>
    <t xml:space="preserve">Where the topics come from</t>
  </si>
  <si>
    <t xml:space="preserve">Each topic is drawn from the subheadings in 'Topics by Product' and the titles in 'URL Inventory'. 39 reuse a row of docs/blog-content-plan.csv (same URL, keywords, value asset, call to action and links, outline extended with familialife's subtopics; three get a higher-traffic primary keyword and a new URL, noted per topic). 15 are new topics to add to the blog plan. Topics Instasure has already published are not repeated (see 'Knowledge Content' column O).</t>
  </si>
  <si>
    <t xml:space="preserve">Outline conventions</t>
  </si>
  <si>
    <t xml:space="preserve">Bold lines are H2 sections, lines starting with '–' are H3s under the H2 above, 'Q:' lines are FAQ questions (FAQPage schema). The first H2 carries a 40–60 word direct answer; 'Michael's take' is the author section required by docs/BLOG_PUBLISHING.md. For videos, use the H2s as chapters and the first FAQ question as the opening hook.</t>
  </si>
  <si>
    <t xml:space="preserve">Checks run on every topic</t>
  </si>
  <si>
    <t xml:space="preserve">SEO title 45–60 characters with the primary keyword; meta description 140–160 characters containing it; one primary keyword per topic; no 'best', 'cheapest' or 'lowest' in titles, H1s or descriptions; first H2 is a direct answer; at least four FAQ questions; every internal link points to a live page, a planned page or another topic in this list; no URL already published.</t>
  </si>
  <si>
    <t xml:space="preserve">Instasure topic index: pages to add, from the familialife.ca review</t>
  </si>
  <si>
    <t xml:space="preserve">One row per topic, in priority order. Yellow cells are inputs: replace the modelled monthly searches (column E) with keyword-tool data and priority and rank recalculate; track article and video status in N and O. Thresholds in 'Method &amp; Notes' B13:B14.</t>
  </si>
  <si>
    <t xml:space="preserve">Topic ID</t>
  </si>
  <si>
    <t xml:space="preserve">Volume source</t>
  </si>
  <si>
    <t xml:space="preserve">Plan priority</t>
  </si>
  <si>
    <t xml:space="preserve">Priority</t>
  </si>
  <si>
    <t xml:space="preserve">Traffic rank</t>
  </si>
  <si>
    <t xml:space="preserve">Article status</t>
  </si>
  <si>
    <t xml:space="preserve">Video status</t>
  </si>
  <si>
    <t xml:space="preserve">Notes</t>
  </si>
  <si>
    <t xml:space="preserve">MP01</t>
  </si>
  <si>
    <t xml:space="preserve">Modelled for this plan</t>
  </si>
  <si>
    <t xml:space="preserve">B0096</t>
  </si>
  <si>
    <t xml:space="preserve">Not started</t>
  </si>
  <si>
    <t xml:space="preserve">T01</t>
  </si>
  <si>
    <t xml:space="preserve">B0036</t>
  </si>
  <si>
    <t xml:space="preserve">B01</t>
  </si>
  <si>
    <t xml:space="preserve">New topic</t>
  </si>
  <si>
    <t xml:space="preserve">B11</t>
  </si>
  <si>
    <t xml:space="preserve">B0035</t>
  </si>
  <si>
    <t xml:space="preserve">B10</t>
  </si>
  <si>
    <t xml:space="preserve">B0057</t>
  </si>
  <si>
    <t xml:space="preserve">P01</t>
  </si>
  <si>
    <t xml:space="preserve">B0073</t>
  </si>
  <si>
    <t xml:space="preserve">N01</t>
  </si>
  <si>
    <t xml:space="preserve">B0023</t>
  </si>
  <si>
    <t xml:space="preserve">H01</t>
  </si>
  <si>
    <t xml:space="preserve">B0150</t>
  </si>
  <si>
    <t xml:space="preserve">N03</t>
  </si>
  <si>
    <t xml:space="preserve">B0026</t>
  </si>
  <si>
    <t xml:space="preserve">C01</t>
  </si>
  <si>
    <t xml:space="preserve">B0118</t>
  </si>
  <si>
    <t xml:space="preserve">FA01</t>
  </si>
  <si>
    <t xml:space="preserve">M01</t>
  </si>
  <si>
    <t xml:space="preserve">M07</t>
  </si>
  <si>
    <t xml:space="preserve">B0066</t>
  </si>
  <si>
    <t xml:space="preserve">P03</t>
  </si>
  <si>
    <t xml:space="preserve">T03</t>
  </si>
  <si>
    <t xml:space="preserve">Keyword map (modelled)</t>
  </si>
  <si>
    <t xml:space="preserve">B0033</t>
  </si>
  <si>
    <t xml:space="preserve">F03</t>
  </si>
  <si>
    <t xml:space="preserve">B0041</t>
  </si>
  <si>
    <t xml:space="preserve">FA06</t>
  </si>
  <si>
    <t xml:space="preserve">B0064</t>
  </si>
  <si>
    <t xml:space="preserve">S01</t>
  </si>
  <si>
    <t xml:space="preserve">B0058</t>
  </si>
  <si>
    <t xml:space="preserve">S02</t>
  </si>
  <si>
    <t xml:space="preserve">B0031</t>
  </si>
  <si>
    <t xml:space="preserve">T02</t>
  </si>
  <si>
    <t xml:space="preserve">B0061</t>
  </si>
  <si>
    <t xml:space="preserve">U01</t>
  </si>
  <si>
    <t xml:space="preserve">B0072</t>
  </si>
  <si>
    <t xml:space="preserve">B06</t>
  </si>
  <si>
    <t xml:space="preserve">B0028</t>
  </si>
  <si>
    <t xml:space="preserve">B08</t>
  </si>
  <si>
    <t xml:space="preserve">B0075</t>
  </si>
  <si>
    <t xml:space="preserve">B09</t>
  </si>
  <si>
    <t xml:space="preserve">M02</t>
  </si>
  <si>
    <t xml:space="preserve">B0055</t>
  </si>
  <si>
    <t xml:space="preserve">P02</t>
  </si>
  <si>
    <t xml:space="preserve">B0076</t>
  </si>
  <si>
    <t xml:space="preserve">B02</t>
  </si>
  <si>
    <t xml:space="preserve">M03</t>
  </si>
  <si>
    <t xml:space="preserve">B0053</t>
  </si>
  <si>
    <t xml:space="preserve">P04</t>
  </si>
  <si>
    <t xml:space="preserve">S03</t>
  </si>
  <si>
    <t xml:space="preserve">B0065</t>
  </si>
  <si>
    <t xml:space="preserve">T04</t>
  </si>
  <si>
    <t xml:space="preserve">B0106</t>
  </si>
  <si>
    <t xml:space="preserve">U02</t>
  </si>
  <si>
    <t xml:space="preserve">F02</t>
  </si>
  <si>
    <t xml:space="preserve">B0040</t>
  </si>
  <si>
    <t xml:space="preserve">FA02</t>
  </si>
  <si>
    <t xml:space="preserve">B0059</t>
  </si>
  <si>
    <t xml:space="preserve">J03</t>
  </si>
  <si>
    <t xml:space="preserve">B0027</t>
  </si>
  <si>
    <t xml:space="preserve">M04</t>
  </si>
  <si>
    <t xml:space="preserve">B0083</t>
  </si>
  <si>
    <t xml:space="preserve">M06</t>
  </si>
  <si>
    <t xml:space="preserve">B04</t>
  </si>
  <si>
    <t xml:space="preserve">B0029</t>
  </si>
  <si>
    <t xml:space="preserve">B05</t>
  </si>
  <si>
    <t xml:space="preserve">B07</t>
  </si>
  <si>
    <t xml:space="preserve">B0034</t>
  </si>
  <si>
    <t xml:space="preserve">C02</t>
  </si>
  <si>
    <t xml:space="preserve">B0121</t>
  </si>
  <si>
    <t xml:space="preserve">FA03</t>
  </si>
  <si>
    <t xml:space="preserve">B0087</t>
  </si>
  <si>
    <t xml:space="preserve">FA04</t>
  </si>
  <si>
    <t xml:space="preserve">H02</t>
  </si>
  <si>
    <t xml:space="preserve">B0160</t>
  </si>
  <si>
    <t xml:space="preserve">H03</t>
  </si>
  <si>
    <t xml:space="preserve">B0155</t>
  </si>
  <si>
    <t xml:space="preserve">J01</t>
  </si>
  <si>
    <t xml:space="preserve">B0071</t>
  </si>
  <si>
    <t xml:space="preserve">M05</t>
  </si>
  <si>
    <t xml:space="preserve">B0054</t>
  </si>
  <si>
    <t xml:space="preserve">T05</t>
  </si>
  <si>
    <t xml:space="preserve">B03</t>
  </si>
  <si>
    <t xml:space="preserve">F01</t>
  </si>
  <si>
    <t xml:space="preserve">B0039</t>
  </si>
  <si>
    <t xml:space="preserve">FA05</t>
  </si>
  <si>
    <t xml:space="preserve">J02</t>
  </si>
  <si>
    <t xml:space="preserve">MP02</t>
  </si>
  <si>
    <t xml:space="preserve">B0099</t>
  </si>
  <si>
    <t xml:space="preserve">N02</t>
  </si>
  <si>
    <t xml:space="preserve">B0067</t>
  </si>
  <si>
    <t xml:space="preserve">Total modelled monthly searches</t>
  </si>
  <si>
    <t xml:space="preserve">Topics by priority (1 / 2 / 3)</t>
  </si>
</sst>
</file>

<file path=xl/styles.xml><?xml version="1.0" encoding="utf-8"?>
<styleSheet xmlns="http://schemas.openxmlformats.org/spreadsheetml/2006/main">
  <numFmts count="3">
    <numFmt numFmtId="164" formatCode="General"/>
    <numFmt numFmtId="165" formatCode="General"/>
    <numFmt numFmtId="166" formatCode="#,##0"/>
  </numFmts>
  <fonts count="30">
    <font>
      <sz val="11"/>
      <color theme="1"/>
      <name val="Calibri"/>
      <family val="2"/>
      <charset val="1"/>
    </font>
    <font>
      <sz val="10"/>
      <name val="Arial"/>
      <family val="0"/>
    </font>
    <font>
      <sz val="10"/>
      <name val="Arial"/>
      <family val="0"/>
    </font>
    <font>
      <sz val="10"/>
      <name val="Arial"/>
      <family val="0"/>
    </font>
    <font>
      <b val="true"/>
      <sz val="9"/>
      <color rgb="FF0B3D2E"/>
      <name val="Arial"/>
      <family val="0"/>
      <charset val="1"/>
    </font>
    <font>
      <b val="true"/>
      <sz val="11"/>
      <color rgb="FF0B3D2E"/>
      <name val="Arial"/>
      <family val="0"/>
      <charset val="1"/>
    </font>
    <font>
      <b val="true"/>
      <sz val="10"/>
      <color rgb="FF008000"/>
      <name val="Arial"/>
      <family val="0"/>
      <charset val="1"/>
    </font>
    <font>
      <b val="true"/>
      <sz val="9"/>
      <name val="Arial"/>
      <family val="0"/>
      <charset val="1"/>
    </font>
    <font>
      <b val="true"/>
      <sz val="9"/>
      <color rgb="FF1A1A1A"/>
      <name val="Arial"/>
      <family val="0"/>
      <charset val="1"/>
    </font>
    <font>
      <sz val="9"/>
      <name val="Arial"/>
      <family val="0"/>
      <charset val="1"/>
    </font>
    <font>
      <b val="true"/>
      <sz val="9"/>
      <color rgb="FFFFFFFF"/>
      <name val="Arial"/>
      <family val="0"/>
      <charset val="1"/>
    </font>
    <font>
      <i val="true"/>
      <sz val="8"/>
      <color rgb="FF555555"/>
      <name val="Arial"/>
      <family val="0"/>
      <charset val="1"/>
    </font>
    <font>
      <b val="true"/>
      <sz val="10"/>
      <color rgb="FF0B3D2E"/>
      <name val="Arial"/>
      <family val="0"/>
      <charset val="1"/>
    </font>
    <font>
      <i val="true"/>
      <sz val="9"/>
      <color rgb="FF3D4B45"/>
      <name val="Arial"/>
      <family val="0"/>
      <charset val="1"/>
    </font>
    <font>
      <b val="true"/>
      <sz val="14"/>
      <color rgb="FF0B3D2E"/>
      <name val="Arial"/>
      <family val="0"/>
      <charset val="1"/>
    </font>
    <font>
      <i val="true"/>
      <sz val="9"/>
      <color rgb="FF555555"/>
      <name val="Arial"/>
      <family val="0"/>
      <charset val="1"/>
    </font>
    <font>
      <b val="true"/>
      <sz val="10"/>
      <color rgb="FFFFFFFF"/>
      <name val="Arial"/>
      <family val="0"/>
      <charset val="1"/>
    </font>
    <font>
      <u val="single"/>
      <sz val="9"/>
      <color rgb="FF1155CC"/>
      <name val="Arial"/>
      <family val="0"/>
      <charset val="1"/>
    </font>
    <font>
      <sz val="10"/>
      <name val="Arial"/>
      <family val="2"/>
    </font>
    <font>
      <b val="true"/>
      <sz val="12"/>
      <color rgb="FF0B3D2E"/>
      <name val="Arial"/>
      <family val="0"/>
      <charset val="1"/>
    </font>
    <font>
      <b val="true"/>
      <sz val="10"/>
      <name val="Arial"/>
      <family val="0"/>
      <charset val="1"/>
    </font>
    <font>
      <i val="true"/>
      <sz val="9"/>
      <color rgb="FF444444"/>
      <name val="Arial"/>
      <family val="0"/>
      <charset val="1"/>
    </font>
    <font>
      <sz val="8"/>
      <color rgb="FF555555"/>
      <name val="Arial"/>
      <family val="0"/>
      <charset val="1"/>
    </font>
    <font>
      <i val="true"/>
      <sz val="9"/>
      <color rgb="FF7A5C00"/>
      <name val="Arial"/>
      <family val="0"/>
      <charset val="1"/>
    </font>
    <font>
      <i val="true"/>
      <sz val="10"/>
      <color rgb="FF000000"/>
      <name val="Arial"/>
      <family val="0"/>
      <charset val="1"/>
    </font>
    <font>
      <b val="true"/>
      <sz val="10"/>
      <color rgb="FF000000"/>
      <name val="Arial"/>
      <family val="0"/>
      <charset val="1"/>
    </font>
    <font>
      <sz val="10"/>
      <name val="Arial"/>
      <family val="0"/>
      <charset val="1"/>
    </font>
    <font>
      <sz val="10"/>
      <color rgb="FF000000"/>
      <name val="Arial"/>
      <family val="0"/>
      <charset val="1"/>
    </font>
    <font>
      <sz val="10"/>
      <color rgb="FF0000FF"/>
      <name val="Arial"/>
      <family val="0"/>
      <charset val="1"/>
    </font>
    <font>
      <sz val="9"/>
      <color rgb="FF0000FF"/>
      <name val="Arial"/>
      <family val="0"/>
      <charset val="1"/>
    </font>
  </fonts>
  <fills count="20">
    <fill>
      <patternFill patternType="none"/>
    </fill>
    <fill>
      <patternFill patternType="gray125"/>
    </fill>
    <fill>
      <patternFill patternType="solid">
        <fgColor rgb="FFEEF2F0"/>
        <bgColor rgb="FFE8F1EC"/>
      </patternFill>
    </fill>
    <fill>
      <patternFill patternType="solid">
        <fgColor rgb="FFE8EDDC"/>
        <bgColor rgb="FFECECE4"/>
      </patternFill>
    </fill>
    <fill>
      <patternFill patternType="solid">
        <fgColor rgb="FFDCEBE3"/>
        <bgColor rgb="FFDDEFE9"/>
      </patternFill>
    </fill>
    <fill>
      <patternFill patternType="solid">
        <fgColor rgb="FFECECE4"/>
        <bgColor rgb="FFE8EDDC"/>
      </patternFill>
    </fill>
    <fill>
      <patternFill patternType="solid">
        <fgColor rgb="FFE3E8F4"/>
        <bgColor rgb="FFE0EAF5"/>
      </patternFill>
    </fill>
    <fill>
      <patternFill patternType="solid">
        <fgColor rgb="FFE1EEF0"/>
        <bgColor rgb="FFDDEFE9"/>
      </patternFill>
    </fill>
    <fill>
      <patternFill patternType="solid">
        <fgColor rgb="FFE0EAF5"/>
        <bgColor rgb="FFE3E8F4"/>
      </patternFill>
    </fill>
    <fill>
      <patternFill patternType="solid">
        <fgColor rgb="FFF5E0E8"/>
        <bgColor rgb="FFF3E1E1"/>
      </patternFill>
    </fill>
    <fill>
      <patternFill patternType="solid">
        <fgColor rgb="FFDDEFE9"/>
        <bgColor rgb="FFE1EEF0"/>
      </patternFill>
    </fill>
    <fill>
      <patternFill patternType="solid">
        <fgColor rgb="FFF3E1E1"/>
        <bgColor rgb="FFF5E0E8"/>
      </patternFill>
    </fill>
    <fill>
      <patternFill patternType="solid">
        <fgColor rgb="FFF1E6D8"/>
        <bgColor rgb="FFF4EADB"/>
      </patternFill>
    </fill>
    <fill>
      <patternFill patternType="solid">
        <fgColor rgb="FFE4E1F3"/>
        <bgColor rgb="FFEDE3F1"/>
      </patternFill>
    </fill>
    <fill>
      <patternFill patternType="solid">
        <fgColor rgb="FFF4EADB"/>
        <bgColor rgb="FFF1E6D8"/>
      </patternFill>
    </fill>
    <fill>
      <patternFill patternType="solid">
        <fgColor rgb="FFEDE3F1"/>
        <bgColor rgb="FFE4E1F3"/>
      </patternFill>
    </fill>
    <fill>
      <patternFill patternType="solid">
        <fgColor rgb="FF0B3D2E"/>
        <bgColor rgb="FF003366"/>
      </patternFill>
    </fill>
    <fill>
      <patternFill patternType="solid">
        <fgColor rgb="FFFFF7E0"/>
        <bgColor rgb="FFEEF2F0"/>
      </patternFill>
    </fill>
    <fill>
      <patternFill patternType="solid">
        <fgColor rgb="FFE8F1EC"/>
        <bgColor rgb="FFEEF2F0"/>
      </patternFill>
    </fill>
    <fill>
      <patternFill patternType="solid">
        <fgColor rgb="FFFFFF00"/>
        <bgColor rgb="FFFFF7E0"/>
      </patternFill>
    </fill>
  </fills>
  <borders count="2">
    <border diagonalUp="false" diagonalDown="false">
      <left/>
      <right/>
      <top/>
      <bottom/>
      <diagonal/>
    </border>
    <border diagonalUp="false" diagonalDown="false">
      <left style="thin">
        <color rgb="FFC9D3CE"/>
      </left>
      <right style="thin">
        <color rgb="FFC9D3CE"/>
      </right>
      <top style="thin">
        <color rgb="FFC9D3CE"/>
      </top>
      <bottom style="thin">
        <color rgb="FFC9D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4" fillId="7" borderId="1" xfId="0" applyFont="true" applyBorder="true" applyAlignment="true" applyProtection="false">
      <alignment horizontal="general" vertical="top" textRotation="0" wrapText="true" indent="0" shrinkToFit="false"/>
      <protection locked="true" hidden="false"/>
    </xf>
    <xf numFmtId="164" fontId="4" fillId="8" borderId="1" xfId="0" applyFont="true" applyBorder="true" applyAlignment="true" applyProtection="false">
      <alignment horizontal="general" vertical="top" textRotation="0" wrapText="true" indent="0" shrinkToFit="false"/>
      <protection locked="true" hidden="false"/>
    </xf>
    <xf numFmtId="164" fontId="4" fillId="9" borderId="1" xfId="0" applyFont="true" applyBorder="true" applyAlignment="true" applyProtection="false">
      <alignment horizontal="general" vertical="top" textRotation="0" wrapText="true" indent="0" shrinkToFit="false"/>
      <protection locked="true" hidden="false"/>
    </xf>
    <xf numFmtId="164" fontId="4" fillId="10" borderId="1" xfId="0" applyFont="true" applyBorder="true" applyAlignment="true" applyProtection="false">
      <alignment horizontal="general" vertical="top" textRotation="0" wrapText="true" indent="0" shrinkToFit="false"/>
      <protection locked="true" hidden="false"/>
    </xf>
    <xf numFmtId="164" fontId="4" fillId="11" borderId="1" xfId="0" applyFont="true" applyBorder="true" applyAlignment="true" applyProtection="false">
      <alignment horizontal="general" vertical="top" textRotation="0" wrapText="true" indent="0" shrinkToFit="false"/>
      <protection locked="true" hidden="false"/>
    </xf>
    <xf numFmtId="164" fontId="4" fillId="12" borderId="1" xfId="0" applyFont="true" applyBorder="true" applyAlignment="true" applyProtection="false">
      <alignment horizontal="general" vertical="top" textRotation="0" wrapText="true" indent="0" shrinkToFit="false"/>
      <protection locked="true" hidden="false"/>
    </xf>
    <xf numFmtId="164" fontId="4" fillId="13" borderId="1" xfId="0" applyFont="true" applyBorder="true" applyAlignment="true" applyProtection="false">
      <alignment horizontal="general" vertical="top" textRotation="0" wrapText="true" indent="0" shrinkToFit="false"/>
      <protection locked="true" hidden="false"/>
    </xf>
    <xf numFmtId="164" fontId="4" fillId="14" borderId="1" xfId="0" applyFont="true" applyBorder="true" applyAlignment="true" applyProtection="false">
      <alignment horizontal="general" vertical="top" textRotation="0" wrapText="true" indent="0" shrinkToFit="false"/>
      <protection locked="true" hidden="false"/>
    </xf>
    <xf numFmtId="164" fontId="4" fillId="15"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left" vertical="top" textRotation="0" wrapText="false" indent="0" shrinkToFit="false"/>
      <protection locked="true" hidden="false"/>
    </xf>
    <xf numFmtId="166" fontId="6"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16" borderId="0" xfId="0" applyFont="true" applyBorder="false" applyAlignment="true" applyProtection="false">
      <alignment horizontal="general" vertical="top" textRotation="0" wrapText="true" indent="0" shrinkToFit="false"/>
      <protection locked="true" hidden="false"/>
    </xf>
    <xf numFmtId="164" fontId="10" fillId="16"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2" shrinkToFit="false"/>
      <protection locked="true" hidden="false"/>
    </xf>
    <xf numFmtId="164" fontId="13" fillId="0" borderId="0" xfId="0" applyFont="true" applyBorder="false" applyAlignment="true" applyProtection="false">
      <alignment horizontal="general" vertical="top" textRotation="0" wrapText="true" indent="2"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16"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9" fillId="17" borderId="1" xfId="0" applyFont="true" applyBorder="true" applyAlignment="true" applyProtection="false">
      <alignment horizontal="general" vertical="top"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19" fillId="14" borderId="1" xfId="0" applyFont="true" applyBorder="true" applyAlignment="true" applyProtection="false">
      <alignment horizontal="center" vertical="center" textRotation="0" wrapText="true" indent="0" shrinkToFit="false"/>
      <protection locked="true" hidden="false"/>
    </xf>
    <xf numFmtId="164" fontId="19" fillId="15"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0" fillId="15" borderId="1" xfId="0" applyFont="true" applyBorder="true" applyAlignment="true" applyProtection="false">
      <alignment horizontal="general" vertical="top" textRotation="0" wrapText="true" indent="0" shrinkToFit="false"/>
      <protection locked="true" hidden="false"/>
    </xf>
    <xf numFmtId="164" fontId="20" fillId="7"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21" fillId="4" borderId="1" xfId="0" applyFont="true" applyBorder="true" applyAlignment="true" applyProtection="false">
      <alignment horizontal="general" vertical="top" textRotation="0" wrapText="tru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21" fillId="14" borderId="1" xfId="0" applyFont="true" applyBorder="true" applyAlignment="true" applyProtection="false">
      <alignment horizontal="general" vertical="top" textRotation="0" wrapText="true" indent="0" shrinkToFit="false"/>
      <protection locked="true" hidden="false"/>
    </xf>
    <xf numFmtId="164" fontId="21" fillId="15" borderId="1" xfId="0" applyFont="true" applyBorder="true" applyAlignment="true" applyProtection="false">
      <alignment horizontal="general" vertical="top" textRotation="0" wrapText="true" indent="0" shrinkToFit="false"/>
      <protection locked="true" hidden="false"/>
    </xf>
    <xf numFmtId="164" fontId="21" fillId="7" borderId="1" xfId="0" applyFont="true" applyBorder="true" applyAlignment="true" applyProtection="false">
      <alignment horizontal="general" vertical="top" textRotation="0" wrapText="true" indent="0" shrinkToFit="false"/>
      <protection locked="true" hidden="false"/>
    </xf>
    <xf numFmtId="164" fontId="21" fillId="11" borderId="1" xfId="0" applyFont="true" applyBorder="true" applyAlignment="true" applyProtection="false">
      <alignment horizontal="general" vertical="top" textRotation="0" wrapText="tru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7" fillId="6" borderId="1" xfId="0" applyFont="true" applyBorder="true" applyAlignment="true" applyProtection="false">
      <alignment horizontal="general" vertical="top" textRotation="0" wrapText="true" indent="0" shrinkToFit="false"/>
      <protection locked="true" hidden="false"/>
    </xf>
    <xf numFmtId="164" fontId="17" fillId="14" borderId="1" xfId="0" applyFont="true" applyBorder="true" applyAlignment="true" applyProtection="false">
      <alignment horizontal="general" vertical="top" textRotation="0" wrapText="true" indent="0" shrinkToFit="false"/>
      <protection locked="true" hidden="false"/>
    </xf>
    <xf numFmtId="164" fontId="17" fillId="15" borderId="1" xfId="0" applyFont="true" applyBorder="true" applyAlignment="true" applyProtection="false">
      <alignment horizontal="general" vertical="top" textRotation="0" wrapText="true" indent="0" shrinkToFit="false"/>
      <protection locked="true" hidden="false"/>
    </xf>
    <xf numFmtId="164" fontId="17" fillId="7" borderId="1" xfId="0" applyFont="true" applyBorder="true" applyAlignment="true" applyProtection="false">
      <alignment horizontal="general" vertical="top" textRotation="0" wrapText="true" indent="0" shrinkToFit="false"/>
      <protection locked="true" hidden="false"/>
    </xf>
    <xf numFmtId="164" fontId="17" fillId="11"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22" fillId="4" borderId="1" xfId="0" applyFont="true" applyBorder="true" applyAlignment="true" applyProtection="false">
      <alignment horizontal="general" vertical="top" textRotation="0" wrapText="true" indent="0" shrinkToFit="false"/>
      <protection locked="true" hidden="false"/>
    </xf>
    <xf numFmtId="164" fontId="22" fillId="6" borderId="1" xfId="0" applyFont="true" applyBorder="true" applyAlignment="true" applyProtection="false">
      <alignment horizontal="general" vertical="top" textRotation="0" wrapText="true" indent="0" shrinkToFit="false"/>
      <protection locked="true" hidden="false"/>
    </xf>
    <xf numFmtId="164" fontId="22" fillId="14" borderId="1" xfId="0" applyFont="true" applyBorder="true" applyAlignment="true" applyProtection="false">
      <alignment horizontal="general" vertical="top" textRotation="0" wrapText="true" indent="0" shrinkToFit="false"/>
      <protection locked="true" hidden="false"/>
    </xf>
    <xf numFmtId="164" fontId="22" fillId="15" borderId="1" xfId="0" applyFont="true" applyBorder="true" applyAlignment="true" applyProtection="false">
      <alignment horizontal="general" vertical="top" textRotation="0" wrapText="true" indent="0" shrinkToFit="false"/>
      <protection locked="true" hidden="false"/>
    </xf>
    <xf numFmtId="164" fontId="22" fillId="7" borderId="1" xfId="0" applyFont="true" applyBorder="true" applyAlignment="true" applyProtection="false">
      <alignment horizontal="general" vertical="top" textRotation="0" wrapText="true" indent="0" shrinkToFit="false"/>
      <protection locked="true" hidden="false"/>
    </xf>
    <xf numFmtId="164" fontId="22" fillId="11" borderId="1" xfId="0" applyFont="true" applyBorder="true" applyAlignment="true" applyProtection="false">
      <alignment horizontal="general" vertical="top" textRotation="0" wrapText="true" indent="0" shrinkToFit="false"/>
      <protection locked="true" hidden="false"/>
    </xf>
    <xf numFmtId="164" fontId="22"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2" shrinkToFit="false"/>
      <protection locked="true" hidden="false"/>
    </xf>
    <xf numFmtId="164" fontId="23" fillId="17"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4" shrinkToFit="false"/>
      <protection locked="true" hidden="false"/>
    </xf>
    <xf numFmtId="164" fontId="13" fillId="0" borderId="0" xfId="0" applyFont="true" applyBorder="false" applyAlignment="true" applyProtection="false">
      <alignment horizontal="general" vertical="top" textRotation="0" wrapText="true" indent="4" shrinkToFit="false"/>
      <protection locked="true" hidden="false"/>
    </xf>
    <xf numFmtId="164" fontId="9" fillId="0" borderId="0" xfId="0" applyFont="true" applyBorder="false" applyAlignment="true" applyProtection="false">
      <alignment horizontal="general" vertical="top" textRotation="0" wrapText="true" indent="6" shrinkToFit="false"/>
      <protection locked="true" hidden="false"/>
    </xf>
    <xf numFmtId="164" fontId="9" fillId="0" borderId="0" xfId="0" applyFont="true" applyBorder="false" applyAlignment="true" applyProtection="false">
      <alignment horizontal="general" vertical="top" textRotation="0" wrapText="true" indent="8" shrinkToFit="false"/>
      <protection locked="true" hidden="false"/>
    </xf>
    <xf numFmtId="164" fontId="13" fillId="0" borderId="0" xfId="0" applyFont="true" applyBorder="false" applyAlignment="true" applyProtection="false">
      <alignment horizontal="general" vertical="top" textRotation="0" wrapText="true" indent="6"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5" fillId="18" borderId="0" xfId="0" applyFont="true" applyBorder="false" applyAlignment="true" applyProtection="false">
      <alignment horizontal="general" vertical="top" textRotation="0" wrapText="tru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16" fillId="16"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xf numFmtId="166" fontId="28" fillId="19" borderId="0" xfId="0" applyFont="true" applyBorder="fals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29" fillId="19"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29" fillId="19"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9" fillId="13" borderId="1" xfId="0" applyFont="true" applyBorder="true" applyAlignment="true" applyProtection="false">
      <alignment horizontal="general" vertical="top" textRotation="0" wrapText="true" indent="0" shrinkToFit="false"/>
      <protection locked="true" hidden="false"/>
    </xf>
    <xf numFmtId="164" fontId="9" fillId="14" borderId="1" xfId="0" applyFont="true" applyBorder="true" applyAlignment="true" applyProtection="false">
      <alignment horizontal="general" vertical="top" textRotation="0" wrapText="true" indent="0" shrinkToFit="false"/>
      <protection locked="true" hidden="false"/>
    </xf>
    <xf numFmtId="164" fontId="9" fillId="1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bgColor rgb="FFF8D7DA"/>
        </patternFill>
      </fill>
    </dxf>
    <dxf>
      <fill>
        <patternFill>
          <bgColor rgb="FFC6EFCE"/>
        </patternFill>
      </fill>
    </dxf>
    <dxf>
      <fill>
        <patternFill patternType="solid">
          <fgColor rgb="FF0B3D2E"/>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
      <fill>
        <patternFill patternType="solid">
          <fgColor rgb="FFFFF7E0"/>
          <bgColor rgb="FF000000"/>
        </patternFill>
      </fill>
    </dxf>
    <dxf>
      <fill>
        <patternFill patternType="solid">
          <fgColor rgb="FFDCEBE3"/>
          <bgColor rgb="FF000000"/>
        </patternFill>
      </fill>
    </dxf>
    <dxf>
      <fill>
        <patternFill patternType="solid">
          <fgColor rgb="FFDDEFE9"/>
          <bgColor rgb="FF000000"/>
        </patternFill>
      </fill>
    </dxf>
    <dxf>
      <fill>
        <patternFill patternType="solid">
          <fgColor rgb="FFE0EAF5"/>
          <bgColor rgb="FF000000"/>
        </patternFill>
      </fill>
    </dxf>
    <dxf>
      <fill>
        <patternFill patternType="solid">
          <fgColor rgb="FFE1EEF0"/>
          <bgColor rgb="FF000000"/>
        </patternFill>
      </fill>
    </dxf>
    <dxf>
      <fill>
        <patternFill patternType="solid">
          <fgColor rgb="FFE3E8F4"/>
          <bgColor rgb="FF000000"/>
        </patternFill>
      </fill>
    </dxf>
    <dxf>
      <fill>
        <patternFill patternType="solid">
          <fgColor rgb="FFE4E1F3"/>
          <bgColor rgb="FF000000"/>
        </patternFill>
      </fill>
    </dxf>
    <dxf>
      <fill>
        <patternFill patternType="solid">
          <fgColor rgb="FFE8EDDC"/>
          <bgColor rgb="FF000000"/>
        </patternFill>
      </fill>
    </dxf>
    <dxf>
      <fill>
        <patternFill patternType="solid">
          <fgColor rgb="FFECECE4"/>
          <bgColor rgb="FF000000"/>
        </patternFill>
      </fill>
    </dxf>
    <dxf>
      <fill>
        <patternFill patternType="solid">
          <fgColor rgb="FFEDE3F1"/>
          <bgColor rgb="FF000000"/>
        </patternFill>
      </fill>
    </dxf>
    <dxf>
      <fill>
        <patternFill patternType="solid">
          <fgColor rgb="FFF1E6D8"/>
          <bgColor rgb="FF000000"/>
        </patternFill>
      </fill>
    </dxf>
    <dxf>
      <fill>
        <patternFill patternType="solid">
          <fgColor rgb="FFF3E1E1"/>
          <bgColor rgb="FF000000"/>
        </patternFill>
      </fill>
    </dxf>
    <dxf>
      <fill>
        <patternFill patternType="solid">
          <fgColor rgb="FFF4EADB"/>
          <bgColor rgb="FF000000"/>
        </patternFill>
      </fill>
    </dxf>
    <dxf>
      <fill>
        <patternFill patternType="solid">
          <fgColor rgb="FFF5E0E8"/>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C9D3CE"/>
      <rgbColor rgb="FF808080"/>
      <rgbColor rgb="FFE3E8F4"/>
      <rgbColor rgb="FF993366"/>
      <rgbColor rgb="FFFFF7E0"/>
      <rgbColor rgb="FFDDEFE9"/>
      <rgbColor rgb="FF660066"/>
      <rgbColor rgb="FFECECE4"/>
      <rgbColor rgb="FF1155CC"/>
      <rgbColor rgb="FFE4E1F3"/>
      <rgbColor rgb="FF000080"/>
      <rgbColor rgb="FFFF00FF"/>
      <rgbColor rgb="FFF1E6D8"/>
      <rgbColor rgb="FF00FFFF"/>
      <rgbColor rgb="FF800080"/>
      <rgbColor rgb="FF800000"/>
      <rgbColor rgb="FF008080"/>
      <rgbColor rgb="FF0000FF"/>
      <rgbColor rgb="FF00CCFF"/>
      <rgbColor rgb="FFE1EEF0"/>
      <rgbColor rgb="FFC6EFCE"/>
      <rgbColor rgb="FFF4EADB"/>
      <rgbColor rgb="FFDCEBE3"/>
      <rgbColor rgb="FFF5E0E8"/>
      <rgbColor rgb="FFEDE3F1"/>
      <rgbColor rgb="FFF8D7DA"/>
      <rgbColor rgb="FF3366FF"/>
      <rgbColor rgb="FFE8F1EC"/>
      <rgbColor rgb="FFE8EDDC"/>
      <rgbColor rgb="FFF3E1E1"/>
      <rgbColor rgb="FFEEF2F0"/>
      <rgbColor rgb="FFFF6600"/>
      <rgbColor rgb="FF555555"/>
      <rgbColor rgb="FFE0EAF5"/>
      <rgbColor rgb="FF003366"/>
      <rgbColor rgb="FF339966"/>
      <rgbColor rgb="FF0B3D2E"/>
      <rgbColor rgb="FF1A1A1A"/>
      <rgbColor rgb="FF993300"/>
      <rgbColor rgb="FF993366"/>
      <rgbColor rgb="FF3D4B4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amilialife.ca/" TargetMode="External"/><Relationship Id="rId3" Type="http://schemas.openxmlformats.org/officeDocument/2006/relationships/hyperlink" Target="https://familialife.ca/term-life-insurance/" TargetMode="External"/><Relationship Id="rId4" Type="http://schemas.openxmlformats.org/officeDocument/2006/relationships/hyperlink" Target="https://familialife.ca/everything-about-term-life-insurance/" TargetMode="External"/><Relationship Id="rId5" Type="http://schemas.openxmlformats.org/officeDocument/2006/relationships/hyperlink" Target="https://familialife.ca/what-happens-at-the-end-of-term-life-insurance/" TargetMode="External"/><Relationship Id="rId6" Type="http://schemas.openxmlformats.org/officeDocument/2006/relationships/hyperlink" Target="https://familialife.ca/whole-life-insurance/" TargetMode="External"/><Relationship Id="rId7" Type="http://schemas.openxmlformats.org/officeDocument/2006/relationships/hyperlink" Target="https://familialife.ca/everything-about-permanent-life-insurance/" TargetMode="External"/><Relationship Id="rId8" Type="http://schemas.openxmlformats.org/officeDocument/2006/relationships/hyperlink" Target="https://familialife.ca/what-is-universal-life-insurance/" TargetMode="External"/><Relationship Id="rId9" Type="http://schemas.openxmlformats.org/officeDocument/2006/relationships/hyperlink" Target="https://familialife.ca/what-is-joint-life/" TargetMode="External"/><Relationship Id="rId10" Type="http://schemas.openxmlformats.org/officeDocument/2006/relationships/hyperlink" Target="https://familialife.ca/no-medical-insurance/" TargetMode="External"/><Relationship Id="rId11" Type="http://schemas.openxmlformats.org/officeDocument/2006/relationships/hyperlink" Target="https://familialife.ca/everything-about-no-medical-life-insurance/" TargetMode="External"/><Relationship Id="rId12" Type="http://schemas.openxmlformats.org/officeDocument/2006/relationships/hyperlink" Target="https://familialife.ca/how-to-get-life-insurance-if-you-have-health-issues/" TargetMode="External"/><Relationship Id="rId13" Type="http://schemas.openxmlformats.org/officeDocument/2006/relationships/hyperlink" Target="https://familialife.ca/life-insurance-for-diabetics/" TargetMode="External"/><Relationship Id="rId14" Type="http://schemas.openxmlformats.org/officeDocument/2006/relationships/hyperlink" Target="https://familialife.ca/life-insurance-with-cancer/" TargetMode="External"/><Relationship Id="rId15" Type="http://schemas.openxmlformats.org/officeDocument/2006/relationships/hyperlink" Target="https://familialife.ca/life-insurance-with-heart-condition/" TargetMode="External"/><Relationship Id="rId16" Type="http://schemas.openxmlformats.org/officeDocument/2006/relationships/hyperlink" Target="https://familialife.ca/mortgage-protection-insurance/" TargetMode="External"/><Relationship Id="rId17" Type="http://schemas.openxmlformats.org/officeDocument/2006/relationships/hyperlink" Target="https://familialife.ca/what-is-mortgage-insurance/" TargetMode="External"/><Relationship Id="rId18" Type="http://schemas.openxmlformats.org/officeDocument/2006/relationships/hyperlink" Target="https://familialife.ca/final-expense-insurance/" TargetMode="External"/><Relationship Id="rId19" Type="http://schemas.openxmlformats.org/officeDocument/2006/relationships/hyperlink" Target="https://familialife.ca/seniors-life-insurance/" TargetMode="External"/><Relationship Id="rId20" Type="http://schemas.openxmlformats.org/officeDocument/2006/relationships/hyperlink" Target="https://familialife.ca/family-life-insurance/" TargetMode="External"/><Relationship Id="rId21" Type="http://schemas.openxmlformats.org/officeDocument/2006/relationships/hyperlink" Target="https://familialife.ca/whats-ci/" TargetMode="External"/><Relationship Id="rId22" Type="http://schemas.openxmlformats.org/officeDocument/2006/relationships/hyperlink" Target="https://familialife.ca/health-insurance/" TargetMode="External"/><Relationship Id="rId23" Type="http://schemas.openxmlformats.org/officeDocument/2006/relationships/hyperlink" Target="https://familialife.ca/how-does-life-insurance-work-in-canada/" TargetMode="External"/><Relationship Id="rId24" Type="http://schemas.openxmlformats.org/officeDocument/2006/relationships/hyperlink" Target="https://familialife.ca/how-much-life-insurance-should-i-get/" TargetMode="External"/><Relationship Id="rId25" Type="http://schemas.openxmlformats.org/officeDocument/2006/relationships/hyperlink" Target="https://familialife.ca/life-insurance-quotes-in-canada/" TargetMode="External"/><Relationship Id="rId26" Type="http://schemas.openxmlformats.org/officeDocument/2006/relationships/hyperlink" Target="https://familialife.ca/how-do-life-insurance-companies-check-medical-background/" TargetMode="External"/><Relationship Id="rId27" Type="http://schemas.openxmlformats.org/officeDocument/2006/relationships/hyperlink" Target="https://familialife.ca/12-myths-debunked/" TargetMode="External"/><Relationship Id="rId28" Type="http://schemas.openxmlformats.org/officeDocument/2006/relationships/hyperlink" Target="https://familialife.ca/two-things-before-buying/" TargetMode="External"/><Relationship Id="rId29" Type="http://schemas.openxmlformats.org/officeDocument/2006/relationships/hyperlink" Target="https://familialife.ca/are-life-insurance-premiums-tax-deductible-in-canada/" TargetMode="External"/><Relationship Id="rId30" Type="http://schemas.openxmlformats.org/officeDocument/2006/relationships/hyperlink" Target="https://familialife.ca/how-to-claim/" TargetMode="External"/><Relationship Id="rId31" Type="http://schemas.openxmlformats.org/officeDocument/2006/relationships/drawing" Target="../drawings/drawing1.xml"/><Relationship Id="rId3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familialife.ca/" TargetMode="External"/><Relationship Id="rId2" Type="http://schemas.openxmlformats.org/officeDocument/2006/relationships/hyperlink" Target="https://familialife.ca/term-life-insurance/" TargetMode="External"/><Relationship Id="rId3" Type="http://schemas.openxmlformats.org/officeDocument/2006/relationships/hyperlink" Target="https://familialife.ca/everything-about-term-life-insurance/" TargetMode="External"/><Relationship Id="rId4" Type="http://schemas.openxmlformats.org/officeDocument/2006/relationships/hyperlink" Target="https://familialife.ca/what-happens-at-the-end-of-term-life-insurance/" TargetMode="External"/><Relationship Id="rId5" Type="http://schemas.openxmlformats.org/officeDocument/2006/relationships/hyperlink" Target="https://familialife.ca/whole-life-insurance/" TargetMode="External"/><Relationship Id="rId6" Type="http://schemas.openxmlformats.org/officeDocument/2006/relationships/hyperlink" Target="https://familialife.ca/everything-about-permanent-life-insurance/" TargetMode="External"/><Relationship Id="rId7" Type="http://schemas.openxmlformats.org/officeDocument/2006/relationships/hyperlink" Target="https://familialife.ca/what-is-universal-life-insurance/" TargetMode="External"/><Relationship Id="rId8" Type="http://schemas.openxmlformats.org/officeDocument/2006/relationships/hyperlink" Target="https://familialife.ca/what-is-joint-life/" TargetMode="External"/><Relationship Id="rId9" Type="http://schemas.openxmlformats.org/officeDocument/2006/relationships/hyperlink" Target="https://familialife.ca/no-medical-insurance/" TargetMode="External"/><Relationship Id="rId10" Type="http://schemas.openxmlformats.org/officeDocument/2006/relationships/hyperlink" Target="https://familialife.ca/everything-about-no-medical-life-insurance/" TargetMode="External"/><Relationship Id="rId11" Type="http://schemas.openxmlformats.org/officeDocument/2006/relationships/hyperlink" Target="https://familialife.ca/how-to-get-life-insurance-if-you-have-health-issues/" TargetMode="External"/><Relationship Id="rId12" Type="http://schemas.openxmlformats.org/officeDocument/2006/relationships/hyperlink" Target="https://familialife.ca/life-insurance-for-diabetics/" TargetMode="External"/><Relationship Id="rId13" Type="http://schemas.openxmlformats.org/officeDocument/2006/relationships/hyperlink" Target="https://familialife.ca/life-insurance-with-cancer/" TargetMode="External"/><Relationship Id="rId14" Type="http://schemas.openxmlformats.org/officeDocument/2006/relationships/hyperlink" Target="https://familialife.ca/life-insurance-with-heart-condition/" TargetMode="External"/><Relationship Id="rId15" Type="http://schemas.openxmlformats.org/officeDocument/2006/relationships/hyperlink" Target="https://familialife.ca/mortgage-protection-insurance/" TargetMode="External"/><Relationship Id="rId16" Type="http://schemas.openxmlformats.org/officeDocument/2006/relationships/hyperlink" Target="https://familialife.ca/what-is-mortgage-insurance/" TargetMode="External"/><Relationship Id="rId17" Type="http://schemas.openxmlformats.org/officeDocument/2006/relationships/hyperlink" Target="https://familialife.ca/final-expense-insurance/" TargetMode="External"/><Relationship Id="rId18" Type="http://schemas.openxmlformats.org/officeDocument/2006/relationships/hyperlink" Target="https://familialife.ca/seniors-life-insurance/" TargetMode="External"/><Relationship Id="rId19" Type="http://schemas.openxmlformats.org/officeDocument/2006/relationships/hyperlink" Target="https://familialife.ca/family-life-insurance/" TargetMode="External"/><Relationship Id="rId20" Type="http://schemas.openxmlformats.org/officeDocument/2006/relationships/hyperlink" Target="https://familialife.ca/whats-ci/" TargetMode="External"/><Relationship Id="rId21" Type="http://schemas.openxmlformats.org/officeDocument/2006/relationships/hyperlink" Target="https://familialife.ca/health-insurance/" TargetMode="External"/><Relationship Id="rId22" Type="http://schemas.openxmlformats.org/officeDocument/2006/relationships/hyperlink" Target="https://familialife.ca/how-does-life-insurance-work-in-canada/" TargetMode="External"/><Relationship Id="rId23" Type="http://schemas.openxmlformats.org/officeDocument/2006/relationships/hyperlink" Target="https://familialife.ca/how-much-life-insurance-should-i-get/" TargetMode="External"/><Relationship Id="rId24" Type="http://schemas.openxmlformats.org/officeDocument/2006/relationships/hyperlink" Target="https://familialife.ca/life-insurance-quotes-in-canada/" TargetMode="External"/><Relationship Id="rId25" Type="http://schemas.openxmlformats.org/officeDocument/2006/relationships/hyperlink" Target="https://familialife.ca/how-do-life-insurance-companies-check-medical-background/" TargetMode="External"/><Relationship Id="rId26" Type="http://schemas.openxmlformats.org/officeDocument/2006/relationships/hyperlink" Target="https://familialife.ca/12-myths-debunked/" TargetMode="External"/><Relationship Id="rId27" Type="http://schemas.openxmlformats.org/officeDocument/2006/relationships/hyperlink" Target="https://familialife.ca/two-things-before-buying/" TargetMode="External"/><Relationship Id="rId28" Type="http://schemas.openxmlformats.org/officeDocument/2006/relationships/hyperlink" Target="https://familialife.ca/are-life-insurance-premiums-tax-deductible-in-canada/" TargetMode="External"/><Relationship Id="rId29" Type="http://schemas.openxmlformats.org/officeDocument/2006/relationships/hyperlink" Target="https://familialife.ca/how-to-claim/"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familialife.ca/" TargetMode="External"/><Relationship Id="rId2" Type="http://schemas.openxmlformats.org/officeDocument/2006/relationships/hyperlink" Target="https://familialife.ca/term-life-insurance/" TargetMode="External"/><Relationship Id="rId3" Type="http://schemas.openxmlformats.org/officeDocument/2006/relationships/hyperlink" Target="https://familialife.ca/everything-about-term-life-insurance/" TargetMode="External"/><Relationship Id="rId4" Type="http://schemas.openxmlformats.org/officeDocument/2006/relationships/hyperlink" Target="https://familialife.ca/what-happens-at-the-end-of-term-life-insurance/" TargetMode="External"/><Relationship Id="rId5" Type="http://schemas.openxmlformats.org/officeDocument/2006/relationships/hyperlink" Target="https://familialife.ca/whole-life-insurance/" TargetMode="External"/><Relationship Id="rId6" Type="http://schemas.openxmlformats.org/officeDocument/2006/relationships/hyperlink" Target="https://familialife.ca/everything-about-permanent-life-insurance/" TargetMode="External"/><Relationship Id="rId7" Type="http://schemas.openxmlformats.org/officeDocument/2006/relationships/hyperlink" Target="https://familialife.ca/what-is-universal-life-insurance/" TargetMode="External"/><Relationship Id="rId8" Type="http://schemas.openxmlformats.org/officeDocument/2006/relationships/hyperlink" Target="https://familialife.ca/what-is-joint-life/" TargetMode="External"/><Relationship Id="rId9" Type="http://schemas.openxmlformats.org/officeDocument/2006/relationships/hyperlink" Target="https://familialife.ca/no-medical-insurance/" TargetMode="External"/><Relationship Id="rId10" Type="http://schemas.openxmlformats.org/officeDocument/2006/relationships/hyperlink" Target="https://familialife.ca/everything-about-no-medical-life-insurance/" TargetMode="External"/><Relationship Id="rId11" Type="http://schemas.openxmlformats.org/officeDocument/2006/relationships/hyperlink" Target="https://familialife.ca/how-to-get-life-insurance-if-you-have-health-issues/" TargetMode="External"/><Relationship Id="rId12" Type="http://schemas.openxmlformats.org/officeDocument/2006/relationships/hyperlink" Target="https://familialife.ca/life-insurance-for-diabetics/" TargetMode="External"/><Relationship Id="rId13" Type="http://schemas.openxmlformats.org/officeDocument/2006/relationships/hyperlink" Target="https://familialife.ca/life-insurance-with-cancer/" TargetMode="External"/><Relationship Id="rId14" Type="http://schemas.openxmlformats.org/officeDocument/2006/relationships/hyperlink" Target="https://familialife.ca/life-insurance-with-heart-condition/" TargetMode="External"/><Relationship Id="rId15" Type="http://schemas.openxmlformats.org/officeDocument/2006/relationships/hyperlink" Target="https://familialife.ca/mortgage-protection-insurance/" TargetMode="External"/><Relationship Id="rId16" Type="http://schemas.openxmlformats.org/officeDocument/2006/relationships/hyperlink" Target="https://familialife.ca/what-is-mortgage-insurance/" TargetMode="External"/><Relationship Id="rId17" Type="http://schemas.openxmlformats.org/officeDocument/2006/relationships/hyperlink" Target="https://familialife.ca/final-expense-insurance/" TargetMode="External"/><Relationship Id="rId18" Type="http://schemas.openxmlformats.org/officeDocument/2006/relationships/hyperlink" Target="https://familialife.ca/seniors-life-insurance/" TargetMode="External"/><Relationship Id="rId19" Type="http://schemas.openxmlformats.org/officeDocument/2006/relationships/hyperlink" Target="https://familialife.ca/family-life-insurance/" TargetMode="External"/><Relationship Id="rId20" Type="http://schemas.openxmlformats.org/officeDocument/2006/relationships/hyperlink" Target="https://familialife.ca/whats-ci/" TargetMode="External"/><Relationship Id="rId21" Type="http://schemas.openxmlformats.org/officeDocument/2006/relationships/hyperlink" Target="https://familialife.ca/health-insurance/" TargetMode="External"/><Relationship Id="rId22" Type="http://schemas.openxmlformats.org/officeDocument/2006/relationships/hyperlink" Target="https://familialife.ca/how-does-life-insurance-work-in-canada/" TargetMode="External"/><Relationship Id="rId23" Type="http://schemas.openxmlformats.org/officeDocument/2006/relationships/hyperlink" Target="https://familialife.ca/how-much-life-insurance-should-i-get/" TargetMode="External"/><Relationship Id="rId24" Type="http://schemas.openxmlformats.org/officeDocument/2006/relationships/hyperlink" Target="https://familialife.ca/life-insurance-quotes-in-canada/" TargetMode="External"/><Relationship Id="rId25" Type="http://schemas.openxmlformats.org/officeDocument/2006/relationships/hyperlink" Target="https://familialife.ca/how-do-life-insurance-companies-check-medical-background/" TargetMode="External"/><Relationship Id="rId26" Type="http://schemas.openxmlformats.org/officeDocument/2006/relationships/hyperlink" Target="https://familialife.ca/12-myths-debunked/" TargetMode="External"/><Relationship Id="rId27" Type="http://schemas.openxmlformats.org/officeDocument/2006/relationships/hyperlink" Target="https://familialife.ca/two-things-before-buying/" TargetMode="External"/><Relationship Id="rId28" Type="http://schemas.openxmlformats.org/officeDocument/2006/relationships/hyperlink" Target="https://familialife.ca/are-life-insurance-premiums-tax-deductible-in-canada/" TargetMode="External"/><Relationship Id="rId29" Type="http://schemas.openxmlformats.org/officeDocument/2006/relationships/hyperlink" Target="https://familialife.ca/how-to-claim/" TargetMode="External"/><Relationship Id="rId30" Type="http://schemas.openxmlformats.org/officeDocument/2006/relationships/hyperlink" Target="https://familialife.ca/about/" TargetMode="External"/><Relationship Id="rId31" Type="http://schemas.openxmlformats.org/officeDocument/2006/relationships/hyperlink" Target="https://familialife.ca/contact-us/" TargetMode="External"/><Relationship Id="rId32" Type="http://schemas.openxmlformats.org/officeDocument/2006/relationships/hyperlink" Target="https://familialife.ca/blog/" TargetMode="External"/><Relationship Id="rId33" Type="http://schemas.openxmlformats.org/officeDocument/2006/relationships/hyperlink" Target="https://familialife.ca/author/richard-kim/" TargetMode="External"/><Relationship Id="rId34" Type="http://schemas.openxmlformats.org/officeDocument/2006/relationships/hyperlink" Target="https://familialife.ca/get-your-quote-today/" TargetMode="External"/><Relationship Id="rId35" Type="http://schemas.openxmlformats.org/officeDocument/2006/relationships/hyperlink" Target="https://familialife.ca/term-life-insurance-quote-form/" TargetMode="External"/><Relationship Id="rId36" Type="http://schemas.openxmlformats.org/officeDocument/2006/relationships/hyperlink" Target="https://familialife.ca/permanent-life-insurance-quote-form/" TargetMode="External"/><Relationship Id="rId37" Type="http://schemas.openxmlformats.org/officeDocument/2006/relationships/hyperlink" Target="https://familialife.ca/no-medical-life-insurance-quote-form/" TargetMode="External"/><Relationship Id="rId38" Type="http://schemas.openxmlformats.org/officeDocument/2006/relationships/hyperlink" Target="https://familialife.ca/mortgage-protection-insurance-quote-form/" TargetMode="External"/><Relationship Id="rId39" Type="http://schemas.openxmlformats.org/officeDocument/2006/relationships/hyperlink" Target="https://familialife.ca/privacy-policy/" TargetMode="External"/><Relationship Id="rId40" Type="http://schemas.openxmlformats.org/officeDocument/2006/relationships/hyperlink" Target="https://familialife.ca/terms-and-conditions/" TargetMode="External"/><Relationship Id="rId4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5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5" min="2" style="0" width="46"/>
  </cols>
  <sheetData>
    <row r="1" customFormat="false" ht="27.75" hidden="false" customHeight="true" outlineLevel="0" collapsed="false">
      <c r="A1" s="1" t="s">
        <v>0</v>
      </c>
      <c r="B1" s="2" t="s">
        <v>1</v>
      </c>
      <c r="C1" s="3" t="s">
        <v>2</v>
      </c>
      <c r="D1" s="4" t="s">
        <v>3</v>
      </c>
      <c r="E1" s="4" t="s">
        <v>3</v>
      </c>
      <c r="F1" s="4" t="s">
        <v>3</v>
      </c>
      <c r="G1" s="5" t="s">
        <v>4</v>
      </c>
      <c r="H1" s="6" t="s">
        <v>5</v>
      </c>
      <c r="I1" s="7" t="s">
        <v>6</v>
      </c>
      <c r="J1" s="6" t="s">
        <v>5</v>
      </c>
      <c r="K1" s="8" t="s">
        <v>7</v>
      </c>
      <c r="L1" s="9" t="s">
        <v>8</v>
      </c>
      <c r="M1" s="10" t="s">
        <v>9</v>
      </c>
      <c r="N1" s="10" t="s">
        <v>9</v>
      </c>
      <c r="O1" s="5" t="s">
        <v>4</v>
      </c>
      <c r="P1" s="3" t="s">
        <v>2</v>
      </c>
      <c r="Q1" s="11" t="s">
        <v>10</v>
      </c>
      <c r="R1" s="9" t="s">
        <v>8</v>
      </c>
      <c r="S1" s="12" t="s">
        <v>11</v>
      </c>
      <c r="T1" s="12" t="s">
        <v>11</v>
      </c>
      <c r="U1" s="3" t="s">
        <v>2</v>
      </c>
      <c r="V1" s="13" t="s">
        <v>12</v>
      </c>
      <c r="W1" s="4" t="s">
        <v>3</v>
      </c>
      <c r="X1" s="4" t="s">
        <v>3</v>
      </c>
      <c r="Y1" s="4" t="s">
        <v>3</v>
      </c>
      <c r="Z1" s="10" t="s">
        <v>9</v>
      </c>
      <c r="AA1" s="5" t="s">
        <v>4</v>
      </c>
      <c r="AB1" s="4" t="s">
        <v>3</v>
      </c>
      <c r="AC1" s="10" t="s">
        <v>9</v>
      </c>
      <c r="AD1" s="5" t="s">
        <v>4</v>
      </c>
      <c r="AE1" s="12" t="s">
        <v>11</v>
      </c>
      <c r="AF1" s="3" t="s">
        <v>2</v>
      </c>
      <c r="AG1" s="13" t="s">
        <v>12</v>
      </c>
      <c r="AH1" s="11" t="s">
        <v>10</v>
      </c>
      <c r="AI1" s="9" t="s">
        <v>8</v>
      </c>
      <c r="AJ1" s="14" t="s">
        <v>13</v>
      </c>
      <c r="AK1" s="10" t="s">
        <v>9</v>
      </c>
      <c r="AL1" s="10" t="s">
        <v>9</v>
      </c>
      <c r="AM1" s="4" t="s">
        <v>3</v>
      </c>
      <c r="AN1" s="4" t="s">
        <v>3</v>
      </c>
      <c r="AO1" s="4" t="s">
        <v>3</v>
      </c>
      <c r="AP1" s="8" t="s">
        <v>7</v>
      </c>
      <c r="AQ1" s="9" t="s">
        <v>8</v>
      </c>
      <c r="AR1" s="9" t="s">
        <v>8</v>
      </c>
      <c r="AS1" s="7" t="s">
        <v>6</v>
      </c>
      <c r="AT1" s="7" t="s">
        <v>6</v>
      </c>
      <c r="AU1" s="14" t="s">
        <v>13</v>
      </c>
      <c r="AV1" s="10" t="s">
        <v>9</v>
      </c>
      <c r="AW1" s="3" t="s">
        <v>2</v>
      </c>
      <c r="AX1" s="4" t="s">
        <v>3</v>
      </c>
      <c r="AY1" s="11" t="s">
        <v>10</v>
      </c>
      <c r="AZ1" s="9" t="s">
        <v>8</v>
      </c>
      <c r="BA1" s="14" t="s">
        <v>13</v>
      </c>
      <c r="BB1" s="2" t="s">
        <v>1</v>
      </c>
      <c r="BC1" s="6" t="s">
        <v>5</v>
      </c>
    </row>
    <row r="2" customFormat="false" ht="45.75" hidden="false" customHeight="true" outlineLevel="0" collapsed="false">
      <c r="A2" s="1" t="s">
        <v>14</v>
      </c>
      <c r="B2" s="15" t="s">
        <v>15</v>
      </c>
      <c r="C2" s="16" t="s">
        <v>16</v>
      </c>
      <c r="D2" s="17" t="s">
        <v>17</v>
      </c>
      <c r="E2" s="17" t="s">
        <v>18</v>
      </c>
      <c r="F2" s="17" t="s">
        <v>19</v>
      </c>
      <c r="G2" s="18" t="s">
        <v>20</v>
      </c>
      <c r="H2" s="19" t="s">
        <v>21</v>
      </c>
      <c r="I2" s="20" t="s">
        <v>22</v>
      </c>
      <c r="J2" s="19" t="s">
        <v>23</v>
      </c>
      <c r="K2" s="21" t="s">
        <v>24</v>
      </c>
      <c r="L2" s="22" t="s">
        <v>25</v>
      </c>
      <c r="M2" s="23" t="s">
        <v>26</v>
      </c>
      <c r="N2" s="23" t="s">
        <v>27</v>
      </c>
      <c r="O2" s="18" t="s">
        <v>28</v>
      </c>
      <c r="P2" s="16" t="s">
        <v>29</v>
      </c>
      <c r="Q2" s="24" t="s">
        <v>30</v>
      </c>
      <c r="R2" s="22" t="s">
        <v>31</v>
      </c>
      <c r="S2" s="25" t="s">
        <v>32</v>
      </c>
      <c r="T2" s="25" t="s">
        <v>33</v>
      </c>
      <c r="U2" s="16" t="s">
        <v>34</v>
      </c>
      <c r="V2" s="26" t="s">
        <v>35</v>
      </c>
      <c r="W2" s="17" t="s">
        <v>36</v>
      </c>
      <c r="X2" s="17" t="s">
        <v>37</v>
      </c>
      <c r="Y2" s="17" t="s">
        <v>38</v>
      </c>
      <c r="Z2" s="23" t="s">
        <v>39</v>
      </c>
      <c r="AA2" s="18" t="s">
        <v>40</v>
      </c>
      <c r="AB2" s="17" t="s">
        <v>41</v>
      </c>
      <c r="AC2" s="23" t="s">
        <v>42</v>
      </c>
      <c r="AD2" s="18" t="s">
        <v>43</v>
      </c>
      <c r="AE2" s="25" t="s">
        <v>44</v>
      </c>
      <c r="AF2" s="16" t="s">
        <v>45</v>
      </c>
      <c r="AG2" s="26" t="s">
        <v>46</v>
      </c>
      <c r="AH2" s="24" t="s">
        <v>47</v>
      </c>
      <c r="AI2" s="22" t="s">
        <v>48</v>
      </c>
      <c r="AJ2" s="27" t="s">
        <v>49</v>
      </c>
      <c r="AK2" s="23" t="s">
        <v>50</v>
      </c>
      <c r="AL2" s="23" t="s">
        <v>51</v>
      </c>
      <c r="AM2" s="17" t="s">
        <v>52</v>
      </c>
      <c r="AN2" s="17" t="s">
        <v>53</v>
      </c>
      <c r="AO2" s="17" t="s">
        <v>54</v>
      </c>
      <c r="AP2" s="21" t="s">
        <v>55</v>
      </c>
      <c r="AQ2" s="22" t="s">
        <v>56</v>
      </c>
      <c r="AR2" s="22" t="s">
        <v>57</v>
      </c>
      <c r="AS2" s="20" t="s">
        <v>58</v>
      </c>
      <c r="AT2" s="20" t="s">
        <v>59</v>
      </c>
      <c r="AU2" s="27" t="s">
        <v>60</v>
      </c>
      <c r="AV2" s="23" t="s">
        <v>61</v>
      </c>
      <c r="AW2" s="16" t="s">
        <v>62</v>
      </c>
      <c r="AX2" s="17" t="s">
        <v>63</v>
      </c>
      <c r="AY2" s="24" t="s">
        <v>64</v>
      </c>
      <c r="AZ2" s="22" t="s">
        <v>65</v>
      </c>
      <c r="BA2" s="27" t="s">
        <v>66</v>
      </c>
      <c r="BB2" s="15" t="s">
        <v>67</v>
      </c>
      <c r="BC2" s="19" t="s">
        <v>68</v>
      </c>
    </row>
    <row r="3" customFormat="false" ht="15" hidden="false" customHeight="false" outlineLevel="0" collapsed="false">
      <c r="A3" s="1" t="s">
        <v>69</v>
      </c>
      <c r="B3" s="28" t="n">
        <f aca="false">'Topic Index'!I5</f>
        <v>1</v>
      </c>
      <c r="C3" s="28" t="n">
        <f aca="false">'Topic Index'!I6</f>
        <v>1</v>
      </c>
      <c r="D3" s="28" t="n">
        <f aca="false">'Topic Index'!I7</f>
        <v>1</v>
      </c>
      <c r="E3" s="28" t="n">
        <f aca="false">'Topic Index'!I8</f>
        <v>1</v>
      </c>
      <c r="F3" s="28" t="n">
        <f aca="false">'Topic Index'!I9</f>
        <v>1</v>
      </c>
      <c r="G3" s="28" t="n">
        <f aca="false">'Topic Index'!I10</f>
        <v>1</v>
      </c>
      <c r="H3" s="28" t="n">
        <f aca="false">'Topic Index'!I11</f>
        <v>1</v>
      </c>
      <c r="I3" s="28" t="n">
        <f aca="false">'Topic Index'!I12</f>
        <v>1</v>
      </c>
      <c r="J3" s="28" t="n">
        <f aca="false">'Topic Index'!I13</f>
        <v>1</v>
      </c>
      <c r="K3" s="28" t="n">
        <f aca="false">'Topic Index'!I14</f>
        <v>2</v>
      </c>
      <c r="L3" s="28" t="n">
        <f aca="false">'Topic Index'!I15</f>
        <v>2</v>
      </c>
      <c r="M3" s="28" t="n">
        <f aca="false">'Topic Index'!I16</f>
        <v>2</v>
      </c>
      <c r="N3" s="28" t="n">
        <f aca="false">'Topic Index'!I17</f>
        <v>2</v>
      </c>
      <c r="O3" s="28" t="n">
        <f aca="false">'Topic Index'!I18</f>
        <v>2</v>
      </c>
      <c r="P3" s="28" t="n">
        <f aca="false">'Topic Index'!I19</f>
        <v>2</v>
      </c>
      <c r="Q3" s="28" t="n">
        <f aca="false">'Topic Index'!I20</f>
        <v>2</v>
      </c>
      <c r="R3" s="28" t="n">
        <f aca="false">'Topic Index'!I21</f>
        <v>2</v>
      </c>
      <c r="S3" s="28" t="n">
        <f aca="false">'Topic Index'!I22</f>
        <v>2</v>
      </c>
      <c r="T3" s="28" t="n">
        <f aca="false">'Topic Index'!I23</f>
        <v>2</v>
      </c>
      <c r="U3" s="28" t="n">
        <f aca="false">'Topic Index'!I24</f>
        <v>2</v>
      </c>
      <c r="V3" s="28" t="n">
        <f aca="false">'Topic Index'!I25</f>
        <v>2</v>
      </c>
      <c r="W3" s="28" t="n">
        <f aca="false">'Topic Index'!I26</f>
        <v>2</v>
      </c>
      <c r="X3" s="28" t="n">
        <f aca="false">'Topic Index'!I27</f>
        <v>2</v>
      </c>
      <c r="Y3" s="28" t="n">
        <f aca="false">'Topic Index'!I28</f>
        <v>2</v>
      </c>
      <c r="Z3" s="28" t="n">
        <f aca="false">'Topic Index'!I29</f>
        <v>2</v>
      </c>
      <c r="AA3" s="28" t="n">
        <f aca="false">'Topic Index'!I30</f>
        <v>2</v>
      </c>
      <c r="AB3" s="28" t="n">
        <f aca="false">'Topic Index'!I31</f>
        <v>2</v>
      </c>
      <c r="AC3" s="28" t="n">
        <f aca="false">'Topic Index'!I32</f>
        <v>2</v>
      </c>
      <c r="AD3" s="28" t="n">
        <f aca="false">'Topic Index'!I33</f>
        <v>2</v>
      </c>
      <c r="AE3" s="28" t="n">
        <f aca="false">'Topic Index'!I34</f>
        <v>2</v>
      </c>
      <c r="AF3" s="28" t="n">
        <f aca="false">'Topic Index'!I35</f>
        <v>2</v>
      </c>
      <c r="AG3" s="28" t="n">
        <f aca="false">'Topic Index'!I36</f>
        <v>2</v>
      </c>
      <c r="AH3" s="28" t="n">
        <f aca="false">'Topic Index'!I37</f>
        <v>3</v>
      </c>
      <c r="AI3" s="28" t="n">
        <f aca="false">'Topic Index'!I38</f>
        <v>3</v>
      </c>
      <c r="AJ3" s="28" t="n">
        <f aca="false">'Topic Index'!I39</f>
        <v>3</v>
      </c>
      <c r="AK3" s="28" t="n">
        <f aca="false">'Topic Index'!I40</f>
        <v>3</v>
      </c>
      <c r="AL3" s="28" t="n">
        <f aca="false">'Topic Index'!I41</f>
        <v>3</v>
      </c>
      <c r="AM3" s="28" t="n">
        <f aca="false">'Topic Index'!I42</f>
        <v>3</v>
      </c>
      <c r="AN3" s="28" t="n">
        <f aca="false">'Topic Index'!I43</f>
        <v>3</v>
      </c>
      <c r="AO3" s="28" t="n">
        <f aca="false">'Topic Index'!I44</f>
        <v>3</v>
      </c>
      <c r="AP3" s="28" t="n">
        <f aca="false">'Topic Index'!I45</f>
        <v>3</v>
      </c>
      <c r="AQ3" s="28" t="n">
        <f aca="false">'Topic Index'!I46</f>
        <v>3</v>
      </c>
      <c r="AR3" s="28" t="n">
        <f aca="false">'Topic Index'!I47</f>
        <v>3</v>
      </c>
      <c r="AS3" s="28" t="n">
        <f aca="false">'Topic Index'!I48</f>
        <v>3</v>
      </c>
      <c r="AT3" s="28" t="n">
        <f aca="false">'Topic Index'!I49</f>
        <v>3</v>
      </c>
      <c r="AU3" s="28" t="n">
        <f aca="false">'Topic Index'!I50</f>
        <v>3</v>
      </c>
      <c r="AV3" s="28" t="n">
        <f aca="false">'Topic Index'!I51</f>
        <v>3</v>
      </c>
      <c r="AW3" s="28" t="n">
        <f aca="false">'Topic Index'!I52</f>
        <v>3</v>
      </c>
      <c r="AX3" s="28" t="n">
        <f aca="false">'Topic Index'!I53</f>
        <v>3</v>
      </c>
      <c r="AY3" s="28" t="n">
        <f aca="false">'Topic Index'!I54</f>
        <v>3</v>
      </c>
      <c r="AZ3" s="28" t="n">
        <f aca="false">'Topic Index'!I55</f>
        <v>3</v>
      </c>
      <c r="BA3" s="28" t="n">
        <f aca="false">'Topic Index'!I56</f>
        <v>3</v>
      </c>
      <c r="BB3" s="28" t="n">
        <f aca="false">'Topic Index'!I57</f>
        <v>3</v>
      </c>
      <c r="BC3" s="28" t="n">
        <f aca="false">'Topic Index'!I58</f>
        <v>3</v>
      </c>
    </row>
    <row r="4" customFormat="false" ht="15" hidden="false" customHeight="false" outlineLevel="0" collapsed="false">
      <c r="A4" s="1" t="s">
        <v>70</v>
      </c>
      <c r="B4" s="28" t="n">
        <f aca="false">'Topic Index'!J5</f>
        <v>1</v>
      </c>
      <c r="C4" s="28" t="n">
        <f aca="false">'Topic Index'!J6</f>
        <v>2</v>
      </c>
      <c r="D4" s="28" t="n">
        <f aca="false">'Topic Index'!J7</f>
        <v>3</v>
      </c>
      <c r="E4" s="28" t="n">
        <f aca="false">'Topic Index'!J8</f>
        <v>3</v>
      </c>
      <c r="F4" s="28" t="n">
        <f aca="false">'Topic Index'!J9</f>
        <v>5</v>
      </c>
      <c r="G4" s="28" t="n">
        <f aca="false">'Topic Index'!J10</f>
        <v>5</v>
      </c>
      <c r="H4" s="28" t="n">
        <f aca="false">'Topic Index'!J11</f>
        <v>7</v>
      </c>
      <c r="I4" s="28" t="n">
        <f aca="false">'Topic Index'!J12</f>
        <v>20</v>
      </c>
      <c r="J4" s="28" t="n">
        <f aca="false">'Topic Index'!J13</f>
        <v>32</v>
      </c>
      <c r="K4" s="28" t="n">
        <f aca="false">'Topic Index'!J14</f>
        <v>8</v>
      </c>
      <c r="L4" s="28" t="n">
        <f aca="false">'Topic Index'!J15</f>
        <v>8</v>
      </c>
      <c r="M4" s="28" t="n">
        <f aca="false">'Topic Index'!J16</f>
        <v>8</v>
      </c>
      <c r="N4" s="28" t="n">
        <f aca="false">'Topic Index'!J17</f>
        <v>8</v>
      </c>
      <c r="O4" s="28" t="n">
        <f aca="false">'Topic Index'!J18</f>
        <v>8</v>
      </c>
      <c r="P4" s="28" t="n">
        <f aca="false">'Topic Index'!J19</f>
        <v>8</v>
      </c>
      <c r="Q4" s="28" t="n">
        <f aca="false">'Topic Index'!J20</f>
        <v>14</v>
      </c>
      <c r="R4" s="28" t="n">
        <f aca="false">'Topic Index'!J21</f>
        <v>14</v>
      </c>
      <c r="S4" s="28" t="n">
        <f aca="false">'Topic Index'!J22</f>
        <v>14</v>
      </c>
      <c r="T4" s="28" t="n">
        <f aca="false">'Topic Index'!J23</f>
        <v>14</v>
      </c>
      <c r="U4" s="28" t="n">
        <f aca="false">'Topic Index'!J24</f>
        <v>14</v>
      </c>
      <c r="V4" s="28" t="n">
        <f aca="false">'Topic Index'!J25</f>
        <v>14</v>
      </c>
      <c r="W4" s="28" t="n">
        <f aca="false">'Topic Index'!J26</f>
        <v>20</v>
      </c>
      <c r="X4" s="28" t="n">
        <f aca="false">'Topic Index'!J27</f>
        <v>20</v>
      </c>
      <c r="Y4" s="28" t="n">
        <f aca="false">'Topic Index'!J28</f>
        <v>20</v>
      </c>
      <c r="Z4" s="28" t="n">
        <f aca="false">'Topic Index'!J29</f>
        <v>20</v>
      </c>
      <c r="AA4" s="28" t="n">
        <f aca="false">'Topic Index'!J30</f>
        <v>20</v>
      </c>
      <c r="AB4" s="28" t="n">
        <f aca="false">'Topic Index'!J31</f>
        <v>26</v>
      </c>
      <c r="AC4" s="28" t="n">
        <f aca="false">'Topic Index'!J32</f>
        <v>26</v>
      </c>
      <c r="AD4" s="28" t="n">
        <f aca="false">'Topic Index'!J33</f>
        <v>26</v>
      </c>
      <c r="AE4" s="28" t="n">
        <f aca="false">'Topic Index'!J34</f>
        <v>26</v>
      </c>
      <c r="AF4" s="28" t="n">
        <f aca="false">'Topic Index'!J35</f>
        <v>26</v>
      </c>
      <c r="AG4" s="28" t="n">
        <f aca="false">'Topic Index'!J36</f>
        <v>26</v>
      </c>
      <c r="AH4" s="28" t="n">
        <f aca="false">'Topic Index'!J37</f>
        <v>32</v>
      </c>
      <c r="AI4" s="28" t="n">
        <f aca="false">'Topic Index'!J38</f>
        <v>32</v>
      </c>
      <c r="AJ4" s="28" t="n">
        <f aca="false">'Topic Index'!J39</f>
        <v>32</v>
      </c>
      <c r="AK4" s="28" t="n">
        <f aca="false">'Topic Index'!J40</f>
        <v>32</v>
      </c>
      <c r="AL4" s="28" t="n">
        <f aca="false">'Topic Index'!J41</f>
        <v>32</v>
      </c>
      <c r="AM4" s="28" t="n">
        <f aca="false">'Topic Index'!J42</f>
        <v>38</v>
      </c>
      <c r="AN4" s="28" t="n">
        <f aca="false">'Topic Index'!J43</f>
        <v>38</v>
      </c>
      <c r="AO4" s="28" t="n">
        <f aca="false">'Topic Index'!J44</f>
        <v>38</v>
      </c>
      <c r="AP4" s="28" t="n">
        <f aca="false">'Topic Index'!J45</f>
        <v>38</v>
      </c>
      <c r="AQ4" s="28" t="n">
        <f aca="false">'Topic Index'!J46</f>
        <v>38</v>
      </c>
      <c r="AR4" s="28" t="n">
        <f aca="false">'Topic Index'!J47</f>
        <v>38</v>
      </c>
      <c r="AS4" s="28" t="n">
        <f aca="false">'Topic Index'!J48</f>
        <v>38</v>
      </c>
      <c r="AT4" s="28" t="n">
        <f aca="false">'Topic Index'!J49</f>
        <v>38</v>
      </c>
      <c r="AU4" s="28" t="n">
        <f aca="false">'Topic Index'!J50</f>
        <v>38</v>
      </c>
      <c r="AV4" s="28" t="n">
        <f aca="false">'Topic Index'!J51</f>
        <v>38</v>
      </c>
      <c r="AW4" s="28" t="n">
        <f aca="false">'Topic Index'!J52</f>
        <v>38</v>
      </c>
      <c r="AX4" s="28" t="n">
        <f aca="false">'Topic Index'!J53</f>
        <v>49</v>
      </c>
      <c r="AY4" s="28" t="n">
        <f aca="false">'Topic Index'!J54</f>
        <v>49</v>
      </c>
      <c r="AZ4" s="28" t="n">
        <f aca="false">'Topic Index'!J55</f>
        <v>49</v>
      </c>
      <c r="BA4" s="28" t="n">
        <f aca="false">'Topic Index'!J56</f>
        <v>49</v>
      </c>
      <c r="BB4" s="28" t="n">
        <f aca="false">'Topic Index'!J57</f>
        <v>53</v>
      </c>
      <c r="BC4" s="28" t="n">
        <f aca="false">'Topic Index'!J58</f>
        <v>53</v>
      </c>
    </row>
    <row r="5" customFormat="false" ht="15" hidden="false" customHeight="false" outlineLevel="0" collapsed="false">
      <c r="A5" s="1" t="s">
        <v>71</v>
      </c>
      <c r="B5" s="29" t="n">
        <f aca="false">'Topic Index'!E5</f>
        <v>1900</v>
      </c>
      <c r="C5" s="29" t="n">
        <f aca="false">'Topic Index'!E6</f>
        <v>1000</v>
      </c>
      <c r="D5" s="29" t="n">
        <f aca="false">'Topic Index'!E7</f>
        <v>880</v>
      </c>
      <c r="E5" s="29" t="n">
        <f aca="false">'Topic Index'!E8</f>
        <v>880</v>
      </c>
      <c r="F5" s="29" t="n">
        <f aca="false">'Topic Index'!E9</f>
        <v>720</v>
      </c>
      <c r="G5" s="29" t="n">
        <f aca="false">'Topic Index'!E10</f>
        <v>720</v>
      </c>
      <c r="H5" s="29" t="n">
        <f aca="false">'Topic Index'!E11</f>
        <v>590</v>
      </c>
      <c r="I5" s="29" t="n">
        <f aca="false">'Topic Index'!E12</f>
        <v>320</v>
      </c>
      <c r="J5" s="29" t="n">
        <f aca="false">'Topic Index'!E13</f>
        <v>210</v>
      </c>
      <c r="K5" s="29" t="n">
        <f aca="false">'Topic Index'!E14</f>
        <v>480</v>
      </c>
      <c r="L5" s="29" t="n">
        <f aca="false">'Topic Index'!E15</f>
        <v>480</v>
      </c>
      <c r="M5" s="29" t="n">
        <f aca="false">'Topic Index'!E16</f>
        <v>480</v>
      </c>
      <c r="N5" s="29" t="n">
        <f aca="false">'Topic Index'!E17</f>
        <v>480</v>
      </c>
      <c r="O5" s="29" t="n">
        <f aca="false">'Topic Index'!E18</f>
        <v>480</v>
      </c>
      <c r="P5" s="29" t="n">
        <f aca="false">'Topic Index'!E19</f>
        <v>480</v>
      </c>
      <c r="Q5" s="29" t="n">
        <f aca="false">'Topic Index'!E20</f>
        <v>390</v>
      </c>
      <c r="R5" s="29" t="n">
        <f aca="false">'Topic Index'!E21</f>
        <v>390</v>
      </c>
      <c r="S5" s="29" t="n">
        <f aca="false">'Topic Index'!E22</f>
        <v>390</v>
      </c>
      <c r="T5" s="29" t="n">
        <f aca="false">'Topic Index'!E23</f>
        <v>390</v>
      </c>
      <c r="U5" s="29" t="n">
        <f aca="false">'Topic Index'!E24</f>
        <v>390</v>
      </c>
      <c r="V5" s="29" t="n">
        <f aca="false">'Topic Index'!E25</f>
        <v>390</v>
      </c>
      <c r="W5" s="29" t="n">
        <f aca="false">'Topic Index'!E26</f>
        <v>320</v>
      </c>
      <c r="X5" s="29" t="n">
        <f aca="false">'Topic Index'!E27</f>
        <v>320</v>
      </c>
      <c r="Y5" s="29" t="n">
        <f aca="false">'Topic Index'!E28</f>
        <v>320</v>
      </c>
      <c r="Z5" s="29" t="n">
        <f aca="false">'Topic Index'!E29</f>
        <v>320</v>
      </c>
      <c r="AA5" s="29" t="n">
        <f aca="false">'Topic Index'!E30</f>
        <v>320</v>
      </c>
      <c r="AB5" s="29" t="n">
        <f aca="false">'Topic Index'!E31</f>
        <v>260</v>
      </c>
      <c r="AC5" s="29" t="n">
        <f aca="false">'Topic Index'!E32</f>
        <v>260</v>
      </c>
      <c r="AD5" s="29" t="n">
        <f aca="false">'Topic Index'!E33</f>
        <v>260</v>
      </c>
      <c r="AE5" s="29" t="n">
        <f aca="false">'Topic Index'!E34</f>
        <v>260</v>
      </c>
      <c r="AF5" s="29" t="n">
        <f aca="false">'Topic Index'!E35</f>
        <v>260</v>
      </c>
      <c r="AG5" s="29" t="n">
        <f aca="false">'Topic Index'!E36</f>
        <v>260</v>
      </c>
      <c r="AH5" s="29" t="n">
        <f aca="false">'Topic Index'!E37</f>
        <v>210</v>
      </c>
      <c r="AI5" s="29" t="n">
        <f aca="false">'Topic Index'!E38</f>
        <v>210</v>
      </c>
      <c r="AJ5" s="29" t="n">
        <f aca="false">'Topic Index'!E39</f>
        <v>210</v>
      </c>
      <c r="AK5" s="29" t="n">
        <f aca="false">'Topic Index'!E40</f>
        <v>210</v>
      </c>
      <c r="AL5" s="29" t="n">
        <f aca="false">'Topic Index'!E41</f>
        <v>210</v>
      </c>
      <c r="AM5" s="29" t="n">
        <f aca="false">'Topic Index'!E42</f>
        <v>170</v>
      </c>
      <c r="AN5" s="29" t="n">
        <f aca="false">'Topic Index'!E43</f>
        <v>170</v>
      </c>
      <c r="AO5" s="29" t="n">
        <f aca="false">'Topic Index'!E44</f>
        <v>170</v>
      </c>
      <c r="AP5" s="29" t="n">
        <f aca="false">'Topic Index'!E45</f>
        <v>170</v>
      </c>
      <c r="AQ5" s="29" t="n">
        <f aca="false">'Topic Index'!E46</f>
        <v>170</v>
      </c>
      <c r="AR5" s="29" t="n">
        <f aca="false">'Topic Index'!E47</f>
        <v>170</v>
      </c>
      <c r="AS5" s="29" t="n">
        <f aca="false">'Topic Index'!E48</f>
        <v>170</v>
      </c>
      <c r="AT5" s="29" t="n">
        <f aca="false">'Topic Index'!E49</f>
        <v>170</v>
      </c>
      <c r="AU5" s="29" t="n">
        <f aca="false">'Topic Index'!E50</f>
        <v>170</v>
      </c>
      <c r="AV5" s="29" t="n">
        <f aca="false">'Topic Index'!E51</f>
        <v>170</v>
      </c>
      <c r="AW5" s="29" t="n">
        <f aca="false">'Topic Index'!E52</f>
        <v>170</v>
      </c>
      <c r="AX5" s="29" t="n">
        <f aca="false">'Topic Index'!E53</f>
        <v>140</v>
      </c>
      <c r="AY5" s="29" t="n">
        <f aca="false">'Topic Index'!E54</f>
        <v>140</v>
      </c>
      <c r="AZ5" s="29" t="n">
        <f aca="false">'Topic Index'!E55</f>
        <v>140</v>
      </c>
      <c r="BA5" s="29" t="n">
        <f aca="false">'Topic Index'!E56</f>
        <v>140</v>
      </c>
      <c r="BB5" s="29" t="n">
        <f aca="false">'Topic Index'!E57</f>
        <v>110</v>
      </c>
      <c r="BC5" s="29" t="n">
        <f aca="false">'Topic Index'!E58</f>
        <v>110</v>
      </c>
    </row>
    <row r="6" customFormat="false" ht="15" hidden="false" customHeight="false" outlineLevel="0" collapsed="false">
      <c r="A6" s="1" t="s">
        <v>72</v>
      </c>
      <c r="B6" s="30" t="s">
        <v>73</v>
      </c>
      <c r="C6" s="30" t="s">
        <v>74</v>
      </c>
      <c r="D6" s="30" t="s">
        <v>75</v>
      </c>
      <c r="E6" s="30" t="s">
        <v>76</v>
      </c>
      <c r="F6" s="30" t="s">
        <v>77</v>
      </c>
      <c r="G6" s="30" t="s">
        <v>78</v>
      </c>
      <c r="H6" s="30" t="s">
        <v>79</v>
      </c>
      <c r="I6" s="30" t="s">
        <v>80</v>
      </c>
      <c r="J6" s="30" t="s">
        <v>81</v>
      </c>
      <c r="K6" s="30" t="s">
        <v>82</v>
      </c>
      <c r="L6" s="30" t="s">
        <v>83</v>
      </c>
      <c r="M6" s="30" t="s">
        <v>84</v>
      </c>
      <c r="N6" s="30" t="s">
        <v>85</v>
      </c>
      <c r="O6" s="30" t="s">
        <v>86</v>
      </c>
      <c r="P6" s="30" t="s">
        <v>87</v>
      </c>
      <c r="Q6" s="30" t="s">
        <v>88</v>
      </c>
      <c r="R6" s="30" t="s">
        <v>89</v>
      </c>
      <c r="S6" s="30" t="s">
        <v>90</v>
      </c>
      <c r="T6" s="30" t="s">
        <v>91</v>
      </c>
      <c r="U6" s="30" t="s">
        <v>92</v>
      </c>
      <c r="V6" s="30" t="s">
        <v>93</v>
      </c>
      <c r="W6" s="30" t="s">
        <v>94</v>
      </c>
      <c r="X6" s="30" t="s">
        <v>95</v>
      </c>
      <c r="Y6" s="30" t="s">
        <v>96</v>
      </c>
      <c r="Z6" s="30" t="s">
        <v>97</v>
      </c>
      <c r="AA6" s="30" t="s">
        <v>98</v>
      </c>
      <c r="AB6" s="30" t="s">
        <v>99</v>
      </c>
      <c r="AC6" s="30" t="s">
        <v>100</v>
      </c>
      <c r="AD6" s="30" t="s">
        <v>101</v>
      </c>
      <c r="AE6" s="30" t="s">
        <v>102</v>
      </c>
      <c r="AF6" s="30" t="s">
        <v>103</v>
      </c>
      <c r="AG6" s="30" t="s">
        <v>104</v>
      </c>
      <c r="AH6" s="30" t="s">
        <v>105</v>
      </c>
      <c r="AI6" s="30" t="s">
        <v>106</v>
      </c>
      <c r="AJ6" s="30" t="s">
        <v>107</v>
      </c>
      <c r="AK6" s="30" t="s">
        <v>108</v>
      </c>
      <c r="AL6" s="30" t="s">
        <v>109</v>
      </c>
      <c r="AM6" s="30" t="s">
        <v>110</v>
      </c>
      <c r="AN6" s="30" t="s">
        <v>111</v>
      </c>
      <c r="AO6" s="30" t="s">
        <v>112</v>
      </c>
      <c r="AP6" s="30" t="s">
        <v>113</v>
      </c>
      <c r="AQ6" s="30" t="s">
        <v>114</v>
      </c>
      <c r="AR6" s="30" t="s">
        <v>115</v>
      </c>
      <c r="AS6" s="30" t="s">
        <v>116</v>
      </c>
      <c r="AT6" s="30" t="s">
        <v>117</v>
      </c>
      <c r="AU6" s="30" t="s">
        <v>118</v>
      </c>
      <c r="AV6" s="30" t="s">
        <v>119</v>
      </c>
      <c r="AW6" s="30" t="s">
        <v>120</v>
      </c>
      <c r="AX6" s="30" t="s">
        <v>121</v>
      </c>
      <c r="AY6" s="30" t="s">
        <v>122</v>
      </c>
      <c r="AZ6" s="30" t="s">
        <v>123</v>
      </c>
      <c r="BA6" s="30" t="s">
        <v>124</v>
      </c>
      <c r="BB6" s="30" t="s">
        <v>125</v>
      </c>
      <c r="BC6" s="30" t="s">
        <v>126</v>
      </c>
    </row>
    <row r="7" customFormat="false" ht="30" hidden="false" customHeight="true" outlineLevel="0" collapsed="false">
      <c r="A7" s="1" t="s">
        <v>127</v>
      </c>
      <c r="B7" s="31" t="s">
        <v>128</v>
      </c>
      <c r="C7" s="31" t="s">
        <v>129</v>
      </c>
      <c r="D7" s="31" t="s">
        <v>130</v>
      </c>
      <c r="E7" s="31" t="s">
        <v>131</v>
      </c>
      <c r="F7" s="31" t="s">
        <v>132</v>
      </c>
      <c r="G7" s="31" t="s">
        <v>133</v>
      </c>
      <c r="H7" s="31" t="s">
        <v>134</v>
      </c>
      <c r="I7" s="31" t="s">
        <v>135</v>
      </c>
      <c r="J7" s="31" t="s">
        <v>136</v>
      </c>
      <c r="K7" s="31" t="s">
        <v>137</v>
      </c>
      <c r="L7" s="31" t="s">
        <v>138</v>
      </c>
      <c r="M7" s="31" t="s">
        <v>139</v>
      </c>
      <c r="N7" s="31" t="s">
        <v>140</v>
      </c>
      <c r="O7" s="31" t="s">
        <v>141</v>
      </c>
      <c r="P7" s="31" t="s">
        <v>142</v>
      </c>
      <c r="Q7" s="31" t="s">
        <v>143</v>
      </c>
      <c r="R7" s="31" t="s">
        <v>144</v>
      </c>
      <c r="S7" s="31" t="s">
        <v>145</v>
      </c>
      <c r="T7" s="31" t="s">
        <v>146</v>
      </c>
      <c r="U7" s="31" t="s">
        <v>147</v>
      </c>
      <c r="V7" s="31" t="s">
        <v>148</v>
      </c>
      <c r="W7" s="31" t="s">
        <v>149</v>
      </c>
      <c r="X7" s="31" t="s">
        <v>150</v>
      </c>
      <c r="Y7" s="31" t="s">
        <v>151</v>
      </c>
      <c r="Z7" s="31" t="s">
        <v>152</v>
      </c>
      <c r="AA7" s="31" t="s">
        <v>153</v>
      </c>
      <c r="AB7" s="31" t="s">
        <v>154</v>
      </c>
      <c r="AC7" s="31" t="s">
        <v>155</v>
      </c>
      <c r="AD7" s="31" t="s">
        <v>156</v>
      </c>
      <c r="AE7" s="31" t="s">
        <v>157</v>
      </c>
      <c r="AF7" s="31" t="s">
        <v>158</v>
      </c>
      <c r="AG7" s="31" t="s">
        <v>46</v>
      </c>
      <c r="AH7" s="31" t="s">
        <v>159</v>
      </c>
      <c r="AI7" s="31" t="s">
        <v>160</v>
      </c>
      <c r="AJ7" s="31" t="s">
        <v>161</v>
      </c>
      <c r="AK7" s="31" t="s">
        <v>162</v>
      </c>
      <c r="AL7" s="31" t="s">
        <v>163</v>
      </c>
      <c r="AM7" s="31" t="s">
        <v>164</v>
      </c>
      <c r="AN7" s="31" t="s">
        <v>165</v>
      </c>
      <c r="AO7" s="31" t="s">
        <v>166</v>
      </c>
      <c r="AP7" s="31" t="s">
        <v>55</v>
      </c>
      <c r="AQ7" s="31" t="s">
        <v>167</v>
      </c>
      <c r="AR7" s="31" t="s">
        <v>168</v>
      </c>
      <c r="AS7" s="31" t="s">
        <v>169</v>
      </c>
      <c r="AT7" s="31" t="s">
        <v>170</v>
      </c>
      <c r="AU7" s="31" t="s">
        <v>171</v>
      </c>
      <c r="AV7" s="31" t="s">
        <v>172</v>
      </c>
      <c r="AW7" s="31" t="s">
        <v>173</v>
      </c>
      <c r="AX7" s="31" t="s">
        <v>174</v>
      </c>
      <c r="AY7" s="31" t="s">
        <v>175</v>
      </c>
      <c r="AZ7" s="31" t="s">
        <v>65</v>
      </c>
      <c r="BA7" s="31" t="s">
        <v>176</v>
      </c>
      <c r="BB7" s="31" t="s">
        <v>177</v>
      </c>
      <c r="BC7" s="31" t="s">
        <v>178</v>
      </c>
    </row>
    <row r="8" customFormat="false" ht="15" hidden="false" customHeight="false" outlineLevel="0" collapsed="false">
      <c r="A8" s="1" t="s">
        <v>179</v>
      </c>
      <c r="B8" s="32" t="n">
        <f aca="false">LEN(B7)</f>
        <v>57</v>
      </c>
      <c r="C8" s="32" t="n">
        <f aca="false">LEN(C7)</f>
        <v>51</v>
      </c>
      <c r="D8" s="32" t="n">
        <f aca="false">LEN(D7)</f>
        <v>54</v>
      </c>
      <c r="E8" s="32" t="n">
        <f aca="false">LEN(E7)</f>
        <v>57</v>
      </c>
      <c r="F8" s="32" t="n">
        <f aca="false">LEN(F7)</f>
        <v>52</v>
      </c>
      <c r="G8" s="32" t="n">
        <f aca="false">LEN(G7)</f>
        <v>53</v>
      </c>
      <c r="H8" s="32" t="n">
        <f aca="false">LEN(H7)</f>
        <v>57</v>
      </c>
      <c r="I8" s="32" t="n">
        <f aca="false">LEN(I7)</f>
        <v>48</v>
      </c>
      <c r="J8" s="32" t="n">
        <f aca="false">LEN(J7)</f>
        <v>53</v>
      </c>
      <c r="K8" s="32" t="n">
        <f aca="false">LEN(K7)</f>
        <v>52</v>
      </c>
      <c r="L8" s="32" t="n">
        <f aca="false">LEN(L7)</f>
        <v>54</v>
      </c>
      <c r="M8" s="32" t="n">
        <f aca="false">LEN(M7)</f>
        <v>53</v>
      </c>
      <c r="N8" s="32" t="n">
        <f aca="false">LEN(N7)</f>
        <v>53</v>
      </c>
      <c r="O8" s="32" t="n">
        <f aca="false">LEN(O7)</f>
        <v>47</v>
      </c>
      <c r="P8" s="32" t="n">
        <f aca="false">LEN(P7)</f>
        <v>51</v>
      </c>
      <c r="Q8" s="32" t="n">
        <f aca="false">LEN(Q7)</f>
        <v>55</v>
      </c>
      <c r="R8" s="32" t="n">
        <f aca="false">LEN(R7)</f>
        <v>47</v>
      </c>
      <c r="S8" s="32" t="n">
        <f aca="false">LEN(S7)</f>
        <v>56</v>
      </c>
      <c r="T8" s="32" t="n">
        <f aca="false">LEN(T7)</f>
        <v>51</v>
      </c>
      <c r="U8" s="32" t="n">
        <f aca="false">LEN(U7)</f>
        <v>46</v>
      </c>
      <c r="V8" s="32" t="n">
        <f aca="false">LEN(V7)</f>
        <v>48</v>
      </c>
      <c r="W8" s="32" t="n">
        <f aca="false">LEN(W7)</f>
        <v>51</v>
      </c>
      <c r="X8" s="32" t="n">
        <f aca="false">LEN(X7)</f>
        <v>54</v>
      </c>
      <c r="Y8" s="32" t="n">
        <f aca="false">LEN(Y7)</f>
        <v>55</v>
      </c>
      <c r="Z8" s="32" t="n">
        <f aca="false">LEN(Z7)</f>
        <v>52</v>
      </c>
      <c r="AA8" s="32" t="n">
        <f aca="false">LEN(AA7)</f>
        <v>49</v>
      </c>
      <c r="AB8" s="32" t="n">
        <f aca="false">LEN(AB7)</f>
        <v>56</v>
      </c>
      <c r="AC8" s="32" t="n">
        <f aca="false">LEN(AC7)</f>
        <v>55</v>
      </c>
      <c r="AD8" s="32" t="n">
        <f aca="false">LEN(AD7)</f>
        <v>59</v>
      </c>
      <c r="AE8" s="32" t="n">
        <f aca="false">LEN(AE7)</f>
        <v>53</v>
      </c>
      <c r="AF8" s="32" t="n">
        <f aca="false">LEN(AF7)</f>
        <v>53</v>
      </c>
      <c r="AG8" s="32" t="n">
        <f aca="false">LEN(AG7)</f>
        <v>49</v>
      </c>
      <c r="AH8" s="32" t="n">
        <f aca="false">LEN(AH7)</f>
        <v>54</v>
      </c>
      <c r="AI8" s="32" t="n">
        <f aca="false">LEN(AI7)</f>
        <v>54</v>
      </c>
      <c r="AJ8" s="32" t="n">
        <f aca="false">LEN(AJ7)</f>
        <v>57</v>
      </c>
      <c r="AK8" s="32" t="n">
        <f aca="false">LEN(AK7)</f>
        <v>54</v>
      </c>
      <c r="AL8" s="32" t="n">
        <f aca="false">LEN(AL7)</f>
        <v>55</v>
      </c>
      <c r="AM8" s="32" t="n">
        <f aca="false">LEN(AM7)</f>
        <v>52</v>
      </c>
      <c r="AN8" s="32" t="n">
        <f aca="false">LEN(AN7)</f>
        <v>48</v>
      </c>
      <c r="AO8" s="32" t="n">
        <f aca="false">LEN(AO7)</f>
        <v>54</v>
      </c>
      <c r="AP8" s="32" t="n">
        <f aca="false">LEN(AP7)</f>
        <v>46</v>
      </c>
      <c r="AQ8" s="32" t="n">
        <f aca="false">LEN(AQ7)</f>
        <v>52</v>
      </c>
      <c r="AR8" s="32" t="n">
        <f aca="false">LEN(AR7)</f>
        <v>49</v>
      </c>
      <c r="AS8" s="32" t="n">
        <f aca="false">LEN(AS7)</f>
        <v>56</v>
      </c>
      <c r="AT8" s="32" t="n">
        <f aca="false">LEN(AT7)</f>
        <v>49</v>
      </c>
      <c r="AU8" s="32" t="n">
        <f aca="false">LEN(AU7)</f>
        <v>55</v>
      </c>
      <c r="AV8" s="32" t="n">
        <f aca="false">LEN(AV7)</f>
        <v>51</v>
      </c>
      <c r="AW8" s="32" t="n">
        <f aca="false">LEN(AW7)</f>
        <v>54</v>
      </c>
      <c r="AX8" s="32" t="n">
        <f aca="false">LEN(AX7)</f>
        <v>47</v>
      </c>
      <c r="AY8" s="32" t="n">
        <f aca="false">LEN(AY7)</f>
        <v>52</v>
      </c>
      <c r="AZ8" s="32" t="n">
        <f aca="false">LEN(AZ7)</f>
        <v>60</v>
      </c>
      <c r="BA8" s="32" t="n">
        <f aca="false">LEN(BA7)</f>
        <v>50</v>
      </c>
      <c r="BB8" s="32" t="n">
        <f aca="false">LEN(BB7)</f>
        <v>50</v>
      </c>
      <c r="BC8" s="32" t="n">
        <f aca="false">LEN(BC7)</f>
        <v>49</v>
      </c>
    </row>
    <row r="9" customFormat="false" ht="61.5" hidden="false" customHeight="true" outlineLevel="0" collapsed="false">
      <c r="A9" s="1" t="s">
        <v>180</v>
      </c>
      <c r="B9" s="33" t="s">
        <v>181</v>
      </c>
      <c r="C9" s="33" t="s">
        <v>182</v>
      </c>
      <c r="D9" s="33" t="s">
        <v>183</v>
      </c>
      <c r="E9" s="33" t="s">
        <v>184</v>
      </c>
      <c r="F9" s="33" t="s">
        <v>185</v>
      </c>
      <c r="G9" s="33" t="s">
        <v>186</v>
      </c>
      <c r="H9" s="33" t="s">
        <v>187</v>
      </c>
      <c r="I9" s="33" t="s">
        <v>188</v>
      </c>
      <c r="J9" s="33" t="s">
        <v>189</v>
      </c>
      <c r="K9" s="33" t="s">
        <v>190</v>
      </c>
      <c r="L9" s="33" t="s">
        <v>191</v>
      </c>
      <c r="M9" s="33" t="s">
        <v>192</v>
      </c>
      <c r="N9" s="33" t="s">
        <v>193</v>
      </c>
      <c r="O9" s="33" t="s">
        <v>194</v>
      </c>
      <c r="P9" s="33" t="s">
        <v>195</v>
      </c>
      <c r="Q9" s="33" t="s">
        <v>196</v>
      </c>
      <c r="R9" s="33" t="s">
        <v>197</v>
      </c>
      <c r="S9" s="33" t="s">
        <v>198</v>
      </c>
      <c r="T9" s="33" t="s">
        <v>199</v>
      </c>
      <c r="U9" s="33" t="s">
        <v>200</v>
      </c>
      <c r="V9" s="33" t="s">
        <v>201</v>
      </c>
      <c r="W9" s="33" t="s">
        <v>202</v>
      </c>
      <c r="X9" s="33" t="s">
        <v>203</v>
      </c>
      <c r="Y9" s="33" t="s">
        <v>204</v>
      </c>
      <c r="Z9" s="33" t="s">
        <v>205</v>
      </c>
      <c r="AA9" s="33" t="s">
        <v>206</v>
      </c>
      <c r="AB9" s="33" t="s">
        <v>207</v>
      </c>
      <c r="AC9" s="33" t="s">
        <v>208</v>
      </c>
      <c r="AD9" s="33" t="s">
        <v>209</v>
      </c>
      <c r="AE9" s="33" t="s">
        <v>210</v>
      </c>
      <c r="AF9" s="33" t="s">
        <v>211</v>
      </c>
      <c r="AG9" s="33" t="s">
        <v>212</v>
      </c>
      <c r="AH9" s="33" t="s">
        <v>213</v>
      </c>
      <c r="AI9" s="33" t="s">
        <v>214</v>
      </c>
      <c r="AJ9" s="33" t="s">
        <v>215</v>
      </c>
      <c r="AK9" s="33" t="s">
        <v>216</v>
      </c>
      <c r="AL9" s="33" t="s">
        <v>217</v>
      </c>
      <c r="AM9" s="33" t="s">
        <v>218</v>
      </c>
      <c r="AN9" s="33" t="s">
        <v>219</v>
      </c>
      <c r="AO9" s="33" t="s">
        <v>220</v>
      </c>
      <c r="AP9" s="33" t="s">
        <v>221</v>
      </c>
      <c r="AQ9" s="33" t="s">
        <v>222</v>
      </c>
      <c r="AR9" s="33" t="s">
        <v>223</v>
      </c>
      <c r="AS9" s="33" t="s">
        <v>224</v>
      </c>
      <c r="AT9" s="33" t="s">
        <v>225</v>
      </c>
      <c r="AU9" s="33" t="s">
        <v>226</v>
      </c>
      <c r="AV9" s="33" t="s">
        <v>227</v>
      </c>
      <c r="AW9" s="33" t="s">
        <v>228</v>
      </c>
      <c r="AX9" s="33" t="s">
        <v>229</v>
      </c>
      <c r="AY9" s="33" t="s">
        <v>230</v>
      </c>
      <c r="AZ9" s="33" t="s">
        <v>231</v>
      </c>
      <c r="BA9" s="33" t="s">
        <v>232</v>
      </c>
      <c r="BB9" s="33" t="s">
        <v>233</v>
      </c>
      <c r="BC9" s="33" t="s">
        <v>234</v>
      </c>
    </row>
    <row r="10" customFormat="false" ht="15" hidden="false" customHeight="false" outlineLevel="0" collapsed="false">
      <c r="A10" s="1" t="s">
        <v>235</v>
      </c>
      <c r="B10" s="32" t="n">
        <f aca="false">LEN(B9)</f>
        <v>152</v>
      </c>
      <c r="C10" s="32" t="n">
        <f aca="false">LEN(C9)</f>
        <v>153</v>
      </c>
      <c r="D10" s="32" t="n">
        <f aca="false">LEN(D9)</f>
        <v>157</v>
      </c>
      <c r="E10" s="32" t="n">
        <f aca="false">LEN(E9)</f>
        <v>150</v>
      </c>
      <c r="F10" s="32" t="n">
        <f aca="false">LEN(F9)</f>
        <v>151</v>
      </c>
      <c r="G10" s="32" t="n">
        <f aca="false">LEN(G9)</f>
        <v>153</v>
      </c>
      <c r="H10" s="32" t="n">
        <f aca="false">LEN(H9)</f>
        <v>156</v>
      </c>
      <c r="I10" s="32" t="n">
        <f aca="false">LEN(I9)</f>
        <v>157</v>
      </c>
      <c r="J10" s="32" t="n">
        <f aca="false">LEN(J9)</f>
        <v>146</v>
      </c>
      <c r="K10" s="32" t="n">
        <f aca="false">LEN(K9)</f>
        <v>149</v>
      </c>
      <c r="L10" s="32" t="n">
        <f aca="false">LEN(L9)</f>
        <v>149</v>
      </c>
      <c r="M10" s="32" t="n">
        <f aca="false">LEN(M9)</f>
        <v>153</v>
      </c>
      <c r="N10" s="32" t="n">
        <f aca="false">LEN(N9)</f>
        <v>151</v>
      </c>
      <c r="O10" s="32" t="n">
        <f aca="false">LEN(O9)</f>
        <v>160</v>
      </c>
      <c r="P10" s="32" t="n">
        <f aca="false">LEN(P9)</f>
        <v>158</v>
      </c>
      <c r="Q10" s="32" t="n">
        <f aca="false">LEN(Q9)</f>
        <v>155</v>
      </c>
      <c r="R10" s="32" t="n">
        <f aca="false">LEN(R9)</f>
        <v>159</v>
      </c>
      <c r="S10" s="32" t="n">
        <f aca="false">LEN(S9)</f>
        <v>159</v>
      </c>
      <c r="T10" s="32" t="n">
        <f aca="false">LEN(T9)</f>
        <v>158</v>
      </c>
      <c r="U10" s="32" t="n">
        <f aca="false">LEN(U9)</f>
        <v>155</v>
      </c>
      <c r="V10" s="32" t="n">
        <f aca="false">LEN(V9)</f>
        <v>159</v>
      </c>
      <c r="W10" s="32" t="n">
        <f aca="false">LEN(W9)</f>
        <v>146</v>
      </c>
      <c r="X10" s="32" t="n">
        <f aca="false">LEN(X9)</f>
        <v>158</v>
      </c>
      <c r="Y10" s="32" t="n">
        <f aca="false">LEN(Y9)</f>
        <v>151</v>
      </c>
      <c r="Z10" s="32" t="n">
        <f aca="false">LEN(Z9)</f>
        <v>159</v>
      </c>
      <c r="AA10" s="32" t="n">
        <f aca="false">LEN(AA9)</f>
        <v>157</v>
      </c>
      <c r="AB10" s="32" t="n">
        <f aca="false">LEN(AB9)</f>
        <v>155</v>
      </c>
      <c r="AC10" s="32" t="n">
        <f aca="false">LEN(AC9)</f>
        <v>153</v>
      </c>
      <c r="AD10" s="32" t="n">
        <f aca="false">LEN(AD9)</f>
        <v>151</v>
      </c>
      <c r="AE10" s="32" t="n">
        <f aca="false">LEN(AE9)</f>
        <v>152</v>
      </c>
      <c r="AF10" s="32" t="n">
        <f aca="false">LEN(AF9)</f>
        <v>154</v>
      </c>
      <c r="AG10" s="32" t="n">
        <f aca="false">LEN(AG9)</f>
        <v>152</v>
      </c>
      <c r="AH10" s="32" t="n">
        <f aca="false">LEN(AH9)</f>
        <v>153</v>
      </c>
      <c r="AI10" s="32" t="n">
        <f aca="false">LEN(AI9)</f>
        <v>148</v>
      </c>
      <c r="AJ10" s="32" t="n">
        <f aca="false">LEN(AJ9)</f>
        <v>155</v>
      </c>
      <c r="AK10" s="32" t="n">
        <f aca="false">LEN(AK9)</f>
        <v>153</v>
      </c>
      <c r="AL10" s="32" t="n">
        <f aca="false">LEN(AL9)</f>
        <v>153</v>
      </c>
      <c r="AM10" s="32" t="n">
        <f aca="false">LEN(AM9)</f>
        <v>160</v>
      </c>
      <c r="AN10" s="32" t="n">
        <f aca="false">LEN(AN9)</f>
        <v>148</v>
      </c>
      <c r="AO10" s="32" t="n">
        <f aca="false">LEN(AO9)</f>
        <v>148</v>
      </c>
      <c r="AP10" s="32" t="n">
        <f aca="false">LEN(AP9)</f>
        <v>155</v>
      </c>
      <c r="AQ10" s="32" t="n">
        <f aca="false">LEN(AQ9)</f>
        <v>156</v>
      </c>
      <c r="AR10" s="32" t="n">
        <f aca="false">LEN(AR9)</f>
        <v>145</v>
      </c>
      <c r="AS10" s="32" t="n">
        <f aca="false">LEN(AS9)</f>
        <v>157</v>
      </c>
      <c r="AT10" s="32" t="n">
        <f aca="false">LEN(AT9)</f>
        <v>149</v>
      </c>
      <c r="AU10" s="32" t="n">
        <f aca="false">LEN(AU9)</f>
        <v>152</v>
      </c>
      <c r="AV10" s="32" t="n">
        <f aca="false">LEN(AV9)</f>
        <v>159</v>
      </c>
      <c r="AW10" s="32" t="n">
        <f aca="false">LEN(AW9)</f>
        <v>156</v>
      </c>
      <c r="AX10" s="32" t="n">
        <f aca="false">LEN(AX9)</f>
        <v>148</v>
      </c>
      <c r="AY10" s="32" t="n">
        <f aca="false">LEN(AY9)</f>
        <v>150</v>
      </c>
      <c r="AZ10" s="32" t="n">
        <f aca="false">LEN(AZ9)</f>
        <v>159</v>
      </c>
      <c r="BA10" s="32" t="n">
        <f aca="false">LEN(BA9)</f>
        <v>154</v>
      </c>
      <c r="BB10" s="32" t="n">
        <f aca="false">LEN(BB9)</f>
        <v>156</v>
      </c>
      <c r="BC10" s="32" t="n">
        <f aca="false">LEN(BC9)</f>
        <v>155</v>
      </c>
    </row>
    <row r="11" customFormat="false" ht="27.75" hidden="false" customHeight="true" outlineLevel="0" collapsed="false">
      <c r="A11" s="1" t="s">
        <v>236</v>
      </c>
      <c r="B11" s="33" t="s">
        <v>237</v>
      </c>
      <c r="C11" s="33" t="s">
        <v>238</v>
      </c>
      <c r="D11" s="33" t="s">
        <v>239</v>
      </c>
      <c r="E11" s="33" t="s">
        <v>240</v>
      </c>
      <c r="F11" s="33" t="s">
        <v>241</v>
      </c>
      <c r="G11" s="33" t="s">
        <v>242</v>
      </c>
      <c r="H11" s="33" t="s">
        <v>243</v>
      </c>
      <c r="I11" s="33" t="s">
        <v>244</v>
      </c>
      <c r="J11" s="33" t="s">
        <v>245</v>
      </c>
      <c r="K11" s="33" t="s">
        <v>246</v>
      </c>
      <c r="L11" s="33" t="s">
        <v>247</v>
      </c>
      <c r="M11" s="33" t="s">
        <v>248</v>
      </c>
      <c r="N11" s="33" t="s">
        <v>249</v>
      </c>
      <c r="O11" s="33" t="s">
        <v>250</v>
      </c>
      <c r="P11" s="33" t="s">
        <v>251</v>
      </c>
      <c r="Q11" s="33" t="s">
        <v>252</v>
      </c>
      <c r="R11" s="33" t="s">
        <v>253</v>
      </c>
      <c r="S11" s="33" t="s">
        <v>254</v>
      </c>
      <c r="T11" s="33" t="s">
        <v>255</v>
      </c>
      <c r="U11" s="33" t="s">
        <v>256</v>
      </c>
      <c r="V11" s="33" t="s">
        <v>257</v>
      </c>
      <c r="W11" s="33" t="s">
        <v>258</v>
      </c>
      <c r="X11" s="33" t="s">
        <v>259</v>
      </c>
      <c r="Y11" s="33" t="s">
        <v>260</v>
      </c>
      <c r="Z11" s="33" t="s">
        <v>261</v>
      </c>
      <c r="AA11" s="33" t="s">
        <v>262</v>
      </c>
      <c r="AB11" s="33" t="s">
        <v>263</v>
      </c>
      <c r="AC11" s="33" t="s">
        <v>264</v>
      </c>
      <c r="AD11" s="33" t="s">
        <v>265</v>
      </c>
      <c r="AE11" s="33" t="s">
        <v>266</v>
      </c>
      <c r="AF11" s="33" t="s">
        <v>267</v>
      </c>
      <c r="AG11" s="33" t="s">
        <v>268</v>
      </c>
      <c r="AH11" s="33" t="s">
        <v>269</v>
      </c>
      <c r="AI11" s="33" t="s">
        <v>270</v>
      </c>
      <c r="AJ11" s="33" t="s">
        <v>271</v>
      </c>
      <c r="AK11" s="33" t="s">
        <v>272</v>
      </c>
      <c r="AL11" s="33" t="s">
        <v>273</v>
      </c>
      <c r="AM11" s="33" t="s">
        <v>274</v>
      </c>
      <c r="AN11" s="33" t="s">
        <v>275</v>
      </c>
      <c r="AO11" s="33" t="s">
        <v>276</v>
      </c>
      <c r="AP11" s="33" t="s">
        <v>277</v>
      </c>
      <c r="AQ11" s="33" t="s">
        <v>278</v>
      </c>
      <c r="AR11" s="33" t="s">
        <v>279</v>
      </c>
      <c r="AS11" s="33" t="s">
        <v>280</v>
      </c>
      <c r="AT11" s="33" t="s">
        <v>281</v>
      </c>
      <c r="AU11" s="33" t="s">
        <v>282</v>
      </c>
      <c r="AV11" s="33" t="s">
        <v>283</v>
      </c>
      <c r="AW11" s="33" t="s">
        <v>284</v>
      </c>
      <c r="AX11" s="33" t="s">
        <v>285</v>
      </c>
      <c r="AY11" s="33" t="s">
        <v>286</v>
      </c>
      <c r="AZ11" s="33" t="s">
        <v>287</v>
      </c>
      <c r="BA11" s="33" t="s">
        <v>288</v>
      </c>
      <c r="BB11" s="33" t="s">
        <v>289</v>
      </c>
      <c r="BC11" s="33" t="s">
        <v>290</v>
      </c>
    </row>
    <row r="12" customFormat="false" ht="51.75" hidden="false" customHeight="true" outlineLevel="0" collapsed="false">
      <c r="A12" s="1" t="s">
        <v>291</v>
      </c>
      <c r="B12" s="33" t="s">
        <v>292</v>
      </c>
      <c r="C12" s="33" t="s">
        <v>293</v>
      </c>
      <c r="D12" s="33" t="s">
        <v>294</v>
      </c>
      <c r="E12" s="33" t="s">
        <v>295</v>
      </c>
      <c r="F12" s="33" t="s">
        <v>296</v>
      </c>
      <c r="G12" s="33" t="s">
        <v>297</v>
      </c>
      <c r="H12" s="33" t="s">
        <v>298</v>
      </c>
      <c r="I12" s="33" t="s">
        <v>299</v>
      </c>
      <c r="J12" s="33" t="s">
        <v>300</v>
      </c>
      <c r="K12" s="33" t="s">
        <v>301</v>
      </c>
      <c r="L12" s="33" t="s">
        <v>302</v>
      </c>
      <c r="M12" s="33" t="s">
        <v>303</v>
      </c>
      <c r="N12" s="33" t="s">
        <v>304</v>
      </c>
      <c r="O12" s="33" t="s">
        <v>305</v>
      </c>
      <c r="P12" s="33" t="s">
        <v>306</v>
      </c>
      <c r="Q12" s="33" t="s">
        <v>307</v>
      </c>
      <c r="R12" s="33" t="s">
        <v>308</v>
      </c>
      <c r="S12" s="33" t="s">
        <v>309</v>
      </c>
      <c r="T12" s="33" t="s">
        <v>310</v>
      </c>
      <c r="U12" s="33" t="s">
        <v>311</v>
      </c>
      <c r="V12" s="33" t="s">
        <v>312</v>
      </c>
      <c r="W12" s="33" t="s">
        <v>313</v>
      </c>
      <c r="X12" s="33" t="s">
        <v>314</v>
      </c>
      <c r="Y12" s="33" t="s">
        <v>315</v>
      </c>
      <c r="Z12" s="33" t="s">
        <v>316</v>
      </c>
      <c r="AA12" s="33" t="s">
        <v>317</v>
      </c>
      <c r="AB12" s="33" t="s">
        <v>318</v>
      </c>
      <c r="AC12" s="33" t="s">
        <v>319</v>
      </c>
      <c r="AD12" s="33" t="s">
        <v>320</v>
      </c>
      <c r="AE12" s="33" t="s">
        <v>321</v>
      </c>
      <c r="AF12" s="33" t="s">
        <v>322</v>
      </c>
      <c r="AG12" s="33" t="s">
        <v>323</v>
      </c>
      <c r="AH12" s="33" t="s">
        <v>324</v>
      </c>
      <c r="AI12" s="33" t="s">
        <v>325</v>
      </c>
      <c r="AJ12" s="33" t="s">
        <v>326</v>
      </c>
      <c r="AK12" s="33" t="s">
        <v>327</v>
      </c>
      <c r="AL12" s="33" t="s">
        <v>328</v>
      </c>
      <c r="AM12" s="33" t="s">
        <v>329</v>
      </c>
      <c r="AN12" s="33" t="s">
        <v>330</v>
      </c>
      <c r="AO12" s="33" t="s">
        <v>331</v>
      </c>
      <c r="AP12" s="33" t="s">
        <v>332</v>
      </c>
      <c r="AQ12" s="33" t="s">
        <v>333</v>
      </c>
      <c r="AR12" s="33" t="s">
        <v>334</v>
      </c>
      <c r="AS12" s="33" t="s">
        <v>335</v>
      </c>
      <c r="AT12" s="33" t="s">
        <v>336</v>
      </c>
      <c r="AU12" s="33" t="s">
        <v>337</v>
      </c>
      <c r="AV12" s="33" t="s">
        <v>338</v>
      </c>
      <c r="AW12" s="33" t="s">
        <v>339</v>
      </c>
      <c r="AX12" s="33" t="s">
        <v>340</v>
      </c>
      <c r="AY12" s="33" t="s">
        <v>341</v>
      </c>
      <c r="AZ12" s="33" t="s">
        <v>342</v>
      </c>
      <c r="BA12" s="33" t="s">
        <v>343</v>
      </c>
      <c r="BB12" s="33" t="s">
        <v>344</v>
      </c>
      <c r="BC12" s="33" t="s">
        <v>345</v>
      </c>
    </row>
    <row r="13" customFormat="false" ht="91.5" hidden="false" customHeight="true" outlineLevel="0" collapsed="false">
      <c r="A13" s="1" t="s">
        <v>346</v>
      </c>
      <c r="B13" s="33" t="s">
        <v>347</v>
      </c>
      <c r="C13" s="33" t="s">
        <v>348</v>
      </c>
      <c r="D13" s="33" t="s">
        <v>349</v>
      </c>
      <c r="E13" s="33" t="s">
        <v>350</v>
      </c>
      <c r="F13" s="33" t="s">
        <v>351</v>
      </c>
      <c r="G13" s="33" t="s">
        <v>352</v>
      </c>
      <c r="H13" s="33" t="s">
        <v>353</v>
      </c>
      <c r="I13" s="33" t="s">
        <v>354</v>
      </c>
      <c r="J13" s="33" t="s">
        <v>355</v>
      </c>
      <c r="K13" s="33" t="s">
        <v>356</v>
      </c>
      <c r="L13" s="33" t="s">
        <v>357</v>
      </c>
      <c r="M13" s="33" t="s">
        <v>358</v>
      </c>
      <c r="N13" s="33" t="s">
        <v>359</v>
      </c>
      <c r="O13" s="33" t="s">
        <v>360</v>
      </c>
      <c r="P13" s="33" t="s">
        <v>361</v>
      </c>
      <c r="Q13" s="33" t="s">
        <v>362</v>
      </c>
      <c r="R13" s="33" t="s">
        <v>363</v>
      </c>
      <c r="S13" s="33" t="s">
        <v>364</v>
      </c>
      <c r="T13" s="33" t="s">
        <v>365</v>
      </c>
      <c r="U13" s="33" t="s">
        <v>366</v>
      </c>
      <c r="V13" s="33" t="s">
        <v>367</v>
      </c>
      <c r="W13" s="33" t="s">
        <v>368</v>
      </c>
      <c r="X13" s="33" t="s">
        <v>369</v>
      </c>
      <c r="Y13" s="33" t="s">
        <v>370</v>
      </c>
      <c r="Z13" s="33" t="s">
        <v>371</v>
      </c>
      <c r="AA13" s="33" t="s">
        <v>372</v>
      </c>
      <c r="AB13" s="33" t="s">
        <v>373</v>
      </c>
      <c r="AC13" s="33" t="s">
        <v>374</v>
      </c>
      <c r="AD13" s="33" t="s">
        <v>375</v>
      </c>
      <c r="AE13" s="33" t="s">
        <v>376</v>
      </c>
      <c r="AF13" s="33" t="s">
        <v>377</v>
      </c>
      <c r="AG13" s="33" t="s">
        <v>378</v>
      </c>
      <c r="AH13" s="33" t="s">
        <v>379</v>
      </c>
      <c r="AI13" s="33" t="s">
        <v>380</v>
      </c>
      <c r="AJ13" s="33" t="s">
        <v>381</v>
      </c>
      <c r="AK13" s="33" t="s">
        <v>382</v>
      </c>
      <c r="AL13" s="33" t="s">
        <v>383</v>
      </c>
      <c r="AM13" s="33" t="s">
        <v>384</v>
      </c>
      <c r="AN13" s="33" t="s">
        <v>385</v>
      </c>
      <c r="AO13" s="33" t="s">
        <v>386</v>
      </c>
      <c r="AP13" s="33" t="s">
        <v>387</v>
      </c>
      <c r="AQ13" s="33" t="s">
        <v>388</v>
      </c>
      <c r="AR13" s="33" t="s">
        <v>389</v>
      </c>
      <c r="AS13" s="33" t="s">
        <v>390</v>
      </c>
      <c r="AT13" s="33" t="s">
        <v>391</v>
      </c>
      <c r="AU13" s="33" t="s">
        <v>392</v>
      </c>
      <c r="AV13" s="33" t="s">
        <v>393</v>
      </c>
      <c r="AW13" s="33" t="s">
        <v>394</v>
      </c>
      <c r="AX13" s="33" t="s">
        <v>395</v>
      </c>
      <c r="AY13" s="33" t="s">
        <v>396</v>
      </c>
      <c r="AZ13" s="33" t="s">
        <v>397</v>
      </c>
      <c r="BA13" s="33" t="s">
        <v>398</v>
      </c>
      <c r="BB13" s="33" t="s">
        <v>399</v>
      </c>
      <c r="BC13" s="33" t="s">
        <v>400</v>
      </c>
    </row>
    <row r="14" customFormat="false" ht="27.75" hidden="false" customHeight="true" outlineLevel="0" collapsed="false">
      <c r="A14" s="1" t="s">
        <v>401</v>
      </c>
      <c r="B14" s="33" t="s">
        <v>402</v>
      </c>
      <c r="C14" s="33" t="s">
        <v>403</v>
      </c>
      <c r="D14" s="33" t="s">
        <v>404</v>
      </c>
      <c r="E14" s="33" t="s">
        <v>405</v>
      </c>
      <c r="F14" s="33" t="s">
        <v>406</v>
      </c>
      <c r="G14" s="33" t="s">
        <v>405</v>
      </c>
      <c r="H14" s="33" t="s">
        <v>405</v>
      </c>
      <c r="I14" s="33" t="s">
        <v>407</v>
      </c>
      <c r="J14" s="33" t="s">
        <v>408</v>
      </c>
      <c r="K14" s="33" t="s">
        <v>409</v>
      </c>
      <c r="L14" s="33" t="s">
        <v>406</v>
      </c>
      <c r="M14" s="33" t="s">
        <v>408</v>
      </c>
      <c r="N14" s="33" t="s">
        <v>408</v>
      </c>
      <c r="O14" s="33" t="s">
        <v>404</v>
      </c>
      <c r="P14" s="33" t="s">
        <v>403</v>
      </c>
      <c r="Q14" s="33" t="s">
        <v>410</v>
      </c>
      <c r="R14" s="33" t="s">
        <v>411</v>
      </c>
      <c r="S14" s="33" t="s">
        <v>412</v>
      </c>
      <c r="T14" s="33" t="s">
        <v>405</v>
      </c>
      <c r="U14" s="33" t="s">
        <v>411</v>
      </c>
      <c r="V14" s="33" t="s">
        <v>413</v>
      </c>
      <c r="W14" s="33" t="s">
        <v>411</v>
      </c>
      <c r="X14" s="33" t="s">
        <v>405</v>
      </c>
      <c r="Y14" s="33" t="s">
        <v>411</v>
      </c>
      <c r="Z14" s="33" t="s">
        <v>408</v>
      </c>
      <c r="AA14" s="33" t="s">
        <v>414</v>
      </c>
      <c r="AB14" s="33" t="s">
        <v>404</v>
      </c>
      <c r="AC14" s="33" t="s">
        <v>408</v>
      </c>
      <c r="AD14" s="33" t="s">
        <v>406</v>
      </c>
      <c r="AE14" s="33" t="s">
        <v>414</v>
      </c>
      <c r="AF14" s="33" t="s">
        <v>402</v>
      </c>
      <c r="AG14" s="33" t="s">
        <v>413</v>
      </c>
      <c r="AH14" s="33" t="s">
        <v>410</v>
      </c>
      <c r="AI14" s="33" t="s">
        <v>406</v>
      </c>
      <c r="AJ14" s="33" t="s">
        <v>415</v>
      </c>
      <c r="AK14" s="33" t="s">
        <v>408</v>
      </c>
      <c r="AL14" s="33" t="s">
        <v>408</v>
      </c>
      <c r="AM14" s="33" t="s">
        <v>405</v>
      </c>
      <c r="AN14" s="33" t="s">
        <v>404</v>
      </c>
      <c r="AO14" s="33" t="s">
        <v>406</v>
      </c>
      <c r="AP14" s="33" t="s">
        <v>409</v>
      </c>
      <c r="AQ14" s="33" t="s">
        <v>416</v>
      </c>
      <c r="AR14" s="33" t="s">
        <v>406</v>
      </c>
      <c r="AS14" s="33" t="s">
        <v>407</v>
      </c>
      <c r="AT14" s="33" t="s">
        <v>407</v>
      </c>
      <c r="AU14" s="33" t="s">
        <v>405</v>
      </c>
      <c r="AV14" s="33" t="s">
        <v>408</v>
      </c>
      <c r="AW14" s="33" t="s">
        <v>411</v>
      </c>
      <c r="AX14" s="33" t="s">
        <v>404</v>
      </c>
      <c r="AY14" s="33" t="s">
        <v>410</v>
      </c>
      <c r="AZ14" s="33" t="s">
        <v>404</v>
      </c>
      <c r="BA14" s="33" t="s">
        <v>414</v>
      </c>
      <c r="BB14" s="33" t="s">
        <v>402</v>
      </c>
      <c r="BC14" s="33" t="s">
        <v>408</v>
      </c>
    </row>
    <row r="15" customFormat="false" ht="63.75" hidden="false" customHeight="true" outlineLevel="0" collapsed="false">
      <c r="A15" s="1" t="s">
        <v>417</v>
      </c>
      <c r="B15" s="33" t="s">
        <v>418</v>
      </c>
      <c r="C15" s="33" t="s">
        <v>419</v>
      </c>
      <c r="D15" s="33" t="s">
        <v>420</v>
      </c>
      <c r="E15" s="33" t="s">
        <v>421</v>
      </c>
      <c r="F15" s="33" t="s">
        <v>422</v>
      </c>
      <c r="G15" s="33" t="s">
        <v>423</v>
      </c>
      <c r="H15" s="33" t="s">
        <v>424</v>
      </c>
      <c r="I15" s="33" t="s">
        <v>425</v>
      </c>
      <c r="J15" s="33" t="s">
        <v>426</v>
      </c>
      <c r="K15" s="33" t="s">
        <v>427</v>
      </c>
      <c r="L15" s="33" t="s">
        <v>428</v>
      </c>
      <c r="M15" s="33" t="s">
        <v>429</v>
      </c>
      <c r="N15" s="33" t="s">
        <v>430</v>
      </c>
      <c r="O15" s="33" t="s">
        <v>431</v>
      </c>
      <c r="P15" s="33" t="s">
        <v>432</v>
      </c>
      <c r="Q15" s="33" t="s">
        <v>433</v>
      </c>
      <c r="R15" s="33" t="s">
        <v>434</v>
      </c>
      <c r="S15" s="33" t="s">
        <v>435</v>
      </c>
      <c r="T15" s="33" t="s">
        <v>436</v>
      </c>
      <c r="U15" s="33" t="s">
        <v>437</v>
      </c>
      <c r="V15" s="33" t="s">
        <v>438</v>
      </c>
      <c r="W15" s="33" t="s">
        <v>439</v>
      </c>
      <c r="X15" s="33" t="s">
        <v>440</v>
      </c>
      <c r="Y15" s="33" t="s">
        <v>441</v>
      </c>
      <c r="Z15" s="33" t="s">
        <v>442</v>
      </c>
      <c r="AA15" s="33" t="s">
        <v>443</v>
      </c>
      <c r="AB15" s="33" t="s">
        <v>444</v>
      </c>
      <c r="AC15" s="33" t="s">
        <v>445</v>
      </c>
      <c r="AD15" s="33" t="s">
        <v>446</v>
      </c>
      <c r="AE15" s="33" t="s">
        <v>447</v>
      </c>
      <c r="AF15" s="33" t="s">
        <v>448</v>
      </c>
      <c r="AG15" s="33" t="s">
        <v>449</v>
      </c>
      <c r="AH15" s="33" t="s">
        <v>450</v>
      </c>
      <c r="AI15" s="33" t="s">
        <v>451</v>
      </c>
      <c r="AJ15" s="33" t="s">
        <v>452</v>
      </c>
      <c r="AK15" s="33" t="s">
        <v>453</v>
      </c>
      <c r="AL15" s="33" t="s">
        <v>454</v>
      </c>
      <c r="AM15" s="33" t="s">
        <v>455</v>
      </c>
      <c r="AN15" s="33" t="s">
        <v>456</v>
      </c>
      <c r="AO15" s="33" t="s">
        <v>457</v>
      </c>
      <c r="AP15" s="33" t="s">
        <v>458</v>
      </c>
      <c r="AQ15" s="33" t="s">
        <v>459</v>
      </c>
      <c r="AR15" s="33" t="s">
        <v>460</v>
      </c>
      <c r="AS15" s="33" t="s">
        <v>461</v>
      </c>
      <c r="AT15" s="33" t="s">
        <v>462</v>
      </c>
      <c r="AU15" s="33" t="s">
        <v>463</v>
      </c>
      <c r="AV15" s="33" t="s">
        <v>464</v>
      </c>
      <c r="AW15" s="33" t="s">
        <v>465</v>
      </c>
      <c r="AX15" s="33" t="s">
        <v>466</v>
      </c>
      <c r="AY15" s="33" t="s">
        <v>467</v>
      </c>
      <c r="AZ15" s="33" t="s">
        <v>468</v>
      </c>
      <c r="BA15" s="33" t="s">
        <v>469</v>
      </c>
      <c r="BB15" s="33" t="s">
        <v>470</v>
      </c>
      <c r="BC15" s="33" t="s">
        <v>471</v>
      </c>
    </row>
    <row r="16" customFormat="false" ht="15" hidden="false" customHeight="false" outlineLevel="0" collapsed="false">
      <c r="A16" s="1" t="s">
        <v>472</v>
      </c>
      <c r="B16" s="33" t="s">
        <v>473</v>
      </c>
      <c r="C16" s="33" t="s">
        <v>474</v>
      </c>
      <c r="D16" s="33" t="s">
        <v>475</v>
      </c>
      <c r="E16" s="33" t="s">
        <v>476</v>
      </c>
      <c r="F16" s="33" t="s">
        <v>477</v>
      </c>
      <c r="G16" s="33" t="s">
        <v>478</v>
      </c>
      <c r="H16" s="33" t="s">
        <v>479</v>
      </c>
      <c r="I16" s="33" t="s">
        <v>480</v>
      </c>
      <c r="J16" s="33" t="s">
        <v>481</v>
      </c>
      <c r="K16" s="33" t="s">
        <v>482</v>
      </c>
      <c r="L16" s="33" t="s">
        <v>475</v>
      </c>
      <c r="M16" s="33" t="s">
        <v>475</v>
      </c>
      <c r="N16" s="33" t="s">
        <v>483</v>
      </c>
      <c r="O16" s="33" t="s">
        <v>475</v>
      </c>
      <c r="P16" s="33" t="s">
        <v>484</v>
      </c>
      <c r="Q16" s="33" t="s">
        <v>485</v>
      </c>
      <c r="R16" s="33" t="s">
        <v>486</v>
      </c>
      <c r="S16" s="33" t="s">
        <v>487</v>
      </c>
      <c r="T16" s="33" t="s">
        <v>488</v>
      </c>
      <c r="U16" s="33" t="s">
        <v>489</v>
      </c>
      <c r="V16" s="33" t="s">
        <v>490</v>
      </c>
      <c r="W16" s="33" t="s">
        <v>491</v>
      </c>
      <c r="X16" s="33" t="s">
        <v>492</v>
      </c>
      <c r="Y16" s="33" t="s">
        <v>475</v>
      </c>
      <c r="Z16" s="33" t="s">
        <v>493</v>
      </c>
      <c r="AA16" s="33" t="s">
        <v>494</v>
      </c>
      <c r="AB16" s="33" t="s">
        <v>475</v>
      </c>
      <c r="AC16" s="33" t="s">
        <v>495</v>
      </c>
      <c r="AD16" s="33" t="s">
        <v>475</v>
      </c>
      <c r="AE16" s="33" t="s">
        <v>496</v>
      </c>
      <c r="AF16" s="33" t="s">
        <v>497</v>
      </c>
      <c r="AG16" s="33" t="s">
        <v>475</v>
      </c>
      <c r="AH16" s="33" t="s">
        <v>498</v>
      </c>
      <c r="AI16" s="33" t="s">
        <v>499</v>
      </c>
      <c r="AJ16" s="33" t="s">
        <v>500</v>
      </c>
      <c r="AK16" s="33" t="s">
        <v>501</v>
      </c>
      <c r="AL16" s="33" t="s">
        <v>475</v>
      </c>
      <c r="AM16" s="33" t="s">
        <v>502</v>
      </c>
      <c r="AN16" s="33" t="s">
        <v>475</v>
      </c>
      <c r="AO16" s="33" t="s">
        <v>503</v>
      </c>
      <c r="AP16" s="33" t="s">
        <v>504</v>
      </c>
      <c r="AQ16" s="33" t="s">
        <v>505</v>
      </c>
      <c r="AR16" s="33" t="s">
        <v>475</v>
      </c>
      <c r="AS16" s="33" t="s">
        <v>506</v>
      </c>
      <c r="AT16" s="33" t="s">
        <v>507</v>
      </c>
      <c r="AU16" s="33" t="s">
        <v>508</v>
      </c>
      <c r="AV16" s="33" t="s">
        <v>509</v>
      </c>
      <c r="AW16" s="33" t="s">
        <v>475</v>
      </c>
      <c r="AX16" s="33" t="s">
        <v>475</v>
      </c>
      <c r="AY16" s="33" t="s">
        <v>510</v>
      </c>
      <c r="AZ16" s="33" t="s">
        <v>475</v>
      </c>
      <c r="BA16" s="33" t="s">
        <v>475</v>
      </c>
      <c r="BB16" s="33" t="s">
        <v>511</v>
      </c>
      <c r="BC16" s="33" t="s">
        <v>512</v>
      </c>
    </row>
    <row r="17" customFormat="false" ht="51.75" hidden="false" customHeight="true" outlineLevel="0" collapsed="false">
      <c r="A17" s="1" t="s">
        <v>513</v>
      </c>
      <c r="B17" s="33" t="s">
        <v>514</v>
      </c>
      <c r="C17" s="33" t="s">
        <v>515</v>
      </c>
      <c r="D17" s="33" t="s">
        <v>516</v>
      </c>
      <c r="E17" s="33" t="s">
        <v>517</v>
      </c>
      <c r="F17" s="33" t="s">
        <v>518</v>
      </c>
      <c r="G17" s="33" t="s">
        <v>519</v>
      </c>
      <c r="H17" s="33" t="s">
        <v>520</v>
      </c>
      <c r="I17" s="33" t="s">
        <v>521</v>
      </c>
      <c r="J17" s="33" t="s">
        <v>522</v>
      </c>
      <c r="K17" s="33" t="s">
        <v>523</v>
      </c>
      <c r="L17" s="33" t="s">
        <v>524</v>
      </c>
      <c r="M17" s="33" t="s">
        <v>525</v>
      </c>
      <c r="N17" s="33" t="s">
        <v>526</v>
      </c>
      <c r="O17" s="33" t="s">
        <v>527</v>
      </c>
      <c r="P17" s="33" t="s">
        <v>528</v>
      </c>
      <c r="Q17" s="33" t="s">
        <v>529</v>
      </c>
      <c r="R17" s="33" t="s">
        <v>530</v>
      </c>
      <c r="S17" s="33" t="s">
        <v>531</v>
      </c>
      <c r="T17" s="33" t="s">
        <v>531</v>
      </c>
      <c r="U17" s="33" t="s">
        <v>532</v>
      </c>
      <c r="V17" s="33" t="s">
        <v>533</v>
      </c>
      <c r="W17" s="33" t="s">
        <v>534</v>
      </c>
      <c r="X17" s="33" t="s">
        <v>535</v>
      </c>
      <c r="Y17" s="33" t="s">
        <v>536</v>
      </c>
      <c r="Z17" s="33" t="s">
        <v>537</v>
      </c>
      <c r="AA17" s="33" t="s">
        <v>519</v>
      </c>
      <c r="AB17" s="33" t="s">
        <v>535</v>
      </c>
      <c r="AC17" s="33" t="s">
        <v>538</v>
      </c>
      <c r="AD17" s="33" t="s">
        <v>539</v>
      </c>
      <c r="AE17" s="33" t="s">
        <v>540</v>
      </c>
      <c r="AF17" s="33" t="s">
        <v>541</v>
      </c>
      <c r="AG17" s="33" t="s">
        <v>542</v>
      </c>
      <c r="AH17" s="33" t="s">
        <v>543</v>
      </c>
      <c r="AI17" s="33" t="s">
        <v>544</v>
      </c>
      <c r="AJ17" s="33" t="s">
        <v>545</v>
      </c>
      <c r="AK17" s="33" t="s">
        <v>546</v>
      </c>
      <c r="AL17" s="33" t="s">
        <v>547</v>
      </c>
      <c r="AM17" s="33" t="s">
        <v>548</v>
      </c>
      <c r="AN17" s="33" t="s">
        <v>549</v>
      </c>
      <c r="AO17" s="33" t="s">
        <v>550</v>
      </c>
      <c r="AP17" s="33" t="s">
        <v>523</v>
      </c>
      <c r="AQ17" s="33" t="s">
        <v>551</v>
      </c>
      <c r="AR17" s="33" t="s">
        <v>552</v>
      </c>
      <c r="AS17" s="33" t="s">
        <v>521</v>
      </c>
      <c r="AT17" s="33" t="s">
        <v>521</v>
      </c>
      <c r="AU17" s="33" t="s">
        <v>545</v>
      </c>
      <c r="AV17" s="33" t="s">
        <v>535</v>
      </c>
      <c r="AW17" s="33" t="s">
        <v>553</v>
      </c>
      <c r="AX17" s="33" t="s">
        <v>550</v>
      </c>
      <c r="AY17" s="33" t="s">
        <v>543</v>
      </c>
      <c r="AZ17" s="33" t="s">
        <v>550</v>
      </c>
      <c r="BA17" s="33" t="s">
        <v>554</v>
      </c>
      <c r="BB17" s="33" t="s">
        <v>555</v>
      </c>
      <c r="BC17" s="33" t="s">
        <v>556</v>
      </c>
    </row>
    <row r="18" customFormat="false" ht="39.75" hidden="false" customHeight="true" outlineLevel="0" collapsed="false">
      <c r="A18" s="1" t="s">
        <v>557</v>
      </c>
      <c r="B18" s="33" t="s">
        <v>558</v>
      </c>
      <c r="C18" s="33"/>
      <c r="D18" s="33"/>
      <c r="E18" s="33"/>
      <c r="F18" s="33"/>
      <c r="G18" s="33"/>
      <c r="H18" s="33"/>
      <c r="I18" s="33"/>
      <c r="J18" s="33"/>
      <c r="K18" s="33" t="s">
        <v>559</v>
      </c>
      <c r="L18" s="33"/>
      <c r="M18" s="33" t="s">
        <v>560</v>
      </c>
      <c r="N18" s="33"/>
      <c r="O18" s="33" t="s">
        <v>561</v>
      </c>
      <c r="P18" s="33"/>
      <c r="Q18" s="33"/>
      <c r="R18" s="33"/>
      <c r="S18" s="33" t="s">
        <v>562</v>
      </c>
      <c r="T18" s="33" t="s">
        <v>563</v>
      </c>
      <c r="U18" s="33"/>
      <c r="V18" s="33"/>
      <c r="W18" s="33"/>
      <c r="X18" s="33"/>
      <c r="Y18" s="33" t="s">
        <v>564</v>
      </c>
      <c r="Z18" s="33"/>
      <c r="AA18" s="33"/>
      <c r="AB18" s="33"/>
      <c r="AC18" s="33"/>
      <c r="AD18" s="33" t="s">
        <v>565</v>
      </c>
      <c r="AE18" s="33"/>
      <c r="AF18" s="33"/>
      <c r="AG18" s="33"/>
      <c r="AH18" s="33"/>
      <c r="AI18" s="33"/>
      <c r="AJ18" s="33"/>
      <c r="AK18" s="33"/>
      <c r="AL18" s="33" t="s">
        <v>566</v>
      </c>
      <c r="AM18" s="33"/>
      <c r="AN18" s="33" t="s">
        <v>567</v>
      </c>
      <c r="AO18" s="33" t="s">
        <v>568</v>
      </c>
      <c r="AP18" s="33" t="s">
        <v>569</v>
      </c>
      <c r="AQ18" s="33"/>
      <c r="AR18" s="33" t="s">
        <v>570</v>
      </c>
      <c r="AS18" s="33"/>
      <c r="AT18" s="33"/>
      <c r="AU18" s="33"/>
      <c r="AV18" s="33"/>
      <c r="AW18" s="33" t="s">
        <v>571</v>
      </c>
      <c r="AX18" s="33" t="s">
        <v>572</v>
      </c>
      <c r="AY18" s="33"/>
      <c r="AZ18" s="33" t="s">
        <v>573</v>
      </c>
      <c r="BA18" s="33" t="s">
        <v>574</v>
      </c>
      <c r="BB18" s="33"/>
      <c r="BC18" s="33"/>
    </row>
    <row r="19" customFormat="false" ht="27.75" hidden="false" customHeight="true" outlineLevel="0" collapsed="false">
      <c r="A19" s="1" t="s">
        <v>575</v>
      </c>
      <c r="B19" s="33" t="s">
        <v>576</v>
      </c>
      <c r="C19" s="33" t="s">
        <v>577</v>
      </c>
      <c r="D19" s="33" t="s">
        <v>578</v>
      </c>
      <c r="E19" s="33" t="s">
        <v>579</v>
      </c>
      <c r="F19" s="33" t="s">
        <v>580</v>
      </c>
      <c r="G19" s="33" t="s">
        <v>581</v>
      </c>
      <c r="H19" s="33" t="s">
        <v>582</v>
      </c>
      <c r="I19" s="33" t="s">
        <v>583</v>
      </c>
      <c r="J19" s="33" t="s">
        <v>584</v>
      </c>
      <c r="K19" s="33" t="s">
        <v>585</v>
      </c>
      <c r="L19" s="33" t="s">
        <v>586</v>
      </c>
      <c r="M19" s="33" t="s">
        <v>587</v>
      </c>
      <c r="N19" s="33" t="s">
        <v>588</v>
      </c>
      <c r="O19" s="33" t="s">
        <v>589</v>
      </c>
      <c r="P19" s="33" t="s">
        <v>590</v>
      </c>
      <c r="Q19" s="33" t="s">
        <v>591</v>
      </c>
      <c r="R19" s="33" t="s">
        <v>592</v>
      </c>
      <c r="S19" s="33" t="s">
        <v>593</v>
      </c>
      <c r="T19" s="33" t="s">
        <v>594</v>
      </c>
      <c r="U19" s="33" t="s">
        <v>595</v>
      </c>
      <c r="V19" s="33" t="s">
        <v>596</v>
      </c>
      <c r="W19" s="33" t="s">
        <v>597</v>
      </c>
      <c r="X19" s="33" t="s">
        <v>598</v>
      </c>
      <c r="Y19" s="33" t="s">
        <v>599</v>
      </c>
      <c r="Z19" s="33" t="s">
        <v>600</v>
      </c>
      <c r="AA19" s="33" t="s">
        <v>601</v>
      </c>
      <c r="AB19" s="33" t="s">
        <v>602</v>
      </c>
      <c r="AC19" s="33" t="s">
        <v>603</v>
      </c>
      <c r="AD19" s="33" t="s">
        <v>604</v>
      </c>
      <c r="AE19" s="33" t="s">
        <v>605</v>
      </c>
      <c r="AF19" s="33" t="s">
        <v>606</v>
      </c>
      <c r="AG19" s="33" t="s">
        <v>607</v>
      </c>
      <c r="AH19" s="33" t="s">
        <v>608</v>
      </c>
      <c r="AI19" s="33" t="s">
        <v>609</v>
      </c>
      <c r="AJ19" s="33" t="s">
        <v>610</v>
      </c>
      <c r="AK19" s="33" t="s">
        <v>611</v>
      </c>
      <c r="AL19" s="33" t="s">
        <v>612</v>
      </c>
      <c r="AM19" s="33" t="s">
        <v>613</v>
      </c>
      <c r="AN19" s="33" t="s">
        <v>614</v>
      </c>
      <c r="AO19" s="33" t="s">
        <v>615</v>
      </c>
      <c r="AP19" s="33" t="s">
        <v>616</v>
      </c>
      <c r="AQ19" s="33" t="s">
        <v>617</v>
      </c>
      <c r="AR19" s="33" t="s">
        <v>618</v>
      </c>
      <c r="AS19" s="33" t="s">
        <v>619</v>
      </c>
      <c r="AT19" s="33" t="s">
        <v>620</v>
      </c>
      <c r="AU19" s="33" t="s">
        <v>621</v>
      </c>
      <c r="AV19" s="33" t="s">
        <v>622</v>
      </c>
      <c r="AW19" s="33" t="s">
        <v>623</v>
      </c>
      <c r="AX19" s="33" t="s">
        <v>624</v>
      </c>
      <c r="AY19" s="33" t="s">
        <v>625</v>
      </c>
      <c r="AZ19" s="33" t="s">
        <v>626</v>
      </c>
      <c r="BA19" s="33" t="s">
        <v>627</v>
      </c>
      <c r="BB19" s="33" t="s">
        <v>628</v>
      </c>
      <c r="BC19" s="33" t="s">
        <v>629</v>
      </c>
    </row>
    <row r="20" customFormat="false" ht="27.75" hidden="false" customHeight="true" outlineLevel="0" collapsed="false">
      <c r="A20" s="1" t="s">
        <v>630</v>
      </c>
      <c r="B20" s="33" t="s">
        <v>631</v>
      </c>
      <c r="C20" s="33" t="s">
        <v>632</v>
      </c>
      <c r="D20" s="33" t="s">
        <v>633</v>
      </c>
      <c r="E20" s="33" t="s">
        <v>634</v>
      </c>
      <c r="F20" s="33" t="s">
        <v>635</v>
      </c>
      <c r="G20" s="33" t="s">
        <v>636</v>
      </c>
      <c r="H20" s="33" t="s">
        <v>637</v>
      </c>
      <c r="I20" s="33" t="s">
        <v>638</v>
      </c>
      <c r="J20" s="33" t="s">
        <v>639</v>
      </c>
      <c r="K20" s="33" t="s">
        <v>640</v>
      </c>
      <c r="L20" s="33" t="s">
        <v>641</v>
      </c>
      <c r="M20" s="33" t="s">
        <v>642</v>
      </c>
      <c r="N20" s="33" t="s">
        <v>643</v>
      </c>
      <c r="O20" s="33" t="s">
        <v>644</v>
      </c>
      <c r="P20" s="33" t="s">
        <v>645</v>
      </c>
      <c r="Q20" s="33" t="s">
        <v>646</v>
      </c>
      <c r="R20" s="33" t="s">
        <v>647</v>
      </c>
      <c r="S20" s="33" t="s">
        <v>648</v>
      </c>
      <c r="T20" s="33" t="s">
        <v>649</v>
      </c>
      <c r="U20" s="33" t="s">
        <v>650</v>
      </c>
      <c r="V20" s="33" t="s">
        <v>651</v>
      </c>
      <c r="W20" s="33" t="s">
        <v>652</v>
      </c>
      <c r="X20" s="33" t="s">
        <v>653</v>
      </c>
      <c r="Y20" s="33" t="s">
        <v>654</v>
      </c>
      <c r="Z20" s="33" t="s">
        <v>655</v>
      </c>
      <c r="AA20" s="33" t="s">
        <v>656</v>
      </c>
      <c r="AB20" s="33" t="s">
        <v>657</v>
      </c>
      <c r="AC20" s="33" t="s">
        <v>658</v>
      </c>
      <c r="AD20" s="33" t="s">
        <v>659</v>
      </c>
      <c r="AE20" s="33" t="s">
        <v>660</v>
      </c>
      <c r="AF20" s="33" t="s">
        <v>661</v>
      </c>
      <c r="AG20" s="33" t="s">
        <v>662</v>
      </c>
      <c r="AH20" s="33" t="s">
        <v>663</v>
      </c>
      <c r="AI20" s="33" t="s">
        <v>664</v>
      </c>
      <c r="AJ20" s="33" t="s">
        <v>665</v>
      </c>
      <c r="AK20" s="33" t="s">
        <v>666</v>
      </c>
      <c r="AL20" s="33" t="s">
        <v>667</v>
      </c>
      <c r="AM20" s="33" t="s">
        <v>668</v>
      </c>
      <c r="AN20" s="33" t="s">
        <v>669</v>
      </c>
      <c r="AO20" s="33" t="s">
        <v>670</v>
      </c>
      <c r="AP20" s="33" t="s">
        <v>671</v>
      </c>
      <c r="AQ20" s="33" t="s">
        <v>672</v>
      </c>
      <c r="AR20" s="33" t="s">
        <v>673</v>
      </c>
      <c r="AS20" s="33" t="s">
        <v>674</v>
      </c>
      <c r="AT20" s="33" t="s">
        <v>675</v>
      </c>
      <c r="AU20" s="33" t="s">
        <v>676</v>
      </c>
      <c r="AV20" s="33" t="s">
        <v>677</v>
      </c>
      <c r="AW20" s="33" t="s">
        <v>678</v>
      </c>
      <c r="AX20" s="33" t="s">
        <v>679</v>
      </c>
      <c r="AY20" s="33" t="s">
        <v>680</v>
      </c>
      <c r="AZ20" s="33" t="s">
        <v>681</v>
      </c>
      <c r="BA20" s="33" t="s">
        <v>682</v>
      </c>
      <c r="BB20" s="33" t="s">
        <v>683</v>
      </c>
      <c r="BC20" s="33" t="s">
        <v>684</v>
      </c>
    </row>
    <row r="21" customFormat="false" ht="18" hidden="false" customHeight="true" outlineLevel="0" collapsed="false">
      <c r="A21" s="34" t="s">
        <v>685</v>
      </c>
      <c r="B21" s="35" t="s">
        <v>686</v>
      </c>
      <c r="C21" s="35" t="s">
        <v>687</v>
      </c>
      <c r="D21" s="35" t="s">
        <v>688</v>
      </c>
      <c r="E21" s="35" t="s">
        <v>689</v>
      </c>
      <c r="F21" s="35" t="s">
        <v>690</v>
      </c>
      <c r="G21" s="35" t="s">
        <v>691</v>
      </c>
      <c r="H21" s="35" t="s">
        <v>691</v>
      </c>
      <c r="I21" s="35" t="s">
        <v>692</v>
      </c>
      <c r="J21" s="35" t="s">
        <v>692</v>
      </c>
      <c r="K21" s="35" t="s">
        <v>688</v>
      </c>
      <c r="L21" s="35" t="s">
        <v>691</v>
      </c>
      <c r="M21" s="35" t="s">
        <v>692</v>
      </c>
      <c r="N21" s="35" t="s">
        <v>688</v>
      </c>
      <c r="O21" s="35" t="s">
        <v>692</v>
      </c>
      <c r="P21" s="35" t="s">
        <v>688</v>
      </c>
      <c r="Q21" s="35" t="s">
        <v>690</v>
      </c>
      <c r="R21" s="35" t="s">
        <v>691</v>
      </c>
      <c r="S21" s="35" t="s">
        <v>693</v>
      </c>
      <c r="T21" s="35" t="s">
        <v>692</v>
      </c>
      <c r="U21" s="35" t="s">
        <v>686</v>
      </c>
      <c r="V21" s="35" t="s">
        <v>689</v>
      </c>
      <c r="W21" s="35" t="s">
        <v>691</v>
      </c>
      <c r="X21" s="35" t="s">
        <v>691</v>
      </c>
      <c r="Y21" s="35" t="s">
        <v>688</v>
      </c>
      <c r="Z21" s="35" t="s">
        <v>687</v>
      </c>
      <c r="AA21" s="35" t="s">
        <v>689</v>
      </c>
      <c r="AB21" s="35" t="s">
        <v>694</v>
      </c>
      <c r="AC21" s="35" t="s">
        <v>686</v>
      </c>
      <c r="AD21" s="35" t="s">
        <v>691</v>
      </c>
      <c r="AE21" s="35" t="s">
        <v>688</v>
      </c>
      <c r="AF21" s="35" t="s">
        <v>691</v>
      </c>
      <c r="AG21" s="35" t="s">
        <v>688</v>
      </c>
      <c r="AH21" s="35" t="s">
        <v>690</v>
      </c>
      <c r="AI21" s="35" t="s">
        <v>690</v>
      </c>
      <c r="AJ21" s="35" t="s">
        <v>692</v>
      </c>
      <c r="AK21" s="35" t="s">
        <v>693</v>
      </c>
      <c r="AL21" s="35" t="s">
        <v>688</v>
      </c>
      <c r="AM21" s="35" t="s">
        <v>688</v>
      </c>
      <c r="AN21" s="35" t="s">
        <v>688</v>
      </c>
      <c r="AO21" s="35" t="s">
        <v>691</v>
      </c>
      <c r="AP21" s="35" t="s">
        <v>691</v>
      </c>
      <c r="AQ21" s="35" t="s">
        <v>691</v>
      </c>
      <c r="AR21" s="35" t="s">
        <v>690</v>
      </c>
      <c r="AS21" s="35" t="s">
        <v>691</v>
      </c>
      <c r="AT21" s="35" t="s">
        <v>691</v>
      </c>
      <c r="AU21" s="35" t="s">
        <v>689</v>
      </c>
      <c r="AV21" s="35" t="s">
        <v>692</v>
      </c>
      <c r="AW21" s="35" t="s">
        <v>691</v>
      </c>
      <c r="AX21" s="35" t="s">
        <v>695</v>
      </c>
      <c r="AY21" s="35" t="s">
        <v>691</v>
      </c>
      <c r="AZ21" s="35" t="s">
        <v>692</v>
      </c>
      <c r="BA21" s="35" t="s">
        <v>692</v>
      </c>
      <c r="BB21" s="35" t="s">
        <v>690</v>
      </c>
      <c r="BC21" s="35" t="s">
        <v>691</v>
      </c>
    </row>
    <row r="22" customFormat="false" ht="23.85" hidden="false" customHeight="true" outlineLevel="0" collapsed="false">
      <c r="A22" s="36" t="s">
        <v>696</v>
      </c>
      <c r="B22" s="37" t="s">
        <v>697</v>
      </c>
      <c r="C22" s="37" t="s">
        <v>698</v>
      </c>
      <c r="D22" s="37" t="s">
        <v>699</v>
      </c>
      <c r="E22" s="37" t="s">
        <v>700</v>
      </c>
      <c r="F22" s="37" t="s">
        <v>701</v>
      </c>
      <c r="G22" s="37" t="s">
        <v>702</v>
      </c>
      <c r="H22" s="37" t="s">
        <v>703</v>
      </c>
      <c r="I22" s="37" t="s">
        <v>704</v>
      </c>
      <c r="J22" s="37" t="s">
        <v>705</v>
      </c>
      <c r="K22" s="37" t="s">
        <v>706</v>
      </c>
      <c r="L22" s="37" t="s">
        <v>707</v>
      </c>
      <c r="M22" s="37" t="s">
        <v>708</v>
      </c>
      <c r="N22" s="37" t="s">
        <v>709</v>
      </c>
      <c r="O22" s="37" t="s">
        <v>710</v>
      </c>
      <c r="P22" s="37" t="s">
        <v>711</v>
      </c>
      <c r="Q22" s="37" t="s">
        <v>712</v>
      </c>
      <c r="R22" s="37" t="s">
        <v>713</v>
      </c>
      <c r="S22" s="37" t="s">
        <v>714</v>
      </c>
      <c r="T22" s="37" t="s">
        <v>715</v>
      </c>
      <c r="U22" s="37" t="s">
        <v>716</v>
      </c>
      <c r="V22" s="37" t="s">
        <v>717</v>
      </c>
      <c r="W22" s="37" t="s">
        <v>718</v>
      </c>
      <c r="X22" s="37" t="s">
        <v>719</v>
      </c>
      <c r="Y22" s="37" t="s">
        <v>720</v>
      </c>
      <c r="Z22" s="37" t="s">
        <v>721</v>
      </c>
      <c r="AA22" s="37" t="s">
        <v>722</v>
      </c>
      <c r="AB22" s="37" t="s">
        <v>723</v>
      </c>
      <c r="AC22" s="37" t="s">
        <v>724</v>
      </c>
      <c r="AD22" s="37" t="s">
        <v>725</v>
      </c>
      <c r="AE22" s="37" t="s">
        <v>726</v>
      </c>
      <c r="AF22" s="37" t="s">
        <v>727</v>
      </c>
      <c r="AG22" s="37" t="s">
        <v>728</v>
      </c>
      <c r="AH22" s="37" t="s">
        <v>729</v>
      </c>
      <c r="AI22" s="37" t="s">
        <v>730</v>
      </c>
      <c r="AJ22" s="37" t="s">
        <v>731</v>
      </c>
      <c r="AK22" s="37" t="s">
        <v>732</v>
      </c>
      <c r="AL22" s="37" t="s">
        <v>733</v>
      </c>
      <c r="AM22" s="37" t="s">
        <v>734</v>
      </c>
      <c r="AN22" s="37" t="s">
        <v>735</v>
      </c>
      <c r="AO22" s="37" t="s">
        <v>736</v>
      </c>
      <c r="AP22" s="37" t="s">
        <v>737</v>
      </c>
      <c r="AQ22" s="37" t="s">
        <v>738</v>
      </c>
      <c r="AR22" s="37" t="s">
        <v>739</v>
      </c>
      <c r="AS22" s="37" t="s">
        <v>740</v>
      </c>
      <c r="AT22" s="37" t="s">
        <v>741</v>
      </c>
      <c r="AU22" s="37" t="s">
        <v>742</v>
      </c>
      <c r="AV22" s="37" t="s">
        <v>743</v>
      </c>
      <c r="AW22" s="37" t="s">
        <v>744</v>
      </c>
      <c r="AX22" s="37" t="s">
        <v>745</v>
      </c>
      <c r="AY22" s="37" t="s">
        <v>746</v>
      </c>
      <c r="AZ22" s="37" t="s">
        <v>747</v>
      </c>
      <c r="BA22" s="37" t="s">
        <v>748</v>
      </c>
      <c r="BB22" s="37" t="s">
        <v>749</v>
      </c>
      <c r="BC22" s="37" t="s">
        <v>750</v>
      </c>
    </row>
    <row r="23" customFormat="false" ht="23.85" hidden="false" customHeight="false" outlineLevel="0" collapsed="false">
      <c r="A23" s="36"/>
      <c r="B23" s="37" t="s">
        <v>751</v>
      </c>
      <c r="C23" s="37" t="s">
        <v>752</v>
      </c>
      <c r="D23" s="37" t="s">
        <v>753</v>
      </c>
      <c r="E23" s="37" t="s">
        <v>754</v>
      </c>
      <c r="F23" s="37" t="s">
        <v>755</v>
      </c>
      <c r="G23" s="37" t="s">
        <v>756</v>
      </c>
      <c r="H23" s="37" t="s">
        <v>757</v>
      </c>
      <c r="I23" s="37" t="s">
        <v>758</v>
      </c>
      <c r="J23" s="37" t="s">
        <v>759</v>
      </c>
      <c r="K23" s="37" t="s">
        <v>760</v>
      </c>
      <c r="L23" s="37" t="s">
        <v>761</v>
      </c>
      <c r="M23" s="37" t="s">
        <v>762</v>
      </c>
      <c r="N23" s="37" t="s">
        <v>763</v>
      </c>
      <c r="O23" s="37" t="s">
        <v>764</v>
      </c>
      <c r="P23" s="37" t="s">
        <v>765</v>
      </c>
      <c r="Q23" s="37" t="s">
        <v>766</v>
      </c>
      <c r="R23" s="37" t="s">
        <v>767</v>
      </c>
      <c r="S23" s="37" t="s">
        <v>768</v>
      </c>
      <c r="T23" s="37" t="s">
        <v>769</v>
      </c>
      <c r="U23" s="37" t="s">
        <v>770</v>
      </c>
      <c r="V23" s="37" t="s">
        <v>771</v>
      </c>
      <c r="W23" s="37" t="s">
        <v>772</v>
      </c>
      <c r="X23" s="37" t="s">
        <v>773</v>
      </c>
      <c r="Y23" s="37" t="s">
        <v>774</v>
      </c>
      <c r="Z23" s="37" t="s">
        <v>775</v>
      </c>
      <c r="AA23" s="37" t="s">
        <v>776</v>
      </c>
      <c r="AB23" s="37" t="s">
        <v>777</v>
      </c>
      <c r="AC23" s="37" t="s">
        <v>778</v>
      </c>
      <c r="AD23" s="37" t="s">
        <v>779</v>
      </c>
      <c r="AE23" s="37" t="s">
        <v>780</v>
      </c>
      <c r="AF23" s="37" t="s">
        <v>781</v>
      </c>
      <c r="AG23" s="37" t="s">
        <v>782</v>
      </c>
      <c r="AH23" s="37" t="s">
        <v>783</v>
      </c>
      <c r="AI23" s="37" t="s">
        <v>784</v>
      </c>
      <c r="AJ23" s="37" t="s">
        <v>785</v>
      </c>
      <c r="AK23" s="37" t="s">
        <v>786</v>
      </c>
      <c r="AL23" s="37" t="s">
        <v>787</v>
      </c>
      <c r="AM23" s="37" t="s">
        <v>788</v>
      </c>
      <c r="AN23" s="37" t="s">
        <v>789</v>
      </c>
      <c r="AO23" s="37" t="s">
        <v>790</v>
      </c>
      <c r="AP23" s="37" t="s">
        <v>791</v>
      </c>
      <c r="AQ23" s="37" t="s">
        <v>792</v>
      </c>
      <c r="AR23" s="37" t="s">
        <v>793</v>
      </c>
      <c r="AS23" s="37" t="s">
        <v>794</v>
      </c>
      <c r="AT23" s="37" t="s">
        <v>795</v>
      </c>
      <c r="AU23" s="37" t="s">
        <v>796</v>
      </c>
      <c r="AV23" s="37" t="s">
        <v>797</v>
      </c>
      <c r="AW23" s="37" t="s">
        <v>798</v>
      </c>
      <c r="AX23" s="37" t="s">
        <v>799</v>
      </c>
      <c r="AY23" s="37" t="s">
        <v>800</v>
      </c>
      <c r="AZ23" s="37" t="s">
        <v>801</v>
      </c>
      <c r="BA23" s="37" t="s">
        <v>802</v>
      </c>
      <c r="BB23" s="37" t="s">
        <v>803</v>
      </c>
      <c r="BC23" s="37" t="s">
        <v>804</v>
      </c>
    </row>
    <row r="24" customFormat="false" ht="23.85" hidden="false" customHeight="false" outlineLevel="0" collapsed="false">
      <c r="A24" s="36"/>
      <c r="B24" s="38" t="s">
        <v>805</v>
      </c>
      <c r="C24" s="38" t="s">
        <v>806</v>
      </c>
      <c r="D24" s="37" t="s">
        <v>807</v>
      </c>
      <c r="E24" s="37" t="s">
        <v>808</v>
      </c>
      <c r="F24" s="37" t="s">
        <v>809</v>
      </c>
      <c r="G24" s="37" t="s">
        <v>810</v>
      </c>
      <c r="H24" s="38" t="s">
        <v>811</v>
      </c>
      <c r="I24" s="37" t="s">
        <v>812</v>
      </c>
      <c r="J24" s="37" t="s">
        <v>813</v>
      </c>
      <c r="K24" s="37" t="s">
        <v>814</v>
      </c>
      <c r="L24" s="37" t="s">
        <v>815</v>
      </c>
      <c r="M24" s="38" t="s">
        <v>816</v>
      </c>
      <c r="N24" s="37" t="s">
        <v>817</v>
      </c>
      <c r="O24" s="38" t="s">
        <v>818</v>
      </c>
      <c r="P24" s="38" t="s">
        <v>819</v>
      </c>
      <c r="Q24" s="37" t="s">
        <v>820</v>
      </c>
      <c r="R24" s="37" t="s">
        <v>821</v>
      </c>
      <c r="S24" s="37" t="s">
        <v>822</v>
      </c>
      <c r="T24" s="37" t="s">
        <v>823</v>
      </c>
      <c r="U24" s="38" t="s">
        <v>824</v>
      </c>
      <c r="V24" s="37" t="s">
        <v>825</v>
      </c>
      <c r="W24" s="37" t="s">
        <v>826</v>
      </c>
      <c r="X24" s="37" t="s">
        <v>827</v>
      </c>
      <c r="Y24" s="37" t="s">
        <v>828</v>
      </c>
      <c r="Z24" s="37" t="s">
        <v>829</v>
      </c>
      <c r="AA24" s="37" t="s">
        <v>830</v>
      </c>
      <c r="AB24" s="37" t="s">
        <v>831</v>
      </c>
      <c r="AC24" s="37" t="s">
        <v>832</v>
      </c>
      <c r="AD24" s="37" t="s">
        <v>833</v>
      </c>
      <c r="AE24" s="37" t="s">
        <v>834</v>
      </c>
      <c r="AF24" s="37" t="s">
        <v>835</v>
      </c>
      <c r="AG24" s="38" t="s">
        <v>836</v>
      </c>
      <c r="AH24" s="37" t="s">
        <v>837</v>
      </c>
      <c r="AI24" s="37" t="s">
        <v>838</v>
      </c>
      <c r="AJ24" s="37" t="s">
        <v>839</v>
      </c>
      <c r="AK24" s="37" t="s">
        <v>840</v>
      </c>
      <c r="AL24" s="37" t="s">
        <v>841</v>
      </c>
      <c r="AM24" s="37" t="s">
        <v>842</v>
      </c>
      <c r="AN24" s="37" t="s">
        <v>843</v>
      </c>
      <c r="AO24" s="37" t="s">
        <v>844</v>
      </c>
      <c r="AP24" s="37" t="s">
        <v>845</v>
      </c>
      <c r="AQ24" s="37" t="s">
        <v>846</v>
      </c>
      <c r="AR24" s="38" t="s">
        <v>847</v>
      </c>
      <c r="AS24" s="37" t="s">
        <v>848</v>
      </c>
      <c r="AT24" s="37" t="s">
        <v>849</v>
      </c>
      <c r="AU24" s="38" t="s">
        <v>850</v>
      </c>
      <c r="AV24" s="37" t="s">
        <v>851</v>
      </c>
      <c r="AW24" s="38" t="s">
        <v>852</v>
      </c>
      <c r="AX24" s="37" t="s">
        <v>853</v>
      </c>
      <c r="AY24" s="37" t="s">
        <v>854</v>
      </c>
      <c r="AZ24" s="37" t="s">
        <v>855</v>
      </c>
      <c r="BA24" s="37" t="s">
        <v>856</v>
      </c>
      <c r="BB24" s="37" t="s">
        <v>857</v>
      </c>
      <c r="BC24" s="37" t="s">
        <v>858</v>
      </c>
    </row>
    <row r="25" customFormat="false" ht="15" hidden="false" customHeight="false" outlineLevel="0" collapsed="false">
      <c r="A25" s="36"/>
      <c r="B25" s="38" t="s">
        <v>859</v>
      </c>
      <c r="C25" s="38" t="s">
        <v>860</v>
      </c>
      <c r="D25" s="37" t="s">
        <v>861</v>
      </c>
      <c r="E25" s="37" t="s">
        <v>862</v>
      </c>
      <c r="F25" s="37" t="s">
        <v>863</v>
      </c>
      <c r="G25" s="38" t="s">
        <v>864</v>
      </c>
      <c r="H25" s="38" t="s">
        <v>865</v>
      </c>
      <c r="I25" s="37" t="s">
        <v>866</v>
      </c>
      <c r="J25" s="37" t="s">
        <v>867</v>
      </c>
      <c r="K25" s="37" t="s">
        <v>868</v>
      </c>
      <c r="L25" s="38" t="s">
        <v>869</v>
      </c>
      <c r="M25" s="38" t="s">
        <v>870</v>
      </c>
      <c r="N25" s="37" t="s">
        <v>871</v>
      </c>
      <c r="O25" s="38" t="s">
        <v>872</v>
      </c>
      <c r="P25" s="38" t="s">
        <v>873</v>
      </c>
      <c r="Q25" s="37" t="s">
        <v>874</v>
      </c>
      <c r="R25" s="37" t="s">
        <v>875</v>
      </c>
      <c r="S25" s="37" t="s">
        <v>876</v>
      </c>
      <c r="T25" s="37" t="s">
        <v>877</v>
      </c>
      <c r="U25" s="38" t="s">
        <v>878</v>
      </c>
      <c r="V25" s="37" t="s">
        <v>879</v>
      </c>
      <c r="W25" s="37" t="s">
        <v>880</v>
      </c>
      <c r="X25" s="37" t="s">
        <v>881</v>
      </c>
      <c r="Y25" s="37" t="s">
        <v>882</v>
      </c>
      <c r="Z25" s="38" t="s">
        <v>883</v>
      </c>
      <c r="AA25" s="38" t="s">
        <v>884</v>
      </c>
      <c r="AB25" s="37" t="s">
        <v>885</v>
      </c>
      <c r="AC25" s="38" t="s">
        <v>886</v>
      </c>
      <c r="AD25" s="37" t="s">
        <v>887</v>
      </c>
      <c r="AE25" s="37" t="s">
        <v>888</v>
      </c>
      <c r="AF25" s="37" t="s">
        <v>889</v>
      </c>
      <c r="AG25" s="38" t="s">
        <v>890</v>
      </c>
      <c r="AH25" s="37" t="s">
        <v>891</v>
      </c>
      <c r="AI25" s="37" t="s">
        <v>892</v>
      </c>
      <c r="AJ25" s="37" t="s">
        <v>893</v>
      </c>
      <c r="AK25" s="38" t="s">
        <v>894</v>
      </c>
      <c r="AL25" s="37" t="s">
        <v>895</v>
      </c>
      <c r="AM25" s="37" t="s">
        <v>896</v>
      </c>
      <c r="AN25" s="37" t="s">
        <v>897</v>
      </c>
      <c r="AO25" s="37" t="s">
        <v>898</v>
      </c>
      <c r="AP25" s="37" t="s">
        <v>899</v>
      </c>
      <c r="AQ25" s="37" t="s">
        <v>900</v>
      </c>
      <c r="AR25" s="38" t="s">
        <v>901</v>
      </c>
      <c r="AS25" s="37" t="s">
        <v>902</v>
      </c>
      <c r="AT25" s="37" t="s">
        <v>903</v>
      </c>
      <c r="AU25" s="38" t="s">
        <v>904</v>
      </c>
      <c r="AV25" s="37" t="s">
        <v>905</v>
      </c>
      <c r="AW25" s="38" t="s">
        <v>906</v>
      </c>
      <c r="AX25" s="37" t="s">
        <v>907</v>
      </c>
      <c r="AY25" s="37" t="s">
        <v>908</v>
      </c>
      <c r="AZ25" s="38" t="s">
        <v>909</v>
      </c>
      <c r="BA25" s="37" t="s">
        <v>910</v>
      </c>
      <c r="BB25" s="37" t="s">
        <v>911</v>
      </c>
      <c r="BC25" s="37" t="s">
        <v>912</v>
      </c>
    </row>
    <row r="26" customFormat="false" ht="23.85" hidden="false" customHeight="false" outlineLevel="0" collapsed="false">
      <c r="A26" s="36"/>
      <c r="B26" s="38" t="s">
        <v>913</v>
      </c>
      <c r="C26" s="38" t="s">
        <v>914</v>
      </c>
      <c r="D26" s="38" t="s">
        <v>915</v>
      </c>
      <c r="E26" s="37" t="s">
        <v>916</v>
      </c>
      <c r="F26" s="37" t="s">
        <v>917</v>
      </c>
      <c r="G26" s="38" t="s">
        <v>918</v>
      </c>
      <c r="H26" s="37" t="s">
        <v>919</v>
      </c>
      <c r="I26" s="37" t="s">
        <v>920</v>
      </c>
      <c r="J26" s="37" t="s">
        <v>921</v>
      </c>
      <c r="K26" s="37" t="s">
        <v>922</v>
      </c>
      <c r="L26" s="38" t="s">
        <v>923</v>
      </c>
      <c r="M26" s="38" t="s">
        <v>924</v>
      </c>
      <c r="N26" s="37" t="s">
        <v>925</v>
      </c>
      <c r="O26" s="38" t="s">
        <v>926</v>
      </c>
      <c r="P26" s="37" t="s">
        <v>927</v>
      </c>
      <c r="Q26" s="37" t="s">
        <v>928</v>
      </c>
      <c r="R26" s="37" t="s">
        <v>929</v>
      </c>
      <c r="S26" s="37" t="s">
        <v>930</v>
      </c>
      <c r="T26" s="37" t="s">
        <v>931</v>
      </c>
      <c r="U26" s="37" t="s">
        <v>932</v>
      </c>
      <c r="V26" s="37" t="s">
        <v>933</v>
      </c>
      <c r="W26" s="37" t="s">
        <v>934</v>
      </c>
      <c r="X26" s="37" t="s">
        <v>935</v>
      </c>
      <c r="Y26" s="37" t="s">
        <v>936</v>
      </c>
      <c r="Z26" s="38" t="s">
        <v>937</v>
      </c>
      <c r="AA26" s="38" t="s">
        <v>938</v>
      </c>
      <c r="AB26" s="37" t="s">
        <v>939</v>
      </c>
      <c r="AC26" s="38" t="s">
        <v>940</v>
      </c>
      <c r="AD26" s="38" t="s">
        <v>941</v>
      </c>
      <c r="AE26" s="37" t="s">
        <v>942</v>
      </c>
      <c r="AF26" s="37" t="s">
        <v>943</v>
      </c>
      <c r="AG26" s="37" t="s">
        <v>944</v>
      </c>
      <c r="AH26" s="37" t="s">
        <v>945</v>
      </c>
      <c r="AI26" s="37" t="s">
        <v>946</v>
      </c>
      <c r="AJ26" s="37" t="s">
        <v>947</v>
      </c>
      <c r="AK26" s="38" t="s">
        <v>948</v>
      </c>
      <c r="AL26" s="37" t="s">
        <v>949</v>
      </c>
      <c r="AM26" s="37" t="s">
        <v>950</v>
      </c>
      <c r="AN26" s="38" t="s">
        <v>951</v>
      </c>
      <c r="AO26" s="37" t="s">
        <v>952</v>
      </c>
      <c r="AP26" s="37" t="s">
        <v>953</v>
      </c>
      <c r="AQ26" s="37" t="s">
        <v>954</v>
      </c>
      <c r="AR26" s="38" t="s">
        <v>955</v>
      </c>
      <c r="AS26" s="37" t="s">
        <v>956</v>
      </c>
      <c r="AT26" s="37" t="s">
        <v>957</v>
      </c>
      <c r="AU26" s="37" t="s">
        <v>958</v>
      </c>
      <c r="AV26" s="37" t="s">
        <v>959</v>
      </c>
      <c r="AW26" s="38" t="s">
        <v>960</v>
      </c>
      <c r="AX26" s="37" t="s">
        <v>961</v>
      </c>
      <c r="AY26" s="37" t="s">
        <v>962</v>
      </c>
      <c r="AZ26" s="38" t="s">
        <v>963</v>
      </c>
      <c r="BA26" s="37" t="s">
        <v>964</v>
      </c>
      <c r="BB26" s="37" t="s">
        <v>965</v>
      </c>
      <c r="BC26" s="38" t="s">
        <v>966</v>
      </c>
    </row>
    <row r="27" customFormat="false" ht="23.85" hidden="false" customHeight="false" outlineLevel="0" collapsed="false">
      <c r="A27" s="36"/>
      <c r="B27" s="37" t="s">
        <v>967</v>
      </c>
      <c r="C27" s="37" t="s">
        <v>968</v>
      </c>
      <c r="D27" s="38" t="s">
        <v>969</v>
      </c>
      <c r="E27" s="37" t="s">
        <v>970</v>
      </c>
      <c r="F27" s="37" t="s">
        <v>971</v>
      </c>
      <c r="G27" s="38" t="s">
        <v>972</v>
      </c>
      <c r="H27" s="37" t="s">
        <v>973</v>
      </c>
      <c r="I27" s="37" t="s">
        <v>974</v>
      </c>
      <c r="J27" s="37" t="s">
        <v>975</v>
      </c>
      <c r="K27" s="37" t="s">
        <v>976</v>
      </c>
      <c r="L27" s="38" t="s">
        <v>977</v>
      </c>
      <c r="M27" s="37" t="s">
        <v>978</v>
      </c>
      <c r="N27" s="37" t="s">
        <v>979</v>
      </c>
      <c r="O27" s="37" t="s">
        <v>980</v>
      </c>
      <c r="P27" s="38" t="s">
        <v>981</v>
      </c>
      <c r="Q27" s="37" t="s">
        <v>982</v>
      </c>
      <c r="R27" s="37" t="s">
        <v>983</v>
      </c>
      <c r="S27" s="37" t="s">
        <v>984</v>
      </c>
      <c r="T27" s="37" t="s">
        <v>985</v>
      </c>
      <c r="U27" s="38" t="s">
        <v>986</v>
      </c>
      <c r="V27" s="37" t="s">
        <v>987</v>
      </c>
      <c r="W27" s="37" t="s">
        <v>988</v>
      </c>
      <c r="X27" s="37" t="s">
        <v>989</v>
      </c>
      <c r="Y27" s="37" t="s">
        <v>990</v>
      </c>
      <c r="Z27" s="37" t="s">
        <v>991</v>
      </c>
      <c r="AA27" s="37" t="s">
        <v>992</v>
      </c>
      <c r="AB27" s="37" t="s">
        <v>993</v>
      </c>
      <c r="AC27" s="38" t="s">
        <v>994</v>
      </c>
      <c r="AD27" s="38" t="s">
        <v>995</v>
      </c>
      <c r="AE27" s="37" t="s">
        <v>996</v>
      </c>
      <c r="AF27" s="37" t="s">
        <v>997</v>
      </c>
      <c r="AG27" s="37" t="s">
        <v>998</v>
      </c>
      <c r="AH27" s="37" t="s">
        <v>999</v>
      </c>
      <c r="AI27" s="37" t="s">
        <v>1000</v>
      </c>
      <c r="AJ27" s="37" t="s">
        <v>1001</v>
      </c>
      <c r="AK27" s="38" t="s">
        <v>1002</v>
      </c>
      <c r="AL27" s="37" t="s">
        <v>1003</v>
      </c>
      <c r="AM27" s="37" t="s">
        <v>1004</v>
      </c>
      <c r="AN27" s="37" t="s">
        <v>1005</v>
      </c>
      <c r="AO27" s="37" t="s">
        <v>1006</v>
      </c>
      <c r="AP27" s="37" t="s">
        <v>1007</v>
      </c>
      <c r="AQ27" s="37" t="s">
        <v>1008</v>
      </c>
      <c r="AR27" s="37" t="s">
        <v>1009</v>
      </c>
      <c r="AS27" s="37" t="s">
        <v>1010</v>
      </c>
      <c r="AT27" s="37" t="s">
        <v>1011</v>
      </c>
      <c r="AU27" s="38" t="s">
        <v>1012</v>
      </c>
      <c r="AV27" s="37" t="s">
        <v>1013</v>
      </c>
      <c r="AW27" s="37" t="s">
        <v>1014</v>
      </c>
      <c r="AX27" s="37" t="s">
        <v>1015</v>
      </c>
      <c r="AY27" s="37" t="s">
        <v>1016</v>
      </c>
      <c r="AZ27" s="38" t="s">
        <v>1017</v>
      </c>
      <c r="BA27" s="37" t="s">
        <v>1018</v>
      </c>
      <c r="BB27" s="37" t="s">
        <v>1019</v>
      </c>
      <c r="BC27" s="38" t="s">
        <v>1020</v>
      </c>
    </row>
    <row r="28" customFormat="false" ht="23.85" hidden="false" customHeight="false" outlineLevel="0" collapsed="false">
      <c r="A28" s="36"/>
      <c r="B28" s="38" t="s">
        <v>1021</v>
      </c>
      <c r="C28" s="38" t="s">
        <v>1022</v>
      </c>
      <c r="D28" s="38" t="s">
        <v>1023</v>
      </c>
      <c r="E28" s="37" t="s">
        <v>1024</v>
      </c>
      <c r="F28" s="37" t="s">
        <v>1025</v>
      </c>
      <c r="G28" s="37" t="s">
        <v>1026</v>
      </c>
      <c r="H28" s="37" t="s">
        <v>1027</v>
      </c>
      <c r="I28" s="37" t="s">
        <v>1028</v>
      </c>
      <c r="J28" s="37" t="s">
        <v>1029</v>
      </c>
      <c r="K28" s="37" t="s">
        <v>1030</v>
      </c>
      <c r="L28" s="38" t="s">
        <v>1031</v>
      </c>
      <c r="M28" s="38" t="s">
        <v>1032</v>
      </c>
      <c r="N28" s="37" t="s">
        <v>1033</v>
      </c>
      <c r="O28" s="37" t="s">
        <v>1034</v>
      </c>
      <c r="P28" s="37" t="s">
        <v>1035</v>
      </c>
      <c r="Q28" s="37" t="s">
        <v>1025</v>
      </c>
      <c r="R28" s="37" t="s">
        <v>1036</v>
      </c>
      <c r="S28" s="37" t="s">
        <v>1037</v>
      </c>
      <c r="T28" s="37" t="s">
        <v>1038</v>
      </c>
      <c r="U28" s="38" t="s">
        <v>1039</v>
      </c>
      <c r="V28" s="37" t="s">
        <v>1040</v>
      </c>
      <c r="W28" s="37" t="s">
        <v>1041</v>
      </c>
      <c r="X28" s="37" t="s">
        <v>1042</v>
      </c>
      <c r="Y28" s="37" t="s">
        <v>1043</v>
      </c>
      <c r="Z28" s="38" t="s">
        <v>1044</v>
      </c>
      <c r="AA28" s="37" t="s">
        <v>1045</v>
      </c>
      <c r="AB28" s="37" t="s">
        <v>1046</v>
      </c>
      <c r="AC28" s="38" t="s">
        <v>1047</v>
      </c>
      <c r="AD28" s="37" t="s">
        <v>1048</v>
      </c>
      <c r="AE28" s="37" t="s">
        <v>1049</v>
      </c>
      <c r="AF28" s="38" t="s">
        <v>1050</v>
      </c>
      <c r="AG28" s="37" t="s">
        <v>1051</v>
      </c>
      <c r="AH28" s="37" t="s">
        <v>1025</v>
      </c>
      <c r="AI28" s="37" t="s">
        <v>1025</v>
      </c>
      <c r="AJ28" s="37" t="s">
        <v>1052</v>
      </c>
      <c r="AK28" s="38" t="s">
        <v>1053</v>
      </c>
      <c r="AL28" s="37" t="s">
        <v>1054</v>
      </c>
      <c r="AM28" s="37" t="s">
        <v>1055</v>
      </c>
      <c r="AN28" s="37" t="s">
        <v>1056</v>
      </c>
      <c r="AO28" s="37" t="s">
        <v>1057</v>
      </c>
      <c r="AP28" s="37" t="s">
        <v>1058</v>
      </c>
      <c r="AQ28" s="37" t="s">
        <v>1059</v>
      </c>
      <c r="AR28" s="37" t="s">
        <v>1060</v>
      </c>
      <c r="AS28" s="37" t="s">
        <v>1061</v>
      </c>
      <c r="AT28" s="37" t="s">
        <v>1062</v>
      </c>
      <c r="AU28" s="38" t="s">
        <v>1063</v>
      </c>
      <c r="AV28" s="37" t="s">
        <v>1064</v>
      </c>
      <c r="AW28" s="37" t="s">
        <v>1065</v>
      </c>
      <c r="AX28" s="37" t="s">
        <v>1066</v>
      </c>
      <c r="AY28" s="37" t="s">
        <v>1067</v>
      </c>
      <c r="AZ28" s="37" t="s">
        <v>1068</v>
      </c>
      <c r="BA28" s="37" t="s">
        <v>1069</v>
      </c>
      <c r="BB28" s="37" t="s">
        <v>1025</v>
      </c>
      <c r="BC28" s="38" t="s">
        <v>1070</v>
      </c>
    </row>
    <row r="29" customFormat="false" ht="23.85" hidden="false" customHeight="false" outlineLevel="0" collapsed="false">
      <c r="A29" s="36"/>
      <c r="B29" s="38" t="s">
        <v>1050</v>
      </c>
      <c r="C29" s="38" t="s">
        <v>1071</v>
      </c>
      <c r="D29" s="38" t="s">
        <v>1072</v>
      </c>
      <c r="E29" s="37" t="s">
        <v>1073</v>
      </c>
      <c r="F29" s="37" t="s">
        <v>1074</v>
      </c>
      <c r="G29" s="37" t="s">
        <v>1075</v>
      </c>
      <c r="H29" s="37" t="s">
        <v>1076</v>
      </c>
      <c r="I29" s="37" t="s">
        <v>1077</v>
      </c>
      <c r="J29" s="37" t="s">
        <v>1078</v>
      </c>
      <c r="K29" s="37" t="s">
        <v>1079</v>
      </c>
      <c r="L29" s="38" t="s">
        <v>1080</v>
      </c>
      <c r="M29" s="38" t="s">
        <v>1081</v>
      </c>
      <c r="N29" s="37" t="s">
        <v>1082</v>
      </c>
      <c r="O29" s="37" t="s">
        <v>1083</v>
      </c>
      <c r="P29" s="38" t="s">
        <v>1084</v>
      </c>
      <c r="Q29" s="37" t="s">
        <v>1074</v>
      </c>
      <c r="R29" s="37" t="s">
        <v>1025</v>
      </c>
      <c r="S29" s="38" t="s">
        <v>1085</v>
      </c>
      <c r="T29" s="37" t="s">
        <v>1086</v>
      </c>
      <c r="U29" s="37" t="s">
        <v>1087</v>
      </c>
      <c r="V29" s="37" t="s">
        <v>916</v>
      </c>
      <c r="W29" s="37" t="s">
        <v>1025</v>
      </c>
      <c r="X29" s="37" t="s">
        <v>1025</v>
      </c>
      <c r="Y29" s="37" t="s">
        <v>1088</v>
      </c>
      <c r="Z29" s="38" t="s">
        <v>1089</v>
      </c>
      <c r="AA29" s="37" t="s">
        <v>1090</v>
      </c>
      <c r="AB29" s="37" t="s">
        <v>1091</v>
      </c>
      <c r="AC29" s="37" t="s">
        <v>1092</v>
      </c>
      <c r="AD29" s="38" t="s">
        <v>1093</v>
      </c>
      <c r="AE29" s="37" t="s">
        <v>1094</v>
      </c>
      <c r="AF29" s="37" t="s">
        <v>1095</v>
      </c>
      <c r="AG29" s="38" t="s">
        <v>1096</v>
      </c>
      <c r="AH29" s="37" t="s">
        <v>1074</v>
      </c>
      <c r="AI29" s="37" t="s">
        <v>1074</v>
      </c>
      <c r="AJ29" s="37" t="s">
        <v>1097</v>
      </c>
      <c r="AK29" s="37" t="s">
        <v>1098</v>
      </c>
      <c r="AL29" s="37" t="s">
        <v>1099</v>
      </c>
      <c r="AM29" s="37" t="s">
        <v>1100</v>
      </c>
      <c r="AN29" s="37" t="s">
        <v>1101</v>
      </c>
      <c r="AO29" s="37" t="s">
        <v>1025</v>
      </c>
      <c r="AP29" s="37" t="s">
        <v>1025</v>
      </c>
      <c r="AQ29" s="37" t="s">
        <v>1025</v>
      </c>
      <c r="AR29" s="37" t="s">
        <v>1102</v>
      </c>
      <c r="AS29" s="37" t="s">
        <v>1025</v>
      </c>
      <c r="AT29" s="37" t="s">
        <v>1025</v>
      </c>
      <c r="AU29" s="37" t="s">
        <v>1103</v>
      </c>
      <c r="AV29" s="37" t="s">
        <v>1104</v>
      </c>
      <c r="AW29" s="37" t="s">
        <v>1105</v>
      </c>
      <c r="AX29" s="37" t="s">
        <v>1106</v>
      </c>
      <c r="AY29" s="37" t="s">
        <v>1025</v>
      </c>
      <c r="AZ29" s="37" t="s">
        <v>1107</v>
      </c>
      <c r="BA29" s="37" t="s">
        <v>1108</v>
      </c>
      <c r="BB29" s="37" t="s">
        <v>1074</v>
      </c>
      <c r="BC29" s="38" t="s">
        <v>1109</v>
      </c>
    </row>
    <row r="30" customFormat="false" ht="15" hidden="false" customHeight="false" outlineLevel="0" collapsed="false">
      <c r="B30" s="38" t="s">
        <v>1110</v>
      </c>
      <c r="C30" s="38" t="s">
        <v>1111</v>
      </c>
      <c r="D30" s="37" t="s">
        <v>1112</v>
      </c>
      <c r="E30" s="37" t="s">
        <v>1113</v>
      </c>
      <c r="F30" s="39" t="s">
        <v>1114</v>
      </c>
      <c r="G30" s="37" t="s">
        <v>1115</v>
      </c>
      <c r="H30" s="37" t="s">
        <v>1116</v>
      </c>
      <c r="I30" s="37" t="s">
        <v>1025</v>
      </c>
      <c r="J30" s="37" t="s">
        <v>1025</v>
      </c>
      <c r="K30" s="37" t="s">
        <v>1117</v>
      </c>
      <c r="L30" s="37" t="s">
        <v>1118</v>
      </c>
      <c r="M30" s="38" t="s">
        <v>1119</v>
      </c>
      <c r="N30" s="37" t="s">
        <v>1120</v>
      </c>
      <c r="O30" s="37" t="s">
        <v>1121</v>
      </c>
      <c r="P30" s="37" t="s">
        <v>1122</v>
      </c>
      <c r="Q30" s="39" t="s">
        <v>1123</v>
      </c>
      <c r="R30" s="37" t="s">
        <v>1074</v>
      </c>
      <c r="S30" s="38" t="s">
        <v>1124</v>
      </c>
      <c r="T30" s="37" t="s">
        <v>1025</v>
      </c>
      <c r="U30" s="37" t="s">
        <v>1125</v>
      </c>
      <c r="V30" s="37" t="s">
        <v>1126</v>
      </c>
      <c r="W30" s="37" t="s">
        <v>1074</v>
      </c>
      <c r="X30" s="37" t="s">
        <v>1074</v>
      </c>
      <c r="Y30" s="37" t="s">
        <v>1127</v>
      </c>
      <c r="Z30" s="38" t="s">
        <v>1128</v>
      </c>
      <c r="AA30" s="37" t="s">
        <v>1129</v>
      </c>
      <c r="AB30" s="37" t="s">
        <v>1130</v>
      </c>
      <c r="AC30" s="37" t="s">
        <v>1131</v>
      </c>
      <c r="AD30" s="38" t="s">
        <v>1132</v>
      </c>
      <c r="AE30" s="37" t="s">
        <v>1133</v>
      </c>
      <c r="AF30" s="37" t="s">
        <v>1025</v>
      </c>
      <c r="AG30" s="38" t="s">
        <v>1134</v>
      </c>
      <c r="AH30" s="39" t="s">
        <v>1135</v>
      </c>
      <c r="AI30" s="39" t="s">
        <v>1136</v>
      </c>
      <c r="AJ30" s="37" t="s">
        <v>1025</v>
      </c>
      <c r="AK30" s="37" t="s">
        <v>1137</v>
      </c>
      <c r="AL30" s="37" t="s">
        <v>1138</v>
      </c>
      <c r="AM30" s="37" t="s">
        <v>1139</v>
      </c>
      <c r="AN30" s="37" t="s">
        <v>1140</v>
      </c>
      <c r="AO30" s="37" t="s">
        <v>1074</v>
      </c>
      <c r="AP30" s="37" t="s">
        <v>1074</v>
      </c>
      <c r="AQ30" s="37" t="s">
        <v>1074</v>
      </c>
      <c r="AR30" s="37" t="s">
        <v>1141</v>
      </c>
      <c r="AS30" s="37" t="s">
        <v>1074</v>
      </c>
      <c r="AT30" s="37" t="s">
        <v>1074</v>
      </c>
      <c r="AU30" s="38" t="s">
        <v>1142</v>
      </c>
      <c r="AV30" s="37" t="s">
        <v>1025</v>
      </c>
      <c r="AW30" s="38" t="s">
        <v>1143</v>
      </c>
      <c r="AX30" s="37" t="s">
        <v>1144</v>
      </c>
      <c r="AY30" s="37" t="s">
        <v>1074</v>
      </c>
      <c r="AZ30" s="37" t="s">
        <v>1145</v>
      </c>
      <c r="BA30" s="37" t="s">
        <v>1025</v>
      </c>
      <c r="BB30" s="39" t="s">
        <v>1146</v>
      </c>
      <c r="BC30" s="37" t="s">
        <v>1147</v>
      </c>
    </row>
    <row r="31" customFormat="false" ht="23.85" hidden="false" customHeight="false" outlineLevel="0" collapsed="false">
      <c r="B31" s="37" t="s">
        <v>1148</v>
      </c>
      <c r="C31" s="38" t="s">
        <v>1149</v>
      </c>
      <c r="D31" s="37" t="s">
        <v>1150</v>
      </c>
      <c r="E31" s="37" t="s">
        <v>1151</v>
      </c>
      <c r="F31" s="39" t="s">
        <v>1152</v>
      </c>
      <c r="G31" s="37" t="s">
        <v>1153</v>
      </c>
      <c r="H31" s="37" t="s">
        <v>1025</v>
      </c>
      <c r="I31" s="37" t="s">
        <v>1074</v>
      </c>
      <c r="J31" s="37" t="s">
        <v>1074</v>
      </c>
      <c r="K31" s="37" t="s">
        <v>1025</v>
      </c>
      <c r="L31" s="37" t="s">
        <v>1154</v>
      </c>
      <c r="M31" s="38" t="s">
        <v>1155</v>
      </c>
      <c r="N31" s="37" t="s">
        <v>1025</v>
      </c>
      <c r="O31" s="37" t="s">
        <v>1156</v>
      </c>
      <c r="P31" s="37" t="s">
        <v>1157</v>
      </c>
      <c r="Q31" s="39" t="s">
        <v>1158</v>
      </c>
      <c r="R31" s="39" t="s">
        <v>1159</v>
      </c>
      <c r="S31" s="38" t="s">
        <v>1160</v>
      </c>
      <c r="T31" s="37" t="s">
        <v>1074</v>
      </c>
      <c r="U31" s="37" t="s">
        <v>1161</v>
      </c>
      <c r="V31" s="37" t="s">
        <v>1162</v>
      </c>
      <c r="W31" s="39" t="s">
        <v>1163</v>
      </c>
      <c r="X31" s="39" t="s">
        <v>1164</v>
      </c>
      <c r="Y31" s="37" t="s">
        <v>1025</v>
      </c>
      <c r="Z31" s="38" t="s">
        <v>1165</v>
      </c>
      <c r="AA31" s="37" t="s">
        <v>1166</v>
      </c>
      <c r="AB31" s="38" t="s">
        <v>1167</v>
      </c>
      <c r="AC31" s="38" t="s">
        <v>1168</v>
      </c>
      <c r="AD31" s="38" t="s">
        <v>1169</v>
      </c>
      <c r="AE31" s="37" t="s">
        <v>1025</v>
      </c>
      <c r="AF31" s="37" t="s">
        <v>1074</v>
      </c>
      <c r="AG31" s="38" t="s">
        <v>1170</v>
      </c>
      <c r="AH31" s="39" t="s">
        <v>1171</v>
      </c>
      <c r="AI31" s="39" t="s">
        <v>1172</v>
      </c>
      <c r="AJ31" s="37" t="s">
        <v>1074</v>
      </c>
      <c r="AK31" s="37" t="s">
        <v>1173</v>
      </c>
      <c r="AL31" s="37" t="s">
        <v>1025</v>
      </c>
      <c r="AM31" s="37" t="s">
        <v>1025</v>
      </c>
      <c r="AN31" s="37" t="s">
        <v>1174</v>
      </c>
      <c r="AO31" s="39" t="s">
        <v>1175</v>
      </c>
      <c r="AP31" s="39" t="s">
        <v>1176</v>
      </c>
      <c r="AQ31" s="39" t="s">
        <v>1177</v>
      </c>
      <c r="AR31" s="37" t="s">
        <v>1025</v>
      </c>
      <c r="AS31" s="39" t="s">
        <v>1178</v>
      </c>
      <c r="AT31" s="39" t="s">
        <v>1179</v>
      </c>
      <c r="AU31" s="38" t="s">
        <v>1180</v>
      </c>
      <c r="AV31" s="37" t="s">
        <v>1074</v>
      </c>
      <c r="AW31" s="38" t="s">
        <v>1181</v>
      </c>
      <c r="AX31" s="37" t="s">
        <v>1182</v>
      </c>
      <c r="AY31" s="39" t="s">
        <v>1183</v>
      </c>
      <c r="AZ31" s="37" t="s">
        <v>1184</v>
      </c>
      <c r="BA31" s="37" t="s">
        <v>1074</v>
      </c>
      <c r="BB31" s="39" t="s">
        <v>1185</v>
      </c>
      <c r="BC31" s="37" t="s">
        <v>1186</v>
      </c>
    </row>
    <row r="32" customFormat="false" ht="15" hidden="false" customHeight="false" outlineLevel="0" collapsed="false">
      <c r="B32" s="37" t="s">
        <v>1187</v>
      </c>
      <c r="C32" s="37" t="s">
        <v>1188</v>
      </c>
      <c r="D32" s="38" t="s">
        <v>1189</v>
      </c>
      <c r="E32" s="37" t="s">
        <v>1025</v>
      </c>
      <c r="F32" s="39" t="s">
        <v>1190</v>
      </c>
      <c r="G32" s="38" t="s">
        <v>1191</v>
      </c>
      <c r="H32" s="37" t="s">
        <v>1074</v>
      </c>
      <c r="I32" s="39" t="s">
        <v>1192</v>
      </c>
      <c r="J32" s="39" t="s">
        <v>1193</v>
      </c>
      <c r="K32" s="37" t="s">
        <v>1074</v>
      </c>
      <c r="L32" s="37" t="s">
        <v>838</v>
      </c>
      <c r="M32" s="38" t="s">
        <v>1194</v>
      </c>
      <c r="N32" s="37" t="s">
        <v>1074</v>
      </c>
      <c r="O32" s="38" t="s">
        <v>1195</v>
      </c>
      <c r="P32" s="37" t="s">
        <v>1196</v>
      </c>
      <c r="Q32" s="39" t="s">
        <v>1197</v>
      </c>
      <c r="R32" s="39" t="s">
        <v>1198</v>
      </c>
      <c r="S32" s="38" t="s">
        <v>1199</v>
      </c>
      <c r="T32" s="39" t="s">
        <v>1200</v>
      </c>
      <c r="U32" s="38" t="s">
        <v>1201</v>
      </c>
      <c r="V32" s="37" t="s">
        <v>1025</v>
      </c>
      <c r="W32" s="39" t="s">
        <v>1202</v>
      </c>
      <c r="X32" s="39" t="s">
        <v>1203</v>
      </c>
      <c r="Y32" s="37" t="s">
        <v>1074</v>
      </c>
      <c r="Z32" s="38" t="s">
        <v>1204</v>
      </c>
      <c r="AA32" s="37" t="s">
        <v>1205</v>
      </c>
      <c r="AB32" s="38" t="s">
        <v>1206</v>
      </c>
      <c r="AC32" s="38" t="s">
        <v>1207</v>
      </c>
      <c r="AD32" s="37" t="s">
        <v>1208</v>
      </c>
      <c r="AE32" s="37" t="s">
        <v>1074</v>
      </c>
      <c r="AF32" s="39" t="s">
        <v>1209</v>
      </c>
      <c r="AG32" s="37" t="s">
        <v>1210</v>
      </c>
      <c r="AH32" s="39" t="s">
        <v>1211</v>
      </c>
      <c r="AI32" s="39" t="s">
        <v>1212</v>
      </c>
      <c r="AJ32" s="39" t="s">
        <v>1213</v>
      </c>
      <c r="AK32" s="37" t="s">
        <v>1214</v>
      </c>
      <c r="AL32" s="37" t="s">
        <v>1074</v>
      </c>
      <c r="AM32" s="37" t="s">
        <v>1074</v>
      </c>
      <c r="AN32" s="37" t="s">
        <v>1025</v>
      </c>
      <c r="AO32" s="39" t="s">
        <v>1215</v>
      </c>
      <c r="AP32" s="39" t="s">
        <v>1216</v>
      </c>
      <c r="AQ32" s="39" t="s">
        <v>1217</v>
      </c>
      <c r="AR32" s="37" t="s">
        <v>1074</v>
      </c>
      <c r="AS32" s="39" t="s">
        <v>1218</v>
      </c>
      <c r="AT32" s="39" t="s">
        <v>1219</v>
      </c>
      <c r="AU32" s="38" t="s">
        <v>1220</v>
      </c>
      <c r="AV32" s="39" t="s">
        <v>1221</v>
      </c>
      <c r="AW32" s="37" t="s">
        <v>1222</v>
      </c>
      <c r="AX32" s="37" t="s">
        <v>1223</v>
      </c>
      <c r="AY32" s="39" t="s">
        <v>1224</v>
      </c>
      <c r="AZ32" s="37" t="s">
        <v>1225</v>
      </c>
      <c r="BA32" s="39" t="s">
        <v>1226</v>
      </c>
      <c r="BB32" s="39" t="s">
        <v>1227</v>
      </c>
      <c r="BC32" s="37" t="s">
        <v>1228</v>
      </c>
    </row>
    <row r="33" customFormat="false" ht="15" hidden="false" customHeight="false" outlineLevel="0" collapsed="false">
      <c r="B33" s="37" t="s">
        <v>1229</v>
      </c>
      <c r="C33" s="38" t="s">
        <v>1230</v>
      </c>
      <c r="D33" s="38" t="s">
        <v>1231</v>
      </c>
      <c r="E33" s="37" t="s">
        <v>1074</v>
      </c>
      <c r="F33" s="39" t="s">
        <v>1232</v>
      </c>
      <c r="G33" s="38" t="s">
        <v>1233</v>
      </c>
      <c r="H33" s="39" t="s">
        <v>1234</v>
      </c>
      <c r="I33" s="39" t="s">
        <v>1235</v>
      </c>
      <c r="J33" s="39" t="s">
        <v>1236</v>
      </c>
      <c r="K33" s="39" t="s">
        <v>1237</v>
      </c>
      <c r="L33" s="37" t="s">
        <v>1238</v>
      </c>
      <c r="M33" s="38" t="s">
        <v>1239</v>
      </c>
      <c r="N33" s="39" t="s">
        <v>1240</v>
      </c>
      <c r="O33" s="38" t="s">
        <v>1241</v>
      </c>
      <c r="P33" s="37" t="s">
        <v>1242</v>
      </c>
      <c r="Q33" s="39" t="s">
        <v>1243</v>
      </c>
      <c r="R33" s="39" t="s">
        <v>1244</v>
      </c>
      <c r="S33" s="38" t="s">
        <v>1245</v>
      </c>
      <c r="T33" s="39" t="s">
        <v>1246</v>
      </c>
      <c r="U33" s="38" t="s">
        <v>1247</v>
      </c>
      <c r="V33" s="37" t="s">
        <v>1074</v>
      </c>
      <c r="W33" s="39" t="s">
        <v>1248</v>
      </c>
      <c r="X33" s="39" t="s">
        <v>1249</v>
      </c>
      <c r="Y33" s="39" t="s">
        <v>1250</v>
      </c>
      <c r="Z33" s="37" t="s">
        <v>1251</v>
      </c>
      <c r="AA33" s="37" t="s">
        <v>1252</v>
      </c>
      <c r="AB33" s="38" t="s">
        <v>1253</v>
      </c>
      <c r="AC33" s="38" t="s">
        <v>1254</v>
      </c>
      <c r="AD33" s="37" t="s">
        <v>1255</v>
      </c>
      <c r="AE33" s="39" t="s">
        <v>1256</v>
      </c>
      <c r="AF33" s="39" t="s">
        <v>1257</v>
      </c>
      <c r="AG33" s="37" t="s">
        <v>1258</v>
      </c>
      <c r="AH33" s="39" t="s">
        <v>1259</v>
      </c>
      <c r="AI33" s="39" t="s">
        <v>1260</v>
      </c>
      <c r="AJ33" s="39" t="s">
        <v>1261</v>
      </c>
      <c r="AK33" s="37" t="s">
        <v>1262</v>
      </c>
      <c r="AL33" s="39" t="s">
        <v>1263</v>
      </c>
      <c r="AM33" s="39" t="s">
        <v>1264</v>
      </c>
      <c r="AN33" s="37" t="s">
        <v>1074</v>
      </c>
      <c r="AO33" s="39" t="s">
        <v>1265</v>
      </c>
      <c r="AP33" s="39" t="s">
        <v>1266</v>
      </c>
      <c r="AQ33" s="39" t="s">
        <v>1267</v>
      </c>
      <c r="AR33" s="39" t="s">
        <v>1268</v>
      </c>
      <c r="AS33" s="39" t="s">
        <v>1269</v>
      </c>
      <c r="AT33" s="39" t="s">
        <v>1270</v>
      </c>
      <c r="AU33" s="37" t="s">
        <v>1271</v>
      </c>
      <c r="AV33" s="39" t="s">
        <v>1272</v>
      </c>
      <c r="AW33" s="37" t="s">
        <v>1273</v>
      </c>
      <c r="AX33" s="37" t="s">
        <v>1274</v>
      </c>
      <c r="AY33" s="39" t="s">
        <v>1275</v>
      </c>
      <c r="AZ33" s="37" t="s">
        <v>1025</v>
      </c>
      <c r="BA33" s="39" t="s">
        <v>1276</v>
      </c>
      <c r="BB33" s="39" t="s">
        <v>1277</v>
      </c>
      <c r="BC33" s="37" t="s">
        <v>1025</v>
      </c>
    </row>
    <row r="34" customFormat="false" ht="23.85" hidden="false" customHeight="false" outlineLevel="0" collapsed="false">
      <c r="B34" s="38" t="s">
        <v>1278</v>
      </c>
      <c r="C34" s="38" t="s">
        <v>1279</v>
      </c>
      <c r="D34" s="38" t="s">
        <v>1280</v>
      </c>
      <c r="E34" s="39" t="s">
        <v>1281</v>
      </c>
      <c r="G34" s="38" t="s">
        <v>1282</v>
      </c>
      <c r="H34" s="39" t="s">
        <v>1283</v>
      </c>
      <c r="I34" s="39" t="s">
        <v>1284</v>
      </c>
      <c r="J34" s="39" t="s">
        <v>1285</v>
      </c>
      <c r="K34" s="39" t="s">
        <v>1286</v>
      </c>
      <c r="L34" s="38" t="s">
        <v>1287</v>
      </c>
      <c r="M34" s="37" t="s">
        <v>1288</v>
      </c>
      <c r="N34" s="39" t="s">
        <v>1289</v>
      </c>
      <c r="O34" s="38" t="s">
        <v>1290</v>
      </c>
      <c r="P34" s="37" t="s">
        <v>1291</v>
      </c>
      <c r="R34" s="39" t="s">
        <v>1292</v>
      </c>
      <c r="S34" s="37" t="s">
        <v>1293</v>
      </c>
      <c r="T34" s="39" t="s">
        <v>1294</v>
      </c>
      <c r="U34" s="38" t="s">
        <v>1295</v>
      </c>
      <c r="V34" s="39" t="s">
        <v>1296</v>
      </c>
      <c r="W34" s="39" t="s">
        <v>1297</v>
      </c>
      <c r="X34" s="39" t="s">
        <v>1298</v>
      </c>
      <c r="Y34" s="39" t="s">
        <v>1299</v>
      </c>
      <c r="Z34" s="37" t="s">
        <v>1300</v>
      </c>
      <c r="AA34" s="37" t="s">
        <v>1025</v>
      </c>
      <c r="AB34" s="37" t="s">
        <v>1301</v>
      </c>
      <c r="AC34" s="37" t="s">
        <v>1302</v>
      </c>
      <c r="AD34" s="37" t="s">
        <v>1025</v>
      </c>
      <c r="AE34" s="39" t="s">
        <v>1303</v>
      </c>
      <c r="AF34" s="39" t="s">
        <v>1304</v>
      </c>
      <c r="AG34" s="37" t="s">
        <v>1305</v>
      </c>
      <c r="AJ34" s="39" t="s">
        <v>1306</v>
      </c>
      <c r="AK34" s="37" t="s">
        <v>1307</v>
      </c>
      <c r="AL34" s="39" t="s">
        <v>1308</v>
      </c>
      <c r="AM34" s="39" t="s">
        <v>1309</v>
      </c>
      <c r="AN34" s="39" t="s">
        <v>1310</v>
      </c>
      <c r="AO34" s="39" t="s">
        <v>1311</v>
      </c>
      <c r="AP34" s="39" t="s">
        <v>1312</v>
      </c>
      <c r="AQ34" s="39" t="s">
        <v>1313</v>
      </c>
      <c r="AR34" s="39" t="s">
        <v>1314</v>
      </c>
      <c r="AS34" s="39" t="s">
        <v>1315</v>
      </c>
      <c r="AT34" s="39" t="s">
        <v>1316</v>
      </c>
      <c r="AU34" s="37" t="s">
        <v>1317</v>
      </c>
      <c r="AV34" s="39" t="s">
        <v>1318</v>
      </c>
      <c r="AW34" s="37" t="s">
        <v>1025</v>
      </c>
      <c r="AX34" s="37" t="s">
        <v>1319</v>
      </c>
      <c r="AY34" s="39" t="s">
        <v>1320</v>
      </c>
      <c r="AZ34" s="37" t="s">
        <v>1074</v>
      </c>
      <c r="BA34" s="39" t="s">
        <v>1321</v>
      </c>
      <c r="BC34" s="37" t="s">
        <v>1074</v>
      </c>
    </row>
    <row r="35" customFormat="false" ht="23.85" hidden="false" customHeight="false" outlineLevel="0" collapsed="false">
      <c r="B35" s="38" t="s">
        <v>1180</v>
      </c>
      <c r="C35" s="37" t="s">
        <v>1322</v>
      </c>
      <c r="D35" s="37" t="s">
        <v>1323</v>
      </c>
      <c r="E35" s="39" t="s">
        <v>1324</v>
      </c>
      <c r="G35" s="37" t="s">
        <v>1025</v>
      </c>
      <c r="H35" s="39" t="s">
        <v>1325</v>
      </c>
      <c r="I35" s="39" t="s">
        <v>1326</v>
      </c>
      <c r="J35" s="39" t="s">
        <v>1327</v>
      </c>
      <c r="K35" s="39" t="s">
        <v>1328</v>
      </c>
      <c r="L35" s="38" t="s">
        <v>1329</v>
      </c>
      <c r="M35" s="37" t="s">
        <v>1301</v>
      </c>
      <c r="N35" s="39" t="s">
        <v>1330</v>
      </c>
      <c r="O35" s="37" t="s">
        <v>1331</v>
      </c>
      <c r="P35" s="37" t="s">
        <v>1025</v>
      </c>
      <c r="S35" s="37" t="s">
        <v>1332</v>
      </c>
      <c r="T35" s="39" t="s">
        <v>1333</v>
      </c>
      <c r="U35" s="38" t="s">
        <v>1334</v>
      </c>
      <c r="V35" s="39" t="s">
        <v>1335</v>
      </c>
      <c r="Y35" s="39" t="s">
        <v>1336</v>
      </c>
      <c r="Z35" s="37" t="s">
        <v>1337</v>
      </c>
      <c r="AA35" s="37" t="s">
        <v>1074</v>
      </c>
      <c r="AB35" s="37" t="s">
        <v>1338</v>
      </c>
      <c r="AC35" s="37" t="s">
        <v>1339</v>
      </c>
      <c r="AD35" s="37" t="s">
        <v>1074</v>
      </c>
      <c r="AE35" s="39" t="s">
        <v>1276</v>
      </c>
      <c r="AF35" s="39" t="s">
        <v>1340</v>
      </c>
      <c r="AG35" s="37" t="s">
        <v>1341</v>
      </c>
      <c r="AJ35" s="39" t="s">
        <v>1342</v>
      </c>
      <c r="AK35" s="37" t="s">
        <v>1025</v>
      </c>
      <c r="AL35" s="39" t="s">
        <v>1343</v>
      </c>
      <c r="AM35" s="39" t="s">
        <v>1344</v>
      </c>
      <c r="AN35" s="39" t="s">
        <v>1345</v>
      </c>
      <c r="AR35" s="39" t="s">
        <v>1346</v>
      </c>
      <c r="AU35" s="37" t="s">
        <v>1347</v>
      </c>
      <c r="AV35" s="39" t="s">
        <v>1348</v>
      </c>
      <c r="AW35" s="37" t="s">
        <v>1074</v>
      </c>
      <c r="AX35" s="37" t="s">
        <v>1025</v>
      </c>
      <c r="AZ35" s="39" t="s">
        <v>1349</v>
      </c>
      <c r="BA35" s="39" t="s">
        <v>1350</v>
      </c>
      <c r="BC35" s="39" t="s">
        <v>1351</v>
      </c>
    </row>
    <row r="36" customFormat="false" ht="23.85" hidden="false" customHeight="false" outlineLevel="0" collapsed="false">
      <c r="B36" s="38" t="s">
        <v>1352</v>
      </c>
      <c r="C36" s="38" t="s">
        <v>1353</v>
      </c>
      <c r="D36" s="37" t="s">
        <v>1354</v>
      </c>
      <c r="E36" s="39" t="s">
        <v>1355</v>
      </c>
      <c r="G36" s="37" t="s">
        <v>1074</v>
      </c>
      <c r="H36" s="39" t="s">
        <v>1356</v>
      </c>
      <c r="K36" s="39" t="s">
        <v>1357</v>
      </c>
      <c r="L36" s="38" t="s">
        <v>1358</v>
      </c>
      <c r="M36" s="37" t="s">
        <v>1359</v>
      </c>
      <c r="N36" s="39" t="s">
        <v>1360</v>
      </c>
      <c r="O36" s="38" t="s">
        <v>1361</v>
      </c>
      <c r="P36" s="37" t="s">
        <v>1074</v>
      </c>
      <c r="S36" s="37" t="s">
        <v>1025</v>
      </c>
      <c r="U36" s="37" t="s">
        <v>1362</v>
      </c>
      <c r="V36" s="39" t="s">
        <v>1363</v>
      </c>
      <c r="Y36" s="39" t="s">
        <v>1364</v>
      </c>
      <c r="Z36" s="37" t="s">
        <v>1365</v>
      </c>
      <c r="AA36" s="39" t="s">
        <v>1366</v>
      </c>
      <c r="AB36" s="37" t="s">
        <v>1367</v>
      </c>
      <c r="AC36" s="37" t="s">
        <v>1368</v>
      </c>
      <c r="AD36" s="39" t="s">
        <v>1369</v>
      </c>
      <c r="AE36" s="39" t="s">
        <v>1370</v>
      </c>
      <c r="AG36" s="38" t="s">
        <v>1371</v>
      </c>
      <c r="AK36" s="37" t="s">
        <v>1074</v>
      </c>
      <c r="AL36" s="39" t="s">
        <v>1372</v>
      </c>
      <c r="AM36" s="39" t="s">
        <v>1373</v>
      </c>
      <c r="AN36" s="39" t="s">
        <v>1374</v>
      </c>
      <c r="AR36" s="39" t="s">
        <v>1375</v>
      </c>
      <c r="AU36" s="37" t="s">
        <v>1376</v>
      </c>
      <c r="AW36" s="39" t="s">
        <v>1377</v>
      </c>
      <c r="AX36" s="37" t="s">
        <v>1074</v>
      </c>
      <c r="AZ36" s="39" t="s">
        <v>1378</v>
      </c>
      <c r="BC36" s="39" t="s">
        <v>1379</v>
      </c>
    </row>
    <row r="37" customFormat="false" ht="15" hidden="false" customHeight="false" outlineLevel="0" collapsed="false">
      <c r="B37" s="38" t="s">
        <v>1380</v>
      </c>
      <c r="C37" s="38" t="s">
        <v>1381</v>
      </c>
      <c r="D37" s="37" t="s">
        <v>1382</v>
      </c>
      <c r="E37" s="39" t="s">
        <v>1383</v>
      </c>
      <c r="G37" s="39" t="s">
        <v>1384</v>
      </c>
      <c r="L37" s="38" t="s">
        <v>1385</v>
      </c>
      <c r="M37" s="37" t="s">
        <v>1386</v>
      </c>
      <c r="O37" s="38" t="s">
        <v>1387</v>
      </c>
      <c r="P37" s="39" t="s">
        <v>1388</v>
      </c>
      <c r="S37" s="37" t="s">
        <v>1074</v>
      </c>
      <c r="U37" s="37" t="s">
        <v>1389</v>
      </c>
      <c r="V37" s="39" t="s">
        <v>1390</v>
      </c>
      <c r="Z37" s="37" t="s">
        <v>1391</v>
      </c>
      <c r="AA37" s="39" t="s">
        <v>1392</v>
      </c>
      <c r="AB37" s="37" t="s">
        <v>1025</v>
      </c>
      <c r="AC37" s="37" t="s">
        <v>1025</v>
      </c>
      <c r="AD37" s="39" t="s">
        <v>1393</v>
      </c>
      <c r="AG37" s="38" t="s">
        <v>1394</v>
      </c>
      <c r="AK37" s="39" t="s">
        <v>1395</v>
      </c>
      <c r="AN37" s="39" t="s">
        <v>1396</v>
      </c>
      <c r="AU37" s="37" t="s">
        <v>1397</v>
      </c>
      <c r="AW37" s="39" t="s">
        <v>1398</v>
      </c>
      <c r="AX37" s="39" t="s">
        <v>1399</v>
      </c>
      <c r="AZ37" s="39" t="s">
        <v>1400</v>
      </c>
      <c r="BC37" s="39" t="s">
        <v>1401</v>
      </c>
    </row>
    <row r="38" customFormat="false" ht="15" hidden="false" customHeight="false" outlineLevel="0" collapsed="false">
      <c r="B38" s="37" t="s">
        <v>1402</v>
      </c>
      <c r="C38" s="37" t="s">
        <v>1403</v>
      </c>
      <c r="D38" s="37" t="s">
        <v>1025</v>
      </c>
      <c r="G38" s="39" t="s">
        <v>1404</v>
      </c>
      <c r="L38" s="37" t="s">
        <v>1025</v>
      </c>
      <c r="M38" s="37" t="s">
        <v>1405</v>
      </c>
      <c r="O38" s="37" t="s">
        <v>1025</v>
      </c>
      <c r="P38" s="39" t="s">
        <v>1406</v>
      </c>
      <c r="S38" s="39" t="s">
        <v>1407</v>
      </c>
      <c r="U38" s="37" t="s">
        <v>1025</v>
      </c>
      <c r="Z38" s="37" t="s">
        <v>1408</v>
      </c>
      <c r="AA38" s="39" t="s">
        <v>1409</v>
      </c>
      <c r="AB38" s="37" t="s">
        <v>1074</v>
      </c>
      <c r="AC38" s="37" t="s">
        <v>1074</v>
      </c>
      <c r="AD38" s="39" t="s">
        <v>1410</v>
      </c>
      <c r="AG38" s="38" t="s">
        <v>1411</v>
      </c>
      <c r="AK38" s="39" t="s">
        <v>1412</v>
      </c>
      <c r="AU38" s="37" t="s">
        <v>1413</v>
      </c>
      <c r="AW38" s="39" t="s">
        <v>1414</v>
      </c>
      <c r="AX38" s="39" t="s">
        <v>1415</v>
      </c>
      <c r="AZ38" s="39" t="s">
        <v>1416</v>
      </c>
      <c r="BC38" s="39" t="s">
        <v>1417</v>
      </c>
    </row>
    <row r="39" customFormat="false" ht="15" hidden="false" customHeight="false" outlineLevel="0" collapsed="false">
      <c r="B39" s="37" t="s">
        <v>1418</v>
      </c>
      <c r="C39" s="37" t="s">
        <v>1419</v>
      </c>
      <c r="D39" s="37" t="s">
        <v>1074</v>
      </c>
      <c r="G39" s="39" t="s">
        <v>1420</v>
      </c>
      <c r="L39" s="37" t="s">
        <v>1074</v>
      </c>
      <c r="M39" s="37" t="s">
        <v>1025</v>
      </c>
      <c r="O39" s="37" t="s">
        <v>1074</v>
      </c>
      <c r="P39" s="39" t="s">
        <v>1421</v>
      </c>
      <c r="S39" s="39" t="s">
        <v>1422</v>
      </c>
      <c r="U39" s="37" t="s">
        <v>1074</v>
      </c>
      <c r="Z39" s="37" t="s">
        <v>1025</v>
      </c>
      <c r="AA39" s="39" t="s">
        <v>1423</v>
      </c>
      <c r="AB39" s="39" t="s">
        <v>1424</v>
      </c>
      <c r="AC39" s="39" t="s">
        <v>1425</v>
      </c>
      <c r="AD39" s="39" t="s">
        <v>1426</v>
      </c>
      <c r="AG39" s="38" t="s">
        <v>1427</v>
      </c>
      <c r="AK39" s="39" t="s">
        <v>1428</v>
      </c>
      <c r="AU39" s="37" t="s">
        <v>1025</v>
      </c>
      <c r="AW39" s="39" t="s">
        <v>1429</v>
      </c>
      <c r="AX39" s="39" t="s">
        <v>1430</v>
      </c>
    </row>
    <row r="40" customFormat="false" ht="15" hidden="false" customHeight="false" outlineLevel="0" collapsed="false">
      <c r="B40" s="37" t="s">
        <v>1025</v>
      </c>
      <c r="C40" s="38" t="s">
        <v>1431</v>
      </c>
      <c r="D40" s="39" t="s">
        <v>1432</v>
      </c>
      <c r="G40" s="39" t="s">
        <v>1433</v>
      </c>
      <c r="L40" s="39" t="s">
        <v>1434</v>
      </c>
      <c r="M40" s="37" t="s">
        <v>1074</v>
      </c>
      <c r="O40" s="39" t="s">
        <v>1435</v>
      </c>
      <c r="P40" s="39" t="s">
        <v>1436</v>
      </c>
      <c r="S40" s="39" t="s">
        <v>1437</v>
      </c>
      <c r="U40" s="39" t="s">
        <v>1438</v>
      </c>
      <c r="Z40" s="37" t="s">
        <v>1074</v>
      </c>
      <c r="AB40" s="39" t="s">
        <v>1439</v>
      </c>
      <c r="AC40" s="39" t="s">
        <v>1440</v>
      </c>
      <c r="AG40" s="37" t="s">
        <v>1025</v>
      </c>
      <c r="AK40" s="39" t="s">
        <v>1441</v>
      </c>
      <c r="AU40" s="37" t="s">
        <v>1074</v>
      </c>
      <c r="AX40" s="39" t="s">
        <v>1442</v>
      </c>
    </row>
    <row r="41" customFormat="false" ht="15" hidden="false" customHeight="false" outlineLevel="0" collapsed="false">
      <c r="B41" s="37" t="s">
        <v>1074</v>
      </c>
      <c r="C41" s="38" t="s">
        <v>1443</v>
      </c>
      <c r="D41" s="39" t="s">
        <v>1444</v>
      </c>
      <c r="L41" s="39" t="s">
        <v>1445</v>
      </c>
      <c r="M41" s="39" t="s">
        <v>1446</v>
      </c>
      <c r="O41" s="39" t="s">
        <v>1447</v>
      </c>
      <c r="S41" s="39" t="s">
        <v>1448</v>
      </c>
      <c r="U41" s="39" t="s">
        <v>1449</v>
      </c>
      <c r="Z41" s="39" t="s">
        <v>1450</v>
      </c>
      <c r="AB41" s="39" t="s">
        <v>1451</v>
      </c>
      <c r="AC41" s="39" t="s">
        <v>1452</v>
      </c>
      <c r="AG41" s="37" t="s">
        <v>1074</v>
      </c>
      <c r="AK41" s="39" t="s">
        <v>1453</v>
      </c>
      <c r="AU41" s="39" t="s">
        <v>1454</v>
      </c>
    </row>
    <row r="42" customFormat="false" ht="15" hidden="false" customHeight="false" outlineLevel="0" collapsed="false">
      <c r="B42" s="39" t="s">
        <v>1455</v>
      </c>
      <c r="C42" s="38" t="s">
        <v>1456</v>
      </c>
      <c r="D42" s="39" t="s">
        <v>1457</v>
      </c>
      <c r="L42" s="39" t="s">
        <v>1458</v>
      </c>
      <c r="M42" s="39" t="s">
        <v>1459</v>
      </c>
      <c r="O42" s="39" t="s">
        <v>1460</v>
      </c>
      <c r="S42" s="39" t="s">
        <v>1461</v>
      </c>
      <c r="U42" s="39" t="s">
        <v>1462</v>
      </c>
      <c r="Z42" s="39" t="s">
        <v>1463</v>
      </c>
      <c r="AB42" s="39" t="s">
        <v>1464</v>
      </c>
      <c r="AC42" s="39" t="s">
        <v>1465</v>
      </c>
      <c r="AG42" s="39" t="s">
        <v>1466</v>
      </c>
      <c r="AU42" s="39" t="s">
        <v>1467</v>
      </c>
    </row>
    <row r="43" customFormat="false" ht="15" hidden="false" customHeight="false" outlineLevel="0" collapsed="false">
      <c r="B43" s="39" t="s">
        <v>1468</v>
      </c>
      <c r="C43" s="37" t="s">
        <v>1469</v>
      </c>
      <c r="D43" s="39" t="s">
        <v>1470</v>
      </c>
      <c r="L43" s="39" t="s">
        <v>1370</v>
      </c>
      <c r="M43" s="39" t="s">
        <v>1471</v>
      </c>
      <c r="O43" s="39" t="s">
        <v>1472</v>
      </c>
      <c r="U43" s="39" t="s">
        <v>1473</v>
      </c>
      <c r="Z43" s="39" t="s">
        <v>1474</v>
      </c>
      <c r="AB43" s="39" t="s">
        <v>1475</v>
      </c>
      <c r="AC43" s="39" t="s">
        <v>1476</v>
      </c>
      <c r="AG43" s="39" t="s">
        <v>1477</v>
      </c>
      <c r="AU43" s="39" t="s">
        <v>1478</v>
      </c>
    </row>
    <row r="44" customFormat="false" ht="15" hidden="false" customHeight="false" outlineLevel="0" collapsed="false">
      <c r="B44" s="39" t="s">
        <v>1479</v>
      </c>
      <c r="C44" s="37" t="s">
        <v>1480</v>
      </c>
      <c r="M44" s="39" t="s">
        <v>1481</v>
      </c>
      <c r="U44" s="39" t="s">
        <v>1482</v>
      </c>
      <c r="Z44" s="39" t="s">
        <v>1483</v>
      </c>
      <c r="AG44" s="39" t="s">
        <v>1484</v>
      </c>
      <c r="AU44" s="39" t="s">
        <v>1485</v>
      </c>
    </row>
    <row r="45" customFormat="false" ht="15" hidden="false" customHeight="false" outlineLevel="0" collapsed="false">
      <c r="B45" s="39" t="s">
        <v>1486</v>
      </c>
      <c r="C45" s="37" t="s">
        <v>1487</v>
      </c>
      <c r="Z45" s="39" t="s">
        <v>1488</v>
      </c>
      <c r="AG45" s="39" t="s">
        <v>1489</v>
      </c>
    </row>
    <row r="46" customFormat="false" ht="15" hidden="false" customHeight="false" outlineLevel="0" collapsed="false">
      <c r="B46" s="39" t="s">
        <v>1490</v>
      </c>
      <c r="C46" s="37" t="s">
        <v>1025</v>
      </c>
    </row>
    <row r="47" customFormat="false" ht="15" hidden="false" customHeight="false" outlineLevel="0" collapsed="false">
      <c r="C47" s="37" t="s">
        <v>1074</v>
      </c>
    </row>
    <row r="48" customFormat="false" ht="15" hidden="false" customHeight="false" outlineLevel="0" collapsed="false">
      <c r="C48" s="39" t="s">
        <v>1491</v>
      </c>
    </row>
    <row r="49" customFormat="false" ht="15" hidden="false" customHeight="false" outlineLevel="0" collapsed="false">
      <c r="C49" s="39" t="s">
        <v>1492</v>
      </c>
    </row>
    <row r="50" customFormat="false" ht="15" hidden="false" customHeight="false" outlineLevel="0" collapsed="false">
      <c r="C50" s="39" t="s">
        <v>1493</v>
      </c>
    </row>
    <row r="51" customFormat="false" ht="15" hidden="false" customHeight="false" outlineLevel="0" collapsed="false">
      <c r="C51" s="39" t="s">
        <v>1494</v>
      </c>
    </row>
    <row r="52" customFormat="false" ht="15" hidden="false" customHeight="false" outlineLevel="0" collapsed="false">
      <c r="C52" s="39" t="s">
        <v>1495</v>
      </c>
    </row>
  </sheetData>
  <mergeCells count="1">
    <mergeCell ref="A22:A29"/>
  </mergeCells>
  <conditionalFormatting sqref="B8:BC8">
    <cfRule type="expression" priority="2" aboveAverage="0" equalAverage="0" bottom="0" percent="0" rank="0" text="" dxfId="0">
      <formula>OR(B8&lt;45,B8&gt;60)</formula>
    </cfRule>
  </conditionalFormatting>
  <conditionalFormatting sqref="B10:BC10">
    <cfRule type="expression" priority="3" aboveAverage="0" equalAverage="0" bottom="0" percent="0" rank="0" text="" dxfId="0">
      <formula>OR(B10&lt;140,B10&gt;160)</formula>
    </cfRule>
  </conditionalFormatting>
  <conditionalFormatting sqref="B3:BC3">
    <cfRule type="expression" priority="4" aboveAverage="0" equalAverage="0" bottom="0" percent="0" rank="0" text="" dxfId="1">
      <formula>B3=1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22"/>
    <col collapsed="false" customWidth="true" hidden="false" outlineLevel="0" max="4" min="4" style="0" width="40"/>
    <col collapsed="false" customWidth="true" hidden="false" outlineLevel="0" max="5" min="5" style="0" width="34"/>
    <col collapsed="false" customWidth="true" hidden="false" outlineLevel="0" max="6" min="6" style="0" width="60"/>
    <col collapsed="false" customWidth="true" hidden="false" outlineLevel="0" max="7" min="7" style="0" width="30"/>
    <col collapsed="false" customWidth="true" hidden="false" outlineLevel="0" max="8" min="8" style="0" width="60"/>
    <col collapsed="false" customWidth="true" hidden="false" outlineLevel="0" max="9" min="9" style="0" width="12"/>
    <col collapsed="false" customWidth="true" hidden="false" outlineLevel="0" max="11" min="10" style="0" width="14"/>
    <col collapsed="false" customWidth="true" hidden="false" outlineLevel="0" max="13" min="12" style="0" width="12"/>
    <col collapsed="false" customWidth="true" hidden="false" outlineLevel="0" max="14" min="14" style="0" width="30"/>
    <col collapsed="false" customWidth="true" hidden="false" outlineLevel="0" max="15" min="15" style="0" width="40"/>
    <col collapsed="false" customWidth="true" hidden="false" outlineLevel="0" max="16" min="16" style="0" width="24"/>
  </cols>
  <sheetData>
    <row r="1" customFormat="false" ht="17.35" hidden="false" customHeight="false" outlineLevel="0" collapsed="false">
      <c r="A1" s="40" t="s">
        <v>1496</v>
      </c>
    </row>
    <row r="2" customFormat="false" ht="15" hidden="false" customHeight="false" outlineLevel="0" collapsed="false">
      <c r="A2" s="41" t="s">
        <v>1497</v>
      </c>
    </row>
    <row r="4" customFormat="false" ht="31.5" hidden="false" customHeight="true" outlineLevel="0" collapsed="false">
      <c r="A4" s="42" t="s">
        <v>1498</v>
      </c>
      <c r="B4" s="42" t="s">
        <v>1499</v>
      </c>
      <c r="C4" s="42" t="s">
        <v>1500</v>
      </c>
      <c r="D4" s="42" t="s">
        <v>1501</v>
      </c>
      <c r="E4" s="42" t="s">
        <v>236</v>
      </c>
      <c r="F4" s="42" t="s">
        <v>1502</v>
      </c>
      <c r="G4" s="42" t="s">
        <v>1503</v>
      </c>
      <c r="H4" s="42" t="s">
        <v>1504</v>
      </c>
      <c r="I4" s="42" t="s">
        <v>1505</v>
      </c>
      <c r="J4" s="42" t="s">
        <v>1506</v>
      </c>
      <c r="K4" s="42" t="s">
        <v>1507</v>
      </c>
      <c r="L4" s="42" t="s">
        <v>1508</v>
      </c>
      <c r="M4" s="42" t="s">
        <v>1509</v>
      </c>
      <c r="N4" s="42" t="s">
        <v>1510</v>
      </c>
      <c r="O4" s="42" t="s">
        <v>1511</v>
      </c>
      <c r="P4" s="42" t="s">
        <v>1512</v>
      </c>
    </row>
    <row r="5" customFormat="false" ht="32.8" hidden="false" customHeight="false" outlineLevel="0" collapsed="false">
      <c r="A5" s="33" t="n">
        <v>1</v>
      </c>
      <c r="B5" s="33" t="s">
        <v>1513</v>
      </c>
      <c r="C5" s="33" t="s">
        <v>1514</v>
      </c>
      <c r="D5" s="33" t="s">
        <v>1515</v>
      </c>
      <c r="E5" s="43" t="s">
        <v>1516</v>
      </c>
      <c r="F5" s="33" t="s">
        <v>1517</v>
      </c>
      <c r="G5" s="33" t="s">
        <v>1518</v>
      </c>
      <c r="H5" s="33" t="s">
        <v>1519</v>
      </c>
      <c r="I5" s="33" t="n">
        <v>10</v>
      </c>
      <c r="J5" s="44" t="n">
        <v>2537</v>
      </c>
      <c r="K5" s="44" t="n">
        <f aca="false">IF(J5="","",MAX(0,J5-'Method &amp; Notes'!$B$6))</f>
        <v>1363</v>
      </c>
      <c r="L5" s="33" t="s">
        <v>1520</v>
      </c>
      <c r="M5" s="33" t="s">
        <v>1521</v>
      </c>
      <c r="N5" s="33" t="s">
        <v>1522</v>
      </c>
      <c r="O5" s="33" t="s">
        <v>1523</v>
      </c>
      <c r="P5" s="33" t="s">
        <v>1524</v>
      </c>
    </row>
    <row r="6" customFormat="false" ht="22.35" hidden="false" customHeight="false" outlineLevel="0" collapsed="false">
      <c r="A6" s="33" t="n">
        <v>2</v>
      </c>
      <c r="B6" s="33" t="s">
        <v>1525</v>
      </c>
      <c r="C6" s="33" t="s">
        <v>2</v>
      </c>
      <c r="D6" s="33" t="s">
        <v>2</v>
      </c>
      <c r="E6" s="43" t="s">
        <v>1526</v>
      </c>
      <c r="F6" s="33" t="s">
        <v>1527</v>
      </c>
      <c r="G6" s="33" t="s">
        <v>1528</v>
      </c>
      <c r="H6" s="33" t="s">
        <v>2</v>
      </c>
      <c r="I6" s="33" t="n">
        <v>5</v>
      </c>
      <c r="J6" s="44" t="n">
        <v>2706</v>
      </c>
      <c r="K6" s="44" t="n">
        <f aca="false">IF(J6="","",MAX(0,J6-'Method &amp; Notes'!$B$6))</f>
        <v>1532</v>
      </c>
      <c r="L6" s="33" t="s">
        <v>1529</v>
      </c>
      <c r="M6" s="33" t="s">
        <v>1530</v>
      </c>
      <c r="N6" s="33" t="s">
        <v>1531</v>
      </c>
      <c r="O6" s="33" t="s">
        <v>1532</v>
      </c>
      <c r="P6" s="33" t="s">
        <v>1533</v>
      </c>
    </row>
    <row r="7" customFormat="false" ht="32.8" hidden="false" customHeight="false" outlineLevel="0" collapsed="false">
      <c r="A7" s="33" t="n">
        <v>3</v>
      </c>
      <c r="B7" s="33" t="s">
        <v>1534</v>
      </c>
      <c r="C7" s="33" t="s">
        <v>2</v>
      </c>
      <c r="D7" s="33" t="s">
        <v>1535</v>
      </c>
      <c r="E7" s="43" t="s">
        <v>1536</v>
      </c>
      <c r="F7" s="33" t="s">
        <v>1537</v>
      </c>
      <c r="G7" s="33" t="s">
        <v>1528</v>
      </c>
      <c r="H7" s="33" t="s">
        <v>1538</v>
      </c>
      <c r="I7" s="33" t="n">
        <v>19</v>
      </c>
      <c r="J7" s="44" t="n">
        <v>3326</v>
      </c>
      <c r="K7" s="44" t="n">
        <f aca="false">IF(J7="","",MAX(0,J7-'Method &amp; Notes'!$B$6))</f>
        <v>2152</v>
      </c>
      <c r="L7" s="33" t="s">
        <v>1539</v>
      </c>
      <c r="M7" s="33" t="s">
        <v>1530</v>
      </c>
      <c r="N7" s="33" t="s">
        <v>1540</v>
      </c>
      <c r="O7" s="33" t="s">
        <v>1541</v>
      </c>
      <c r="P7" s="33" t="s">
        <v>1533</v>
      </c>
    </row>
    <row r="8" customFormat="false" ht="32.8" hidden="false" customHeight="false" outlineLevel="0" collapsed="false">
      <c r="A8" s="33" t="n">
        <v>4</v>
      </c>
      <c r="B8" s="33" t="s">
        <v>1542</v>
      </c>
      <c r="C8" s="33" t="s">
        <v>2</v>
      </c>
      <c r="D8" s="33" t="s">
        <v>1543</v>
      </c>
      <c r="E8" s="43" t="s">
        <v>1544</v>
      </c>
      <c r="F8" s="33" t="s">
        <v>1545</v>
      </c>
      <c r="G8" s="33"/>
      <c r="H8" s="33" t="s">
        <v>1546</v>
      </c>
      <c r="I8" s="33" t="n">
        <v>13</v>
      </c>
      <c r="J8" s="44" t="n">
        <v>2296</v>
      </c>
      <c r="K8" s="44" t="n">
        <f aca="false">IF(J8="","",MAX(0,J8-'Method &amp; Notes'!$B$6))</f>
        <v>1122</v>
      </c>
      <c r="L8" s="33" t="s">
        <v>1547</v>
      </c>
      <c r="M8" s="33" t="s">
        <v>1548</v>
      </c>
      <c r="N8" s="33" t="s">
        <v>1540</v>
      </c>
      <c r="O8" s="33" t="s">
        <v>1549</v>
      </c>
      <c r="P8" s="33" t="s">
        <v>1533</v>
      </c>
    </row>
    <row r="9" customFormat="false" ht="22.35" hidden="false" customHeight="false" outlineLevel="0" collapsed="false">
      <c r="A9" s="33" t="n">
        <v>5</v>
      </c>
      <c r="B9" s="33" t="s">
        <v>1525</v>
      </c>
      <c r="C9" s="33" t="s">
        <v>4</v>
      </c>
      <c r="D9" s="33" t="s">
        <v>1550</v>
      </c>
      <c r="E9" s="43" t="s">
        <v>1551</v>
      </c>
      <c r="F9" s="33" t="s">
        <v>1552</v>
      </c>
      <c r="G9" s="33" t="s">
        <v>1553</v>
      </c>
      <c r="H9" s="33" t="s">
        <v>1554</v>
      </c>
      <c r="I9" s="33" t="n">
        <v>9</v>
      </c>
      <c r="J9" s="44" t="n">
        <v>2321</v>
      </c>
      <c r="K9" s="44" t="n">
        <f aca="false">IF(J9="","",MAX(0,J9-'Method &amp; Notes'!$B$6))</f>
        <v>1147</v>
      </c>
      <c r="L9" s="33" t="s">
        <v>1529</v>
      </c>
      <c r="M9" s="33" t="s">
        <v>1555</v>
      </c>
      <c r="N9" s="33" t="s">
        <v>1531</v>
      </c>
      <c r="O9" s="33" t="s">
        <v>1556</v>
      </c>
      <c r="P9" s="33" t="s">
        <v>1533</v>
      </c>
    </row>
    <row r="10" customFormat="false" ht="22.35" hidden="false" customHeight="false" outlineLevel="0" collapsed="false">
      <c r="A10" s="33" t="n">
        <v>6</v>
      </c>
      <c r="B10" s="33" t="s">
        <v>1534</v>
      </c>
      <c r="C10" s="33" t="s">
        <v>4</v>
      </c>
      <c r="D10" s="33" t="s">
        <v>1557</v>
      </c>
      <c r="E10" s="43" t="s">
        <v>1558</v>
      </c>
      <c r="F10" s="33" t="s">
        <v>1559</v>
      </c>
      <c r="G10" s="33" t="s">
        <v>1560</v>
      </c>
      <c r="H10" s="33" t="s">
        <v>1561</v>
      </c>
      <c r="I10" s="33" t="n">
        <v>47</v>
      </c>
      <c r="J10" s="44" t="n">
        <v>3042</v>
      </c>
      <c r="K10" s="44" t="n">
        <f aca="false">IF(J10="","",MAX(0,J10-'Method &amp; Notes'!$B$6))</f>
        <v>1868</v>
      </c>
      <c r="L10" s="33" t="s">
        <v>1562</v>
      </c>
      <c r="M10" s="33" t="s">
        <v>1563</v>
      </c>
      <c r="N10" s="33" t="s">
        <v>1540</v>
      </c>
      <c r="O10" s="33" t="s">
        <v>1564</v>
      </c>
      <c r="P10" s="33" t="s">
        <v>1533</v>
      </c>
    </row>
    <row r="11" customFormat="false" ht="32.8" hidden="false" customHeight="false" outlineLevel="0" collapsed="false">
      <c r="A11" s="33" t="n">
        <v>7</v>
      </c>
      <c r="B11" s="33" t="s">
        <v>1542</v>
      </c>
      <c r="C11" s="33" t="s">
        <v>12</v>
      </c>
      <c r="D11" s="33" t="s">
        <v>1565</v>
      </c>
      <c r="E11" s="43" t="s">
        <v>1566</v>
      </c>
      <c r="F11" s="33" t="s">
        <v>1567</v>
      </c>
      <c r="G11" s="33" t="s">
        <v>1568</v>
      </c>
      <c r="H11" s="33" t="s">
        <v>1569</v>
      </c>
      <c r="I11" s="33" t="n">
        <v>11</v>
      </c>
      <c r="J11" s="44" t="n">
        <v>2468</v>
      </c>
      <c r="K11" s="44" t="n">
        <f aca="false">IF(J11="","",MAX(0,J11-'Method &amp; Notes'!$B$6))</f>
        <v>1294</v>
      </c>
      <c r="L11" s="33" t="s">
        <v>1570</v>
      </c>
      <c r="M11" s="33" t="s">
        <v>1571</v>
      </c>
      <c r="N11" s="33" t="s">
        <v>1540</v>
      </c>
      <c r="O11" s="33" t="s">
        <v>1572</v>
      </c>
      <c r="P11" s="33" t="s">
        <v>1533</v>
      </c>
    </row>
    <row r="12" customFormat="false" ht="43.25" hidden="false" customHeight="false" outlineLevel="0" collapsed="false">
      <c r="A12" s="33" t="n">
        <v>8</v>
      </c>
      <c r="B12" s="33" t="s">
        <v>1534</v>
      </c>
      <c r="C12" s="33" t="s">
        <v>13</v>
      </c>
      <c r="D12" s="33" t="s">
        <v>1573</v>
      </c>
      <c r="E12" s="43" t="s">
        <v>1574</v>
      </c>
      <c r="F12" s="33" t="s">
        <v>1575</v>
      </c>
      <c r="G12" s="33" t="s">
        <v>1576</v>
      </c>
      <c r="H12" s="33" t="s">
        <v>1577</v>
      </c>
      <c r="I12" s="33" t="n">
        <v>67</v>
      </c>
      <c r="J12" s="44" t="n">
        <v>2928</v>
      </c>
      <c r="K12" s="44" t="n">
        <f aca="false">IF(J12="","",MAX(0,J12-'Method &amp; Notes'!$B$6))</f>
        <v>1754</v>
      </c>
      <c r="L12" s="33" t="s">
        <v>1578</v>
      </c>
      <c r="M12" s="33" t="s">
        <v>1578</v>
      </c>
      <c r="N12" s="33" t="s">
        <v>1540</v>
      </c>
      <c r="O12" s="33" t="s">
        <v>1579</v>
      </c>
      <c r="P12" s="33" t="s">
        <v>1580</v>
      </c>
    </row>
    <row r="13" customFormat="false" ht="22.35" hidden="false" customHeight="false" outlineLevel="0" collapsed="false">
      <c r="A13" s="33" t="n">
        <v>9</v>
      </c>
      <c r="B13" s="33" t="s">
        <v>1525</v>
      </c>
      <c r="C13" s="33" t="s">
        <v>1581</v>
      </c>
      <c r="D13" s="33" t="s">
        <v>1582</v>
      </c>
      <c r="E13" s="43" t="s">
        <v>1583</v>
      </c>
      <c r="F13" s="33" t="s">
        <v>1584</v>
      </c>
      <c r="G13" s="33" t="s">
        <v>1528</v>
      </c>
      <c r="H13" s="33" t="s">
        <v>1582</v>
      </c>
      <c r="I13" s="33" t="n">
        <v>5</v>
      </c>
      <c r="J13" s="44" t="n">
        <v>2356</v>
      </c>
      <c r="K13" s="44" t="n">
        <f aca="false">IF(J13="","",MAX(0,J13-'Method &amp; Notes'!$B$6))</f>
        <v>1182</v>
      </c>
      <c r="L13" s="33" t="s">
        <v>1529</v>
      </c>
      <c r="M13" s="33" t="s">
        <v>1555</v>
      </c>
      <c r="N13" s="33" t="s">
        <v>1531</v>
      </c>
      <c r="O13" s="33" t="s">
        <v>1585</v>
      </c>
      <c r="P13" s="33" t="s">
        <v>1586</v>
      </c>
    </row>
    <row r="14" customFormat="false" ht="32.8" hidden="false" customHeight="false" outlineLevel="0" collapsed="false">
      <c r="A14" s="33" t="n">
        <v>10</v>
      </c>
      <c r="B14" s="33" t="s">
        <v>1534</v>
      </c>
      <c r="C14" s="33" t="s">
        <v>1581</v>
      </c>
      <c r="D14" s="33" t="s">
        <v>1587</v>
      </c>
      <c r="E14" s="43" t="s">
        <v>1588</v>
      </c>
      <c r="F14" s="33" t="s">
        <v>1589</v>
      </c>
      <c r="G14" s="33" t="s">
        <v>1590</v>
      </c>
      <c r="H14" s="33" t="s">
        <v>1591</v>
      </c>
      <c r="I14" s="33" t="n">
        <v>21</v>
      </c>
      <c r="J14" s="44" t="n">
        <v>3169</v>
      </c>
      <c r="K14" s="44" t="n">
        <f aca="false">IF(J14="","",MAX(0,J14-'Method &amp; Notes'!$B$6))</f>
        <v>1995</v>
      </c>
      <c r="L14" s="33" t="s">
        <v>1592</v>
      </c>
      <c r="M14" s="33" t="s">
        <v>1530</v>
      </c>
      <c r="N14" s="33" t="s">
        <v>1540</v>
      </c>
      <c r="O14" s="33" t="s">
        <v>1593</v>
      </c>
      <c r="P14" s="33" t="s">
        <v>1586</v>
      </c>
    </row>
    <row r="15" customFormat="false" ht="32.8" hidden="false" customHeight="false" outlineLevel="0" collapsed="false">
      <c r="A15" s="33" t="n">
        <v>11</v>
      </c>
      <c r="B15" s="33" t="s">
        <v>1542</v>
      </c>
      <c r="C15" s="33" t="s">
        <v>1581</v>
      </c>
      <c r="D15" s="33" t="s">
        <v>1594</v>
      </c>
      <c r="E15" s="43" t="s">
        <v>1595</v>
      </c>
      <c r="F15" s="33" t="s">
        <v>1596</v>
      </c>
      <c r="G15" s="33" t="s">
        <v>1597</v>
      </c>
      <c r="H15" s="33" t="s">
        <v>1598</v>
      </c>
      <c r="I15" s="33" t="n">
        <v>16</v>
      </c>
      <c r="J15" s="44" t="n">
        <v>2165</v>
      </c>
      <c r="K15" s="44" t="n">
        <f aca="false">IF(J15="","",MAX(0,J15-'Method &amp; Notes'!$B$6))</f>
        <v>991</v>
      </c>
      <c r="L15" s="33" t="s">
        <v>1599</v>
      </c>
      <c r="M15" s="33" t="s">
        <v>1548</v>
      </c>
      <c r="N15" s="33" t="s">
        <v>1540</v>
      </c>
      <c r="O15" s="33" t="s">
        <v>1600</v>
      </c>
      <c r="P15" s="33" t="s">
        <v>1586</v>
      </c>
    </row>
    <row r="16" customFormat="false" ht="32.8" hidden="false" customHeight="false" outlineLevel="0" collapsed="false">
      <c r="A16" s="33" t="n">
        <v>12</v>
      </c>
      <c r="B16" s="33" t="s">
        <v>1534</v>
      </c>
      <c r="C16" s="33" t="s">
        <v>9</v>
      </c>
      <c r="D16" s="33" t="s">
        <v>1601</v>
      </c>
      <c r="E16" s="43" t="s">
        <v>1602</v>
      </c>
      <c r="F16" s="33" t="s">
        <v>1603</v>
      </c>
      <c r="G16" s="33" t="s">
        <v>1604</v>
      </c>
      <c r="H16" s="33" t="s">
        <v>1605</v>
      </c>
      <c r="I16" s="33" t="n">
        <v>51</v>
      </c>
      <c r="J16" s="44" t="n">
        <v>2840</v>
      </c>
      <c r="K16" s="44" t="n">
        <f aca="false">IF(J16="","",MAX(0,J16-'Method &amp; Notes'!$B$6))</f>
        <v>1666</v>
      </c>
      <c r="L16" s="33" t="s">
        <v>1606</v>
      </c>
      <c r="M16" s="33" t="s">
        <v>1606</v>
      </c>
      <c r="N16" s="33" t="s">
        <v>1540</v>
      </c>
      <c r="O16" s="33" t="s">
        <v>1607</v>
      </c>
      <c r="P16" s="33" t="s">
        <v>1586</v>
      </c>
    </row>
    <row r="17" customFormat="false" ht="32.8" hidden="false" customHeight="false" outlineLevel="0" collapsed="false">
      <c r="A17" s="33" t="n">
        <v>13</v>
      </c>
      <c r="B17" s="33" t="s">
        <v>1534</v>
      </c>
      <c r="C17" s="33" t="s">
        <v>9</v>
      </c>
      <c r="D17" s="33" t="s">
        <v>1608</v>
      </c>
      <c r="E17" s="43" t="s">
        <v>1609</v>
      </c>
      <c r="F17" s="33" t="s">
        <v>1610</v>
      </c>
      <c r="G17" s="33" t="s">
        <v>1611</v>
      </c>
      <c r="H17" s="33" t="s">
        <v>1612</v>
      </c>
      <c r="I17" s="33" t="n">
        <v>34</v>
      </c>
      <c r="J17" s="44" t="n">
        <v>2855</v>
      </c>
      <c r="K17" s="44" t="n">
        <f aca="false">IF(J17="","",MAX(0,J17-'Method &amp; Notes'!$B$6))</f>
        <v>1681</v>
      </c>
      <c r="L17" s="33" t="s">
        <v>1613</v>
      </c>
      <c r="M17" s="33" t="s">
        <v>1613</v>
      </c>
      <c r="N17" s="33" t="s">
        <v>1540</v>
      </c>
      <c r="O17" s="33" t="s">
        <v>1614</v>
      </c>
      <c r="P17" s="33" t="s">
        <v>1586</v>
      </c>
    </row>
    <row r="18" customFormat="false" ht="32.8" hidden="false" customHeight="false" outlineLevel="0" collapsed="false">
      <c r="A18" s="33" t="n">
        <v>14</v>
      </c>
      <c r="B18" s="33" t="s">
        <v>1534</v>
      </c>
      <c r="C18" s="33" t="s">
        <v>9</v>
      </c>
      <c r="D18" s="33" t="s">
        <v>1615</v>
      </c>
      <c r="E18" s="43" t="s">
        <v>1616</v>
      </c>
      <c r="F18" s="33" t="s">
        <v>1617</v>
      </c>
      <c r="G18" s="33" t="s">
        <v>1618</v>
      </c>
      <c r="H18" s="33" t="s">
        <v>1619</v>
      </c>
      <c r="I18" s="33" t="n">
        <v>32</v>
      </c>
      <c r="J18" s="44" t="n">
        <v>3125</v>
      </c>
      <c r="K18" s="44" t="n">
        <f aca="false">IF(J18="","",MAX(0,J18-'Method &amp; Notes'!$B$6))</f>
        <v>1951</v>
      </c>
      <c r="L18" s="33" t="s">
        <v>1620</v>
      </c>
      <c r="M18" s="33" t="s">
        <v>1613</v>
      </c>
      <c r="N18" s="33" t="s">
        <v>1540</v>
      </c>
      <c r="O18" s="33" t="s">
        <v>1621</v>
      </c>
      <c r="P18" s="33" t="s">
        <v>1586</v>
      </c>
    </row>
    <row r="19" customFormat="false" ht="22.35" hidden="false" customHeight="false" outlineLevel="0" collapsed="false">
      <c r="A19" s="33" t="n">
        <v>15</v>
      </c>
      <c r="B19" s="33" t="s">
        <v>1525</v>
      </c>
      <c r="C19" s="33" t="s">
        <v>1</v>
      </c>
      <c r="D19" s="33" t="s">
        <v>1622</v>
      </c>
      <c r="E19" s="43" t="s">
        <v>1623</v>
      </c>
      <c r="F19" s="33" t="s">
        <v>1624</v>
      </c>
      <c r="G19" s="33" t="s">
        <v>1528</v>
      </c>
      <c r="H19" s="33" t="s">
        <v>1622</v>
      </c>
      <c r="I19" s="33" t="n">
        <v>5</v>
      </c>
      <c r="J19" s="44" t="n">
        <v>2136</v>
      </c>
      <c r="K19" s="44" t="n">
        <f aca="false">IF(J19="","",MAX(0,J19-'Method &amp; Notes'!$B$6))</f>
        <v>962</v>
      </c>
      <c r="L19" s="33" t="s">
        <v>1529</v>
      </c>
      <c r="M19" s="33" t="s">
        <v>1530</v>
      </c>
      <c r="N19" s="33" t="s">
        <v>1531</v>
      </c>
      <c r="O19" s="33" t="s">
        <v>1625</v>
      </c>
      <c r="P19" s="33" t="s">
        <v>1586</v>
      </c>
    </row>
    <row r="20" customFormat="false" ht="53.7" hidden="false" customHeight="false" outlineLevel="0" collapsed="false">
      <c r="A20" s="33" t="n">
        <v>16</v>
      </c>
      <c r="B20" s="33" t="s">
        <v>1534</v>
      </c>
      <c r="C20" s="33" t="s">
        <v>1</v>
      </c>
      <c r="D20" s="33" t="s">
        <v>1626</v>
      </c>
      <c r="E20" s="43" t="s">
        <v>1627</v>
      </c>
      <c r="F20" s="33" t="s">
        <v>1628</v>
      </c>
      <c r="G20" s="33" t="s">
        <v>1528</v>
      </c>
      <c r="H20" s="33" t="s">
        <v>1629</v>
      </c>
      <c r="I20" s="33" t="n">
        <v>19</v>
      </c>
      <c r="J20" s="44" t="n">
        <v>2376</v>
      </c>
      <c r="K20" s="44" t="n">
        <f aca="false">IF(J20="","",MAX(0,J20-'Method &amp; Notes'!$B$6))</f>
        <v>1202</v>
      </c>
      <c r="L20" s="33" t="s">
        <v>1570</v>
      </c>
      <c r="M20" s="33" t="s">
        <v>1571</v>
      </c>
      <c r="N20" s="33" t="s">
        <v>1540</v>
      </c>
      <c r="O20" s="33" t="s">
        <v>1630</v>
      </c>
      <c r="P20" s="33" t="s">
        <v>1586</v>
      </c>
    </row>
    <row r="21" customFormat="false" ht="22.35" hidden="false" customHeight="false" outlineLevel="0" collapsed="false">
      <c r="A21" s="33" t="n">
        <v>17</v>
      </c>
      <c r="B21" s="33" t="s">
        <v>1631</v>
      </c>
      <c r="C21" s="33" t="s">
        <v>10</v>
      </c>
      <c r="D21" s="33" t="s">
        <v>10</v>
      </c>
      <c r="E21" s="43" t="s">
        <v>1632</v>
      </c>
      <c r="F21" s="33" t="s">
        <v>1633</v>
      </c>
      <c r="G21" s="33" t="s">
        <v>1634</v>
      </c>
      <c r="H21" s="33" t="s">
        <v>1635</v>
      </c>
      <c r="I21" s="33" t="n">
        <v>8</v>
      </c>
      <c r="J21" s="44" t="n">
        <v>1896</v>
      </c>
      <c r="K21" s="44" t="n">
        <f aca="false">IF(J21="","",MAX(0,J21-'Method &amp; Notes'!$B$6))</f>
        <v>722</v>
      </c>
      <c r="L21" s="33" t="s">
        <v>1636</v>
      </c>
      <c r="M21" s="33" t="s">
        <v>1548</v>
      </c>
      <c r="N21" s="33" t="s">
        <v>1531</v>
      </c>
      <c r="O21" s="33" t="s">
        <v>1637</v>
      </c>
      <c r="P21" s="33" t="s">
        <v>1533</v>
      </c>
    </row>
    <row r="22" customFormat="false" ht="32.8" hidden="false" customHeight="false" outlineLevel="0" collapsed="false">
      <c r="A22" s="33" t="n">
        <v>18</v>
      </c>
      <c r="B22" s="33" t="s">
        <v>1534</v>
      </c>
      <c r="C22" s="33" t="s">
        <v>11</v>
      </c>
      <c r="D22" s="33" t="s">
        <v>1638</v>
      </c>
      <c r="E22" s="43" t="s">
        <v>1639</v>
      </c>
      <c r="F22" s="33" t="s">
        <v>1640</v>
      </c>
      <c r="G22" s="33" t="s">
        <v>1641</v>
      </c>
      <c r="H22" s="33" t="s">
        <v>1642</v>
      </c>
      <c r="I22" s="33" t="n">
        <v>23</v>
      </c>
      <c r="J22" s="44" t="n">
        <v>2991</v>
      </c>
      <c r="K22" s="44" t="n">
        <f aca="false">IF(J22="","",MAX(0,J22-'Method &amp; Notes'!$B$6))</f>
        <v>1817</v>
      </c>
      <c r="L22" s="33" t="s">
        <v>1643</v>
      </c>
      <c r="M22" s="33" t="s">
        <v>1643</v>
      </c>
      <c r="N22" s="33" t="s">
        <v>1540</v>
      </c>
      <c r="O22" s="33" t="s">
        <v>1644</v>
      </c>
      <c r="P22" s="33" t="s">
        <v>1586</v>
      </c>
    </row>
    <row r="23" customFormat="false" ht="32.8" hidden="false" customHeight="false" outlineLevel="0" collapsed="false">
      <c r="A23" s="33" t="n">
        <v>19</v>
      </c>
      <c r="B23" s="33" t="s">
        <v>1534</v>
      </c>
      <c r="C23" s="33" t="s">
        <v>8</v>
      </c>
      <c r="D23" s="33" t="s">
        <v>1645</v>
      </c>
      <c r="E23" s="43" t="s">
        <v>1646</v>
      </c>
      <c r="F23" s="33" t="s">
        <v>1647</v>
      </c>
      <c r="G23" s="33" t="s">
        <v>1648</v>
      </c>
      <c r="H23" s="33" t="s">
        <v>1649</v>
      </c>
      <c r="I23" s="33" t="n">
        <v>38</v>
      </c>
      <c r="J23" s="44" t="n">
        <v>2705</v>
      </c>
      <c r="K23" s="44" t="n">
        <f aca="false">IF(J23="","",MAX(0,J23-'Method &amp; Notes'!$B$6))</f>
        <v>1531</v>
      </c>
      <c r="L23" s="33" t="s">
        <v>1563</v>
      </c>
      <c r="M23" s="33" t="s">
        <v>1650</v>
      </c>
      <c r="N23" s="33" t="s">
        <v>1540</v>
      </c>
      <c r="O23" s="45" t="s">
        <v>1651</v>
      </c>
      <c r="P23" s="33" t="s">
        <v>1586</v>
      </c>
    </row>
    <row r="24" customFormat="false" ht="22.35" hidden="false" customHeight="false" outlineLevel="0" collapsed="false">
      <c r="A24" s="33" t="n">
        <v>20</v>
      </c>
      <c r="B24" s="33" t="s">
        <v>1652</v>
      </c>
      <c r="C24" s="33" t="s">
        <v>7</v>
      </c>
      <c r="D24" s="33" t="s">
        <v>1653</v>
      </c>
      <c r="E24" s="43" t="s">
        <v>1654</v>
      </c>
      <c r="F24" s="33" t="s">
        <v>1655</v>
      </c>
      <c r="G24" s="33"/>
      <c r="H24" s="33"/>
      <c r="I24" s="33"/>
      <c r="J24" s="44"/>
      <c r="K24" s="33"/>
      <c r="L24" s="33"/>
      <c r="M24" s="33"/>
      <c r="N24" s="33"/>
      <c r="O24" s="33" t="s">
        <v>1656</v>
      </c>
      <c r="P24" s="33" t="s">
        <v>1657</v>
      </c>
    </row>
    <row r="25" customFormat="false" ht="22.35" hidden="false" customHeight="false" outlineLevel="0" collapsed="false">
      <c r="A25" s="33" t="n">
        <v>21</v>
      </c>
      <c r="B25" s="33" t="s">
        <v>1631</v>
      </c>
      <c r="C25" s="33" t="s">
        <v>6</v>
      </c>
      <c r="D25" s="33" t="s">
        <v>6</v>
      </c>
      <c r="E25" s="43" t="s">
        <v>1658</v>
      </c>
      <c r="F25" s="33" t="s">
        <v>1659</v>
      </c>
      <c r="G25" s="33" t="s">
        <v>1518</v>
      </c>
      <c r="H25" s="33" t="s">
        <v>1660</v>
      </c>
      <c r="I25" s="33" t="n">
        <v>6</v>
      </c>
      <c r="J25" s="44" t="n">
        <v>2089</v>
      </c>
      <c r="K25" s="44" t="n">
        <f aca="false">IF(J25="","",MAX(0,J25-'Method &amp; Notes'!$B$6))</f>
        <v>915</v>
      </c>
      <c r="L25" s="33" t="s">
        <v>1529</v>
      </c>
      <c r="M25" s="33" t="s">
        <v>1548</v>
      </c>
      <c r="N25" s="33" t="s">
        <v>1531</v>
      </c>
      <c r="O25" s="33" t="s">
        <v>1661</v>
      </c>
      <c r="P25" s="33" t="s">
        <v>1533</v>
      </c>
    </row>
    <row r="26" customFormat="false" ht="22.35" hidden="false" customHeight="false" outlineLevel="0" collapsed="false">
      <c r="A26" s="33" t="n">
        <v>22</v>
      </c>
      <c r="B26" s="33" t="s">
        <v>1534</v>
      </c>
      <c r="C26" s="33" t="s">
        <v>3</v>
      </c>
      <c r="D26" s="33" t="s">
        <v>1662</v>
      </c>
      <c r="E26" s="43" t="s">
        <v>1663</v>
      </c>
      <c r="F26" s="33" t="s">
        <v>1664</v>
      </c>
      <c r="G26" s="33" t="s">
        <v>1518</v>
      </c>
      <c r="H26" s="33" t="s">
        <v>1665</v>
      </c>
      <c r="I26" s="33" t="n">
        <v>12</v>
      </c>
      <c r="J26" s="44" t="n">
        <v>2316</v>
      </c>
      <c r="K26" s="44" t="n">
        <f aca="false">IF(J26="","",MAX(0,J26-'Method &amp; Notes'!$B$6))</f>
        <v>1142</v>
      </c>
      <c r="L26" s="33" t="s">
        <v>1547</v>
      </c>
      <c r="M26" s="33" t="s">
        <v>1571</v>
      </c>
      <c r="N26" s="33" t="s">
        <v>1540</v>
      </c>
      <c r="O26" s="33" t="s">
        <v>1666</v>
      </c>
      <c r="P26" s="33" t="s">
        <v>1533</v>
      </c>
    </row>
    <row r="27" customFormat="false" ht="22.35" hidden="false" customHeight="false" outlineLevel="0" collapsed="false">
      <c r="A27" s="33" t="n">
        <v>23</v>
      </c>
      <c r="B27" s="33" t="s">
        <v>1542</v>
      </c>
      <c r="C27" s="33" t="s">
        <v>3</v>
      </c>
      <c r="D27" s="33" t="s">
        <v>1667</v>
      </c>
      <c r="E27" s="43" t="s">
        <v>1668</v>
      </c>
      <c r="F27" s="33" t="s">
        <v>1669</v>
      </c>
      <c r="G27" s="33" t="s">
        <v>1670</v>
      </c>
      <c r="H27" s="33" t="s">
        <v>1671</v>
      </c>
      <c r="I27" s="33" t="n">
        <v>6</v>
      </c>
      <c r="J27" s="44" t="n">
        <v>1801</v>
      </c>
      <c r="K27" s="44" t="n">
        <f aca="false">IF(J27="","",MAX(0,J27-'Method &amp; Notes'!$B$6))</f>
        <v>627</v>
      </c>
      <c r="L27" s="33" t="s">
        <v>1672</v>
      </c>
      <c r="M27" s="33" t="s">
        <v>1592</v>
      </c>
      <c r="N27" s="33" t="s">
        <v>1540</v>
      </c>
      <c r="O27" s="33" t="s">
        <v>1673</v>
      </c>
      <c r="P27" s="33" t="s">
        <v>1533</v>
      </c>
    </row>
    <row r="28" customFormat="false" ht="64.15" hidden="false" customHeight="false" outlineLevel="0" collapsed="false">
      <c r="A28" s="33" t="n">
        <v>24</v>
      </c>
      <c r="B28" s="33" t="s">
        <v>1534</v>
      </c>
      <c r="C28" s="33" t="s">
        <v>3</v>
      </c>
      <c r="D28" s="33" t="s">
        <v>1674</v>
      </c>
      <c r="E28" s="43" t="s">
        <v>1675</v>
      </c>
      <c r="F28" s="33" t="s">
        <v>1676</v>
      </c>
      <c r="G28" s="33" t="s">
        <v>1677</v>
      </c>
      <c r="H28" s="33" t="s">
        <v>1678</v>
      </c>
      <c r="I28" s="33" t="n">
        <v>31</v>
      </c>
      <c r="J28" s="44" t="n">
        <v>3064</v>
      </c>
      <c r="K28" s="44" t="n">
        <f aca="false">IF(J28="","",MAX(0,J28-'Method &amp; Notes'!$B$6))</f>
        <v>1890</v>
      </c>
      <c r="L28" s="33" t="s">
        <v>1571</v>
      </c>
      <c r="M28" s="33" t="s">
        <v>1679</v>
      </c>
      <c r="N28" s="33" t="s">
        <v>1540</v>
      </c>
      <c r="O28" s="33" t="s">
        <v>1680</v>
      </c>
      <c r="P28" s="33" t="s">
        <v>1533</v>
      </c>
    </row>
    <row r="29" customFormat="false" ht="32.8" hidden="false" customHeight="false" outlineLevel="0" collapsed="false">
      <c r="A29" s="33" t="n">
        <v>25</v>
      </c>
      <c r="B29" s="33" t="s">
        <v>1542</v>
      </c>
      <c r="C29" s="33" t="s">
        <v>3</v>
      </c>
      <c r="D29" s="33" t="s">
        <v>1681</v>
      </c>
      <c r="E29" s="43" t="s">
        <v>1682</v>
      </c>
      <c r="F29" s="33" t="s">
        <v>1683</v>
      </c>
      <c r="G29" s="33" t="s">
        <v>1684</v>
      </c>
      <c r="H29" s="33" t="s">
        <v>1685</v>
      </c>
      <c r="I29" s="33" t="n">
        <v>7</v>
      </c>
      <c r="J29" s="44" t="n">
        <v>2211</v>
      </c>
      <c r="K29" s="44" t="n">
        <f aca="false">IF(J29="","",MAX(0,J29-'Method &amp; Notes'!$B$6))</f>
        <v>1037</v>
      </c>
      <c r="L29" s="33" t="s">
        <v>1686</v>
      </c>
      <c r="M29" s="33" t="s">
        <v>1687</v>
      </c>
      <c r="N29" s="33" t="s">
        <v>1540</v>
      </c>
      <c r="O29" s="33" t="s">
        <v>1688</v>
      </c>
      <c r="P29" s="33" t="s">
        <v>1586</v>
      </c>
    </row>
    <row r="30" customFormat="false" ht="64.15" hidden="false" customHeight="false" outlineLevel="0" collapsed="false">
      <c r="A30" s="33" t="n">
        <v>26</v>
      </c>
      <c r="B30" s="33" t="s">
        <v>1534</v>
      </c>
      <c r="C30" s="33" t="s">
        <v>3</v>
      </c>
      <c r="D30" s="33" t="s">
        <v>1689</v>
      </c>
      <c r="E30" s="43" t="s">
        <v>1690</v>
      </c>
      <c r="F30" s="33" t="s">
        <v>1691</v>
      </c>
      <c r="G30" s="33" t="s">
        <v>1692</v>
      </c>
      <c r="H30" s="33" t="s">
        <v>1693</v>
      </c>
      <c r="I30" s="33" t="n">
        <v>64</v>
      </c>
      <c r="J30" s="44" t="n">
        <v>2273</v>
      </c>
      <c r="K30" s="44" t="n">
        <f aca="false">IF(J30="","",MAX(0,J30-'Method &amp; Notes'!$B$6))</f>
        <v>1099</v>
      </c>
      <c r="L30" s="33" t="s">
        <v>1563</v>
      </c>
      <c r="M30" s="33" t="s">
        <v>1694</v>
      </c>
      <c r="N30" s="33" t="s">
        <v>1540</v>
      </c>
      <c r="O30" s="45" t="s">
        <v>1695</v>
      </c>
      <c r="P30" s="33" t="s">
        <v>1586</v>
      </c>
    </row>
    <row r="31" customFormat="false" ht="22.35" hidden="false" customHeight="false" outlineLevel="0" collapsed="false">
      <c r="A31" s="33" t="n">
        <v>27</v>
      </c>
      <c r="B31" s="33" t="s">
        <v>1542</v>
      </c>
      <c r="C31" s="33" t="s">
        <v>3</v>
      </c>
      <c r="D31" s="33" t="s">
        <v>1696</v>
      </c>
      <c r="E31" s="43" t="s">
        <v>1697</v>
      </c>
      <c r="F31" s="33" t="s">
        <v>1698</v>
      </c>
      <c r="G31" s="33" t="s">
        <v>1699</v>
      </c>
      <c r="H31" s="33" t="s">
        <v>1700</v>
      </c>
      <c r="I31" s="33" t="n">
        <v>27</v>
      </c>
      <c r="J31" s="44" t="n">
        <v>2279</v>
      </c>
      <c r="K31" s="44" t="n">
        <f aca="false">IF(J31="","",MAX(0,J31-'Method &amp; Notes'!$B$6))</f>
        <v>1105</v>
      </c>
      <c r="L31" s="33" t="s">
        <v>1701</v>
      </c>
      <c r="M31" s="33" t="s">
        <v>1701</v>
      </c>
      <c r="N31" s="33" t="s">
        <v>1540</v>
      </c>
      <c r="O31" s="33" t="s">
        <v>1702</v>
      </c>
      <c r="P31" s="33" t="s">
        <v>1586</v>
      </c>
    </row>
    <row r="32" customFormat="false" ht="32.8" hidden="false" customHeight="false" outlineLevel="0" collapsed="false">
      <c r="A32" s="33" t="n">
        <v>28</v>
      </c>
      <c r="B32" s="33" t="s">
        <v>1703</v>
      </c>
      <c r="C32" s="33" t="s">
        <v>3</v>
      </c>
      <c r="D32" s="33" t="s">
        <v>1704</v>
      </c>
      <c r="E32" s="43" t="s">
        <v>1705</v>
      </c>
      <c r="F32" s="33" t="s">
        <v>1706</v>
      </c>
      <c r="G32" s="33"/>
      <c r="H32" s="33"/>
      <c r="I32" s="33"/>
      <c r="J32" s="44"/>
      <c r="K32" s="33"/>
      <c r="L32" s="33"/>
      <c r="M32" s="33"/>
      <c r="N32" s="33"/>
      <c r="O32" s="33" t="s">
        <v>1707</v>
      </c>
      <c r="P32" s="33" t="s">
        <v>1657</v>
      </c>
    </row>
    <row r="33" customFormat="false" ht="22.35" hidden="false" customHeight="false" outlineLevel="0" collapsed="false">
      <c r="A33" s="33" t="n">
        <v>29</v>
      </c>
      <c r="B33" s="33" t="s">
        <v>1652</v>
      </c>
      <c r="C33" s="33" t="s">
        <v>3</v>
      </c>
      <c r="D33" s="33" t="s">
        <v>1708</v>
      </c>
      <c r="E33" s="43" t="s">
        <v>1709</v>
      </c>
      <c r="F33" s="33" t="s">
        <v>1710</v>
      </c>
      <c r="G33" s="33"/>
      <c r="H33" s="33"/>
      <c r="I33" s="33"/>
      <c r="J33" s="44"/>
      <c r="K33" s="33"/>
      <c r="L33" s="33"/>
      <c r="M33" s="33"/>
      <c r="N33" s="33"/>
      <c r="O33" s="33" t="s">
        <v>1711</v>
      </c>
      <c r="P33" s="33" t="s">
        <v>1657</v>
      </c>
    </row>
  </sheetData>
  <autoFilter ref="A4:P33"/>
  <hyperlinks>
    <hyperlink ref="E5" r:id="rId2" display="https://familialife.ca/"/>
    <hyperlink ref="E6" r:id="rId3" display="https://familialife.ca/term-life-insurance/"/>
    <hyperlink ref="E7" r:id="rId4" display="https://familialife.ca/everything-about-term-life-insurance/"/>
    <hyperlink ref="E8" r:id="rId5" display="https://familialife.ca/what-happens-at-the-end-of-term-life-insurance/"/>
    <hyperlink ref="E9" r:id="rId6" display="https://familialife.ca/whole-life-insurance/"/>
    <hyperlink ref="E10" r:id="rId7" display="https://familialife.ca/everything-about-permanent-life-insurance/"/>
    <hyperlink ref="E11" r:id="rId8" display="https://familialife.ca/what-is-universal-life-insurance/"/>
    <hyperlink ref="E12" r:id="rId9" display="https://familialife.ca/what-is-joint-life/"/>
    <hyperlink ref="E13" r:id="rId10" display="https://familialife.ca/no-medical-insurance/"/>
    <hyperlink ref="E14" r:id="rId11" display="https://familialife.ca/everything-about-no-medical-life-insurance/"/>
    <hyperlink ref="E15" r:id="rId12" display="https://familialife.ca/how-to-get-life-insurance-if-you-have-health-issues/"/>
    <hyperlink ref="E16" r:id="rId13" display="https://familialife.ca/life-insurance-for-diabetics/"/>
    <hyperlink ref="E17" r:id="rId14" display="https://familialife.ca/life-insurance-with-cancer/"/>
    <hyperlink ref="E18" r:id="rId15" display="https://familialife.ca/life-insurance-with-heart-condition/"/>
    <hyperlink ref="E19" r:id="rId16" display="https://familialife.ca/mortgage-protection-insurance/"/>
    <hyperlink ref="E20" r:id="rId17" display="https://familialife.ca/what-is-mortgage-insurance/"/>
    <hyperlink ref="E21" r:id="rId18" display="https://familialife.ca/final-expense-insurance/"/>
    <hyperlink ref="E22" r:id="rId19" display="https://familialife.ca/seniors-life-insurance/"/>
    <hyperlink ref="E23" r:id="rId20" display="https://familialife.ca/family-life-insurance/"/>
    <hyperlink ref="E24" r:id="rId21" display="https://familialife.ca/whats-ci/"/>
    <hyperlink ref="E25" r:id="rId22" display="https://familialife.ca/health-insurance/"/>
    <hyperlink ref="E26" r:id="rId23" display="https://familialife.ca/how-does-life-insurance-work-in-canada/"/>
    <hyperlink ref="E27" r:id="rId24" display="https://familialife.ca/how-much-life-insurance-should-i-get/"/>
    <hyperlink ref="E28" r:id="rId25" display="https://familialife.ca/life-insurance-quotes-in-canada/"/>
    <hyperlink ref="E29" r:id="rId26" display="https://familialife.ca/how-do-life-insurance-companies-check-medical-background/"/>
    <hyperlink ref="E30" r:id="rId27" display="https://familialife.ca/12-myths-debunked/"/>
    <hyperlink ref="E31" r:id="rId28" display="https://familialife.ca/two-things-before-buying/"/>
    <hyperlink ref="E32" r:id="rId29" display="https://familialife.ca/are-life-insurance-premiums-tax-deductible-in-canada/"/>
    <hyperlink ref="E33" r:id="rId30" display="https://familialife.ca/how-to-clai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legacyDrawing r:id="rId3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9" min="1" style="0" width="46"/>
  </cols>
  <sheetData>
    <row r="1" customFormat="false" ht="30" hidden="false" customHeight="true" outlineLevel="0" collapsed="false">
      <c r="A1" s="46" t="s">
        <v>1514</v>
      </c>
      <c r="B1" s="47" t="s">
        <v>2</v>
      </c>
      <c r="C1" s="47"/>
      <c r="D1" s="47"/>
      <c r="E1" s="48" t="s">
        <v>4</v>
      </c>
      <c r="F1" s="48"/>
      <c r="G1" s="49" t="s">
        <v>12</v>
      </c>
      <c r="H1" s="50" t="s">
        <v>13</v>
      </c>
      <c r="I1" s="51" t="s">
        <v>1581</v>
      </c>
      <c r="J1" s="51"/>
      <c r="K1" s="51"/>
      <c r="L1" s="52" t="s">
        <v>9</v>
      </c>
      <c r="M1" s="52"/>
      <c r="N1" s="52"/>
      <c r="O1" s="46" t="s">
        <v>1</v>
      </c>
      <c r="P1" s="46"/>
      <c r="Q1" s="47" t="s">
        <v>10</v>
      </c>
      <c r="R1" s="48" t="s">
        <v>11</v>
      </c>
      <c r="S1" s="49" t="s">
        <v>8</v>
      </c>
      <c r="T1" s="50" t="s">
        <v>7</v>
      </c>
      <c r="U1" s="51" t="s">
        <v>6</v>
      </c>
      <c r="V1" s="52" t="s">
        <v>3</v>
      </c>
      <c r="W1" s="52"/>
      <c r="X1" s="52"/>
      <c r="Y1" s="52"/>
      <c r="Z1" s="52"/>
      <c r="AA1" s="52"/>
      <c r="AB1" s="52"/>
      <c r="AC1" s="52"/>
    </row>
    <row r="2" customFormat="false" ht="43.5" hidden="false" customHeight="true" outlineLevel="0" collapsed="false">
      <c r="A2" s="53" t="s">
        <v>1515</v>
      </c>
      <c r="B2" s="54" t="s">
        <v>2</v>
      </c>
      <c r="C2" s="54" t="s">
        <v>1535</v>
      </c>
      <c r="D2" s="54" t="s">
        <v>1543</v>
      </c>
      <c r="E2" s="55" t="s">
        <v>1550</v>
      </c>
      <c r="F2" s="55" t="s">
        <v>1557</v>
      </c>
      <c r="G2" s="56" t="s">
        <v>1565</v>
      </c>
      <c r="H2" s="57" t="s">
        <v>1573</v>
      </c>
      <c r="I2" s="58" t="s">
        <v>1582</v>
      </c>
      <c r="J2" s="58" t="s">
        <v>1587</v>
      </c>
      <c r="K2" s="58" t="s">
        <v>1594</v>
      </c>
      <c r="L2" s="59" t="s">
        <v>1601</v>
      </c>
      <c r="M2" s="59" t="s">
        <v>1608</v>
      </c>
      <c r="N2" s="59" t="s">
        <v>1615</v>
      </c>
      <c r="O2" s="53" t="s">
        <v>1622</v>
      </c>
      <c r="P2" s="53" t="s">
        <v>1626</v>
      </c>
      <c r="Q2" s="54" t="s">
        <v>10</v>
      </c>
      <c r="R2" s="55" t="s">
        <v>1638</v>
      </c>
      <c r="S2" s="56" t="s">
        <v>1645</v>
      </c>
      <c r="T2" s="57" t="s">
        <v>1653</v>
      </c>
      <c r="U2" s="58" t="s">
        <v>6</v>
      </c>
      <c r="V2" s="59" t="s">
        <v>1662</v>
      </c>
      <c r="W2" s="59" t="s">
        <v>1667</v>
      </c>
      <c r="X2" s="59" t="s">
        <v>1674</v>
      </c>
      <c r="Y2" s="59" t="s">
        <v>1681</v>
      </c>
      <c r="Z2" s="59" t="s">
        <v>1689</v>
      </c>
      <c r="AA2" s="59" t="s">
        <v>1696</v>
      </c>
      <c r="AB2" s="59" t="s">
        <v>1704</v>
      </c>
      <c r="AC2" s="59" t="s">
        <v>1708</v>
      </c>
    </row>
    <row r="3" customFormat="false" ht="15" hidden="false" customHeight="false" outlineLevel="0" collapsed="false">
      <c r="A3" s="60" t="s">
        <v>1513</v>
      </c>
      <c r="B3" s="61" t="s">
        <v>1525</v>
      </c>
      <c r="C3" s="61" t="s">
        <v>1534</v>
      </c>
      <c r="D3" s="61" t="s">
        <v>1542</v>
      </c>
      <c r="E3" s="62" t="s">
        <v>1525</v>
      </c>
      <c r="F3" s="62" t="s">
        <v>1534</v>
      </c>
      <c r="G3" s="63" t="s">
        <v>1542</v>
      </c>
      <c r="H3" s="64" t="s">
        <v>1534</v>
      </c>
      <c r="I3" s="65" t="s">
        <v>1525</v>
      </c>
      <c r="J3" s="65" t="s">
        <v>1534</v>
      </c>
      <c r="K3" s="65" t="s">
        <v>1542</v>
      </c>
      <c r="L3" s="66" t="s">
        <v>1534</v>
      </c>
      <c r="M3" s="66" t="s">
        <v>1534</v>
      </c>
      <c r="N3" s="66" t="s">
        <v>1534</v>
      </c>
      <c r="O3" s="60" t="s">
        <v>1525</v>
      </c>
      <c r="P3" s="60" t="s">
        <v>1534</v>
      </c>
      <c r="Q3" s="61" t="s">
        <v>1631</v>
      </c>
      <c r="R3" s="62" t="s">
        <v>1534</v>
      </c>
      <c r="S3" s="63" t="s">
        <v>1534</v>
      </c>
      <c r="T3" s="64" t="s">
        <v>1652</v>
      </c>
      <c r="U3" s="65" t="s">
        <v>1631</v>
      </c>
      <c r="V3" s="66" t="s">
        <v>1534</v>
      </c>
      <c r="W3" s="66" t="s">
        <v>1542</v>
      </c>
      <c r="X3" s="66" t="s">
        <v>1534</v>
      </c>
      <c r="Y3" s="66" t="s">
        <v>1542</v>
      </c>
      <c r="Z3" s="66" t="s">
        <v>1534</v>
      </c>
      <c r="AA3" s="66" t="s">
        <v>1542</v>
      </c>
      <c r="AB3" s="66" t="s">
        <v>1703</v>
      </c>
      <c r="AC3" s="66" t="s">
        <v>1652</v>
      </c>
    </row>
    <row r="4" customFormat="false" ht="15" hidden="false" customHeight="false" outlineLevel="0" collapsed="false">
      <c r="A4" s="67" t="s">
        <v>1516</v>
      </c>
      <c r="B4" s="68" t="s">
        <v>1526</v>
      </c>
      <c r="C4" s="68" t="s">
        <v>1536</v>
      </c>
      <c r="D4" s="68" t="s">
        <v>1544</v>
      </c>
      <c r="E4" s="69" t="s">
        <v>1551</v>
      </c>
      <c r="F4" s="69" t="s">
        <v>1558</v>
      </c>
      <c r="G4" s="70" t="s">
        <v>1566</v>
      </c>
      <c r="H4" s="71" t="s">
        <v>1574</v>
      </c>
      <c r="I4" s="72" t="s">
        <v>1583</v>
      </c>
      <c r="J4" s="72" t="s">
        <v>1588</v>
      </c>
      <c r="K4" s="72" t="s">
        <v>1595</v>
      </c>
      <c r="L4" s="73" t="s">
        <v>1602</v>
      </c>
      <c r="M4" s="73" t="s">
        <v>1609</v>
      </c>
      <c r="N4" s="73" t="s">
        <v>1616</v>
      </c>
      <c r="O4" s="67" t="s">
        <v>1623</v>
      </c>
      <c r="P4" s="67" t="s">
        <v>1627</v>
      </c>
      <c r="Q4" s="68" t="s">
        <v>1632</v>
      </c>
      <c r="R4" s="69" t="s">
        <v>1639</v>
      </c>
      <c r="S4" s="70" t="s">
        <v>1646</v>
      </c>
      <c r="T4" s="71" t="s">
        <v>1654</v>
      </c>
      <c r="U4" s="72" t="s">
        <v>1658</v>
      </c>
      <c r="V4" s="73" t="s">
        <v>1663</v>
      </c>
      <c r="W4" s="73" t="s">
        <v>1668</v>
      </c>
      <c r="X4" s="73" t="s">
        <v>1675</v>
      </c>
      <c r="Y4" s="73" t="s">
        <v>1682</v>
      </c>
      <c r="Z4" s="73" t="s">
        <v>1690</v>
      </c>
      <c r="AA4" s="73" t="s">
        <v>1697</v>
      </c>
      <c r="AB4" s="73" t="s">
        <v>1705</v>
      </c>
      <c r="AC4" s="73" t="s">
        <v>1709</v>
      </c>
    </row>
    <row r="5" customFormat="false" ht="15" hidden="false" customHeight="false" outlineLevel="0" collapsed="false">
      <c r="A5" s="74" t="s">
        <v>1712</v>
      </c>
      <c r="B5" s="75" t="s">
        <v>1713</v>
      </c>
      <c r="C5" s="75" t="s">
        <v>1714</v>
      </c>
      <c r="D5" s="75" t="s">
        <v>1715</v>
      </c>
      <c r="E5" s="76" t="s">
        <v>1716</v>
      </c>
      <c r="F5" s="76" t="s">
        <v>1717</v>
      </c>
      <c r="G5" s="77" t="s">
        <v>1718</v>
      </c>
      <c r="H5" s="78" t="s">
        <v>1719</v>
      </c>
      <c r="I5" s="79" t="s">
        <v>1720</v>
      </c>
      <c r="J5" s="79" t="s">
        <v>1721</v>
      </c>
      <c r="K5" s="79" t="s">
        <v>1722</v>
      </c>
      <c r="L5" s="80" t="s">
        <v>1723</v>
      </c>
      <c r="M5" s="80" t="s">
        <v>1724</v>
      </c>
      <c r="N5" s="80" t="s">
        <v>1725</v>
      </c>
      <c r="O5" s="74" t="s">
        <v>1720</v>
      </c>
      <c r="P5" s="74" t="s">
        <v>1726</v>
      </c>
      <c r="Q5" s="75" t="s">
        <v>1727</v>
      </c>
      <c r="R5" s="76" t="s">
        <v>1728</v>
      </c>
      <c r="S5" s="77" t="s">
        <v>1729</v>
      </c>
      <c r="T5" s="78" t="s">
        <v>1730</v>
      </c>
      <c r="U5" s="79" t="s">
        <v>1731</v>
      </c>
      <c r="V5" s="80" t="s">
        <v>1732</v>
      </c>
      <c r="W5" s="80" t="s">
        <v>1731</v>
      </c>
      <c r="X5" s="80" t="s">
        <v>1733</v>
      </c>
      <c r="Y5" s="80" t="s">
        <v>1734</v>
      </c>
      <c r="Z5" s="80" t="s">
        <v>1735</v>
      </c>
      <c r="AA5" s="80" t="s">
        <v>1736</v>
      </c>
      <c r="AB5" s="80" t="s">
        <v>1730</v>
      </c>
      <c r="AC5" s="80" t="s">
        <v>1730</v>
      </c>
    </row>
    <row r="6" customFormat="false" ht="18" hidden="false" customHeight="true" outlineLevel="0" collapsed="false">
      <c r="A6" s="35" t="s">
        <v>1737</v>
      </c>
      <c r="B6" s="35" t="s">
        <v>1737</v>
      </c>
      <c r="C6" s="35" t="s">
        <v>1737</v>
      </c>
      <c r="D6" s="35" t="s">
        <v>1737</v>
      </c>
      <c r="E6" s="35" t="s">
        <v>1737</v>
      </c>
      <c r="F6" s="35" t="s">
        <v>1737</v>
      </c>
      <c r="G6" s="35" t="s">
        <v>1737</v>
      </c>
      <c r="H6" s="35" t="s">
        <v>1737</v>
      </c>
      <c r="I6" s="35" t="s">
        <v>1737</v>
      </c>
      <c r="J6" s="35" t="s">
        <v>1737</v>
      </c>
      <c r="K6" s="35" t="s">
        <v>1737</v>
      </c>
      <c r="L6" s="35" t="s">
        <v>1737</v>
      </c>
      <c r="M6" s="35" t="s">
        <v>1737</v>
      </c>
      <c r="N6" s="35" t="s">
        <v>1737</v>
      </c>
      <c r="O6" s="35" t="s">
        <v>1737</v>
      </c>
      <c r="P6" s="35" t="s">
        <v>1737</v>
      </c>
      <c r="Q6" s="35" t="s">
        <v>1737</v>
      </c>
      <c r="R6" s="35" t="s">
        <v>1737</v>
      </c>
      <c r="S6" s="35" t="s">
        <v>1737</v>
      </c>
      <c r="T6" s="35" t="s">
        <v>1737</v>
      </c>
      <c r="U6" s="35" t="s">
        <v>1737</v>
      </c>
      <c r="V6" s="35" t="s">
        <v>1737</v>
      </c>
      <c r="W6" s="35" t="s">
        <v>1737</v>
      </c>
      <c r="X6" s="35" t="s">
        <v>1737</v>
      </c>
      <c r="Y6" s="35" t="s">
        <v>1737</v>
      </c>
      <c r="Z6" s="35" t="s">
        <v>1737</v>
      </c>
      <c r="AA6" s="35" t="s">
        <v>1737</v>
      </c>
      <c r="AB6" s="35" t="s">
        <v>1737</v>
      </c>
      <c r="AC6" s="35" t="s">
        <v>1737</v>
      </c>
    </row>
    <row r="7" customFormat="false" ht="43.25" hidden="false" customHeight="false" outlineLevel="0" collapsed="false">
      <c r="A7" s="37" t="s">
        <v>1738</v>
      </c>
      <c r="B7" s="37" t="s">
        <v>2</v>
      </c>
      <c r="C7" s="37" t="s">
        <v>1739</v>
      </c>
      <c r="D7" s="37" t="s">
        <v>1740</v>
      </c>
      <c r="E7" s="37" t="s">
        <v>1550</v>
      </c>
      <c r="F7" s="37" t="s">
        <v>1557</v>
      </c>
      <c r="G7" s="37" t="s">
        <v>1565</v>
      </c>
      <c r="H7" s="37" t="s">
        <v>1741</v>
      </c>
      <c r="I7" s="37" t="s">
        <v>1582</v>
      </c>
      <c r="J7" s="37" t="s">
        <v>1742</v>
      </c>
      <c r="K7" s="37" t="s">
        <v>1743</v>
      </c>
      <c r="L7" s="81" t="s">
        <v>1744</v>
      </c>
      <c r="M7" s="81" t="s">
        <v>1745</v>
      </c>
      <c r="N7" s="39" t="s">
        <v>1746</v>
      </c>
      <c r="O7" s="37" t="s">
        <v>1622</v>
      </c>
      <c r="P7" s="37" t="s">
        <v>1747</v>
      </c>
      <c r="Q7" s="37" t="s">
        <v>1748</v>
      </c>
      <c r="R7" s="37" t="s">
        <v>1749</v>
      </c>
      <c r="S7" s="37" t="s">
        <v>1645</v>
      </c>
      <c r="T7" s="82" t="s">
        <v>1655</v>
      </c>
      <c r="U7" s="37" t="s">
        <v>1750</v>
      </c>
      <c r="V7" s="37" t="s">
        <v>1751</v>
      </c>
      <c r="W7" s="37" t="s">
        <v>1667</v>
      </c>
      <c r="X7" s="37" t="s">
        <v>1752</v>
      </c>
      <c r="Y7" s="37" t="s">
        <v>1753</v>
      </c>
      <c r="Z7" s="81" t="s">
        <v>1745</v>
      </c>
      <c r="AA7" s="37" t="s">
        <v>1754</v>
      </c>
      <c r="AB7" s="82" t="s">
        <v>1706</v>
      </c>
      <c r="AC7" s="82" t="s">
        <v>1710</v>
      </c>
    </row>
    <row r="8" customFormat="false" ht="23.85" hidden="false" customHeight="false" outlineLevel="0" collapsed="false">
      <c r="A8" s="37" t="s">
        <v>1755</v>
      </c>
      <c r="B8" s="83" t="s">
        <v>1756</v>
      </c>
      <c r="C8" s="37" t="s">
        <v>1757</v>
      </c>
      <c r="D8" s="39" t="s">
        <v>1758</v>
      </c>
      <c r="E8" s="83" t="s">
        <v>1759</v>
      </c>
      <c r="F8" s="81" t="s">
        <v>1561</v>
      </c>
      <c r="G8" s="81" t="s">
        <v>1760</v>
      </c>
      <c r="H8" s="81" t="s">
        <v>1761</v>
      </c>
      <c r="I8" s="83" t="s">
        <v>1762</v>
      </c>
      <c r="J8" s="37" t="s">
        <v>1763</v>
      </c>
      <c r="K8" s="39" t="s">
        <v>1764</v>
      </c>
      <c r="L8" s="81" t="s">
        <v>1765</v>
      </c>
      <c r="M8" s="84" t="s">
        <v>1766</v>
      </c>
      <c r="N8" s="37" t="s">
        <v>1767</v>
      </c>
      <c r="O8" s="83" t="s">
        <v>1768</v>
      </c>
      <c r="P8" s="37" t="s">
        <v>1769</v>
      </c>
      <c r="Q8" s="39" t="s">
        <v>1770</v>
      </c>
      <c r="R8" s="81" t="s">
        <v>1771</v>
      </c>
      <c r="S8" s="81" t="s">
        <v>1772</v>
      </c>
      <c r="U8" s="81" t="s">
        <v>1773</v>
      </c>
      <c r="V8" s="37" t="s">
        <v>1774</v>
      </c>
      <c r="W8" s="83" t="s">
        <v>1775</v>
      </c>
      <c r="X8" s="37" t="s">
        <v>1776</v>
      </c>
      <c r="Y8" s="37" t="s">
        <v>1777</v>
      </c>
      <c r="Z8" s="84" t="s">
        <v>1778</v>
      </c>
      <c r="AA8" s="81" t="s">
        <v>1779</v>
      </c>
    </row>
    <row r="9" customFormat="false" ht="22.35" hidden="false" customHeight="false" outlineLevel="0" collapsed="false">
      <c r="A9" s="81" t="s">
        <v>1780</v>
      </c>
      <c r="B9" s="83" t="s">
        <v>1781</v>
      </c>
      <c r="C9" s="81" t="s">
        <v>1782</v>
      </c>
      <c r="D9" s="39" t="s">
        <v>1783</v>
      </c>
      <c r="E9" s="83" t="s">
        <v>1784</v>
      </c>
      <c r="F9" s="84" t="s">
        <v>1785</v>
      </c>
      <c r="G9" s="81" t="s">
        <v>1786</v>
      </c>
      <c r="H9" s="84" t="s">
        <v>1787</v>
      </c>
      <c r="I9" s="83" t="s">
        <v>1788</v>
      </c>
      <c r="J9" s="81" t="s">
        <v>1789</v>
      </c>
      <c r="K9" s="37" t="s">
        <v>1790</v>
      </c>
      <c r="L9" s="84" t="s">
        <v>1791</v>
      </c>
      <c r="M9" s="84" t="s">
        <v>1792</v>
      </c>
      <c r="N9" s="39" t="s">
        <v>1793</v>
      </c>
      <c r="O9" s="83" t="s">
        <v>1794</v>
      </c>
      <c r="P9" s="37" t="s">
        <v>1795</v>
      </c>
      <c r="Q9" s="81" t="s">
        <v>1796</v>
      </c>
      <c r="R9" s="37" t="s">
        <v>1797</v>
      </c>
      <c r="S9" s="83" t="s">
        <v>1798</v>
      </c>
      <c r="U9" s="81" t="s">
        <v>1799</v>
      </c>
      <c r="V9" s="39" t="s">
        <v>1800</v>
      </c>
      <c r="W9" s="83" t="s">
        <v>1801</v>
      </c>
      <c r="X9" s="81" t="s">
        <v>1802</v>
      </c>
      <c r="Y9" s="37" t="s">
        <v>1803</v>
      </c>
      <c r="Z9" s="37" t="s">
        <v>1804</v>
      </c>
      <c r="AA9" s="37" t="s">
        <v>1805</v>
      </c>
    </row>
    <row r="10" customFormat="false" ht="15" hidden="false" customHeight="false" outlineLevel="0" collapsed="false">
      <c r="A10" s="85" t="s">
        <v>1806</v>
      </c>
      <c r="B10" s="83" t="s">
        <v>1807</v>
      </c>
      <c r="C10" s="86" t="s">
        <v>1808</v>
      </c>
      <c r="D10" s="39" t="s">
        <v>1809</v>
      </c>
      <c r="E10" s="87" t="s">
        <v>1764</v>
      </c>
      <c r="F10" s="83" t="s">
        <v>1810</v>
      </c>
      <c r="G10" s="81" t="s">
        <v>1811</v>
      </c>
      <c r="H10" s="84" t="s">
        <v>1812</v>
      </c>
      <c r="I10" s="83" t="s">
        <v>1813</v>
      </c>
      <c r="J10" s="85" t="s">
        <v>1814</v>
      </c>
      <c r="K10" s="39" t="s">
        <v>1815</v>
      </c>
      <c r="L10" s="37" t="s">
        <v>1816</v>
      </c>
      <c r="M10" s="84" t="s">
        <v>1817</v>
      </c>
      <c r="N10" s="39" t="s">
        <v>1818</v>
      </c>
      <c r="O10" s="83" t="s">
        <v>1819</v>
      </c>
      <c r="P10" s="37" t="s">
        <v>1820</v>
      </c>
      <c r="Q10" s="81" t="s">
        <v>1821</v>
      </c>
      <c r="R10" s="81" t="s">
        <v>1822</v>
      </c>
      <c r="S10" s="83" t="s">
        <v>1823</v>
      </c>
      <c r="U10" s="81" t="s">
        <v>1824</v>
      </c>
      <c r="V10" s="39" t="s">
        <v>1825</v>
      </c>
      <c r="W10" s="83" t="s">
        <v>1826</v>
      </c>
      <c r="X10" s="81" t="s">
        <v>1827</v>
      </c>
      <c r="Y10" s="37" t="s">
        <v>1828</v>
      </c>
      <c r="Z10" s="81" t="s">
        <v>1829</v>
      </c>
      <c r="AA10" s="81" t="s">
        <v>1830</v>
      </c>
    </row>
    <row r="11" customFormat="false" ht="15" hidden="false" customHeight="false" outlineLevel="0" collapsed="false">
      <c r="A11" s="85" t="s">
        <v>1831</v>
      </c>
      <c r="B11" s="83" t="s">
        <v>1832</v>
      </c>
      <c r="C11" s="81" t="s">
        <v>1833</v>
      </c>
      <c r="D11" s="37" t="s">
        <v>1834</v>
      </c>
      <c r="E11" s="87" t="s">
        <v>1835</v>
      </c>
      <c r="F11" s="87" t="s">
        <v>1836</v>
      </c>
      <c r="G11" s="81" t="s">
        <v>1837</v>
      </c>
      <c r="H11" s="84" t="s">
        <v>1838</v>
      </c>
      <c r="I11" s="83" t="s">
        <v>1832</v>
      </c>
      <c r="J11" s="85" t="s">
        <v>1839</v>
      </c>
      <c r="K11" s="39" t="s">
        <v>1840</v>
      </c>
      <c r="L11" s="81" t="s">
        <v>1841</v>
      </c>
      <c r="M11" s="84" t="s">
        <v>1842</v>
      </c>
      <c r="N11" s="39" t="s">
        <v>1843</v>
      </c>
      <c r="O11" s="83" t="s">
        <v>1844</v>
      </c>
      <c r="P11" s="39" t="s">
        <v>1845</v>
      </c>
      <c r="Q11" s="81" t="s">
        <v>1846</v>
      </c>
      <c r="R11" s="84" t="s">
        <v>1764</v>
      </c>
      <c r="S11" s="81" t="s">
        <v>1847</v>
      </c>
      <c r="U11" s="81" t="s">
        <v>1848</v>
      </c>
      <c r="V11" s="37" t="s">
        <v>1849</v>
      </c>
      <c r="W11" s="83" t="s">
        <v>1850</v>
      </c>
      <c r="X11" s="81" t="s">
        <v>1851</v>
      </c>
      <c r="Y11" s="37" t="s">
        <v>1852</v>
      </c>
      <c r="Z11" s="83" t="s">
        <v>1853</v>
      </c>
      <c r="AA11" s="81" t="s">
        <v>1854</v>
      </c>
    </row>
    <row r="12" customFormat="false" ht="15" hidden="false" customHeight="false" outlineLevel="0" collapsed="false">
      <c r="A12" s="85" t="s">
        <v>1855</v>
      </c>
      <c r="C12" s="81" t="s">
        <v>1856</v>
      </c>
      <c r="D12" s="39" t="s">
        <v>1857</v>
      </c>
      <c r="E12" s="87" t="s">
        <v>1858</v>
      </c>
      <c r="F12" s="87" t="s">
        <v>1859</v>
      </c>
      <c r="G12" s="81" t="s">
        <v>1860</v>
      </c>
      <c r="H12" s="81" t="s">
        <v>1861</v>
      </c>
      <c r="J12" s="85" t="s">
        <v>1862</v>
      </c>
      <c r="K12" s="39" t="s">
        <v>1863</v>
      </c>
      <c r="L12" s="83" t="s">
        <v>1864</v>
      </c>
      <c r="M12" s="84" t="s">
        <v>1865</v>
      </c>
      <c r="N12" s="37" t="s">
        <v>1866</v>
      </c>
      <c r="P12" s="39" t="s">
        <v>1867</v>
      </c>
      <c r="Q12" s="81" t="s">
        <v>1868</v>
      </c>
      <c r="R12" s="37" t="s">
        <v>1869</v>
      </c>
      <c r="S12" s="83" t="s">
        <v>1870</v>
      </c>
      <c r="U12" s="37" t="s">
        <v>1871</v>
      </c>
      <c r="V12" s="39" t="s">
        <v>1872</v>
      </c>
      <c r="W12" s="83" t="s">
        <v>1873</v>
      </c>
      <c r="X12" s="81" t="s">
        <v>1874</v>
      </c>
      <c r="Y12" s="37" t="s">
        <v>1875</v>
      </c>
      <c r="Z12" s="87" t="s">
        <v>1876</v>
      </c>
      <c r="AA12" s="84" t="s">
        <v>1877</v>
      </c>
    </row>
    <row r="13" customFormat="false" ht="15" hidden="false" customHeight="false" outlineLevel="0" collapsed="false">
      <c r="A13" s="85" t="s">
        <v>1</v>
      </c>
      <c r="C13" s="81" t="s">
        <v>1878</v>
      </c>
      <c r="D13" s="39" t="s">
        <v>1879</v>
      </c>
      <c r="E13" s="83" t="s">
        <v>1880</v>
      </c>
      <c r="F13" s="87" t="s">
        <v>1881</v>
      </c>
      <c r="G13" s="81" t="s">
        <v>1882</v>
      </c>
      <c r="H13" s="84" t="s">
        <v>1883</v>
      </c>
      <c r="J13" s="85" t="s">
        <v>1884</v>
      </c>
      <c r="K13" s="37" t="s">
        <v>1885</v>
      </c>
      <c r="L13" s="87" t="s">
        <v>1886</v>
      </c>
      <c r="M13" s="37" t="s">
        <v>1887</v>
      </c>
      <c r="N13" s="39" t="s">
        <v>1888</v>
      </c>
      <c r="P13" s="39" t="s">
        <v>1889</v>
      </c>
      <c r="Q13" s="81" t="s">
        <v>1890</v>
      </c>
      <c r="R13" s="39" t="s">
        <v>1891</v>
      </c>
      <c r="S13" s="85" t="s">
        <v>1892</v>
      </c>
      <c r="V13" s="37" t="s">
        <v>1893</v>
      </c>
      <c r="X13" s="81" t="s">
        <v>1894</v>
      </c>
      <c r="Y13" s="37" t="s">
        <v>1895</v>
      </c>
      <c r="Z13" s="37" t="s">
        <v>1896</v>
      </c>
      <c r="AA13" s="84" t="s">
        <v>1897</v>
      </c>
    </row>
    <row r="14" customFormat="false" ht="15" hidden="false" customHeight="false" outlineLevel="0" collapsed="false">
      <c r="A14" s="85" t="s">
        <v>1898</v>
      </c>
      <c r="C14" s="81" t="s">
        <v>1899</v>
      </c>
      <c r="D14" s="39" t="s">
        <v>1900</v>
      </c>
      <c r="E14" s="83" t="s">
        <v>1901</v>
      </c>
      <c r="F14" s="87" t="s">
        <v>1902</v>
      </c>
      <c r="G14" s="84" t="s">
        <v>1903</v>
      </c>
      <c r="H14" s="84" t="s">
        <v>1904</v>
      </c>
      <c r="J14" s="81" t="s">
        <v>1905</v>
      </c>
      <c r="K14" s="39" t="s">
        <v>1906</v>
      </c>
      <c r="L14" s="83" t="s">
        <v>1907</v>
      </c>
      <c r="M14" s="81" t="s">
        <v>1908</v>
      </c>
      <c r="N14" s="39" t="s">
        <v>1909</v>
      </c>
      <c r="P14" s="37" t="s">
        <v>1910</v>
      </c>
      <c r="Q14" s="37" t="s">
        <v>1911</v>
      </c>
      <c r="R14" s="39" t="s">
        <v>1912</v>
      </c>
      <c r="S14" s="85" t="s">
        <v>1913</v>
      </c>
      <c r="V14" s="81" t="s">
        <v>1914</v>
      </c>
      <c r="X14" s="37" t="s">
        <v>1915</v>
      </c>
      <c r="Z14" s="81" t="s">
        <v>1829</v>
      </c>
      <c r="AA14" s="84" t="s">
        <v>1916</v>
      </c>
    </row>
    <row r="15" customFormat="false" ht="15" hidden="false" customHeight="false" outlineLevel="0" collapsed="false">
      <c r="A15" s="37" t="s">
        <v>1917</v>
      </c>
      <c r="C15" s="81" t="s">
        <v>1918</v>
      </c>
      <c r="D15" s="39" t="s">
        <v>1919</v>
      </c>
      <c r="E15" s="37" t="s">
        <v>1920</v>
      </c>
      <c r="F15" s="83" t="s">
        <v>1921</v>
      </c>
      <c r="G15" s="84" t="s">
        <v>1922</v>
      </c>
      <c r="H15" s="37" t="s">
        <v>1923</v>
      </c>
      <c r="J15" s="85" t="s">
        <v>1924</v>
      </c>
      <c r="K15" s="39" t="s">
        <v>1925</v>
      </c>
      <c r="L15" s="83" t="s">
        <v>1926</v>
      </c>
      <c r="M15" s="81" t="s">
        <v>1927</v>
      </c>
      <c r="N15" s="39" t="s">
        <v>1928</v>
      </c>
      <c r="P15" s="39" t="s">
        <v>1929</v>
      </c>
      <c r="R15" s="39" t="s">
        <v>1919</v>
      </c>
      <c r="S15" s="85" t="s">
        <v>1930</v>
      </c>
      <c r="V15" s="81" t="s">
        <v>1931</v>
      </c>
      <c r="X15" s="81" t="s">
        <v>1581</v>
      </c>
      <c r="Z15" s="83" t="s">
        <v>1932</v>
      </c>
      <c r="AA15" s="83" t="s">
        <v>1933</v>
      </c>
    </row>
    <row r="16" customFormat="false" ht="15" hidden="false" customHeight="false" outlineLevel="0" collapsed="false">
      <c r="A16" s="37" t="s">
        <v>1934</v>
      </c>
      <c r="C16" s="81" t="s">
        <v>1935</v>
      </c>
      <c r="D16" s="37" t="s">
        <v>1936</v>
      </c>
      <c r="F16" s="87" t="s">
        <v>1764</v>
      </c>
      <c r="G16" s="84" t="s">
        <v>1937</v>
      </c>
      <c r="H16" s="81" t="s">
        <v>1761</v>
      </c>
      <c r="J16" s="85" t="s">
        <v>1938</v>
      </c>
      <c r="K16" s="39" t="s">
        <v>1939</v>
      </c>
      <c r="L16" s="87" t="s">
        <v>1940</v>
      </c>
      <c r="M16" s="81" t="s">
        <v>1941</v>
      </c>
      <c r="N16" s="37" t="s">
        <v>1942</v>
      </c>
      <c r="P16" s="39" t="s">
        <v>1943</v>
      </c>
      <c r="R16" s="39" t="s">
        <v>1944</v>
      </c>
      <c r="S16" s="85" t="s">
        <v>1945</v>
      </c>
      <c r="V16" s="81" t="s">
        <v>1946</v>
      </c>
      <c r="X16" s="37" t="s">
        <v>1947</v>
      </c>
      <c r="Z16" s="87" t="s">
        <v>1948</v>
      </c>
      <c r="AA16" s="87" t="s">
        <v>1949</v>
      </c>
    </row>
    <row r="17" customFormat="false" ht="15" hidden="false" customHeight="false" outlineLevel="0" collapsed="false">
      <c r="C17" s="81" t="s">
        <v>1950</v>
      </c>
      <c r="D17" s="37" t="s">
        <v>1951</v>
      </c>
      <c r="F17" s="87" t="s">
        <v>1952</v>
      </c>
      <c r="G17" s="84" t="s">
        <v>1953</v>
      </c>
      <c r="H17" s="84" t="s">
        <v>1954</v>
      </c>
      <c r="J17" s="85" t="s">
        <v>1955</v>
      </c>
      <c r="K17" s="37" t="s">
        <v>1956</v>
      </c>
      <c r="L17" s="87" t="s">
        <v>1957</v>
      </c>
      <c r="M17" s="37" t="s">
        <v>1958</v>
      </c>
      <c r="N17" s="39" t="s">
        <v>1959</v>
      </c>
      <c r="P17" s="39" t="s">
        <v>1960</v>
      </c>
      <c r="R17" s="39" t="s">
        <v>1961</v>
      </c>
      <c r="S17" s="85" t="s">
        <v>1962</v>
      </c>
      <c r="V17" s="37" t="s">
        <v>1963</v>
      </c>
      <c r="X17" s="81" t="s">
        <v>1964</v>
      </c>
      <c r="Z17" s="87" t="s">
        <v>1965</v>
      </c>
      <c r="AA17" s="87" t="s">
        <v>1966</v>
      </c>
    </row>
    <row r="18" customFormat="false" ht="15" hidden="false" customHeight="false" outlineLevel="0" collapsed="false">
      <c r="C18" s="83" t="s">
        <v>1967</v>
      </c>
      <c r="D18" s="37" t="s">
        <v>1968</v>
      </c>
      <c r="F18" s="87" t="s">
        <v>1969</v>
      </c>
      <c r="H18" s="84" t="s">
        <v>1970</v>
      </c>
      <c r="J18" s="85" t="s">
        <v>1971</v>
      </c>
      <c r="K18" s="37" t="s">
        <v>1972</v>
      </c>
      <c r="L18" s="87" t="s">
        <v>1973</v>
      </c>
      <c r="M18" s="39" t="s">
        <v>1974</v>
      </c>
      <c r="N18" s="39" t="s">
        <v>1975</v>
      </c>
      <c r="P18" s="37" t="s">
        <v>1976</v>
      </c>
      <c r="R18" s="39" t="s">
        <v>1977</v>
      </c>
      <c r="S18" s="83" t="s">
        <v>1978</v>
      </c>
      <c r="V18" s="81" t="s">
        <v>1979</v>
      </c>
      <c r="X18" s="81" t="s">
        <v>1980</v>
      </c>
      <c r="Z18" s="87" t="s">
        <v>1981</v>
      </c>
      <c r="AA18" s="37" t="s">
        <v>1982</v>
      </c>
    </row>
    <row r="19" customFormat="false" ht="15" hidden="false" customHeight="false" outlineLevel="0" collapsed="false">
      <c r="C19" s="81" t="s">
        <v>1983</v>
      </c>
      <c r="D19" s="83" t="s">
        <v>1984</v>
      </c>
      <c r="F19" s="87" t="s">
        <v>1835</v>
      </c>
      <c r="H19" s="84" t="s">
        <v>1985</v>
      </c>
      <c r="J19" s="85" t="s">
        <v>1986</v>
      </c>
      <c r="K19" s="39" t="s">
        <v>1912</v>
      </c>
      <c r="L19" s="87" t="s">
        <v>1987</v>
      </c>
      <c r="M19" s="39" t="s">
        <v>1988</v>
      </c>
      <c r="N19" s="39" t="s">
        <v>1989</v>
      </c>
      <c r="P19" s="39" t="s">
        <v>1990</v>
      </c>
      <c r="R19" s="81" t="s">
        <v>1991</v>
      </c>
      <c r="S19" s="81" t="s">
        <v>1992</v>
      </c>
      <c r="X19" s="81" t="s">
        <v>1993</v>
      </c>
      <c r="Z19" s="87" t="s">
        <v>1994</v>
      </c>
      <c r="AA19" s="81" t="s">
        <v>1995</v>
      </c>
    </row>
    <row r="20" customFormat="false" ht="15" hidden="false" customHeight="false" outlineLevel="0" collapsed="false">
      <c r="C20" s="81" t="s">
        <v>1996</v>
      </c>
      <c r="F20" s="87" t="s">
        <v>1952</v>
      </c>
      <c r="H20" s="81" t="s">
        <v>1997</v>
      </c>
      <c r="J20" s="81" t="s">
        <v>1998</v>
      </c>
      <c r="K20" s="39" t="s">
        <v>1999</v>
      </c>
      <c r="L20" s="37" t="s">
        <v>2000</v>
      </c>
      <c r="M20" s="39" t="s">
        <v>2001</v>
      </c>
      <c r="N20" s="37" t="s">
        <v>2002</v>
      </c>
      <c r="P20" s="39" t="s">
        <v>2003</v>
      </c>
      <c r="R20" s="37" t="s">
        <v>2004</v>
      </c>
      <c r="S20" s="83" t="s">
        <v>2005</v>
      </c>
      <c r="X20" s="81" t="s">
        <v>2006</v>
      </c>
      <c r="Z20" s="37" t="s">
        <v>2007</v>
      </c>
      <c r="AA20" s="81" t="s">
        <v>2008</v>
      </c>
    </row>
    <row r="21" customFormat="false" ht="15" hidden="false" customHeight="false" outlineLevel="0" collapsed="false">
      <c r="C21" s="81" t="s">
        <v>2009</v>
      </c>
      <c r="F21" s="87" t="s">
        <v>1969</v>
      </c>
      <c r="H21" s="84" t="s">
        <v>2010</v>
      </c>
      <c r="J21" s="85" t="s">
        <v>2011</v>
      </c>
      <c r="K21" s="39" t="s">
        <v>2012</v>
      </c>
      <c r="L21" s="81" t="s">
        <v>2013</v>
      </c>
      <c r="M21" s="39" t="s">
        <v>2014</v>
      </c>
      <c r="N21" s="37" t="s">
        <v>2015</v>
      </c>
      <c r="P21" s="39" t="s">
        <v>2016</v>
      </c>
      <c r="R21" s="81" t="s">
        <v>2017</v>
      </c>
      <c r="S21" s="83" t="s">
        <v>2018</v>
      </c>
      <c r="X21" s="37" t="s">
        <v>2019</v>
      </c>
      <c r="Z21" s="81" t="s">
        <v>1829</v>
      </c>
      <c r="AA21" s="84" t="s">
        <v>2020</v>
      </c>
    </row>
    <row r="22" customFormat="false" ht="15" hidden="false" customHeight="false" outlineLevel="0" collapsed="false">
      <c r="C22" s="83" t="s">
        <v>2021</v>
      </c>
      <c r="F22" s="87" t="s">
        <v>2022</v>
      </c>
      <c r="H22" s="84" t="s">
        <v>2023</v>
      </c>
      <c r="J22" s="85" t="s">
        <v>2024</v>
      </c>
      <c r="K22" s="37" t="s">
        <v>2025</v>
      </c>
      <c r="L22" s="83" t="s">
        <v>2026</v>
      </c>
      <c r="M22" s="39" t="s">
        <v>2027</v>
      </c>
      <c r="N22" s="81" t="s">
        <v>2028</v>
      </c>
      <c r="P22" s="37" t="s">
        <v>2029</v>
      </c>
      <c r="R22" s="37" t="s">
        <v>2030</v>
      </c>
      <c r="S22" s="83" t="s">
        <v>2031</v>
      </c>
      <c r="X22" s="37" t="s">
        <v>2032</v>
      </c>
      <c r="Z22" s="83" t="s">
        <v>2033</v>
      </c>
      <c r="AA22" s="84" t="s">
        <v>2034</v>
      </c>
    </row>
    <row r="23" customFormat="false" ht="15" hidden="false" customHeight="false" outlineLevel="0" collapsed="false">
      <c r="C23" s="81" t="s">
        <v>2035</v>
      </c>
      <c r="F23" s="87" t="s">
        <v>1952</v>
      </c>
      <c r="H23" s="81" t="s">
        <v>2036</v>
      </c>
      <c r="J23" s="85" t="s">
        <v>2037</v>
      </c>
      <c r="L23" s="87" t="s">
        <v>2038</v>
      </c>
      <c r="M23" s="37" t="s">
        <v>2039</v>
      </c>
      <c r="N23" s="81" t="s">
        <v>2040</v>
      </c>
      <c r="P23" s="37" t="s">
        <v>2041</v>
      </c>
      <c r="R23" s="81" t="s">
        <v>2042</v>
      </c>
      <c r="S23" s="83" t="s">
        <v>2043</v>
      </c>
      <c r="X23" s="81" t="s">
        <v>2044</v>
      </c>
      <c r="Z23" s="87" t="s">
        <v>1886</v>
      </c>
      <c r="AA23" s="83" t="s">
        <v>2045</v>
      </c>
    </row>
    <row r="24" customFormat="false" ht="15" hidden="false" customHeight="false" outlineLevel="0" collapsed="false">
      <c r="C24" s="81" t="s">
        <v>2046</v>
      </c>
      <c r="F24" s="87" t="s">
        <v>1969</v>
      </c>
      <c r="H24" s="83" t="s">
        <v>2047</v>
      </c>
      <c r="J24" s="86" t="s">
        <v>2048</v>
      </c>
      <c r="L24" s="87" t="s">
        <v>2049</v>
      </c>
      <c r="M24" s="39" t="s">
        <v>2050</v>
      </c>
      <c r="N24" s="81" t="s">
        <v>2051</v>
      </c>
      <c r="P24" s="37" t="s">
        <v>2052</v>
      </c>
      <c r="R24" s="81" t="s">
        <v>2053</v>
      </c>
      <c r="S24" s="83" t="s">
        <v>2054</v>
      </c>
      <c r="X24" s="81" t="s">
        <v>2055</v>
      </c>
      <c r="Z24" s="37" t="s">
        <v>2056</v>
      </c>
      <c r="AA24" s="81" t="s">
        <v>2057</v>
      </c>
    </row>
    <row r="25" customFormat="false" ht="15" hidden="false" customHeight="false" outlineLevel="0" collapsed="false">
      <c r="C25" s="81" t="s">
        <v>2058</v>
      </c>
      <c r="F25" s="83" t="s">
        <v>2059</v>
      </c>
      <c r="H25" s="83" t="s">
        <v>2060</v>
      </c>
      <c r="J25" s="86" t="s">
        <v>2061</v>
      </c>
      <c r="L25" s="87" t="s">
        <v>2062</v>
      </c>
      <c r="M25" s="39" t="s">
        <v>2063</v>
      </c>
      <c r="N25" s="81" t="s">
        <v>2064</v>
      </c>
      <c r="P25" s="81" t="s">
        <v>2065</v>
      </c>
      <c r="R25" s="37" t="s">
        <v>2066</v>
      </c>
      <c r="S25" s="83" t="s">
        <v>2067</v>
      </c>
      <c r="X25" s="81" t="s">
        <v>2068</v>
      </c>
      <c r="Z25" s="81" t="s">
        <v>1829</v>
      </c>
      <c r="AA25" s="84" t="s">
        <v>2069</v>
      </c>
    </row>
    <row r="26" customFormat="false" ht="15" hidden="false" customHeight="false" outlineLevel="0" collapsed="false">
      <c r="F26" s="87" t="s">
        <v>1836</v>
      </c>
      <c r="H26" s="83" t="s">
        <v>2070</v>
      </c>
      <c r="J26" s="86" t="s">
        <v>2071</v>
      </c>
      <c r="L26" s="87" t="s">
        <v>2072</v>
      </c>
      <c r="M26" s="39" t="s">
        <v>2073</v>
      </c>
      <c r="N26" s="81" t="s">
        <v>2074</v>
      </c>
      <c r="R26" s="81" t="s">
        <v>2075</v>
      </c>
      <c r="S26" s="83" t="s">
        <v>2076</v>
      </c>
      <c r="X26" s="81" t="s">
        <v>2077</v>
      </c>
      <c r="Z26" s="83" t="s">
        <v>2078</v>
      </c>
      <c r="AA26" s="84" t="s">
        <v>2079</v>
      </c>
    </row>
    <row r="27" customFormat="false" ht="15" hidden="false" customHeight="false" outlineLevel="0" collapsed="false">
      <c r="F27" s="87" t="s">
        <v>1859</v>
      </c>
      <c r="H27" s="37" t="s">
        <v>2080</v>
      </c>
      <c r="J27" s="85" t="s">
        <v>2081</v>
      </c>
      <c r="L27" s="87" t="s">
        <v>2082</v>
      </c>
      <c r="M27" s="39" t="s">
        <v>2083</v>
      </c>
      <c r="N27" s="81" t="s">
        <v>2084</v>
      </c>
      <c r="R27" s="37" t="s">
        <v>2085</v>
      </c>
      <c r="S27" s="81" t="s">
        <v>2086</v>
      </c>
      <c r="X27" s="37" t="s">
        <v>2087</v>
      </c>
      <c r="Z27" s="87" t="s">
        <v>2088</v>
      </c>
      <c r="AA27" s="81" t="s">
        <v>2089</v>
      </c>
    </row>
    <row r="28" customFormat="false" ht="15" hidden="false" customHeight="false" outlineLevel="0" collapsed="false">
      <c r="F28" s="87" t="s">
        <v>1881</v>
      </c>
      <c r="H28" s="39" t="s">
        <v>2090</v>
      </c>
      <c r="L28" s="87" t="s">
        <v>2091</v>
      </c>
      <c r="M28" s="37" t="s">
        <v>2092</v>
      </c>
      <c r="N28" s="81" t="s">
        <v>2093</v>
      </c>
      <c r="R28" s="81" t="s">
        <v>2094</v>
      </c>
      <c r="S28" s="83" t="s">
        <v>2095</v>
      </c>
      <c r="X28" s="37" t="s">
        <v>2096</v>
      </c>
      <c r="Z28" s="87" t="s">
        <v>2097</v>
      </c>
      <c r="AA28" s="81" t="s">
        <v>2015</v>
      </c>
    </row>
    <row r="29" customFormat="false" ht="15" hidden="false" customHeight="false" outlineLevel="0" collapsed="false">
      <c r="F29" s="87" t="s">
        <v>2098</v>
      </c>
      <c r="H29" s="39" t="s">
        <v>2099</v>
      </c>
      <c r="L29" s="81" t="s">
        <v>2100</v>
      </c>
      <c r="M29" s="37" t="s">
        <v>2101</v>
      </c>
      <c r="N29" s="81" t="s">
        <v>2102</v>
      </c>
      <c r="R29" s="81" t="s">
        <v>2103</v>
      </c>
      <c r="S29" s="85" t="s">
        <v>2104</v>
      </c>
      <c r="X29" s="81" t="s">
        <v>2105</v>
      </c>
      <c r="Z29" s="87" t="s">
        <v>1919</v>
      </c>
      <c r="AA29" s="83" t="s">
        <v>2106</v>
      </c>
    </row>
    <row r="30" customFormat="false" ht="15" hidden="false" customHeight="false" outlineLevel="0" collapsed="false">
      <c r="F30" s="83" t="s">
        <v>2107</v>
      </c>
      <c r="H30" s="39" t="s">
        <v>2108</v>
      </c>
      <c r="L30" s="81" t="s">
        <v>2109</v>
      </c>
      <c r="M30" s="37" t="s">
        <v>2110</v>
      </c>
      <c r="N30" s="81" t="s">
        <v>2111</v>
      </c>
      <c r="S30" s="85" t="s">
        <v>2112</v>
      </c>
      <c r="X30" s="81" t="s">
        <v>2113</v>
      </c>
      <c r="Z30" s="87" t="s">
        <v>2114</v>
      </c>
      <c r="AA30" s="83" t="s">
        <v>2115</v>
      </c>
    </row>
    <row r="31" customFormat="false" ht="15" hidden="false" customHeight="false" outlineLevel="0" collapsed="false">
      <c r="F31" s="87" t="s">
        <v>2116</v>
      </c>
      <c r="H31" s="83" t="s">
        <v>2117</v>
      </c>
      <c r="L31" s="37" t="s">
        <v>2118</v>
      </c>
      <c r="M31" s="81" t="s">
        <v>2119</v>
      </c>
      <c r="N31" s="81" t="s">
        <v>666</v>
      </c>
      <c r="S31" s="85" t="s">
        <v>2120</v>
      </c>
      <c r="X31" s="37" t="s">
        <v>2121</v>
      </c>
      <c r="Z31" s="37" t="s">
        <v>2122</v>
      </c>
      <c r="AA31" s="83" t="s">
        <v>2123</v>
      </c>
    </row>
    <row r="32" customFormat="false" ht="15" hidden="false" customHeight="false" outlineLevel="0" collapsed="false">
      <c r="F32" s="87" t="s">
        <v>2124</v>
      </c>
      <c r="H32" s="87" t="s">
        <v>2125</v>
      </c>
      <c r="L32" s="81" t="s">
        <v>2126</v>
      </c>
      <c r="M32" s="81" t="s">
        <v>2127</v>
      </c>
      <c r="N32" s="37" t="s">
        <v>2128</v>
      </c>
      <c r="S32" s="83" t="s">
        <v>2129</v>
      </c>
      <c r="X32" s="37" t="s">
        <v>2130</v>
      </c>
      <c r="Z32" s="81" t="s">
        <v>1829</v>
      </c>
      <c r="AA32" s="83" t="s">
        <v>2131</v>
      </c>
    </row>
    <row r="33" customFormat="false" ht="15" hidden="false" customHeight="false" outlineLevel="0" collapsed="false">
      <c r="F33" s="87" t="s">
        <v>2132</v>
      </c>
      <c r="H33" s="87" t="s">
        <v>2133</v>
      </c>
      <c r="L33" s="83" t="s">
        <v>2134</v>
      </c>
      <c r="M33" s="81" t="s">
        <v>2135</v>
      </c>
      <c r="N33" s="39" t="s">
        <v>2136</v>
      </c>
      <c r="S33" s="87" t="s">
        <v>2137</v>
      </c>
      <c r="X33" s="81" t="s">
        <v>2138</v>
      </c>
      <c r="Z33" s="83" t="s">
        <v>2139</v>
      </c>
      <c r="AA33" s="83" t="s">
        <v>2140</v>
      </c>
    </row>
    <row r="34" customFormat="false" ht="15" hidden="false" customHeight="false" outlineLevel="0" collapsed="false">
      <c r="F34" s="87" t="s">
        <v>2141</v>
      </c>
      <c r="H34" s="83" t="s">
        <v>2142</v>
      </c>
      <c r="L34" s="87" t="s">
        <v>2143</v>
      </c>
      <c r="M34" s="81" t="s">
        <v>2144</v>
      </c>
      <c r="N34" s="39" t="s">
        <v>2145</v>
      </c>
      <c r="S34" s="87" t="s">
        <v>2146</v>
      </c>
      <c r="X34" s="81" t="s">
        <v>2147</v>
      </c>
      <c r="Z34" s="87" t="s">
        <v>1994</v>
      </c>
    </row>
    <row r="35" customFormat="false" ht="15" hidden="false" customHeight="false" outlineLevel="0" collapsed="false">
      <c r="F35" s="83" t="s">
        <v>2148</v>
      </c>
      <c r="H35" s="87" t="s">
        <v>2149</v>
      </c>
      <c r="L35" s="37" t="s">
        <v>2150</v>
      </c>
      <c r="M35" s="81" t="s">
        <v>2151</v>
      </c>
      <c r="N35" s="39" t="s">
        <v>2152</v>
      </c>
      <c r="S35" s="81" t="s">
        <v>2025</v>
      </c>
      <c r="X35" s="81" t="s">
        <v>2153</v>
      </c>
      <c r="Z35" s="37" t="s">
        <v>2154</v>
      </c>
    </row>
    <row r="36" customFormat="false" ht="15" hidden="false" customHeight="false" outlineLevel="0" collapsed="false">
      <c r="F36" s="87" t="s">
        <v>2155</v>
      </c>
      <c r="H36" s="87" t="s">
        <v>2156</v>
      </c>
      <c r="L36" s="81" t="s">
        <v>2157</v>
      </c>
      <c r="M36" s="84" t="s">
        <v>2158</v>
      </c>
      <c r="N36" s="39" t="s">
        <v>2159</v>
      </c>
      <c r="S36" s="83" t="s">
        <v>2160</v>
      </c>
      <c r="X36" s="81" t="s">
        <v>2161</v>
      </c>
      <c r="Z36" s="81" t="s">
        <v>1829</v>
      </c>
    </row>
    <row r="37" customFormat="false" ht="22.35" hidden="false" customHeight="false" outlineLevel="0" collapsed="false">
      <c r="F37" s="87" t="s">
        <v>1969</v>
      </c>
      <c r="H37" s="81" t="s">
        <v>2162</v>
      </c>
      <c r="L37" s="83" t="s">
        <v>2163</v>
      </c>
      <c r="M37" s="84" t="s">
        <v>2164</v>
      </c>
      <c r="N37" s="39" t="s">
        <v>2165</v>
      </c>
      <c r="S37" s="85" t="s">
        <v>2166</v>
      </c>
      <c r="X37" s="81" t="s">
        <v>2167</v>
      </c>
      <c r="Z37" s="83" t="s">
        <v>2168</v>
      </c>
    </row>
    <row r="38" customFormat="false" ht="15" hidden="false" customHeight="false" outlineLevel="0" collapsed="false">
      <c r="F38" s="87" t="s">
        <v>2169</v>
      </c>
      <c r="H38" s="37" t="s">
        <v>2170</v>
      </c>
      <c r="L38" s="87" t="s">
        <v>2171</v>
      </c>
      <c r="M38" s="84" t="s">
        <v>2172</v>
      </c>
      <c r="N38" s="37" t="s">
        <v>2025</v>
      </c>
      <c r="S38" s="85" t="s">
        <v>2173</v>
      </c>
      <c r="Z38" s="87" t="s">
        <v>1886</v>
      </c>
    </row>
    <row r="39" customFormat="false" ht="15" hidden="false" customHeight="false" outlineLevel="0" collapsed="false">
      <c r="F39" s="87" t="s">
        <v>2174</v>
      </c>
      <c r="H39" s="81" t="s">
        <v>2175</v>
      </c>
      <c r="L39" s="87" t="s">
        <v>2145</v>
      </c>
      <c r="M39" s="84" t="s">
        <v>2176</v>
      </c>
      <c r="S39" s="81" t="s">
        <v>2177</v>
      </c>
      <c r="Z39" s="37" t="s">
        <v>2178</v>
      </c>
    </row>
    <row r="40" customFormat="false" ht="15" hidden="false" customHeight="false" outlineLevel="0" collapsed="false">
      <c r="F40" s="83" t="s">
        <v>2179</v>
      </c>
      <c r="H40" s="81" t="s">
        <v>2180</v>
      </c>
      <c r="L40" s="87" t="s">
        <v>2181</v>
      </c>
      <c r="M40" s="37" t="s">
        <v>2025</v>
      </c>
      <c r="S40" s="83" t="s">
        <v>641</v>
      </c>
      <c r="Z40" s="81" t="s">
        <v>1829</v>
      </c>
    </row>
    <row r="41" customFormat="false" ht="15" hidden="false" customHeight="false" outlineLevel="0" collapsed="false">
      <c r="F41" s="87" t="s">
        <v>2182</v>
      </c>
      <c r="H41" s="81" t="s">
        <v>2183</v>
      </c>
      <c r="L41" s="87" t="s">
        <v>2184</v>
      </c>
      <c r="S41" s="83" t="s">
        <v>2185</v>
      </c>
      <c r="Z41" s="83" t="s">
        <v>2186</v>
      </c>
    </row>
    <row r="42" customFormat="false" ht="15" hidden="false" customHeight="false" outlineLevel="0" collapsed="false">
      <c r="F42" s="87" t="s">
        <v>2187</v>
      </c>
      <c r="H42" s="81" t="s">
        <v>2188</v>
      </c>
      <c r="L42" s="83" t="s">
        <v>2189</v>
      </c>
      <c r="S42" s="83" t="s">
        <v>2190</v>
      </c>
      <c r="Z42" s="87" t="s">
        <v>2191</v>
      </c>
    </row>
    <row r="43" customFormat="false" ht="15" hidden="false" customHeight="false" outlineLevel="0" collapsed="false">
      <c r="F43" s="87" t="s">
        <v>2192</v>
      </c>
      <c r="H43" s="37" t="s">
        <v>2193</v>
      </c>
      <c r="L43" s="83" t="s">
        <v>2194</v>
      </c>
      <c r="S43" s="83" t="s">
        <v>2195</v>
      </c>
      <c r="Z43" s="37" t="s">
        <v>2196</v>
      </c>
    </row>
    <row r="44" customFormat="false" ht="15" hidden="false" customHeight="false" outlineLevel="0" collapsed="false">
      <c r="F44" s="87" t="s">
        <v>1891</v>
      </c>
      <c r="H44" s="81" t="s">
        <v>2197</v>
      </c>
      <c r="L44" s="83" t="s">
        <v>2198</v>
      </c>
      <c r="S44" s="83" t="s">
        <v>2199</v>
      </c>
      <c r="Z44" s="81" t="s">
        <v>1829</v>
      </c>
    </row>
    <row r="45" customFormat="false" ht="15" hidden="false" customHeight="false" outlineLevel="0" collapsed="false">
      <c r="F45" s="87" t="s">
        <v>2200</v>
      </c>
      <c r="H45" s="84" t="s">
        <v>1889</v>
      </c>
      <c r="L45" s="83" t="s">
        <v>2201</v>
      </c>
      <c r="Z45" s="83" t="s">
        <v>2202</v>
      </c>
    </row>
    <row r="46" customFormat="false" ht="15" hidden="false" customHeight="false" outlineLevel="0" collapsed="false">
      <c r="F46" s="87" t="s">
        <v>2203</v>
      </c>
      <c r="H46" s="84" t="s">
        <v>2204</v>
      </c>
      <c r="L46" s="37" t="s">
        <v>2205</v>
      </c>
      <c r="Z46" s="87" t="s">
        <v>2206</v>
      </c>
    </row>
    <row r="47" customFormat="false" ht="15" hidden="false" customHeight="false" outlineLevel="0" collapsed="false">
      <c r="F47" s="87" t="s">
        <v>2207</v>
      </c>
      <c r="H47" s="84" t="s">
        <v>2208</v>
      </c>
      <c r="L47" s="81" t="s">
        <v>2209</v>
      </c>
      <c r="Z47" s="87" t="s">
        <v>2210</v>
      </c>
    </row>
    <row r="48" customFormat="false" ht="15" hidden="false" customHeight="false" outlineLevel="0" collapsed="false">
      <c r="F48" s="83" t="s">
        <v>2211</v>
      </c>
      <c r="H48" s="81" t="s">
        <v>2212</v>
      </c>
      <c r="L48" s="83" t="s">
        <v>2213</v>
      </c>
      <c r="Z48" s="87" t="s">
        <v>1994</v>
      </c>
    </row>
    <row r="49" customFormat="false" ht="15" hidden="false" customHeight="false" outlineLevel="0" collapsed="false">
      <c r="F49" s="87" t="s">
        <v>2214</v>
      </c>
      <c r="H49" s="84" t="s">
        <v>2215</v>
      </c>
      <c r="L49" s="87" t="s">
        <v>2216</v>
      </c>
      <c r="Z49" s="37" t="s">
        <v>2217</v>
      </c>
    </row>
    <row r="50" customFormat="false" ht="15" hidden="false" customHeight="false" outlineLevel="0" collapsed="false">
      <c r="F50" s="87" t="s">
        <v>2218</v>
      </c>
      <c r="H50" s="84" t="s">
        <v>2219</v>
      </c>
      <c r="L50" s="81" t="s">
        <v>2220</v>
      </c>
      <c r="Z50" s="81" t="s">
        <v>1829</v>
      </c>
    </row>
    <row r="51" customFormat="false" ht="15" hidden="false" customHeight="false" outlineLevel="0" collapsed="false">
      <c r="F51" s="87" t="s">
        <v>2221</v>
      </c>
      <c r="H51" s="37" t="s">
        <v>2222</v>
      </c>
      <c r="L51" s="81" t="s">
        <v>2160</v>
      </c>
      <c r="Z51" s="83" t="s">
        <v>2223</v>
      </c>
    </row>
    <row r="52" customFormat="false" ht="15" hidden="false" customHeight="false" outlineLevel="0" collapsed="false">
      <c r="F52" s="87" t="s">
        <v>2224</v>
      </c>
      <c r="H52" s="81" t="s">
        <v>2197</v>
      </c>
      <c r="L52" s="37" t="s">
        <v>2225</v>
      </c>
      <c r="Z52" s="87" t="s">
        <v>1886</v>
      </c>
    </row>
    <row r="53" customFormat="false" ht="15" hidden="false" customHeight="false" outlineLevel="0" collapsed="false">
      <c r="F53" s="87" t="s">
        <v>2226</v>
      </c>
      <c r="H53" s="84" t="s">
        <v>2227</v>
      </c>
      <c r="L53" s="83" t="s">
        <v>2228</v>
      </c>
      <c r="Z53" s="37" t="s">
        <v>2229</v>
      </c>
    </row>
    <row r="54" customFormat="false" ht="15" hidden="false" customHeight="false" outlineLevel="0" collapsed="false">
      <c r="H54" s="84" t="s">
        <v>2230</v>
      </c>
      <c r="L54" s="83" t="s">
        <v>2231</v>
      </c>
      <c r="Z54" s="81" t="s">
        <v>1829</v>
      </c>
    </row>
    <row r="55" customFormat="false" ht="15" hidden="false" customHeight="false" outlineLevel="0" collapsed="false">
      <c r="H55" s="84" t="s">
        <v>2219</v>
      </c>
      <c r="L55" s="83" t="s">
        <v>2232</v>
      </c>
      <c r="Z55" s="83" t="s">
        <v>2233</v>
      </c>
    </row>
    <row r="56" customFormat="false" ht="15" hidden="false" customHeight="false" outlineLevel="0" collapsed="false">
      <c r="H56" s="81" t="s">
        <v>2212</v>
      </c>
      <c r="L56" s="83" t="s">
        <v>2234</v>
      </c>
      <c r="Z56" s="87" t="s">
        <v>2191</v>
      </c>
    </row>
    <row r="57" customFormat="false" ht="15" hidden="false" customHeight="false" outlineLevel="0" collapsed="false">
      <c r="H57" s="84" t="s">
        <v>2235</v>
      </c>
      <c r="L57" s="83" t="s">
        <v>2236</v>
      </c>
      <c r="Z57" s="37" t="s">
        <v>2237</v>
      </c>
    </row>
    <row r="58" customFormat="false" ht="15" hidden="false" customHeight="false" outlineLevel="0" collapsed="false">
      <c r="H58" s="84" t="s">
        <v>2238</v>
      </c>
      <c r="Z58" s="81" t="s">
        <v>1829</v>
      </c>
    </row>
    <row r="59" customFormat="false" ht="15" hidden="false" customHeight="false" outlineLevel="0" collapsed="false">
      <c r="H59" s="37" t="s">
        <v>2239</v>
      </c>
      <c r="Z59" s="83" t="s">
        <v>2240</v>
      </c>
    </row>
    <row r="60" customFormat="false" ht="15" hidden="false" customHeight="false" outlineLevel="0" collapsed="false">
      <c r="H60" s="81" t="s">
        <v>2241</v>
      </c>
      <c r="Z60" s="87" t="s">
        <v>2242</v>
      </c>
    </row>
    <row r="61" customFormat="false" ht="15" hidden="false" customHeight="false" outlineLevel="0" collapsed="false">
      <c r="H61" s="81" t="s">
        <v>2243</v>
      </c>
      <c r="Z61" s="87" t="s">
        <v>2244</v>
      </c>
    </row>
    <row r="62" customFormat="false" ht="15" hidden="false" customHeight="false" outlineLevel="0" collapsed="false">
      <c r="H62" s="81" t="s">
        <v>2245</v>
      </c>
      <c r="Z62" s="87" t="s">
        <v>2114</v>
      </c>
    </row>
    <row r="63" customFormat="false" ht="15" hidden="false" customHeight="false" outlineLevel="0" collapsed="false">
      <c r="H63" s="81" t="s">
        <v>2246</v>
      </c>
      <c r="Z63" s="37" t="s">
        <v>2247</v>
      </c>
    </row>
    <row r="64" customFormat="false" ht="15" hidden="false" customHeight="false" outlineLevel="0" collapsed="false">
      <c r="H64" s="37" t="s">
        <v>2248</v>
      </c>
      <c r="Z64" s="81" t="s">
        <v>1829</v>
      </c>
    </row>
    <row r="65" customFormat="false" ht="15" hidden="false" customHeight="false" outlineLevel="0" collapsed="false">
      <c r="H65" s="37" t="s">
        <v>2249</v>
      </c>
      <c r="Z65" s="83" t="s">
        <v>2250</v>
      </c>
    </row>
    <row r="66" customFormat="false" ht="15" hidden="false" customHeight="false" outlineLevel="0" collapsed="false">
      <c r="H66" s="81" t="s">
        <v>2015</v>
      </c>
      <c r="Z66" s="87" t="s">
        <v>1961</v>
      </c>
    </row>
    <row r="67" customFormat="false" ht="15" hidden="false" customHeight="false" outlineLevel="0" collapsed="false">
      <c r="H67" s="83" t="s">
        <v>2251</v>
      </c>
      <c r="Z67" s="87" t="s">
        <v>2252</v>
      </c>
    </row>
    <row r="68" customFormat="false" ht="15" hidden="false" customHeight="false" outlineLevel="0" collapsed="false">
      <c r="H68" s="83" t="s">
        <v>2253</v>
      </c>
      <c r="Z68" s="87" t="s">
        <v>2254</v>
      </c>
    </row>
    <row r="69" customFormat="false" ht="15" hidden="false" customHeight="false" outlineLevel="0" collapsed="false">
      <c r="H69" s="83" t="s">
        <v>2255</v>
      </c>
      <c r="Z69" s="87" t="s">
        <v>1994</v>
      </c>
    </row>
    <row r="70" customFormat="false" ht="15" hidden="false" customHeight="false" outlineLevel="0" collapsed="false">
      <c r="H70" s="83" t="s">
        <v>2256</v>
      </c>
      <c r="Z70" s="37" t="s">
        <v>2025</v>
      </c>
    </row>
    <row r="71" customFormat="false" ht="15" hidden="false" customHeight="false" outlineLevel="0" collapsed="false">
      <c r="H71" s="87" t="s">
        <v>2010</v>
      </c>
    </row>
    <row r="72" customFormat="false" ht="15" hidden="false" customHeight="false" outlineLevel="0" collapsed="false">
      <c r="H72" s="87" t="s">
        <v>2023</v>
      </c>
    </row>
    <row r="73" customFormat="false" ht="15" hidden="false" customHeight="false" outlineLevel="0" collapsed="false">
      <c r="H73" s="83" t="s">
        <v>2257</v>
      </c>
    </row>
  </sheetData>
  <mergeCells count="6">
    <mergeCell ref="B1:D1"/>
    <mergeCell ref="E1:F1"/>
    <mergeCell ref="I1:K1"/>
    <mergeCell ref="L1:N1"/>
    <mergeCell ref="O1:P1"/>
    <mergeCell ref="V1:AC1"/>
  </mergeCells>
  <hyperlinks>
    <hyperlink ref="A4" r:id="rId1" display="https://familialife.ca/"/>
    <hyperlink ref="B4" r:id="rId2" display="https://familialife.ca/term-life-insurance/"/>
    <hyperlink ref="C4" r:id="rId3" display="https://familialife.ca/everything-about-term-life-insurance/"/>
    <hyperlink ref="D4" r:id="rId4" display="https://familialife.ca/what-happens-at-the-end-of-term-life-insurance/"/>
    <hyperlink ref="E4" r:id="rId5" display="https://familialife.ca/whole-life-insurance/"/>
    <hyperlink ref="F4" r:id="rId6" display="https://familialife.ca/everything-about-permanent-life-insurance/"/>
    <hyperlink ref="G4" r:id="rId7" display="https://familialife.ca/what-is-universal-life-insurance/"/>
    <hyperlink ref="H4" r:id="rId8" display="https://familialife.ca/what-is-joint-life/"/>
    <hyperlink ref="I4" r:id="rId9" display="https://familialife.ca/no-medical-insurance/"/>
    <hyperlink ref="J4" r:id="rId10" display="https://familialife.ca/everything-about-no-medical-life-insurance/"/>
    <hyperlink ref="K4" r:id="rId11" display="https://familialife.ca/how-to-get-life-insurance-if-you-have-health-issues/"/>
    <hyperlink ref="L4" r:id="rId12" display="https://familialife.ca/life-insurance-for-diabetics/"/>
    <hyperlink ref="M4" r:id="rId13" display="https://familialife.ca/life-insurance-with-cancer/"/>
    <hyperlink ref="N4" r:id="rId14" display="https://familialife.ca/life-insurance-with-heart-condition/"/>
    <hyperlink ref="O4" r:id="rId15" display="https://familialife.ca/mortgage-protection-insurance/"/>
    <hyperlink ref="P4" r:id="rId16" display="https://familialife.ca/what-is-mortgage-insurance/"/>
    <hyperlink ref="Q4" r:id="rId17" display="https://familialife.ca/final-expense-insurance/"/>
    <hyperlink ref="R4" r:id="rId18" display="https://familialife.ca/seniors-life-insurance/"/>
    <hyperlink ref="S4" r:id="rId19" display="https://familialife.ca/family-life-insurance/"/>
    <hyperlink ref="T4" r:id="rId20" display="https://familialife.ca/whats-ci/"/>
    <hyperlink ref="U4" r:id="rId21" display="https://familialife.ca/health-insurance/"/>
    <hyperlink ref="V4" r:id="rId22" display="https://familialife.ca/how-does-life-insurance-work-in-canada/"/>
    <hyperlink ref="W4" r:id="rId23" display="https://familialife.ca/how-much-life-insurance-should-i-get/"/>
    <hyperlink ref="X4" r:id="rId24" display="https://familialife.ca/life-insurance-quotes-in-canada/"/>
    <hyperlink ref="Y4" r:id="rId25" display="https://familialife.ca/how-do-life-insurance-companies-check-medical-background/"/>
    <hyperlink ref="Z4" r:id="rId26" display="https://familialife.ca/12-myths-debunked/"/>
    <hyperlink ref="AA4" r:id="rId27" display="https://familialife.ca/two-things-before-buying/"/>
    <hyperlink ref="AB4" r:id="rId28" display="https://familialife.ca/are-life-insurance-premiums-tax-deductible-in-canada/"/>
    <hyperlink ref="AC4" r:id="rId29" display="https://familialife.ca/how-to-clai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2.8" hidden="false" customHeight="false" outlineLevel="0" collapsed="false">
      <c r="A1" s="88" t="s">
        <v>2258</v>
      </c>
    </row>
    <row r="2" customFormat="false" ht="57.45" hidden="false" customHeight="false" outlineLevel="0" collapsed="false">
      <c r="A2" s="89" t="s">
        <v>2259</v>
      </c>
    </row>
    <row r="4" customFormat="false" ht="15" hidden="false" customHeight="false" outlineLevel="0" collapsed="false">
      <c r="A4" s="90" t="s">
        <v>2260</v>
      </c>
      <c r="B4" s="91"/>
    </row>
    <row r="5" customFormat="false" ht="15" hidden="false" customHeight="false" outlineLevel="0" collapsed="false">
      <c r="A5" s="92" t="s">
        <v>2261</v>
      </c>
      <c r="B5" s="93" t="n">
        <f aca="false">COUNTA('Knowledge Content'!D5:D33)</f>
        <v>29</v>
      </c>
    </row>
    <row r="6" customFormat="false" ht="15" hidden="false" customHeight="false" outlineLevel="0" collapsed="false">
      <c r="A6" s="92" t="s">
        <v>2262</v>
      </c>
      <c r="B6" s="93" t="n">
        <f aca="false">COUNTIF('Knowledge Content'!B5:B33,"Guide*")</f>
        <v>15</v>
      </c>
    </row>
    <row r="7" customFormat="false" ht="15" hidden="false" customHeight="false" outlineLevel="0" collapsed="false">
      <c r="A7" s="92" t="s">
        <v>2263</v>
      </c>
      <c r="B7" s="93" t="n">
        <f aca="false">COUNTIF('Knowledge Content'!B5:B33,"Article*")</f>
        <v>7</v>
      </c>
    </row>
    <row r="8" customFormat="false" ht="15" hidden="false" customHeight="false" outlineLevel="0" collapsed="false">
      <c r="A8" s="92" t="s">
        <v>2264</v>
      </c>
      <c r="B8" s="93" t="n">
        <f aca="false">COUNTIF('Knowledge Content'!B5:B33,"Product*")</f>
        <v>6</v>
      </c>
    </row>
    <row r="9" customFormat="false" ht="15" hidden="false" customHeight="false" outlineLevel="0" collapsed="false">
      <c r="A9" s="92" t="s">
        <v>2265</v>
      </c>
      <c r="B9" s="93" t="n">
        <f aca="false">COUNTIF('Knowledge Content'!P5:P33,"Search results only*")</f>
        <v>3</v>
      </c>
    </row>
    <row r="10" customFormat="false" ht="15" hidden="false" customHeight="false" outlineLevel="0" collapsed="false">
      <c r="A10" s="92" t="s">
        <v>2266</v>
      </c>
      <c r="B10" s="93" t="n">
        <f aca="false">COUNTIF('Knowledge Content'!G5:G33,"*FAQ*")</f>
        <v>7</v>
      </c>
    </row>
    <row r="11" customFormat="false" ht="15" hidden="false" customHeight="false" outlineLevel="0" collapsed="false">
      <c r="A11" s="92" t="s">
        <v>2267</v>
      </c>
      <c r="B11" s="93" t="n">
        <f aca="false">SUM('Knowledge Content'!I5:I33)</f>
        <v>586</v>
      </c>
    </row>
    <row r="12" customFormat="false" ht="15" hidden="false" customHeight="false" outlineLevel="0" collapsed="false">
      <c r="A12" s="92" t="s">
        <v>2268</v>
      </c>
      <c r="B12" s="93" t="n">
        <f aca="false">ROUND(AVERAGE('Knowledge Content'!K5:K33),0)</f>
        <v>1375</v>
      </c>
    </row>
    <row r="13" customFormat="false" ht="15" hidden="false" customHeight="false" outlineLevel="0" collapsed="false">
      <c r="A13" s="92" t="s">
        <v>2269</v>
      </c>
      <c r="B13" s="93" t="n">
        <f aca="false">COUNTIF('Knowledge Content'!O5:O33,"Gap*")</f>
        <v>2</v>
      </c>
    </row>
    <row r="14" customFormat="false" ht="15" hidden="false" customHeight="false" outlineLevel="0" collapsed="false">
      <c r="A14" s="92" t="s">
        <v>2270</v>
      </c>
      <c r="B14" s="93" t="n">
        <f aca="false">COUNTA('URL Inventory'!A5:A100)</f>
        <v>40</v>
      </c>
    </row>
    <row r="15" customFormat="false" ht="15" hidden="false" customHeight="false" outlineLevel="0" collapsed="false">
      <c r="A15" s="92" t="s">
        <v>2271</v>
      </c>
      <c r="B15" s="93" t="n">
        <f aca="false">COUNTA('Topic Index'!A5:A58)</f>
        <v>54</v>
      </c>
    </row>
    <row r="16" customFormat="false" ht="15" hidden="false" customHeight="false" outlineLevel="0" collapsed="false">
      <c r="A16" s="92" t="s">
        <v>2272</v>
      </c>
      <c r="B16" s="93" t="n">
        <f aca="false">COUNTIF('Topic Index'!I5:I58,1)</f>
        <v>9</v>
      </c>
    </row>
    <row r="17" customFormat="false" ht="15" hidden="false" customHeight="false" outlineLevel="0" collapsed="false">
      <c r="A17" s="92" t="s">
        <v>2273</v>
      </c>
      <c r="B17" s="93" t="n">
        <f aca="false">COUNTIF('Topic Index'!G5:G58,"New*")</f>
        <v>15</v>
      </c>
    </row>
    <row r="18" customFormat="false" ht="15" hidden="false" customHeight="false" outlineLevel="0" collapsed="false">
      <c r="A18" s="92" t="s">
        <v>2274</v>
      </c>
      <c r="B18" s="93" t="n">
        <f aca="false">SUM('Topic Index'!E5:E58)</f>
        <v>19300</v>
      </c>
    </row>
    <row r="20" customFormat="false" ht="15" hidden="false" customHeight="false" outlineLevel="0" collapsed="false">
      <c r="A20" s="90" t="s">
        <v>2275</v>
      </c>
      <c r="B20" s="91"/>
    </row>
    <row r="21" customFormat="false" ht="23.85" hidden="false" customHeight="false" outlineLevel="0" collapsed="false">
      <c r="A21" s="94" t="s">
        <v>2276</v>
      </c>
      <c r="B21" s="95" t="s">
        <v>2277</v>
      </c>
    </row>
    <row r="22" customFormat="false" ht="23.85" hidden="false" customHeight="false" outlineLevel="0" collapsed="false">
      <c r="A22" s="94" t="s">
        <v>2278</v>
      </c>
      <c r="B22" s="95" t="s">
        <v>2279</v>
      </c>
    </row>
    <row r="23" customFormat="false" ht="23.85" hidden="false" customHeight="false" outlineLevel="0" collapsed="false">
      <c r="A23" s="94" t="s">
        <v>2280</v>
      </c>
      <c r="B23" s="95" t="s">
        <v>2281</v>
      </c>
    </row>
    <row r="25" customFormat="false" ht="15" hidden="false" customHeight="false" outlineLevel="0" collapsed="false">
      <c r="A25" s="90" t="s">
        <v>2282</v>
      </c>
      <c r="B25" s="91"/>
    </row>
    <row r="26" customFormat="false" ht="15" hidden="false" customHeight="false" outlineLevel="0" collapsed="false">
      <c r="A26" s="94" t="s">
        <v>2283</v>
      </c>
      <c r="B26" s="95" t="s">
        <v>2284</v>
      </c>
    </row>
    <row r="27" customFormat="false" ht="23.85" hidden="false" customHeight="false" outlineLevel="0" collapsed="false">
      <c r="A27" s="94" t="s">
        <v>2285</v>
      </c>
      <c r="B27" s="95" t="s">
        <v>2286</v>
      </c>
    </row>
    <row r="28" customFormat="false" ht="23.85" hidden="false" customHeight="false" outlineLevel="0" collapsed="false">
      <c r="A28" s="94" t="s">
        <v>2287</v>
      </c>
      <c r="B28" s="95" t="s">
        <v>2288</v>
      </c>
    </row>
    <row r="29" customFormat="false" ht="23.85" hidden="false" customHeight="false" outlineLevel="0" collapsed="false">
      <c r="A29" s="94" t="s">
        <v>2289</v>
      </c>
      <c r="B29" s="95" t="s">
        <v>2290</v>
      </c>
    </row>
    <row r="30" customFormat="false" ht="23.85" hidden="false" customHeight="false" outlineLevel="0" collapsed="false">
      <c r="A30" s="94" t="s">
        <v>2291</v>
      </c>
      <c r="B30" s="95" t="s">
        <v>2292</v>
      </c>
    </row>
    <row r="32" customFormat="false" ht="15" hidden="false" customHeight="false" outlineLevel="0" collapsed="false">
      <c r="A32" s="90" t="s">
        <v>2293</v>
      </c>
      <c r="B32" s="91"/>
    </row>
    <row r="33" customFormat="false" ht="23.85" hidden="false" customHeight="false" outlineLevel="0" collapsed="false">
      <c r="A33" s="94" t="s">
        <v>2294</v>
      </c>
      <c r="B33" s="95" t="s">
        <v>2295</v>
      </c>
    </row>
    <row r="34" customFormat="false" ht="23.85" hidden="false" customHeight="false" outlineLevel="0" collapsed="false">
      <c r="A34" s="94" t="s">
        <v>2296</v>
      </c>
      <c r="B34" s="95" t="s">
        <v>2297</v>
      </c>
    </row>
    <row r="35" customFormat="false" ht="15" hidden="false" customHeight="false" outlineLevel="0" collapsed="false">
      <c r="A35" s="94" t="s">
        <v>2298</v>
      </c>
      <c r="B35" s="95" t="s">
        <v>2299</v>
      </c>
    </row>
    <row r="36" customFormat="false" ht="23.85" hidden="false" customHeight="false" outlineLevel="0" collapsed="false">
      <c r="A36" s="94" t="s">
        <v>2300</v>
      </c>
      <c r="B36" s="95" t="s">
        <v>2301</v>
      </c>
    </row>
    <row r="37" customFormat="false" ht="15" hidden="false" customHeight="false" outlineLevel="0" collapsed="false">
      <c r="A37" s="94" t="s">
        <v>2302</v>
      </c>
      <c r="B37" s="95" t="s">
        <v>2303</v>
      </c>
    </row>
    <row r="38" customFormat="false" ht="23.85" hidden="false" customHeight="false" outlineLevel="0" collapsed="false">
      <c r="A38" s="94" t="s">
        <v>2304</v>
      </c>
      <c r="B38" s="95" t="s">
        <v>2305</v>
      </c>
    </row>
    <row r="39" customFormat="false" ht="23.85" hidden="false" customHeight="false" outlineLevel="0" collapsed="false">
      <c r="A39" s="94" t="s">
        <v>2306</v>
      </c>
      <c r="B39" s="95" t="s">
        <v>2307</v>
      </c>
    </row>
    <row r="40" customFormat="false" ht="23.85" hidden="false" customHeight="false" outlineLevel="0" collapsed="false">
      <c r="A40" s="94" t="s">
        <v>2308</v>
      </c>
      <c r="B40" s="95" t="s">
        <v>2309</v>
      </c>
    </row>
    <row r="41" customFormat="false" ht="23.85" hidden="false" customHeight="false" outlineLevel="0" collapsed="false">
      <c r="A41" s="94" t="s">
        <v>2310</v>
      </c>
      <c r="B41" s="95" t="s">
        <v>2311</v>
      </c>
    </row>
    <row r="43" customFormat="false" ht="15" hidden="false" customHeight="false" outlineLevel="0" collapsed="false">
      <c r="A43" s="90" t="s">
        <v>2312</v>
      </c>
      <c r="B43" s="91"/>
    </row>
    <row r="44" customFormat="false" ht="23.85" hidden="false" customHeight="false" outlineLevel="0" collapsed="false">
      <c r="A44" s="94" t="s">
        <v>2313</v>
      </c>
      <c r="B44" s="95" t="s">
        <v>2314</v>
      </c>
    </row>
    <row r="45" customFormat="false" ht="23.85" hidden="false" customHeight="false" outlineLevel="0" collapsed="false">
      <c r="A45" s="94" t="s">
        <v>2315</v>
      </c>
      <c r="B45" s="95" t="s">
        <v>2316</v>
      </c>
    </row>
    <row r="46" customFormat="false" ht="23.85" hidden="false" customHeight="false" outlineLevel="0" collapsed="false">
      <c r="A46" s="94" t="s">
        <v>2317</v>
      </c>
      <c r="B46" s="95" t="s">
        <v>2318</v>
      </c>
    </row>
    <row r="47" customFormat="false" ht="15" hidden="false" customHeight="false" outlineLevel="0" collapsed="false">
      <c r="A47" s="94" t="s">
        <v>2319</v>
      </c>
      <c r="B47" s="95" t="s">
        <v>2320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3" min="3" style="0" width="46"/>
    <col collapsed="false" customWidth="true" hidden="false" outlineLevel="0" max="4" min="4" style="0" width="60"/>
    <col collapsed="false" customWidth="true" hidden="false" outlineLevel="0" max="5" min="5" style="0" width="26"/>
    <col collapsed="false" customWidth="true" hidden="false" outlineLevel="0" max="7" min="6" style="0" width="11"/>
    <col collapsed="false" customWidth="true" hidden="false" outlineLevel="0" max="9" min="8" style="0" width="12"/>
  </cols>
  <sheetData>
    <row r="1" customFormat="false" ht="17.35" hidden="false" customHeight="false" outlineLevel="0" collapsed="false">
      <c r="A1" s="40" t="s">
        <v>2321</v>
      </c>
    </row>
    <row r="2" customFormat="false" ht="15" hidden="false" customHeight="false" outlineLevel="0" collapsed="false">
      <c r="A2" s="41" t="s">
        <v>2322</v>
      </c>
    </row>
    <row r="4" customFormat="false" ht="15" hidden="false" customHeight="false" outlineLevel="0" collapsed="false">
      <c r="A4" s="96" t="s">
        <v>236</v>
      </c>
      <c r="B4" s="96" t="s">
        <v>2323</v>
      </c>
      <c r="C4" s="96" t="s">
        <v>2324</v>
      </c>
      <c r="D4" s="96" t="s">
        <v>180</v>
      </c>
      <c r="E4" s="96" t="s">
        <v>2325</v>
      </c>
      <c r="F4" s="96" t="s">
        <v>2326</v>
      </c>
      <c r="G4" s="96" t="s">
        <v>2327</v>
      </c>
      <c r="H4" s="96" t="s">
        <v>1508</v>
      </c>
      <c r="I4" s="96" t="s">
        <v>1509</v>
      </c>
    </row>
    <row r="5" customFormat="false" ht="22.35" hidden="false" customHeight="false" outlineLevel="0" collapsed="false">
      <c r="A5" s="43" t="s">
        <v>1516</v>
      </c>
      <c r="B5" s="33" t="s">
        <v>1513</v>
      </c>
      <c r="C5" s="33" t="s">
        <v>1515</v>
      </c>
      <c r="D5" s="33" t="s">
        <v>2328</v>
      </c>
      <c r="E5" s="33" t="s">
        <v>2329</v>
      </c>
      <c r="F5" s="44" t="n">
        <v>2537</v>
      </c>
      <c r="G5" s="33" t="n">
        <v>36</v>
      </c>
      <c r="H5" s="33" t="s">
        <v>1520</v>
      </c>
      <c r="I5" s="33" t="s">
        <v>1521</v>
      </c>
    </row>
    <row r="6" customFormat="false" ht="22.35" hidden="false" customHeight="false" outlineLevel="0" collapsed="false">
      <c r="A6" s="43" t="s">
        <v>1526</v>
      </c>
      <c r="B6" s="33" t="s">
        <v>1525</v>
      </c>
      <c r="C6" s="33" t="s">
        <v>2</v>
      </c>
      <c r="D6" s="33" t="s">
        <v>2330</v>
      </c>
      <c r="E6" s="33" t="s">
        <v>2331</v>
      </c>
      <c r="F6" s="44" t="n">
        <v>2706</v>
      </c>
      <c r="G6" s="33" t="n">
        <v>36</v>
      </c>
      <c r="H6" s="33" t="s">
        <v>1529</v>
      </c>
      <c r="I6" s="33" t="s">
        <v>1530</v>
      </c>
    </row>
    <row r="7" customFormat="false" ht="15" hidden="false" customHeight="false" outlineLevel="0" collapsed="false">
      <c r="A7" s="43" t="s">
        <v>1536</v>
      </c>
      <c r="B7" s="33" t="s">
        <v>1534</v>
      </c>
      <c r="C7" s="33" t="s">
        <v>1535</v>
      </c>
      <c r="D7" s="33" t="s">
        <v>2332</v>
      </c>
      <c r="E7" s="33" t="s">
        <v>2331</v>
      </c>
      <c r="F7" s="44" t="n">
        <v>3326</v>
      </c>
      <c r="G7" s="33" t="n">
        <v>36</v>
      </c>
      <c r="H7" s="33" t="s">
        <v>1539</v>
      </c>
      <c r="I7" s="33" t="s">
        <v>1530</v>
      </c>
    </row>
    <row r="8" customFormat="false" ht="53.7" hidden="false" customHeight="false" outlineLevel="0" collapsed="false">
      <c r="A8" s="43" t="s">
        <v>1544</v>
      </c>
      <c r="B8" s="33" t="s">
        <v>1542</v>
      </c>
      <c r="C8" s="33" t="s">
        <v>1543</v>
      </c>
      <c r="D8" s="33" t="s">
        <v>2333</v>
      </c>
      <c r="E8" s="33" t="s">
        <v>2331</v>
      </c>
      <c r="F8" s="44" t="n">
        <v>2296</v>
      </c>
      <c r="G8" s="33" t="n">
        <v>37</v>
      </c>
      <c r="H8" s="33" t="s">
        <v>1547</v>
      </c>
      <c r="I8" s="33" t="s">
        <v>1548</v>
      </c>
    </row>
    <row r="9" customFormat="false" ht="15" hidden="false" customHeight="false" outlineLevel="0" collapsed="false">
      <c r="A9" s="43" t="s">
        <v>1551</v>
      </c>
      <c r="B9" s="33" t="s">
        <v>1525</v>
      </c>
      <c r="C9" s="33" t="s">
        <v>1550</v>
      </c>
      <c r="D9" s="33" t="s">
        <v>2334</v>
      </c>
      <c r="E9" s="33" t="s">
        <v>2331</v>
      </c>
      <c r="F9" s="44" t="n">
        <v>2321</v>
      </c>
      <c r="G9" s="33" t="n">
        <v>36</v>
      </c>
      <c r="H9" s="33" t="s">
        <v>1529</v>
      </c>
      <c r="I9" s="33" t="s">
        <v>1555</v>
      </c>
    </row>
    <row r="10" customFormat="false" ht="64.15" hidden="false" customHeight="false" outlineLevel="0" collapsed="false">
      <c r="A10" s="43" t="s">
        <v>1558</v>
      </c>
      <c r="B10" s="33" t="s">
        <v>1534</v>
      </c>
      <c r="C10" s="33" t="s">
        <v>1557</v>
      </c>
      <c r="D10" s="33" t="s">
        <v>2335</v>
      </c>
      <c r="E10" s="33" t="s">
        <v>2331</v>
      </c>
      <c r="F10" s="44" t="n">
        <v>3042</v>
      </c>
      <c r="G10" s="33" t="n">
        <v>37</v>
      </c>
      <c r="H10" s="33" t="s">
        <v>1562</v>
      </c>
      <c r="I10" s="33" t="s">
        <v>1563</v>
      </c>
    </row>
    <row r="11" customFormat="false" ht="53.7" hidden="false" customHeight="false" outlineLevel="0" collapsed="false">
      <c r="A11" s="43" t="s">
        <v>1566</v>
      </c>
      <c r="B11" s="33" t="s">
        <v>1542</v>
      </c>
      <c r="C11" s="33" t="s">
        <v>1565</v>
      </c>
      <c r="D11" s="33" t="s">
        <v>2336</v>
      </c>
      <c r="E11" s="33" t="s">
        <v>2331</v>
      </c>
      <c r="F11" s="44" t="n">
        <v>2468</v>
      </c>
      <c r="G11" s="33" t="n">
        <v>37</v>
      </c>
      <c r="H11" s="33" t="s">
        <v>1570</v>
      </c>
      <c r="I11" s="33" t="s">
        <v>1571</v>
      </c>
    </row>
    <row r="12" customFormat="false" ht="64.15" hidden="false" customHeight="false" outlineLevel="0" collapsed="false">
      <c r="A12" s="43" t="s">
        <v>1574</v>
      </c>
      <c r="B12" s="33" t="s">
        <v>1534</v>
      </c>
      <c r="C12" s="33" t="s">
        <v>1573</v>
      </c>
      <c r="D12" s="33" t="s">
        <v>2337</v>
      </c>
      <c r="E12" s="33" t="s">
        <v>2338</v>
      </c>
      <c r="F12" s="44" t="n">
        <v>2928</v>
      </c>
      <c r="G12" s="33" t="n">
        <v>37</v>
      </c>
      <c r="H12" s="33" t="s">
        <v>1578</v>
      </c>
      <c r="I12" s="33" t="s">
        <v>1578</v>
      </c>
    </row>
    <row r="13" customFormat="false" ht="15" hidden="false" customHeight="false" outlineLevel="0" collapsed="false">
      <c r="A13" s="43" t="s">
        <v>1583</v>
      </c>
      <c r="B13" s="33" t="s">
        <v>1525</v>
      </c>
      <c r="C13" s="33" t="s">
        <v>1582</v>
      </c>
      <c r="D13" s="45" t="s">
        <v>2339</v>
      </c>
      <c r="E13" s="33" t="s">
        <v>2340</v>
      </c>
      <c r="F13" s="44" t="n">
        <v>2356</v>
      </c>
      <c r="G13" s="33" t="n">
        <v>36</v>
      </c>
      <c r="H13" s="33" t="s">
        <v>1529</v>
      </c>
      <c r="I13" s="33" t="s">
        <v>1555</v>
      </c>
    </row>
    <row r="14" customFormat="false" ht="15" hidden="false" customHeight="false" outlineLevel="0" collapsed="false">
      <c r="A14" s="43" t="s">
        <v>1588</v>
      </c>
      <c r="B14" s="33" t="s">
        <v>1534</v>
      </c>
      <c r="C14" s="33" t="s">
        <v>1587</v>
      </c>
      <c r="D14" s="33" t="s">
        <v>2341</v>
      </c>
      <c r="E14" s="33" t="s">
        <v>2340</v>
      </c>
      <c r="F14" s="44" t="n">
        <v>3169</v>
      </c>
      <c r="G14" s="33" t="n">
        <v>36</v>
      </c>
      <c r="H14" s="33" t="s">
        <v>1592</v>
      </c>
      <c r="I14" s="33" t="s">
        <v>1530</v>
      </c>
    </row>
    <row r="15" customFormat="false" ht="22.35" hidden="false" customHeight="false" outlineLevel="0" collapsed="false">
      <c r="A15" s="43" t="s">
        <v>1595</v>
      </c>
      <c r="B15" s="33" t="s">
        <v>1542</v>
      </c>
      <c r="C15" s="33" t="s">
        <v>1594</v>
      </c>
      <c r="D15" s="33" t="s">
        <v>2342</v>
      </c>
      <c r="E15" s="33" t="s">
        <v>2340</v>
      </c>
      <c r="F15" s="44" t="n">
        <v>2165</v>
      </c>
      <c r="G15" s="33" t="n">
        <v>37</v>
      </c>
      <c r="H15" s="33" t="s">
        <v>1599</v>
      </c>
      <c r="I15" s="33" t="s">
        <v>1548</v>
      </c>
    </row>
    <row r="16" customFormat="false" ht="53.7" hidden="false" customHeight="false" outlineLevel="0" collapsed="false">
      <c r="A16" s="43" t="s">
        <v>1602</v>
      </c>
      <c r="B16" s="33" t="s">
        <v>1534</v>
      </c>
      <c r="C16" s="33" t="s">
        <v>1601</v>
      </c>
      <c r="D16" s="33" t="s">
        <v>2343</v>
      </c>
      <c r="E16" s="33" t="s">
        <v>2340</v>
      </c>
      <c r="F16" s="44" t="n">
        <v>2840</v>
      </c>
      <c r="G16" s="33" t="n">
        <v>37</v>
      </c>
      <c r="H16" s="33" t="s">
        <v>1606</v>
      </c>
      <c r="I16" s="33" t="s">
        <v>1606</v>
      </c>
    </row>
    <row r="17" customFormat="false" ht="85.05" hidden="false" customHeight="false" outlineLevel="0" collapsed="false">
      <c r="A17" s="43" t="s">
        <v>1609</v>
      </c>
      <c r="B17" s="33" t="s">
        <v>1534</v>
      </c>
      <c r="C17" s="33" t="s">
        <v>1608</v>
      </c>
      <c r="D17" s="33" t="s">
        <v>2344</v>
      </c>
      <c r="E17" s="33" t="s">
        <v>2340</v>
      </c>
      <c r="F17" s="44" t="n">
        <v>2855</v>
      </c>
      <c r="G17" s="33" t="n">
        <v>37</v>
      </c>
      <c r="H17" s="33" t="s">
        <v>1613</v>
      </c>
      <c r="I17" s="33" t="s">
        <v>1613</v>
      </c>
    </row>
    <row r="18" customFormat="false" ht="64.15" hidden="false" customHeight="false" outlineLevel="0" collapsed="false">
      <c r="A18" s="43" t="s">
        <v>1616</v>
      </c>
      <c r="B18" s="33" t="s">
        <v>1534</v>
      </c>
      <c r="C18" s="33" t="s">
        <v>1615</v>
      </c>
      <c r="D18" s="33" t="s">
        <v>2345</v>
      </c>
      <c r="E18" s="33" t="s">
        <v>2340</v>
      </c>
      <c r="F18" s="44" t="n">
        <v>3125</v>
      </c>
      <c r="G18" s="33" t="n">
        <v>37</v>
      </c>
      <c r="H18" s="33" t="s">
        <v>1620</v>
      </c>
      <c r="I18" s="33" t="s">
        <v>1613</v>
      </c>
    </row>
    <row r="19" customFormat="false" ht="15" hidden="false" customHeight="false" outlineLevel="0" collapsed="false">
      <c r="A19" s="43" t="s">
        <v>1623</v>
      </c>
      <c r="B19" s="33" t="s">
        <v>1525</v>
      </c>
      <c r="C19" s="33" t="s">
        <v>1622</v>
      </c>
      <c r="D19" s="45" t="s">
        <v>2339</v>
      </c>
      <c r="E19" s="33" t="s">
        <v>2340</v>
      </c>
      <c r="F19" s="44" t="n">
        <v>2136</v>
      </c>
      <c r="G19" s="33" t="n">
        <v>36</v>
      </c>
      <c r="H19" s="33" t="s">
        <v>1529</v>
      </c>
      <c r="I19" s="33" t="s">
        <v>1530</v>
      </c>
    </row>
    <row r="20" customFormat="false" ht="64.15" hidden="false" customHeight="false" outlineLevel="0" collapsed="false">
      <c r="A20" s="43" t="s">
        <v>1627</v>
      </c>
      <c r="B20" s="33" t="s">
        <v>1534</v>
      </c>
      <c r="C20" s="33" t="s">
        <v>1626</v>
      </c>
      <c r="D20" s="33" t="s">
        <v>2346</v>
      </c>
      <c r="E20" s="33" t="s">
        <v>2340</v>
      </c>
      <c r="F20" s="44" t="n">
        <v>2376</v>
      </c>
      <c r="G20" s="33" t="n">
        <v>37</v>
      </c>
      <c r="H20" s="33" t="s">
        <v>1570</v>
      </c>
      <c r="I20" s="33" t="s">
        <v>1571</v>
      </c>
    </row>
    <row r="21" customFormat="false" ht="22.35" hidden="false" customHeight="false" outlineLevel="0" collapsed="false">
      <c r="A21" s="43" t="s">
        <v>1632</v>
      </c>
      <c r="B21" s="33" t="s">
        <v>1631</v>
      </c>
      <c r="C21" s="33" t="s">
        <v>10</v>
      </c>
      <c r="D21" s="33" t="s">
        <v>2347</v>
      </c>
      <c r="E21" s="33" t="s">
        <v>2331</v>
      </c>
      <c r="F21" s="44" t="n">
        <v>1896</v>
      </c>
      <c r="G21" s="33" t="n">
        <v>36</v>
      </c>
      <c r="H21" s="33" t="s">
        <v>1636</v>
      </c>
      <c r="I21" s="33" t="s">
        <v>1548</v>
      </c>
    </row>
    <row r="22" customFormat="false" ht="53.7" hidden="false" customHeight="false" outlineLevel="0" collapsed="false">
      <c r="A22" s="43" t="s">
        <v>1639</v>
      </c>
      <c r="B22" s="33" t="s">
        <v>1534</v>
      </c>
      <c r="C22" s="33" t="s">
        <v>1638</v>
      </c>
      <c r="D22" s="33" t="s">
        <v>2348</v>
      </c>
      <c r="E22" s="33" t="s">
        <v>2340</v>
      </c>
      <c r="F22" s="44" t="n">
        <v>2991</v>
      </c>
      <c r="G22" s="33" t="n">
        <v>37</v>
      </c>
      <c r="H22" s="33" t="s">
        <v>1643</v>
      </c>
      <c r="I22" s="33" t="s">
        <v>1643</v>
      </c>
    </row>
    <row r="23" customFormat="false" ht="64.15" hidden="false" customHeight="false" outlineLevel="0" collapsed="false">
      <c r="A23" s="43" t="s">
        <v>1646</v>
      </c>
      <c r="B23" s="33" t="s">
        <v>1534</v>
      </c>
      <c r="C23" s="33" t="s">
        <v>1645</v>
      </c>
      <c r="D23" s="33" t="s">
        <v>2349</v>
      </c>
      <c r="E23" s="33" t="s">
        <v>2340</v>
      </c>
      <c r="F23" s="44" t="n">
        <v>2705</v>
      </c>
      <c r="G23" s="33" t="n">
        <v>37</v>
      </c>
      <c r="H23" s="33" t="s">
        <v>1563</v>
      </c>
      <c r="I23" s="33" t="s">
        <v>1650</v>
      </c>
    </row>
    <row r="24" customFormat="false" ht="22.35" hidden="false" customHeight="false" outlineLevel="0" collapsed="false">
      <c r="A24" s="43" t="s">
        <v>1654</v>
      </c>
      <c r="B24" s="33" t="s">
        <v>1652</v>
      </c>
      <c r="C24" s="33" t="s">
        <v>1653</v>
      </c>
      <c r="D24" s="33"/>
      <c r="E24" s="33" t="s">
        <v>2350</v>
      </c>
      <c r="F24" s="44"/>
      <c r="G24" s="33"/>
      <c r="H24" s="33"/>
      <c r="I24" s="33"/>
    </row>
    <row r="25" customFormat="false" ht="22.35" hidden="false" customHeight="false" outlineLevel="0" collapsed="false">
      <c r="A25" s="43" t="s">
        <v>1658</v>
      </c>
      <c r="B25" s="33" t="s">
        <v>1631</v>
      </c>
      <c r="C25" s="33" t="s">
        <v>6</v>
      </c>
      <c r="D25" s="33" t="s">
        <v>2351</v>
      </c>
      <c r="E25" s="33" t="s">
        <v>2331</v>
      </c>
      <c r="F25" s="44" t="n">
        <v>2089</v>
      </c>
      <c r="G25" s="33" t="n">
        <v>36</v>
      </c>
      <c r="H25" s="33" t="s">
        <v>1529</v>
      </c>
      <c r="I25" s="33" t="s">
        <v>1548</v>
      </c>
    </row>
    <row r="26" customFormat="false" ht="32.8" hidden="false" customHeight="false" outlineLevel="0" collapsed="false">
      <c r="A26" s="43" t="s">
        <v>1663</v>
      </c>
      <c r="B26" s="33" t="s">
        <v>1534</v>
      </c>
      <c r="C26" s="33" t="s">
        <v>1662</v>
      </c>
      <c r="D26" s="33" t="s">
        <v>2352</v>
      </c>
      <c r="E26" s="33" t="s">
        <v>2331</v>
      </c>
      <c r="F26" s="44" t="n">
        <v>2316</v>
      </c>
      <c r="G26" s="33" t="n">
        <v>37</v>
      </c>
      <c r="H26" s="33" t="s">
        <v>1547</v>
      </c>
      <c r="I26" s="33" t="s">
        <v>1571</v>
      </c>
    </row>
    <row r="27" customFormat="false" ht="15" hidden="false" customHeight="false" outlineLevel="0" collapsed="false">
      <c r="A27" s="43" t="s">
        <v>1668</v>
      </c>
      <c r="B27" s="33" t="s">
        <v>1542</v>
      </c>
      <c r="C27" s="33" t="s">
        <v>1667</v>
      </c>
      <c r="D27" s="45" t="s">
        <v>2339</v>
      </c>
      <c r="E27" s="33" t="s">
        <v>2331</v>
      </c>
      <c r="F27" s="44" t="n">
        <v>1801</v>
      </c>
      <c r="G27" s="33" t="n">
        <v>37</v>
      </c>
      <c r="H27" s="33" t="s">
        <v>1672</v>
      </c>
      <c r="I27" s="33" t="s">
        <v>1592</v>
      </c>
    </row>
    <row r="28" customFormat="false" ht="53.7" hidden="false" customHeight="false" outlineLevel="0" collapsed="false">
      <c r="A28" s="43" t="s">
        <v>1675</v>
      </c>
      <c r="B28" s="33" t="s">
        <v>1534</v>
      </c>
      <c r="C28" s="33" t="s">
        <v>1674</v>
      </c>
      <c r="D28" s="33" t="s">
        <v>2353</v>
      </c>
      <c r="E28" s="33" t="s">
        <v>2331</v>
      </c>
      <c r="F28" s="44" t="n">
        <v>3064</v>
      </c>
      <c r="G28" s="33" t="n">
        <v>36</v>
      </c>
      <c r="H28" s="33" t="s">
        <v>1571</v>
      </c>
      <c r="I28" s="33" t="s">
        <v>1679</v>
      </c>
    </row>
    <row r="29" customFormat="false" ht="22.35" hidden="false" customHeight="false" outlineLevel="0" collapsed="false">
      <c r="A29" s="43" t="s">
        <v>1682</v>
      </c>
      <c r="B29" s="33" t="s">
        <v>1542</v>
      </c>
      <c r="C29" s="33" t="s">
        <v>1681</v>
      </c>
      <c r="D29" s="33" t="s">
        <v>2354</v>
      </c>
      <c r="E29" s="33" t="s">
        <v>2340</v>
      </c>
      <c r="F29" s="44" t="n">
        <v>2211</v>
      </c>
      <c r="G29" s="33" t="n">
        <v>37</v>
      </c>
      <c r="H29" s="33" t="s">
        <v>1686</v>
      </c>
      <c r="I29" s="33" t="s">
        <v>1687</v>
      </c>
    </row>
    <row r="30" customFormat="false" ht="53.7" hidden="false" customHeight="false" outlineLevel="0" collapsed="false">
      <c r="A30" s="43" t="s">
        <v>1690</v>
      </c>
      <c r="B30" s="33" t="s">
        <v>1534</v>
      </c>
      <c r="C30" s="33" t="s">
        <v>1689</v>
      </c>
      <c r="D30" s="33" t="s">
        <v>2355</v>
      </c>
      <c r="E30" s="33" t="s">
        <v>2340</v>
      </c>
      <c r="F30" s="44" t="n">
        <v>2273</v>
      </c>
      <c r="G30" s="33" t="n">
        <v>37</v>
      </c>
      <c r="H30" s="33" t="s">
        <v>1563</v>
      </c>
      <c r="I30" s="33" t="s">
        <v>1694</v>
      </c>
    </row>
    <row r="31" customFormat="false" ht="32.8" hidden="false" customHeight="false" outlineLevel="0" collapsed="false">
      <c r="A31" s="43" t="s">
        <v>1697</v>
      </c>
      <c r="B31" s="33" t="s">
        <v>1542</v>
      </c>
      <c r="C31" s="33" t="s">
        <v>1696</v>
      </c>
      <c r="D31" s="33" t="s">
        <v>2356</v>
      </c>
      <c r="E31" s="33" t="s">
        <v>2340</v>
      </c>
      <c r="F31" s="44" t="n">
        <v>2279</v>
      </c>
      <c r="G31" s="33" t="n">
        <v>37</v>
      </c>
      <c r="H31" s="33" t="s">
        <v>1701</v>
      </c>
      <c r="I31" s="33" t="s">
        <v>1701</v>
      </c>
    </row>
    <row r="32" customFormat="false" ht="15" hidden="false" customHeight="false" outlineLevel="0" collapsed="false">
      <c r="A32" s="43" t="s">
        <v>1705</v>
      </c>
      <c r="B32" s="33" t="s">
        <v>1703</v>
      </c>
      <c r="C32" s="33" t="s">
        <v>1704</v>
      </c>
      <c r="D32" s="33"/>
      <c r="E32" s="33" t="s">
        <v>2350</v>
      </c>
      <c r="F32" s="44"/>
      <c r="G32" s="33"/>
      <c r="H32" s="33"/>
      <c r="I32" s="33"/>
    </row>
    <row r="33" customFormat="false" ht="15" hidden="false" customHeight="false" outlineLevel="0" collapsed="false">
      <c r="A33" s="43" t="s">
        <v>1709</v>
      </c>
      <c r="B33" s="33" t="s">
        <v>1652</v>
      </c>
      <c r="C33" s="33" t="s">
        <v>1708</v>
      </c>
      <c r="D33" s="33"/>
      <c r="E33" s="33" t="s">
        <v>2350</v>
      </c>
      <c r="F33" s="44"/>
      <c r="G33" s="33"/>
      <c r="H33" s="33"/>
      <c r="I33" s="33"/>
    </row>
    <row r="34" customFormat="false" ht="22.35" hidden="false" customHeight="false" outlineLevel="0" collapsed="false">
      <c r="A34" s="43" t="s">
        <v>2357</v>
      </c>
      <c r="B34" s="33" t="s">
        <v>2358</v>
      </c>
      <c r="C34" s="33" t="s">
        <v>2359</v>
      </c>
      <c r="D34" s="33" t="s">
        <v>2360</v>
      </c>
      <c r="E34" s="33" t="s">
        <v>2331</v>
      </c>
      <c r="F34" s="44" t="n">
        <v>1533</v>
      </c>
      <c r="G34" s="33" t="n">
        <v>36</v>
      </c>
      <c r="H34" s="33" t="s">
        <v>2361</v>
      </c>
      <c r="I34" s="33" t="s">
        <v>1687</v>
      </c>
    </row>
    <row r="35" customFormat="false" ht="15" hidden="false" customHeight="false" outlineLevel="0" collapsed="false">
      <c r="A35" s="43" t="s">
        <v>2362</v>
      </c>
      <c r="B35" s="33" t="s">
        <v>2363</v>
      </c>
      <c r="C35" s="33" t="s">
        <v>2364</v>
      </c>
      <c r="D35" s="33" t="s">
        <v>2365</v>
      </c>
      <c r="E35" s="33" t="s">
        <v>2331</v>
      </c>
      <c r="F35" s="44" t="n">
        <v>1234</v>
      </c>
      <c r="G35" s="33" t="n">
        <v>37</v>
      </c>
      <c r="H35" s="33" t="s">
        <v>2366</v>
      </c>
      <c r="I35" s="33" t="s">
        <v>2367</v>
      </c>
    </row>
    <row r="36" customFormat="false" ht="22.35" hidden="false" customHeight="false" outlineLevel="0" collapsed="false">
      <c r="A36" s="43" t="s">
        <v>2368</v>
      </c>
      <c r="B36" s="33" t="s">
        <v>2369</v>
      </c>
      <c r="C36" s="33" t="s">
        <v>2370</v>
      </c>
      <c r="D36" s="33" t="s">
        <v>2371</v>
      </c>
      <c r="E36" s="33" t="s">
        <v>2331</v>
      </c>
      <c r="F36" s="44" t="n">
        <v>1544</v>
      </c>
      <c r="G36" s="33" t="n">
        <v>37</v>
      </c>
      <c r="H36" s="33" t="s">
        <v>2372</v>
      </c>
      <c r="I36" s="33" t="s">
        <v>1530</v>
      </c>
    </row>
    <row r="37" customFormat="false" ht="15" hidden="false" customHeight="false" outlineLevel="0" collapsed="false">
      <c r="A37" s="43" t="s">
        <v>2373</v>
      </c>
      <c r="B37" s="33" t="s">
        <v>2374</v>
      </c>
      <c r="C37" s="33" t="s">
        <v>2375</v>
      </c>
      <c r="D37" s="33"/>
      <c r="E37" s="33" t="s">
        <v>2350</v>
      </c>
      <c r="F37" s="44"/>
      <c r="G37" s="33"/>
      <c r="H37" s="33"/>
      <c r="I37" s="33"/>
    </row>
    <row r="38" customFormat="false" ht="15" hidden="false" customHeight="false" outlineLevel="0" collapsed="false">
      <c r="A38" s="43" t="s">
        <v>2376</v>
      </c>
      <c r="B38" s="33" t="s">
        <v>2377</v>
      </c>
      <c r="C38" s="33" t="s">
        <v>2378</v>
      </c>
      <c r="D38" s="33"/>
      <c r="E38" s="33" t="s">
        <v>2350</v>
      </c>
      <c r="F38" s="44"/>
      <c r="G38" s="33"/>
      <c r="H38" s="33"/>
      <c r="I38" s="33"/>
    </row>
    <row r="39" customFormat="false" ht="15" hidden="false" customHeight="false" outlineLevel="0" collapsed="false">
      <c r="A39" s="43" t="s">
        <v>2379</v>
      </c>
      <c r="B39" s="33" t="s">
        <v>2380</v>
      </c>
      <c r="C39" s="33" t="s">
        <v>2381</v>
      </c>
      <c r="D39" s="45" t="s">
        <v>2339</v>
      </c>
      <c r="E39" s="33" t="s">
        <v>2340</v>
      </c>
      <c r="F39" s="44" t="n">
        <v>1174</v>
      </c>
      <c r="G39" s="33" t="n">
        <v>37</v>
      </c>
      <c r="H39" s="33" t="s">
        <v>2382</v>
      </c>
      <c r="I39" s="33" t="s">
        <v>1620</v>
      </c>
    </row>
    <row r="40" customFormat="false" ht="15" hidden="false" customHeight="false" outlineLevel="0" collapsed="false">
      <c r="A40" s="43" t="s">
        <v>2383</v>
      </c>
      <c r="B40" s="33" t="s">
        <v>2380</v>
      </c>
      <c r="C40" s="33" t="s">
        <v>2384</v>
      </c>
      <c r="D40" s="45" t="s">
        <v>2339</v>
      </c>
      <c r="E40" s="33" t="s">
        <v>2340</v>
      </c>
      <c r="F40" s="44" t="n">
        <v>1174</v>
      </c>
      <c r="G40" s="33" t="n">
        <v>37</v>
      </c>
      <c r="H40" s="33" t="s">
        <v>2382</v>
      </c>
      <c r="I40" s="33" t="s">
        <v>2382</v>
      </c>
    </row>
    <row r="41" customFormat="false" ht="15" hidden="false" customHeight="false" outlineLevel="0" collapsed="false">
      <c r="A41" s="43" t="s">
        <v>2385</v>
      </c>
      <c r="B41" s="33" t="s">
        <v>2380</v>
      </c>
      <c r="C41" s="33" t="s">
        <v>2386</v>
      </c>
      <c r="D41" s="45" t="s">
        <v>2339</v>
      </c>
      <c r="E41" s="33" t="s">
        <v>2340</v>
      </c>
      <c r="F41" s="44" t="n">
        <v>1177</v>
      </c>
      <c r="G41" s="33" t="n">
        <v>37</v>
      </c>
      <c r="H41" s="33" t="s">
        <v>2382</v>
      </c>
      <c r="I41" s="33" t="s">
        <v>1620</v>
      </c>
    </row>
    <row r="42" customFormat="false" ht="15" hidden="false" customHeight="false" outlineLevel="0" collapsed="false">
      <c r="A42" s="43" t="s">
        <v>2387</v>
      </c>
      <c r="B42" s="33" t="s">
        <v>2380</v>
      </c>
      <c r="C42" s="33" t="s">
        <v>2388</v>
      </c>
      <c r="D42" s="45" t="s">
        <v>2339</v>
      </c>
      <c r="E42" s="33" t="s">
        <v>2331</v>
      </c>
      <c r="F42" s="44" t="n">
        <v>1174</v>
      </c>
      <c r="G42" s="33" t="n">
        <v>37</v>
      </c>
      <c r="H42" s="33" t="s">
        <v>2382</v>
      </c>
      <c r="I42" s="33" t="s">
        <v>1620</v>
      </c>
    </row>
    <row r="43" customFormat="false" ht="15" hidden="false" customHeight="false" outlineLevel="0" collapsed="false">
      <c r="A43" s="43" t="s">
        <v>2389</v>
      </c>
      <c r="B43" s="33" t="s">
        <v>2390</v>
      </c>
      <c r="C43" s="33" t="s">
        <v>2391</v>
      </c>
      <c r="D43" s="33" t="s">
        <v>2392</v>
      </c>
      <c r="E43" s="33" t="s">
        <v>2340</v>
      </c>
      <c r="F43" s="44" t="n">
        <v>1966</v>
      </c>
      <c r="G43" s="33" t="n">
        <v>37</v>
      </c>
      <c r="H43" s="33" t="s">
        <v>2393</v>
      </c>
      <c r="I43" s="33" t="s">
        <v>1592</v>
      </c>
    </row>
    <row r="44" customFormat="false" ht="22.35" hidden="false" customHeight="false" outlineLevel="0" collapsed="false">
      <c r="A44" s="43" t="s">
        <v>2394</v>
      </c>
      <c r="B44" s="33" t="s">
        <v>2390</v>
      </c>
      <c r="C44" s="33" t="s">
        <v>2395</v>
      </c>
      <c r="D44" s="33" t="s">
        <v>2396</v>
      </c>
      <c r="E44" s="33" t="s">
        <v>2340</v>
      </c>
      <c r="F44" s="44" t="n">
        <v>1926</v>
      </c>
      <c r="G44" s="33" t="n">
        <v>36</v>
      </c>
      <c r="H44" s="33" t="s">
        <v>2397</v>
      </c>
      <c r="I44" s="33" t="s">
        <v>1592</v>
      </c>
    </row>
  </sheetData>
  <autoFilter ref="A4:I44"/>
  <hyperlinks>
    <hyperlink ref="A5" r:id="rId1" display="https://familialife.ca/"/>
    <hyperlink ref="A6" r:id="rId2" display="https://familialife.ca/term-life-insurance/"/>
    <hyperlink ref="A7" r:id="rId3" display="https://familialife.ca/everything-about-term-life-insurance/"/>
    <hyperlink ref="A8" r:id="rId4" display="https://familialife.ca/what-happens-at-the-end-of-term-life-insurance/"/>
    <hyperlink ref="A9" r:id="rId5" display="https://familialife.ca/whole-life-insurance/"/>
    <hyperlink ref="A10" r:id="rId6" display="https://familialife.ca/everything-about-permanent-life-insurance/"/>
    <hyperlink ref="A11" r:id="rId7" display="https://familialife.ca/what-is-universal-life-insurance/"/>
    <hyperlink ref="A12" r:id="rId8" display="https://familialife.ca/what-is-joint-life/"/>
    <hyperlink ref="A13" r:id="rId9" display="https://familialife.ca/no-medical-insurance/"/>
    <hyperlink ref="A14" r:id="rId10" display="https://familialife.ca/everything-about-no-medical-life-insurance/"/>
    <hyperlink ref="A15" r:id="rId11" display="https://familialife.ca/how-to-get-life-insurance-if-you-have-health-issues/"/>
    <hyperlink ref="A16" r:id="rId12" display="https://familialife.ca/life-insurance-for-diabetics/"/>
    <hyperlink ref="A17" r:id="rId13" display="https://familialife.ca/life-insurance-with-cancer/"/>
    <hyperlink ref="A18" r:id="rId14" display="https://familialife.ca/life-insurance-with-heart-condition/"/>
    <hyperlink ref="A19" r:id="rId15" display="https://familialife.ca/mortgage-protection-insurance/"/>
    <hyperlink ref="A20" r:id="rId16" display="https://familialife.ca/what-is-mortgage-insurance/"/>
    <hyperlink ref="A21" r:id="rId17" display="https://familialife.ca/final-expense-insurance/"/>
    <hyperlink ref="A22" r:id="rId18" display="https://familialife.ca/seniors-life-insurance/"/>
    <hyperlink ref="A23" r:id="rId19" display="https://familialife.ca/family-life-insurance/"/>
    <hyperlink ref="A24" r:id="rId20" display="https://familialife.ca/whats-ci/"/>
    <hyperlink ref="A25" r:id="rId21" display="https://familialife.ca/health-insurance/"/>
    <hyperlink ref="A26" r:id="rId22" display="https://familialife.ca/how-does-life-insurance-work-in-canada/"/>
    <hyperlink ref="A27" r:id="rId23" display="https://familialife.ca/how-much-life-insurance-should-i-get/"/>
    <hyperlink ref="A28" r:id="rId24" display="https://familialife.ca/life-insurance-quotes-in-canada/"/>
    <hyperlink ref="A29" r:id="rId25" display="https://familialife.ca/how-do-life-insurance-companies-check-medical-background/"/>
    <hyperlink ref="A30" r:id="rId26" display="https://familialife.ca/12-myths-debunked/"/>
    <hyperlink ref="A31" r:id="rId27" display="https://familialife.ca/two-things-before-buying/"/>
    <hyperlink ref="A32" r:id="rId28" display="https://familialife.ca/are-life-insurance-premiums-tax-deductible-in-canada/"/>
    <hyperlink ref="A33" r:id="rId29" display="https://familialife.ca/how-to-claim/"/>
    <hyperlink ref="A34" r:id="rId30" display="https://familialife.ca/about/"/>
    <hyperlink ref="A35" r:id="rId31" display="https://familialife.ca/contact-us/"/>
    <hyperlink ref="A36" r:id="rId32" display="https://familialife.ca/blog/"/>
    <hyperlink ref="A37" r:id="rId33" display="https://familialife.ca/author/richard-kim/"/>
    <hyperlink ref="A38" r:id="rId34" display="https://familialife.ca/get-your-quote-today/"/>
    <hyperlink ref="A39" r:id="rId35" display="https://familialife.ca/term-life-insurance-quote-form/"/>
    <hyperlink ref="A40" r:id="rId36" display="https://familialife.ca/permanent-life-insurance-quote-form/"/>
    <hyperlink ref="A41" r:id="rId37" display="https://familialife.ca/no-medical-life-insurance-quote-form/"/>
    <hyperlink ref="A42" r:id="rId38" display="https://familialife.ca/mortgage-protection-insurance-quote-form/"/>
    <hyperlink ref="A43" r:id="rId39" display="https://familialife.ca/privacy-policy/"/>
    <hyperlink ref="A44" r:id="rId40" display="https://familialife.ca/terms-and-condi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00"/>
  </cols>
  <sheetData>
    <row r="1" customFormat="false" ht="17.35" hidden="false" customHeight="false" outlineLevel="0" collapsed="false">
      <c r="A1" s="88" t="s">
        <v>2398</v>
      </c>
    </row>
    <row r="2" customFormat="false" ht="15" hidden="false" customHeight="false" outlineLevel="0" collapsed="false">
      <c r="A2" s="94" t="s">
        <v>2399</v>
      </c>
      <c r="B2" s="97" t="s">
        <v>2400</v>
      </c>
    </row>
    <row r="3" customFormat="false" ht="15" hidden="false" customHeight="false" outlineLevel="0" collapsed="false">
      <c r="A3" s="94" t="s">
        <v>2401</v>
      </c>
      <c r="B3" s="97" t="s">
        <v>2402</v>
      </c>
    </row>
    <row r="4" customFormat="false" ht="15" hidden="false" customHeight="false" outlineLevel="0" collapsed="false">
      <c r="A4" s="94" t="s">
        <v>2403</v>
      </c>
      <c r="B4" s="97" t="s">
        <v>2404</v>
      </c>
    </row>
    <row r="5" customFormat="false" ht="15" hidden="false" customHeight="false" outlineLevel="0" collapsed="false">
      <c r="A5" s="94"/>
      <c r="B5" s="97"/>
    </row>
    <row r="6" customFormat="false" ht="15" hidden="false" customHeight="false" outlineLevel="0" collapsed="false">
      <c r="A6" s="94" t="s">
        <v>2405</v>
      </c>
      <c r="B6" s="98" t="n">
        <v>1174</v>
      </c>
    </row>
    <row r="7" customFormat="false" ht="23.85" hidden="false" customHeight="false" outlineLevel="0" collapsed="false">
      <c r="A7" s="94"/>
      <c r="B7" s="97" t="s">
        <v>2406</v>
      </c>
    </row>
    <row r="8" customFormat="false" ht="15" hidden="false" customHeight="false" outlineLevel="0" collapsed="false">
      <c r="A8" s="94" t="s">
        <v>2407</v>
      </c>
      <c r="B8" s="97" t="s">
        <v>2408</v>
      </c>
    </row>
    <row r="9" customFormat="false" ht="23.85" hidden="false" customHeight="false" outlineLevel="0" collapsed="false">
      <c r="A9" s="94" t="s">
        <v>2409</v>
      </c>
      <c r="B9" s="97" t="s">
        <v>2410</v>
      </c>
    </row>
    <row r="10" customFormat="false" ht="35.05" hidden="false" customHeight="false" outlineLevel="0" collapsed="false">
      <c r="A10" s="94" t="s">
        <v>2411</v>
      </c>
      <c r="B10" s="97" t="s">
        <v>2412</v>
      </c>
    </row>
    <row r="11" customFormat="false" ht="15" hidden="false" customHeight="false" outlineLevel="0" collapsed="false">
      <c r="A11" s="94" t="s">
        <v>2413</v>
      </c>
      <c r="B11" s="97" t="s">
        <v>2414</v>
      </c>
    </row>
    <row r="12" customFormat="false" ht="15" hidden="false" customHeight="false" outlineLevel="0" collapsed="false">
      <c r="A12" s="94" t="s">
        <v>2415</v>
      </c>
      <c r="B12" s="97" t="s">
        <v>2416</v>
      </c>
    </row>
    <row r="13" customFormat="false" ht="15" hidden="false" customHeight="false" outlineLevel="0" collapsed="false">
      <c r="A13" s="94" t="s">
        <v>2417</v>
      </c>
      <c r="B13" s="98" t="n">
        <v>700</v>
      </c>
    </row>
    <row r="14" customFormat="false" ht="15" hidden="false" customHeight="false" outlineLevel="0" collapsed="false">
      <c r="A14" s="94" t="s">
        <v>2418</v>
      </c>
      <c r="B14" s="98" t="n">
        <v>250</v>
      </c>
    </row>
    <row r="15" customFormat="false" ht="23.85" hidden="false" customHeight="false" outlineLevel="0" collapsed="false">
      <c r="A15" s="94" t="s">
        <v>2419</v>
      </c>
      <c r="B15" s="97" t="s">
        <v>2420</v>
      </c>
    </row>
    <row r="16" customFormat="false" ht="35.05" hidden="false" customHeight="false" outlineLevel="0" collapsed="false">
      <c r="A16" s="94" t="s">
        <v>2421</v>
      </c>
      <c r="B16" s="97" t="s">
        <v>2422</v>
      </c>
    </row>
    <row r="17" customFormat="false" ht="35.05" hidden="false" customHeight="false" outlineLevel="0" collapsed="false">
      <c r="A17" s="94" t="s">
        <v>2423</v>
      </c>
      <c r="B17" s="97" t="s">
        <v>2424</v>
      </c>
    </row>
    <row r="18" customFormat="false" ht="35.05" hidden="false" customHeight="false" outlineLevel="0" collapsed="false">
      <c r="A18" s="94" t="s">
        <v>2425</v>
      </c>
      <c r="B18" s="97" t="s">
        <v>2426</v>
      </c>
    </row>
    <row r="19" customFormat="false" ht="35.05" hidden="false" customHeight="false" outlineLevel="0" collapsed="false">
      <c r="A19" s="94" t="s">
        <v>2427</v>
      </c>
      <c r="B19" s="97" t="s">
        <v>2428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48"/>
    <col collapsed="false" customWidth="true" hidden="false" outlineLevel="0" max="4" min="4" style="0" width="34"/>
    <col collapsed="false" customWidth="true" hidden="false" outlineLevel="0" max="5" min="5" style="0" width="13"/>
    <col collapsed="false" customWidth="true" hidden="false" outlineLevel="0" max="6" min="6" style="0" width="20"/>
    <col collapsed="false" customWidth="true" hidden="false" outlineLevel="0" max="7" min="7" style="0" width="14"/>
    <col collapsed="false" customWidth="true" hidden="false" outlineLevel="0" max="10" min="8" style="0" width="9"/>
    <col collapsed="false" customWidth="true" hidden="false" outlineLevel="0" max="12" min="11" style="0" width="50"/>
    <col collapsed="false" customWidth="true" hidden="false" outlineLevel="0" max="13" min="13" style="0" width="70"/>
    <col collapsed="false" customWidth="true" hidden="false" outlineLevel="0" max="15" min="14" style="0" width="16"/>
    <col collapsed="false" customWidth="true" hidden="false" outlineLevel="0" max="16" min="16" style="0" width="60"/>
  </cols>
  <sheetData>
    <row r="1" customFormat="false" ht="17.35" hidden="false" customHeight="false" outlineLevel="0" collapsed="false">
      <c r="A1" s="40" t="s">
        <v>2429</v>
      </c>
    </row>
    <row r="2" customFormat="false" ht="15" hidden="false" customHeight="false" outlineLevel="0" collapsed="false">
      <c r="A2" s="41" t="s">
        <v>2430</v>
      </c>
    </row>
    <row r="4" customFormat="false" ht="30" hidden="false" customHeight="true" outlineLevel="0" collapsed="false">
      <c r="A4" s="42" t="s">
        <v>2431</v>
      </c>
      <c r="B4" s="42" t="s">
        <v>0</v>
      </c>
      <c r="C4" s="42" t="s">
        <v>14</v>
      </c>
      <c r="D4" s="42" t="s">
        <v>72</v>
      </c>
      <c r="E4" s="42" t="s">
        <v>71</v>
      </c>
      <c r="F4" s="42" t="s">
        <v>2432</v>
      </c>
      <c r="G4" s="42" t="s">
        <v>472</v>
      </c>
      <c r="H4" s="42" t="s">
        <v>2433</v>
      </c>
      <c r="I4" s="42" t="s">
        <v>2434</v>
      </c>
      <c r="J4" s="42" t="s">
        <v>2435</v>
      </c>
      <c r="K4" s="42" t="s">
        <v>236</v>
      </c>
      <c r="L4" s="42" t="s">
        <v>127</v>
      </c>
      <c r="M4" s="42" t="s">
        <v>180</v>
      </c>
      <c r="N4" s="42" t="s">
        <v>2436</v>
      </c>
      <c r="O4" s="42" t="s">
        <v>2437</v>
      </c>
      <c r="P4" s="42" t="s">
        <v>2438</v>
      </c>
    </row>
    <row r="5" customFormat="false" ht="22.35" hidden="false" customHeight="false" outlineLevel="0" collapsed="false">
      <c r="A5" s="33" t="s">
        <v>2439</v>
      </c>
      <c r="B5" s="99" t="s">
        <v>1</v>
      </c>
      <c r="C5" s="33" t="s">
        <v>15</v>
      </c>
      <c r="D5" s="33" t="s">
        <v>73</v>
      </c>
      <c r="E5" s="100" t="n">
        <v>1900</v>
      </c>
      <c r="F5" s="33" t="s">
        <v>2440</v>
      </c>
      <c r="G5" s="33" t="s">
        <v>2441</v>
      </c>
      <c r="H5" s="33" t="n">
        <v>1</v>
      </c>
      <c r="I5" s="101" t="n">
        <f aca="false">IF(OR(E5&gt;='Method &amp; Notes'!$B$13,H5=1),1,IF(E5&gt;='Method &amp; Notes'!$B$14,2,3))</f>
        <v>1</v>
      </c>
      <c r="J5" s="101" t="n">
        <f aca="false">RANK(E5,$E$5:$E$58)</f>
        <v>1</v>
      </c>
      <c r="K5" s="33" t="s">
        <v>237</v>
      </c>
      <c r="L5" s="33" t="s">
        <v>128</v>
      </c>
      <c r="M5" s="33" t="s">
        <v>181</v>
      </c>
      <c r="N5" s="102" t="s">
        <v>2442</v>
      </c>
      <c r="O5" s="102" t="s">
        <v>2442</v>
      </c>
      <c r="P5" s="33" t="s">
        <v>558</v>
      </c>
    </row>
    <row r="6" customFormat="false" ht="22.35" hidden="false" customHeight="false" outlineLevel="0" collapsed="false">
      <c r="A6" s="33" t="s">
        <v>2443</v>
      </c>
      <c r="B6" s="103" t="s">
        <v>2</v>
      </c>
      <c r="C6" s="33" t="s">
        <v>16</v>
      </c>
      <c r="D6" s="33" t="s">
        <v>74</v>
      </c>
      <c r="E6" s="100" t="n">
        <v>1000</v>
      </c>
      <c r="F6" s="33" t="s">
        <v>2440</v>
      </c>
      <c r="G6" s="33" t="s">
        <v>2444</v>
      </c>
      <c r="H6" s="33" t="n">
        <v>2</v>
      </c>
      <c r="I6" s="101" t="n">
        <f aca="false">IF(OR(E6&gt;='Method &amp; Notes'!$B$13,H6=1),1,IF(E6&gt;='Method &amp; Notes'!$B$14,2,3))</f>
        <v>1</v>
      </c>
      <c r="J6" s="101" t="n">
        <f aca="false">RANK(E6,$E$5:$E$58)</f>
        <v>2</v>
      </c>
      <c r="K6" s="33" t="s">
        <v>238</v>
      </c>
      <c r="L6" s="33" t="s">
        <v>129</v>
      </c>
      <c r="M6" s="33" t="s">
        <v>182</v>
      </c>
      <c r="N6" s="102" t="s">
        <v>2442</v>
      </c>
      <c r="O6" s="102" t="s">
        <v>2442</v>
      </c>
      <c r="P6" s="33"/>
    </row>
    <row r="7" customFormat="false" ht="22.35" hidden="false" customHeight="false" outlineLevel="0" collapsed="false">
      <c r="A7" s="33" t="s">
        <v>2445</v>
      </c>
      <c r="B7" s="104" t="s">
        <v>3</v>
      </c>
      <c r="C7" s="33" t="s">
        <v>17</v>
      </c>
      <c r="D7" s="33" t="s">
        <v>75</v>
      </c>
      <c r="E7" s="100" t="n">
        <v>880</v>
      </c>
      <c r="F7" s="33" t="s">
        <v>2440</v>
      </c>
      <c r="G7" s="33" t="s">
        <v>2446</v>
      </c>
      <c r="H7" s="33"/>
      <c r="I7" s="101" t="n">
        <f aca="false">IF(OR(E7&gt;='Method &amp; Notes'!$B$13,H7=1),1,IF(E7&gt;='Method &amp; Notes'!$B$14,2,3))</f>
        <v>1</v>
      </c>
      <c r="J7" s="101" t="n">
        <f aca="false">RANK(E7,$E$5:$E$58)</f>
        <v>3</v>
      </c>
      <c r="K7" s="33" t="s">
        <v>239</v>
      </c>
      <c r="L7" s="33" t="s">
        <v>130</v>
      </c>
      <c r="M7" s="33" t="s">
        <v>183</v>
      </c>
      <c r="N7" s="102" t="s">
        <v>2442</v>
      </c>
      <c r="O7" s="102" t="s">
        <v>2442</v>
      </c>
      <c r="P7" s="33"/>
    </row>
    <row r="8" customFormat="false" ht="22.35" hidden="false" customHeight="false" outlineLevel="0" collapsed="false">
      <c r="A8" s="33" t="s">
        <v>2447</v>
      </c>
      <c r="B8" s="104" t="s">
        <v>3</v>
      </c>
      <c r="C8" s="33" t="s">
        <v>18</v>
      </c>
      <c r="D8" s="33" t="s">
        <v>76</v>
      </c>
      <c r="E8" s="100" t="n">
        <v>880</v>
      </c>
      <c r="F8" s="33" t="s">
        <v>2440</v>
      </c>
      <c r="G8" s="33" t="s">
        <v>2448</v>
      </c>
      <c r="H8" s="33" t="n">
        <v>2</v>
      </c>
      <c r="I8" s="101" t="n">
        <f aca="false">IF(OR(E8&gt;='Method &amp; Notes'!$B$13,H8=1),1,IF(E8&gt;='Method &amp; Notes'!$B$14,2,3))</f>
        <v>1</v>
      </c>
      <c r="J8" s="101" t="n">
        <f aca="false">RANK(E8,$E$5:$E$58)</f>
        <v>3</v>
      </c>
      <c r="K8" s="33" t="s">
        <v>240</v>
      </c>
      <c r="L8" s="33" t="s">
        <v>131</v>
      </c>
      <c r="M8" s="33" t="s">
        <v>184</v>
      </c>
      <c r="N8" s="102" t="s">
        <v>2442</v>
      </c>
      <c r="O8" s="102" t="s">
        <v>2442</v>
      </c>
      <c r="P8" s="33"/>
    </row>
    <row r="9" customFormat="false" ht="22.35" hidden="false" customHeight="false" outlineLevel="0" collapsed="false">
      <c r="A9" s="33" t="s">
        <v>2449</v>
      </c>
      <c r="B9" s="104" t="s">
        <v>3</v>
      </c>
      <c r="C9" s="33" t="s">
        <v>19</v>
      </c>
      <c r="D9" s="33" t="s">
        <v>77</v>
      </c>
      <c r="E9" s="100" t="n">
        <v>720</v>
      </c>
      <c r="F9" s="33" t="s">
        <v>2440</v>
      </c>
      <c r="G9" s="33" t="s">
        <v>2450</v>
      </c>
      <c r="H9" s="33" t="n">
        <v>2</v>
      </c>
      <c r="I9" s="101" t="n">
        <f aca="false">IF(OR(E9&gt;='Method &amp; Notes'!$B$13,H9=1),1,IF(E9&gt;='Method &amp; Notes'!$B$14,2,3))</f>
        <v>1</v>
      </c>
      <c r="J9" s="101" t="n">
        <f aca="false">RANK(E9,$E$5:$E$58)</f>
        <v>5</v>
      </c>
      <c r="K9" s="33" t="s">
        <v>241</v>
      </c>
      <c r="L9" s="33" t="s">
        <v>132</v>
      </c>
      <c r="M9" s="33" t="s">
        <v>185</v>
      </c>
      <c r="N9" s="102" t="s">
        <v>2442</v>
      </c>
      <c r="O9" s="102" t="s">
        <v>2442</v>
      </c>
      <c r="P9" s="33"/>
    </row>
    <row r="10" customFormat="false" ht="22.35" hidden="false" customHeight="false" outlineLevel="0" collapsed="false">
      <c r="A10" s="33" t="s">
        <v>2451</v>
      </c>
      <c r="B10" s="105" t="s">
        <v>4</v>
      </c>
      <c r="C10" s="33" t="s">
        <v>20</v>
      </c>
      <c r="D10" s="33" t="s">
        <v>78</v>
      </c>
      <c r="E10" s="100" t="n">
        <v>720</v>
      </c>
      <c r="F10" s="33" t="s">
        <v>2440</v>
      </c>
      <c r="G10" s="33" t="s">
        <v>2452</v>
      </c>
      <c r="H10" s="33" t="n">
        <v>3</v>
      </c>
      <c r="I10" s="101" t="n">
        <f aca="false">IF(OR(E10&gt;='Method &amp; Notes'!$B$13,H10=1),1,IF(E10&gt;='Method &amp; Notes'!$B$14,2,3))</f>
        <v>1</v>
      </c>
      <c r="J10" s="101" t="n">
        <f aca="false">RANK(E10,$E$5:$E$58)</f>
        <v>5</v>
      </c>
      <c r="K10" s="33" t="s">
        <v>242</v>
      </c>
      <c r="L10" s="33" t="s">
        <v>133</v>
      </c>
      <c r="M10" s="33" t="s">
        <v>186</v>
      </c>
      <c r="N10" s="102" t="s">
        <v>2442</v>
      </c>
      <c r="O10" s="102" t="s">
        <v>2442</v>
      </c>
      <c r="P10" s="33"/>
    </row>
    <row r="11" customFormat="false" ht="22.35" hidden="false" customHeight="false" outlineLevel="0" collapsed="false">
      <c r="A11" s="33" t="s">
        <v>2453</v>
      </c>
      <c r="B11" s="106" t="s">
        <v>5</v>
      </c>
      <c r="C11" s="33" t="s">
        <v>21</v>
      </c>
      <c r="D11" s="33" t="s">
        <v>79</v>
      </c>
      <c r="E11" s="100" t="n">
        <v>590</v>
      </c>
      <c r="F11" s="33" t="s">
        <v>2440</v>
      </c>
      <c r="G11" s="33" t="s">
        <v>2454</v>
      </c>
      <c r="H11" s="33" t="n">
        <v>1</v>
      </c>
      <c r="I11" s="101" t="n">
        <f aca="false">IF(OR(E11&gt;='Method &amp; Notes'!$B$13,H11=1),1,IF(E11&gt;='Method &amp; Notes'!$B$14,2,3))</f>
        <v>1</v>
      </c>
      <c r="J11" s="101" t="n">
        <f aca="false">RANK(E11,$E$5:$E$58)</f>
        <v>7</v>
      </c>
      <c r="K11" s="33" t="s">
        <v>243</v>
      </c>
      <c r="L11" s="33" t="s">
        <v>134</v>
      </c>
      <c r="M11" s="33" t="s">
        <v>187</v>
      </c>
      <c r="N11" s="102" t="s">
        <v>2442</v>
      </c>
      <c r="O11" s="102" t="s">
        <v>2442</v>
      </c>
      <c r="P11" s="33"/>
    </row>
    <row r="12" customFormat="false" ht="22.35" hidden="false" customHeight="false" outlineLevel="0" collapsed="false">
      <c r="A12" s="33" t="s">
        <v>2455</v>
      </c>
      <c r="B12" s="107" t="s">
        <v>6</v>
      </c>
      <c r="C12" s="33" t="s">
        <v>22</v>
      </c>
      <c r="D12" s="33" t="s">
        <v>80</v>
      </c>
      <c r="E12" s="100" t="n">
        <v>320</v>
      </c>
      <c r="F12" s="33" t="s">
        <v>2440</v>
      </c>
      <c r="G12" s="33" t="s">
        <v>2456</v>
      </c>
      <c r="H12" s="33" t="n">
        <v>1</v>
      </c>
      <c r="I12" s="101" t="n">
        <f aca="false">IF(OR(E12&gt;='Method &amp; Notes'!$B$13,H12=1),1,IF(E12&gt;='Method &amp; Notes'!$B$14,2,3))</f>
        <v>1</v>
      </c>
      <c r="J12" s="101" t="n">
        <f aca="false">RANK(E12,$E$5:$E$58)</f>
        <v>20</v>
      </c>
      <c r="K12" s="33" t="s">
        <v>244</v>
      </c>
      <c r="L12" s="33" t="s">
        <v>135</v>
      </c>
      <c r="M12" s="33" t="s">
        <v>188</v>
      </c>
      <c r="N12" s="102" t="s">
        <v>2442</v>
      </c>
      <c r="O12" s="102" t="s">
        <v>2442</v>
      </c>
      <c r="P12" s="33"/>
    </row>
    <row r="13" customFormat="false" ht="22.35" hidden="false" customHeight="false" outlineLevel="0" collapsed="false">
      <c r="A13" s="33" t="s">
        <v>2457</v>
      </c>
      <c r="B13" s="106" t="s">
        <v>5</v>
      </c>
      <c r="C13" s="33" t="s">
        <v>23</v>
      </c>
      <c r="D13" s="33" t="s">
        <v>81</v>
      </c>
      <c r="E13" s="100" t="n">
        <v>210</v>
      </c>
      <c r="F13" s="33" t="s">
        <v>2440</v>
      </c>
      <c r="G13" s="33" t="s">
        <v>2458</v>
      </c>
      <c r="H13" s="33" t="n">
        <v>1</v>
      </c>
      <c r="I13" s="101" t="n">
        <f aca="false">IF(OR(E13&gt;='Method &amp; Notes'!$B$13,H13=1),1,IF(E13&gt;='Method &amp; Notes'!$B$14,2,3))</f>
        <v>1</v>
      </c>
      <c r="J13" s="101" t="n">
        <f aca="false">RANK(E13,$E$5:$E$58)</f>
        <v>32</v>
      </c>
      <c r="K13" s="33" t="s">
        <v>245</v>
      </c>
      <c r="L13" s="33" t="s">
        <v>136</v>
      </c>
      <c r="M13" s="33" t="s">
        <v>189</v>
      </c>
      <c r="N13" s="102" t="s">
        <v>2442</v>
      </c>
      <c r="O13" s="102" t="s">
        <v>2442</v>
      </c>
      <c r="P13" s="33"/>
    </row>
    <row r="14" customFormat="false" ht="22.35" hidden="false" customHeight="false" outlineLevel="0" collapsed="false">
      <c r="A14" s="33" t="s">
        <v>2459</v>
      </c>
      <c r="B14" s="108" t="s">
        <v>7</v>
      </c>
      <c r="C14" s="33" t="s">
        <v>24</v>
      </c>
      <c r="D14" s="33" t="s">
        <v>82</v>
      </c>
      <c r="E14" s="100" t="n">
        <v>480</v>
      </c>
      <c r="F14" s="33" t="s">
        <v>2440</v>
      </c>
      <c r="G14" s="33" t="s">
        <v>2460</v>
      </c>
      <c r="H14" s="33" t="n">
        <v>2</v>
      </c>
      <c r="I14" s="101" t="n">
        <f aca="false">IF(OR(E14&gt;='Method &amp; Notes'!$B$13,H14=1),1,IF(E14&gt;='Method &amp; Notes'!$B$14,2,3))</f>
        <v>2</v>
      </c>
      <c r="J14" s="101" t="n">
        <f aca="false">RANK(E14,$E$5:$E$58)</f>
        <v>8</v>
      </c>
      <c r="K14" s="33" t="s">
        <v>246</v>
      </c>
      <c r="L14" s="33" t="s">
        <v>137</v>
      </c>
      <c r="M14" s="33" t="s">
        <v>190</v>
      </c>
      <c r="N14" s="102" t="s">
        <v>2442</v>
      </c>
      <c r="O14" s="102" t="s">
        <v>2442</v>
      </c>
      <c r="P14" s="33" t="s">
        <v>559</v>
      </c>
    </row>
    <row r="15" customFormat="false" ht="22.35" hidden="false" customHeight="false" outlineLevel="0" collapsed="false">
      <c r="A15" s="33" t="s">
        <v>2461</v>
      </c>
      <c r="B15" s="109" t="s">
        <v>8</v>
      </c>
      <c r="C15" s="33" t="s">
        <v>25</v>
      </c>
      <c r="D15" s="33" t="s">
        <v>83</v>
      </c>
      <c r="E15" s="100" t="n">
        <v>480</v>
      </c>
      <c r="F15" s="33" t="s">
        <v>2440</v>
      </c>
      <c r="G15" s="33" t="s">
        <v>2446</v>
      </c>
      <c r="H15" s="33"/>
      <c r="I15" s="101" t="n">
        <f aca="false">IF(OR(E15&gt;='Method &amp; Notes'!$B$13,H15=1),1,IF(E15&gt;='Method &amp; Notes'!$B$14,2,3))</f>
        <v>2</v>
      </c>
      <c r="J15" s="101" t="n">
        <f aca="false">RANK(E15,$E$5:$E$58)</f>
        <v>8</v>
      </c>
      <c r="K15" s="33" t="s">
        <v>247</v>
      </c>
      <c r="L15" s="33" t="s">
        <v>138</v>
      </c>
      <c r="M15" s="33" t="s">
        <v>191</v>
      </c>
      <c r="N15" s="102" t="s">
        <v>2442</v>
      </c>
      <c r="O15" s="102" t="s">
        <v>2442</v>
      </c>
      <c r="P15" s="33"/>
    </row>
    <row r="16" customFormat="false" ht="22.35" hidden="false" customHeight="false" outlineLevel="0" collapsed="false">
      <c r="A16" s="33" t="s">
        <v>2462</v>
      </c>
      <c r="B16" s="110" t="s">
        <v>9</v>
      </c>
      <c r="C16" s="33" t="s">
        <v>26</v>
      </c>
      <c r="D16" s="33" t="s">
        <v>84</v>
      </c>
      <c r="E16" s="100" t="n">
        <v>480</v>
      </c>
      <c r="F16" s="33" t="s">
        <v>2440</v>
      </c>
      <c r="G16" s="33" t="s">
        <v>2446</v>
      </c>
      <c r="H16" s="33"/>
      <c r="I16" s="101" t="n">
        <f aca="false">IF(OR(E16&gt;='Method &amp; Notes'!$B$13,H16=1),1,IF(E16&gt;='Method &amp; Notes'!$B$14,2,3))</f>
        <v>2</v>
      </c>
      <c r="J16" s="101" t="n">
        <f aca="false">RANK(E16,$E$5:$E$58)</f>
        <v>8</v>
      </c>
      <c r="K16" s="33" t="s">
        <v>248</v>
      </c>
      <c r="L16" s="33" t="s">
        <v>139</v>
      </c>
      <c r="M16" s="33" t="s">
        <v>192</v>
      </c>
      <c r="N16" s="102" t="s">
        <v>2442</v>
      </c>
      <c r="O16" s="102" t="s">
        <v>2442</v>
      </c>
      <c r="P16" s="33" t="s">
        <v>560</v>
      </c>
    </row>
    <row r="17" customFormat="false" ht="22.35" hidden="false" customHeight="false" outlineLevel="0" collapsed="false">
      <c r="A17" s="33" t="s">
        <v>2463</v>
      </c>
      <c r="B17" s="110" t="s">
        <v>9</v>
      </c>
      <c r="C17" s="33" t="s">
        <v>27</v>
      </c>
      <c r="D17" s="33" t="s">
        <v>85</v>
      </c>
      <c r="E17" s="100" t="n">
        <v>480</v>
      </c>
      <c r="F17" s="33" t="s">
        <v>2440</v>
      </c>
      <c r="G17" s="33" t="s">
        <v>2464</v>
      </c>
      <c r="H17" s="33" t="n">
        <v>2</v>
      </c>
      <c r="I17" s="101" t="n">
        <f aca="false">IF(OR(E17&gt;='Method &amp; Notes'!$B$13,H17=1),1,IF(E17&gt;='Method &amp; Notes'!$B$14,2,3))</f>
        <v>2</v>
      </c>
      <c r="J17" s="101" t="n">
        <f aca="false">RANK(E17,$E$5:$E$58)</f>
        <v>8</v>
      </c>
      <c r="K17" s="33" t="s">
        <v>249</v>
      </c>
      <c r="L17" s="33" t="s">
        <v>140</v>
      </c>
      <c r="M17" s="33" t="s">
        <v>193</v>
      </c>
      <c r="N17" s="102" t="s">
        <v>2442</v>
      </c>
      <c r="O17" s="102" t="s">
        <v>2442</v>
      </c>
      <c r="P17" s="33"/>
    </row>
    <row r="18" customFormat="false" ht="22.35" hidden="false" customHeight="false" outlineLevel="0" collapsed="false">
      <c r="A18" s="33" t="s">
        <v>2465</v>
      </c>
      <c r="B18" s="105" t="s">
        <v>4</v>
      </c>
      <c r="C18" s="33" t="s">
        <v>28</v>
      </c>
      <c r="D18" s="33" t="s">
        <v>86</v>
      </c>
      <c r="E18" s="100" t="n">
        <v>480</v>
      </c>
      <c r="F18" s="33" t="s">
        <v>2440</v>
      </c>
      <c r="G18" s="33" t="s">
        <v>2446</v>
      </c>
      <c r="H18" s="33"/>
      <c r="I18" s="101" t="n">
        <f aca="false">IF(OR(E18&gt;='Method &amp; Notes'!$B$13,H18=1),1,IF(E18&gt;='Method &amp; Notes'!$B$14,2,3))</f>
        <v>2</v>
      </c>
      <c r="J18" s="101" t="n">
        <f aca="false">RANK(E18,$E$5:$E$58)</f>
        <v>8</v>
      </c>
      <c r="K18" s="33" t="s">
        <v>250</v>
      </c>
      <c r="L18" s="33" t="s">
        <v>141</v>
      </c>
      <c r="M18" s="33" t="s">
        <v>194</v>
      </c>
      <c r="N18" s="102" t="s">
        <v>2442</v>
      </c>
      <c r="O18" s="102" t="s">
        <v>2442</v>
      </c>
      <c r="P18" s="33" t="s">
        <v>561</v>
      </c>
    </row>
    <row r="19" customFormat="false" ht="22.35" hidden="false" customHeight="false" outlineLevel="0" collapsed="false">
      <c r="A19" s="33" t="s">
        <v>2466</v>
      </c>
      <c r="B19" s="103" t="s">
        <v>2</v>
      </c>
      <c r="C19" s="33" t="s">
        <v>29</v>
      </c>
      <c r="D19" s="33" t="s">
        <v>87</v>
      </c>
      <c r="E19" s="100" t="n">
        <v>480</v>
      </c>
      <c r="F19" s="33" t="s">
        <v>2467</v>
      </c>
      <c r="G19" s="33" t="s">
        <v>2468</v>
      </c>
      <c r="H19" s="33" t="n">
        <v>2</v>
      </c>
      <c r="I19" s="101" t="n">
        <f aca="false">IF(OR(E19&gt;='Method &amp; Notes'!$B$13,H19=1),1,IF(E19&gt;='Method &amp; Notes'!$B$14,2,3))</f>
        <v>2</v>
      </c>
      <c r="J19" s="101" t="n">
        <f aca="false">RANK(E19,$E$5:$E$58)</f>
        <v>8</v>
      </c>
      <c r="K19" s="33" t="s">
        <v>251</v>
      </c>
      <c r="L19" s="33" t="s">
        <v>142</v>
      </c>
      <c r="M19" s="33" t="s">
        <v>195</v>
      </c>
      <c r="N19" s="102" t="s">
        <v>2442</v>
      </c>
      <c r="O19" s="102" t="s">
        <v>2442</v>
      </c>
      <c r="P19" s="33"/>
    </row>
    <row r="20" customFormat="false" ht="22.35" hidden="false" customHeight="false" outlineLevel="0" collapsed="false">
      <c r="A20" s="33" t="s">
        <v>2469</v>
      </c>
      <c r="B20" s="111" t="s">
        <v>10</v>
      </c>
      <c r="C20" s="33" t="s">
        <v>30</v>
      </c>
      <c r="D20" s="33" t="s">
        <v>88</v>
      </c>
      <c r="E20" s="100" t="n">
        <v>390</v>
      </c>
      <c r="F20" s="33" t="s">
        <v>2467</v>
      </c>
      <c r="G20" s="33" t="s">
        <v>2470</v>
      </c>
      <c r="H20" s="33" t="n">
        <v>2</v>
      </c>
      <c r="I20" s="101" t="n">
        <f aca="false">IF(OR(E20&gt;='Method &amp; Notes'!$B$13,H20=1),1,IF(E20&gt;='Method &amp; Notes'!$B$14,2,3))</f>
        <v>2</v>
      </c>
      <c r="J20" s="101" t="n">
        <f aca="false">RANK(E20,$E$5:$E$58)</f>
        <v>14</v>
      </c>
      <c r="K20" s="33" t="s">
        <v>252</v>
      </c>
      <c r="L20" s="33" t="s">
        <v>143</v>
      </c>
      <c r="M20" s="33" t="s">
        <v>196</v>
      </c>
      <c r="N20" s="102" t="s">
        <v>2442</v>
      </c>
      <c r="O20" s="102" t="s">
        <v>2442</v>
      </c>
      <c r="P20" s="33"/>
    </row>
    <row r="21" customFormat="false" ht="22.35" hidden="false" customHeight="false" outlineLevel="0" collapsed="false">
      <c r="A21" s="33" t="s">
        <v>2471</v>
      </c>
      <c r="B21" s="109" t="s">
        <v>8</v>
      </c>
      <c r="C21" s="33" t="s">
        <v>31</v>
      </c>
      <c r="D21" s="33" t="s">
        <v>89</v>
      </c>
      <c r="E21" s="100" t="n">
        <v>390</v>
      </c>
      <c r="F21" s="33" t="s">
        <v>2440</v>
      </c>
      <c r="G21" s="33" t="s">
        <v>2472</v>
      </c>
      <c r="H21" s="33" t="n">
        <v>2</v>
      </c>
      <c r="I21" s="101" t="n">
        <f aca="false">IF(OR(E21&gt;='Method &amp; Notes'!$B$13,H21=1),1,IF(E21&gt;='Method &amp; Notes'!$B$14,2,3))</f>
        <v>2</v>
      </c>
      <c r="J21" s="101" t="n">
        <f aca="false">RANK(E21,$E$5:$E$58)</f>
        <v>14</v>
      </c>
      <c r="K21" s="33" t="s">
        <v>253</v>
      </c>
      <c r="L21" s="33" t="s">
        <v>144</v>
      </c>
      <c r="M21" s="33" t="s">
        <v>197</v>
      </c>
      <c r="N21" s="102" t="s">
        <v>2442</v>
      </c>
      <c r="O21" s="102" t="s">
        <v>2442</v>
      </c>
      <c r="P21" s="33"/>
    </row>
    <row r="22" customFormat="false" ht="22.35" hidden="false" customHeight="false" outlineLevel="0" collapsed="false">
      <c r="A22" s="33" t="s">
        <v>2473</v>
      </c>
      <c r="B22" s="112" t="s">
        <v>11</v>
      </c>
      <c r="C22" s="33" t="s">
        <v>32</v>
      </c>
      <c r="D22" s="33" t="s">
        <v>90</v>
      </c>
      <c r="E22" s="100" t="n">
        <v>390</v>
      </c>
      <c r="F22" s="33" t="s">
        <v>2440</v>
      </c>
      <c r="G22" s="33" t="s">
        <v>2474</v>
      </c>
      <c r="H22" s="33" t="n">
        <v>2</v>
      </c>
      <c r="I22" s="101" t="n">
        <f aca="false">IF(OR(E22&gt;='Method &amp; Notes'!$B$13,H22=1),1,IF(E22&gt;='Method &amp; Notes'!$B$14,2,3))</f>
        <v>2</v>
      </c>
      <c r="J22" s="101" t="n">
        <f aca="false">RANK(E22,$E$5:$E$58)</f>
        <v>14</v>
      </c>
      <c r="K22" s="33" t="s">
        <v>254</v>
      </c>
      <c r="L22" s="33" t="s">
        <v>145</v>
      </c>
      <c r="M22" s="33" t="s">
        <v>198</v>
      </c>
      <c r="N22" s="102" t="s">
        <v>2442</v>
      </c>
      <c r="O22" s="102" t="s">
        <v>2442</v>
      </c>
      <c r="P22" s="33" t="s">
        <v>562</v>
      </c>
    </row>
    <row r="23" customFormat="false" ht="22.35" hidden="false" customHeight="false" outlineLevel="0" collapsed="false">
      <c r="A23" s="33" t="s">
        <v>2475</v>
      </c>
      <c r="B23" s="112" t="s">
        <v>11</v>
      </c>
      <c r="C23" s="33" t="s">
        <v>33</v>
      </c>
      <c r="D23" s="33" t="s">
        <v>91</v>
      </c>
      <c r="E23" s="100" t="n">
        <v>390</v>
      </c>
      <c r="F23" s="33" t="s">
        <v>2440</v>
      </c>
      <c r="G23" s="33" t="s">
        <v>2476</v>
      </c>
      <c r="H23" s="33" t="n">
        <v>2</v>
      </c>
      <c r="I23" s="101" t="n">
        <f aca="false">IF(OR(E23&gt;='Method &amp; Notes'!$B$13,H23=1),1,IF(E23&gt;='Method &amp; Notes'!$B$14,2,3))</f>
        <v>2</v>
      </c>
      <c r="J23" s="101" t="n">
        <f aca="false">RANK(E23,$E$5:$E$58)</f>
        <v>14</v>
      </c>
      <c r="K23" s="33" t="s">
        <v>255</v>
      </c>
      <c r="L23" s="33" t="s">
        <v>146</v>
      </c>
      <c r="M23" s="33" t="s">
        <v>199</v>
      </c>
      <c r="N23" s="102" t="s">
        <v>2442</v>
      </c>
      <c r="O23" s="102" t="s">
        <v>2442</v>
      </c>
      <c r="P23" s="33" t="s">
        <v>563</v>
      </c>
    </row>
    <row r="24" customFormat="false" ht="22.35" hidden="false" customHeight="false" outlineLevel="0" collapsed="false">
      <c r="A24" s="33" t="s">
        <v>2477</v>
      </c>
      <c r="B24" s="103" t="s">
        <v>2</v>
      </c>
      <c r="C24" s="33" t="s">
        <v>34</v>
      </c>
      <c r="D24" s="33" t="s">
        <v>92</v>
      </c>
      <c r="E24" s="100" t="n">
        <v>390</v>
      </c>
      <c r="F24" s="33" t="s">
        <v>2440</v>
      </c>
      <c r="G24" s="33" t="s">
        <v>2478</v>
      </c>
      <c r="H24" s="33" t="n">
        <v>2</v>
      </c>
      <c r="I24" s="101" t="n">
        <f aca="false">IF(OR(E24&gt;='Method &amp; Notes'!$B$13,H24=1),1,IF(E24&gt;='Method &amp; Notes'!$B$14,2,3))</f>
        <v>2</v>
      </c>
      <c r="J24" s="101" t="n">
        <f aca="false">RANK(E24,$E$5:$E$58)</f>
        <v>14</v>
      </c>
      <c r="K24" s="33" t="s">
        <v>256</v>
      </c>
      <c r="L24" s="33" t="s">
        <v>147</v>
      </c>
      <c r="M24" s="33" t="s">
        <v>200</v>
      </c>
      <c r="N24" s="102" t="s">
        <v>2442</v>
      </c>
      <c r="O24" s="102" t="s">
        <v>2442</v>
      </c>
      <c r="P24" s="33"/>
    </row>
    <row r="25" customFormat="false" ht="22.35" hidden="false" customHeight="false" outlineLevel="0" collapsed="false">
      <c r="A25" s="33" t="s">
        <v>2479</v>
      </c>
      <c r="B25" s="113" t="s">
        <v>12</v>
      </c>
      <c r="C25" s="33" t="s">
        <v>35</v>
      </c>
      <c r="D25" s="33" t="s">
        <v>93</v>
      </c>
      <c r="E25" s="100" t="n">
        <v>390</v>
      </c>
      <c r="F25" s="33" t="s">
        <v>2440</v>
      </c>
      <c r="G25" s="33" t="s">
        <v>2480</v>
      </c>
      <c r="H25" s="33" t="n">
        <v>3</v>
      </c>
      <c r="I25" s="101" t="n">
        <f aca="false">IF(OR(E25&gt;='Method &amp; Notes'!$B$13,H25=1),1,IF(E25&gt;='Method &amp; Notes'!$B$14,2,3))</f>
        <v>2</v>
      </c>
      <c r="J25" s="101" t="n">
        <f aca="false">RANK(E25,$E$5:$E$58)</f>
        <v>14</v>
      </c>
      <c r="K25" s="33" t="s">
        <v>257</v>
      </c>
      <c r="L25" s="33" t="s">
        <v>148</v>
      </c>
      <c r="M25" s="33" t="s">
        <v>201</v>
      </c>
      <c r="N25" s="102" t="s">
        <v>2442</v>
      </c>
      <c r="O25" s="102" t="s">
        <v>2442</v>
      </c>
      <c r="P25" s="33"/>
    </row>
    <row r="26" customFormat="false" ht="22.35" hidden="false" customHeight="false" outlineLevel="0" collapsed="false">
      <c r="A26" s="33" t="s">
        <v>2481</v>
      </c>
      <c r="B26" s="104" t="s">
        <v>3</v>
      </c>
      <c r="C26" s="33" t="s">
        <v>36</v>
      </c>
      <c r="D26" s="33" t="s">
        <v>94</v>
      </c>
      <c r="E26" s="100" t="n">
        <v>320</v>
      </c>
      <c r="F26" s="33" t="s">
        <v>2440</v>
      </c>
      <c r="G26" s="33" t="s">
        <v>2482</v>
      </c>
      <c r="H26" s="33" t="n">
        <v>2</v>
      </c>
      <c r="I26" s="101" t="n">
        <f aca="false">IF(OR(E26&gt;='Method &amp; Notes'!$B$13,H26=1),1,IF(E26&gt;='Method &amp; Notes'!$B$14,2,3))</f>
        <v>2</v>
      </c>
      <c r="J26" s="101" t="n">
        <f aca="false">RANK(E26,$E$5:$E$58)</f>
        <v>20</v>
      </c>
      <c r="K26" s="33" t="s">
        <v>258</v>
      </c>
      <c r="L26" s="33" t="s">
        <v>149</v>
      </c>
      <c r="M26" s="33" t="s">
        <v>202</v>
      </c>
      <c r="N26" s="102" t="s">
        <v>2442</v>
      </c>
      <c r="O26" s="102" t="s">
        <v>2442</v>
      </c>
      <c r="P26" s="33"/>
    </row>
    <row r="27" customFormat="false" ht="22.35" hidden="false" customHeight="false" outlineLevel="0" collapsed="false">
      <c r="A27" s="33" t="s">
        <v>2483</v>
      </c>
      <c r="B27" s="104" t="s">
        <v>3</v>
      </c>
      <c r="C27" s="33" t="s">
        <v>37</v>
      </c>
      <c r="D27" s="33" t="s">
        <v>95</v>
      </c>
      <c r="E27" s="100" t="n">
        <v>320</v>
      </c>
      <c r="F27" s="33" t="s">
        <v>2440</v>
      </c>
      <c r="G27" s="33" t="s">
        <v>2484</v>
      </c>
      <c r="H27" s="33" t="n">
        <v>3</v>
      </c>
      <c r="I27" s="101" t="n">
        <f aca="false">IF(OR(E27&gt;='Method &amp; Notes'!$B$13,H27=1),1,IF(E27&gt;='Method &amp; Notes'!$B$14,2,3))</f>
        <v>2</v>
      </c>
      <c r="J27" s="101" t="n">
        <f aca="false">RANK(E27,$E$5:$E$58)</f>
        <v>20</v>
      </c>
      <c r="K27" s="33" t="s">
        <v>259</v>
      </c>
      <c r="L27" s="33" t="s">
        <v>150</v>
      </c>
      <c r="M27" s="33" t="s">
        <v>203</v>
      </c>
      <c r="N27" s="102" t="s">
        <v>2442</v>
      </c>
      <c r="O27" s="102" t="s">
        <v>2442</v>
      </c>
      <c r="P27" s="33"/>
    </row>
    <row r="28" customFormat="false" ht="22.35" hidden="false" customHeight="false" outlineLevel="0" collapsed="false">
      <c r="A28" s="33" t="s">
        <v>2485</v>
      </c>
      <c r="B28" s="104" t="s">
        <v>3</v>
      </c>
      <c r="C28" s="33" t="s">
        <v>38</v>
      </c>
      <c r="D28" s="33" t="s">
        <v>96</v>
      </c>
      <c r="E28" s="100" t="n">
        <v>320</v>
      </c>
      <c r="F28" s="33" t="s">
        <v>2440</v>
      </c>
      <c r="G28" s="33" t="s">
        <v>2446</v>
      </c>
      <c r="H28" s="33"/>
      <c r="I28" s="101" t="n">
        <f aca="false">IF(OR(E28&gt;='Method &amp; Notes'!$B$13,H28=1),1,IF(E28&gt;='Method &amp; Notes'!$B$14,2,3))</f>
        <v>2</v>
      </c>
      <c r="J28" s="101" t="n">
        <f aca="false">RANK(E28,$E$5:$E$58)</f>
        <v>20</v>
      </c>
      <c r="K28" s="33" t="s">
        <v>260</v>
      </c>
      <c r="L28" s="33" t="s">
        <v>151</v>
      </c>
      <c r="M28" s="33" t="s">
        <v>204</v>
      </c>
      <c r="N28" s="102" t="s">
        <v>2442</v>
      </c>
      <c r="O28" s="102" t="s">
        <v>2442</v>
      </c>
      <c r="P28" s="33" t="s">
        <v>564</v>
      </c>
    </row>
    <row r="29" customFormat="false" ht="22.35" hidden="false" customHeight="false" outlineLevel="0" collapsed="false">
      <c r="A29" s="33" t="s">
        <v>2486</v>
      </c>
      <c r="B29" s="110" t="s">
        <v>9</v>
      </c>
      <c r="C29" s="33" t="s">
        <v>39</v>
      </c>
      <c r="D29" s="33" t="s">
        <v>97</v>
      </c>
      <c r="E29" s="100" t="n">
        <v>320</v>
      </c>
      <c r="F29" s="33" t="s">
        <v>2467</v>
      </c>
      <c r="G29" s="33" t="s">
        <v>2487</v>
      </c>
      <c r="H29" s="33" t="n">
        <v>2</v>
      </c>
      <c r="I29" s="101" t="n">
        <f aca="false">IF(OR(E29&gt;='Method &amp; Notes'!$B$13,H29=1),1,IF(E29&gt;='Method &amp; Notes'!$B$14,2,3))</f>
        <v>2</v>
      </c>
      <c r="J29" s="101" t="n">
        <f aca="false">RANK(E29,$E$5:$E$58)</f>
        <v>20</v>
      </c>
      <c r="K29" s="33" t="s">
        <v>261</v>
      </c>
      <c r="L29" s="33" t="s">
        <v>152</v>
      </c>
      <c r="M29" s="33" t="s">
        <v>205</v>
      </c>
      <c r="N29" s="102" t="s">
        <v>2442</v>
      </c>
      <c r="O29" s="102" t="s">
        <v>2442</v>
      </c>
      <c r="P29" s="33"/>
    </row>
    <row r="30" customFormat="false" ht="22.35" hidden="false" customHeight="false" outlineLevel="0" collapsed="false">
      <c r="A30" s="33" t="s">
        <v>2488</v>
      </c>
      <c r="B30" s="105" t="s">
        <v>4</v>
      </c>
      <c r="C30" s="33" t="s">
        <v>40</v>
      </c>
      <c r="D30" s="33" t="s">
        <v>98</v>
      </c>
      <c r="E30" s="100" t="n">
        <v>320</v>
      </c>
      <c r="F30" s="33" t="s">
        <v>2440</v>
      </c>
      <c r="G30" s="33" t="s">
        <v>2489</v>
      </c>
      <c r="H30" s="33" t="n">
        <v>3</v>
      </c>
      <c r="I30" s="101" t="n">
        <f aca="false">IF(OR(E30&gt;='Method &amp; Notes'!$B$13,H30=1),1,IF(E30&gt;='Method &amp; Notes'!$B$14,2,3))</f>
        <v>2</v>
      </c>
      <c r="J30" s="101" t="n">
        <f aca="false">RANK(E30,$E$5:$E$58)</f>
        <v>20</v>
      </c>
      <c r="K30" s="33" t="s">
        <v>262</v>
      </c>
      <c r="L30" s="33" t="s">
        <v>153</v>
      </c>
      <c r="M30" s="33" t="s">
        <v>206</v>
      </c>
      <c r="N30" s="102" t="s">
        <v>2442</v>
      </c>
      <c r="O30" s="102" t="s">
        <v>2442</v>
      </c>
      <c r="P30" s="33"/>
    </row>
    <row r="31" customFormat="false" ht="22.35" hidden="false" customHeight="false" outlineLevel="0" collapsed="false">
      <c r="A31" s="33" t="s">
        <v>2490</v>
      </c>
      <c r="B31" s="104" t="s">
        <v>3</v>
      </c>
      <c r="C31" s="33" t="s">
        <v>41</v>
      </c>
      <c r="D31" s="33" t="s">
        <v>99</v>
      </c>
      <c r="E31" s="100" t="n">
        <v>260</v>
      </c>
      <c r="F31" s="33" t="s">
        <v>2440</v>
      </c>
      <c r="G31" s="33" t="s">
        <v>2446</v>
      </c>
      <c r="H31" s="33"/>
      <c r="I31" s="101" t="n">
        <f aca="false">IF(OR(E31&gt;='Method &amp; Notes'!$B$13,H31=1),1,IF(E31&gt;='Method &amp; Notes'!$B$14,2,3))</f>
        <v>2</v>
      </c>
      <c r="J31" s="101" t="n">
        <f aca="false">RANK(E31,$E$5:$E$58)</f>
        <v>26</v>
      </c>
      <c r="K31" s="33" t="s">
        <v>263</v>
      </c>
      <c r="L31" s="33" t="s">
        <v>154</v>
      </c>
      <c r="M31" s="33" t="s">
        <v>207</v>
      </c>
      <c r="N31" s="102" t="s">
        <v>2442</v>
      </c>
      <c r="O31" s="102" t="s">
        <v>2442</v>
      </c>
      <c r="P31" s="33"/>
    </row>
    <row r="32" customFormat="false" ht="22.35" hidden="false" customHeight="false" outlineLevel="0" collapsed="false">
      <c r="A32" s="33" t="s">
        <v>2491</v>
      </c>
      <c r="B32" s="110" t="s">
        <v>9</v>
      </c>
      <c r="C32" s="33" t="s">
        <v>42</v>
      </c>
      <c r="D32" s="33" t="s">
        <v>100</v>
      </c>
      <c r="E32" s="100" t="n">
        <v>260</v>
      </c>
      <c r="F32" s="33" t="s">
        <v>2440</v>
      </c>
      <c r="G32" s="33" t="s">
        <v>2492</v>
      </c>
      <c r="H32" s="33" t="n">
        <v>2</v>
      </c>
      <c r="I32" s="101" t="n">
        <f aca="false">IF(OR(E32&gt;='Method &amp; Notes'!$B$13,H32=1),1,IF(E32&gt;='Method &amp; Notes'!$B$14,2,3))</f>
        <v>2</v>
      </c>
      <c r="J32" s="101" t="n">
        <f aca="false">RANK(E32,$E$5:$E$58)</f>
        <v>26</v>
      </c>
      <c r="K32" s="33" t="s">
        <v>264</v>
      </c>
      <c r="L32" s="33" t="s">
        <v>155</v>
      </c>
      <c r="M32" s="33" t="s">
        <v>208</v>
      </c>
      <c r="N32" s="102" t="s">
        <v>2442</v>
      </c>
      <c r="O32" s="102" t="s">
        <v>2442</v>
      </c>
      <c r="P32" s="33"/>
    </row>
    <row r="33" customFormat="false" ht="22.35" hidden="false" customHeight="false" outlineLevel="0" collapsed="false">
      <c r="A33" s="33" t="s">
        <v>2493</v>
      </c>
      <c r="B33" s="105" t="s">
        <v>4</v>
      </c>
      <c r="C33" s="33" t="s">
        <v>43</v>
      </c>
      <c r="D33" s="33" t="s">
        <v>101</v>
      </c>
      <c r="E33" s="100" t="n">
        <v>260</v>
      </c>
      <c r="F33" s="33" t="s">
        <v>2440</v>
      </c>
      <c r="G33" s="33" t="s">
        <v>2446</v>
      </c>
      <c r="H33" s="33"/>
      <c r="I33" s="101" t="n">
        <f aca="false">IF(OR(E33&gt;='Method &amp; Notes'!$B$13,H33=1),1,IF(E33&gt;='Method &amp; Notes'!$B$14,2,3))</f>
        <v>2</v>
      </c>
      <c r="J33" s="101" t="n">
        <f aca="false">RANK(E33,$E$5:$E$58)</f>
        <v>26</v>
      </c>
      <c r="K33" s="33" t="s">
        <v>265</v>
      </c>
      <c r="L33" s="33" t="s">
        <v>156</v>
      </c>
      <c r="M33" s="33" t="s">
        <v>209</v>
      </c>
      <c r="N33" s="102" t="s">
        <v>2442</v>
      </c>
      <c r="O33" s="102" t="s">
        <v>2442</v>
      </c>
      <c r="P33" s="33" t="s">
        <v>565</v>
      </c>
    </row>
    <row r="34" customFormat="false" ht="22.35" hidden="false" customHeight="false" outlineLevel="0" collapsed="false">
      <c r="A34" s="33" t="s">
        <v>2494</v>
      </c>
      <c r="B34" s="112" t="s">
        <v>11</v>
      </c>
      <c r="C34" s="33" t="s">
        <v>44</v>
      </c>
      <c r="D34" s="33" t="s">
        <v>102</v>
      </c>
      <c r="E34" s="100" t="n">
        <v>260</v>
      </c>
      <c r="F34" s="33" t="s">
        <v>2440</v>
      </c>
      <c r="G34" s="33" t="s">
        <v>2495</v>
      </c>
      <c r="H34" s="33" t="n">
        <v>2</v>
      </c>
      <c r="I34" s="101" t="n">
        <f aca="false">IF(OR(E34&gt;='Method &amp; Notes'!$B$13,H34=1),1,IF(E34&gt;='Method &amp; Notes'!$B$14,2,3))</f>
        <v>2</v>
      </c>
      <c r="J34" s="101" t="n">
        <f aca="false">RANK(E34,$E$5:$E$58)</f>
        <v>26</v>
      </c>
      <c r="K34" s="33" t="s">
        <v>266</v>
      </c>
      <c r="L34" s="33" t="s">
        <v>157</v>
      </c>
      <c r="M34" s="33" t="s">
        <v>210</v>
      </c>
      <c r="N34" s="102" t="s">
        <v>2442</v>
      </c>
      <c r="O34" s="102" t="s">
        <v>2442</v>
      </c>
      <c r="P34" s="33"/>
    </row>
    <row r="35" customFormat="false" ht="22.35" hidden="false" customHeight="false" outlineLevel="0" collapsed="false">
      <c r="A35" s="33" t="s">
        <v>2496</v>
      </c>
      <c r="B35" s="103" t="s">
        <v>2</v>
      </c>
      <c r="C35" s="33" t="s">
        <v>45</v>
      </c>
      <c r="D35" s="33" t="s">
        <v>103</v>
      </c>
      <c r="E35" s="100" t="n">
        <v>260</v>
      </c>
      <c r="F35" s="33" t="s">
        <v>2440</v>
      </c>
      <c r="G35" s="33" t="s">
        <v>2497</v>
      </c>
      <c r="H35" s="33" t="n">
        <v>3</v>
      </c>
      <c r="I35" s="101" t="n">
        <f aca="false">IF(OR(E35&gt;='Method &amp; Notes'!$B$13,H35=1),1,IF(E35&gt;='Method &amp; Notes'!$B$14,2,3))</f>
        <v>2</v>
      </c>
      <c r="J35" s="101" t="n">
        <f aca="false">RANK(E35,$E$5:$E$58)</f>
        <v>26</v>
      </c>
      <c r="K35" s="33" t="s">
        <v>267</v>
      </c>
      <c r="L35" s="33" t="s">
        <v>158</v>
      </c>
      <c r="M35" s="33" t="s">
        <v>211</v>
      </c>
      <c r="N35" s="102" t="s">
        <v>2442</v>
      </c>
      <c r="O35" s="102" t="s">
        <v>2442</v>
      </c>
      <c r="P35" s="33"/>
    </row>
    <row r="36" customFormat="false" ht="22.35" hidden="false" customHeight="false" outlineLevel="0" collapsed="false">
      <c r="A36" s="33" t="s">
        <v>2498</v>
      </c>
      <c r="B36" s="113" t="s">
        <v>12</v>
      </c>
      <c r="C36" s="33" t="s">
        <v>46</v>
      </c>
      <c r="D36" s="33" t="s">
        <v>104</v>
      </c>
      <c r="E36" s="100" t="n">
        <v>260</v>
      </c>
      <c r="F36" s="33" t="s">
        <v>2440</v>
      </c>
      <c r="G36" s="33" t="s">
        <v>2446</v>
      </c>
      <c r="H36" s="33"/>
      <c r="I36" s="101" t="n">
        <f aca="false">IF(OR(E36&gt;='Method &amp; Notes'!$B$13,H36=1),1,IF(E36&gt;='Method &amp; Notes'!$B$14,2,3))</f>
        <v>2</v>
      </c>
      <c r="J36" s="101" t="n">
        <f aca="false">RANK(E36,$E$5:$E$58)</f>
        <v>26</v>
      </c>
      <c r="K36" s="33" t="s">
        <v>268</v>
      </c>
      <c r="L36" s="33" t="s">
        <v>46</v>
      </c>
      <c r="M36" s="33" t="s">
        <v>212</v>
      </c>
      <c r="N36" s="102" t="s">
        <v>2442</v>
      </c>
      <c r="O36" s="102" t="s">
        <v>2442</v>
      </c>
      <c r="P36" s="33"/>
    </row>
    <row r="37" customFormat="false" ht="22.35" hidden="false" customHeight="false" outlineLevel="0" collapsed="false">
      <c r="A37" s="33" t="s">
        <v>2499</v>
      </c>
      <c r="B37" s="111" t="s">
        <v>10</v>
      </c>
      <c r="C37" s="33" t="s">
        <v>47</v>
      </c>
      <c r="D37" s="33" t="s">
        <v>105</v>
      </c>
      <c r="E37" s="100" t="n">
        <v>210</v>
      </c>
      <c r="F37" s="33" t="s">
        <v>2467</v>
      </c>
      <c r="G37" s="33" t="s">
        <v>2500</v>
      </c>
      <c r="H37" s="33" t="n">
        <v>2</v>
      </c>
      <c r="I37" s="101" t="n">
        <f aca="false">IF(OR(E37&gt;='Method &amp; Notes'!$B$13,H37=1),1,IF(E37&gt;='Method &amp; Notes'!$B$14,2,3))</f>
        <v>3</v>
      </c>
      <c r="J37" s="101" t="n">
        <f aca="false">RANK(E37,$E$5:$E$58)</f>
        <v>32</v>
      </c>
      <c r="K37" s="33" t="s">
        <v>269</v>
      </c>
      <c r="L37" s="33" t="s">
        <v>159</v>
      </c>
      <c r="M37" s="33" t="s">
        <v>213</v>
      </c>
      <c r="N37" s="102" t="s">
        <v>2442</v>
      </c>
      <c r="O37" s="102" t="s">
        <v>2442</v>
      </c>
      <c r="P37" s="33"/>
    </row>
    <row r="38" customFormat="false" ht="22.35" hidden="false" customHeight="false" outlineLevel="0" collapsed="false">
      <c r="A38" s="33" t="s">
        <v>2501</v>
      </c>
      <c r="B38" s="109" t="s">
        <v>8</v>
      </c>
      <c r="C38" s="33" t="s">
        <v>48</v>
      </c>
      <c r="D38" s="33" t="s">
        <v>106</v>
      </c>
      <c r="E38" s="100" t="n">
        <v>210</v>
      </c>
      <c r="F38" s="33" t="s">
        <v>2440</v>
      </c>
      <c r="G38" s="33" t="s">
        <v>2502</v>
      </c>
      <c r="H38" s="33" t="n">
        <v>2</v>
      </c>
      <c r="I38" s="101" t="n">
        <f aca="false">IF(OR(E38&gt;='Method &amp; Notes'!$B$13,H38=1),1,IF(E38&gt;='Method &amp; Notes'!$B$14,2,3))</f>
        <v>3</v>
      </c>
      <c r="J38" s="101" t="n">
        <f aca="false">RANK(E38,$E$5:$E$58)</f>
        <v>32</v>
      </c>
      <c r="K38" s="33" t="s">
        <v>270</v>
      </c>
      <c r="L38" s="33" t="s">
        <v>160</v>
      </c>
      <c r="M38" s="33" t="s">
        <v>214</v>
      </c>
      <c r="N38" s="102" t="s">
        <v>2442</v>
      </c>
      <c r="O38" s="102" t="s">
        <v>2442</v>
      </c>
      <c r="P38" s="33"/>
    </row>
    <row r="39" customFormat="false" ht="22.35" hidden="false" customHeight="false" outlineLevel="0" collapsed="false">
      <c r="A39" s="33" t="s">
        <v>2503</v>
      </c>
      <c r="B39" s="114" t="s">
        <v>13</v>
      </c>
      <c r="C39" s="33" t="s">
        <v>49</v>
      </c>
      <c r="D39" s="33" t="s">
        <v>107</v>
      </c>
      <c r="E39" s="100" t="n">
        <v>210</v>
      </c>
      <c r="F39" s="33" t="s">
        <v>2440</v>
      </c>
      <c r="G39" s="33" t="s">
        <v>2504</v>
      </c>
      <c r="H39" s="33" t="n">
        <v>2</v>
      </c>
      <c r="I39" s="101" t="n">
        <f aca="false">IF(OR(E39&gt;='Method &amp; Notes'!$B$13,H39=1),1,IF(E39&gt;='Method &amp; Notes'!$B$14,2,3))</f>
        <v>3</v>
      </c>
      <c r="J39" s="101" t="n">
        <f aca="false">RANK(E39,$E$5:$E$58)</f>
        <v>32</v>
      </c>
      <c r="K39" s="33" t="s">
        <v>271</v>
      </c>
      <c r="L39" s="33" t="s">
        <v>161</v>
      </c>
      <c r="M39" s="33" t="s">
        <v>215</v>
      </c>
      <c r="N39" s="102" t="s">
        <v>2442</v>
      </c>
      <c r="O39" s="102" t="s">
        <v>2442</v>
      </c>
      <c r="P39" s="33"/>
    </row>
    <row r="40" customFormat="false" ht="22.35" hidden="false" customHeight="false" outlineLevel="0" collapsed="false">
      <c r="A40" s="33" t="s">
        <v>2505</v>
      </c>
      <c r="B40" s="110" t="s">
        <v>9</v>
      </c>
      <c r="C40" s="33" t="s">
        <v>50</v>
      </c>
      <c r="D40" s="33" t="s">
        <v>108</v>
      </c>
      <c r="E40" s="100" t="n">
        <v>210</v>
      </c>
      <c r="F40" s="33" t="s">
        <v>2440</v>
      </c>
      <c r="G40" s="33" t="s">
        <v>2506</v>
      </c>
      <c r="H40" s="33" t="n">
        <v>3</v>
      </c>
      <c r="I40" s="101" t="n">
        <f aca="false">IF(OR(E40&gt;='Method &amp; Notes'!$B$13,H40=1),1,IF(E40&gt;='Method &amp; Notes'!$B$14,2,3))</f>
        <v>3</v>
      </c>
      <c r="J40" s="101" t="n">
        <f aca="false">RANK(E40,$E$5:$E$58)</f>
        <v>32</v>
      </c>
      <c r="K40" s="33" t="s">
        <v>272</v>
      </c>
      <c r="L40" s="33" t="s">
        <v>162</v>
      </c>
      <c r="M40" s="33" t="s">
        <v>216</v>
      </c>
      <c r="N40" s="102" t="s">
        <v>2442</v>
      </c>
      <c r="O40" s="102" t="s">
        <v>2442</v>
      </c>
      <c r="P40" s="33"/>
    </row>
    <row r="41" customFormat="false" ht="22.35" hidden="false" customHeight="false" outlineLevel="0" collapsed="false">
      <c r="A41" s="33" t="s">
        <v>2507</v>
      </c>
      <c r="B41" s="110" t="s">
        <v>9</v>
      </c>
      <c r="C41" s="33" t="s">
        <v>51</v>
      </c>
      <c r="D41" s="33" t="s">
        <v>109</v>
      </c>
      <c r="E41" s="100" t="n">
        <v>210</v>
      </c>
      <c r="F41" s="33" t="s">
        <v>2440</v>
      </c>
      <c r="G41" s="33" t="s">
        <v>2446</v>
      </c>
      <c r="H41" s="33"/>
      <c r="I41" s="101" t="n">
        <f aca="false">IF(OR(E41&gt;='Method &amp; Notes'!$B$13,H41=1),1,IF(E41&gt;='Method &amp; Notes'!$B$14,2,3))</f>
        <v>3</v>
      </c>
      <c r="J41" s="101" t="n">
        <f aca="false">RANK(E41,$E$5:$E$58)</f>
        <v>32</v>
      </c>
      <c r="K41" s="33" t="s">
        <v>273</v>
      </c>
      <c r="L41" s="33" t="s">
        <v>163</v>
      </c>
      <c r="M41" s="33" t="s">
        <v>217</v>
      </c>
      <c r="N41" s="102" t="s">
        <v>2442</v>
      </c>
      <c r="O41" s="102" t="s">
        <v>2442</v>
      </c>
      <c r="P41" s="33" t="s">
        <v>566</v>
      </c>
    </row>
    <row r="42" customFormat="false" ht="22.35" hidden="false" customHeight="false" outlineLevel="0" collapsed="false">
      <c r="A42" s="33" t="s">
        <v>2508</v>
      </c>
      <c r="B42" s="104" t="s">
        <v>3</v>
      </c>
      <c r="C42" s="33" t="s">
        <v>52</v>
      </c>
      <c r="D42" s="33" t="s">
        <v>110</v>
      </c>
      <c r="E42" s="100" t="n">
        <v>170</v>
      </c>
      <c r="F42" s="33" t="s">
        <v>2440</v>
      </c>
      <c r="G42" s="33" t="s">
        <v>2509</v>
      </c>
      <c r="H42" s="33" t="n">
        <v>2</v>
      </c>
      <c r="I42" s="101" t="n">
        <f aca="false">IF(OR(E42&gt;='Method &amp; Notes'!$B$13,H42=1),1,IF(E42&gt;='Method &amp; Notes'!$B$14,2,3))</f>
        <v>3</v>
      </c>
      <c r="J42" s="101" t="n">
        <f aca="false">RANK(E42,$E$5:$E$58)</f>
        <v>38</v>
      </c>
      <c r="K42" s="33" t="s">
        <v>274</v>
      </c>
      <c r="L42" s="33" t="s">
        <v>164</v>
      </c>
      <c r="M42" s="33" t="s">
        <v>218</v>
      </c>
      <c r="N42" s="102" t="s">
        <v>2442</v>
      </c>
      <c r="O42" s="102" t="s">
        <v>2442</v>
      </c>
      <c r="P42" s="33"/>
    </row>
    <row r="43" customFormat="false" ht="22.35" hidden="false" customHeight="false" outlineLevel="0" collapsed="false">
      <c r="A43" s="33" t="s">
        <v>2510</v>
      </c>
      <c r="B43" s="104" t="s">
        <v>3</v>
      </c>
      <c r="C43" s="33" t="s">
        <v>53</v>
      </c>
      <c r="D43" s="33" t="s">
        <v>111</v>
      </c>
      <c r="E43" s="100" t="n">
        <v>170</v>
      </c>
      <c r="F43" s="33" t="s">
        <v>2440</v>
      </c>
      <c r="G43" s="33" t="s">
        <v>2446</v>
      </c>
      <c r="H43" s="33"/>
      <c r="I43" s="101" t="n">
        <f aca="false">IF(OR(E43&gt;='Method &amp; Notes'!$B$13,H43=1),1,IF(E43&gt;='Method &amp; Notes'!$B$14,2,3))</f>
        <v>3</v>
      </c>
      <c r="J43" s="101" t="n">
        <f aca="false">RANK(E43,$E$5:$E$58)</f>
        <v>38</v>
      </c>
      <c r="K43" s="33" t="s">
        <v>275</v>
      </c>
      <c r="L43" s="33" t="s">
        <v>165</v>
      </c>
      <c r="M43" s="33" t="s">
        <v>219</v>
      </c>
      <c r="N43" s="102" t="s">
        <v>2442</v>
      </c>
      <c r="O43" s="102" t="s">
        <v>2442</v>
      </c>
      <c r="P43" s="33" t="s">
        <v>567</v>
      </c>
    </row>
    <row r="44" customFormat="false" ht="22.35" hidden="false" customHeight="false" outlineLevel="0" collapsed="false">
      <c r="A44" s="33" t="s">
        <v>2511</v>
      </c>
      <c r="B44" s="104" t="s">
        <v>3</v>
      </c>
      <c r="C44" s="33" t="s">
        <v>54</v>
      </c>
      <c r="D44" s="33" t="s">
        <v>112</v>
      </c>
      <c r="E44" s="100" t="n">
        <v>170</v>
      </c>
      <c r="F44" s="33" t="s">
        <v>2440</v>
      </c>
      <c r="G44" s="33" t="s">
        <v>2512</v>
      </c>
      <c r="H44" s="33" t="n">
        <v>2</v>
      </c>
      <c r="I44" s="101" t="n">
        <f aca="false">IF(OR(E44&gt;='Method &amp; Notes'!$B$13,H44=1),1,IF(E44&gt;='Method &amp; Notes'!$B$14,2,3))</f>
        <v>3</v>
      </c>
      <c r="J44" s="101" t="n">
        <f aca="false">RANK(E44,$E$5:$E$58)</f>
        <v>38</v>
      </c>
      <c r="K44" s="33" t="s">
        <v>276</v>
      </c>
      <c r="L44" s="33" t="s">
        <v>166</v>
      </c>
      <c r="M44" s="33" t="s">
        <v>220</v>
      </c>
      <c r="N44" s="102" t="s">
        <v>2442</v>
      </c>
      <c r="O44" s="102" t="s">
        <v>2442</v>
      </c>
      <c r="P44" s="33" t="s">
        <v>568</v>
      </c>
    </row>
    <row r="45" customFormat="false" ht="22.35" hidden="false" customHeight="false" outlineLevel="0" collapsed="false">
      <c r="A45" s="33" t="s">
        <v>2513</v>
      </c>
      <c r="B45" s="108" t="s">
        <v>7</v>
      </c>
      <c r="C45" s="33" t="s">
        <v>55</v>
      </c>
      <c r="D45" s="33" t="s">
        <v>113</v>
      </c>
      <c r="E45" s="100" t="n">
        <v>170</v>
      </c>
      <c r="F45" s="33" t="s">
        <v>2440</v>
      </c>
      <c r="G45" s="33" t="s">
        <v>2514</v>
      </c>
      <c r="H45" s="33" t="n">
        <v>2</v>
      </c>
      <c r="I45" s="101" t="n">
        <f aca="false">IF(OR(E45&gt;='Method &amp; Notes'!$B$13,H45=1),1,IF(E45&gt;='Method &amp; Notes'!$B$14,2,3))</f>
        <v>3</v>
      </c>
      <c r="J45" s="101" t="n">
        <f aca="false">RANK(E45,$E$5:$E$58)</f>
        <v>38</v>
      </c>
      <c r="K45" s="33" t="s">
        <v>277</v>
      </c>
      <c r="L45" s="33" t="s">
        <v>55</v>
      </c>
      <c r="M45" s="33" t="s">
        <v>221</v>
      </c>
      <c r="N45" s="102" t="s">
        <v>2442</v>
      </c>
      <c r="O45" s="102" t="s">
        <v>2442</v>
      </c>
      <c r="P45" s="33" t="s">
        <v>569</v>
      </c>
    </row>
    <row r="46" customFormat="false" ht="22.35" hidden="false" customHeight="false" outlineLevel="0" collapsed="false">
      <c r="A46" s="33" t="s">
        <v>2515</v>
      </c>
      <c r="B46" s="109" t="s">
        <v>8</v>
      </c>
      <c r="C46" s="33" t="s">
        <v>56</v>
      </c>
      <c r="D46" s="33" t="s">
        <v>114</v>
      </c>
      <c r="E46" s="100" t="n">
        <v>170</v>
      </c>
      <c r="F46" s="33" t="s">
        <v>2440</v>
      </c>
      <c r="G46" s="33" t="s">
        <v>2516</v>
      </c>
      <c r="H46" s="33" t="n">
        <v>3</v>
      </c>
      <c r="I46" s="101" t="n">
        <f aca="false">IF(OR(E46&gt;='Method &amp; Notes'!$B$13,H46=1),1,IF(E46&gt;='Method &amp; Notes'!$B$14,2,3))</f>
        <v>3</v>
      </c>
      <c r="J46" s="101" t="n">
        <f aca="false">RANK(E46,$E$5:$E$58)</f>
        <v>38</v>
      </c>
      <c r="K46" s="33" t="s">
        <v>278</v>
      </c>
      <c r="L46" s="33" t="s">
        <v>167</v>
      </c>
      <c r="M46" s="33" t="s">
        <v>222</v>
      </c>
      <c r="N46" s="102" t="s">
        <v>2442</v>
      </c>
      <c r="O46" s="102" t="s">
        <v>2442</v>
      </c>
      <c r="P46" s="33"/>
    </row>
    <row r="47" customFormat="false" ht="22.35" hidden="false" customHeight="false" outlineLevel="0" collapsed="false">
      <c r="A47" s="33" t="s">
        <v>2517</v>
      </c>
      <c r="B47" s="109" t="s">
        <v>8</v>
      </c>
      <c r="C47" s="33" t="s">
        <v>57</v>
      </c>
      <c r="D47" s="33" t="s">
        <v>115</v>
      </c>
      <c r="E47" s="100" t="n">
        <v>170</v>
      </c>
      <c r="F47" s="33" t="s">
        <v>2440</v>
      </c>
      <c r="G47" s="33" t="s">
        <v>2446</v>
      </c>
      <c r="H47" s="33"/>
      <c r="I47" s="101" t="n">
        <f aca="false">IF(OR(E47&gt;='Method &amp; Notes'!$B$13,H47=1),1,IF(E47&gt;='Method &amp; Notes'!$B$14,2,3))</f>
        <v>3</v>
      </c>
      <c r="J47" s="101" t="n">
        <f aca="false">RANK(E47,$E$5:$E$58)</f>
        <v>38</v>
      </c>
      <c r="K47" s="33" t="s">
        <v>279</v>
      </c>
      <c r="L47" s="33" t="s">
        <v>168</v>
      </c>
      <c r="M47" s="33" t="s">
        <v>223</v>
      </c>
      <c r="N47" s="102" t="s">
        <v>2442</v>
      </c>
      <c r="O47" s="102" t="s">
        <v>2442</v>
      </c>
      <c r="P47" s="33" t="s">
        <v>570</v>
      </c>
    </row>
    <row r="48" customFormat="false" ht="22.35" hidden="false" customHeight="false" outlineLevel="0" collapsed="false">
      <c r="A48" s="33" t="s">
        <v>2518</v>
      </c>
      <c r="B48" s="107" t="s">
        <v>6</v>
      </c>
      <c r="C48" s="33" t="s">
        <v>58</v>
      </c>
      <c r="D48" s="33" t="s">
        <v>116</v>
      </c>
      <c r="E48" s="100" t="n">
        <v>170</v>
      </c>
      <c r="F48" s="33" t="s">
        <v>2440</v>
      </c>
      <c r="G48" s="33" t="s">
        <v>2519</v>
      </c>
      <c r="H48" s="33" t="n">
        <v>2</v>
      </c>
      <c r="I48" s="101" t="n">
        <f aca="false">IF(OR(E48&gt;='Method &amp; Notes'!$B$13,H48=1),1,IF(E48&gt;='Method &amp; Notes'!$B$14,2,3))</f>
        <v>3</v>
      </c>
      <c r="J48" s="101" t="n">
        <f aca="false">RANK(E48,$E$5:$E$58)</f>
        <v>38</v>
      </c>
      <c r="K48" s="33" t="s">
        <v>280</v>
      </c>
      <c r="L48" s="33" t="s">
        <v>169</v>
      </c>
      <c r="M48" s="33" t="s">
        <v>224</v>
      </c>
      <c r="N48" s="102" t="s">
        <v>2442</v>
      </c>
      <c r="O48" s="102" t="s">
        <v>2442</v>
      </c>
      <c r="P48" s="33"/>
    </row>
    <row r="49" customFormat="false" ht="22.35" hidden="false" customHeight="false" outlineLevel="0" collapsed="false">
      <c r="A49" s="33" t="s">
        <v>2520</v>
      </c>
      <c r="B49" s="107" t="s">
        <v>6</v>
      </c>
      <c r="C49" s="33" t="s">
        <v>59</v>
      </c>
      <c r="D49" s="33" t="s">
        <v>117</v>
      </c>
      <c r="E49" s="100" t="n">
        <v>170</v>
      </c>
      <c r="F49" s="33" t="s">
        <v>2440</v>
      </c>
      <c r="G49" s="33" t="s">
        <v>2521</v>
      </c>
      <c r="H49" s="33" t="n">
        <v>2</v>
      </c>
      <c r="I49" s="101" t="n">
        <f aca="false">IF(OR(E49&gt;='Method &amp; Notes'!$B$13,H49=1),1,IF(E49&gt;='Method &amp; Notes'!$B$14,2,3))</f>
        <v>3</v>
      </c>
      <c r="J49" s="101" t="n">
        <f aca="false">RANK(E49,$E$5:$E$58)</f>
        <v>38</v>
      </c>
      <c r="K49" s="33" t="s">
        <v>281</v>
      </c>
      <c r="L49" s="33" t="s">
        <v>170</v>
      </c>
      <c r="M49" s="33" t="s">
        <v>225</v>
      </c>
      <c r="N49" s="102" t="s">
        <v>2442</v>
      </c>
      <c r="O49" s="102" t="s">
        <v>2442</v>
      </c>
      <c r="P49" s="33"/>
    </row>
    <row r="50" customFormat="false" ht="22.35" hidden="false" customHeight="false" outlineLevel="0" collapsed="false">
      <c r="A50" s="33" t="s">
        <v>2522</v>
      </c>
      <c r="B50" s="114" t="s">
        <v>13</v>
      </c>
      <c r="C50" s="33" t="s">
        <v>60</v>
      </c>
      <c r="D50" s="33" t="s">
        <v>118</v>
      </c>
      <c r="E50" s="100" t="n">
        <v>170</v>
      </c>
      <c r="F50" s="33" t="s">
        <v>2440</v>
      </c>
      <c r="G50" s="33" t="s">
        <v>2523</v>
      </c>
      <c r="H50" s="33" t="n">
        <v>3</v>
      </c>
      <c r="I50" s="101" t="n">
        <f aca="false">IF(OR(E50&gt;='Method &amp; Notes'!$B$13,H50=1),1,IF(E50&gt;='Method &amp; Notes'!$B$14,2,3))</f>
        <v>3</v>
      </c>
      <c r="J50" s="101" t="n">
        <f aca="false">RANK(E50,$E$5:$E$58)</f>
        <v>38</v>
      </c>
      <c r="K50" s="33" t="s">
        <v>282</v>
      </c>
      <c r="L50" s="33" t="s">
        <v>171</v>
      </c>
      <c r="M50" s="33" t="s">
        <v>226</v>
      </c>
      <c r="N50" s="102" t="s">
        <v>2442</v>
      </c>
      <c r="O50" s="102" t="s">
        <v>2442</v>
      </c>
      <c r="P50" s="33"/>
    </row>
    <row r="51" customFormat="false" ht="22.35" hidden="false" customHeight="false" outlineLevel="0" collapsed="false">
      <c r="A51" s="33" t="s">
        <v>2524</v>
      </c>
      <c r="B51" s="110" t="s">
        <v>9</v>
      </c>
      <c r="C51" s="33" t="s">
        <v>61</v>
      </c>
      <c r="D51" s="33" t="s">
        <v>119</v>
      </c>
      <c r="E51" s="100" t="n">
        <v>170</v>
      </c>
      <c r="F51" s="33" t="s">
        <v>2440</v>
      </c>
      <c r="G51" s="33" t="s">
        <v>2525</v>
      </c>
      <c r="H51" s="33" t="n">
        <v>2</v>
      </c>
      <c r="I51" s="101" t="n">
        <f aca="false">IF(OR(E51&gt;='Method &amp; Notes'!$B$13,H51=1),1,IF(E51&gt;='Method &amp; Notes'!$B$14,2,3))</f>
        <v>3</v>
      </c>
      <c r="J51" s="101" t="n">
        <f aca="false">RANK(E51,$E$5:$E$58)</f>
        <v>38</v>
      </c>
      <c r="K51" s="33" t="s">
        <v>283</v>
      </c>
      <c r="L51" s="33" t="s">
        <v>172</v>
      </c>
      <c r="M51" s="33" t="s">
        <v>227</v>
      </c>
      <c r="N51" s="102" t="s">
        <v>2442</v>
      </c>
      <c r="O51" s="102" t="s">
        <v>2442</v>
      </c>
      <c r="P51" s="33"/>
    </row>
    <row r="52" customFormat="false" ht="22.35" hidden="false" customHeight="false" outlineLevel="0" collapsed="false">
      <c r="A52" s="33" t="s">
        <v>2526</v>
      </c>
      <c r="B52" s="103" t="s">
        <v>2</v>
      </c>
      <c r="C52" s="33" t="s">
        <v>62</v>
      </c>
      <c r="D52" s="33" t="s">
        <v>120</v>
      </c>
      <c r="E52" s="100" t="n">
        <v>170</v>
      </c>
      <c r="F52" s="33" t="s">
        <v>2440</v>
      </c>
      <c r="G52" s="33" t="s">
        <v>2446</v>
      </c>
      <c r="H52" s="33"/>
      <c r="I52" s="101" t="n">
        <f aca="false">IF(OR(E52&gt;='Method &amp; Notes'!$B$13,H52=1),1,IF(E52&gt;='Method &amp; Notes'!$B$14,2,3))</f>
        <v>3</v>
      </c>
      <c r="J52" s="101" t="n">
        <f aca="false">RANK(E52,$E$5:$E$58)</f>
        <v>38</v>
      </c>
      <c r="K52" s="33" t="s">
        <v>284</v>
      </c>
      <c r="L52" s="33" t="s">
        <v>173</v>
      </c>
      <c r="M52" s="33" t="s">
        <v>228</v>
      </c>
      <c r="N52" s="102" t="s">
        <v>2442</v>
      </c>
      <c r="O52" s="102" t="s">
        <v>2442</v>
      </c>
      <c r="P52" s="33" t="s">
        <v>571</v>
      </c>
    </row>
    <row r="53" customFormat="false" ht="22.35" hidden="false" customHeight="false" outlineLevel="0" collapsed="false">
      <c r="A53" s="33" t="s">
        <v>2527</v>
      </c>
      <c r="B53" s="104" t="s">
        <v>3</v>
      </c>
      <c r="C53" s="33" t="s">
        <v>63</v>
      </c>
      <c r="D53" s="33" t="s">
        <v>121</v>
      </c>
      <c r="E53" s="100" t="n">
        <v>140</v>
      </c>
      <c r="F53" s="33" t="s">
        <v>2440</v>
      </c>
      <c r="G53" s="33" t="s">
        <v>2446</v>
      </c>
      <c r="H53" s="33"/>
      <c r="I53" s="101" t="n">
        <f aca="false">IF(OR(E53&gt;='Method &amp; Notes'!$B$13,H53=1),1,IF(E53&gt;='Method &amp; Notes'!$B$14,2,3))</f>
        <v>3</v>
      </c>
      <c r="J53" s="101" t="n">
        <f aca="false">RANK(E53,$E$5:$E$58)</f>
        <v>49</v>
      </c>
      <c r="K53" s="33" t="s">
        <v>285</v>
      </c>
      <c r="L53" s="33" t="s">
        <v>174</v>
      </c>
      <c r="M53" s="33" t="s">
        <v>229</v>
      </c>
      <c r="N53" s="102" t="s">
        <v>2442</v>
      </c>
      <c r="O53" s="102" t="s">
        <v>2442</v>
      </c>
      <c r="P53" s="33" t="s">
        <v>572</v>
      </c>
    </row>
    <row r="54" customFormat="false" ht="22.35" hidden="false" customHeight="false" outlineLevel="0" collapsed="false">
      <c r="A54" s="33" t="s">
        <v>2528</v>
      </c>
      <c r="B54" s="111" t="s">
        <v>10</v>
      </c>
      <c r="C54" s="33" t="s">
        <v>64</v>
      </c>
      <c r="D54" s="33" t="s">
        <v>122</v>
      </c>
      <c r="E54" s="100" t="n">
        <v>140</v>
      </c>
      <c r="F54" s="33" t="s">
        <v>2440</v>
      </c>
      <c r="G54" s="33" t="s">
        <v>2529</v>
      </c>
      <c r="H54" s="33" t="n">
        <v>2</v>
      </c>
      <c r="I54" s="101" t="n">
        <f aca="false">IF(OR(E54&gt;='Method &amp; Notes'!$B$13,H54=1),1,IF(E54&gt;='Method &amp; Notes'!$B$14,2,3))</f>
        <v>3</v>
      </c>
      <c r="J54" s="101" t="n">
        <f aca="false">RANK(E54,$E$5:$E$58)</f>
        <v>49</v>
      </c>
      <c r="K54" s="33" t="s">
        <v>286</v>
      </c>
      <c r="L54" s="33" t="s">
        <v>175</v>
      </c>
      <c r="M54" s="33" t="s">
        <v>230</v>
      </c>
      <c r="N54" s="102" t="s">
        <v>2442</v>
      </c>
      <c r="O54" s="102" t="s">
        <v>2442</v>
      </c>
      <c r="P54" s="33"/>
    </row>
    <row r="55" customFormat="false" ht="22.35" hidden="false" customHeight="false" outlineLevel="0" collapsed="false">
      <c r="A55" s="33" t="s">
        <v>2530</v>
      </c>
      <c r="B55" s="109" t="s">
        <v>8</v>
      </c>
      <c r="C55" s="33" t="s">
        <v>65</v>
      </c>
      <c r="D55" s="33" t="s">
        <v>123</v>
      </c>
      <c r="E55" s="100" t="n">
        <v>140</v>
      </c>
      <c r="F55" s="33" t="s">
        <v>2440</v>
      </c>
      <c r="G55" s="33" t="s">
        <v>2446</v>
      </c>
      <c r="H55" s="33"/>
      <c r="I55" s="101" t="n">
        <f aca="false">IF(OR(E55&gt;='Method &amp; Notes'!$B$13,H55=1),1,IF(E55&gt;='Method &amp; Notes'!$B$14,2,3))</f>
        <v>3</v>
      </c>
      <c r="J55" s="101" t="n">
        <f aca="false">RANK(E55,$E$5:$E$58)</f>
        <v>49</v>
      </c>
      <c r="K55" s="33" t="s">
        <v>287</v>
      </c>
      <c r="L55" s="33" t="s">
        <v>65</v>
      </c>
      <c r="M55" s="33" t="s">
        <v>231</v>
      </c>
      <c r="N55" s="102" t="s">
        <v>2442</v>
      </c>
      <c r="O55" s="102" t="s">
        <v>2442</v>
      </c>
      <c r="P55" s="33" t="s">
        <v>573</v>
      </c>
    </row>
    <row r="56" customFormat="false" ht="22.35" hidden="false" customHeight="false" outlineLevel="0" collapsed="false">
      <c r="A56" s="33" t="s">
        <v>2531</v>
      </c>
      <c r="B56" s="114" t="s">
        <v>13</v>
      </c>
      <c r="C56" s="33" t="s">
        <v>66</v>
      </c>
      <c r="D56" s="33" t="s">
        <v>124</v>
      </c>
      <c r="E56" s="100" t="n">
        <v>140</v>
      </c>
      <c r="F56" s="33" t="s">
        <v>2440</v>
      </c>
      <c r="G56" s="33" t="s">
        <v>2446</v>
      </c>
      <c r="H56" s="33"/>
      <c r="I56" s="101" t="n">
        <f aca="false">IF(OR(E56&gt;='Method &amp; Notes'!$B$13,H56=1),1,IF(E56&gt;='Method &amp; Notes'!$B$14,2,3))</f>
        <v>3</v>
      </c>
      <c r="J56" s="101" t="n">
        <f aca="false">RANK(E56,$E$5:$E$58)</f>
        <v>49</v>
      </c>
      <c r="K56" s="33" t="s">
        <v>288</v>
      </c>
      <c r="L56" s="33" t="s">
        <v>176</v>
      </c>
      <c r="M56" s="33" t="s">
        <v>232</v>
      </c>
      <c r="N56" s="102" t="s">
        <v>2442</v>
      </c>
      <c r="O56" s="102" t="s">
        <v>2442</v>
      </c>
      <c r="P56" s="33" t="s">
        <v>574</v>
      </c>
    </row>
    <row r="57" customFormat="false" ht="22.35" hidden="false" customHeight="false" outlineLevel="0" collapsed="false">
      <c r="A57" s="33" t="s">
        <v>2532</v>
      </c>
      <c r="B57" s="99" t="s">
        <v>1</v>
      </c>
      <c r="C57" s="33" t="s">
        <v>67</v>
      </c>
      <c r="D57" s="33" t="s">
        <v>125</v>
      </c>
      <c r="E57" s="100" t="n">
        <v>110</v>
      </c>
      <c r="F57" s="33" t="s">
        <v>2440</v>
      </c>
      <c r="G57" s="33" t="s">
        <v>2533</v>
      </c>
      <c r="H57" s="33" t="n">
        <v>2</v>
      </c>
      <c r="I57" s="101" t="n">
        <f aca="false">IF(OR(E57&gt;='Method &amp; Notes'!$B$13,H57=1),1,IF(E57&gt;='Method &amp; Notes'!$B$14,2,3))</f>
        <v>3</v>
      </c>
      <c r="J57" s="101" t="n">
        <f aca="false">RANK(E57,$E$5:$E$58)</f>
        <v>53</v>
      </c>
      <c r="K57" s="33" t="s">
        <v>289</v>
      </c>
      <c r="L57" s="33" t="s">
        <v>177</v>
      </c>
      <c r="M57" s="33" t="s">
        <v>233</v>
      </c>
      <c r="N57" s="102" t="s">
        <v>2442</v>
      </c>
      <c r="O57" s="102" t="s">
        <v>2442</v>
      </c>
      <c r="P57" s="33"/>
    </row>
    <row r="58" customFormat="false" ht="22.35" hidden="false" customHeight="false" outlineLevel="0" collapsed="false">
      <c r="A58" s="33" t="s">
        <v>2534</v>
      </c>
      <c r="B58" s="106" t="s">
        <v>5</v>
      </c>
      <c r="C58" s="33" t="s">
        <v>68</v>
      </c>
      <c r="D58" s="33" t="s">
        <v>126</v>
      </c>
      <c r="E58" s="100" t="n">
        <v>110</v>
      </c>
      <c r="F58" s="33" t="s">
        <v>2440</v>
      </c>
      <c r="G58" s="33" t="s">
        <v>2535</v>
      </c>
      <c r="H58" s="33" t="n">
        <v>2</v>
      </c>
      <c r="I58" s="101" t="n">
        <f aca="false">IF(OR(E58&gt;='Method &amp; Notes'!$B$13,H58=1),1,IF(E58&gt;='Method &amp; Notes'!$B$14,2,3))</f>
        <v>3</v>
      </c>
      <c r="J58" s="101" t="n">
        <f aca="false">RANK(E58,$E$5:$E$58)</f>
        <v>53</v>
      </c>
      <c r="K58" s="33" t="s">
        <v>290</v>
      </c>
      <c r="L58" s="33" t="s">
        <v>178</v>
      </c>
      <c r="M58" s="33" t="s">
        <v>234</v>
      </c>
      <c r="N58" s="102" t="s">
        <v>2442</v>
      </c>
      <c r="O58" s="102" t="s">
        <v>2442</v>
      </c>
      <c r="P58" s="33"/>
    </row>
    <row r="60" customFormat="false" ht="15" hidden="false" customHeight="false" outlineLevel="0" collapsed="false">
      <c r="D60" s="115" t="s">
        <v>2536</v>
      </c>
      <c r="E60" s="116" t="n">
        <f aca="false">SUM(E5:E58)</f>
        <v>19300</v>
      </c>
    </row>
    <row r="61" customFormat="false" ht="15" hidden="false" customHeight="false" outlineLevel="0" collapsed="false">
      <c r="D61" s="115" t="s">
        <v>2537</v>
      </c>
      <c r="E61" s="115" t="n">
        <f aca="false">COUNTIF(I5:I58,1)</f>
        <v>9</v>
      </c>
      <c r="F61" s="115" t="n">
        <f aca="false">COUNTIF(I5:I58,2)</f>
        <v>23</v>
      </c>
      <c r="G61" s="115" t="n">
        <f aca="false">COUNTIF(I5:I58,3)</f>
        <v>22</v>
      </c>
    </row>
  </sheetData>
  <autoFilter ref="A4:P58"/>
  <dataValidations count="2">
    <dataValidation allowBlank="true" errorStyle="stop" operator="between" showDropDown="false" showErrorMessage="false" showInputMessage="false" sqref="N5:N58" type="list">
      <formula1>"Not started,Writing,Published"</formula1>
      <formula2>0</formula2>
    </dataValidation>
    <dataValidation allowBlank="true" errorStyle="stop" operator="between" showDropDown="false" showErrorMessage="false" showInputMessage="false" sqref="O5:O58" type="list">
      <formula1>"Not started,Scripted,Recorded,Published"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2026-10-14T16:21:04Z</dcterms:created>
  <dc:creator>openpyxl</dc:creator>
  <dc:description/>
  <dc:language>en-US</dc:language>
  <cp:lastModifiedBy/>
  <dcterms:modified xsi:type="dcterms:W3CDTF">2026-10-14T16:21:04Z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