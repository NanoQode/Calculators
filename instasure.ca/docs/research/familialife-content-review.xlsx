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Knowledge Content" sheetId="1" state="visible" r:id="rId3"/>
    <sheet name="Topics by Product" sheetId="2" state="visible" r:id="rId4"/>
    <sheet name="Site Review" sheetId="3" state="visible" r:id="rId5"/>
    <sheet name="URL Inventory" sheetId="4" state="visible" r:id="rId6"/>
    <sheet name="Method &amp; Notes" sheetId="5" state="visible" r:id="rId7"/>
  </sheets>
  <definedNames>
    <definedName function="false" hidden="true" localSheetId="0" name="_xlnm._FilterDatabase" vbProcedure="false">'Knowledge Content'!$A$4:$P$33</definedName>
    <definedName function="false" hidden="true" localSheetId="3" name="_xlnm._FilterDatabase" vbProcedure="false">'URL Inventory'!$A$4:$I$44</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K4" authorId="0">
      <text>
        <r>
          <rPr>
            <sz val="10"/>
            <rFont val="Arial"/>
            <family val="2"/>
          </rPr>
          <t xml:space="preserve">Page words minus the site template (menus, footer, forms): about 1,174 words, measured on a quote-form page that holds only the template. Assumption in 'Method &amp; Notes'!B6.</t>
        </r>
      </text>
    </comment>
  </commentList>
</comments>
</file>

<file path=xl/sharedStrings.xml><?xml version="1.0" encoding="utf-8"?>
<sst xmlns="http://schemas.openxmlformats.org/spreadsheetml/2006/main" count="1450" uniqueCount="931">
  <si>
    <t xml:space="preserve">familialife.ca: knowledge-based content that creates value</t>
  </si>
  <si>
    <t xml:space="preserve">Every page that teaches the reader something (guides, articles, product explainers). Outlines from Internet Archive snapshots (see 'Method &amp; Notes'); three pages known from search results only.</t>
  </si>
  <si>
    <t xml:space="preserve">#</t>
  </si>
  <si>
    <t xml:space="preserve">Content type</t>
  </si>
  <si>
    <t xml:space="preserve">Product / topic</t>
  </si>
  <si>
    <t xml:space="preserve">Title (as published)</t>
  </si>
  <si>
    <t xml:space="preserve">URL</t>
  </si>
  <si>
    <t xml:space="preserve">What the reader learns (value created)</t>
  </si>
  <si>
    <t xml:space="preserve">Value devices</t>
  </si>
  <si>
    <t xml:space="preserve">Main sections</t>
  </si>
  <si>
    <t xml:space="preserve">Subheadings (count)</t>
  </si>
  <si>
    <t xml:space="preserve">Page words (incl. site template)</t>
  </si>
  <si>
    <t xml:space="preserve">Approx. article words</t>
  </si>
  <si>
    <t xml:space="preserve">Published</t>
  </si>
  <si>
    <t xml:space="preserve">Last updated</t>
  </si>
  <si>
    <t xml:space="preserve">Schema types</t>
  </si>
  <si>
    <t xml:space="preserve">Instasure equivalent</t>
  </si>
  <si>
    <t xml:space="preserve">Outline source</t>
  </si>
  <si>
    <t xml:space="preserve">Home page</t>
  </si>
  <si>
    <t xml:space="preserve">Brand &amp; home page</t>
  </si>
  <si>
    <t xml:space="preserve">Familia Life - Lowest Life Insurance Rates in Canada</t>
  </si>
  <si>
    <t xml:space="preserve">https://familialife.ca/</t>
  </si>
  <si>
    <t xml:space="preserve">Brand pitch: national brokers comparing Canadian insurers, with highlights for young families, final expense, high-risk and hard-to-insure clients, mortgage protection and fully remote (no face-to-face) service; client testimonials; latest articles.</t>
  </si>
  <si>
    <t xml:space="preserve">Cost and pricing factors</t>
  </si>
  <si>
    <t xml:space="preserve">Life Insurance is a sturdy umbrella - Often overlooked in fair weather, but priceless protection when life's storms hit. | Best Life Insurance Rates in Canada | Buying life insurance can seem like a perplexing puzzle | Read our latest</t>
  </si>
  <si>
    <t xml:space="preserve">2020-06-09</t>
  </si>
  <si>
    <t xml:space="preserve">2025-03-30</t>
  </si>
  <si>
    <t xml:space="preserve">Article, InsuranceAgency, Organization, Person, SearchAction, WebPage, WebSite</t>
  </si>
  <si>
    <t xml:space="preserve">Home page (instant estimates, desks, insurer scroller)</t>
  </si>
  <si>
    <t xml:space="preserve">Internet Archive snapshot 2025-04-18</t>
  </si>
  <si>
    <t xml:space="preserve">Product explainer page</t>
  </si>
  <si>
    <t xml:space="preserve">Term Life Insurance</t>
  </si>
  <si>
    <t xml:space="preserve">https://familialife.ca/term-life-insurance/</t>
  </si>
  <si>
    <t xml:space="preserve">What term life is in Canada, whether coverage that expires is a drawback, benefits and cost; quote call to action.</t>
  </si>
  <si>
    <t xml:space="preserve">Benefits / pros and cons, Cost and pricing factors</t>
  </si>
  <si>
    <t xml:space="preserve">2022-03-04</t>
  </si>
  <si>
    <t xml:space="preserve">2023-06-07</t>
  </si>
  <si>
    <t xml:space="preserve">Article, BreadcrumbList, InsuranceAgency, Organization, Person, WebPage, WebSite</t>
  </si>
  <si>
    <t xml:space="preserve">/term-life-insurance/ product page</t>
  </si>
  <si>
    <t xml:space="preserve">Internet Archive snapshot 2024-01-16</t>
  </si>
  <si>
    <t xml:space="preserve">Guide</t>
  </si>
  <si>
    <t xml:space="preserve">Everything about Term Life Insurance</t>
  </si>
  <si>
    <t xml:space="preserve">https://familialife.ca/everything-about-term-life-insurance/</t>
  </si>
  <si>
    <t xml:space="preserve">Types of term (decreasing, increasing, yearly renewable), who it suits (young families, homeowners, business owners), pros (affordability, simplicity, flexibility) and cons (temporary cover, no cash value, rising renewal premiums).</t>
  </si>
  <si>
    <t xml:space="preserve">Term Life Insurance 101. | What Is Term Life Insurance?</t>
  </si>
  <si>
    <t xml:space="preserve">2023-06-01</t>
  </si>
  <si>
    <t xml:space="preserve">BlogPosting, BreadcrumbList, InsuranceAgency, Organization, Person, WebPage, WebSite</t>
  </si>
  <si>
    <t xml:space="preserve">Partly: Term vs Whole Life Insurance in Canada (published); Types of Life Insurance in Canada (planned)</t>
  </si>
  <si>
    <t xml:space="preserve">Article</t>
  </si>
  <si>
    <t xml:space="preserve">What Happens at the End of Term Life Insurance?</t>
  </si>
  <si>
    <t xml:space="preserve">https://familialife.ca/what-happens-at-the-end-of-term-life-insurance/</t>
  </si>
  <si>
    <t xml:space="preserve">What happens when a term ends (policy ends, renewal, conversion), what to weigh (health, finances, affordability, estate), new term policy vs conversion vs letting it expire.</t>
  </si>
  <si>
    <t xml:space="preserve">The Term Ends – Now What? | Factors To Consider at the End of Your Term Life Insurance | Is A New Term Policy An Option? | Conversion to Permanent Life Insurance | Letting Your Term Life Insurance Expire</t>
  </si>
  <si>
    <t xml:space="preserve">2023-06-23</t>
  </si>
  <si>
    <t xml:space="preserve">2023-09-06</t>
  </si>
  <si>
    <t xml:space="preserve">Planned: What Happens When Term Life Insurance Expires?</t>
  </si>
  <si>
    <t xml:space="preserve">Permanent &amp; Whole Life</t>
  </si>
  <si>
    <t xml:space="preserve">Permanent Life Insurance</t>
  </si>
  <si>
    <t xml:space="preserve">https://familialife.ca/whole-life-insurance/</t>
  </si>
  <si>
    <t xml:space="preserve">What permanent life is, its types (whole, universal, variable), permanent vs term, and using permanent insurance as savings.</t>
  </si>
  <si>
    <t xml:space="preserve">Comparisons</t>
  </si>
  <si>
    <t xml:space="preserve">Permanent Life Insurance | Why Familia Life?</t>
  </si>
  <si>
    <t xml:space="preserve">2023-06-09</t>
  </si>
  <si>
    <t xml:space="preserve">/whole-life-insurance/ product page</t>
  </si>
  <si>
    <t xml:space="preserve">Everything about Permanent Life Insurance in Canada</t>
  </si>
  <si>
    <t xml:space="preserve">https://familialife.ca/everything-about-permanent-life-insurance/</t>
  </si>
  <si>
    <t xml:space="preserve">Definition and key features, types (whole, universal, Term 100) with benefits, advantages, permanent vs term comparison, no-medical permanent options, how much to buy, converting term to permanent.</t>
  </si>
  <si>
    <t xml:space="preserve">2 tables, Comparisons, Scenarios / examples, Benefits / pros and cons, Cost and pricing factors</t>
  </si>
  <si>
    <t xml:space="preserve">What is Permanent Life Insurance?</t>
  </si>
  <si>
    <t xml:space="preserve">2023-08-17</t>
  </si>
  <si>
    <t xml:space="preserve">2023-09-19</t>
  </si>
  <si>
    <t xml:space="preserve">Partly: Term vs Whole Life (published); Whole Life vs Universal Life (planned)</t>
  </si>
  <si>
    <t xml:space="preserve">Universal Life</t>
  </si>
  <si>
    <t xml:space="preserve">What is Universal Life Insurance and How Does it Work?</t>
  </si>
  <si>
    <t xml:space="preserve">https://familialife.ca/what-is-universal-life-insurance/</t>
  </si>
  <si>
    <t xml:space="preserve">How universal life works, the cash-value component, how it differs from other types, who it suits, tax implications and a step-by-step buying process.</t>
  </si>
  <si>
    <t xml:space="preserve">Steps / checklist, Underwriting explained</t>
  </si>
  <si>
    <t xml:space="preserve">The Basics of Universal Life Insurance | Understanding the Cash Value Component | Differentiating Universal Life Insurance from Other Types | Is Universal Life Insurance Right for You? | Tax Implications and the Purchase Process | Buying Universal Life Insurance: Step-by-Step</t>
  </si>
  <si>
    <t xml:space="preserve">2023-06-22</t>
  </si>
  <si>
    <t xml:space="preserve">2023-08-31</t>
  </si>
  <si>
    <t xml:space="preserve">Planned: Whole Life vs Universal Life; /life-insurance/universal-life/ service page</t>
  </si>
  <si>
    <t xml:space="preserve">Joint Life</t>
  </si>
  <si>
    <t xml:space="preserve">Joint Life Insurance vs Individual Life Insurance: A Comparative Analysis</t>
  </si>
  <si>
    <t xml:space="preserve">https://familialife.ca/what-is-joint-life/</t>
  </si>
  <si>
    <t xml:space="preserve">Individual vs joint life: features, first-to-die vs last-to-die, scenarios (couples, business partners, estate planning), term and permanent versions, case studies, pros and cons, joint underwriting (average age band), coverage and pricing, FAQ.</t>
  </si>
  <si>
    <t xml:space="preserve">FAQ, 1 table, Comparisons, Scenarios / examples, Benefits / pros and cons, Cost and pricing factors, Underwriting explained</t>
  </si>
  <si>
    <t xml:space="preserve">What is Individual Life Insurance? | What is Joint Life Insurance? | Key Differences | Comparative Analysis | Pros and Cons of Individual Life Insurance | Pros and Cons of Joint Life Insurance | Underwriting for Joint Life Insurance: A Deeper Dive | How Much Insurance Do You Need? | Quotes and Pricing</t>
  </si>
  <si>
    <t xml:space="preserve">2023-09-08</t>
  </si>
  <si>
    <t xml:space="preserve">Planned: Joint Life Insurance vs Two Separate Policies; /life-insurance/joint/ service page</t>
  </si>
  <si>
    <t xml:space="preserve">Internet Archive snapshot 2024-01-09</t>
  </si>
  <si>
    <t xml:space="preserve">No Medical Life Insurance</t>
  </si>
  <si>
    <t xml:space="preserve">No Medical Insurance</t>
  </si>
  <si>
    <t xml:space="preserve">https://familialife.ca/no-medical-insurance/</t>
  </si>
  <si>
    <t xml:space="preserve">What no-medical insurance is, how it works, its benefits and cost.</t>
  </si>
  <si>
    <t xml:space="preserve">/no-medical-life-insurance/ product page</t>
  </si>
  <si>
    <t xml:space="preserve">Internet Archive snapshot 2024-01-19</t>
  </si>
  <si>
    <t xml:space="preserve">Everything about No Medical Life Insurance</t>
  </si>
  <si>
    <t xml:space="preserve">https://familialife.ca/everything-about-no-medical-life-insurance/</t>
  </si>
  <si>
    <t xml:space="preserve">What no-medical life insurance is, benefits, who it suits (health conditions, seniors, speed, needle phobia, busy schedules), rate classes (standard, preferred, ratings) with a diabetic worked example, and simplified issue.</t>
  </si>
  <si>
    <t xml:space="preserve">Benefits / pros and cons, Cost and pricing factors, Underwriting explained</t>
  </si>
  <si>
    <t xml:space="preserve">No Medical Life Insurance 101. | What Is No Medical Life Insurance?</t>
  </si>
  <si>
    <t xml:space="preserve">2023-06-02</t>
  </si>
  <si>
    <t xml:space="preserve">Published: No-Medical Life Insurance: Simplified Issue vs Guaranteed Issue</t>
  </si>
  <si>
    <t xml:space="preserve">How To Get Life Insurance If You Have Health Issues</t>
  </si>
  <si>
    <t xml:space="preserve">https://familialife.ca/how-to-get-life-insurance-if-you-have-health-issues/</t>
  </si>
  <si>
    <t xml:space="preserve">Options for applicants with health issues: full disclosure, no-medical policies, working with an advisor, improving insurability and sizing coverage.</t>
  </si>
  <si>
    <t xml:space="preserve">Underwriting explained</t>
  </si>
  <si>
    <t xml:space="preserve">Understanding Life Insurance Options | Navigating Health Issues and Life Insurance | Leverage the Expertise of an Insurance Advisor | Role of No Medical Life Insurance | Enhancing Your Insurability and Determining Coverage Amount | Conclusion</t>
  </si>
  <si>
    <t xml:space="preserve">2020-04-22</t>
  </si>
  <si>
    <t xml:space="preserve">/life-insurance/medical-conditions/ (Medical underwriting desk)</t>
  </si>
  <si>
    <t xml:space="preserve">Life Insurance with Medical Conditions</t>
  </si>
  <si>
    <t xml:space="preserve">Life Insurance for Diabetics: How to Get the Best Rates in Canada</t>
  </si>
  <si>
    <t xml:space="preserve">https://familialife.ca/life-insurance-for-diabetics/</t>
  </si>
  <si>
    <t xml:space="preserve">How insurers view type 1 and type 2 diabetes, risks by age group, pricing factors (age at diagnosis, type, complications, blood-sugar control), underwriting requirements, broker vs captive agent, non-medical vs traditional, permanent options, FAQ.</t>
  </si>
  <si>
    <t xml:space="preserve">FAQ, 4 tables, Comparisons, Cost and pricing factors, Underwriting explained</t>
  </si>
  <si>
    <t xml:space="preserve">Why Life Insurance Companies Consider Diabetes | Pricing Life Insurance for Diabetics | The Underwriting Process | Recommendations for Diabetics Seeking Life Insurance | Best Life Insurance Options for Diabetics | FAQ: Life Insurance for Diabetics</t>
  </si>
  <si>
    <t xml:space="preserve">2023-09-22</t>
  </si>
  <si>
    <t xml:space="preserve">Planned: Life Insurance With Diabetes in Canada</t>
  </si>
  <si>
    <t xml:space="preserve">Life Insurance with a Cancer Diagnosis in Canada</t>
  </si>
  <si>
    <t xml:space="preserve">https://familialife.ca/life-insurance-with-cancer/</t>
  </si>
  <si>
    <t xml:space="preserve">Whether cancer is covered, guaranteed, simplified and traditional options, what insurers weigh (type, stage and grade, time since diagnosis), offer types by health, FAQ (stage 4, cancer 10 years ago).</t>
  </si>
  <si>
    <t xml:space="preserve">FAQ, 2 tables, Key takeaways, Cost and pricing factors</t>
  </si>
  <si>
    <t xml:space="preserve">Does Life Insurance Cover Cancer? | Factors Insurers Consider for Cancer Patients | Types of Insurance Offers Based on Health | Your Beacon: Familia Life Brokers | Where to Anchor: Life Insurance Options | Frequently Asked Questions | Conclusion</t>
  </si>
  <si>
    <t xml:space="preserve">2023-10-04</t>
  </si>
  <si>
    <t xml:space="preserve">Planned: Life Insurance After Cancer in Canada</t>
  </si>
  <si>
    <t xml:space="preserve">Applying for Life Insurance with a Heart Condition in Canada</t>
  </si>
  <si>
    <t xml:space="preserve">https://familialife.ca/life-insurance-with-heart-condition/</t>
  </si>
  <si>
    <t xml:space="preserve">How heart conditions are assessed (age, family history, build, history, habits, medication), options after a heart attack (traditional, simplified, guaranteed), 10-question FAQ (stents, bypass, timing), working with a broker.</t>
  </si>
  <si>
    <t xml:space="preserve">FAQ, 2 tables, Key takeaways, Comparisons, Underwriting explained</t>
  </si>
  <si>
    <t xml:space="preserve">Understanding Heart Conditions for Life Insurance | Details on Heart Disease and Life Insurance | Life Insurance Options after a Heart Attack | Getting the Right Coverage for Your Situation | Frequently Asked Questions (FAQs) | Working with a Broker | Conclusion</t>
  </si>
  <si>
    <t xml:space="preserve">2023-10-03</t>
  </si>
  <si>
    <t xml:space="preserve">Planned: Life Insurance After a Heart Attack or With Heart Disease</t>
  </si>
  <si>
    <t xml:space="preserve">Mortgage Protection</t>
  </si>
  <si>
    <t xml:space="preserve">Mortgage Protection Insurance</t>
  </si>
  <si>
    <t xml:space="preserve">https://familialife.ca/mortgage-protection-insurance/</t>
  </si>
  <si>
    <t xml:space="preserve">What mortgage insurance is, its main drawbacks, term life as the alternative and the cost difference.</t>
  </si>
  <si>
    <t xml:space="preserve">/mortgage-life-insurance/ product page (Mortgage renewal protection desk)</t>
  </si>
  <si>
    <t xml:space="preserve">The Ultimate Guide on Mortgage Insurance</t>
  </si>
  <si>
    <t xml:space="preserve">https://familialife.ca/what-is-mortgage-insurance/</t>
  </si>
  <si>
    <t xml:space="preserve">Mortgage insurance vs mortgage protection vs mortgage loan (default) insurance, why term life can beat bank protection (fixed benefit, cost, flexibility), its pitfalls, when term isn't ideal, choosing an advisor.</t>
  </si>
  <si>
    <t xml:space="preserve">Mortgage Insurance, Explained | Unraveling Mortgage Protection Insurance | Mortgage Loan Insurance: A Closer Look | Why Term Life Insurance Can Be A Better Choice | Deep Dive into the Pitfalls of Mortgage Protection Insurance | Advantages of Term Life Insurance Over MPI | Choose Wisely, Live Confidently | When Term Life Insurance Isn’t the Perfect Solution | Choose the Right Life Insurance Advisor</t>
  </si>
  <si>
    <t xml:space="preserve">Published: Mortgage Life Insurance vs Term Life; Mortgage Life Insurance Cost</t>
  </si>
  <si>
    <t xml:space="preserve">Product (sales) page</t>
  </si>
  <si>
    <t xml:space="preserve">Final Expense</t>
  </si>
  <si>
    <t xml:space="preserve">https://familialife.ca/final-expense-insurance/</t>
  </si>
  <si>
    <t xml:space="preserve">Final expense pitch: level rates, no expiry, no medical exam, waiting-period question; quote call to action.</t>
  </si>
  <si>
    <t xml:space="preserve">Cost and pricing factors, Underwriting explained</t>
  </si>
  <si>
    <t xml:space="preserve">Let's face it, nobody wants to ponder about their own funeral. | Buying Final Expense Coverage made Easy Quick Hassle FREE</t>
  </si>
  <si>
    <t xml:space="preserve">2021-02-20</t>
  </si>
  <si>
    <t xml:space="preserve">/life-insurance/final-expense/ and /life-insurance/funeral-expense/; Published: How Does Funeral Insurance Work</t>
  </si>
  <si>
    <t xml:space="preserve">Seniors (50+)</t>
  </si>
  <si>
    <t xml:space="preserve">Life Insurance After 50: A Canadian Senior’s Handbook</t>
  </si>
  <si>
    <t xml:space="preserve">https://familialife.ca/seniors-life-insurance/</t>
  </si>
  <si>
    <t xml:space="preserve">Life insurance after 50: types, whole vs term, when seniors need cover (final expenses, income, estate, special needs, debts, charity), whether it's worth it after 70, medical background, no-medical and guaranteed approval options.</t>
  </si>
  <si>
    <t xml:space="preserve">1 table, Comparisons, Underwriting explained</t>
  </si>
  <si>
    <t xml:space="preserve">What is Senior Life Insurance? | Types of Life Insurance Plans for Seniors | When is Life Insurance Necessary for Seniors? | The Medical Background Scoop | Life Insurance Type Comparison | No Medical Life Insurance for Seniors | Guaranteed Approval Life Insurance: The Last Resort</t>
  </si>
  <si>
    <t xml:space="preserve">2023-09-18</t>
  </si>
  <si>
    <t xml:space="preserve">/life-insurance/seniors/ service page; Planned: Funeral Insurance for Seniors</t>
  </si>
  <si>
    <t xml:space="preserve">Family Life Insurance</t>
  </si>
  <si>
    <t xml:space="preserve">Family Life Insurance in Canada: Separating Fact from Fiction</t>
  </si>
  <si>
    <t xml:space="preserve">https://familialife.ca/family-life-insurance/</t>
  </si>
  <si>
    <t xml:space="preserve">Why no single policy covers a whole family, the types (whole, universal, mortgage, joint, children's) with a comparison table, why use a broker, how to buy, FAQ.</t>
  </si>
  <si>
    <t xml:space="preserve">FAQ, 2 tables, Myth vs reality, Comparisons, Steps / checklist</t>
  </si>
  <si>
    <t xml:space="preserve">The Reality of Family Life Insurance in Canada | Types of Family Life Insurance in Canada | Finding the Ideal Family Life Insurance | How to Buy Family Life Insurance | Conclusion | Frequently Asked Questions (FAQ)</t>
  </si>
  <si>
    <t xml:space="preserve">2023-09-29</t>
  </si>
  <si>
    <t xml:space="preserve">Gap: no family life guide (/life-insurance/children/ service page exists; children's life insurance guide planned)</t>
  </si>
  <si>
    <t xml:space="preserve">Guide (search only)</t>
  </si>
  <si>
    <t xml:space="preserve">Critical Illness</t>
  </si>
  <si>
    <t xml:space="preserve">Protect Your Health and Wallet: A Complete Guide to Critical Illness Insurance in Canada</t>
  </si>
  <si>
    <t xml:space="preserve">https://familialife.ca/whats-ci/</t>
  </si>
  <si>
    <t xml:space="preserve">Listed on the blog (posted September 7, 2023). Search results show only its opening line: critical illness insurance as a financial safety net when diagnosed with a major illness.</t>
  </si>
  <si>
    <t xml:space="preserve">Published: What Does Critical Illness Insurance Cover?; Critical Illness vs Disability</t>
  </si>
  <si>
    <t xml:space="preserve">Search results only (page blocks automated access; no archived copy)</t>
  </si>
  <si>
    <t xml:space="preserve">Health Insurance</t>
  </si>
  <si>
    <t xml:space="preserve">https://familialife.ca/health-insurance/</t>
  </si>
  <si>
    <t xml:space="preserve">Health insurance for people leaving an employer, between jobs or retired: low-premium claim, guaranteed approval plans, immediate coverage.</t>
  </si>
  <si>
    <t xml:space="preserve">Leaving work? In between jobs? Retired? We got you covered! | Buying Health Insurance made Easy Quick Hassle FREE</t>
  </si>
  <si>
    <t xml:space="preserve">/health-dental-insurance/; Published: Private Health Insurance Cost</t>
  </si>
  <si>
    <t xml:space="preserve">Life Insurance Basics &amp; Buying</t>
  </si>
  <si>
    <t xml:space="preserve">How Does Life Insurance Work in Canada?</t>
  </si>
  <si>
    <t xml:space="preserve">https://familialife.ca/how-does-life-insurance-work-in-canada/</t>
  </si>
  <si>
    <t xml:space="preserve">The basics, types of life insurance, how pricing works, how payouts work (final expenses, mortgage, health issues), how much you need, choosing an advisor.</t>
  </si>
  <si>
    <t xml:space="preserve">The Basics: What is Life Insurance? | Different Types of Life Insurance | How is Life Insurance Priced? | How Life Insurance Payouts Work | How Much Life Insurance Do You Need?</t>
  </si>
  <si>
    <t xml:space="preserve">Planned: Types of Life Insurance in Canada</t>
  </si>
  <si>
    <t xml:space="preserve">Finding the Right Amount of Life Insurance: Budget, Debts, and Dependents</t>
  </si>
  <si>
    <t xml:space="preserve">https://familialife.ca/how-much-life-insurance-should-i-get/</t>
  </si>
  <si>
    <t xml:space="preserve">Five steps to the right amount: affordability, needs analysis, debts, dependants' needs, balancing all three.</t>
  </si>
  <si>
    <t xml:space="preserve">Steps / checklist</t>
  </si>
  <si>
    <t xml:space="preserve">1. Prioritize Affordability. | 2. Understanding Needs Analysis. | 3. Assessing Debts. | 4. Comprehensive Assessment of Dependents’ Needs. | 5. Balancing Budget, Debts, and Dependents.</t>
  </si>
  <si>
    <t xml:space="preserve">2021-01-22</t>
  </si>
  <si>
    <t xml:space="preserve">Published: How Much Life Insurance Do I Need in Canada?</t>
  </si>
  <si>
    <t xml:space="preserve">Life Insurance Quotes in Canada</t>
  </si>
  <si>
    <t xml:space="preserve">https://familialife.ca/life-insurance-quotes-in-canada/</t>
  </si>
  <si>
    <t xml:space="preserve">Why quotes vary (age, health, occupation, term and amount, gender), how quotes are calculated (actuarial science, risk classes, medicals, credit checks), how health affects a quote, life vs mortgage insurance, fine print (exclusions, riders), 5-question FAQ.</t>
  </si>
  <si>
    <t xml:space="preserve">FAQ, Comparisons, Cost and pricing factors, Underwriting explained</t>
  </si>
  <si>
    <t xml:space="preserve">Introduction: Navigating the Maze of Life Insurance Quotes in Canada | Why Life Insurance Quotes Vary: Factors that Influence Your Premium | Decoding the Different Types of Life Insurance Policies | Understanding Quote Calculations | The Financial Implications of Life Insurance | How Health Concerns Impact Your Quote | Life Insurance vs. Mortgage Insurance: A Quick Comparison | The Importance of Reading the Fine Print | Working With a Competent Advisor is Crucial | Frequently Asked Questions:</t>
  </si>
  <si>
    <t xml:space="preserve">2023-09-05</t>
  </si>
  <si>
    <t xml:space="preserve">Published: How Much Does Life Insurance Cost in Canada?; Instant Estimates Explained</t>
  </si>
  <si>
    <t xml:space="preserve">How Do Life Insurance Companies Check Medical Background?</t>
  </si>
  <si>
    <t xml:space="preserve">https://familialife.ca/how-do-life-insurance-companies-check-medical-background/</t>
  </si>
  <si>
    <t xml:space="preserve">How insurers review medical history, medical exams, risk classification, medical records, risk vs premium, tailoring cover to your health.</t>
  </si>
  <si>
    <t xml:space="preserve">Comparisons, Cost and pricing factors, Underwriting explained</t>
  </si>
  <si>
    <t xml:space="preserve">A Deep Dive Into Medical History | Medical Examinations: The Next Step | Risk Classification | Unfolding The Medical Record Enigma | Risk vs Premium: The Balancing Act | Tailoring Insurance To Your Health | Choosing The Right Path</t>
  </si>
  <si>
    <t xml:space="preserve">2023-06-14</t>
  </si>
  <si>
    <t xml:space="preserve">2023-09-14</t>
  </si>
  <si>
    <t xml:space="preserve">Planned: Life Insurance Medical Exams and Applications</t>
  </si>
  <si>
    <t xml:space="preserve">12 Life Insurance Myths You Need to Stop Believing</t>
  </si>
  <si>
    <t xml:space="preserve">https://familialife.ca/12-myths-debunked/</t>
  </si>
  <si>
    <t xml:space="preserve">Twelve myths (cost, funeral-only, mandatory medicals, dependants, group cover, stay-at-home parents, too young, too old, preexisting conditions, investments, permanent for the wealthy, 2x salary), each with 'the reality', breakdowns, a premiums-by-age table and tips.</t>
  </si>
  <si>
    <t xml:space="preserve">7 tables, Key takeaways, Myth vs reality, Comparisons, Scenarios / examples, Benefits / pros and cons, Cost and pricing factors, Underwriting explained</t>
  </si>
  <si>
    <t xml:space="preserve">Myth 1: Life Insurance Is Expensive | Myth 2: Life Insurance Is Just for Funeral Costs | Myth 3: Medical Exams Are Mandatory | Myth 4: Only for Those with Dependents | Myth 5: Group Insurance Is Sufficient | Myth 6: Stay-at-Home Parents Don’t Need Insurance | Myth 7: Too Young for Life Insurance | Myth 8: Too Old for Life Insurance | Myth 9: Preexisting Conditions Disqualify You | Myth 10: Other Investments Are Better | Myth 11: Permanent Insurance Is for the Wealthy | Myth 12: Coverage Should Be Twice the Annual Salary | Conclusion</t>
  </si>
  <si>
    <t xml:space="preserve">2023-09-20</t>
  </si>
  <si>
    <t xml:space="preserve">Gap: not in the Instasure plan</t>
  </si>
  <si>
    <t xml:space="preserve">Don’t Buy Life Insurance Without Doing These 2 Things</t>
  </si>
  <si>
    <t xml:space="preserve">https://familialife.ca/two-things-before-buying/</t>
  </si>
  <si>
    <t xml:space="preserve">Two must-dos: use an experienced broker (access to insurers, underwriting expertise, trust) and choose a reputable insurer (longevity, claim settlement ratio); to-do list; FAQ.</t>
  </si>
  <si>
    <t xml:space="preserve">FAQ, Comparisons, Steps / checklist, Underwriting explained</t>
  </si>
  <si>
    <t xml:space="preserve">The Pitfalls of Hasty Decisions | Thing #1: The Indispensable Role of a Broker | Thing #2: Choosing Reputable Insurance Companies</t>
  </si>
  <si>
    <t xml:space="preserve">2023-09-07</t>
  </si>
  <si>
    <t xml:space="preserve">Planned: Life Insurance Broker vs Agent vs Bank vs Online</t>
  </si>
  <si>
    <t xml:space="preserve">Article (search only)</t>
  </si>
  <si>
    <t xml:space="preserve">Are Life Insurance Premiums Tax Deductible in Canada?</t>
  </si>
  <si>
    <t xml:space="preserve">https://familialife.ca/are-life-insurance-premiums-tax-deductible-in-canada/</t>
  </si>
  <si>
    <t xml:space="preserve">Newer article found only in search results. Search snippets indicate: premiums generally not deductible for individuals; exceptions mentioned for business owners using a policy as loan collateral and some employer-paid group term plans.</t>
  </si>
  <si>
    <t xml:space="preserve">Published: Is Life Insurance Taxable in Canada?</t>
  </si>
  <si>
    <t xml:space="preserve">A Step-by-Step Guide to Filing a Life Insurance Claim</t>
  </si>
  <si>
    <t xml:space="preserve">https://familialife.ca/how-to-claim/</t>
  </si>
  <si>
    <t xml:space="preserve">Listed on the blog as a featured article. No outline available.</t>
  </si>
  <si>
    <t xml:space="preserve">Planned: How to Make a Life Insurance Claim in Canada</t>
  </si>
  <si>
    <t xml:space="preserve">Archive 2025-04-18 · 10 subheadings</t>
  </si>
  <si>
    <t xml:space="preserve">Archive 2024-01-16 · 5 subheadings</t>
  </si>
  <si>
    <t xml:space="preserve">Archive 2024-01-16 · 19 subheadings</t>
  </si>
  <si>
    <t xml:space="preserve">Archive 2024-01-16 · 13 subheadings</t>
  </si>
  <si>
    <t xml:space="preserve">Archive 2024-01-16 · 9 subheadings</t>
  </si>
  <si>
    <t xml:space="preserve">Archive 2024-01-16 · 47 subheadings</t>
  </si>
  <si>
    <t xml:space="preserve">Archive 2024-01-16 · 11 subheadings</t>
  </si>
  <si>
    <t xml:space="preserve">Archive 2024-01-09 · 67 subheadings</t>
  </si>
  <si>
    <t xml:space="preserve">Archive 2024-01-19 · 5 subheadings</t>
  </si>
  <si>
    <t xml:space="preserve">Archive 2024-01-19 · 21 subheadings</t>
  </si>
  <si>
    <t xml:space="preserve">Archive 2024-01-19 · 16 subheadings</t>
  </si>
  <si>
    <t xml:space="preserve">Archive 2024-01-19 · 51 subheadings</t>
  </si>
  <si>
    <t xml:space="preserve">Archive 2024-01-19 · 34 subheadings</t>
  </si>
  <si>
    <t xml:space="preserve">Archive 2024-01-19 · 32 subheadings</t>
  </si>
  <si>
    <t xml:space="preserve">Archive 2024-01-19 · 19 subheadings</t>
  </si>
  <si>
    <t xml:space="preserve">Archive 2024-01-16 · 8 subheadings</t>
  </si>
  <si>
    <t xml:space="preserve">Archive 2024-01-19 · 23 subheadings</t>
  </si>
  <si>
    <t xml:space="preserve">Archive 2024-01-19 · 38 subheadings</t>
  </si>
  <si>
    <t xml:space="preserve">Search results only: outline not available</t>
  </si>
  <si>
    <t xml:space="preserve">Archive 2024-01-16 · 6 subheadings</t>
  </si>
  <si>
    <t xml:space="preserve">Archive 2024-01-16 · 12 subheadings</t>
  </si>
  <si>
    <t xml:space="preserve">Archive 2024-01-16 · 31 subheadings</t>
  </si>
  <si>
    <t xml:space="preserve">Archive 2024-01-19 · 7 subheadings</t>
  </si>
  <si>
    <t xml:space="preserve">Archive 2024-01-19 · 64 subheadings</t>
  </si>
  <si>
    <t xml:space="preserve">Archive 2024-01-19 · 27 subheadings</t>
  </si>
  <si>
    <t xml:space="preserve">Subheadings</t>
  </si>
  <si>
    <t xml:space="preserve">Life Insurance is a sturdy umbrella - Often overlooked in fair weather, but priceless protection when life's storms hit.</t>
  </si>
  <si>
    <t xml:space="preserve">Term Life Insurance 101.</t>
  </si>
  <si>
    <t xml:space="preserve">The Term Ends – Now What?</t>
  </si>
  <si>
    <t xml:space="preserve">What is Individual Life Insurance?</t>
  </si>
  <si>
    <t xml:space="preserve">No Medical Life Insurance 101.</t>
  </si>
  <si>
    <t xml:space="preserve">Understanding Life Insurance Options</t>
  </si>
  <si>
    <t xml:space="preserve">Type I and Type II Diabetics: You’re Covered!</t>
  </si>
  <si>
    <t xml:space="preserve">Key Takeaways</t>
  </si>
  <si>
    <t xml:space="preserve">• Key Takeaways</t>
  </si>
  <si>
    <t xml:space="preserve">Mortgage Insurance, Explained</t>
  </si>
  <si>
    <t xml:space="preserve">Let's face it, nobody wants to ponder about their own funeral.</t>
  </si>
  <si>
    <t xml:space="preserve">What is Senior Life Insurance?</t>
  </si>
  <si>
    <t xml:space="preserve">Leaving work? In between jobs? Retired? We got you covered!</t>
  </si>
  <si>
    <t xml:space="preserve">The Basics: What is Life Insurance?</t>
  </si>
  <si>
    <t xml:space="preserve">Introduction: Navigating the Maze of Life Insurance Quotes in Canada</t>
  </si>
  <si>
    <t xml:space="preserve">A Deep Dive Into Medical History</t>
  </si>
  <si>
    <t xml:space="preserve">The Pitfalls of Hasty Decisions</t>
  </si>
  <si>
    <t xml:space="preserve">Best Life Insurance Rates in Canada</t>
  </si>
  <si>
    <t xml:space="preserve">Understanding Term Life Insurance in Canada</t>
  </si>
  <si>
    <t xml:space="preserve">What Is Term Life Insurance?</t>
  </si>
  <si>
    <t xml:space="preserve">• Policy Ends</t>
  </si>
  <si>
    <t xml:space="preserve">Understanding Permanent Life Insurance</t>
  </si>
  <si>
    <t xml:space="preserve">The Basics of Universal Life Insurance</t>
  </si>
  <si>
    <t xml:space="preserve">Features</t>
  </si>
  <si>
    <t xml:space="preserve">Understanding No Medical Insurance</t>
  </si>
  <si>
    <t xml:space="preserve">What Is No Medical Life Insurance?</t>
  </si>
  <si>
    <t xml:space="preserve">• Whole Life Insurance</t>
  </si>
  <si>
    <t xml:space="preserve">Medical or Non-Medical: You Choose!</t>
  </si>
  <si>
    <t xml:space="preserve">• Navigating Coverage</t>
  </si>
  <si>
    <t xml:space="preserve">Understanding Heart Conditions for Life Insurance</t>
  </si>
  <si>
    <t xml:space="preserve">Understanding Mortgage Insurance</t>
  </si>
  <si>
    <t xml:space="preserve">Unraveling Mortgage Protection Insurance</t>
  </si>
  <si>
    <t xml:space="preserve">• We only work with reputable Canadian companies</t>
  </si>
  <si>
    <t xml:space="preserve">What type of life insurance is best for seniors?</t>
  </si>
  <si>
    <t xml:space="preserve">The Reality of Family Life Insurance in Canada</t>
  </si>
  <si>
    <t xml:space="preserve">LOWEST PREMIUM - GUARANTEED!</t>
  </si>
  <si>
    <t xml:space="preserve">Different Types of Life Insurance</t>
  </si>
  <si>
    <t xml:space="preserve">1. Prioritize Affordability.</t>
  </si>
  <si>
    <t xml:space="preserve">Why Life Insurance Quotes Vary: Factors that Influence Your Premium</t>
  </si>
  <si>
    <t xml:space="preserve">Medical Examinations: The Next Step</t>
  </si>
  <si>
    <t xml:space="preserve">• Tip</t>
  </si>
  <si>
    <t xml:space="preserve">Understanding the Basics: No Deep Dives, Just Snorkeling</t>
  </si>
  <si>
    <t xml:space="preserve">Your family, our priority. We're here to protect and secure what matters most to you.</t>
  </si>
  <si>
    <t xml:space="preserve">Is Term Insurance No Good Because It Expires?</t>
  </si>
  <si>
    <t xml:space="preserve">Different Types of Term Life Insurance</t>
  </si>
  <si>
    <t xml:space="preserve">• Renewal</t>
  </si>
  <si>
    <t xml:space="preserve">Different Types of Permanent Life Insurance</t>
  </si>
  <si>
    <t xml:space="preserve">• Definition</t>
  </si>
  <si>
    <t xml:space="preserve">Understanding the Cash Value Component</t>
  </si>
  <si>
    <t xml:space="preserve">• Single Coverage</t>
  </si>
  <si>
    <t xml:space="preserve">How It Works</t>
  </si>
  <si>
    <t xml:space="preserve">The Benefits of No Medical Life Insurance:</t>
  </si>
  <si>
    <t xml:space="preserve">Navigating Health Issues and Life Insurance</t>
  </si>
  <si>
    <t xml:space="preserve">• Table: Traditional vs. Non-Medical Plans</t>
  </si>
  <si>
    <t xml:space="preserve">• Policy Varieties</t>
  </si>
  <si>
    <t xml:space="preserve">• Age</t>
  </si>
  <si>
    <t xml:space="preserve">Main Drawbacks of Mortgage Insurance</t>
  </si>
  <si>
    <t xml:space="preserve">Mortgage Loan Insurance: A Closer Look</t>
  </si>
  <si>
    <t xml:space="preserve">Best Rates for Final Expense Insurance</t>
  </si>
  <si>
    <t xml:space="preserve">Types of Life Insurance Plans for Seniors</t>
  </si>
  <si>
    <t xml:space="preserve">Myth-Busting Time!</t>
  </si>
  <si>
    <t xml:space="preserve">LEAVING YOUR EMPLOYER?</t>
  </si>
  <si>
    <t xml:space="preserve">• Whole life insurance</t>
  </si>
  <si>
    <t xml:space="preserve">2. Understanding Needs Analysis.</t>
  </si>
  <si>
    <t xml:space="preserve">Age and its Influence</t>
  </si>
  <si>
    <t xml:space="preserve">Risk Classification</t>
  </si>
  <si>
    <t xml:space="preserve">Myth 1: Life Insurance Is Expensive</t>
  </si>
  <si>
    <t xml:space="preserve">Thing #1: The Indispensable Role of a Broker</t>
  </si>
  <si>
    <t xml:space="preserve">Life Insurance For Young Families</t>
  </si>
  <si>
    <t xml:space="preserve">Benefits</t>
  </si>
  <si>
    <t xml:space="preserve">Decreasing Term Insurance</t>
  </si>
  <si>
    <t xml:space="preserve">• Conversion to Permanent Life Insurance</t>
  </si>
  <si>
    <t xml:space="preserve">Key Features:</t>
  </si>
  <si>
    <t xml:space="preserve">Differentiating Universal Life Insurance from Other Types</t>
  </si>
  <si>
    <t xml:space="preserve">• Flexible</t>
  </si>
  <si>
    <t xml:space="preserve">Benefits of getting no medical life insurance</t>
  </si>
  <si>
    <t xml:space="preserve">Quick and Convenient Application Process</t>
  </si>
  <si>
    <t xml:space="preserve">• Disclose Your Medical History Fully</t>
  </si>
  <si>
    <t xml:space="preserve">Why Life Insurance Companies Consider Diabetes</t>
  </si>
  <si>
    <t xml:space="preserve">• Insurer’s Lens</t>
  </si>
  <si>
    <t xml:space="preserve">• Family History</t>
  </si>
  <si>
    <t xml:space="preserve">The Alternative Option: Term Life Insurance</t>
  </si>
  <si>
    <t xml:space="preserve">Why Term Life Insurance Can Be A Better Choice</t>
  </si>
  <si>
    <t xml:space="preserve">RATES WILL NEVER GO UP</t>
  </si>
  <si>
    <t xml:space="preserve">Which is Better: Whole Life or Term Life Insurance?</t>
  </si>
  <si>
    <t xml:space="preserve">What Insurance Companies Really Mean</t>
  </si>
  <si>
    <t xml:space="preserve">GUARANTEED APPROVAL PLANS AVAILABLE</t>
  </si>
  <si>
    <t xml:space="preserve">• Universal life insurance</t>
  </si>
  <si>
    <t xml:space="preserve">3. Assessing Debts.</t>
  </si>
  <si>
    <t xml:space="preserve">Health Factors</t>
  </si>
  <si>
    <t xml:space="preserve">Unfolding The Medical Record Enigma</t>
  </si>
  <si>
    <t xml:space="preserve">The Reality</t>
  </si>
  <si>
    <t xml:space="preserve">What’s a Broker and Why Should You Care?</t>
  </si>
  <si>
    <t xml:space="preserve">Final Expense Insurance</t>
  </si>
  <si>
    <t xml:space="preserve">Cost</t>
  </si>
  <si>
    <t xml:space="preserve">Increasing Term Insurance</t>
  </si>
  <si>
    <t xml:space="preserve">Factors To Consider at the End of Your Term Life Insurance</t>
  </si>
  <si>
    <t xml:space="preserve">• Universal Life Insurance</t>
  </si>
  <si>
    <t xml:space="preserve">• Lifelong Coverage</t>
  </si>
  <si>
    <t xml:space="preserve">Is Universal Life Insurance Right for You?</t>
  </si>
  <si>
    <t xml:space="preserve">• Independent</t>
  </si>
  <si>
    <t xml:space="preserve">Flexibility in Coverage Amounts</t>
  </si>
  <si>
    <t xml:space="preserve">• Consider No Medical Life Insurance</t>
  </si>
  <si>
    <t xml:space="preserve">The Risk Equation: Why Diabetes Matters to Insurers</t>
  </si>
  <si>
    <t xml:space="preserve">• Tailored Solutions</t>
  </si>
  <si>
    <t xml:space="preserve">• Body Build</t>
  </si>
  <si>
    <t xml:space="preserve">Cost Differences Between Mortgage Insurance and Term Life Insurance</t>
  </si>
  <si>
    <t xml:space="preserve">• Fixed Benefits</t>
  </si>
  <si>
    <t xml:space="preserve">THERE IS NO EXPIRY</t>
  </si>
  <si>
    <t xml:space="preserve">Types of Family Life Insurance in Canada</t>
  </si>
  <si>
    <t xml:space="preserve">IMMEDIATE COVERAGE</t>
  </si>
  <si>
    <t xml:space="preserve">How is Life Insurance Priced?</t>
  </si>
  <si>
    <t xml:space="preserve">4. Comprehensive Assessment of Dependents’ Needs.</t>
  </si>
  <si>
    <t xml:space="preserve">Occupation and Lifestyle</t>
  </si>
  <si>
    <t xml:space="preserve">Risk vs Premium: The Balancing Act</t>
  </si>
  <si>
    <t xml:space="preserve">Cost Breakdown</t>
  </si>
  <si>
    <t xml:space="preserve">The Gold Standard: Why Experienced Brokers Shine</t>
  </si>
  <si>
    <t xml:space="preserve">High-Risk &amp; Hard to Insure clients</t>
  </si>
  <si>
    <t xml:space="preserve">Yearly Renewable Term Insurance</t>
  </si>
  <si>
    <t xml:space="preserve">• Health Condition</t>
  </si>
  <si>
    <t xml:space="preserve">• Variable Life Insurance</t>
  </si>
  <si>
    <t xml:space="preserve">• Cash Value Accumulation</t>
  </si>
  <si>
    <t xml:space="preserve">Tax Implications and the Purchase Process</t>
  </si>
  <si>
    <t xml:space="preserve">Scenarios Where It’s Beneficial</t>
  </si>
  <si>
    <t xml:space="preserve">Simplified Underwriting Process</t>
  </si>
  <si>
    <t xml:space="preserve">• Work with an Insurance Advisor</t>
  </si>
  <si>
    <t xml:space="preserve">The Impact on Life Expectancy</t>
  </si>
  <si>
    <t xml:space="preserve">• Securing the Future</t>
  </si>
  <si>
    <t xml:space="preserve">Details on Heart Disease and Life Insurance</t>
  </si>
  <si>
    <t xml:space="preserve">• Cost-Effectiveness</t>
  </si>
  <si>
    <t xml:space="preserve">NO MEDICAL EXAMS OR NEEDLES NECESSARY</t>
  </si>
  <si>
    <t xml:space="preserve">When is Life Insurance Necessary for Seniors?</t>
  </si>
  <si>
    <t xml:space="preserve">The Insurance Buffet</t>
  </si>
  <si>
    <t xml:space="preserve">Buying Health Insurance made Easy Quick Hassle FREE</t>
  </si>
  <si>
    <t xml:space="preserve">• No medical life insurance</t>
  </si>
  <si>
    <t xml:space="preserve">5. Balancing Budget, Debts, and Dependents.</t>
  </si>
  <si>
    <t xml:space="preserve">Policy Duration and Amount</t>
  </si>
  <si>
    <t xml:space="preserve">Tailoring Insurance To Your Health</t>
  </si>
  <si>
    <t xml:space="preserve">• Did You Know?</t>
  </si>
  <si>
    <t xml:space="preserve">• Access to All Canadian Insurers</t>
  </si>
  <si>
    <t xml:space="preserve">Who is Term Life Insurance for?</t>
  </si>
  <si>
    <t xml:space="preserve">• Current Financial Responsibilities</t>
  </si>
  <si>
    <t xml:space="preserve">Which Option is Better: Permanent or Term Life Insurance?</t>
  </si>
  <si>
    <t xml:space="preserve">• Fixed Premiums</t>
  </si>
  <si>
    <t xml:space="preserve">Buying Universal Life Insurance: Step-by-Step</t>
  </si>
  <si>
    <t xml:space="preserve">• Single Breadwinners</t>
  </si>
  <si>
    <t xml:space="preserve">Guaranteed Acceptance Options</t>
  </si>
  <si>
    <t xml:space="preserve">Leverage the Expertise of an Insurance Advisor</t>
  </si>
  <si>
    <t xml:space="preserve">• Note</t>
  </si>
  <si>
    <t xml:space="preserve">Does Life Insurance Cover Cancer?</t>
  </si>
  <si>
    <t xml:space="preserve">• Detailed Medical History</t>
  </si>
  <si>
    <t xml:space="preserve">• Flexibility</t>
  </si>
  <si>
    <t xml:space="preserve">IS THERE ANY WAITING PERIOD?</t>
  </si>
  <si>
    <t xml:space="preserve">• Final Expenses</t>
  </si>
  <si>
    <t xml:space="preserve">Whole Life Insurance</t>
  </si>
  <si>
    <t xml:space="preserve">How Life Insurance Payouts Work</t>
  </si>
  <si>
    <t xml:space="preserve">Gender’s Role</t>
  </si>
  <si>
    <t xml:space="preserve">Choosing The Right Path</t>
  </si>
  <si>
    <t xml:space="preserve">Myth 2: Life Insurance Is Just for Funeral Costs</t>
  </si>
  <si>
    <t xml:space="preserve">• Years of Experience</t>
  </si>
  <si>
    <t xml:space="preserve">100% None Face-to-Face</t>
  </si>
  <si>
    <t xml:space="preserve">Young Families</t>
  </si>
  <si>
    <t xml:space="preserve">• Affordability</t>
  </si>
  <si>
    <t xml:space="preserve">Can Permanent Life Insurance be used as a Saving?</t>
  </si>
  <si>
    <t xml:space="preserve">• Death Benefit</t>
  </si>
  <si>
    <t xml:space="preserve">• Determine Your Insurance Needs</t>
  </si>
  <si>
    <t xml:space="preserve">• Business Owners</t>
  </si>
  <si>
    <t xml:space="preserve">Who is no medical life insurance for?</t>
  </si>
  <si>
    <t xml:space="preserve">• Personalized Advice</t>
  </si>
  <si>
    <t xml:space="preserve">The Silver Lining: Manage Well, Live Well</t>
  </si>
  <si>
    <t xml:space="preserve">Guaranteed Issue Life Insurance</t>
  </si>
  <si>
    <t xml:space="preserve">• Lifestyle Habits</t>
  </si>
  <si>
    <t xml:space="preserve">Deep Dive into the Pitfalls of Mortgage Protection Insurance</t>
  </si>
  <si>
    <t xml:space="preserve">Buying Final Expense Coverage made Easy Quick Hassle FREE</t>
  </si>
  <si>
    <t xml:space="preserve">• Income Replacement</t>
  </si>
  <si>
    <t xml:space="preserve">Universal Life Insurance</t>
  </si>
  <si>
    <t xml:space="preserve">Dealing with Final Expenses</t>
  </si>
  <si>
    <t xml:space="preserve">Decoding the Different Types of Life Insurance Policies</t>
  </si>
  <si>
    <t xml:space="preserve">• Underwriting Expertise</t>
  </si>
  <si>
    <t xml:space="preserve">Buying life insurance can seem like a perplexing puzzle</t>
  </si>
  <si>
    <t xml:space="preserve">Homeowners with Mortgage</t>
  </si>
  <si>
    <t xml:space="preserve">• Estate Planning</t>
  </si>
  <si>
    <t xml:space="preserve">Why Familia Life?</t>
  </si>
  <si>
    <t xml:space="preserve">Types of Permanent Life Insurance in Canada</t>
  </si>
  <si>
    <t xml:space="preserve">• Choose a Reliable Insurance Advisor</t>
  </si>
  <si>
    <t xml:space="preserve">What is Joint Life Insurance?</t>
  </si>
  <si>
    <t xml:space="preserve">Individuals with Pre-existing Health Conditions</t>
  </si>
  <si>
    <t xml:space="preserve">• Understanding of Underwriting Policies</t>
  </si>
  <si>
    <t xml:space="preserve">Statistical Risks</t>
  </si>
  <si>
    <t xml:space="preserve">Simplified Issue Life Insurance</t>
  </si>
  <si>
    <t xml:space="preserve">• Medications</t>
  </si>
  <si>
    <t xml:space="preserve">• Decreasing Value</t>
  </si>
  <si>
    <t xml:space="preserve">Mortgage Life Insurance</t>
  </si>
  <si>
    <t xml:space="preserve">Insurance and Mortgage Protection</t>
  </si>
  <si>
    <t xml:space="preserve">Where the Money Goes</t>
  </si>
  <si>
    <t xml:space="preserve">Trust: The Bedrock of a Healthy Broker-Client Relationship</t>
  </si>
  <si>
    <t xml:space="preserve">Read our latest</t>
  </si>
  <si>
    <t xml:space="preserve">Business Owners</t>
  </si>
  <si>
    <t xml:space="preserve">Is A New Term Policy An Option?</t>
  </si>
  <si>
    <t xml:space="preserve">• Medical Background Check</t>
  </si>
  <si>
    <t xml:space="preserve">Older Individuals &amp; Seniors</t>
  </si>
  <si>
    <t xml:space="preserve">• Navigating Through Different Options</t>
  </si>
  <si>
    <t xml:space="preserve">• List of Diabetes-Related Risks by Age Group</t>
  </si>
  <si>
    <t xml:space="preserve">Traditional Life Insurance</t>
  </si>
  <si>
    <t xml:space="preserve">Life Insurance Options after a Heart Attack</t>
  </si>
  <si>
    <t xml:space="preserve">• Limited Coverage</t>
  </si>
  <si>
    <t xml:space="preserve">• Special Needs</t>
  </si>
  <si>
    <t xml:space="preserve">Joint Life Insurance</t>
  </si>
  <si>
    <t xml:space="preserve">Life Insurance with Health Issues</t>
  </si>
  <si>
    <t xml:space="preserve">Understanding Quote Calculations</t>
  </si>
  <si>
    <t xml:space="preserve">• Mortgage Payments</t>
  </si>
  <si>
    <t xml:space="preserve">• Transparency</t>
  </si>
  <si>
    <t xml:space="preserve">Pros and Cons of Term Life Insurance</t>
  </si>
  <si>
    <t xml:space="preserve">Conversion to Permanent Life Insurance</t>
  </si>
  <si>
    <t xml:space="preserve">• Description</t>
  </si>
  <si>
    <t xml:space="preserve">• Policy Issuance</t>
  </si>
  <si>
    <t xml:space="preserve">• Dual Coverage</t>
  </si>
  <si>
    <t xml:space="preserve">Those Seeking Convenience and Speed</t>
  </si>
  <si>
    <t xml:space="preserve">Role of No Medical Life Insurance</t>
  </si>
  <si>
    <t xml:space="preserve">• Under 40</t>
  </si>
  <si>
    <t xml:space="preserve">Factors Insurers Consider for Cancer Patients</t>
  </si>
  <si>
    <t xml:space="preserve">• Traditional Life Insurance</t>
  </si>
  <si>
    <t xml:space="preserve">• Lack of Control</t>
  </si>
  <si>
    <t xml:space="preserve">• Debts</t>
  </si>
  <si>
    <t xml:space="preserve">Life Insurance for Children</t>
  </si>
  <si>
    <t xml:space="preserve">How Much Life Insurance Do You Need?</t>
  </si>
  <si>
    <t xml:space="preserve">The Actuarial Science</t>
  </si>
  <si>
    <t xml:space="preserve">• Children’s Education</t>
  </si>
  <si>
    <t xml:space="preserve">• Client’s Best Interest</t>
  </si>
  <si>
    <t xml:space="preserve">Advantages of Term Life Insurance</t>
  </si>
  <si>
    <t xml:space="preserve">Letting Your Term Life Insurance Expire</t>
  </si>
  <si>
    <t xml:space="preserve">• Benefits</t>
  </si>
  <si>
    <t xml:space="preserve">• Unified Policy</t>
  </si>
  <si>
    <t xml:space="preserve">Individuals with Needle Phobia or Medical Procedure Anxiety</t>
  </si>
  <si>
    <t xml:space="preserve">Enhancing Your Insurability and Determining Coverage Amount</t>
  </si>
  <si>
    <t xml:space="preserve">• 40-60</t>
  </si>
  <si>
    <t xml:space="preserve">• Type of Cancer</t>
  </si>
  <si>
    <t xml:space="preserve">• Simplified Life Insurance</t>
  </si>
  <si>
    <t xml:space="preserve">Advantages of Term Life Insurance Over MPI</t>
  </si>
  <si>
    <t xml:space="preserve">• Charitable Donation</t>
  </si>
  <si>
    <t xml:space="preserve">Table: Comparing Different Types of Family Life Insurance</t>
  </si>
  <si>
    <t xml:space="preserve">Choosing the Right Life Insurance Advisor</t>
  </si>
  <si>
    <t xml:space="preserve">Risk Categories</t>
  </si>
  <si>
    <t xml:space="preserve">• Day-to-Day Expenses</t>
  </si>
  <si>
    <t xml:space="preserve">Thing #2: Choosing Reputable Insurance Companies</t>
  </si>
  <si>
    <t xml:space="preserve">Affordability</t>
  </si>
  <si>
    <t xml:space="preserve">Wrapping Up</t>
  </si>
  <si>
    <t xml:space="preserve">• Types</t>
  </si>
  <si>
    <t xml:space="preserve">Individuals with Busy Schedules</t>
  </si>
  <si>
    <t xml:space="preserve">• Over 60</t>
  </si>
  <si>
    <t xml:space="preserve">• Stage and Grade</t>
  </si>
  <si>
    <t xml:space="preserve">• Guaranteed Life Insurance</t>
  </si>
  <si>
    <t xml:space="preserve">• Greater Coverage</t>
  </si>
  <si>
    <t xml:space="preserve">Is Life Insurance Worth It After 70?</t>
  </si>
  <si>
    <t xml:space="preserve">Finding the Ideal Family Life Insurance</t>
  </si>
  <si>
    <t xml:space="preserve">The Role of Medical Examinations</t>
  </si>
  <si>
    <t xml:space="preserve">• Pro Tip</t>
  </si>
  <si>
    <t xml:space="preserve">Why the Name Matters: The Importance of Company Reputation</t>
  </si>
  <si>
    <t xml:space="preserve">Simplicity</t>
  </si>
  <si>
    <t xml:space="preserve">Joint-First-to-Die vs Joint-Last-to-Die</t>
  </si>
  <si>
    <t xml:space="preserve">Understanding Different Insurance Rate Classifications</t>
  </si>
  <si>
    <t xml:space="preserve">• Debt and Final Expenses</t>
  </si>
  <si>
    <t xml:space="preserve">Pricing Life Insurance for Diabetics</t>
  </si>
  <si>
    <t xml:space="preserve">• Time Since Diagnosis</t>
  </si>
  <si>
    <t xml:space="preserve">Getting the Right Coverage for Your Situation</t>
  </si>
  <si>
    <t xml:space="preserve">• Cost Advantage</t>
  </si>
  <si>
    <t xml:space="preserve">The Medical Background Scoop</t>
  </si>
  <si>
    <t xml:space="preserve">Why Making the Right Choice Matters</t>
  </si>
  <si>
    <t xml:space="preserve">Credit and Background Checks</t>
  </si>
  <si>
    <t xml:space="preserve">Myth 3: Medical Exams Are Mandatory</t>
  </si>
  <si>
    <t xml:space="preserve">The Dynamic Duo: Longevity and Claim Settlement Ratio</t>
  </si>
  <si>
    <t xml:space="preserve">Flexibility</t>
  </si>
  <si>
    <t xml:space="preserve">• Joint-First-to-Die</t>
  </si>
  <si>
    <t xml:space="preserve">What is a Standard Rate?</t>
  </si>
  <si>
    <t xml:space="preserve">• Future Financial Goals</t>
  </si>
  <si>
    <t xml:space="preserve">A Closer Look at the Price Tag</t>
  </si>
  <si>
    <t xml:space="preserve">• Complicating Issues</t>
  </si>
  <si>
    <t xml:space="preserve">Frequently Asked Questions (FAQs)</t>
  </si>
  <si>
    <t xml:space="preserve">• Flexibility and Control</t>
  </si>
  <si>
    <t xml:space="preserve">What is the best insurance for those over 65?</t>
  </si>
  <si>
    <t xml:space="preserve">Why Familia Life Recommends Using a Skilled Broker</t>
  </si>
  <si>
    <t xml:space="preserve">The Financial Implications of Life Insurance</t>
  </si>
  <si>
    <t xml:space="preserve">• Longevity</t>
  </si>
  <si>
    <t xml:space="preserve">Disadvantages of Term Life Insurance</t>
  </si>
  <si>
    <t xml:space="preserve">• Term 100</t>
  </si>
  <si>
    <t xml:space="preserve">• Joint-Last-to-Die</t>
  </si>
  <si>
    <t xml:space="preserve">What is a Preferred Rate?</t>
  </si>
  <si>
    <t xml:space="preserve">Conclusion</t>
  </si>
  <si>
    <t xml:space="preserve">Key Factors in Pricing</t>
  </si>
  <si>
    <t xml:space="preserve">• Table 1: Factors Insurers Consider</t>
  </si>
  <si>
    <t xml:space="preserve">Is a heart attack covered in life insurance?</t>
  </si>
  <si>
    <t xml:space="preserve">Choose Wisely, Live Confidently</t>
  </si>
  <si>
    <t xml:space="preserve">Life Insurance Type Comparison</t>
  </si>
  <si>
    <t xml:space="preserve">Affordability Meets Value at Familia Life</t>
  </si>
  <si>
    <t xml:space="preserve">How Health Concerns Impact Your Quote</t>
  </si>
  <si>
    <t xml:space="preserve">Pros and Cons</t>
  </si>
  <si>
    <t xml:space="preserve">• Claim Settlement Ratio</t>
  </si>
  <si>
    <t xml:space="preserve">Temporary coverage</t>
  </si>
  <si>
    <t xml:space="preserve">Scenarios and Examples</t>
  </si>
  <si>
    <t xml:space="preserve">What are “ratings”?</t>
  </si>
  <si>
    <t xml:space="preserve">• Age at Diagnosis</t>
  </si>
  <si>
    <t xml:space="preserve">Types of Insurance Offers Based on Health</t>
  </si>
  <si>
    <t xml:space="preserve">Will the insurance payout after a heart attack?</t>
  </si>
  <si>
    <t xml:space="preserve">When Term Life Insurance Isn’t the Perfect Solution</t>
  </si>
  <si>
    <t xml:space="preserve">Is Term Life Insurance Worth It for Seniors?</t>
  </si>
  <si>
    <t xml:space="preserve">Comprehensive Protection: A Familia Life Specialty</t>
  </si>
  <si>
    <t xml:space="preserve">Common Health Conditions</t>
  </si>
  <si>
    <t xml:space="preserve">Comparison: Reputable vs. Sketchy</t>
  </si>
  <si>
    <t xml:space="preserve">No cash value</t>
  </si>
  <si>
    <t xml:space="preserve">Married Couples with Shared Financial Responsibilities</t>
  </si>
  <si>
    <t xml:space="preserve">Mild Diabetes (Controlled Without Medication)</t>
  </si>
  <si>
    <t xml:space="preserve">• Type of Diabetes</t>
  </si>
  <si>
    <t xml:space="preserve">• Traditional Life Insurance (Standard Rates)</t>
  </si>
  <si>
    <t xml:space="preserve">Can I get insured after heart failure, disease, or attack?</t>
  </si>
  <si>
    <t xml:space="preserve">Choose the Right Life Insurance Advisor</t>
  </si>
  <si>
    <t xml:space="preserve">Is Whole Life Insurance Worth It for Seniors?</t>
  </si>
  <si>
    <t xml:space="preserve">Exceptional Customer Service: A Familia Life Hallmark</t>
  </si>
  <si>
    <t xml:space="preserve">Mental Health Considerations</t>
  </si>
  <si>
    <t xml:space="preserve">Myth 4: Only for Those with Dependents</t>
  </si>
  <si>
    <t xml:space="preserve">Your To-Do List</t>
  </si>
  <si>
    <t xml:space="preserve">Increasing Premiums</t>
  </si>
  <si>
    <t xml:space="preserve">Advantages of Permanent Life Insurance</t>
  </si>
  <si>
    <t xml:space="preserve">Business Partners</t>
  </si>
  <si>
    <t xml:space="preserve">Moderate to Severe Diabetes (Requires Medication)</t>
  </si>
  <si>
    <t xml:space="preserve">• Complications</t>
  </si>
  <si>
    <t xml:space="preserve">• Traditional Rated Life Insurance (Increased Rates)</t>
  </si>
  <si>
    <t xml:space="preserve">What’s the best life insurance for heart conditions?</t>
  </si>
  <si>
    <t xml:space="preserve">Final Thoughts</t>
  </si>
  <si>
    <t xml:space="preserve">No Medical Life Insurance for Seniors</t>
  </si>
  <si>
    <t xml:space="preserve">Flexibility: Because Life Happens</t>
  </si>
  <si>
    <t xml:space="preserve">No-medical Life Insurance Options</t>
  </si>
  <si>
    <t xml:space="preserve">• Consult a Broker</t>
  </si>
  <si>
    <t xml:space="preserve">Parents and Children for Estate Planning</t>
  </si>
  <si>
    <t xml:space="preserve">Multiple Health Conditions</t>
  </si>
  <si>
    <t xml:space="preserve">• Blood Sugar Control</t>
  </si>
  <si>
    <t xml:space="preserve">• No Medical Life Insurance (Simplified Issue)</t>
  </si>
  <si>
    <t xml:space="preserve">How to get a quote?</t>
  </si>
  <si>
    <t xml:space="preserve">Where is the best place to get life insurance for Seniors?</t>
  </si>
  <si>
    <t xml:space="preserve">List: Why Familia Life Stands Out</t>
  </si>
  <si>
    <t xml:space="preserve">Temporary Health Issues vs. Chronic Conditions</t>
  </si>
  <si>
    <t xml:space="preserve">Single Life Insurance Use-Cases</t>
  </si>
  <si>
    <t xml:space="preserve">• Research Companies</t>
  </si>
  <si>
    <t xml:space="preserve">Key Differences</t>
  </si>
  <si>
    <t xml:space="preserve">What is a Simplified Issue Life Insurance?</t>
  </si>
  <si>
    <t xml:space="preserve">• Additional Medical Conditions</t>
  </si>
  <si>
    <t xml:space="preserve">• Table 2: Insurance Offers Based on Health</t>
  </si>
  <si>
    <t xml:space="preserve">Can you get life insurance after you’ve had a heart attack?</t>
  </si>
  <si>
    <t xml:space="preserve">Guaranteed Approval Life Insurance: The Last Resort</t>
  </si>
  <si>
    <t xml:space="preserve">How to Buy Family Life Insurance</t>
  </si>
  <si>
    <t xml:space="preserve">Life Insurance vs. Mortgage Insurance: A Quick Comparison</t>
  </si>
  <si>
    <t xml:space="preserve">• Debt Payoff</t>
  </si>
  <si>
    <t xml:space="preserve">The Road Ahead</t>
  </si>
  <si>
    <t xml:space="preserve">• Coverage Scope</t>
  </si>
  <si>
    <t xml:space="preserve">• What Helps and Hurts Your Case</t>
  </si>
  <si>
    <t xml:space="preserve">Your Beacon: Familia Life Brokers</t>
  </si>
  <si>
    <t xml:space="preserve">Can you get life insurance if you have a stent?</t>
  </si>
  <si>
    <t xml:space="preserve">What type of life insurance is best for 70 year old?</t>
  </si>
  <si>
    <t xml:space="preserve">Get Your Ducks in a Row</t>
  </si>
  <si>
    <t xml:space="preserve">The Importance of Reading the Fine Print</t>
  </si>
  <si>
    <t xml:space="preserve">• Charitable Contributions</t>
  </si>
  <si>
    <t xml:space="preserve">• Death Benefits and Beneficiaries</t>
  </si>
  <si>
    <t xml:space="preserve">• Cost Efficiency</t>
  </si>
  <si>
    <t xml:space="preserve">Improve Your Case: What Can Help</t>
  </si>
  <si>
    <t xml:space="preserve">Where to Anchor: Life Insurance Options</t>
  </si>
  <si>
    <t xml:space="preserve">What is considered heart trouble for life insurance?</t>
  </si>
  <si>
    <t xml:space="preserve">What is the cheapest life insurance for seniors over 70?</t>
  </si>
  <si>
    <t xml:space="preserve">Identify Your Family’s Needs</t>
  </si>
  <si>
    <t xml:space="preserve">Policy Exclusions and Limitations</t>
  </si>
  <si>
    <t xml:space="preserve">1. Why is a Broker So Important in the Life Insurance Process?</t>
  </si>
  <si>
    <t xml:space="preserve">Comparison: Permanent vs. Term Life Insurance</t>
  </si>
  <si>
    <t xml:space="preserve">• Policy Flexibility</t>
  </si>
  <si>
    <t xml:space="preserve">Watch Out: What Could Hurt</t>
  </si>
  <si>
    <t xml:space="preserve">Frequently Asked Questions</t>
  </si>
  <si>
    <t xml:space="preserve">Can you get life insurance after heart bypass surgery?</t>
  </si>
  <si>
    <t xml:space="preserve">Research and Choose a Reputable Insurance Company</t>
  </si>
  <si>
    <t xml:space="preserve">Potential Riders</t>
  </si>
  <si>
    <t xml:space="preserve">• Think About This</t>
  </si>
  <si>
    <t xml:space="preserve">2. How Do I Know if a Company is Reputable?</t>
  </si>
  <si>
    <t xml:space="preserve">• Duration of Coverage</t>
  </si>
  <si>
    <t xml:space="preserve">Individual vs Joint Term Life</t>
  </si>
  <si>
    <t xml:space="preserve">The Underwriting Process</t>
  </si>
  <si>
    <t xml:space="preserve">Can I get life insurance if I have cancer in Canada?</t>
  </si>
  <si>
    <t xml:space="preserve">How long after a heart attack can I get life insurance?</t>
  </si>
  <si>
    <t xml:space="preserve">The Role of Insurance Agents</t>
  </si>
  <si>
    <t xml:space="preserve">Working With a Competent Advisor is Crucial</t>
  </si>
  <si>
    <t xml:space="preserve">Myth 5: Group Insurance Is Sufficient</t>
  </si>
  <si>
    <t xml:space="preserve">3. Can I Trust Online Reviews About Insurance Companies?</t>
  </si>
  <si>
    <t xml:space="preserve">• Cost Implications</t>
  </si>
  <si>
    <t xml:space="preserve">• Individual Term Life</t>
  </si>
  <si>
    <t xml:space="preserve">The Waiting Game</t>
  </si>
  <si>
    <t xml:space="preserve">Can a Stage 4 cancer patient get life insurance?</t>
  </si>
  <si>
    <t xml:space="preserve">Working with a Broker</t>
  </si>
  <si>
    <t xml:space="preserve">Two Things Before Buying</t>
  </si>
  <si>
    <t xml:space="preserve">Frequently Asked Questions:</t>
  </si>
  <si>
    <t xml:space="preserve">4. What if I Have Health Issues? Can I Still Get Life Insurance?</t>
  </si>
  <si>
    <t xml:space="preserve">• Purpose and Benefits</t>
  </si>
  <si>
    <t xml:space="preserve">• Joint Term Life</t>
  </si>
  <si>
    <t xml:space="preserve">Additional Medical Requirements</t>
  </si>
  <si>
    <t xml:space="preserve">What is the best insurance for cancer patients?</t>
  </si>
  <si>
    <t xml:space="preserve">• Wide Access to Insurers</t>
  </si>
  <si>
    <t xml:space="preserve">• Know Your Policy Inside and Out</t>
  </si>
  <si>
    <t xml:space="preserve">Q1: How are life insurance quotes determined?</t>
  </si>
  <si>
    <t xml:space="preserve">Group vs Individual Policies</t>
  </si>
  <si>
    <t xml:space="preserve">5. Can I Change My Insurance Company Later On?</t>
  </si>
  <si>
    <t xml:space="preserve">• Suitability check-up</t>
  </si>
  <si>
    <t xml:space="preserve">Individual vs. Joint Permanent Life</t>
  </si>
  <si>
    <t xml:space="preserve">• List: Typical Underwriting Requirements</t>
  </si>
  <si>
    <t xml:space="preserve">Can I get life insurance if I had cancer 10 years ago?</t>
  </si>
  <si>
    <t xml:space="preserve">• Personalized Guidance</t>
  </si>
  <si>
    <t xml:space="preserve">• Consult Multiple Sources</t>
  </si>
  <si>
    <t xml:space="preserve">Q2: Is life insurance more expensive as you age?</t>
  </si>
  <si>
    <t xml:space="preserve">Understanding No Medical Life Insurance within the Permanent Category</t>
  </si>
  <si>
    <t xml:space="preserve">• Individual Permanent Life</t>
  </si>
  <si>
    <t xml:space="preserve">Recommendations for Diabetics Seeking Life Insurance</t>
  </si>
  <si>
    <t xml:space="preserve">How does a cancer diagnosis affect life insurance?</t>
  </si>
  <si>
    <t xml:space="preserve">• Understanding Underwriting Nuances</t>
  </si>
  <si>
    <t xml:space="preserve">Q3: Do all life insurance policies require a medical exam?</t>
  </si>
  <si>
    <t xml:space="preserve">Myth 6: Stay-at-Home Parents Don’t Need Insurance</t>
  </si>
  <si>
    <t xml:space="preserve">• Brief about No Medical Life Insurance</t>
  </si>
  <si>
    <t xml:space="preserve">• Joint Permanent Life</t>
  </si>
  <si>
    <t xml:space="preserve">Work with a Broker: Your Best Ally</t>
  </si>
  <si>
    <t xml:space="preserve">• Premiums</t>
  </si>
  <si>
    <t xml:space="preserve">• Simplified Process</t>
  </si>
  <si>
    <t xml:space="preserve">The Final Word</t>
  </si>
  <si>
    <t xml:space="preserve">Q4: Can I get life insurance if I have a pre-existing condition?</t>
  </si>
  <si>
    <t xml:space="preserve">The Interplay of Types and Choices</t>
  </si>
  <si>
    <t xml:space="preserve">Why Brokers Are Better</t>
  </si>
  <si>
    <t xml:space="preserve">• Eligibility</t>
  </si>
  <si>
    <t xml:space="preserve">• Comparative Analysis</t>
  </si>
  <si>
    <t xml:space="preserve">Importance of the Right Choice</t>
  </si>
  <si>
    <t xml:space="preserve">Q5: How do Canadian life insurance policies differ from those in other countries?</t>
  </si>
  <si>
    <t xml:space="preserve">The Real Cost of a Stay-At-Home Parent</t>
  </si>
  <si>
    <t xml:space="preserve">• Downsides</t>
  </si>
  <si>
    <t xml:space="preserve">Comparative Analysis</t>
  </si>
  <si>
    <t xml:space="preserve">• Diverse Options</t>
  </si>
  <si>
    <t xml:space="preserve">• Coverage Amount</t>
  </si>
  <si>
    <t xml:space="preserve">The Need for Proper Research and Consultation</t>
  </si>
  <si>
    <t xml:space="preserve">• Who Should Consider It?</t>
  </si>
  <si>
    <t xml:space="preserve">Table: Feature-by-Feature Comparison</t>
  </si>
  <si>
    <t xml:space="preserve">• Waiting Periods</t>
  </si>
  <si>
    <t xml:space="preserve">Frequently Asked Questions (FAQ)</t>
  </si>
  <si>
    <t xml:space="preserve">Myth 7: Too Young for Life Insurance</t>
  </si>
  <si>
    <t xml:space="preserve">Determining How Much Permanent Life Insurance You Need</t>
  </si>
  <si>
    <t xml:space="preserve">Case Studies: Real-life Scenarios</t>
  </si>
  <si>
    <t xml:space="preserve">• Saves Time and Money</t>
  </si>
  <si>
    <t xml:space="preserve">What type of life insurance is best for a family?</t>
  </si>
  <si>
    <t xml:space="preserve">• Factors to Consider</t>
  </si>
  <si>
    <t xml:space="preserve">Financial Implications</t>
  </si>
  <si>
    <t xml:space="preserve">• Broker vs. Captive Agent vs. Call Center Agent</t>
  </si>
  <si>
    <t xml:space="preserve">What is family life insurance Canada?</t>
  </si>
  <si>
    <t xml:space="preserve">Premiums by Age</t>
  </si>
  <si>
    <t xml:space="preserve">• Financial Obligations</t>
  </si>
  <si>
    <t xml:space="preserve">Long-term vs Short-term Benefits</t>
  </si>
  <si>
    <t xml:space="preserve">Non-Medical vs. Traditional</t>
  </si>
  <si>
    <t xml:space="preserve">Is there life insurance that covers the whole family?</t>
  </si>
  <si>
    <t xml:space="preserve">• Smart Move</t>
  </si>
  <si>
    <t xml:space="preserve">• Dependents</t>
  </si>
  <si>
    <t xml:space="preserve">Pros and Cons of Individual Life Insurance</t>
  </si>
  <si>
    <t xml:space="preserve">Avoid Short-Term Contracts</t>
  </si>
  <si>
    <t xml:space="preserve">What is one benefit of life insurance to your family?</t>
  </si>
  <si>
    <t xml:space="preserve">Myth 8: Too Old for Life Insurance</t>
  </si>
  <si>
    <t xml:space="preserve">Advantages</t>
  </si>
  <si>
    <t xml:space="preserve">The Power of Permanent</t>
  </si>
  <si>
    <t xml:space="preserve">What is the best way to leave money to family?</t>
  </si>
  <si>
    <t xml:space="preserve">• Future Financial Needs</t>
  </si>
  <si>
    <t xml:space="preserve">Diabetics with Additional Health Issues</t>
  </si>
  <si>
    <t xml:space="preserve">Tips for Older Applicants</t>
  </si>
  <si>
    <t xml:space="preserve">• Existing Savings and Investments</t>
  </si>
  <si>
    <t xml:space="preserve">• Multiple Beneficiaries</t>
  </si>
  <si>
    <t xml:space="preserve">Best Life Insurance Options for Diabetics</t>
  </si>
  <si>
    <t xml:space="preserve">• Shop Around</t>
  </si>
  <si>
    <t xml:space="preserve">• Tax implications of your assets</t>
  </si>
  <si>
    <t xml:space="preserve">• Independence</t>
  </si>
  <si>
    <t xml:space="preserve">Non-Medical Policies: Often Your Best Bet</t>
  </si>
  <si>
    <t xml:space="preserve">• Consult Advisors</t>
  </si>
  <si>
    <t xml:space="preserve">End-of-Term Scenarios and Their Impact on Permanent Policies</t>
  </si>
  <si>
    <t xml:space="preserve">Disadvantages</t>
  </si>
  <si>
    <t xml:space="preserve">Why Permanent Policies Shine</t>
  </si>
  <si>
    <t xml:space="preserve">• What Happens When a Term Policy Ends?</t>
  </si>
  <si>
    <t xml:space="preserve">• Cost</t>
  </si>
  <si>
    <t xml:space="preserve">• Non-Medical vs. Fully-Underwritten Life Insurance</t>
  </si>
  <si>
    <t xml:space="preserve">Myth 9: Preexisting Conditions Disqualify You</t>
  </si>
  <si>
    <t xml:space="preserve">• Expiration Without Claim</t>
  </si>
  <si>
    <t xml:space="preserve">• Simplicity</t>
  </si>
  <si>
    <t xml:space="preserve">Individual Needs Vary: Consult a Broker</t>
  </si>
  <si>
    <t xml:space="preserve">• Renewal Option</t>
  </si>
  <si>
    <t xml:space="preserve">Pros and Cons of Joint Life Insurance</t>
  </si>
  <si>
    <t xml:space="preserve">Considerations for Preexisting Conditions</t>
  </si>
  <si>
    <t xml:space="preserve">• Converting Term Policies to Permanent</t>
  </si>
  <si>
    <t xml:space="preserve">FAQ: Life Insurance for Diabetics</t>
  </si>
  <si>
    <t xml:space="preserve">• Conclusion</t>
  </si>
  <si>
    <t xml:space="preserve">• Cost-Effective</t>
  </si>
  <si>
    <t xml:space="preserve">Do diabetics qualify for life insurance?</t>
  </si>
  <si>
    <t xml:space="preserve">Myth 10: Other Investments Are Better</t>
  </si>
  <si>
    <t xml:space="preserve">• Unified Management</t>
  </si>
  <si>
    <t xml:space="preserve">Does Canada life cover diabetes?</t>
  </si>
  <si>
    <t xml:space="preserve">Can insulin-dependent diabetics get life insurance?</t>
  </si>
  <si>
    <t xml:space="preserve">Investment Comparison</t>
  </si>
  <si>
    <t xml:space="preserve">How does Type 2 diabetes affect life insurance?</t>
  </si>
  <si>
    <t xml:space="preserve">• Limited Flexibility</t>
  </si>
  <si>
    <t xml:space="preserve">Is Type 2 diabetes considered a permanent disability?</t>
  </si>
  <si>
    <t xml:space="preserve">Myth 11: Permanent Insurance Is for the Wealthy</t>
  </si>
  <si>
    <t xml:space="preserve">• Single Payout</t>
  </si>
  <si>
    <t xml:space="preserve">Underwriting for Joint Life Insurance: A Deeper Dive</t>
  </si>
  <si>
    <t xml:space="preserve">Scenarios for Permanent Insurance</t>
  </si>
  <si>
    <t xml:space="preserve">Individual vs Joint Underwriting</t>
  </si>
  <si>
    <t xml:space="preserve">• Wealth Transfer</t>
  </si>
  <si>
    <t xml:space="preserve">The Average Age Band Factor</t>
  </si>
  <si>
    <t xml:space="preserve">• Business Planning</t>
  </si>
  <si>
    <t xml:space="preserve">The Domino Effect on Risk</t>
  </si>
  <si>
    <t xml:space="preserve">What to Expect in Medical Checks</t>
  </si>
  <si>
    <t xml:space="preserve">Myth 12: Coverage Should Be Twice the Annual Salary</t>
  </si>
  <si>
    <t xml:space="preserve">How Much Insurance Do You Need?</t>
  </si>
  <si>
    <t xml:space="preserve">Quotes and Pricing</t>
  </si>
  <si>
    <t xml:space="preserve">How Much Coverage Do You Really Need?</t>
  </si>
  <si>
    <t xml:space="preserve">1. What’s the Main Difference Between Joint and Individual Life Insurance?</t>
  </si>
  <si>
    <t xml:space="preserve">• Expenses</t>
  </si>
  <si>
    <t xml:space="preserve">2. Can I Convert a Joint Life Insurance Policy into Two Individual Policies?</t>
  </si>
  <si>
    <t xml:space="preserve">• Future Goals</t>
  </si>
  <si>
    <t xml:space="preserve">3. How Do Medical Background Checks Work for Joint Life Insurance?</t>
  </si>
  <si>
    <t xml:space="preserve">4. What Happens If One Person Dies in a Joint Life Insurance Policy?</t>
  </si>
  <si>
    <t xml:space="preserve">5. How Do I Decide How Much Coverage I Need?</t>
  </si>
  <si>
    <t xml:space="preserve">familialife.ca: full site review (Familia Life)</t>
  </si>
  <si>
    <t xml:space="preserve">Reviewed October 14, 2026. Live site blocks automated access (HTTP 403), so page content comes from Internet Archive snapshots (mostly January 2024; home page April 2025) plus current search results. See 'Method &amp; Notes'.</t>
  </si>
  <si>
    <t xml:space="preserve">AT A GLANCE (formulas over the other tabs)</t>
  </si>
  <si>
    <t xml:space="preserve">Knowledge pages listed</t>
  </si>
  <si>
    <t xml:space="preserve">  Guides</t>
  </si>
  <si>
    <t xml:space="preserve">  Articles</t>
  </si>
  <si>
    <t xml:space="preserve">  Product explainer and sales pages</t>
  </si>
  <si>
    <t xml:space="preserve">  Known from search results only</t>
  </si>
  <si>
    <t xml:space="preserve">Pages with an FAQ section</t>
  </si>
  <si>
    <t xml:space="preserve">Subheadings catalogued (Tab 2)</t>
  </si>
  <si>
    <t xml:space="preserve">Average approx. article words (archived pages)</t>
  </si>
  <si>
    <t xml:space="preserve">Topics with no Instasure equivalent yet</t>
  </si>
  <si>
    <t xml:space="preserve">All URLs found (Tab 4)</t>
  </si>
  <si>
    <t xml:space="preserve">WHO THEY ARE</t>
  </si>
  <si>
    <t xml:space="preserve">Business</t>
  </si>
  <si>
    <t xml:space="preserve">Familia Life, a Toronto-based life insurance brokerage. It presents itself as a team of national brokers with access to 20+ Canadian insurers (self-reported; not verified). Toll-free 1-844-625-0992, info@familialife.ca. Author named on the blog: Richard Kim.</t>
  </si>
  <si>
    <t xml:space="preserve">Products sold</t>
  </si>
  <si>
    <t xml:space="preserve">Term life, permanent/whole life (incl. universal), no-medical life, mortgage protection (positioned as term life instead of bank coverage), final expense, and health insurance for people leaving group plans. Critical illness appears only as a blog guide and a rider mention.</t>
  </si>
  <si>
    <t xml:space="preserve">Platform</t>
  </si>
  <si>
    <t xml:space="preserve">WordPress with Elementor and the Pixfort theme, hosted on SiteGround (CDN with bot protection). Lead capture: per-product quote forms plus a multi-step quote quiz (coverage, age, smoking, conditions, postal code, then contact details).</t>
  </si>
  <si>
    <t xml:space="preserve">HOW THE CONTENT CREATES VALUE</t>
  </si>
  <si>
    <t xml:space="preserve">Long-form explainers</t>
  </si>
  <si>
    <t xml:space="preserve">Each core product has a long 'Everything about…' guide (term, permanent, no medical) that defines the product, lists types, who it suits, pros and cons, and cost logic.</t>
  </si>
  <si>
    <t xml:space="preserve">Underwriting and health niche</t>
  </si>
  <si>
    <t xml:space="preserve">Their strongest content: diabetes, cancer and heart-condition guides, plus 'how insurers check medical background', 'health issues' and rate-class explanations (standard, preferred, ratings) with a worked example (45-year-old diabetic). Each ends with FAQs targeting long-tail questions (stage 4 cancer, stents, bypass, insulin-dependent).</t>
  </si>
  <si>
    <t xml:space="preserve">Decision help</t>
  </si>
  <si>
    <t xml:space="preserve">Comparisons (joint vs individual, permanent vs term, term vs bank mortgage protection), myth-busting (12 myths with 'the reality'), 'two things before buying', end-of-term options, how much to buy.</t>
  </si>
  <si>
    <t xml:space="preserve">Broker positioning</t>
  </si>
  <si>
    <t xml:space="preserve">Almost every guide steers to 'work with a broker' (broker vs captive agent vs call centre, access to all insurers, underwriting expertise). Content is the trust engine for the quote forms.</t>
  </si>
  <si>
    <t xml:space="preserve">Formats used</t>
  </si>
  <si>
    <t xml:space="preserve">Key takeaways boxes, FAQ blocks, comparison tables (up to 7 per page), scenario examples, numbered steps, bold lead-in labels for sub-points. No calculators, no rate tables by age (apart from one table in the myths article), no province or city pages.</t>
  </si>
  <si>
    <t xml:space="preserve">WEAKNESSES AND SEO ISSUES</t>
  </si>
  <si>
    <t xml:space="preserve">H1 misuse</t>
  </si>
  <si>
    <t xml:space="preserve">The mega-menu codes every menu item as an H1: 36–37 H1 tags on every page. The real page title is often an H2 or missing as H1, which muddies the heading outline for search engines and screen readers.</t>
  </si>
  <si>
    <t xml:space="preserve">Thin product pages</t>
  </si>
  <si>
    <t xml:space="preserve">Product pages carry only 4–5 short sections (Understanding / How it works / Benefits / Cost) and rely on testimonials (8 client names coded as H5 headings) and quote buttons.</t>
  </si>
  <si>
    <t xml:space="preserve">Headings misused for paragraphs</t>
  </si>
  <si>
    <t xml:space="preserve">Full paragraphs are marked up as headings on: /everything-about-no-medical-life-insurance, /everything-about-term-life-insurance.</t>
  </si>
  <si>
    <t xml:space="preserve">Missing meta descriptions</t>
  </si>
  <si>
    <t xml:space="preserve">No meta description on 7 pages: /how-much-life-insurance-should-i-get, /mortgage-protection-insurance, /mortgage-protection-insurance-quote-form, /no-medical-insurance, /no-medical-life-insurance-quote-form, /permanent-life-insurance-quote-form, /term-life-insurance-quote-form.</t>
  </si>
  <si>
    <t xml:space="preserve">No FAQ markup</t>
  </si>
  <si>
    <t xml:space="preserve">FAQ sections exist on several guides, but no FAQPage structured data was found (schema is BlogPosting/Article, BreadcrumbList, InsuranceAgency, Person).</t>
  </si>
  <si>
    <t xml:space="preserve">Stale content</t>
  </si>
  <si>
    <t xml:space="preserve">Article publish dates run 2020-04-22 to 2023-10-04; last edits found 2022-12-06 to 2025-03-30. Apart from the newer tax-deductibility article (found only in search), no new guides appear after October 2023, and figures carry no 'as of' dates.</t>
  </si>
  <si>
    <t xml:space="preserve">Compliance-risk claims</t>
  </si>
  <si>
    <t xml:space="preserve">Superlatives and guarantees in titles and headings: 'Lowest Life Insurance Rates in Canada', 'Best Life Insurance Rates in Canada', 'LOWEST PREMIUM - GUARANTEED!', 'RATES WILL NEVER GO UP'. These are claims Canadian advertising rules (Competition Act, FSRA/RIBO) expect to be substantiated.</t>
  </si>
  <si>
    <t xml:space="preserve">Crawlability</t>
  </si>
  <si>
    <t xml:space="preserve">The site answers HTTP 403 to non-browser and data-centre requests (SiteGround bot protection). Pages like the critical illness and claims guides were captured by the archive only as challenge pages, which suggests some crawlers may also be blocked.</t>
  </si>
  <si>
    <t xml:space="preserve">Coverage gaps</t>
  </si>
  <si>
    <t xml:space="preserve">No pages for critical illness (product), disability, travel/super visa, business or group benefits, no provincial pages, no tools or calculators, no licensed-reviewer lines on articles.</t>
  </si>
  <si>
    <t xml:space="preserve">WHAT INSTASURE CAN TAKE FROM THIS</t>
  </si>
  <si>
    <t xml:space="preserve">Topics to publish first</t>
  </si>
  <si>
    <t xml:space="preserve">Their medical-condition trio (diabetes, cancer, heart) is already in the Instasure plan as planned guides: moving them up, with Instasure's Medical underwriting desk as the call to action, targets their strongest content directly.</t>
  </si>
  <si>
    <t xml:space="preserve">Clear gaps</t>
  </si>
  <si>
    <t xml:space="preserve">Life insurance myths and family life insurance have no Instasure equivalent; joint life, universal life, end-of-term options, medical exams and how to claim are planned but unpublished (see Tab 1, column O).</t>
  </si>
  <si>
    <t xml:space="preserve">Ways to beat them</t>
  </si>
  <si>
    <t xml:space="preserve">Fresh 'as of' dates, a licensed reviewer line, FAQPage markup, one H1 per page, instant estimates and rate tables (they have none), and province coverage.</t>
  </si>
  <si>
    <t xml:space="preserve">familialife.ca: every URL found</t>
  </si>
  <si>
    <t xml:space="preserve">From the Internet Archive index, the archived blog listing and search results (October 14, 2026).</t>
  </si>
  <si>
    <t xml:space="preserve">Page type</t>
  </si>
  <si>
    <t xml:space="preserve">Title</t>
  </si>
  <si>
    <t xml:space="preserve">Meta description</t>
  </si>
  <si>
    <t xml:space="preserve">Source</t>
  </si>
  <si>
    <t xml:space="preserve">Page words</t>
  </si>
  <si>
    <t xml:space="preserve">H1 tags (raw)</t>
  </si>
  <si>
    <t xml:space="preserve">At Familia Life, we deliver the best life insurance rates in Canada and unbiased advice, always putting your family first.</t>
  </si>
  <si>
    <t xml:space="preserve">Archive 2025-04-18</t>
  </si>
  <si>
    <t xml:space="preserve">Term life insurance in Canada is a form of life insurance coverage that is active for a predetermined period, often known as a "term". This could span 10, 20,</t>
  </si>
  <si>
    <t xml:space="preserve">Archive 2024-01-16</t>
  </si>
  <si>
    <t xml:space="preserve">Everything you need to know about Term Life Insurance in Canada</t>
  </si>
  <si>
    <t xml:space="preserve">In this informative article, we explore what happens at the end of term life insurance in Canada. It covers the different options available, including renewal, conversion to permanent insurance, or letting the policy simply expire. We emphasize the importance of considering your individual circumstances and future financial needs, encouraging readers to stay informed and consult with a trusted life insurance advisor when making crucial decisions.</t>
  </si>
  <si>
    <t xml:space="preserve">Lowest whole life insurance rates in Canada. Qualify within minutes. Get your free quote today.</t>
  </si>
  <si>
    <t xml:space="preserve">Navigating the world of life insurance can be daunting, especially with the myriad of options available. This article delves deep into the realm of Permanent Life Insurance, contrasting it with its counterpart - Term Life Insurance. Readers will gain insights into the types, advantages, cost implications, and key considerations of Permanent Life Insurance. Whether you're contemplating which policy is right for you or simply seeking to understand the intricacies of life insurance, this guide offers clarity and direction.</t>
  </si>
  <si>
    <t xml:space="preserve">Understanding the complexities of universal life insurance can be a challenging task. This comprehensive guide breaks down the basics of universal life insurance, differentiates it from other insurance types, and explores its tax implications. Uncover whether this flexible, investment-linked insurance option could be the right fit for your financial planning. Navigate your path in the insurance landscape with the help of Familialife.ca, your trusted Canadian Insurance brokerage firm.</t>
  </si>
  <si>
    <t xml:space="preserve">Choosing between Joint and Individual Life Insurance can feel like a high-stakes game of "Would You Rather?" But it doesn't have to be. Our comprehensive guide dives deep into the nuances of both options, offering real-life scenarios, pros and cons, and even a feature-by-feature comparison. Whether you're a couple looking to share financial responsibilities or an individual seeking tailored coverage, this article is your roadmap to making an informed decision. Get the answers to all your burning questions and more. Ready to secure your family's financial future? Read on.</t>
  </si>
  <si>
    <t xml:space="preserve">Archive 2024-01-09</t>
  </si>
  <si>
    <t xml:space="preserve">(missing)</t>
  </si>
  <si>
    <t xml:space="preserve">Archive 2024-01-19</t>
  </si>
  <si>
    <t xml:space="preserve">Everything you need to know about No Medical Life Insurance in Canada</t>
  </si>
  <si>
    <t xml:space="preserve">How do you get or qualify for a life insurance if you have health issues? In this article, we'll answer all of your questions on how you can get life insurance even if you have health concerns.</t>
  </si>
  <si>
    <t xml:space="preserve">Think diabetes puts life insurance out of reach? Think again! This comprehensive guide dispels the myths and lays out the facts about securing life insurance as a diabetic in Canada. From understanding how your diagnosis impacts rates to tips for navigating the underwriting process, we've got you covered. Read on to learn why working with a broker could be your best bet and how to get the most out of your policy.</t>
  </si>
  <si>
    <t xml:space="preserve">Embarking on the quest for life insurance post-cancer diagnosis can be daunting, but with Familia Life at your helm, it's a journey you won’t have to make alone. Delve into the variety of insurance policies available, understand the insurer's lens, and learn how our adept brokers can tailor insurance solutions to your unique circumstances. From decoding the impact of your cancer type, stage, and other health conditions, to guiding you through Canada’s insurance landscape, Familia Life is your beacon towards securing financial peace of mind for you and your loved ones. Discover answers to pressing questions and how Familia Life brokers advocate for you in securing favorable insurance terms, even in the face of medical adversities.</t>
  </si>
  <si>
    <t xml:space="preserve">Navigating the complex world of life insurance with a heart condition can feel overwhelming. Our comprehensive guide demystifies the process, from understanding what constitutes a heart condition to exploring various insurance options. We delve deep into the underwriting process and provide a robust FAQ section to answer your burning questions. Whether you've had a heart attack, surgery, or are managing a congenital condition, this article is your roadmap to securing the right life insurance policy.</t>
  </si>
  <si>
    <t xml:space="preserve">Navigating the labyrinth of mortgage-related insurance products can be daunting. This comprehensive guide clarifies the complexities, shedding light on the distinctions between Mortgage Insurance, Mortgage Protection Insurance, and Mortgage Loan Insurance. Unravel the mystery and discover why Term Life Insurance often trumps the bank's Mortgage Protection Insurance in terms of value and flexibility. The ultimate guide on Mortgage Insurance has all the answers to help you make informed decisions for your financial future.</t>
  </si>
  <si>
    <t xml:space="preserve">Lowest Final Expense insurance in Canada. Qualify within minutes. Get your free quote today - no obligations.</t>
  </si>
  <si>
    <t xml:space="preserve">Unraveling the intricacies of senior life insurance in Canada is simpler than you think. Our in-depth guide aims to clarify the landscape and empower you to make a well-informed decision. Tailored for those who are 50 and older, we cover various insurance types, their strengths and weaknesses, and crucial factors like end-of-life expenses and estate planning. With this resource, you're well-equipped to select a policy that best suits your unique circumstances and financial aspirations.</t>
  </si>
  <si>
    <t xml:space="preserve">Confused about family life insurance in Canada? You're not alone. Dive into this comprehensive guide to discover what really counts when choosing the perfect plan for your loved ones. From the importance of a skilled broker to the balance between affordability and value, we've got you covered. Familia Life is here to help you navigate the complex world of family insurance, so you can make an informed decision that genuinely meets your family's needs. Ready to secure your family's financial future? Let's get started!</t>
  </si>
  <si>
    <t xml:space="preserve">Search results only</t>
  </si>
  <si>
    <t xml:space="preserve">Lost employer health coverage? Facing big medical bills? Don't stress! We've got tailored plans for you and your family. We've got your back.</t>
  </si>
  <si>
    <t xml:space="preserve">Life insurance in Canada: a quick guide that walks you through the basic concepts, different types of policies, how premiums are determined, tax implications, and how to choose the right coverage for your needs. Stay informed to make the best decisions for your family's future.</t>
  </si>
  <si>
    <t xml:space="preserve">"Life insurance can often feel like a maze of terms, rates, and policies. Delve into the intricacies of how life insurance quotes are determined in Canada, and arm yourself with the knowledge to navigate this essential financial safeguard. From understanding the factors that influence your premium to demystifying the Canadian life insurance landscape, this comprehensive guide answers your most pressing questions."</t>
  </si>
  <si>
    <t xml:space="preserve">How does life insurance companies check medical backgrounds? We answer this question in-depth in this article.</t>
  </si>
  <si>
    <t xml:space="preserve">Unravel the tangled web of life insurance myths that could be holding you back from vital financial planning. From misconceptions about costs to the role of preexisting conditions, this comprehensive guide busts 12 common myths, setting the facts straight. Whether you're young, old, or somewhere in between, find out how life insurance can fit into your financial roadmap. Brought to you by Familia Life, your trusted Canadian life and health insurance brokerage. 🍁</t>
  </si>
  <si>
    <t xml:space="preserve">Ready to dive into the world of life insurance? Hold up! Our latest article zeroes in on two must-dos: picking a seasoned broker and opting for a reputable insurance company. Discover why these are your keys to unlocking a secure future. 🌟🔒</t>
  </si>
  <si>
    <t xml:space="preserve">https://familialife.ca/about/</t>
  </si>
  <si>
    <t xml:space="preserve">Company page</t>
  </si>
  <si>
    <t xml:space="preserve">About Us</t>
  </si>
  <si>
    <t xml:space="preserve">There were over 45,000 life insurance agents in Canada as of 2017 and counting, according to FSRA (Financial Services Regulatory Authority of Ontario).</t>
  </si>
  <si>
    <t xml:space="preserve">2019-07-12</t>
  </si>
  <si>
    <t xml:space="preserve">https://familialife.ca/contact-us/</t>
  </si>
  <si>
    <t xml:space="preserve">Contact page</t>
  </si>
  <si>
    <t xml:space="preserve">Contact Us</t>
  </si>
  <si>
    <t xml:space="preserve">info@familialife.ca</t>
  </si>
  <si>
    <t xml:space="preserve">2022-03-03</t>
  </si>
  <si>
    <t xml:space="preserve">2023-12-27</t>
  </si>
  <si>
    <t xml:space="preserve">https://familialife.ca/blog/</t>
  </si>
  <si>
    <t xml:space="preserve">Blog index</t>
  </si>
  <si>
    <t xml:space="preserve">Blog posts</t>
  </si>
  <si>
    <t xml:space="preserve">Featured Articles. Search Everything about No Medical Life Insurance Everything you need to know about No Medical Life Insurance in Canada Read More Richard</t>
  </si>
  <si>
    <t xml:space="preserve">2021-02-16</t>
  </si>
  <si>
    <t xml:space="preserve">https://familialife.ca/author/richard-kim/</t>
  </si>
  <si>
    <t xml:space="preserve">Author archive (search only)</t>
  </si>
  <si>
    <t xml:space="preserve">Familia Life (author archive: Richard Kim)</t>
  </si>
  <si>
    <t xml:space="preserve">https://familialife.ca/get-your-quote-today/</t>
  </si>
  <si>
    <t xml:space="preserve">Quote quiz (search only)</t>
  </si>
  <si>
    <t xml:space="preserve">Lead info quiz</t>
  </si>
  <si>
    <t xml:space="preserve">https://familialife.ca/term-life-insurance-quote-form/</t>
  </si>
  <si>
    <t xml:space="preserve">Quote form</t>
  </si>
  <si>
    <t xml:space="preserve">Term Life Insurance Quote – Form</t>
  </si>
  <si>
    <t xml:space="preserve">2022-12-06</t>
  </si>
  <si>
    <t xml:space="preserve">https://familialife.ca/permanent-life-insurance-quote-form/</t>
  </si>
  <si>
    <t xml:space="preserve">Permanent Life Insurance Quote – Form</t>
  </si>
  <si>
    <t xml:space="preserve">https://familialife.ca/no-medical-life-insurance-quote-form/</t>
  </si>
  <si>
    <t xml:space="preserve">No Medical Life Insurance Quote – Form</t>
  </si>
  <si>
    <t xml:space="preserve">https://familialife.ca/mortgage-protection-insurance-quote-form/</t>
  </si>
  <si>
    <t xml:space="preserve">Mortgage Protection Insurance Quote – Form</t>
  </si>
  <si>
    <t xml:space="preserve">https://familialife.ca/privacy-policy/</t>
  </si>
  <si>
    <t xml:space="preserve">Legal</t>
  </si>
  <si>
    <t xml:space="preserve">Privacy Policy</t>
  </si>
  <si>
    <t xml:space="preserve">Familia Life Privacy Policy</t>
  </si>
  <si>
    <t xml:space="preserve">2020-05-10</t>
  </si>
  <si>
    <t xml:space="preserve">https://familialife.ca/terms-and-conditions/</t>
  </si>
  <si>
    <t xml:space="preserve">Terms and Conditions</t>
  </si>
  <si>
    <t xml:space="preserve">These Website Standard Terms and Conditions written on this webpage shall manage your use of our website, https://familialife.ca/ accessible</t>
  </si>
  <si>
    <t xml:space="preserve">2021-02-17</t>
  </si>
  <si>
    <t xml:space="preserve">Method &amp; notes</t>
  </si>
  <si>
    <t xml:space="preserve">Review date</t>
  </si>
  <si>
    <t xml:space="preserve">October 14, 2026</t>
  </si>
  <si>
    <t xml:space="preserve">Access</t>
  </si>
  <si>
    <t xml:space="preserve">familialife.ca returns HTTP 403 to automated requests (SiteGround CDN bot protection). No attempt was made to get around it.</t>
  </si>
  <si>
    <t xml:space="preserve">Sources</t>
  </si>
  <si>
    <t xml:space="preserve">Internet Archive (web.archive.org) latest snapshot of each page, plus web search results restricted to familialife.ca for pages added later.</t>
  </si>
  <si>
    <t xml:space="preserve">Site template words (assumption)</t>
  </si>
  <si>
    <t xml:space="preserve">Used by 'Approx. article words' in Tab 1: page words minus the menus, footer and forms that appear on every page, measured on a quote-form page that contains only the template. Edit this cell to change the estimate.</t>
  </si>
  <si>
    <t xml:space="preserve">Snapshot dates</t>
  </si>
  <si>
    <t xml:space="preserve">Most pages: January 9–19, 2024. Home page: April 18, 2025. The live pages may have changed since.</t>
  </si>
  <si>
    <t xml:space="preserve">Search-only pages</t>
  </si>
  <si>
    <t xml:space="preserve">Critical illness guide (/whats-ci/), claims guide (/how-to-claim/) and premium tax article (/are-life-insurance-premiums-tax-deductible-in-canada/): titles and topics from search results; outlines not available. The archive holds only bot-challenge pages for the first two.</t>
  </si>
  <si>
    <t xml:space="preserve">How subheadings were extracted</t>
  </si>
  <si>
    <t xml:space="preserve">All H1–H6 headings in page order, plus bold lead-in labels at the start of a paragraph or list item (shown with •). Removed: menu, footer and call-to-action headings repeated across pages, client testimonial names, 'Answer' placeholders, related-post titles, inline 'Learn more' links, and paragraphs wrongly marked up as headings (over 130 characters).</t>
  </si>
  <si>
    <t xml:space="preserve">Indentation in Tab 2</t>
  </si>
  <si>
    <t xml:space="preserve">Top-level sections are bold and flush left; each deeper heading level is indented; • items are bold labels inside the text under the heading above them.</t>
  </si>
  <si>
    <t xml:space="preserve">Claims</t>
  </si>
  <si>
    <t xml:space="preserve">Business facts (20+ insurers, contact details) are self-reported by the site and were not verified.</t>
  </si>
</sst>
</file>

<file path=xl/styles.xml><?xml version="1.0" encoding="utf-8"?>
<styleSheet xmlns="http://schemas.openxmlformats.org/spreadsheetml/2006/main">
  <numFmts count="2">
    <numFmt numFmtId="164" formatCode="General"/>
    <numFmt numFmtId="165" formatCode="#,##0"/>
  </numFmts>
  <fonts count="24">
    <font>
      <sz val="11"/>
      <color theme="1"/>
      <name val="Calibri"/>
      <family val="2"/>
      <charset val="1"/>
    </font>
    <font>
      <sz val="10"/>
      <name val="Arial"/>
      <family val="0"/>
    </font>
    <font>
      <sz val="10"/>
      <name val="Arial"/>
      <family val="0"/>
    </font>
    <font>
      <sz val="10"/>
      <name val="Arial"/>
      <family val="0"/>
    </font>
    <font>
      <b val="true"/>
      <sz val="14"/>
      <color rgb="FF0B3D2E"/>
      <name val="Arial"/>
      <family val="0"/>
      <charset val="1"/>
    </font>
    <font>
      <i val="true"/>
      <sz val="9"/>
      <color rgb="FF555555"/>
      <name val="Arial"/>
      <family val="0"/>
      <charset val="1"/>
    </font>
    <font>
      <b val="true"/>
      <sz val="10"/>
      <color rgb="FFFFFFFF"/>
      <name val="Arial"/>
      <family val="0"/>
      <charset val="1"/>
    </font>
    <font>
      <sz val="9"/>
      <name val="Arial"/>
      <family val="0"/>
      <charset val="1"/>
    </font>
    <font>
      <u val="single"/>
      <sz val="9"/>
      <color rgb="FF1155CC"/>
      <name val="Arial"/>
      <family val="0"/>
      <charset val="1"/>
    </font>
    <font>
      <sz val="10"/>
      <name val="Arial"/>
      <family val="2"/>
    </font>
    <font>
      <b val="true"/>
      <sz val="12"/>
      <color rgb="FF0B3D2E"/>
      <name val="Arial"/>
      <family val="0"/>
      <charset val="1"/>
    </font>
    <font>
      <b val="true"/>
      <sz val="10"/>
      <name val="Arial"/>
      <family val="0"/>
      <charset val="1"/>
    </font>
    <font>
      <i val="true"/>
      <sz val="9"/>
      <color rgb="FF444444"/>
      <name val="Arial"/>
      <family val="0"/>
      <charset val="1"/>
    </font>
    <font>
      <sz val="8"/>
      <color rgb="FF555555"/>
      <name val="Arial"/>
      <family val="0"/>
      <charset val="1"/>
    </font>
    <font>
      <b val="true"/>
      <sz val="9"/>
      <color rgb="FFFFFFFF"/>
      <name val="Arial"/>
      <family val="0"/>
      <charset val="1"/>
    </font>
    <font>
      <b val="true"/>
      <sz val="10"/>
      <color rgb="FF0B3D2E"/>
      <name val="Arial"/>
      <family val="0"/>
      <charset val="1"/>
    </font>
    <font>
      <b val="true"/>
      <sz val="9"/>
      <name val="Arial"/>
      <family val="0"/>
      <charset val="1"/>
    </font>
    <font>
      <i val="true"/>
      <sz val="9"/>
      <color rgb="FF3D4B45"/>
      <name val="Arial"/>
      <family val="0"/>
      <charset val="1"/>
    </font>
    <font>
      <i val="true"/>
      <sz val="9"/>
      <color rgb="FF7A5C00"/>
      <name val="Arial"/>
      <family val="0"/>
      <charset val="1"/>
    </font>
    <font>
      <i val="true"/>
      <sz val="10"/>
      <color rgb="FF000000"/>
      <name val="Arial"/>
      <family val="0"/>
      <charset val="1"/>
    </font>
    <font>
      <b val="true"/>
      <sz val="10"/>
      <color rgb="FF000000"/>
      <name val="Arial"/>
      <family val="0"/>
      <charset val="1"/>
    </font>
    <font>
      <sz val="10"/>
      <name val="Arial"/>
      <family val="0"/>
      <charset val="1"/>
    </font>
    <font>
      <sz val="10"/>
      <color rgb="FF000000"/>
      <name val="Arial"/>
      <family val="0"/>
      <charset val="1"/>
    </font>
    <font>
      <sz val="10"/>
      <color rgb="FF0000FF"/>
      <name val="Arial"/>
      <family val="0"/>
      <charset val="1"/>
    </font>
  </fonts>
  <fills count="13">
    <fill>
      <patternFill patternType="none"/>
    </fill>
    <fill>
      <patternFill patternType="gray125"/>
    </fill>
    <fill>
      <patternFill patternType="solid">
        <fgColor rgb="FF0B3D2E"/>
        <bgColor rgb="FF003366"/>
      </patternFill>
    </fill>
    <fill>
      <patternFill patternType="solid">
        <fgColor rgb="FFFFF7E0"/>
        <bgColor rgb="FFF4EADB"/>
      </patternFill>
    </fill>
    <fill>
      <patternFill patternType="solid">
        <fgColor rgb="FFDCEBE3"/>
        <bgColor rgb="FFE1EEF0"/>
      </patternFill>
    </fill>
    <fill>
      <patternFill patternType="solid">
        <fgColor rgb="FFE3E8F4"/>
        <bgColor rgb="FFE1EEF0"/>
      </patternFill>
    </fill>
    <fill>
      <patternFill patternType="solid">
        <fgColor rgb="FFF4EADB"/>
        <bgColor rgb="FFE8EDDC"/>
      </patternFill>
    </fill>
    <fill>
      <patternFill patternType="solid">
        <fgColor rgb="FFEDE3F1"/>
        <bgColor rgb="FFF3E1E1"/>
      </patternFill>
    </fill>
    <fill>
      <patternFill patternType="solid">
        <fgColor rgb="FFE1EEF0"/>
        <bgColor rgb="FFE8F1EC"/>
      </patternFill>
    </fill>
    <fill>
      <patternFill patternType="solid">
        <fgColor rgb="FFF3E1E1"/>
        <bgColor rgb="FFEDE3F1"/>
      </patternFill>
    </fill>
    <fill>
      <patternFill patternType="solid">
        <fgColor rgb="FFE8EDDC"/>
        <bgColor rgb="FFE8F1EC"/>
      </patternFill>
    </fill>
    <fill>
      <patternFill patternType="solid">
        <fgColor rgb="FFE8F1EC"/>
        <bgColor rgb="FFE1EEF0"/>
      </patternFill>
    </fill>
    <fill>
      <patternFill patternType="solid">
        <fgColor rgb="FFFFFF00"/>
        <bgColor rgb="FFFFFF00"/>
      </patternFill>
    </fill>
  </fills>
  <borders count="2">
    <border diagonalUp="false" diagonalDown="false">
      <left/>
      <right/>
      <top/>
      <bottom/>
      <diagonal/>
    </border>
    <border diagonalUp="false" diagonalDown="false">
      <left style="thin">
        <color rgb="FFC9D3CE"/>
      </left>
      <right style="thin">
        <color rgb="FFC9D3CE"/>
      </right>
      <top style="thin">
        <color rgb="FFC9D3CE"/>
      </top>
      <bottom style="thin">
        <color rgb="FFC9D3C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10" fillId="4" borderId="1" xfId="0" applyFont="true" applyBorder="true" applyAlignment="true" applyProtection="false">
      <alignment horizontal="center" vertical="center" textRotation="0" wrapText="true" indent="0" shrinkToFit="false"/>
      <protection locked="true" hidden="false"/>
    </xf>
    <xf numFmtId="164" fontId="10" fillId="5" borderId="1" xfId="0" applyFont="true" applyBorder="true" applyAlignment="true" applyProtection="false">
      <alignment horizontal="center" vertical="center" textRotation="0" wrapText="true" indent="0" shrinkToFit="false"/>
      <protection locked="true" hidden="false"/>
    </xf>
    <xf numFmtId="164" fontId="10" fillId="6" borderId="1" xfId="0" applyFont="true" applyBorder="true" applyAlignment="true" applyProtection="false">
      <alignment horizontal="center" vertical="center" textRotation="0" wrapText="true" indent="0" shrinkToFit="false"/>
      <protection locked="true" hidden="false"/>
    </xf>
    <xf numFmtId="164" fontId="10" fillId="7" borderId="1" xfId="0" applyFont="true" applyBorder="true" applyAlignment="true" applyProtection="false">
      <alignment horizontal="center" vertical="center" textRotation="0" wrapText="true" indent="0" shrinkToFit="false"/>
      <protection locked="true" hidden="false"/>
    </xf>
    <xf numFmtId="164" fontId="10" fillId="8" borderId="1" xfId="0" applyFont="true" applyBorder="true" applyAlignment="true" applyProtection="false">
      <alignment horizontal="center" vertical="center" textRotation="0" wrapText="true" indent="0" shrinkToFit="false"/>
      <protection locked="true" hidden="false"/>
    </xf>
    <xf numFmtId="164" fontId="10" fillId="9" borderId="1" xfId="0" applyFont="true" applyBorder="true" applyAlignment="true" applyProtection="false">
      <alignment horizontal="center" vertical="center" textRotation="0" wrapText="true" indent="0" shrinkToFit="false"/>
      <protection locked="true" hidden="false"/>
    </xf>
    <xf numFmtId="164" fontId="10" fillId="10" borderId="1" xfId="0" applyFont="true" applyBorder="true" applyAlignment="true" applyProtection="false">
      <alignment horizontal="center" vertical="center" textRotation="0" wrapText="tru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64" fontId="11" fillId="6" borderId="1" xfId="0" applyFont="true" applyBorder="true" applyAlignment="true" applyProtection="false">
      <alignment horizontal="general" vertical="top" textRotation="0" wrapText="true" indent="0" shrinkToFit="false"/>
      <protection locked="true" hidden="false"/>
    </xf>
    <xf numFmtId="164" fontId="11" fillId="7" borderId="1" xfId="0" applyFont="true" applyBorder="true" applyAlignment="true" applyProtection="false">
      <alignment horizontal="general" vertical="top" textRotation="0" wrapText="true" indent="0" shrinkToFit="false"/>
      <protection locked="true" hidden="false"/>
    </xf>
    <xf numFmtId="164" fontId="11" fillId="8" borderId="1" xfId="0" applyFont="true" applyBorder="true" applyAlignment="true" applyProtection="false">
      <alignment horizontal="general" vertical="top" textRotation="0" wrapText="true" indent="0" shrinkToFit="false"/>
      <protection locked="true" hidden="false"/>
    </xf>
    <xf numFmtId="164" fontId="11" fillId="9" borderId="1" xfId="0" applyFont="true" applyBorder="true" applyAlignment="true" applyProtection="false">
      <alignment horizontal="general" vertical="top" textRotation="0" wrapText="true" indent="0" shrinkToFit="false"/>
      <protection locked="true" hidden="false"/>
    </xf>
    <xf numFmtId="164" fontId="11" fillId="10" borderId="1" xfId="0" applyFont="true" applyBorder="true" applyAlignment="true" applyProtection="false">
      <alignment horizontal="general" vertical="top" textRotation="0" wrapText="true" indent="0" shrinkToFit="false"/>
      <protection locked="true" hidden="false"/>
    </xf>
    <xf numFmtId="164" fontId="12" fillId="4" borderId="1" xfId="0" applyFont="true" applyBorder="true" applyAlignment="true" applyProtection="false">
      <alignment horizontal="general" vertical="top" textRotation="0" wrapText="true" indent="0" shrinkToFit="false"/>
      <protection locked="true" hidden="false"/>
    </xf>
    <xf numFmtId="164" fontId="12" fillId="5" borderId="1" xfId="0" applyFont="true" applyBorder="true" applyAlignment="true" applyProtection="false">
      <alignment horizontal="general" vertical="top" textRotation="0" wrapText="true" indent="0" shrinkToFit="false"/>
      <protection locked="true" hidden="false"/>
    </xf>
    <xf numFmtId="164" fontId="12" fillId="6" borderId="1" xfId="0" applyFont="true" applyBorder="true" applyAlignment="true" applyProtection="false">
      <alignment horizontal="general" vertical="top" textRotation="0" wrapText="true" indent="0" shrinkToFit="false"/>
      <protection locked="true" hidden="false"/>
    </xf>
    <xf numFmtId="164" fontId="12" fillId="7" borderId="1" xfId="0" applyFont="true" applyBorder="true" applyAlignment="true" applyProtection="false">
      <alignment horizontal="general" vertical="top" textRotation="0" wrapText="true" indent="0" shrinkToFit="false"/>
      <protection locked="true" hidden="false"/>
    </xf>
    <xf numFmtId="164" fontId="12" fillId="8" borderId="1" xfId="0" applyFont="true" applyBorder="true" applyAlignment="true" applyProtection="false">
      <alignment horizontal="general" vertical="top" textRotation="0" wrapText="true" indent="0" shrinkToFit="false"/>
      <protection locked="true" hidden="false"/>
    </xf>
    <xf numFmtId="164" fontId="12" fillId="9" borderId="1" xfId="0" applyFont="true" applyBorder="true" applyAlignment="true" applyProtection="false">
      <alignment horizontal="general" vertical="top" textRotation="0" wrapText="true" indent="0" shrinkToFit="false"/>
      <protection locked="true" hidden="false"/>
    </xf>
    <xf numFmtId="164" fontId="12" fillId="10"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xf numFmtId="164" fontId="8" fillId="8" borderId="1" xfId="0" applyFont="true" applyBorder="true" applyAlignment="true" applyProtection="false">
      <alignment horizontal="general" vertical="top" textRotation="0" wrapText="true" indent="0" shrinkToFit="false"/>
      <protection locked="true" hidden="false"/>
    </xf>
    <xf numFmtId="164" fontId="8" fillId="9" borderId="1" xfId="0" applyFont="true" applyBorder="true" applyAlignment="true" applyProtection="false">
      <alignment horizontal="general" vertical="top" textRotation="0" wrapText="true" indent="0" shrinkToFit="false"/>
      <protection locked="true" hidden="false"/>
    </xf>
    <xf numFmtId="164" fontId="8" fillId="10" borderId="1" xfId="0" applyFont="true" applyBorder="true" applyAlignment="true" applyProtection="false">
      <alignment horizontal="general" vertical="top" textRotation="0" wrapText="true" indent="0" shrinkToFit="false"/>
      <protection locked="true" hidden="false"/>
    </xf>
    <xf numFmtId="164" fontId="13" fillId="4" borderId="1" xfId="0" applyFont="true" applyBorder="true" applyAlignment="true" applyProtection="false">
      <alignment horizontal="general" vertical="top" textRotation="0" wrapText="true" indent="0" shrinkToFit="false"/>
      <protection locked="true" hidden="false"/>
    </xf>
    <xf numFmtId="164" fontId="13" fillId="5" borderId="1" xfId="0" applyFont="true" applyBorder="true" applyAlignment="true" applyProtection="false">
      <alignment horizontal="general" vertical="top" textRotation="0" wrapText="true" indent="0" shrinkToFit="false"/>
      <protection locked="true" hidden="false"/>
    </xf>
    <xf numFmtId="164" fontId="13" fillId="6" borderId="1" xfId="0" applyFont="true" applyBorder="true" applyAlignment="true" applyProtection="false">
      <alignment horizontal="general" vertical="top" textRotation="0" wrapText="true" indent="0" shrinkToFit="false"/>
      <protection locked="true" hidden="false"/>
    </xf>
    <xf numFmtId="164" fontId="13" fillId="7" borderId="1" xfId="0" applyFont="true" applyBorder="true" applyAlignment="true" applyProtection="false">
      <alignment horizontal="general" vertical="top" textRotation="0" wrapText="true" indent="0" shrinkToFit="false"/>
      <protection locked="true" hidden="false"/>
    </xf>
    <xf numFmtId="164" fontId="13" fillId="8" borderId="1" xfId="0" applyFont="true" applyBorder="true" applyAlignment="true" applyProtection="false">
      <alignment horizontal="general" vertical="top" textRotation="0" wrapText="true" indent="0" shrinkToFit="false"/>
      <protection locked="true" hidden="false"/>
    </xf>
    <xf numFmtId="164" fontId="13" fillId="9" borderId="1" xfId="0" applyFont="true" applyBorder="true" applyAlignment="true" applyProtection="false">
      <alignment horizontal="general" vertical="top" textRotation="0" wrapText="true" indent="0" shrinkToFit="false"/>
      <protection locked="true" hidden="false"/>
    </xf>
    <xf numFmtId="164" fontId="13" fillId="10" borderId="1" xfId="0" applyFont="true" applyBorder="true" applyAlignment="true" applyProtection="false">
      <alignment horizontal="general" vertical="top" textRotation="0" wrapText="true" indent="0" shrinkToFit="false"/>
      <protection locked="true" hidden="false"/>
    </xf>
    <xf numFmtId="164" fontId="14" fillId="2"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16" fillId="0" borderId="0" xfId="0" applyFont="true" applyBorder="false" applyAlignment="true" applyProtection="false">
      <alignment horizontal="general" vertical="top" textRotation="0" wrapText="true" indent="2" shrinkToFit="false"/>
      <protection locked="true" hidden="false"/>
    </xf>
    <xf numFmtId="164" fontId="17" fillId="0" borderId="0" xfId="0" applyFont="true" applyBorder="false" applyAlignment="true" applyProtection="false">
      <alignment horizontal="general" vertical="top" textRotation="0" wrapText="true" indent="2" shrinkToFit="false"/>
      <protection locked="true" hidden="false"/>
    </xf>
    <xf numFmtId="164" fontId="18" fillId="3"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4" shrinkToFit="false"/>
      <protection locked="true" hidden="false"/>
    </xf>
    <xf numFmtId="164" fontId="17" fillId="0" borderId="0" xfId="0" applyFont="true" applyBorder="false" applyAlignment="true" applyProtection="false">
      <alignment horizontal="general" vertical="top" textRotation="0" wrapText="true" indent="4" shrinkToFit="false"/>
      <protection locked="true" hidden="false"/>
    </xf>
    <xf numFmtId="164" fontId="7" fillId="0" borderId="0" xfId="0" applyFont="true" applyBorder="false" applyAlignment="true" applyProtection="false">
      <alignment horizontal="general" vertical="top" textRotation="0" wrapText="true" indent="6" shrinkToFit="false"/>
      <protection locked="true" hidden="false"/>
    </xf>
    <xf numFmtId="164" fontId="7" fillId="0" borderId="0" xfId="0" applyFont="true" applyBorder="false" applyAlignment="true" applyProtection="false">
      <alignment horizontal="general" vertical="top" textRotation="0" wrapText="true" indent="8" shrinkToFit="false"/>
      <protection locked="true" hidden="false"/>
    </xf>
    <xf numFmtId="164" fontId="17" fillId="0" borderId="0" xfId="0" applyFont="true" applyBorder="false" applyAlignment="true" applyProtection="false">
      <alignment horizontal="general" vertical="top" textRotation="0" wrapText="true" indent="6"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20" fillId="11" borderId="0" xfId="0" applyFont="true" applyBorder="false" applyAlignment="true" applyProtection="false">
      <alignment horizontal="general" vertical="top" textRotation="0" wrapText="tru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left" vertical="bottom" textRotation="0" wrapText="fals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left" vertical="top" textRotation="0" wrapText="true" indent="0" shrinkToFit="false"/>
      <protection locked="true" hidden="false"/>
    </xf>
    <xf numFmtId="165" fontId="23" fillId="12" borderId="0" xfId="0" applyFont="true" applyBorder="fals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0B3D2E"/>
          <bgColor rgb="FF000000"/>
        </patternFill>
      </fill>
    </dxf>
    <dxf>
      <fill>
        <patternFill patternType="solid">
          <bgColor rgb="FF000000"/>
        </patternFill>
      </fill>
    </dxf>
    <dxf>
      <fill>
        <patternFill patternType="solid">
          <fgColor rgb="FFFFFFFF"/>
          <bgColor rgb="FF000000"/>
        </patternFill>
      </fill>
    </dxf>
    <dxf>
      <fill>
        <patternFill patternType="solid">
          <fgColor rgb="FF1155CC"/>
          <bgColor rgb="FF000000"/>
        </patternFill>
      </fill>
    </dxf>
    <dxf>
      <fill>
        <patternFill patternType="solid">
          <fgColor rgb="FFFFF7E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A5C00"/>
      <rgbColor rgb="FF800080"/>
      <rgbColor rgb="FF008080"/>
      <rgbColor rgb="FFC9D3CE"/>
      <rgbColor rgb="FF808080"/>
      <rgbColor rgb="FF9999FF"/>
      <rgbColor rgb="FF993366"/>
      <rgbColor rgb="FFFFF7E0"/>
      <rgbColor rgb="FFE1EEF0"/>
      <rgbColor rgb="FF660066"/>
      <rgbColor rgb="FFFF8080"/>
      <rgbColor rgb="FF1155CC"/>
      <rgbColor rgb="FFE3E8F4"/>
      <rgbColor rgb="FF000080"/>
      <rgbColor rgb="FFFF00FF"/>
      <rgbColor rgb="FFFFFF00"/>
      <rgbColor rgb="FF00FFFF"/>
      <rgbColor rgb="FF800080"/>
      <rgbColor rgb="FF800000"/>
      <rgbColor rgb="FF008080"/>
      <rgbColor rgb="FF0000FF"/>
      <rgbColor rgb="FF00CCFF"/>
      <rgbColor rgb="FFE8F1EC"/>
      <rgbColor rgb="FFDCEBE3"/>
      <rgbColor rgb="FFF4EADB"/>
      <rgbColor rgb="FFEDE3F1"/>
      <rgbColor rgb="FFE8EDDC"/>
      <rgbColor rgb="FFCC99FF"/>
      <rgbColor rgb="FFF3E1E1"/>
      <rgbColor rgb="FF3366FF"/>
      <rgbColor rgb="FF33CCCC"/>
      <rgbColor rgb="FF99CC00"/>
      <rgbColor rgb="FFFFCC00"/>
      <rgbColor rgb="FFFF9900"/>
      <rgbColor rgb="FFFF6600"/>
      <rgbColor rgb="FF555555"/>
      <rgbColor rgb="FF969696"/>
      <rgbColor rgb="FF003366"/>
      <rgbColor rgb="FF339966"/>
      <rgbColor rgb="FF0B3D2E"/>
      <rgbColor rgb="FF3D4B45"/>
      <rgbColor rgb="FF993300"/>
      <rgbColor rgb="FF993366"/>
      <rgbColor rgb="FF333399"/>
      <rgbColor rgb="FF4444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familialife.ca/" TargetMode="External"/><Relationship Id="rId3" Type="http://schemas.openxmlformats.org/officeDocument/2006/relationships/hyperlink" Target="https://familialife.ca/term-life-insurance/" TargetMode="External"/><Relationship Id="rId4" Type="http://schemas.openxmlformats.org/officeDocument/2006/relationships/hyperlink" Target="https://familialife.ca/everything-about-term-life-insurance/" TargetMode="External"/><Relationship Id="rId5" Type="http://schemas.openxmlformats.org/officeDocument/2006/relationships/hyperlink" Target="https://familialife.ca/what-happens-at-the-end-of-term-life-insurance/" TargetMode="External"/><Relationship Id="rId6" Type="http://schemas.openxmlformats.org/officeDocument/2006/relationships/hyperlink" Target="https://familialife.ca/whole-life-insurance/" TargetMode="External"/><Relationship Id="rId7" Type="http://schemas.openxmlformats.org/officeDocument/2006/relationships/hyperlink" Target="https://familialife.ca/everything-about-permanent-life-insurance/" TargetMode="External"/><Relationship Id="rId8" Type="http://schemas.openxmlformats.org/officeDocument/2006/relationships/hyperlink" Target="https://familialife.ca/what-is-universal-life-insurance/" TargetMode="External"/><Relationship Id="rId9" Type="http://schemas.openxmlformats.org/officeDocument/2006/relationships/hyperlink" Target="https://familialife.ca/what-is-joint-life/" TargetMode="External"/><Relationship Id="rId10" Type="http://schemas.openxmlformats.org/officeDocument/2006/relationships/hyperlink" Target="https://familialife.ca/no-medical-insurance/" TargetMode="External"/><Relationship Id="rId11" Type="http://schemas.openxmlformats.org/officeDocument/2006/relationships/hyperlink" Target="https://familialife.ca/everything-about-no-medical-life-insurance/" TargetMode="External"/><Relationship Id="rId12" Type="http://schemas.openxmlformats.org/officeDocument/2006/relationships/hyperlink" Target="https://familialife.ca/how-to-get-life-insurance-if-you-have-health-issues/" TargetMode="External"/><Relationship Id="rId13" Type="http://schemas.openxmlformats.org/officeDocument/2006/relationships/hyperlink" Target="https://familialife.ca/life-insurance-for-diabetics/" TargetMode="External"/><Relationship Id="rId14" Type="http://schemas.openxmlformats.org/officeDocument/2006/relationships/hyperlink" Target="https://familialife.ca/life-insurance-with-cancer/" TargetMode="External"/><Relationship Id="rId15" Type="http://schemas.openxmlformats.org/officeDocument/2006/relationships/hyperlink" Target="https://familialife.ca/life-insurance-with-heart-condition/" TargetMode="External"/><Relationship Id="rId16" Type="http://schemas.openxmlformats.org/officeDocument/2006/relationships/hyperlink" Target="https://familialife.ca/mortgage-protection-insurance/" TargetMode="External"/><Relationship Id="rId17" Type="http://schemas.openxmlformats.org/officeDocument/2006/relationships/hyperlink" Target="https://familialife.ca/what-is-mortgage-insurance/" TargetMode="External"/><Relationship Id="rId18" Type="http://schemas.openxmlformats.org/officeDocument/2006/relationships/hyperlink" Target="https://familialife.ca/final-expense-insurance/" TargetMode="External"/><Relationship Id="rId19" Type="http://schemas.openxmlformats.org/officeDocument/2006/relationships/hyperlink" Target="https://familialife.ca/seniors-life-insurance/" TargetMode="External"/><Relationship Id="rId20" Type="http://schemas.openxmlformats.org/officeDocument/2006/relationships/hyperlink" Target="https://familialife.ca/family-life-insurance/" TargetMode="External"/><Relationship Id="rId21" Type="http://schemas.openxmlformats.org/officeDocument/2006/relationships/hyperlink" Target="https://familialife.ca/whats-ci/" TargetMode="External"/><Relationship Id="rId22" Type="http://schemas.openxmlformats.org/officeDocument/2006/relationships/hyperlink" Target="https://familialife.ca/health-insurance/" TargetMode="External"/><Relationship Id="rId23" Type="http://schemas.openxmlformats.org/officeDocument/2006/relationships/hyperlink" Target="https://familialife.ca/how-does-life-insurance-work-in-canada/" TargetMode="External"/><Relationship Id="rId24" Type="http://schemas.openxmlformats.org/officeDocument/2006/relationships/hyperlink" Target="https://familialife.ca/how-much-life-insurance-should-i-get/" TargetMode="External"/><Relationship Id="rId25" Type="http://schemas.openxmlformats.org/officeDocument/2006/relationships/hyperlink" Target="https://familialife.ca/life-insurance-quotes-in-canada/" TargetMode="External"/><Relationship Id="rId26" Type="http://schemas.openxmlformats.org/officeDocument/2006/relationships/hyperlink" Target="https://familialife.ca/how-do-life-insurance-companies-check-medical-background/" TargetMode="External"/><Relationship Id="rId27" Type="http://schemas.openxmlformats.org/officeDocument/2006/relationships/hyperlink" Target="https://familialife.ca/12-myths-debunked/" TargetMode="External"/><Relationship Id="rId28" Type="http://schemas.openxmlformats.org/officeDocument/2006/relationships/hyperlink" Target="https://familialife.ca/two-things-before-buying/" TargetMode="External"/><Relationship Id="rId29" Type="http://schemas.openxmlformats.org/officeDocument/2006/relationships/hyperlink" Target="https://familialife.ca/are-life-insurance-premiums-tax-deductible-in-canada/" TargetMode="External"/><Relationship Id="rId30" Type="http://schemas.openxmlformats.org/officeDocument/2006/relationships/hyperlink" Target="https://familialife.ca/how-to-claim/" TargetMode="External"/><Relationship Id="rId31" Type="http://schemas.openxmlformats.org/officeDocument/2006/relationships/drawing" Target="../drawings/drawing1.xml"/><Relationship Id="rId3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hyperlink" Target="https://familialife.ca/" TargetMode="External"/><Relationship Id="rId2" Type="http://schemas.openxmlformats.org/officeDocument/2006/relationships/hyperlink" Target="https://familialife.ca/term-life-insurance/" TargetMode="External"/><Relationship Id="rId3" Type="http://schemas.openxmlformats.org/officeDocument/2006/relationships/hyperlink" Target="https://familialife.ca/everything-about-term-life-insurance/" TargetMode="External"/><Relationship Id="rId4" Type="http://schemas.openxmlformats.org/officeDocument/2006/relationships/hyperlink" Target="https://familialife.ca/what-happens-at-the-end-of-term-life-insurance/" TargetMode="External"/><Relationship Id="rId5" Type="http://schemas.openxmlformats.org/officeDocument/2006/relationships/hyperlink" Target="https://familialife.ca/whole-life-insurance/" TargetMode="External"/><Relationship Id="rId6" Type="http://schemas.openxmlformats.org/officeDocument/2006/relationships/hyperlink" Target="https://familialife.ca/everything-about-permanent-life-insurance/" TargetMode="External"/><Relationship Id="rId7" Type="http://schemas.openxmlformats.org/officeDocument/2006/relationships/hyperlink" Target="https://familialife.ca/what-is-universal-life-insurance/" TargetMode="External"/><Relationship Id="rId8" Type="http://schemas.openxmlformats.org/officeDocument/2006/relationships/hyperlink" Target="https://familialife.ca/what-is-joint-life/" TargetMode="External"/><Relationship Id="rId9" Type="http://schemas.openxmlformats.org/officeDocument/2006/relationships/hyperlink" Target="https://familialife.ca/no-medical-insurance/" TargetMode="External"/><Relationship Id="rId10" Type="http://schemas.openxmlformats.org/officeDocument/2006/relationships/hyperlink" Target="https://familialife.ca/everything-about-no-medical-life-insurance/" TargetMode="External"/><Relationship Id="rId11" Type="http://schemas.openxmlformats.org/officeDocument/2006/relationships/hyperlink" Target="https://familialife.ca/how-to-get-life-insurance-if-you-have-health-issues/" TargetMode="External"/><Relationship Id="rId12" Type="http://schemas.openxmlformats.org/officeDocument/2006/relationships/hyperlink" Target="https://familialife.ca/life-insurance-for-diabetics/" TargetMode="External"/><Relationship Id="rId13" Type="http://schemas.openxmlformats.org/officeDocument/2006/relationships/hyperlink" Target="https://familialife.ca/life-insurance-with-cancer/" TargetMode="External"/><Relationship Id="rId14" Type="http://schemas.openxmlformats.org/officeDocument/2006/relationships/hyperlink" Target="https://familialife.ca/life-insurance-with-heart-condition/" TargetMode="External"/><Relationship Id="rId15" Type="http://schemas.openxmlformats.org/officeDocument/2006/relationships/hyperlink" Target="https://familialife.ca/mortgage-protection-insurance/" TargetMode="External"/><Relationship Id="rId16" Type="http://schemas.openxmlformats.org/officeDocument/2006/relationships/hyperlink" Target="https://familialife.ca/what-is-mortgage-insurance/" TargetMode="External"/><Relationship Id="rId17" Type="http://schemas.openxmlformats.org/officeDocument/2006/relationships/hyperlink" Target="https://familialife.ca/final-expense-insurance/" TargetMode="External"/><Relationship Id="rId18" Type="http://schemas.openxmlformats.org/officeDocument/2006/relationships/hyperlink" Target="https://familialife.ca/seniors-life-insurance/" TargetMode="External"/><Relationship Id="rId19" Type="http://schemas.openxmlformats.org/officeDocument/2006/relationships/hyperlink" Target="https://familialife.ca/family-life-insurance/" TargetMode="External"/><Relationship Id="rId20" Type="http://schemas.openxmlformats.org/officeDocument/2006/relationships/hyperlink" Target="https://familialife.ca/whats-ci/" TargetMode="External"/><Relationship Id="rId21" Type="http://schemas.openxmlformats.org/officeDocument/2006/relationships/hyperlink" Target="https://familialife.ca/health-insurance/" TargetMode="External"/><Relationship Id="rId22" Type="http://schemas.openxmlformats.org/officeDocument/2006/relationships/hyperlink" Target="https://familialife.ca/how-does-life-insurance-work-in-canada/" TargetMode="External"/><Relationship Id="rId23" Type="http://schemas.openxmlformats.org/officeDocument/2006/relationships/hyperlink" Target="https://familialife.ca/how-much-life-insurance-should-i-get/" TargetMode="External"/><Relationship Id="rId24" Type="http://schemas.openxmlformats.org/officeDocument/2006/relationships/hyperlink" Target="https://familialife.ca/life-insurance-quotes-in-canada/" TargetMode="External"/><Relationship Id="rId25" Type="http://schemas.openxmlformats.org/officeDocument/2006/relationships/hyperlink" Target="https://familialife.ca/how-do-life-insurance-companies-check-medical-background/" TargetMode="External"/><Relationship Id="rId26" Type="http://schemas.openxmlformats.org/officeDocument/2006/relationships/hyperlink" Target="https://familialife.ca/12-myths-debunked/" TargetMode="External"/><Relationship Id="rId27" Type="http://schemas.openxmlformats.org/officeDocument/2006/relationships/hyperlink" Target="https://familialife.ca/two-things-before-buying/" TargetMode="External"/><Relationship Id="rId28" Type="http://schemas.openxmlformats.org/officeDocument/2006/relationships/hyperlink" Target="https://familialife.ca/are-life-insurance-premiums-tax-deductible-in-canada/" TargetMode="External"/><Relationship Id="rId29" Type="http://schemas.openxmlformats.org/officeDocument/2006/relationships/hyperlink" Target="https://familialife.ca/how-to-claim/"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familialife.ca/" TargetMode="External"/><Relationship Id="rId2" Type="http://schemas.openxmlformats.org/officeDocument/2006/relationships/hyperlink" Target="https://familialife.ca/term-life-insurance/" TargetMode="External"/><Relationship Id="rId3" Type="http://schemas.openxmlformats.org/officeDocument/2006/relationships/hyperlink" Target="https://familialife.ca/everything-about-term-life-insurance/" TargetMode="External"/><Relationship Id="rId4" Type="http://schemas.openxmlformats.org/officeDocument/2006/relationships/hyperlink" Target="https://familialife.ca/what-happens-at-the-end-of-term-life-insurance/" TargetMode="External"/><Relationship Id="rId5" Type="http://schemas.openxmlformats.org/officeDocument/2006/relationships/hyperlink" Target="https://familialife.ca/whole-life-insurance/" TargetMode="External"/><Relationship Id="rId6" Type="http://schemas.openxmlformats.org/officeDocument/2006/relationships/hyperlink" Target="https://familialife.ca/everything-about-permanent-life-insurance/" TargetMode="External"/><Relationship Id="rId7" Type="http://schemas.openxmlformats.org/officeDocument/2006/relationships/hyperlink" Target="https://familialife.ca/what-is-universal-life-insurance/" TargetMode="External"/><Relationship Id="rId8" Type="http://schemas.openxmlformats.org/officeDocument/2006/relationships/hyperlink" Target="https://familialife.ca/what-is-joint-life/" TargetMode="External"/><Relationship Id="rId9" Type="http://schemas.openxmlformats.org/officeDocument/2006/relationships/hyperlink" Target="https://familialife.ca/no-medical-insurance/" TargetMode="External"/><Relationship Id="rId10" Type="http://schemas.openxmlformats.org/officeDocument/2006/relationships/hyperlink" Target="https://familialife.ca/everything-about-no-medical-life-insurance/" TargetMode="External"/><Relationship Id="rId11" Type="http://schemas.openxmlformats.org/officeDocument/2006/relationships/hyperlink" Target="https://familialife.ca/how-to-get-life-insurance-if-you-have-health-issues/" TargetMode="External"/><Relationship Id="rId12" Type="http://schemas.openxmlformats.org/officeDocument/2006/relationships/hyperlink" Target="https://familialife.ca/life-insurance-for-diabetics/" TargetMode="External"/><Relationship Id="rId13" Type="http://schemas.openxmlformats.org/officeDocument/2006/relationships/hyperlink" Target="https://familialife.ca/life-insurance-with-cancer/" TargetMode="External"/><Relationship Id="rId14" Type="http://schemas.openxmlformats.org/officeDocument/2006/relationships/hyperlink" Target="https://familialife.ca/life-insurance-with-heart-condition/" TargetMode="External"/><Relationship Id="rId15" Type="http://schemas.openxmlformats.org/officeDocument/2006/relationships/hyperlink" Target="https://familialife.ca/mortgage-protection-insurance/" TargetMode="External"/><Relationship Id="rId16" Type="http://schemas.openxmlformats.org/officeDocument/2006/relationships/hyperlink" Target="https://familialife.ca/what-is-mortgage-insurance/" TargetMode="External"/><Relationship Id="rId17" Type="http://schemas.openxmlformats.org/officeDocument/2006/relationships/hyperlink" Target="https://familialife.ca/final-expense-insurance/" TargetMode="External"/><Relationship Id="rId18" Type="http://schemas.openxmlformats.org/officeDocument/2006/relationships/hyperlink" Target="https://familialife.ca/seniors-life-insurance/" TargetMode="External"/><Relationship Id="rId19" Type="http://schemas.openxmlformats.org/officeDocument/2006/relationships/hyperlink" Target="https://familialife.ca/family-life-insurance/" TargetMode="External"/><Relationship Id="rId20" Type="http://schemas.openxmlformats.org/officeDocument/2006/relationships/hyperlink" Target="https://familialife.ca/whats-ci/" TargetMode="External"/><Relationship Id="rId21" Type="http://schemas.openxmlformats.org/officeDocument/2006/relationships/hyperlink" Target="https://familialife.ca/health-insurance/" TargetMode="External"/><Relationship Id="rId22" Type="http://schemas.openxmlformats.org/officeDocument/2006/relationships/hyperlink" Target="https://familialife.ca/how-does-life-insurance-work-in-canada/" TargetMode="External"/><Relationship Id="rId23" Type="http://schemas.openxmlformats.org/officeDocument/2006/relationships/hyperlink" Target="https://familialife.ca/how-much-life-insurance-should-i-get/" TargetMode="External"/><Relationship Id="rId24" Type="http://schemas.openxmlformats.org/officeDocument/2006/relationships/hyperlink" Target="https://familialife.ca/life-insurance-quotes-in-canada/" TargetMode="External"/><Relationship Id="rId25" Type="http://schemas.openxmlformats.org/officeDocument/2006/relationships/hyperlink" Target="https://familialife.ca/how-do-life-insurance-companies-check-medical-background/" TargetMode="External"/><Relationship Id="rId26" Type="http://schemas.openxmlformats.org/officeDocument/2006/relationships/hyperlink" Target="https://familialife.ca/12-myths-debunked/" TargetMode="External"/><Relationship Id="rId27" Type="http://schemas.openxmlformats.org/officeDocument/2006/relationships/hyperlink" Target="https://familialife.ca/two-things-before-buying/" TargetMode="External"/><Relationship Id="rId28" Type="http://schemas.openxmlformats.org/officeDocument/2006/relationships/hyperlink" Target="https://familialife.ca/are-life-insurance-premiums-tax-deductible-in-canada/" TargetMode="External"/><Relationship Id="rId29" Type="http://schemas.openxmlformats.org/officeDocument/2006/relationships/hyperlink" Target="https://familialife.ca/how-to-claim/" TargetMode="External"/><Relationship Id="rId30" Type="http://schemas.openxmlformats.org/officeDocument/2006/relationships/hyperlink" Target="https://familialife.ca/about/" TargetMode="External"/><Relationship Id="rId31" Type="http://schemas.openxmlformats.org/officeDocument/2006/relationships/hyperlink" Target="https://familialife.ca/contact-us/" TargetMode="External"/><Relationship Id="rId32" Type="http://schemas.openxmlformats.org/officeDocument/2006/relationships/hyperlink" Target="https://familialife.ca/blog/" TargetMode="External"/><Relationship Id="rId33" Type="http://schemas.openxmlformats.org/officeDocument/2006/relationships/hyperlink" Target="https://familialife.ca/author/richard-kim/" TargetMode="External"/><Relationship Id="rId34" Type="http://schemas.openxmlformats.org/officeDocument/2006/relationships/hyperlink" Target="https://familialife.ca/get-your-quote-today/" TargetMode="External"/><Relationship Id="rId35" Type="http://schemas.openxmlformats.org/officeDocument/2006/relationships/hyperlink" Target="https://familialife.ca/term-life-insurance-quote-form/" TargetMode="External"/><Relationship Id="rId36" Type="http://schemas.openxmlformats.org/officeDocument/2006/relationships/hyperlink" Target="https://familialife.ca/permanent-life-insurance-quote-form/" TargetMode="External"/><Relationship Id="rId37" Type="http://schemas.openxmlformats.org/officeDocument/2006/relationships/hyperlink" Target="https://familialife.ca/no-medical-life-insurance-quote-form/" TargetMode="External"/><Relationship Id="rId38" Type="http://schemas.openxmlformats.org/officeDocument/2006/relationships/hyperlink" Target="https://familialife.ca/mortgage-protection-insurance-quote-form/" TargetMode="External"/><Relationship Id="rId39" Type="http://schemas.openxmlformats.org/officeDocument/2006/relationships/hyperlink" Target="https://familialife.ca/privacy-policy/" TargetMode="External"/><Relationship Id="rId40" Type="http://schemas.openxmlformats.org/officeDocument/2006/relationships/hyperlink" Target="https://familialife.ca/terms-and-conditions/" TargetMode="External"/><Relationship Id="rId4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E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8"/>
    <col collapsed="false" customWidth="true" hidden="false" outlineLevel="0" max="3" min="3" style="0" width="22"/>
    <col collapsed="false" customWidth="true" hidden="false" outlineLevel="0" max="4" min="4" style="0" width="40"/>
    <col collapsed="false" customWidth="true" hidden="false" outlineLevel="0" max="5" min="5" style="0" width="34"/>
    <col collapsed="false" customWidth="true" hidden="false" outlineLevel="0" max="6" min="6" style="0" width="60"/>
    <col collapsed="false" customWidth="true" hidden="false" outlineLevel="0" max="7" min="7" style="0" width="30"/>
    <col collapsed="false" customWidth="true" hidden="false" outlineLevel="0" max="8" min="8" style="0" width="60"/>
    <col collapsed="false" customWidth="true" hidden="false" outlineLevel="0" max="9" min="9" style="0" width="12"/>
    <col collapsed="false" customWidth="true" hidden="false" outlineLevel="0" max="11" min="10" style="0" width="14"/>
    <col collapsed="false" customWidth="true" hidden="false" outlineLevel="0" max="13" min="12" style="0" width="12"/>
    <col collapsed="false" customWidth="true" hidden="false" outlineLevel="0" max="14" min="14" style="0" width="30"/>
    <col collapsed="false" customWidth="true" hidden="false" outlineLevel="0" max="15" min="15" style="0" width="40"/>
    <col collapsed="false" customWidth="true" hidden="false" outlineLevel="0" max="16" min="16" style="0" width="24"/>
  </cols>
  <sheetData>
    <row r="1" customFormat="false" ht="17.35" hidden="false" customHeight="false" outlineLevel="0" collapsed="false">
      <c r="A1" s="1" t="s">
        <v>0</v>
      </c>
    </row>
    <row r="2" customFormat="false" ht="15" hidden="false" customHeight="false" outlineLevel="0" collapsed="false">
      <c r="A2" s="2" t="s">
        <v>1</v>
      </c>
    </row>
    <row r="4" customFormat="false" ht="31.5" hidden="false" customHeight="true" outlineLevel="0" collapsed="false">
      <c r="A4" s="3" t="s">
        <v>2</v>
      </c>
      <c r="B4" s="3" t="s">
        <v>3</v>
      </c>
      <c r="C4" s="3" t="s">
        <v>4</v>
      </c>
      <c r="D4" s="3" t="s">
        <v>5</v>
      </c>
      <c r="E4" s="3" t="s">
        <v>6</v>
      </c>
      <c r="F4" s="3" t="s">
        <v>7</v>
      </c>
      <c r="G4" s="3" t="s">
        <v>8</v>
      </c>
      <c r="H4" s="3" t="s">
        <v>9</v>
      </c>
      <c r="I4" s="3" t="s">
        <v>10</v>
      </c>
      <c r="J4" s="3" t="s">
        <v>11</v>
      </c>
      <c r="K4" s="3" t="s">
        <v>12</v>
      </c>
      <c r="L4" s="3" t="s">
        <v>13</v>
      </c>
      <c r="M4" s="3" t="s">
        <v>14</v>
      </c>
      <c r="N4" s="3" t="s">
        <v>15</v>
      </c>
      <c r="O4" s="3" t="s">
        <v>16</v>
      </c>
      <c r="P4" s="3" t="s">
        <v>17</v>
      </c>
    </row>
    <row r="5" customFormat="false" ht="32.8" hidden="false" customHeight="false" outlineLevel="0" collapsed="false">
      <c r="A5" s="4" t="n">
        <v>1</v>
      </c>
      <c r="B5" s="4" t="s">
        <v>18</v>
      </c>
      <c r="C5" s="4" t="s">
        <v>19</v>
      </c>
      <c r="D5" s="4" t="s">
        <v>20</v>
      </c>
      <c r="E5" s="5" t="s">
        <v>21</v>
      </c>
      <c r="F5" s="4" t="s">
        <v>22</v>
      </c>
      <c r="G5" s="4" t="s">
        <v>23</v>
      </c>
      <c r="H5" s="4" t="s">
        <v>24</v>
      </c>
      <c r="I5" s="4" t="n">
        <v>10</v>
      </c>
      <c r="J5" s="6" t="n">
        <v>2537</v>
      </c>
      <c r="K5" s="6" t="n">
        <f aca="false">IF(J5="","",MAX(0,J5-'Method &amp; Notes'!$B$6))</f>
        <v>1363</v>
      </c>
      <c r="L5" s="4" t="s">
        <v>25</v>
      </c>
      <c r="M5" s="4" t="s">
        <v>26</v>
      </c>
      <c r="N5" s="4" t="s">
        <v>27</v>
      </c>
      <c r="O5" s="4" t="s">
        <v>28</v>
      </c>
      <c r="P5" s="4" t="s">
        <v>29</v>
      </c>
    </row>
    <row r="6" customFormat="false" ht="22.35" hidden="false" customHeight="false" outlineLevel="0" collapsed="false">
      <c r="A6" s="4" t="n">
        <v>2</v>
      </c>
      <c r="B6" s="4" t="s">
        <v>30</v>
      </c>
      <c r="C6" s="4" t="s">
        <v>31</v>
      </c>
      <c r="D6" s="4" t="s">
        <v>31</v>
      </c>
      <c r="E6" s="5" t="s">
        <v>32</v>
      </c>
      <c r="F6" s="4" t="s">
        <v>33</v>
      </c>
      <c r="G6" s="4" t="s">
        <v>34</v>
      </c>
      <c r="H6" s="4" t="s">
        <v>31</v>
      </c>
      <c r="I6" s="4" t="n">
        <v>5</v>
      </c>
      <c r="J6" s="6" t="n">
        <v>2706</v>
      </c>
      <c r="K6" s="6" t="n">
        <f aca="false">IF(J6="","",MAX(0,J6-'Method &amp; Notes'!$B$6))</f>
        <v>1532</v>
      </c>
      <c r="L6" s="4" t="s">
        <v>35</v>
      </c>
      <c r="M6" s="4" t="s">
        <v>36</v>
      </c>
      <c r="N6" s="4" t="s">
        <v>37</v>
      </c>
      <c r="O6" s="4" t="s">
        <v>38</v>
      </c>
      <c r="P6" s="4" t="s">
        <v>39</v>
      </c>
    </row>
    <row r="7" customFormat="false" ht="32.8" hidden="false" customHeight="false" outlineLevel="0" collapsed="false">
      <c r="A7" s="4" t="n">
        <v>3</v>
      </c>
      <c r="B7" s="4" t="s">
        <v>40</v>
      </c>
      <c r="C7" s="4" t="s">
        <v>31</v>
      </c>
      <c r="D7" s="4" t="s">
        <v>41</v>
      </c>
      <c r="E7" s="5" t="s">
        <v>42</v>
      </c>
      <c r="F7" s="4" t="s">
        <v>43</v>
      </c>
      <c r="G7" s="4" t="s">
        <v>34</v>
      </c>
      <c r="H7" s="4" t="s">
        <v>44</v>
      </c>
      <c r="I7" s="4" t="n">
        <v>19</v>
      </c>
      <c r="J7" s="6" t="n">
        <v>3326</v>
      </c>
      <c r="K7" s="6" t="n">
        <f aca="false">IF(J7="","",MAX(0,J7-'Method &amp; Notes'!$B$6))</f>
        <v>2152</v>
      </c>
      <c r="L7" s="4" t="s">
        <v>45</v>
      </c>
      <c r="M7" s="4" t="s">
        <v>36</v>
      </c>
      <c r="N7" s="4" t="s">
        <v>46</v>
      </c>
      <c r="O7" s="4" t="s">
        <v>47</v>
      </c>
      <c r="P7" s="4" t="s">
        <v>39</v>
      </c>
    </row>
    <row r="8" customFormat="false" ht="32.8" hidden="false" customHeight="false" outlineLevel="0" collapsed="false">
      <c r="A8" s="4" t="n">
        <v>4</v>
      </c>
      <c r="B8" s="4" t="s">
        <v>48</v>
      </c>
      <c r="C8" s="4" t="s">
        <v>31</v>
      </c>
      <c r="D8" s="4" t="s">
        <v>49</v>
      </c>
      <c r="E8" s="5" t="s">
        <v>50</v>
      </c>
      <c r="F8" s="4" t="s">
        <v>51</v>
      </c>
      <c r="G8" s="4"/>
      <c r="H8" s="4" t="s">
        <v>52</v>
      </c>
      <c r="I8" s="4" t="n">
        <v>13</v>
      </c>
      <c r="J8" s="6" t="n">
        <v>2296</v>
      </c>
      <c r="K8" s="6" t="n">
        <f aca="false">IF(J8="","",MAX(0,J8-'Method &amp; Notes'!$B$6))</f>
        <v>1122</v>
      </c>
      <c r="L8" s="4" t="s">
        <v>53</v>
      </c>
      <c r="M8" s="4" t="s">
        <v>54</v>
      </c>
      <c r="N8" s="4" t="s">
        <v>46</v>
      </c>
      <c r="O8" s="4" t="s">
        <v>55</v>
      </c>
      <c r="P8" s="4" t="s">
        <v>39</v>
      </c>
    </row>
    <row r="9" customFormat="false" ht="22.35" hidden="false" customHeight="false" outlineLevel="0" collapsed="false">
      <c r="A9" s="4" t="n">
        <v>5</v>
      </c>
      <c r="B9" s="4" t="s">
        <v>30</v>
      </c>
      <c r="C9" s="4" t="s">
        <v>56</v>
      </c>
      <c r="D9" s="4" t="s">
        <v>57</v>
      </c>
      <c r="E9" s="5" t="s">
        <v>58</v>
      </c>
      <c r="F9" s="4" t="s">
        <v>59</v>
      </c>
      <c r="G9" s="4" t="s">
        <v>60</v>
      </c>
      <c r="H9" s="4" t="s">
        <v>61</v>
      </c>
      <c r="I9" s="4" t="n">
        <v>9</v>
      </c>
      <c r="J9" s="6" t="n">
        <v>2321</v>
      </c>
      <c r="K9" s="6" t="n">
        <f aca="false">IF(J9="","",MAX(0,J9-'Method &amp; Notes'!$B$6))</f>
        <v>1147</v>
      </c>
      <c r="L9" s="4" t="s">
        <v>35</v>
      </c>
      <c r="M9" s="4" t="s">
        <v>62</v>
      </c>
      <c r="N9" s="4" t="s">
        <v>37</v>
      </c>
      <c r="O9" s="4" t="s">
        <v>63</v>
      </c>
      <c r="P9" s="4" t="s">
        <v>39</v>
      </c>
    </row>
    <row r="10" customFormat="false" ht="22.35" hidden="false" customHeight="false" outlineLevel="0" collapsed="false">
      <c r="A10" s="4" t="n">
        <v>6</v>
      </c>
      <c r="B10" s="4" t="s">
        <v>40</v>
      </c>
      <c r="C10" s="4" t="s">
        <v>56</v>
      </c>
      <c r="D10" s="4" t="s">
        <v>64</v>
      </c>
      <c r="E10" s="5" t="s">
        <v>65</v>
      </c>
      <c r="F10" s="4" t="s">
        <v>66</v>
      </c>
      <c r="G10" s="4" t="s">
        <v>67</v>
      </c>
      <c r="H10" s="4" t="s">
        <v>68</v>
      </c>
      <c r="I10" s="4" t="n">
        <v>47</v>
      </c>
      <c r="J10" s="6" t="n">
        <v>3042</v>
      </c>
      <c r="K10" s="6" t="n">
        <f aca="false">IF(J10="","",MAX(0,J10-'Method &amp; Notes'!$B$6))</f>
        <v>1868</v>
      </c>
      <c r="L10" s="4" t="s">
        <v>69</v>
      </c>
      <c r="M10" s="4" t="s">
        <v>70</v>
      </c>
      <c r="N10" s="4" t="s">
        <v>46</v>
      </c>
      <c r="O10" s="4" t="s">
        <v>71</v>
      </c>
      <c r="P10" s="4" t="s">
        <v>39</v>
      </c>
    </row>
    <row r="11" customFormat="false" ht="32.8" hidden="false" customHeight="false" outlineLevel="0" collapsed="false">
      <c r="A11" s="4" t="n">
        <v>7</v>
      </c>
      <c r="B11" s="4" t="s">
        <v>48</v>
      </c>
      <c r="C11" s="4" t="s">
        <v>72</v>
      </c>
      <c r="D11" s="4" t="s">
        <v>73</v>
      </c>
      <c r="E11" s="5" t="s">
        <v>74</v>
      </c>
      <c r="F11" s="4" t="s">
        <v>75</v>
      </c>
      <c r="G11" s="4" t="s">
        <v>76</v>
      </c>
      <c r="H11" s="4" t="s">
        <v>77</v>
      </c>
      <c r="I11" s="4" t="n">
        <v>11</v>
      </c>
      <c r="J11" s="6" t="n">
        <v>2468</v>
      </c>
      <c r="K11" s="6" t="n">
        <f aca="false">IF(J11="","",MAX(0,J11-'Method &amp; Notes'!$B$6))</f>
        <v>1294</v>
      </c>
      <c r="L11" s="4" t="s">
        <v>78</v>
      </c>
      <c r="M11" s="4" t="s">
        <v>79</v>
      </c>
      <c r="N11" s="4" t="s">
        <v>46</v>
      </c>
      <c r="O11" s="4" t="s">
        <v>80</v>
      </c>
      <c r="P11" s="4" t="s">
        <v>39</v>
      </c>
    </row>
    <row r="12" customFormat="false" ht="43.25" hidden="false" customHeight="false" outlineLevel="0" collapsed="false">
      <c r="A12" s="4" t="n">
        <v>8</v>
      </c>
      <c r="B12" s="4" t="s">
        <v>40</v>
      </c>
      <c r="C12" s="4" t="s">
        <v>81</v>
      </c>
      <c r="D12" s="4" t="s">
        <v>82</v>
      </c>
      <c r="E12" s="5" t="s">
        <v>83</v>
      </c>
      <c r="F12" s="4" t="s">
        <v>84</v>
      </c>
      <c r="G12" s="4" t="s">
        <v>85</v>
      </c>
      <c r="H12" s="4" t="s">
        <v>86</v>
      </c>
      <c r="I12" s="4" t="n">
        <v>67</v>
      </c>
      <c r="J12" s="6" t="n">
        <v>2928</v>
      </c>
      <c r="K12" s="6" t="n">
        <f aca="false">IF(J12="","",MAX(0,J12-'Method &amp; Notes'!$B$6))</f>
        <v>1754</v>
      </c>
      <c r="L12" s="4" t="s">
        <v>87</v>
      </c>
      <c r="M12" s="4" t="s">
        <v>87</v>
      </c>
      <c r="N12" s="4" t="s">
        <v>46</v>
      </c>
      <c r="O12" s="4" t="s">
        <v>88</v>
      </c>
      <c r="P12" s="4" t="s">
        <v>89</v>
      </c>
    </row>
    <row r="13" customFormat="false" ht="22.35" hidden="false" customHeight="false" outlineLevel="0" collapsed="false">
      <c r="A13" s="4" t="n">
        <v>9</v>
      </c>
      <c r="B13" s="4" t="s">
        <v>30</v>
      </c>
      <c r="C13" s="4" t="s">
        <v>90</v>
      </c>
      <c r="D13" s="4" t="s">
        <v>91</v>
      </c>
      <c r="E13" s="5" t="s">
        <v>92</v>
      </c>
      <c r="F13" s="4" t="s">
        <v>93</v>
      </c>
      <c r="G13" s="4" t="s">
        <v>34</v>
      </c>
      <c r="H13" s="4" t="s">
        <v>91</v>
      </c>
      <c r="I13" s="4" t="n">
        <v>5</v>
      </c>
      <c r="J13" s="6" t="n">
        <v>2356</v>
      </c>
      <c r="K13" s="6" t="n">
        <f aca="false">IF(J13="","",MAX(0,J13-'Method &amp; Notes'!$B$6))</f>
        <v>1182</v>
      </c>
      <c r="L13" s="4" t="s">
        <v>35</v>
      </c>
      <c r="M13" s="4" t="s">
        <v>62</v>
      </c>
      <c r="N13" s="4" t="s">
        <v>37</v>
      </c>
      <c r="O13" s="4" t="s">
        <v>94</v>
      </c>
      <c r="P13" s="4" t="s">
        <v>95</v>
      </c>
    </row>
    <row r="14" customFormat="false" ht="32.8" hidden="false" customHeight="false" outlineLevel="0" collapsed="false">
      <c r="A14" s="4" t="n">
        <v>10</v>
      </c>
      <c r="B14" s="4" t="s">
        <v>40</v>
      </c>
      <c r="C14" s="4" t="s">
        <v>90</v>
      </c>
      <c r="D14" s="4" t="s">
        <v>96</v>
      </c>
      <c r="E14" s="5" t="s">
        <v>97</v>
      </c>
      <c r="F14" s="4" t="s">
        <v>98</v>
      </c>
      <c r="G14" s="4" t="s">
        <v>99</v>
      </c>
      <c r="H14" s="4" t="s">
        <v>100</v>
      </c>
      <c r="I14" s="4" t="n">
        <v>21</v>
      </c>
      <c r="J14" s="6" t="n">
        <v>3169</v>
      </c>
      <c r="K14" s="6" t="n">
        <f aca="false">IF(J14="","",MAX(0,J14-'Method &amp; Notes'!$B$6))</f>
        <v>1995</v>
      </c>
      <c r="L14" s="4" t="s">
        <v>101</v>
      </c>
      <c r="M14" s="4" t="s">
        <v>36</v>
      </c>
      <c r="N14" s="4" t="s">
        <v>46</v>
      </c>
      <c r="O14" s="4" t="s">
        <v>102</v>
      </c>
      <c r="P14" s="4" t="s">
        <v>95</v>
      </c>
    </row>
    <row r="15" customFormat="false" ht="32.8" hidden="false" customHeight="false" outlineLevel="0" collapsed="false">
      <c r="A15" s="4" t="n">
        <v>11</v>
      </c>
      <c r="B15" s="4" t="s">
        <v>48</v>
      </c>
      <c r="C15" s="4" t="s">
        <v>90</v>
      </c>
      <c r="D15" s="4" t="s">
        <v>103</v>
      </c>
      <c r="E15" s="5" t="s">
        <v>104</v>
      </c>
      <c r="F15" s="4" t="s">
        <v>105</v>
      </c>
      <c r="G15" s="4" t="s">
        <v>106</v>
      </c>
      <c r="H15" s="4" t="s">
        <v>107</v>
      </c>
      <c r="I15" s="4" t="n">
        <v>16</v>
      </c>
      <c r="J15" s="6" t="n">
        <v>2165</v>
      </c>
      <c r="K15" s="6" t="n">
        <f aca="false">IF(J15="","",MAX(0,J15-'Method &amp; Notes'!$B$6))</f>
        <v>991</v>
      </c>
      <c r="L15" s="4" t="s">
        <v>108</v>
      </c>
      <c r="M15" s="4" t="s">
        <v>54</v>
      </c>
      <c r="N15" s="4" t="s">
        <v>46</v>
      </c>
      <c r="O15" s="4" t="s">
        <v>109</v>
      </c>
      <c r="P15" s="4" t="s">
        <v>95</v>
      </c>
    </row>
    <row r="16" customFormat="false" ht="32.8" hidden="false" customHeight="false" outlineLevel="0" collapsed="false">
      <c r="A16" s="4" t="n">
        <v>12</v>
      </c>
      <c r="B16" s="4" t="s">
        <v>40</v>
      </c>
      <c r="C16" s="4" t="s">
        <v>110</v>
      </c>
      <c r="D16" s="4" t="s">
        <v>111</v>
      </c>
      <c r="E16" s="5" t="s">
        <v>112</v>
      </c>
      <c r="F16" s="4" t="s">
        <v>113</v>
      </c>
      <c r="G16" s="4" t="s">
        <v>114</v>
      </c>
      <c r="H16" s="4" t="s">
        <v>115</v>
      </c>
      <c r="I16" s="4" t="n">
        <v>51</v>
      </c>
      <c r="J16" s="6" t="n">
        <v>2840</v>
      </c>
      <c r="K16" s="6" t="n">
        <f aca="false">IF(J16="","",MAX(0,J16-'Method &amp; Notes'!$B$6))</f>
        <v>1666</v>
      </c>
      <c r="L16" s="4" t="s">
        <v>116</v>
      </c>
      <c r="M16" s="4" t="s">
        <v>116</v>
      </c>
      <c r="N16" s="4" t="s">
        <v>46</v>
      </c>
      <c r="O16" s="4" t="s">
        <v>117</v>
      </c>
      <c r="P16" s="4" t="s">
        <v>95</v>
      </c>
    </row>
    <row r="17" customFormat="false" ht="32.8" hidden="false" customHeight="false" outlineLevel="0" collapsed="false">
      <c r="A17" s="4" t="n">
        <v>13</v>
      </c>
      <c r="B17" s="4" t="s">
        <v>40</v>
      </c>
      <c r="C17" s="4" t="s">
        <v>110</v>
      </c>
      <c r="D17" s="4" t="s">
        <v>118</v>
      </c>
      <c r="E17" s="5" t="s">
        <v>119</v>
      </c>
      <c r="F17" s="4" t="s">
        <v>120</v>
      </c>
      <c r="G17" s="4" t="s">
        <v>121</v>
      </c>
      <c r="H17" s="4" t="s">
        <v>122</v>
      </c>
      <c r="I17" s="4" t="n">
        <v>34</v>
      </c>
      <c r="J17" s="6" t="n">
        <v>2855</v>
      </c>
      <c r="K17" s="6" t="n">
        <f aca="false">IF(J17="","",MAX(0,J17-'Method &amp; Notes'!$B$6))</f>
        <v>1681</v>
      </c>
      <c r="L17" s="4" t="s">
        <v>123</v>
      </c>
      <c r="M17" s="4" t="s">
        <v>123</v>
      </c>
      <c r="N17" s="4" t="s">
        <v>46</v>
      </c>
      <c r="O17" s="4" t="s">
        <v>124</v>
      </c>
      <c r="P17" s="4" t="s">
        <v>95</v>
      </c>
    </row>
    <row r="18" customFormat="false" ht="32.8" hidden="false" customHeight="false" outlineLevel="0" collapsed="false">
      <c r="A18" s="4" t="n">
        <v>14</v>
      </c>
      <c r="B18" s="4" t="s">
        <v>40</v>
      </c>
      <c r="C18" s="4" t="s">
        <v>110</v>
      </c>
      <c r="D18" s="4" t="s">
        <v>125</v>
      </c>
      <c r="E18" s="5" t="s">
        <v>126</v>
      </c>
      <c r="F18" s="4" t="s">
        <v>127</v>
      </c>
      <c r="G18" s="4" t="s">
        <v>128</v>
      </c>
      <c r="H18" s="4" t="s">
        <v>129</v>
      </c>
      <c r="I18" s="4" t="n">
        <v>32</v>
      </c>
      <c r="J18" s="6" t="n">
        <v>3125</v>
      </c>
      <c r="K18" s="6" t="n">
        <f aca="false">IF(J18="","",MAX(0,J18-'Method &amp; Notes'!$B$6))</f>
        <v>1951</v>
      </c>
      <c r="L18" s="4" t="s">
        <v>130</v>
      </c>
      <c r="M18" s="4" t="s">
        <v>123</v>
      </c>
      <c r="N18" s="4" t="s">
        <v>46</v>
      </c>
      <c r="O18" s="4" t="s">
        <v>131</v>
      </c>
      <c r="P18" s="4" t="s">
        <v>95</v>
      </c>
    </row>
    <row r="19" customFormat="false" ht="22.35" hidden="false" customHeight="false" outlineLevel="0" collapsed="false">
      <c r="A19" s="4" t="n">
        <v>15</v>
      </c>
      <c r="B19" s="4" t="s">
        <v>30</v>
      </c>
      <c r="C19" s="4" t="s">
        <v>132</v>
      </c>
      <c r="D19" s="4" t="s">
        <v>133</v>
      </c>
      <c r="E19" s="5" t="s">
        <v>134</v>
      </c>
      <c r="F19" s="4" t="s">
        <v>135</v>
      </c>
      <c r="G19" s="4" t="s">
        <v>34</v>
      </c>
      <c r="H19" s="4" t="s">
        <v>133</v>
      </c>
      <c r="I19" s="4" t="n">
        <v>5</v>
      </c>
      <c r="J19" s="6" t="n">
        <v>2136</v>
      </c>
      <c r="K19" s="6" t="n">
        <f aca="false">IF(J19="","",MAX(0,J19-'Method &amp; Notes'!$B$6))</f>
        <v>962</v>
      </c>
      <c r="L19" s="4" t="s">
        <v>35</v>
      </c>
      <c r="M19" s="4" t="s">
        <v>36</v>
      </c>
      <c r="N19" s="4" t="s">
        <v>37</v>
      </c>
      <c r="O19" s="4" t="s">
        <v>136</v>
      </c>
      <c r="P19" s="4" t="s">
        <v>95</v>
      </c>
    </row>
    <row r="20" customFormat="false" ht="53.7" hidden="false" customHeight="false" outlineLevel="0" collapsed="false">
      <c r="A20" s="4" t="n">
        <v>16</v>
      </c>
      <c r="B20" s="4" t="s">
        <v>40</v>
      </c>
      <c r="C20" s="4" t="s">
        <v>132</v>
      </c>
      <c r="D20" s="4" t="s">
        <v>137</v>
      </c>
      <c r="E20" s="5" t="s">
        <v>138</v>
      </c>
      <c r="F20" s="4" t="s">
        <v>139</v>
      </c>
      <c r="G20" s="4" t="s">
        <v>34</v>
      </c>
      <c r="H20" s="4" t="s">
        <v>140</v>
      </c>
      <c r="I20" s="4" t="n">
        <v>19</v>
      </c>
      <c r="J20" s="6" t="n">
        <v>2376</v>
      </c>
      <c r="K20" s="6" t="n">
        <f aca="false">IF(J20="","",MAX(0,J20-'Method &amp; Notes'!$B$6))</f>
        <v>1202</v>
      </c>
      <c r="L20" s="4" t="s">
        <v>78</v>
      </c>
      <c r="M20" s="4" t="s">
        <v>79</v>
      </c>
      <c r="N20" s="4" t="s">
        <v>46</v>
      </c>
      <c r="O20" s="4" t="s">
        <v>141</v>
      </c>
      <c r="P20" s="4" t="s">
        <v>95</v>
      </c>
    </row>
    <row r="21" customFormat="false" ht="22.35" hidden="false" customHeight="false" outlineLevel="0" collapsed="false">
      <c r="A21" s="4" t="n">
        <v>17</v>
      </c>
      <c r="B21" s="4" t="s">
        <v>142</v>
      </c>
      <c r="C21" s="4" t="s">
        <v>143</v>
      </c>
      <c r="D21" s="4" t="s">
        <v>143</v>
      </c>
      <c r="E21" s="5" t="s">
        <v>144</v>
      </c>
      <c r="F21" s="4" t="s">
        <v>145</v>
      </c>
      <c r="G21" s="4" t="s">
        <v>146</v>
      </c>
      <c r="H21" s="4" t="s">
        <v>147</v>
      </c>
      <c r="I21" s="4" t="n">
        <v>8</v>
      </c>
      <c r="J21" s="6" t="n">
        <v>1896</v>
      </c>
      <c r="K21" s="6" t="n">
        <f aca="false">IF(J21="","",MAX(0,J21-'Method &amp; Notes'!$B$6))</f>
        <v>722</v>
      </c>
      <c r="L21" s="4" t="s">
        <v>148</v>
      </c>
      <c r="M21" s="4" t="s">
        <v>54</v>
      </c>
      <c r="N21" s="4" t="s">
        <v>37</v>
      </c>
      <c r="O21" s="4" t="s">
        <v>149</v>
      </c>
      <c r="P21" s="4" t="s">
        <v>39</v>
      </c>
    </row>
    <row r="22" customFormat="false" ht="32.8" hidden="false" customHeight="false" outlineLevel="0" collapsed="false">
      <c r="A22" s="4" t="n">
        <v>18</v>
      </c>
      <c r="B22" s="4" t="s">
        <v>40</v>
      </c>
      <c r="C22" s="4" t="s">
        <v>150</v>
      </c>
      <c r="D22" s="4" t="s">
        <v>151</v>
      </c>
      <c r="E22" s="5" t="s">
        <v>152</v>
      </c>
      <c r="F22" s="4" t="s">
        <v>153</v>
      </c>
      <c r="G22" s="4" t="s">
        <v>154</v>
      </c>
      <c r="H22" s="4" t="s">
        <v>155</v>
      </c>
      <c r="I22" s="4" t="n">
        <v>23</v>
      </c>
      <c r="J22" s="6" t="n">
        <v>2991</v>
      </c>
      <c r="K22" s="6" t="n">
        <f aca="false">IF(J22="","",MAX(0,J22-'Method &amp; Notes'!$B$6))</f>
        <v>1817</v>
      </c>
      <c r="L22" s="4" t="s">
        <v>156</v>
      </c>
      <c r="M22" s="4" t="s">
        <v>156</v>
      </c>
      <c r="N22" s="4" t="s">
        <v>46</v>
      </c>
      <c r="O22" s="4" t="s">
        <v>157</v>
      </c>
      <c r="P22" s="4" t="s">
        <v>95</v>
      </c>
    </row>
    <row r="23" customFormat="false" ht="32.8" hidden="false" customHeight="false" outlineLevel="0" collapsed="false">
      <c r="A23" s="4" t="n">
        <v>19</v>
      </c>
      <c r="B23" s="4" t="s">
        <v>40</v>
      </c>
      <c r="C23" s="4" t="s">
        <v>158</v>
      </c>
      <c r="D23" s="4" t="s">
        <v>159</v>
      </c>
      <c r="E23" s="5" t="s">
        <v>160</v>
      </c>
      <c r="F23" s="4" t="s">
        <v>161</v>
      </c>
      <c r="G23" s="4" t="s">
        <v>162</v>
      </c>
      <c r="H23" s="4" t="s">
        <v>163</v>
      </c>
      <c r="I23" s="4" t="n">
        <v>38</v>
      </c>
      <c r="J23" s="6" t="n">
        <v>2705</v>
      </c>
      <c r="K23" s="6" t="n">
        <f aca="false">IF(J23="","",MAX(0,J23-'Method &amp; Notes'!$B$6))</f>
        <v>1531</v>
      </c>
      <c r="L23" s="4" t="s">
        <v>70</v>
      </c>
      <c r="M23" s="4" t="s">
        <v>164</v>
      </c>
      <c r="N23" s="4" t="s">
        <v>46</v>
      </c>
      <c r="O23" s="7" t="s">
        <v>165</v>
      </c>
      <c r="P23" s="4" t="s">
        <v>95</v>
      </c>
    </row>
    <row r="24" customFormat="false" ht="22.35" hidden="false" customHeight="false" outlineLevel="0" collapsed="false">
      <c r="A24" s="4" t="n">
        <v>20</v>
      </c>
      <c r="B24" s="4" t="s">
        <v>166</v>
      </c>
      <c r="C24" s="4" t="s">
        <v>167</v>
      </c>
      <c r="D24" s="4" t="s">
        <v>168</v>
      </c>
      <c r="E24" s="5" t="s">
        <v>169</v>
      </c>
      <c r="F24" s="4" t="s">
        <v>170</v>
      </c>
      <c r="G24" s="4"/>
      <c r="H24" s="4"/>
      <c r="I24" s="4"/>
      <c r="J24" s="6"/>
      <c r="K24" s="4"/>
      <c r="L24" s="4"/>
      <c r="M24" s="4"/>
      <c r="N24" s="4"/>
      <c r="O24" s="4" t="s">
        <v>171</v>
      </c>
      <c r="P24" s="4" t="s">
        <v>172</v>
      </c>
    </row>
    <row r="25" customFormat="false" ht="22.35" hidden="false" customHeight="false" outlineLevel="0" collapsed="false">
      <c r="A25" s="4" t="n">
        <v>21</v>
      </c>
      <c r="B25" s="4" t="s">
        <v>142</v>
      </c>
      <c r="C25" s="4" t="s">
        <v>173</v>
      </c>
      <c r="D25" s="4" t="s">
        <v>173</v>
      </c>
      <c r="E25" s="5" t="s">
        <v>174</v>
      </c>
      <c r="F25" s="4" t="s">
        <v>175</v>
      </c>
      <c r="G25" s="4" t="s">
        <v>23</v>
      </c>
      <c r="H25" s="4" t="s">
        <v>176</v>
      </c>
      <c r="I25" s="4" t="n">
        <v>6</v>
      </c>
      <c r="J25" s="6" t="n">
        <v>2089</v>
      </c>
      <c r="K25" s="6" t="n">
        <f aca="false">IF(J25="","",MAX(0,J25-'Method &amp; Notes'!$B$6))</f>
        <v>915</v>
      </c>
      <c r="L25" s="4" t="s">
        <v>35</v>
      </c>
      <c r="M25" s="4" t="s">
        <v>54</v>
      </c>
      <c r="N25" s="4" t="s">
        <v>37</v>
      </c>
      <c r="O25" s="4" t="s">
        <v>177</v>
      </c>
      <c r="P25" s="4" t="s">
        <v>39</v>
      </c>
    </row>
    <row r="26" customFormat="false" ht="22.35" hidden="false" customHeight="false" outlineLevel="0" collapsed="false">
      <c r="A26" s="4" t="n">
        <v>22</v>
      </c>
      <c r="B26" s="4" t="s">
        <v>40</v>
      </c>
      <c r="C26" s="4" t="s">
        <v>178</v>
      </c>
      <c r="D26" s="4" t="s">
        <v>179</v>
      </c>
      <c r="E26" s="5" t="s">
        <v>180</v>
      </c>
      <c r="F26" s="4" t="s">
        <v>181</v>
      </c>
      <c r="G26" s="4" t="s">
        <v>23</v>
      </c>
      <c r="H26" s="4" t="s">
        <v>182</v>
      </c>
      <c r="I26" s="4" t="n">
        <v>12</v>
      </c>
      <c r="J26" s="6" t="n">
        <v>2316</v>
      </c>
      <c r="K26" s="6" t="n">
        <f aca="false">IF(J26="","",MAX(0,J26-'Method &amp; Notes'!$B$6))</f>
        <v>1142</v>
      </c>
      <c r="L26" s="4" t="s">
        <v>53</v>
      </c>
      <c r="M26" s="4" t="s">
        <v>79</v>
      </c>
      <c r="N26" s="4" t="s">
        <v>46</v>
      </c>
      <c r="O26" s="4" t="s">
        <v>183</v>
      </c>
      <c r="P26" s="4" t="s">
        <v>39</v>
      </c>
    </row>
    <row r="27" customFormat="false" ht="22.35" hidden="false" customHeight="false" outlineLevel="0" collapsed="false">
      <c r="A27" s="4" t="n">
        <v>23</v>
      </c>
      <c r="B27" s="4" t="s">
        <v>48</v>
      </c>
      <c r="C27" s="4" t="s">
        <v>178</v>
      </c>
      <c r="D27" s="4" t="s">
        <v>184</v>
      </c>
      <c r="E27" s="5" t="s">
        <v>185</v>
      </c>
      <c r="F27" s="4" t="s">
        <v>186</v>
      </c>
      <c r="G27" s="4" t="s">
        <v>187</v>
      </c>
      <c r="H27" s="4" t="s">
        <v>188</v>
      </c>
      <c r="I27" s="4" t="n">
        <v>6</v>
      </c>
      <c r="J27" s="6" t="n">
        <v>1801</v>
      </c>
      <c r="K27" s="6" t="n">
        <f aca="false">IF(J27="","",MAX(0,J27-'Method &amp; Notes'!$B$6))</f>
        <v>627</v>
      </c>
      <c r="L27" s="4" t="s">
        <v>189</v>
      </c>
      <c r="M27" s="4" t="s">
        <v>101</v>
      </c>
      <c r="N27" s="4" t="s">
        <v>46</v>
      </c>
      <c r="O27" s="4" t="s">
        <v>190</v>
      </c>
      <c r="P27" s="4" t="s">
        <v>39</v>
      </c>
    </row>
    <row r="28" customFormat="false" ht="64.15" hidden="false" customHeight="false" outlineLevel="0" collapsed="false">
      <c r="A28" s="4" t="n">
        <v>24</v>
      </c>
      <c r="B28" s="4" t="s">
        <v>40</v>
      </c>
      <c r="C28" s="4" t="s">
        <v>178</v>
      </c>
      <c r="D28" s="4" t="s">
        <v>191</v>
      </c>
      <c r="E28" s="5" t="s">
        <v>192</v>
      </c>
      <c r="F28" s="4" t="s">
        <v>193</v>
      </c>
      <c r="G28" s="4" t="s">
        <v>194</v>
      </c>
      <c r="H28" s="4" t="s">
        <v>195</v>
      </c>
      <c r="I28" s="4" t="n">
        <v>31</v>
      </c>
      <c r="J28" s="6" t="n">
        <v>3064</v>
      </c>
      <c r="K28" s="6" t="n">
        <f aca="false">IF(J28="","",MAX(0,J28-'Method &amp; Notes'!$B$6))</f>
        <v>1890</v>
      </c>
      <c r="L28" s="4" t="s">
        <v>79</v>
      </c>
      <c r="M28" s="4" t="s">
        <v>196</v>
      </c>
      <c r="N28" s="4" t="s">
        <v>46</v>
      </c>
      <c r="O28" s="4" t="s">
        <v>197</v>
      </c>
      <c r="P28" s="4" t="s">
        <v>39</v>
      </c>
    </row>
    <row r="29" customFormat="false" ht="32.8" hidden="false" customHeight="false" outlineLevel="0" collapsed="false">
      <c r="A29" s="4" t="n">
        <v>25</v>
      </c>
      <c r="B29" s="4" t="s">
        <v>48</v>
      </c>
      <c r="C29" s="4" t="s">
        <v>178</v>
      </c>
      <c r="D29" s="4" t="s">
        <v>198</v>
      </c>
      <c r="E29" s="5" t="s">
        <v>199</v>
      </c>
      <c r="F29" s="4" t="s">
        <v>200</v>
      </c>
      <c r="G29" s="4" t="s">
        <v>201</v>
      </c>
      <c r="H29" s="4" t="s">
        <v>202</v>
      </c>
      <c r="I29" s="4" t="n">
        <v>7</v>
      </c>
      <c r="J29" s="6" t="n">
        <v>2211</v>
      </c>
      <c r="K29" s="6" t="n">
        <f aca="false">IF(J29="","",MAX(0,J29-'Method &amp; Notes'!$B$6))</f>
        <v>1037</v>
      </c>
      <c r="L29" s="4" t="s">
        <v>203</v>
      </c>
      <c r="M29" s="4" t="s">
        <v>204</v>
      </c>
      <c r="N29" s="4" t="s">
        <v>46</v>
      </c>
      <c r="O29" s="4" t="s">
        <v>205</v>
      </c>
      <c r="P29" s="4" t="s">
        <v>95</v>
      </c>
    </row>
    <row r="30" customFormat="false" ht="64.15" hidden="false" customHeight="false" outlineLevel="0" collapsed="false">
      <c r="A30" s="4" t="n">
        <v>26</v>
      </c>
      <c r="B30" s="4" t="s">
        <v>40</v>
      </c>
      <c r="C30" s="4" t="s">
        <v>178</v>
      </c>
      <c r="D30" s="4" t="s">
        <v>206</v>
      </c>
      <c r="E30" s="5" t="s">
        <v>207</v>
      </c>
      <c r="F30" s="4" t="s">
        <v>208</v>
      </c>
      <c r="G30" s="4" t="s">
        <v>209</v>
      </c>
      <c r="H30" s="4" t="s">
        <v>210</v>
      </c>
      <c r="I30" s="4" t="n">
        <v>64</v>
      </c>
      <c r="J30" s="6" t="n">
        <v>2273</v>
      </c>
      <c r="K30" s="6" t="n">
        <f aca="false">IF(J30="","",MAX(0,J30-'Method &amp; Notes'!$B$6))</f>
        <v>1099</v>
      </c>
      <c r="L30" s="4" t="s">
        <v>70</v>
      </c>
      <c r="M30" s="4" t="s">
        <v>211</v>
      </c>
      <c r="N30" s="4" t="s">
        <v>46</v>
      </c>
      <c r="O30" s="7" t="s">
        <v>212</v>
      </c>
      <c r="P30" s="4" t="s">
        <v>95</v>
      </c>
    </row>
    <row r="31" customFormat="false" ht="22.35" hidden="false" customHeight="false" outlineLevel="0" collapsed="false">
      <c r="A31" s="4" t="n">
        <v>27</v>
      </c>
      <c r="B31" s="4" t="s">
        <v>48</v>
      </c>
      <c r="C31" s="4" t="s">
        <v>178</v>
      </c>
      <c r="D31" s="4" t="s">
        <v>213</v>
      </c>
      <c r="E31" s="5" t="s">
        <v>214</v>
      </c>
      <c r="F31" s="4" t="s">
        <v>215</v>
      </c>
      <c r="G31" s="4" t="s">
        <v>216</v>
      </c>
      <c r="H31" s="4" t="s">
        <v>217</v>
      </c>
      <c r="I31" s="4" t="n">
        <v>27</v>
      </c>
      <c r="J31" s="6" t="n">
        <v>2279</v>
      </c>
      <c r="K31" s="6" t="n">
        <f aca="false">IF(J31="","",MAX(0,J31-'Method &amp; Notes'!$B$6))</f>
        <v>1105</v>
      </c>
      <c r="L31" s="4" t="s">
        <v>218</v>
      </c>
      <c r="M31" s="4" t="s">
        <v>218</v>
      </c>
      <c r="N31" s="4" t="s">
        <v>46</v>
      </c>
      <c r="O31" s="4" t="s">
        <v>219</v>
      </c>
      <c r="P31" s="4" t="s">
        <v>95</v>
      </c>
    </row>
    <row r="32" customFormat="false" ht="32.8" hidden="false" customHeight="false" outlineLevel="0" collapsed="false">
      <c r="A32" s="4" t="n">
        <v>28</v>
      </c>
      <c r="B32" s="4" t="s">
        <v>220</v>
      </c>
      <c r="C32" s="4" t="s">
        <v>178</v>
      </c>
      <c r="D32" s="4" t="s">
        <v>221</v>
      </c>
      <c r="E32" s="5" t="s">
        <v>222</v>
      </c>
      <c r="F32" s="4" t="s">
        <v>223</v>
      </c>
      <c r="G32" s="4"/>
      <c r="H32" s="4"/>
      <c r="I32" s="4"/>
      <c r="J32" s="6"/>
      <c r="K32" s="4"/>
      <c r="L32" s="4"/>
      <c r="M32" s="4"/>
      <c r="N32" s="4"/>
      <c r="O32" s="4" t="s">
        <v>224</v>
      </c>
      <c r="P32" s="4" t="s">
        <v>172</v>
      </c>
    </row>
    <row r="33" customFormat="false" ht="22.35" hidden="false" customHeight="false" outlineLevel="0" collapsed="false">
      <c r="A33" s="4" t="n">
        <v>29</v>
      </c>
      <c r="B33" s="4" t="s">
        <v>166</v>
      </c>
      <c r="C33" s="4" t="s">
        <v>178</v>
      </c>
      <c r="D33" s="4" t="s">
        <v>225</v>
      </c>
      <c r="E33" s="5" t="s">
        <v>226</v>
      </c>
      <c r="F33" s="4" t="s">
        <v>227</v>
      </c>
      <c r="G33" s="4"/>
      <c r="H33" s="4"/>
      <c r="I33" s="4"/>
      <c r="J33" s="6"/>
      <c r="K33" s="4"/>
      <c r="L33" s="4"/>
      <c r="M33" s="4"/>
      <c r="N33" s="4"/>
      <c r="O33" s="4" t="s">
        <v>228</v>
      </c>
      <c r="P33" s="4" t="s">
        <v>172</v>
      </c>
    </row>
  </sheetData>
  <autoFilter ref="A4:P33"/>
  <hyperlinks>
    <hyperlink ref="E5" r:id="rId2" display="https://familialife.ca/"/>
    <hyperlink ref="E6" r:id="rId3" display="https://familialife.ca/term-life-insurance/"/>
    <hyperlink ref="E7" r:id="rId4" display="https://familialife.ca/everything-about-term-life-insurance/"/>
    <hyperlink ref="E8" r:id="rId5" display="https://familialife.ca/what-happens-at-the-end-of-term-life-insurance/"/>
    <hyperlink ref="E9" r:id="rId6" display="https://familialife.ca/whole-life-insurance/"/>
    <hyperlink ref="E10" r:id="rId7" display="https://familialife.ca/everything-about-permanent-life-insurance/"/>
    <hyperlink ref="E11" r:id="rId8" display="https://familialife.ca/what-is-universal-life-insurance/"/>
    <hyperlink ref="E12" r:id="rId9" display="https://familialife.ca/what-is-joint-life/"/>
    <hyperlink ref="E13" r:id="rId10" display="https://familialife.ca/no-medical-insurance/"/>
    <hyperlink ref="E14" r:id="rId11" display="https://familialife.ca/everything-about-no-medical-life-insurance/"/>
    <hyperlink ref="E15" r:id="rId12" display="https://familialife.ca/how-to-get-life-insurance-if-you-have-health-issues/"/>
    <hyperlink ref="E16" r:id="rId13" display="https://familialife.ca/life-insurance-for-diabetics/"/>
    <hyperlink ref="E17" r:id="rId14" display="https://familialife.ca/life-insurance-with-cancer/"/>
    <hyperlink ref="E18" r:id="rId15" display="https://familialife.ca/life-insurance-with-heart-condition/"/>
    <hyperlink ref="E19" r:id="rId16" display="https://familialife.ca/mortgage-protection-insurance/"/>
    <hyperlink ref="E20" r:id="rId17" display="https://familialife.ca/what-is-mortgage-insurance/"/>
    <hyperlink ref="E21" r:id="rId18" display="https://familialife.ca/final-expense-insurance/"/>
    <hyperlink ref="E22" r:id="rId19" display="https://familialife.ca/seniors-life-insurance/"/>
    <hyperlink ref="E23" r:id="rId20" display="https://familialife.ca/family-life-insurance/"/>
    <hyperlink ref="E24" r:id="rId21" display="https://familialife.ca/whats-ci/"/>
    <hyperlink ref="E25" r:id="rId22" display="https://familialife.ca/health-insurance/"/>
    <hyperlink ref="E26" r:id="rId23" display="https://familialife.ca/how-does-life-insurance-work-in-canada/"/>
    <hyperlink ref="E27" r:id="rId24" display="https://familialife.ca/how-much-life-insurance-should-i-get/"/>
    <hyperlink ref="E28" r:id="rId25" display="https://familialife.ca/life-insurance-quotes-in-canada/"/>
    <hyperlink ref="E29" r:id="rId26" display="https://familialife.ca/how-do-life-insurance-companies-check-medical-background/"/>
    <hyperlink ref="E30" r:id="rId27" display="https://familialife.ca/12-myths-debunked/"/>
    <hyperlink ref="E31" r:id="rId28" display="https://familialife.ca/two-things-before-buying/"/>
    <hyperlink ref="E32" r:id="rId29" display="https://familialife.ca/are-life-insurance-premiums-tax-deductible-in-canada/"/>
    <hyperlink ref="E33" r:id="rId30" display="https://familialife.ca/how-to-claim/"/>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1"/>
  <legacyDrawing r:id="rId3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9" min="1" style="0" width="46"/>
  </cols>
  <sheetData>
    <row r="1" customFormat="false" ht="30" hidden="false" customHeight="true" outlineLevel="0" collapsed="false">
      <c r="A1" s="8" t="s">
        <v>19</v>
      </c>
      <c r="B1" s="9" t="s">
        <v>31</v>
      </c>
      <c r="C1" s="9"/>
      <c r="D1" s="9"/>
      <c r="E1" s="10" t="s">
        <v>56</v>
      </c>
      <c r="F1" s="10"/>
      <c r="G1" s="11" t="s">
        <v>72</v>
      </c>
      <c r="H1" s="12" t="s">
        <v>81</v>
      </c>
      <c r="I1" s="13" t="s">
        <v>90</v>
      </c>
      <c r="J1" s="13"/>
      <c r="K1" s="13"/>
      <c r="L1" s="14" t="s">
        <v>110</v>
      </c>
      <c r="M1" s="14"/>
      <c r="N1" s="14"/>
      <c r="O1" s="8" t="s">
        <v>132</v>
      </c>
      <c r="P1" s="8"/>
      <c r="Q1" s="9" t="s">
        <v>143</v>
      </c>
      <c r="R1" s="10" t="s">
        <v>150</v>
      </c>
      <c r="S1" s="11" t="s">
        <v>158</v>
      </c>
      <c r="T1" s="12" t="s">
        <v>167</v>
      </c>
      <c r="U1" s="13" t="s">
        <v>173</v>
      </c>
      <c r="V1" s="14" t="s">
        <v>178</v>
      </c>
      <c r="W1" s="14"/>
      <c r="X1" s="14"/>
      <c r="Y1" s="14"/>
      <c r="Z1" s="14"/>
      <c r="AA1" s="14"/>
      <c r="AB1" s="14"/>
      <c r="AC1" s="14"/>
    </row>
    <row r="2" customFormat="false" ht="43.5" hidden="false" customHeight="true" outlineLevel="0" collapsed="false">
      <c r="A2" s="15" t="s">
        <v>20</v>
      </c>
      <c r="B2" s="16" t="s">
        <v>31</v>
      </c>
      <c r="C2" s="16" t="s">
        <v>41</v>
      </c>
      <c r="D2" s="16" t="s">
        <v>49</v>
      </c>
      <c r="E2" s="17" t="s">
        <v>57</v>
      </c>
      <c r="F2" s="17" t="s">
        <v>64</v>
      </c>
      <c r="G2" s="18" t="s">
        <v>73</v>
      </c>
      <c r="H2" s="19" t="s">
        <v>82</v>
      </c>
      <c r="I2" s="20" t="s">
        <v>91</v>
      </c>
      <c r="J2" s="20" t="s">
        <v>96</v>
      </c>
      <c r="K2" s="20" t="s">
        <v>103</v>
      </c>
      <c r="L2" s="21" t="s">
        <v>111</v>
      </c>
      <c r="M2" s="21" t="s">
        <v>118</v>
      </c>
      <c r="N2" s="21" t="s">
        <v>125</v>
      </c>
      <c r="O2" s="15" t="s">
        <v>133</v>
      </c>
      <c r="P2" s="15" t="s">
        <v>137</v>
      </c>
      <c r="Q2" s="16" t="s">
        <v>143</v>
      </c>
      <c r="R2" s="17" t="s">
        <v>151</v>
      </c>
      <c r="S2" s="18" t="s">
        <v>159</v>
      </c>
      <c r="T2" s="19" t="s">
        <v>168</v>
      </c>
      <c r="U2" s="20" t="s">
        <v>173</v>
      </c>
      <c r="V2" s="21" t="s">
        <v>179</v>
      </c>
      <c r="W2" s="21" t="s">
        <v>184</v>
      </c>
      <c r="X2" s="21" t="s">
        <v>191</v>
      </c>
      <c r="Y2" s="21" t="s">
        <v>198</v>
      </c>
      <c r="Z2" s="21" t="s">
        <v>206</v>
      </c>
      <c r="AA2" s="21" t="s">
        <v>213</v>
      </c>
      <c r="AB2" s="21" t="s">
        <v>221</v>
      </c>
      <c r="AC2" s="21" t="s">
        <v>225</v>
      </c>
    </row>
    <row r="3" customFormat="false" ht="15" hidden="false" customHeight="false" outlineLevel="0" collapsed="false">
      <c r="A3" s="22" t="s">
        <v>18</v>
      </c>
      <c r="B3" s="23" t="s">
        <v>30</v>
      </c>
      <c r="C3" s="23" t="s">
        <v>40</v>
      </c>
      <c r="D3" s="23" t="s">
        <v>48</v>
      </c>
      <c r="E3" s="24" t="s">
        <v>30</v>
      </c>
      <c r="F3" s="24" t="s">
        <v>40</v>
      </c>
      <c r="G3" s="25" t="s">
        <v>48</v>
      </c>
      <c r="H3" s="26" t="s">
        <v>40</v>
      </c>
      <c r="I3" s="27" t="s">
        <v>30</v>
      </c>
      <c r="J3" s="27" t="s">
        <v>40</v>
      </c>
      <c r="K3" s="27" t="s">
        <v>48</v>
      </c>
      <c r="L3" s="28" t="s">
        <v>40</v>
      </c>
      <c r="M3" s="28" t="s">
        <v>40</v>
      </c>
      <c r="N3" s="28" t="s">
        <v>40</v>
      </c>
      <c r="O3" s="22" t="s">
        <v>30</v>
      </c>
      <c r="P3" s="22" t="s">
        <v>40</v>
      </c>
      <c r="Q3" s="23" t="s">
        <v>142</v>
      </c>
      <c r="R3" s="24" t="s">
        <v>40</v>
      </c>
      <c r="S3" s="25" t="s">
        <v>40</v>
      </c>
      <c r="T3" s="26" t="s">
        <v>166</v>
      </c>
      <c r="U3" s="27" t="s">
        <v>142</v>
      </c>
      <c r="V3" s="28" t="s">
        <v>40</v>
      </c>
      <c r="W3" s="28" t="s">
        <v>48</v>
      </c>
      <c r="X3" s="28" t="s">
        <v>40</v>
      </c>
      <c r="Y3" s="28" t="s">
        <v>48</v>
      </c>
      <c r="Z3" s="28" t="s">
        <v>40</v>
      </c>
      <c r="AA3" s="28" t="s">
        <v>48</v>
      </c>
      <c r="AB3" s="28" t="s">
        <v>220</v>
      </c>
      <c r="AC3" s="28" t="s">
        <v>166</v>
      </c>
    </row>
    <row r="4" customFormat="false" ht="15" hidden="false" customHeight="false" outlineLevel="0" collapsed="false">
      <c r="A4" s="29" t="s">
        <v>21</v>
      </c>
      <c r="B4" s="30" t="s">
        <v>32</v>
      </c>
      <c r="C4" s="30" t="s">
        <v>42</v>
      </c>
      <c r="D4" s="30" t="s">
        <v>50</v>
      </c>
      <c r="E4" s="31" t="s">
        <v>58</v>
      </c>
      <c r="F4" s="31" t="s">
        <v>65</v>
      </c>
      <c r="G4" s="32" t="s">
        <v>74</v>
      </c>
      <c r="H4" s="33" t="s">
        <v>83</v>
      </c>
      <c r="I4" s="34" t="s">
        <v>92</v>
      </c>
      <c r="J4" s="34" t="s">
        <v>97</v>
      </c>
      <c r="K4" s="34" t="s">
        <v>104</v>
      </c>
      <c r="L4" s="35" t="s">
        <v>112</v>
      </c>
      <c r="M4" s="35" t="s">
        <v>119</v>
      </c>
      <c r="N4" s="35" t="s">
        <v>126</v>
      </c>
      <c r="O4" s="29" t="s">
        <v>134</v>
      </c>
      <c r="P4" s="29" t="s">
        <v>138</v>
      </c>
      <c r="Q4" s="30" t="s">
        <v>144</v>
      </c>
      <c r="R4" s="31" t="s">
        <v>152</v>
      </c>
      <c r="S4" s="32" t="s">
        <v>160</v>
      </c>
      <c r="T4" s="33" t="s">
        <v>169</v>
      </c>
      <c r="U4" s="34" t="s">
        <v>174</v>
      </c>
      <c r="V4" s="35" t="s">
        <v>180</v>
      </c>
      <c r="W4" s="35" t="s">
        <v>185</v>
      </c>
      <c r="X4" s="35" t="s">
        <v>192</v>
      </c>
      <c r="Y4" s="35" t="s">
        <v>199</v>
      </c>
      <c r="Z4" s="35" t="s">
        <v>207</v>
      </c>
      <c r="AA4" s="35" t="s">
        <v>214</v>
      </c>
      <c r="AB4" s="35" t="s">
        <v>222</v>
      </c>
      <c r="AC4" s="35" t="s">
        <v>226</v>
      </c>
    </row>
    <row r="5" customFormat="false" ht="15" hidden="false" customHeight="false" outlineLevel="0" collapsed="false">
      <c r="A5" s="36" t="s">
        <v>229</v>
      </c>
      <c r="B5" s="37" t="s">
        <v>230</v>
      </c>
      <c r="C5" s="37" t="s">
        <v>231</v>
      </c>
      <c r="D5" s="37" t="s">
        <v>232</v>
      </c>
      <c r="E5" s="38" t="s">
        <v>233</v>
      </c>
      <c r="F5" s="38" t="s">
        <v>234</v>
      </c>
      <c r="G5" s="39" t="s">
        <v>235</v>
      </c>
      <c r="H5" s="40" t="s">
        <v>236</v>
      </c>
      <c r="I5" s="41" t="s">
        <v>237</v>
      </c>
      <c r="J5" s="41" t="s">
        <v>238</v>
      </c>
      <c r="K5" s="41" t="s">
        <v>239</v>
      </c>
      <c r="L5" s="42" t="s">
        <v>240</v>
      </c>
      <c r="M5" s="42" t="s">
        <v>241</v>
      </c>
      <c r="N5" s="42" t="s">
        <v>242</v>
      </c>
      <c r="O5" s="36" t="s">
        <v>237</v>
      </c>
      <c r="P5" s="36" t="s">
        <v>243</v>
      </c>
      <c r="Q5" s="37" t="s">
        <v>244</v>
      </c>
      <c r="R5" s="38" t="s">
        <v>245</v>
      </c>
      <c r="S5" s="39" t="s">
        <v>246</v>
      </c>
      <c r="T5" s="40" t="s">
        <v>247</v>
      </c>
      <c r="U5" s="41" t="s">
        <v>248</v>
      </c>
      <c r="V5" s="42" t="s">
        <v>249</v>
      </c>
      <c r="W5" s="42" t="s">
        <v>248</v>
      </c>
      <c r="X5" s="42" t="s">
        <v>250</v>
      </c>
      <c r="Y5" s="42" t="s">
        <v>251</v>
      </c>
      <c r="Z5" s="42" t="s">
        <v>252</v>
      </c>
      <c r="AA5" s="42" t="s">
        <v>253</v>
      </c>
      <c r="AB5" s="42" t="s">
        <v>247</v>
      </c>
      <c r="AC5" s="42" t="s">
        <v>247</v>
      </c>
    </row>
    <row r="6" customFormat="false" ht="18" hidden="false" customHeight="true" outlineLevel="0" collapsed="false">
      <c r="A6" s="43" t="s">
        <v>254</v>
      </c>
      <c r="B6" s="43" t="s">
        <v>254</v>
      </c>
      <c r="C6" s="43" t="s">
        <v>254</v>
      </c>
      <c r="D6" s="43" t="s">
        <v>254</v>
      </c>
      <c r="E6" s="43" t="s">
        <v>254</v>
      </c>
      <c r="F6" s="43" t="s">
        <v>254</v>
      </c>
      <c r="G6" s="43" t="s">
        <v>254</v>
      </c>
      <c r="H6" s="43" t="s">
        <v>254</v>
      </c>
      <c r="I6" s="43" t="s">
        <v>254</v>
      </c>
      <c r="J6" s="43" t="s">
        <v>254</v>
      </c>
      <c r="K6" s="43" t="s">
        <v>254</v>
      </c>
      <c r="L6" s="43" t="s">
        <v>254</v>
      </c>
      <c r="M6" s="43" t="s">
        <v>254</v>
      </c>
      <c r="N6" s="43" t="s">
        <v>254</v>
      </c>
      <c r="O6" s="43" t="s">
        <v>254</v>
      </c>
      <c r="P6" s="43" t="s">
        <v>254</v>
      </c>
      <c r="Q6" s="43" t="s">
        <v>254</v>
      </c>
      <c r="R6" s="43" t="s">
        <v>254</v>
      </c>
      <c r="S6" s="43" t="s">
        <v>254</v>
      </c>
      <c r="T6" s="43" t="s">
        <v>254</v>
      </c>
      <c r="U6" s="43" t="s">
        <v>254</v>
      </c>
      <c r="V6" s="43" t="s">
        <v>254</v>
      </c>
      <c r="W6" s="43" t="s">
        <v>254</v>
      </c>
      <c r="X6" s="43" t="s">
        <v>254</v>
      </c>
      <c r="Y6" s="43" t="s">
        <v>254</v>
      </c>
      <c r="Z6" s="43" t="s">
        <v>254</v>
      </c>
      <c r="AA6" s="43" t="s">
        <v>254</v>
      </c>
      <c r="AB6" s="43" t="s">
        <v>254</v>
      </c>
      <c r="AC6" s="43" t="s">
        <v>254</v>
      </c>
    </row>
    <row r="7" customFormat="false" ht="43.25" hidden="false" customHeight="false" outlineLevel="0" collapsed="false">
      <c r="A7" s="44" t="s">
        <v>255</v>
      </c>
      <c r="B7" s="44" t="s">
        <v>31</v>
      </c>
      <c r="C7" s="44" t="s">
        <v>256</v>
      </c>
      <c r="D7" s="44" t="s">
        <v>257</v>
      </c>
      <c r="E7" s="44" t="s">
        <v>57</v>
      </c>
      <c r="F7" s="44" t="s">
        <v>64</v>
      </c>
      <c r="G7" s="44" t="s">
        <v>73</v>
      </c>
      <c r="H7" s="44" t="s">
        <v>258</v>
      </c>
      <c r="I7" s="44" t="s">
        <v>91</v>
      </c>
      <c r="J7" s="44" t="s">
        <v>259</v>
      </c>
      <c r="K7" s="44" t="s">
        <v>260</v>
      </c>
      <c r="L7" s="45" t="s">
        <v>261</v>
      </c>
      <c r="M7" s="45" t="s">
        <v>262</v>
      </c>
      <c r="N7" s="46" t="s">
        <v>263</v>
      </c>
      <c r="O7" s="44" t="s">
        <v>133</v>
      </c>
      <c r="P7" s="44" t="s">
        <v>264</v>
      </c>
      <c r="Q7" s="44" t="s">
        <v>265</v>
      </c>
      <c r="R7" s="44" t="s">
        <v>266</v>
      </c>
      <c r="S7" s="44" t="s">
        <v>159</v>
      </c>
      <c r="T7" s="47" t="s">
        <v>170</v>
      </c>
      <c r="U7" s="44" t="s">
        <v>267</v>
      </c>
      <c r="V7" s="44" t="s">
        <v>268</v>
      </c>
      <c r="W7" s="44" t="s">
        <v>184</v>
      </c>
      <c r="X7" s="44" t="s">
        <v>269</v>
      </c>
      <c r="Y7" s="44" t="s">
        <v>270</v>
      </c>
      <c r="Z7" s="45" t="s">
        <v>262</v>
      </c>
      <c r="AA7" s="44" t="s">
        <v>271</v>
      </c>
      <c r="AB7" s="47" t="s">
        <v>223</v>
      </c>
      <c r="AC7" s="47" t="s">
        <v>227</v>
      </c>
    </row>
    <row r="8" customFormat="false" ht="23.85" hidden="false" customHeight="false" outlineLevel="0" collapsed="false">
      <c r="A8" s="44" t="s">
        <v>272</v>
      </c>
      <c r="B8" s="48" t="s">
        <v>273</v>
      </c>
      <c r="C8" s="44" t="s">
        <v>274</v>
      </c>
      <c r="D8" s="46" t="s">
        <v>275</v>
      </c>
      <c r="E8" s="48" t="s">
        <v>276</v>
      </c>
      <c r="F8" s="45" t="s">
        <v>68</v>
      </c>
      <c r="G8" s="45" t="s">
        <v>277</v>
      </c>
      <c r="H8" s="45" t="s">
        <v>278</v>
      </c>
      <c r="I8" s="48" t="s">
        <v>279</v>
      </c>
      <c r="J8" s="44" t="s">
        <v>280</v>
      </c>
      <c r="K8" s="46" t="s">
        <v>281</v>
      </c>
      <c r="L8" s="45" t="s">
        <v>282</v>
      </c>
      <c r="M8" s="49" t="s">
        <v>283</v>
      </c>
      <c r="N8" s="44" t="s">
        <v>284</v>
      </c>
      <c r="O8" s="48" t="s">
        <v>285</v>
      </c>
      <c r="P8" s="44" t="s">
        <v>286</v>
      </c>
      <c r="Q8" s="46" t="s">
        <v>287</v>
      </c>
      <c r="R8" s="45" t="s">
        <v>288</v>
      </c>
      <c r="S8" s="45" t="s">
        <v>289</v>
      </c>
      <c r="U8" s="45" t="s">
        <v>290</v>
      </c>
      <c r="V8" s="44" t="s">
        <v>291</v>
      </c>
      <c r="W8" s="48" t="s">
        <v>292</v>
      </c>
      <c r="X8" s="44" t="s">
        <v>293</v>
      </c>
      <c r="Y8" s="44" t="s">
        <v>294</v>
      </c>
      <c r="Z8" s="49" t="s">
        <v>295</v>
      </c>
      <c r="AA8" s="45" t="s">
        <v>296</v>
      </c>
    </row>
    <row r="9" customFormat="false" ht="22.35" hidden="false" customHeight="false" outlineLevel="0" collapsed="false">
      <c r="A9" s="45" t="s">
        <v>297</v>
      </c>
      <c r="B9" s="48" t="s">
        <v>298</v>
      </c>
      <c r="C9" s="45" t="s">
        <v>299</v>
      </c>
      <c r="D9" s="46" t="s">
        <v>300</v>
      </c>
      <c r="E9" s="48" t="s">
        <v>301</v>
      </c>
      <c r="F9" s="49" t="s">
        <v>302</v>
      </c>
      <c r="G9" s="45" t="s">
        <v>303</v>
      </c>
      <c r="H9" s="49" t="s">
        <v>304</v>
      </c>
      <c r="I9" s="48" t="s">
        <v>305</v>
      </c>
      <c r="J9" s="45" t="s">
        <v>306</v>
      </c>
      <c r="K9" s="44" t="s">
        <v>307</v>
      </c>
      <c r="L9" s="49" t="s">
        <v>308</v>
      </c>
      <c r="M9" s="49" t="s">
        <v>309</v>
      </c>
      <c r="N9" s="46" t="s">
        <v>310</v>
      </c>
      <c r="O9" s="48" t="s">
        <v>311</v>
      </c>
      <c r="P9" s="44" t="s">
        <v>312</v>
      </c>
      <c r="Q9" s="45" t="s">
        <v>313</v>
      </c>
      <c r="R9" s="44" t="s">
        <v>314</v>
      </c>
      <c r="S9" s="48" t="s">
        <v>315</v>
      </c>
      <c r="U9" s="45" t="s">
        <v>316</v>
      </c>
      <c r="V9" s="46" t="s">
        <v>317</v>
      </c>
      <c r="W9" s="48" t="s">
        <v>318</v>
      </c>
      <c r="X9" s="45" t="s">
        <v>319</v>
      </c>
      <c r="Y9" s="44" t="s">
        <v>320</v>
      </c>
      <c r="Z9" s="44" t="s">
        <v>321</v>
      </c>
      <c r="AA9" s="44" t="s">
        <v>322</v>
      </c>
    </row>
    <row r="10" customFormat="false" ht="15" hidden="false" customHeight="false" outlineLevel="0" collapsed="false">
      <c r="A10" s="50" t="s">
        <v>323</v>
      </c>
      <c r="B10" s="48" t="s">
        <v>324</v>
      </c>
      <c r="C10" s="51" t="s">
        <v>325</v>
      </c>
      <c r="D10" s="46" t="s">
        <v>326</v>
      </c>
      <c r="E10" s="52" t="s">
        <v>281</v>
      </c>
      <c r="F10" s="48" t="s">
        <v>327</v>
      </c>
      <c r="G10" s="45" t="s">
        <v>328</v>
      </c>
      <c r="H10" s="49" t="s">
        <v>329</v>
      </c>
      <c r="I10" s="48" t="s">
        <v>330</v>
      </c>
      <c r="J10" s="50" t="s">
        <v>331</v>
      </c>
      <c r="K10" s="46" t="s">
        <v>332</v>
      </c>
      <c r="L10" s="44" t="s">
        <v>333</v>
      </c>
      <c r="M10" s="49" t="s">
        <v>334</v>
      </c>
      <c r="N10" s="46" t="s">
        <v>335</v>
      </c>
      <c r="O10" s="48" t="s">
        <v>336</v>
      </c>
      <c r="P10" s="44" t="s">
        <v>337</v>
      </c>
      <c r="Q10" s="45" t="s">
        <v>338</v>
      </c>
      <c r="R10" s="45" t="s">
        <v>339</v>
      </c>
      <c r="S10" s="48" t="s">
        <v>340</v>
      </c>
      <c r="U10" s="45" t="s">
        <v>341</v>
      </c>
      <c r="V10" s="46" t="s">
        <v>342</v>
      </c>
      <c r="W10" s="48" t="s">
        <v>343</v>
      </c>
      <c r="X10" s="45" t="s">
        <v>344</v>
      </c>
      <c r="Y10" s="44" t="s">
        <v>345</v>
      </c>
      <c r="Z10" s="45" t="s">
        <v>346</v>
      </c>
      <c r="AA10" s="45" t="s">
        <v>347</v>
      </c>
    </row>
    <row r="11" customFormat="false" ht="15" hidden="false" customHeight="false" outlineLevel="0" collapsed="false">
      <c r="A11" s="50" t="s">
        <v>348</v>
      </c>
      <c r="B11" s="48" t="s">
        <v>349</v>
      </c>
      <c r="C11" s="45" t="s">
        <v>350</v>
      </c>
      <c r="D11" s="44" t="s">
        <v>351</v>
      </c>
      <c r="E11" s="52" t="s">
        <v>352</v>
      </c>
      <c r="F11" s="52" t="s">
        <v>353</v>
      </c>
      <c r="G11" s="45" t="s">
        <v>354</v>
      </c>
      <c r="H11" s="49" t="s">
        <v>355</v>
      </c>
      <c r="I11" s="48" t="s">
        <v>349</v>
      </c>
      <c r="J11" s="50" t="s">
        <v>356</v>
      </c>
      <c r="K11" s="46" t="s">
        <v>357</v>
      </c>
      <c r="L11" s="45" t="s">
        <v>358</v>
      </c>
      <c r="M11" s="49" t="s">
        <v>359</v>
      </c>
      <c r="N11" s="46" t="s">
        <v>360</v>
      </c>
      <c r="O11" s="48" t="s">
        <v>361</v>
      </c>
      <c r="P11" s="46" t="s">
        <v>362</v>
      </c>
      <c r="Q11" s="45" t="s">
        <v>363</v>
      </c>
      <c r="R11" s="49" t="s">
        <v>281</v>
      </c>
      <c r="S11" s="45" t="s">
        <v>364</v>
      </c>
      <c r="U11" s="45" t="s">
        <v>365</v>
      </c>
      <c r="V11" s="44" t="s">
        <v>366</v>
      </c>
      <c r="W11" s="48" t="s">
        <v>367</v>
      </c>
      <c r="X11" s="45" t="s">
        <v>368</v>
      </c>
      <c r="Y11" s="44" t="s">
        <v>369</v>
      </c>
      <c r="Z11" s="48" t="s">
        <v>370</v>
      </c>
      <c r="AA11" s="45" t="s">
        <v>371</v>
      </c>
    </row>
    <row r="12" customFormat="false" ht="15" hidden="false" customHeight="false" outlineLevel="0" collapsed="false">
      <c r="A12" s="50" t="s">
        <v>372</v>
      </c>
      <c r="C12" s="45" t="s">
        <v>373</v>
      </c>
      <c r="D12" s="46" t="s">
        <v>374</v>
      </c>
      <c r="E12" s="52" t="s">
        <v>375</v>
      </c>
      <c r="F12" s="52" t="s">
        <v>376</v>
      </c>
      <c r="G12" s="45" t="s">
        <v>377</v>
      </c>
      <c r="H12" s="45" t="s">
        <v>378</v>
      </c>
      <c r="J12" s="50" t="s">
        <v>379</v>
      </c>
      <c r="K12" s="46" t="s">
        <v>380</v>
      </c>
      <c r="L12" s="48" t="s">
        <v>381</v>
      </c>
      <c r="M12" s="49" t="s">
        <v>382</v>
      </c>
      <c r="N12" s="44" t="s">
        <v>383</v>
      </c>
      <c r="P12" s="46" t="s">
        <v>384</v>
      </c>
      <c r="Q12" s="45" t="s">
        <v>385</v>
      </c>
      <c r="R12" s="44" t="s">
        <v>386</v>
      </c>
      <c r="S12" s="48" t="s">
        <v>387</v>
      </c>
      <c r="U12" s="44" t="s">
        <v>388</v>
      </c>
      <c r="V12" s="46" t="s">
        <v>389</v>
      </c>
      <c r="W12" s="48" t="s">
        <v>390</v>
      </c>
      <c r="X12" s="45" t="s">
        <v>391</v>
      </c>
      <c r="Y12" s="44" t="s">
        <v>392</v>
      </c>
      <c r="Z12" s="52" t="s">
        <v>393</v>
      </c>
      <c r="AA12" s="49" t="s">
        <v>394</v>
      </c>
    </row>
    <row r="13" customFormat="false" ht="15" hidden="false" customHeight="false" outlineLevel="0" collapsed="false">
      <c r="A13" s="50" t="s">
        <v>132</v>
      </c>
      <c r="C13" s="45" t="s">
        <v>395</v>
      </c>
      <c r="D13" s="46" t="s">
        <v>396</v>
      </c>
      <c r="E13" s="48" t="s">
        <v>397</v>
      </c>
      <c r="F13" s="52" t="s">
        <v>398</v>
      </c>
      <c r="G13" s="45" t="s">
        <v>399</v>
      </c>
      <c r="H13" s="49" t="s">
        <v>400</v>
      </c>
      <c r="J13" s="50" t="s">
        <v>401</v>
      </c>
      <c r="K13" s="44" t="s">
        <v>402</v>
      </c>
      <c r="L13" s="52" t="s">
        <v>403</v>
      </c>
      <c r="M13" s="44" t="s">
        <v>404</v>
      </c>
      <c r="N13" s="46" t="s">
        <v>405</v>
      </c>
      <c r="P13" s="46" t="s">
        <v>406</v>
      </c>
      <c r="Q13" s="45" t="s">
        <v>407</v>
      </c>
      <c r="R13" s="46" t="s">
        <v>408</v>
      </c>
      <c r="S13" s="50" t="s">
        <v>409</v>
      </c>
      <c r="V13" s="44" t="s">
        <v>410</v>
      </c>
      <c r="X13" s="45" t="s">
        <v>411</v>
      </c>
      <c r="Y13" s="44" t="s">
        <v>412</v>
      </c>
      <c r="Z13" s="44" t="s">
        <v>413</v>
      </c>
      <c r="AA13" s="49" t="s">
        <v>414</v>
      </c>
    </row>
    <row r="14" customFormat="false" ht="15" hidden="false" customHeight="false" outlineLevel="0" collapsed="false">
      <c r="A14" s="50" t="s">
        <v>415</v>
      </c>
      <c r="C14" s="45" t="s">
        <v>416</v>
      </c>
      <c r="D14" s="46" t="s">
        <v>417</v>
      </c>
      <c r="E14" s="48" t="s">
        <v>418</v>
      </c>
      <c r="F14" s="52" t="s">
        <v>419</v>
      </c>
      <c r="G14" s="49" t="s">
        <v>420</v>
      </c>
      <c r="H14" s="49" t="s">
        <v>421</v>
      </c>
      <c r="J14" s="45" t="s">
        <v>422</v>
      </c>
      <c r="K14" s="46" t="s">
        <v>423</v>
      </c>
      <c r="L14" s="48" t="s">
        <v>424</v>
      </c>
      <c r="M14" s="45" t="s">
        <v>425</v>
      </c>
      <c r="N14" s="46" t="s">
        <v>426</v>
      </c>
      <c r="P14" s="44" t="s">
        <v>427</v>
      </c>
      <c r="Q14" s="44" t="s">
        <v>428</v>
      </c>
      <c r="R14" s="46" t="s">
        <v>429</v>
      </c>
      <c r="S14" s="50" t="s">
        <v>430</v>
      </c>
      <c r="V14" s="45" t="s">
        <v>431</v>
      </c>
      <c r="X14" s="44" t="s">
        <v>432</v>
      </c>
      <c r="Z14" s="45" t="s">
        <v>346</v>
      </c>
      <c r="AA14" s="49" t="s">
        <v>433</v>
      </c>
    </row>
    <row r="15" customFormat="false" ht="15" hidden="false" customHeight="false" outlineLevel="0" collapsed="false">
      <c r="A15" s="44" t="s">
        <v>434</v>
      </c>
      <c r="C15" s="45" t="s">
        <v>435</v>
      </c>
      <c r="D15" s="46" t="s">
        <v>436</v>
      </c>
      <c r="E15" s="44" t="s">
        <v>437</v>
      </c>
      <c r="F15" s="48" t="s">
        <v>438</v>
      </c>
      <c r="G15" s="49" t="s">
        <v>439</v>
      </c>
      <c r="H15" s="44" t="s">
        <v>440</v>
      </c>
      <c r="J15" s="50" t="s">
        <v>441</v>
      </c>
      <c r="K15" s="46" t="s">
        <v>442</v>
      </c>
      <c r="L15" s="48" t="s">
        <v>443</v>
      </c>
      <c r="M15" s="45" t="s">
        <v>444</v>
      </c>
      <c r="N15" s="46" t="s">
        <v>445</v>
      </c>
      <c r="P15" s="46" t="s">
        <v>446</v>
      </c>
      <c r="R15" s="46" t="s">
        <v>436</v>
      </c>
      <c r="S15" s="50" t="s">
        <v>447</v>
      </c>
      <c r="V15" s="45" t="s">
        <v>448</v>
      </c>
      <c r="X15" s="45" t="s">
        <v>90</v>
      </c>
      <c r="Z15" s="48" t="s">
        <v>449</v>
      </c>
      <c r="AA15" s="48" t="s">
        <v>450</v>
      </c>
    </row>
    <row r="16" customFormat="false" ht="15" hidden="false" customHeight="false" outlineLevel="0" collapsed="false">
      <c r="A16" s="44" t="s">
        <v>451</v>
      </c>
      <c r="C16" s="45" t="s">
        <v>452</v>
      </c>
      <c r="D16" s="44" t="s">
        <v>453</v>
      </c>
      <c r="F16" s="52" t="s">
        <v>281</v>
      </c>
      <c r="G16" s="49" t="s">
        <v>454</v>
      </c>
      <c r="H16" s="45" t="s">
        <v>278</v>
      </c>
      <c r="J16" s="50" t="s">
        <v>455</v>
      </c>
      <c r="K16" s="46" t="s">
        <v>456</v>
      </c>
      <c r="L16" s="52" t="s">
        <v>457</v>
      </c>
      <c r="M16" s="45" t="s">
        <v>458</v>
      </c>
      <c r="N16" s="44" t="s">
        <v>459</v>
      </c>
      <c r="P16" s="46" t="s">
        <v>460</v>
      </c>
      <c r="R16" s="46" t="s">
        <v>461</v>
      </c>
      <c r="S16" s="50" t="s">
        <v>462</v>
      </c>
      <c r="V16" s="45" t="s">
        <v>463</v>
      </c>
      <c r="X16" s="44" t="s">
        <v>464</v>
      </c>
      <c r="Z16" s="52" t="s">
        <v>465</v>
      </c>
      <c r="AA16" s="52" t="s">
        <v>466</v>
      </c>
    </row>
    <row r="17" customFormat="false" ht="15" hidden="false" customHeight="false" outlineLevel="0" collapsed="false">
      <c r="C17" s="45" t="s">
        <v>467</v>
      </c>
      <c r="D17" s="44" t="s">
        <v>468</v>
      </c>
      <c r="F17" s="52" t="s">
        <v>469</v>
      </c>
      <c r="G17" s="49" t="s">
        <v>470</v>
      </c>
      <c r="H17" s="49" t="s">
        <v>471</v>
      </c>
      <c r="J17" s="50" t="s">
        <v>472</v>
      </c>
      <c r="K17" s="44" t="s">
        <v>473</v>
      </c>
      <c r="L17" s="52" t="s">
        <v>474</v>
      </c>
      <c r="M17" s="44" t="s">
        <v>475</v>
      </c>
      <c r="N17" s="46" t="s">
        <v>476</v>
      </c>
      <c r="P17" s="46" t="s">
        <v>477</v>
      </c>
      <c r="R17" s="46" t="s">
        <v>478</v>
      </c>
      <c r="S17" s="50" t="s">
        <v>479</v>
      </c>
      <c r="V17" s="44" t="s">
        <v>480</v>
      </c>
      <c r="X17" s="45" t="s">
        <v>481</v>
      </c>
      <c r="Z17" s="52" t="s">
        <v>482</v>
      </c>
      <c r="AA17" s="52" t="s">
        <v>483</v>
      </c>
    </row>
    <row r="18" customFormat="false" ht="15" hidden="false" customHeight="false" outlineLevel="0" collapsed="false">
      <c r="C18" s="48" t="s">
        <v>484</v>
      </c>
      <c r="D18" s="44" t="s">
        <v>485</v>
      </c>
      <c r="F18" s="52" t="s">
        <v>486</v>
      </c>
      <c r="H18" s="49" t="s">
        <v>487</v>
      </c>
      <c r="J18" s="50" t="s">
        <v>488</v>
      </c>
      <c r="K18" s="44" t="s">
        <v>489</v>
      </c>
      <c r="L18" s="52" t="s">
        <v>490</v>
      </c>
      <c r="M18" s="46" t="s">
        <v>491</v>
      </c>
      <c r="N18" s="46" t="s">
        <v>492</v>
      </c>
      <c r="P18" s="44" t="s">
        <v>493</v>
      </c>
      <c r="R18" s="46" t="s">
        <v>494</v>
      </c>
      <c r="S18" s="48" t="s">
        <v>495</v>
      </c>
      <c r="V18" s="45" t="s">
        <v>496</v>
      </c>
      <c r="X18" s="45" t="s">
        <v>497</v>
      </c>
      <c r="Z18" s="52" t="s">
        <v>498</v>
      </c>
      <c r="AA18" s="44" t="s">
        <v>499</v>
      </c>
    </row>
    <row r="19" customFormat="false" ht="15" hidden="false" customHeight="false" outlineLevel="0" collapsed="false">
      <c r="C19" s="45" t="s">
        <v>500</v>
      </c>
      <c r="D19" s="48" t="s">
        <v>501</v>
      </c>
      <c r="F19" s="52" t="s">
        <v>352</v>
      </c>
      <c r="H19" s="49" t="s">
        <v>502</v>
      </c>
      <c r="J19" s="50" t="s">
        <v>503</v>
      </c>
      <c r="K19" s="46" t="s">
        <v>429</v>
      </c>
      <c r="L19" s="52" t="s">
        <v>504</v>
      </c>
      <c r="M19" s="46" t="s">
        <v>505</v>
      </c>
      <c r="N19" s="46" t="s">
        <v>506</v>
      </c>
      <c r="P19" s="46" t="s">
        <v>507</v>
      </c>
      <c r="R19" s="45" t="s">
        <v>508</v>
      </c>
      <c r="S19" s="45" t="s">
        <v>509</v>
      </c>
      <c r="X19" s="45" t="s">
        <v>510</v>
      </c>
      <c r="Z19" s="52" t="s">
        <v>511</v>
      </c>
      <c r="AA19" s="45" t="s">
        <v>512</v>
      </c>
    </row>
    <row r="20" customFormat="false" ht="15" hidden="false" customHeight="false" outlineLevel="0" collapsed="false">
      <c r="C20" s="45" t="s">
        <v>513</v>
      </c>
      <c r="F20" s="52" t="s">
        <v>469</v>
      </c>
      <c r="H20" s="45" t="s">
        <v>514</v>
      </c>
      <c r="J20" s="45" t="s">
        <v>515</v>
      </c>
      <c r="K20" s="46" t="s">
        <v>516</v>
      </c>
      <c r="L20" s="44" t="s">
        <v>517</v>
      </c>
      <c r="M20" s="46" t="s">
        <v>518</v>
      </c>
      <c r="N20" s="44" t="s">
        <v>519</v>
      </c>
      <c r="P20" s="46" t="s">
        <v>520</v>
      </c>
      <c r="R20" s="44" t="s">
        <v>521</v>
      </c>
      <c r="S20" s="48" t="s">
        <v>522</v>
      </c>
      <c r="X20" s="45" t="s">
        <v>523</v>
      </c>
      <c r="Z20" s="44" t="s">
        <v>524</v>
      </c>
      <c r="AA20" s="45" t="s">
        <v>525</v>
      </c>
    </row>
    <row r="21" customFormat="false" ht="15" hidden="false" customHeight="false" outlineLevel="0" collapsed="false">
      <c r="C21" s="45" t="s">
        <v>526</v>
      </c>
      <c r="F21" s="52" t="s">
        <v>486</v>
      </c>
      <c r="H21" s="49" t="s">
        <v>527</v>
      </c>
      <c r="J21" s="50" t="s">
        <v>528</v>
      </c>
      <c r="K21" s="46" t="s">
        <v>529</v>
      </c>
      <c r="L21" s="45" t="s">
        <v>530</v>
      </c>
      <c r="M21" s="46" t="s">
        <v>531</v>
      </c>
      <c r="N21" s="44" t="s">
        <v>532</v>
      </c>
      <c r="P21" s="46" t="s">
        <v>533</v>
      </c>
      <c r="R21" s="45" t="s">
        <v>534</v>
      </c>
      <c r="S21" s="48" t="s">
        <v>535</v>
      </c>
      <c r="X21" s="44" t="s">
        <v>536</v>
      </c>
      <c r="Z21" s="45" t="s">
        <v>346</v>
      </c>
      <c r="AA21" s="49" t="s">
        <v>537</v>
      </c>
    </row>
    <row r="22" customFormat="false" ht="15" hidden="false" customHeight="false" outlineLevel="0" collapsed="false">
      <c r="C22" s="48" t="s">
        <v>538</v>
      </c>
      <c r="F22" s="52" t="s">
        <v>539</v>
      </c>
      <c r="H22" s="49" t="s">
        <v>540</v>
      </c>
      <c r="J22" s="50" t="s">
        <v>541</v>
      </c>
      <c r="K22" s="44" t="s">
        <v>542</v>
      </c>
      <c r="L22" s="48" t="s">
        <v>543</v>
      </c>
      <c r="M22" s="46" t="s">
        <v>544</v>
      </c>
      <c r="N22" s="45" t="s">
        <v>545</v>
      </c>
      <c r="P22" s="44" t="s">
        <v>546</v>
      </c>
      <c r="R22" s="44" t="s">
        <v>547</v>
      </c>
      <c r="S22" s="48" t="s">
        <v>548</v>
      </c>
      <c r="X22" s="44" t="s">
        <v>549</v>
      </c>
      <c r="Z22" s="48" t="s">
        <v>550</v>
      </c>
      <c r="AA22" s="49" t="s">
        <v>551</v>
      </c>
    </row>
    <row r="23" customFormat="false" ht="15" hidden="false" customHeight="false" outlineLevel="0" collapsed="false">
      <c r="C23" s="45" t="s">
        <v>552</v>
      </c>
      <c r="F23" s="52" t="s">
        <v>469</v>
      </c>
      <c r="H23" s="45" t="s">
        <v>553</v>
      </c>
      <c r="J23" s="50" t="s">
        <v>554</v>
      </c>
      <c r="L23" s="52" t="s">
        <v>555</v>
      </c>
      <c r="M23" s="44" t="s">
        <v>556</v>
      </c>
      <c r="N23" s="45" t="s">
        <v>557</v>
      </c>
      <c r="P23" s="44" t="s">
        <v>558</v>
      </c>
      <c r="R23" s="45" t="s">
        <v>559</v>
      </c>
      <c r="S23" s="48" t="s">
        <v>560</v>
      </c>
      <c r="X23" s="45" t="s">
        <v>561</v>
      </c>
      <c r="Z23" s="52" t="s">
        <v>403</v>
      </c>
      <c r="AA23" s="48" t="s">
        <v>562</v>
      </c>
    </row>
    <row r="24" customFormat="false" ht="15" hidden="false" customHeight="false" outlineLevel="0" collapsed="false">
      <c r="C24" s="45" t="s">
        <v>563</v>
      </c>
      <c r="F24" s="52" t="s">
        <v>486</v>
      </c>
      <c r="H24" s="48" t="s">
        <v>564</v>
      </c>
      <c r="J24" s="51" t="s">
        <v>565</v>
      </c>
      <c r="L24" s="52" t="s">
        <v>566</v>
      </c>
      <c r="M24" s="46" t="s">
        <v>567</v>
      </c>
      <c r="N24" s="45" t="s">
        <v>568</v>
      </c>
      <c r="P24" s="44" t="s">
        <v>569</v>
      </c>
      <c r="R24" s="45" t="s">
        <v>570</v>
      </c>
      <c r="S24" s="48" t="s">
        <v>571</v>
      </c>
      <c r="X24" s="45" t="s">
        <v>572</v>
      </c>
      <c r="Z24" s="44" t="s">
        <v>573</v>
      </c>
      <c r="AA24" s="45" t="s">
        <v>574</v>
      </c>
    </row>
    <row r="25" customFormat="false" ht="15" hidden="false" customHeight="false" outlineLevel="0" collapsed="false">
      <c r="C25" s="45" t="s">
        <v>575</v>
      </c>
      <c r="F25" s="48" t="s">
        <v>576</v>
      </c>
      <c r="H25" s="48" t="s">
        <v>577</v>
      </c>
      <c r="J25" s="51" t="s">
        <v>578</v>
      </c>
      <c r="L25" s="52" t="s">
        <v>579</v>
      </c>
      <c r="M25" s="46" t="s">
        <v>580</v>
      </c>
      <c r="N25" s="45" t="s">
        <v>581</v>
      </c>
      <c r="P25" s="45" t="s">
        <v>582</v>
      </c>
      <c r="R25" s="44" t="s">
        <v>583</v>
      </c>
      <c r="S25" s="48" t="s">
        <v>584</v>
      </c>
      <c r="X25" s="45" t="s">
        <v>585</v>
      </c>
      <c r="Z25" s="45" t="s">
        <v>346</v>
      </c>
      <c r="AA25" s="49" t="s">
        <v>586</v>
      </c>
    </row>
    <row r="26" customFormat="false" ht="15" hidden="false" customHeight="false" outlineLevel="0" collapsed="false">
      <c r="F26" s="52" t="s">
        <v>353</v>
      </c>
      <c r="H26" s="48" t="s">
        <v>587</v>
      </c>
      <c r="J26" s="51" t="s">
        <v>588</v>
      </c>
      <c r="L26" s="52" t="s">
        <v>589</v>
      </c>
      <c r="M26" s="46" t="s">
        <v>590</v>
      </c>
      <c r="N26" s="45" t="s">
        <v>591</v>
      </c>
      <c r="R26" s="45" t="s">
        <v>592</v>
      </c>
      <c r="S26" s="48" t="s">
        <v>593</v>
      </c>
      <c r="X26" s="45" t="s">
        <v>594</v>
      </c>
      <c r="Z26" s="48" t="s">
        <v>595</v>
      </c>
      <c r="AA26" s="49" t="s">
        <v>596</v>
      </c>
    </row>
    <row r="27" customFormat="false" ht="15" hidden="false" customHeight="false" outlineLevel="0" collapsed="false">
      <c r="F27" s="52" t="s">
        <v>376</v>
      </c>
      <c r="H27" s="44" t="s">
        <v>597</v>
      </c>
      <c r="J27" s="50" t="s">
        <v>598</v>
      </c>
      <c r="L27" s="52" t="s">
        <v>599</v>
      </c>
      <c r="M27" s="46" t="s">
        <v>600</v>
      </c>
      <c r="N27" s="45" t="s">
        <v>601</v>
      </c>
      <c r="R27" s="44" t="s">
        <v>602</v>
      </c>
      <c r="S27" s="45" t="s">
        <v>603</v>
      </c>
      <c r="X27" s="44" t="s">
        <v>604</v>
      </c>
      <c r="Z27" s="52" t="s">
        <v>605</v>
      </c>
      <c r="AA27" s="45" t="s">
        <v>606</v>
      </c>
    </row>
    <row r="28" customFormat="false" ht="15" hidden="false" customHeight="false" outlineLevel="0" collapsed="false">
      <c r="F28" s="52" t="s">
        <v>398</v>
      </c>
      <c r="H28" s="46" t="s">
        <v>607</v>
      </c>
      <c r="L28" s="52" t="s">
        <v>608</v>
      </c>
      <c r="M28" s="44" t="s">
        <v>609</v>
      </c>
      <c r="N28" s="45" t="s">
        <v>610</v>
      </c>
      <c r="R28" s="45" t="s">
        <v>611</v>
      </c>
      <c r="S28" s="48" t="s">
        <v>612</v>
      </c>
      <c r="X28" s="44" t="s">
        <v>613</v>
      </c>
      <c r="Z28" s="52" t="s">
        <v>614</v>
      </c>
      <c r="AA28" s="45" t="s">
        <v>532</v>
      </c>
    </row>
    <row r="29" customFormat="false" ht="15" hidden="false" customHeight="false" outlineLevel="0" collapsed="false">
      <c r="F29" s="52" t="s">
        <v>615</v>
      </c>
      <c r="H29" s="46" t="s">
        <v>616</v>
      </c>
      <c r="L29" s="45" t="s">
        <v>617</v>
      </c>
      <c r="M29" s="44" t="s">
        <v>618</v>
      </c>
      <c r="N29" s="45" t="s">
        <v>619</v>
      </c>
      <c r="R29" s="45" t="s">
        <v>620</v>
      </c>
      <c r="S29" s="50" t="s">
        <v>621</v>
      </c>
      <c r="X29" s="45" t="s">
        <v>622</v>
      </c>
      <c r="Z29" s="52" t="s">
        <v>436</v>
      </c>
      <c r="AA29" s="48" t="s">
        <v>623</v>
      </c>
    </row>
    <row r="30" customFormat="false" ht="15" hidden="false" customHeight="false" outlineLevel="0" collapsed="false">
      <c r="F30" s="48" t="s">
        <v>624</v>
      </c>
      <c r="H30" s="46" t="s">
        <v>625</v>
      </c>
      <c r="L30" s="45" t="s">
        <v>626</v>
      </c>
      <c r="M30" s="44" t="s">
        <v>627</v>
      </c>
      <c r="N30" s="45" t="s">
        <v>628</v>
      </c>
      <c r="S30" s="50" t="s">
        <v>629</v>
      </c>
      <c r="X30" s="45" t="s">
        <v>630</v>
      </c>
      <c r="Z30" s="52" t="s">
        <v>631</v>
      </c>
      <c r="AA30" s="48" t="s">
        <v>632</v>
      </c>
    </row>
    <row r="31" customFormat="false" ht="15" hidden="false" customHeight="false" outlineLevel="0" collapsed="false">
      <c r="F31" s="52" t="s">
        <v>633</v>
      </c>
      <c r="H31" s="48" t="s">
        <v>634</v>
      </c>
      <c r="L31" s="44" t="s">
        <v>635</v>
      </c>
      <c r="M31" s="45" t="s">
        <v>636</v>
      </c>
      <c r="N31" s="45" t="s">
        <v>637</v>
      </c>
      <c r="S31" s="50" t="s">
        <v>638</v>
      </c>
      <c r="X31" s="44" t="s">
        <v>639</v>
      </c>
      <c r="Z31" s="44" t="s">
        <v>640</v>
      </c>
      <c r="AA31" s="48" t="s">
        <v>641</v>
      </c>
    </row>
    <row r="32" customFormat="false" ht="15" hidden="false" customHeight="false" outlineLevel="0" collapsed="false">
      <c r="F32" s="52" t="s">
        <v>642</v>
      </c>
      <c r="H32" s="52" t="s">
        <v>643</v>
      </c>
      <c r="L32" s="45" t="s">
        <v>644</v>
      </c>
      <c r="M32" s="45" t="s">
        <v>645</v>
      </c>
      <c r="N32" s="44" t="s">
        <v>646</v>
      </c>
      <c r="S32" s="48" t="s">
        <v>647</v>
      </c>
      <c r="X32" s="44" t="s">
        <v>648</v>
      </c>
      <c r="Z32" s="45" t="s">
        <v>346</v>
      </c>
      <c r="AA32" s="48" t="s">
        <v>649</v>
      </c>
    </row>
    <row r="33" customFormat="false" ht="15" hidden="false" customHeight="false" outlineLevel="0" collapsed="false">
      <c r="F33" s="52" t="s">
        <v>650</v>
      </c>
      <c r="H33" s="52" t="s">
        <v>651</v>
      </c>
      <c r="L33" s="48" t="s">
        <v>652</v>
      </c>
      <c r="M33" s="45" t="s">
        <v>653</v>
      </c>
      <c r="N33" s="46" t="s">
        <v>654</v>
      </c>
      <c r="S33" s="52" t="s">
        <v>655</v>
      </c>
      <c r="X33" s="45" t="s">
        <v>656</v>
      </c>
      <c r="Z33" s="48" t="s">
        <v>657</v>
      </c>
      <c r="AA33" s="48" t="s">
        <v>658</v>
      </c>
    </row>
    <row r="34" customFormat="false" ht="15" hidden="false" customHeight="false" outlineLevel="0" collapsed="false">
      <c r="F34" s="52" t="s">
        <v>659</v>
      </c>
      <c r="H34" s="48" t="s">
        <v>660</v>
      </c>
      <c r="L34" s="52" t="s">
        <v>661</v>
      </c>
      <c r="M34" s="45" t="s">
        <v>662</v>
      </c>
      <c r="N34" s="46" t="s">
        <v>663</v>
      </c>
      <c r="S34" s="52" t="s">
        <v>664</v>
      </c>
      <c r="X34" s="45" t="s">
        <v>665</v>
      </c>
      <c r="Z34" s="52" t="s">
        <v>511</v>
      </c>
    </row>
    <row r="35" customFormat="false" ht="15" hidden="false" customHeight="false" outlineLevel="0" collapsed="false">
      <c r="F35" s="48" t="s">
        <v>666</v>
      </c>
      <c r="H35" s="52" t="s">
        <v>667</v>
      </c>
      <c r="L35" s="44" t="s">
        <v>668</v>
      </c>
      <c r="M35" s="45" t="s">
        <v>669</v>
      </c>
      <c r="N35" s="46" t="s">
        <v>670</v>
      </c>
      <c r="S35" s="45" t="s">
        <v>542</v>
      </c>
      <c r="X35" s="45" t="s">
        <v>671</v>
      </c>
      <c r="Z35" s="44" t="s">
        <v>672</v>
      </c>
    </row>
    <row r="36" customFormat="false" ht="15" hidden="false" customHeight="false" outlineLevel="0" collapsed="false">
      <c r="F36" s="52" t="s">
        <v>673</v>
      </c>
      <c r="H36" s="52" t="s">
        <v>674</v>
      </c>
      <c r="L36" s="45" t="s">
        <v>675</v>
      </c>
      <c r="M36" s="49" t="s">
        <v>676</v>
      </c>
      <c r="N36" s="46" t="s">
        <v>677</v>
      </c>
      <c r="S36" s="48" t="s">
        <v>678</v>
      </c>
      <c r="X36" s="45" t="s">
        <v>679</v>
      </c>
      <c r="Z36" s="45" t="s">
        <v>346</v>
      </c>
    </row>
    <row r="37" customFormat="false" ht="22.35" hidden="false" customHeight="false" outlineLevel="0" collapsed="false">
      <c r="F37" s="52" t="s">
        <v>486</v>
      </c>
      <c r="H37" s="45" t="s">
        <v>680</v>
      </c>
      <c r="L37" s="48" t="s">
        <v>681</v>
      </c>
      <c r="M37" s="49" t="s">
        <v>682</v>
      </c>
      <c r="N37" s="46" t="s">
        <v>683</v>
      </c>
      <c r="S37" s="50" t="s">
        <v>684</v>
      </c>
      <c r="X37" s="45" t="s">
        <v>685</v>
      </c>
      <c r="Z37" s="48" t="s">
        <v>686</v>
      </c>
    </row>
    <row r="38" customFormat="false" ht="15" hidden="false" customHeight="false" outlineLevel="0" collapsed="false">
      <c r="F38" s="52" t="s">
        <v>687</v>
      </c>
      <c r="H38" s="44" t="s">
        <v>688</v>
      </c>
      <c r="L38" s="52" t="s">
        <v>689</v>
      </c>
      <c r="M38" s="49" t="s">
        <v>690</v>
      </c>
      <c r="N38" s="44" t="s">
        <v>542</v>
      </c>
      <c r="S38" s="50" t="s">
        <v>691</v>
      </c>
      <c r="Z38" s="52" t="s">
        <v>403</v>
      </c>
    </row>
    <row r="39" customFormat="false" ht="15" hidden="false" customHeight="false" outlineLevel="0" collapsed="false">
      <c r="F39" s="52" t="s">
        <v>692</v>
      </c>
      <c r="H39" s="45" t="s">
        <v>693</v>
      </c>
      <c r="L39" s="52" t="s">
        <v>663</v>
      </c>
      <c r="M39" s="49" t="s">
        <v>694</v>
      </c>
      <c r="S39" s="45" t="s">
        <v>695</v>
      </c>
      <c r="Z39" s="44" t="s">
        <v>696</v>
      </c>
    </row>
    <row r="40" customFormat="false" ht="15" hidden="false" customHeight="false" outlineLevel="0" collapsed="false">
      <c r="F40" s="48" t="s">
        <v>697</v>
      </c>
      <c r="H40" s="45" t="s">
        <v>698</v>
      </c>
      <c r="L40" s="52" t="s">
        <v>699</v>
      </c>
      <c r="M40" s="44" t="s">
        <v>542</v>
      </c>
      <c r="S40" s="48" t="s">
        <v>700</v>
      </c>
      <c r="Z40" s="45" t="s">
        <v>346</v>
      </c>
    </row>
    <row r="41" customFormat="false" ht="15" hidden="false" customHeight="false" outlineLevel="0" collapsed="false">
      <c r="F41" s="52" t="s">
        <v>701</v>
      </c>
      <c r="H41" s="45" t="s">
        <v>702</v>
      </c>
      <c r="L41" s="52" t="s">
        <v>703</v>
      </c>
      <c r="S41" s="48" t="s">
        <v>704</v>
      </c>
      <c r="Z41" s="48" t="s">
        <v>705</v>
      </c>
    </row>
    <row r="42" customFormat="false" ht="15" hidden="false" customHeight="false" outlineLevel="0" collapsed="false">
      <c r="F42" s="52" t="s">
        <v>706</v>
      </c>
      <c r="H42" s="45" t="s">
        <v>707</v>
      </c>
      <c r="L42" s="48" t="s">
        <v>708</v>
      </c>
      <c r="S42" s="48" t="s">
        <v>709</v>
      </c>
      <c r="Z42" s="52" t="s">
        <v>710</v>
      </c>
    </row>
    <row r="43" customFormat="false" ht="15" hidden="false" customHeight="false" outlineLevel="0" collapsed="false">
      <c r="F43" s="52" t="s">
        <v>711</v>
      </c>
      <c r="H43" s="44" t="s">
        <v>712</v>
      </c>
      <c r="L43" s="48" t="s">
        <v>713</v>
      </c>
      <c r="S43" s="48" t="s">
        <v>714</v>
      </c>
      <c r="Z43" s="44" t="s">
        <v>715</v>
      </c>
    </row>
    <row r="44" customFormat="false" ht="15" hidden="false" customHeight="false" outlineLevel="0" collapsed="false">
      <c r="F44" s="52" t="s">
        <v>408</v>
      </c>
      <c r="H44" s="45" t="s">
        <v>716</v>
      </c>
      <c r="L44" s="48" t="s">
        <v>717</v>
      </c>
      <c r="S44" s="48" t="s">
        <v>718</v>
      </c>
      <c r="Z44" s="45" t="s">
        <v>346</v>
      </c>
    </row>
    <row r="45" customFormat="false" ht="15" hidden="false" customHeight="false" outlineLevel="0" collapsed="false">
      <c r="F45" s="52" t="s">
        <v>719</v>
      </c>
      <c r="H45" s="49" t="s">
        <v>406</v>
      </c>
      <c r="L45" s="48" t="s">
        <v>720</v>
      </c>
      <c r="Z45" s="48" t="s">
        <v>721</v>
      </c>
    </row>
    <row r="46" customFormat="false" ht="15" hidden="false" customHeight="false" outlineLevel="0" collapsed="false">
      <c r="F46" s="52" t="s">
        <v>722</v>
      </c>
      <c r="H46" s="49" t="s">
        <v>723</v>
      </c>
      <c r="L46" s="44" t="s">
        <v>724</v>
      </c>
      <c r="Z46" s="52" t="s">
        <v>725</v>
      </c>
    </row>
    <row r="47" customFormat="false" ht="15" hidden="false" customHeight="false" outlineLevel="0" collapsed="false">
      <c r="F47" s="52" t="s">
        <v>726</v>
      </c>
      <c r="H47" s="49" t="s">
        <v>727</v>
      </c>
      <c r="L47" s="45" t="s">
        <v>728</v>
      </c>
      <c r="Z47" s="52" t="s">
        <v>729</v>
      </c>
    </row>
    <row r="48" customFormat="false" ht="15" hidden="false" customHeight="false" outlineLevel="0" collapsed="false">
      <c r="F48" s="48" t="s">
        <v>730</v>
      </c>
      <c r="H48" s="45" t="s">
        <v>731</v>
      </c>
      <c r="L48" s="48" t="s">
        <v>732</v>
      </c>
      <c r="Z48" s="52" t="s">
        <v>511</v>
      </c>
    </row>
    <row r="49" customFormat="false" ht="15" hidden="false" customHeight="false" outlineLevel="0" collapsed="false">
      <c r="F49" s="52" t="s">
        <v>733</v>
      </c>
      <c r="H49" s="49" t="s">
        <v>734</v>
      </c>
      <c r="L49" s="52" t="s">
        <v>735</v>
      </c>
      <c r="Z49" s="44" t="s">
        <v>736</v>
      </c>
    </row>
    <row r="50" customFormat="false" ht="15" hidden="false" customHeight="false" outlineLevel="0" collapsed="false">
      <c r="F50" s="52" t="s">
        <v>737</v>
      </c>
      <c r="H50" s="49" t="s">
        <v>738</v>
      </c>
      <c r="L50" s="45" t="s">
        <v>739</v>
      </c>
      <c r="Z50" s="45" t="s">
        <v>346</v>
      </c>
    </row>
    <row r="51" customFormat="false" ht="15" hidden="false" customHeight="false" outlineLevel="0" collapsed="false">
      <c r="F51" s="52" t="s">
        <v>740</v>
      </c>
      <c r="H51" s="44" t="s">
        <v>741</v>
      </c>
      <c r="L51" s="45" t="s">
        <v>678</v>
      </c>
      <c r="Z51" s="48" t="s">
        <v>742</v>
      </c>
    </row>
    <row r="52" customFormat="false" ht="15" hidden="false" customHeight="false" outlineLevel="0" collapsed="false">
      <c r="F52" s="52" t="s">
        <v>743</v>
      </c>
      <c r="H52" s="45" t="s">
        <v>716</v>
      </c>
      <c r="L52" s="44" t="s">
        <v>744</v>
      </c>
      <c r="Z52" s="52" t="s">
        <v>403</v>
      </c>
    </row>
    <row r="53" customFormat="false" ht="15" hidden="false" customHeight="false" outlineLevel="0" collapsed="false">
      <c r="F53" s="52" t="s">
        <v>745</v>
      </c>
      <c r="H53" s="49" t="s">
        <v>746</v>
      </c>
      <c r="L53" s="48" t="s">
        <v>747</v>
      </c>
      <c r="Z53" s="44" t="s">
        <v>748</v>
      </c>
    </row>
    <row r="54" customFormat="false" ht="15" hidden="false" customHeight="false" outlineLevel="0" collapsed="false">
      <c r="H54" s="49" t="s">
        <v>749</v>
      </c>
      <c r="L54" s="48" t="s">
        <v>750</v>
      </c>
      <c r="Z54" s="45" t="s">
        <v>346</v>
      </c>
    </row>
    <row r="55" customFormat="false" ht="15" hidden="false" customHeight="false" outlineLevel="0" collapsed="false">
      <c r="H55" s="49" t="s">
        <v>738</v>
      </c>
      <c r="L55" s="48" t="s">
        <v>751</v>
      </c>
      <c r="Z55" s="48" t="s">
        <v>752</v>
      </c>
    </row>
    <row r="56" customFormat="false" ht="15" hidden="false" customHeight="false" outlineLevel="0" collapsed="false">
      <c r="H56" s="45" t="s">
        <v>731</v>
      </c>
      <c r="L56" s="48" t="s">
        <v>753</v>
      </c>
      <c r="Z56" s="52" t="s">
        <v>710</v>
      </c>
    </row>
    <row r="57" customFormat="false" ht="15" hidden="false" customHeight="false" outlineLevel="0" collapsed="false">
      <c r="H57" s="49" t="s">
        <v>754</v>
      </c>
      <c r="L57" s="48" t="s">
        <v>755</v>
      </c>
      <c r="Z57" s="44" t="s">
        <v>756</v>
      </c>
    </row>
    <row r="58" customFormat="false" ht="15" hidden="false" customHeight="false" outlineLevel="0" collapsed="false">
      <c r="H58" s="49" t="s">
        <v>757</v>
      </c>
      <c r="Z58" s="45" t="s">
        <v>346</v>
      </c>
    </row>
    <row r="59" customFormat="false" ht="15" hidden="false" customHeight="false" outlineLevel="0" collapsed="false">
      <c r="H59" s="44" t="s">
        <v>758</v>
      </c>
      <c r="Z59" s="48" t="s">
        <v>759</v>
      </c>
    </row>
    <row r="60" customFormat="false" ht="15" hidden="false" customHeight="false" outlineLevel="0" collapsed="false">
      <c r="H60" s="45" t="s">
        <v>760</v>
      </c>
      <c r="Z60" s="52" t="s">
        <v>761</v>
      </c>
    </row>
    <row r="61" customFormat="false" ht="15" hidden="false" customHeight="false" outlineLevel="0" collapsed="false">
      <c r="H61" s="45" t="s">
        <v>762</v>
      </c>
      <c r="Z61" s="52" t="s">
        <v>763</v>
      </c>
    </row>
    <row r="62" customFormat="false" ht="15" hidden="false" customHeight="false" outlineLevel="0" collapsed="false">
      <c r="H62" s="45" t="s">
        <v>764</v>
      </c>
      <c r="Z62" s="52" t="s">
        <v>631</v>
      </c>
    </row>
    <row r="63" customFormat="false" ht="15" hidden="false" customHeight="false" outlineLevel="0" collapsed="false">
      <c r="H63" s="45" t="s">
        <v>765</v>
      </c>
      <c r="Z63" s="44" t="s">
        <v>766</v>
      </c>
    </row>
    <row r="64" customFormat="false" ht="15" hidden="false" customHeight="false" outlineLevel="0" collapsed="false">
      <c r="H64" s="44" t="s">
        <v>767</v>
      </c>
      <c r="Z64" s="45" t="s">
        <v>346</v>
      </c>
    </row>
    <row r="65" customFormat="false" ht="15" hidden="false" customHeight="false" outlineLevel="0" collapsed="false">
      <c r="H65" s="44" t="s">
        <v>768</v>
      </c>
      <c r="Z65" s="48" t="s">
        <v>769</v>
      </c>
    </row>
    <row r="66" customFormat="false" ht="15" hidden="false" customHeight="false" outlineLevel="0" collapsed="false">
      <c r="H66" s="45" t="s">
        <v>532</v>
      </c>
      <c r="Z66" s="52" t="s">
        <v>478</v>
      </c>
    </row>
    <row r="67" customFormat="false" ht="15" hidden="false" customHeight="false" outlineLevel="0" collapsed="false">
      <c r="H67" s="48" t="s">
        <v>770</v>
      </c>
      <c r="Z67" s="52" t="s">
        <v>771</v>
      </c>
    </row>
    <row r="68" customFormat="false" ht="15" hidden="false" customHeight="false" outlineLevel="0" collapsed="false">
      <c r="H68" s="48" t="s">
        <v>772</v>
      </c>
      <c r="Z68" s="52" t="s">
        <v>773</v>
      </c>
    </row>
    <row r="69" customFormat="false" ht="15" hidden="false" customHeight="false" outlineLevel="0" collapsed="false">
      <c r="H69" s="48" t="s">
        <v>774</v>
      </c>
      <c r="Z69" s="52" t="s">
        <v>511</v>
      </c>
    </row>
    <row r="70" customFormat="false" ht="15" hidden="false" customHeight="false" outlineLevel="0" collapsed="false">
      <c r="H70" s="48" t="s">
        <v>775</v>
      </c>
      <c r="Z70" s="44" t="s">
        <v>542</v>
      </c>
    </row>
    <row r="71" customFormat="false" ht="15" hidden="false" customHeight="false" outlineLevel="0" collapsed="false">
      <c r="H71" s="52" t="s">
        <v>527</v>
      </c>
    </row>
    <row r="72" customFormat="false" ht="15" hidden="false" customHeight="false" outlineLevel="0" collapsed="false">
      <c r="H72" s="52" t="s">
        <v>540</v>
      </c>
    </row>
    <row r="73" customFormat="false" ht="15" hidden="false" customHeight="false" outlineLevel="0" collapsed="false">
      <c r="H73" s="48" t="s">
        <v>776</v>
      </c>
    </row>
  </sheetData>
  <mergeCells count="6">
    <mergeCell ref="B1:D1"/>
    <mergeCell ref="E1:F1"/>
    <mergeCell ref="I1:K1"/>
    <mergeCell ref="L1:N1"/>
    <mergeCell ref="O1:P1"/>
    <mergeCell ref="V1:AC1"/>
  </mergeCells>
  <hyperlinks>
    <hyperlink ref="A4" r:id="rId1" display="https://familialife.ca/"/>
    <hyperlink ref="B4" r:id="rId2" display="https://familialife.ca/term-life-insurance/"/>
    <hyperlink ref="C4" r:id="rId3" display="https://familialife.ca/everything-about-term-life-insurance/"/>
    <hyperlink ref="D4" r:id="rId4" display="https://familialife.ca/what-happens-at-the-end-of-term-life-insurance/"/>
    <hyperlink ref="E4" r:id="rId5" display="https://familialife.ca/whole-life-insurance/"/>
    <hyperlink ref="F4" r:id="rId6" display="https://familialife.ca/everything-about-permanent-life-insurance/"/>
    <hyperlink ref="G4" r:id="rId7" display="https://familialife.ca/what-is-universal-life-insurance/"/>
    <hyperlink ref="H4" r:id="rId8" display="https://familialife.ca/what-is-joint-life/"/>
    <hyperlink ref="I4" r:id="rId9" display="https://familialife.ca/no-medical-insurance/"/>
    <hyperlink ref="J4" r:id="rId10" display="https://familialife.ca/everything-about-no-medical-life-insurance/"/>
    <hyperlink ref="K4" r:id="rId11" display="https://familialife.ca/how-to-get-life-insurance-if-you-have-health-issues/"/>
    <hyperlink ref="L4" r:id="rId12" display="https://familialife.ca/life-insurance-for-diabetics/"/>
    <hyperlink ref="M4" r:id="rId13" display="https://familialife.ca/life-insurance-with-cancer/"/>
    <hyperlink ref="N4" r:id="rId14" display="https://familialife.ca/life-insurance-with-heart-condition/"/>
    <hyperlink ref="O4" r:id="rId15" display="https://familialife.ca/mortgage-protection-insurance/"/>
    <hyperlink ref="P4" r:id="rId16" display="https://familialife.ca/what-is-mortgage-insurance/"/>
    <hyperlink ref="Q4" r:id="rId17" display="https://familialife.ca/final-expense-insurance/"/>
    <hyperlink ref="R4" r:id="rId18" display="https://familialife.ca/seniors-life-insurance/"/>
    <hyperlink ref="S4" r:id="rId19" display="https://familialife.ca/family-life-insurance/"/>
    <hyperlink ref="T4" r:id="rId20" display="https://familialife.ca/whats-ci/"/>
    <hyperlink ref="U4" r:id="rId21" display="https://familialife.ca/health-insurance/"/>
    <hyperlink ref="V4" r:id="rId22" display="https://familialife.ca/how-does-life-insurance-work-in-canada/"/>
    <hyperlink ref="W4" r:id="rId23" display="https://familialife.ca/how-much-life-insurance-should-i-get/"/>
    <hyperlink ref="X4" r:id="rId24" display="https://familialife.ca/life-insurance-quotes-in-canada/"/>
    <hyperlink ref="Y4" r:id="rId25" display="https://familialife.ca/how-do-life-insurance-companies-check-medical-background/"/>
    <hyperlink ref="Z4" r:id="rId26" display="https://familialife.ca/12-myths-debunked/"/>
    <hyperlink ref="AA4" r:id="rId27" display="https://familialife.ca/two-things-before-buying/"/>
    <hyperlink ref="AB4" r:id="rId28" display="https://familialife.ca/are-life-insurance-premiums-tax-deductible-in-canada/"/>
    <hyperlink ref="AC4" r:id="rId29" display="https://familialife.ca/how-to-claim/"/>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10"/>
  </cols>
  <sheetData>
    <row r="1" customFormat="false" ht="32.8" hidden="false" customHeight="false" outlineLevel="0" collapsed="false">
      <c r="A1" s="53" t="s">
        <v>777</v>
      </c>
    </row>
    <row r="2" customFormat="false" ht="57.45" hidden="false" customHeight="false" outlineLevel="0" collapsed="false">
      <c r="A2" s="54" t="s">
        <v>778</v>
      </c>
    </row>
    <row r="4" customFormat="false" ht="15" hidden="false" customHeight="false" outlineLevel="0" collapsed="false">
      <c r="A4" s="55" t="s">
        <v>779</v>
      </c>
      <c r="B4" s="56"/>
    </row>
    <row r="5" customFormat="false" ht="15" hidden="false" customHeight="false" outlineLevel="0" collapsed="false">
      <c r="A5" s="57" t="s">
        <v>780</v>
      </c>
      <c r="B5" s="58" t="n">
        <f aca="false">COUNTA('Knowledge Content'!D5:D33)</f>
        <v>29</v>
      </c>
    </row>
    <row r="6" customFormat="false" ht="15" hidden="false" customHeight="false" outlineLevel="0" collapsed="false">
      <c r="A6" s="57" t="s">
        <v>781</v>
      </c>
      <c r="B6" s="58" t="n">
        <f aca="false">COUNTIF('Knowledge Content'!B5:B33,"Guide*")</f>
        <v>15</v>
      </c>
    </row>
    <row r="7" customFormat="false" ht="15" hidden="false" customHeight="false" outlineLevel="0" collapsed="false">
      <c r="A7" s="57" t="s">
        <v>782</v>
      </c>
      <c r="B7" s="58" t="n">
        <f aca="false">COUNTIF('Knowledge Content'!B5:B33,"Article*")</f>
        <v>7</v>
      </c>
    </row>
    <row r="8" customFormat="false" ht="15" hidden="false" customHeight="false" outlineLevel="0" collapsed="false">
      <c r="A8" s="57" t="s">
        <v>783</v>
      </c>
      <c r="B8" s="58" t="n">
        <f aca="false">COUNTIF('Knowledge Content'!B5:B33,"Product*")</f>
        <v>6</v>
      </c>
    </row>
    <row r="9" customFormat="false" ht="15" hidden="false" customHeight="false" outlineLevel="0" collapsed="false">
      <c r="A9" s="57" t="s">
        <v>784</v>
      </c>
      <c r="B9" s="58" t="n">
        <f aca="false">COUNTIF('Knowledge Content'!P5:P33,"Search results only*")</f>
        <v>3</v>
      </c>
    </row>
    <row r="10" customFormat="false" ht="15" hidden="false" customHeight="false" outlineLevel="0" collapsed="false">
      <c r="A10" s="57" t="s">
        <v>785</v>
      </c>
      <c r="B10" s="58" t="n">
        <f aca="false">COUNTIF('Knowledge Content'!G5:G33,"*FAQ*")</f>
        <v>7</v>
      </c>
    </row>
    <row r="11" customFormat="false" ht="15" hidden="false" customHeight="false" outlineLevel="0" collapsed="false">
      <c r="A11" s="57" t="s">
        <v>786</v>
      </c>
      <c r="B11" s="58" t="n">
        <f aca="false">SUM('Knowledge Content'!I5:I33)</f>
        <v>586</v>
      </c>
    </row>
    <row r="12" customFormat="false" ht="15" hidden="false" customHeight="false" outlineLevel="0" collapsed="false">
      <c r="A12" s="57" t="s">
        <v>787</v>
      </c>
      <c r="B12" s="58" t="n">
        <f aca="false">ROUND(AVERAGE('Knowledge Content'!K5:K33),0)</f>
        <v>1375</v>
      </c>
    </row>
    <row r="13" customFormat="false" ht="15" hidden="false" customHeight="false" outlineLevel="0" collapsed="false">
      <c r="A13" s="57" t="s">
        <v>788</v>
      </c>
      <c r="B13" s="58" t="n">
        <f aca="false">COUNTIF('Knowledge Content'!O5:O33,"Gap*")</f>
        <v>2</v>
      </c>
    </row>
    <row r="14" customFormat="false" ht="15" hidden="false" customHeight="false" outlineLevel="0" collapsed="false">
      <c r="A14" s="57" t="s">
        <v>789</v>
      </c>
      <c r="B14" s="58" t="n">
        <f aca="false">COUNTA('URL Inventory'!A5:A100)</f>
        <v>40</v>
      </c>
    </row>
    <row r="16" customFormat="false" ht="15" hidden="false" customHeight="false" outlineLevel="0" collapsed="false">
      <c r="A16" s="55" t="s">
        <v>790</v>
      </c>
      <c r="B16" s="56"/>
    </row>
    <row r="17" customFormat="false" ht="23.85" hidden="false" customHeight="false" outlineLevel="0" collapsed="false">
      <c r="A17" s="59" t="s">
        <v>791</v>
      </c>
      <c r="B17" s="60" t="s">
        <v>792</v>
      </c>
    </row>
    <row r="18" customFormat="false" ht="23.85" hidden="false" customHeight="false" outlineLevel="0" collapsed="false">
      <c r="A18" s="59" t="s">
        <v>793</v>
      </c>
      <c r="B18" s="60" t="s">
        <v>794</v>
      </c>
    </row>
    <row r="19" customFormat="false" ht="23.85" hidden="false" customHeight="false" outlineLevel="0" collapsed="false">
      <c r="A19" s="59" t="s">
        <v>795</v>
      </c>
      <c r="B19" s="60" t="s">
        <v>796</v>
      </c>
    </row>
    <row r="21" customFormat="false" ht="15" hidden="false" customHeight="false" outlineLevel="0" collapsed="false">
      <c r="A21" s="55" t="s">
        <v>797</v>
      </c>
      <c r="B21" s="56"/>
    </row>
    <row r="22" customFormat="false" ht="15" hidden="false" customHeight="false" outlineLevel="0" collapsed="false">
      <c r="A22" s="59" t="s">
        <v>798</v>
      </c>
      <c r="B22" s="60" t="s">
        <v>799</v>
      </c>
    </row>
    <row r="23" customFormat="false" ht="23.85" hidden="false" customHeight="false" outlineLevel="0" collapsed="false">
      <c r="A23" s="59" t="s">
        <v>800</v>
      </c>
      <c r="B23" s="60" t="s">
        <v>801</v>
      </c>
    </row>
    <row r="24" customFormat="false" ht="23.85" hidden="false" customHeight="false" outlineLevel="0" collapsed="false">
      <c r="A24" s="59" t="s">
        <v>802</v>
      </c>
      <c r="B24" s="60" t="s">
        <v>803</v>
      </c>
    </row>
    <row r="25" customFormat="false" ht="23.85" hidden="false" customHeight="false" outlineLevel="0" collapsed="false">
      <c r="A25" s="59" t="s">
        <v>804</v>
      </c>
      <c r="B25" s="60" t="s">
        <v>805</v>
      </c>
    </row>
    <row r="26" customFormat="false" ht="23.85" hidden="false" customHeight="false" outlineLevel="0" collapsed="false">
      <c r="A26" s="59" t="s">
        <v>806</v>
      </c>
      <c r="B26" s="60" t="s">
        <v>807</v>
      </c>
    </row>
    <row r="28" customFormat="false" ht="15" hidden="false" customHeight="false" outlineLevel="0" collapsed="false">
      <c r="A28" s="55" t="s">
        <v>808</v>
      </c>
      <c r="B28" s="56"/>
    </row>
    <row r="29" customFormat="false" ht="23.85" hidden="false" customHeight="false" outlineLevel="0" collapsed="false">
      <c r="A29" s="59" t="s">
        <v>809</v>
      </c>
      <c r="B29" s="60" t="s">
        <v>810</v>
      </c>
    </row>
    <row r="30" customFormat="false" ht="23.85" hidden="false" customHeight="false" outlineLevel="0" collapsed="false">
      <c r="A30" s="59" t="s">
        <v>811</v>
      </c>
      <c r="B30" s="60" t="s">
        <v>812</v>
      </c>
    </row>
    <row r="31" customFormat="false" ht="15" hidden="false" customHeight="false" outlineLevel="0" collapsed="false">
      <c r="A31" s="59" t="s">
        <v>813</v>
      </c>
      <c r="B31" s="60" t="s">
        <v>814</v>
      </c>
    </row>
    <row r="32" customFormat="false" ht="23.85" hidden="false" customHeight="false" outlineLevel="0" collapsed="false">
      <c r="A32" s="59" t="s">
        <v>815</v>
      </c>
      <c r="B32" s="60" t="s">
        <v>816</v>
      </c>
    </row>
    <row r="33" customFormat="false" ht="15" hidden="false" customHeight="false" outlineLevel="0" collapsed="false">
      <c r="A33" s="59" t="s">
        <v>817</v>
      </c>
      <c r="B33" s="60" t="s">
        <v>818</v>
      </c>
    </row>
    <row r="34" customFormat="false" ht="23.85" hidden="false" customHeight="false" outlineLevel="0" collapsed="false">
      <c r="A34" s="59" t="s">
        <v>819</v>
      </c>
      <c r="B34" s="60" t="s">
        <v>820</v>
      </c>
    </row>
    <row r="35" customFormat="false" ht="23.85" hidden="false" customHeight="false" outlineLevel="0" collapsed="false">
      <c r="A35" s="59" t="s">
        <v>821</v>
      </c>
      <c r="B35" s="60" t="s">
        <v>822</v>
      </c>
    </row>
    <row r="36" customFormat="false" ht="23.85" hidden="false" customHeight="false" outlineLevel="0" collapsed="false">
      <c r="A36" s="59" t="s">
        <v>823</v>
      </c>
      <c r="B36" s="60" t="s">
        <v>824</v>
      </c>
    </row>
    <row r="37" customFormat="false" ht="23.85" hidden="false" customHeight="false" outlineLevel="0" collapsed="false">
      <c r="A37" s="59" t="s">
        <v>825</v>
      </c>
      <c r="B37" s="60" t="s">
        <v>826</v>
      </c>
    </row>
    <row r="39" customFormat="false" ht="15" hidden="false" customHeight="false" outlineLevel="0" collapsed="false">
      <c r="A39" s="55" t="s">
        <v>827</v>
      </c>
      <c r="B39" s="56"/>
    </row>
    <row r="40" customFormat="false" ht="23.85" hidden="false" customHeight="false" outlineLevel="0" collapsed="false">
      <c r="A40" s="59" t="s">
        <v>828</v>
      </c>
      <c r="B40" s="60" t="s">
        <v>829</v>
      </c>
    </row>
    <row r="41" customFormat="false" ht="23.85" hidden="false" customHeight="false" outlineLevel="0" collapsed="false">
      <c r="A41" s="59" t="s">
        <v>830</v>
      </c>
      <c r="B41" s="60" t="s">
        <v>831</v>
      </c>
    </row>
    <row r="42" customFormat="false" ht="15" hidden="false" customHeight="false" outlineLevel="0" collapsed="false">
      <c r="A42" s="59" t="s">
        <v>832</v>
      </c>
      <c r="B42" s="60" t="s">
        <v>833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26"/>
    <col collapsed="false" customWidth="true" hidden="false" outlineLevel="0" max="3" min="3" style="0" width="46"/>
    <col collapsed="false" customWidth="true" hidden="false" outlineLevel="0" max="4" min="4" style="0" width="60"/>
    <col collapsed="false" customWidth="true" hidden="false" outlineLevel="0" max="5" min="5" style="0" width="26"/>
    <col collapsed="false" customWidth="true" hidden="false" outlineLevel="0" max="7" min="6" style="0" width="11"/>
    <col collapsed="false" customWidth="true" hidden="false" outlineLevel="0" max="9" min="8" style="0" width="12"/>
  </cols>
  <sheetData>
    <row r="1" customFormat="false" ht="17.35" hidden="false" customHeight="false" outlineLevel="0" collapsed="false">
      <c r="A1" s="1" t="s">
        <v>834</v>
      </c>
    </row>
    <row r="2" customFormat="false" ht="15" hidden="false" customHeight="false" outlineLevel="0" collapsed="false">
      <c r="A2" s="2" t="s">
        <v>835</v>
      </c>
    </row>
    <row r="4" customFormat="false" ht="15" hidden="false" customHeight="false" outlineLevel="0" collapsed="false">
      <c r="A4" s="61" t="s">
        <v>6</v>
      </c>
      <c r="B4" s="61" t="s">
        <v>836</v>
      </c>
      <c r="C4" s="61" t="s">
        <v>837</v>
      </c>
      <c r="D4" s="61" t="s">
        <v>838</v>
      </c>
      <c r="E4" s="61" t="s">
        <v>839</v>
      </c>
      <c r="F4" s="61" t="s">
        <v>840</v>
      </c>
      <c r="G4" s="61" t="s">
        <v>841</v>
      </c>
      <c r="H4" s="61" t="s">
        <v>13</v>
      </c>
      <c r="I4" s="61" t="s">
        <v>14</v>
      </c>
    </row>
    <row r="5" customFormat="false" ht="22.35" hidden="false" customHeight="false" outlineLevel="0" collapsed="false">
      <c r="A5" s="5" t="s">
        <v>21</v>
      </c>
      <c r="B5" s="4" t="s">
        <v>18</v>
      </c>
      <c r="C5" s="4" t="s">
        <v>20</v>
      </c>
      <c r="D5" s="4" t="s">
        <v>842</v>
      </c>
      <c r="E5" s="4" t="s">
        <v>843</v>
      </c>
      <c r="F5" s="6" t="n">
        <v>2537</v>
      </c>
      <c r="G5" s="4" t="n">
        <v>36</v>
      </c>
      <c r="H5" s="4" t="s">
        <v>25</v>
      </c>
      <c r="I5" s="4" t="s">
        <v>26</v>
      </c>
    </row>
    <row r="6" customFormat="false" ht="22.35" hidden="false" customHeight="false" outlineLevel="0" collapsed="false">
      <c r="A6" s="5" t="s">
        <v>32</v>
      </c>
      <c r="B6" s="4" t="s">
        <v>30</v>
      </c>
      <c r="C6" s="4" t="s">
        <v>31</v>
      </c>
      <c r="D6" s="4" t="s">
        <v>844</v>
      </c>
      <c r="E6" s="4" t="s">
        <v>845</v>
      </c>
      <c r="F6" s="6" t="n">
        <v>2706</v>
      </c>
      <c r="G6" s="4" t="n">
        <v>36</v>
      </c>
      <c r="H6" s="4" t="s">
        <v>35</v>
      </c>
      <c r="I6" s="4" t="s">
        <v>36</v>
      </c>
    </row>
    <row r="7" customFormat="false" ht="15" hidden="false" customHeight="false" outlineLevel="0" collapsed="false">
      <c r="A7" s="5" t="s">
        <v>42</v>
      </c>
      <c r="B7" s="4" t="s">
        <v>40</v>
      </c>
      <c r="C7" s="4" t="s">
        <v>41</v>
      </c>
      <c r="D7" s="4" t="s">
        <v>846</v>
      </c>
      <c r="E7" s="4" t="s">
        <v>845</v>
      </c>
      <c r="F7" s="6" t="n">
        <v>3326</v>
      </c>
      <c r="G7" s="4" t="n">
        <v>36</v>
      </c>
      <c r="H7" s="4" t="s">
        <v>45</v>
      </c>
      <c r="I7" s="4" t="s">
        <v>36</v>
      </c>
    </row>
    <row r="8" customFormat="false" ht="53.7" hidden="false" customHeight="false" outlineLevel="0" collapsed="false">
      <c r="A8" s="5" t="s">
        <v>50</v>
      </c>
      <c r="B8" s="4" t="s">
        <v>48</v>
      </c>
      <c r="C8" s="4" t="s">
        <v>49</v>
      </c>
      <c r="D8" s="4" t="s">
        <v>847</v>
      </c>
      <c r="E8" s="4" t="s">
        <v>845</v>
      </c>
      <c r="F8" s="6" t="n">
        <v>2296</v>
      </c>
      <c r="G8" s="4" t="n">
        <v>37</v>
      </c>
      <c r="H8" s="4" t="s">
        <v>53</v>
      </c>
      <c r="I8" s="4" t="s">
        <v>54</v>
      </c>
    </row>
    <row r="9" customFormat="false" ht="15" hidden="false" customHeight="false" outlineLevel="0" collapsed="false">
      <c r="A9" s="5" t="s">
        <v>58</v>
      </c>
      <c r="B9" s="4" t="s">
        <v>30</v>
      </c>
      <c r="C9" s="4" t="s">
        <v>57</v>
      </c>
      <c r="D9" s="4" t="s">
        <v>848</v>
      </c>
      <c r="E9" s="4" t="s">
        <v>845</v>
      </c>
      <c r="F9" s="6" t="n">
        <v>2321</v>
      </c>
      <c r="G9" s="4" t="n">
        <v>36</v>
      </c>
      <c r="H9" s="4" t="s">
        <v>35</v>
      </c>
      <c r="I9" s="4" t="s">
        <v>62</v>
      </c>
    </row>
    <row r="10" customFormat="false" ht="64.15" hidden="false" customHeight="false" outlineLevel="0" collapsed="false">
      <c r="A10" s="5" t="s">
        <v>65</v>
      </c>
      <c r="B10" s="4" t="s">
        <v>40</v>
      </c>
      <c r="C10" s="4" t="s">
        <v>64</v>
      </c>
      <c r="D10" s="4" t="s">
        <v>849</v>
      </c>
      <c r="E10" s="4" t="s">
        <v>845</v>
      </c>
      <c r="F10" s="6" t="n">
        <v>3042</v>
      </c>
      <c r="G10" s="4" t="n">
        <v>37</v>
      </c>
      <c r="H10" s="4" t="s">
        <v>69</v>
      </c>
      <c r="I10" s="4" t="s">
        <v>70</v>
      </c>
    </row>
    <row r="11" customFormat="false" ht="53.7" hidden="false" customHeight="false" outlineLevel="0" collapsed="false">
      <c r="A11" s="5" t="s">
        <v>74</v>
      </c>
      <c r="B11" s="4" t="s">
        <v>48</v>
      </c>
      <c r="C11" s="4" t="s">
        <v>73</v>
      </c>
      <c r="D11" s="4" t="s">
        <v>850</v>
      </c>
      <c r="E11" s="4" t="s">
        <v>845</v>
      </c>
      <c r="F11" s="6" t="n">
        <v>2468</v>
      </c>
      <c r="G11" s="4" t="n">
        <v>37</v>
      </c>
      <c r="H11" s="4" t="s">
        <v>78</v>
      </c>
      <c r="I11" s="4" t="s">
        <v>79</v>
      </c>
    </row>
    <row r="12" customFormat="false" ht="64.15" hidden="false" customHeight="false" outlineLevel="0" collapsed="false">
      <c r="A12" s="5" t="s">
        <v>83</v>
      </c>
      <c r="B12" s="4" t="s">
        <v>40</v>
      </c>
      <c r="C12" s="4" t="s">
        <v>82</v>
      </c>
      <c r="D12" s="4" t="s">
        <v>851</v>
      </c>
      <c r="E12" s="4" t="s">
        <v>852</v>
      </c>
      <c r="F12" s="6" t="n">
        <v>2928</v>
      </c>
      <c r="G12" s="4" t="n">
        <v>37</v>
      </c>
      <c r="H12" s="4" t="s">
        <v>87</v>
      </c>
      <c r="I12" s="4" t="s">
        <v>87</v>
      </c>
    </row>
    <row r="13" customFormat="false" ht="15" hidden="false" customHeight="false" outlineLevel="0" collapsed="false">
      <c r="A13" s="5" t="s">
        <v>92</v>
      </c>
      <c r="B13" s="4" t="s">
        <v>30</v>
      </c>
      <c r="C13" s="4" t="s">
        <v>91</v>
      </c>
      <c r="D13" s="7" t="s">
        <v>853</v>
      </c>
      <c r="E13" s="4" t="s">
        <v>854</v>
      </c>
      <c r="F13" s="6" t="n">
        <v>2356</v>
      </c>
      <c r="G13" s="4" t="n">
        <v>36</v>
      </c>
      <c r="H13" s="4" t="s">
        <v>35</v>
      </c>
      <c r="I13" s="4" t="s">
        <v>62</v>
      </c>
    </row>
    <row r="14" customFormat="false" ht="15" hidden="false" customHeight="false" outlineLevel="0" collapsed="false">
      <c r="A14" s="5" t="s">
        <v>97</v>
      </c>
      <c r="B14" s="4" t="s">
        <v>40</v>
      </c>
      <c r="C14" s="4" t="s">
        <v>96</v>
      </c>
      <c r="D14" s="4" t="s">
        <v>855</v>
      </c>
      <c r="E14" s="4" t="s">
        <v>854</v>
      </c>
      <c r="F14" s="6" t="n">
        <v>3169</v>
      </c>
      <c r="G14" s="4" t="n">
        <v>36</v>
      </c>
      <c r="H14" s="4" t="s">
        <v>101</v>
      </c>
      <c r="I14" s="4" t="s">
        <v>36</v>
      </c>
    </row>
    <row r="15" customFormat="false" ht="22.35" hidden="false" customHeight="false" outlineLevel="0" collapsed="false">
      <c r="A15" s="5" t="s">
        <v>104</v>
      </c>
      <c r="B15" s="4" t="s">
        <v>48</v>
      </c>
      <c r="C15" s="4" t="s">
        <v>103</v>
      </c>
      <c r="D15" s="4" t="s">
        <v>856</v>
      </c>
      <c r="E15" s="4" t="s">
        <v>854</v>
      </c>
      <c r="F15" s="6" t="n">
        <v>2165</v>
      </c>
      <c r="G15" s="4" t="n">
        <v>37</v>
      </c>
      <c r="H15" s="4" t="s">
        <v>108</v>
      </c>
      <c r="I15" s="4" t="s">
        <v>54</v>
      </c>
    </row>
    <row r="16" customFormat="false" ht="53.7" hidden="false" customHeight="false" outlineLevel="0" collapsed="false">
      <c r="A16" s="5" t="s">
        <v>112</v>
      </c>
      <c r="B16" s="4" t="s">
        <v>40</v>
      </c>
      <c r="C16" s="4" t="s">
        <v>111</v>
      </c>
      <c r="D16" s="4" t="s">
        <v>857</v>
      </c>
      <c r="E16" s="4" t="s">
        <v>854</v>
      </c>
      <c r="F16" s="6" t="n">
        <v>2840</v>
      </c>
      <c r="G16" s="4" t="n">
        <v>37</v>
      </c>
      <c r="H16" s="4" t="s">
        <v>116</v>
      </c>
      <c r="I16" s="4" t="s">
        <v>116</v>
      </c>
    </row>
    <row r="17" customFormat="false" ht="85.05" hidden="false" customHeight="false" outlineLevel="0" collapsed="false">
      <c r="A17" s="5" t="s">
        <v>119</v>
      </c>
      <c r="B17" s="4" t="s">
        <v>40</v>
      </c>
      <c r="C17" s="4" t="s">
        <v>118</v>
      </c>
      <c r="D17" s="4" t="s">
        <v>858</v>
      </c>
      <c r="E17" s="4" t="s">
        <v>854</v>
      </c>
      <c r="F17" s="6" t="n">
        <v>2855</v>
      </c>
      <c r="G17" s="4" t="n">
        <v>37</v>
      </c>
      <c r="H17" s="4" t="s">
        <v>123</v>
      </c>
      <c r="I17" s="4" t="s">
        <v>123</v>
      </c>
    </row>
    <row r="18" customFormat="false" ht="64.15" hidden="false" customHeight="false" outlineLevel="0" collapsed="false">
      <c r="A18" s="5" t="s">
        <v>126</v>
      </c>
      <c r="B18" s="4" t="s">
        <v>40</v>
      </c>
      <c r="C18" s="4" t="s">
        <v>125</v>
      </c>
      <c r="D18" s="4" t="s">
        <v>859</v>
      </c>
      <c r="E18" s="4" t="s">
        <v>854</v>
      </c>
      <c r="F18" s="6" t="n">
        <v>3125</v>
      </c>
      <c r="G18" s="4" t="n">
        <v>37</v>
      </c>
      <c r="H18" s="4" t="s">
        <v>130</v>
      </c>
      <c r="I18" s="4" t="s">
        <v>123</v>
      </c>
    </row>
    <row r="19" customFormat="false" ht="15" hidden="false" customHeight="false" outlineLevel="0" collapsed="false">
      <c r="A19" s="5" t="s">
        <v>134</v>
      </c>
      <c r="B19" s="4" t="s">
        <v>30</v>
      </c>
      <c r="C19" s="4" t="s">
        <v>133</v>
      </c>
      <c r="D19" s="7" t="s">
        <v>853</v>
      </c>
      <c r="E19" s="4" t="s">
        <v>854</v>
      </c>
      <c r="F19" s="6" t="n">
        <v>2136</v>
      </c>
      <c r="G19" s="4" t="n">
        <v>36</v>
      </c>
      <c r="H19" s="4" t="s">
        <v>35</v>
      </c>
      <c r="I19" s="4" t="s">
        <v>36</v>
      </c>
    </row>
    <row r="20" customFormat="false" ht="64.15" hidden="false" customHeight="false" outlineLevel="0" collapsed="false">
      <c r="A20" s="5" t="s">
        <v>138</v>
      </c>
      <c r="B20" s="4" t="s">
        <v>40</v>
      </c>
      <c r="C20" s="4" t="s">
        <v>137</v>
      </c>
      <c r="D20" s="4" t="s">
        <v>860</v>
      </c>
      <c r="E20" s="4" t="s">
        <v>854</v>
      </c>
      <c r="F20" s="6" t="n">
        <v>2376</v>
      </c>
      <c r="G20" s="4" t="n">
        <v>37</v>
      </c>
      <c r="H20" s="4" t="s">
        <v>78</v>
      </c>
      <c r="I20" s="4" t="s">
        <v>79</v>
      </c>
    </row>
    <row r="21" customFormat="false" ht="22.35" hidden="false" customHeight="false" outlineLevel="0" collapsed="false">
      <c r="A21" s="5" t="s">
        <v>144</v>
      </c>
      <c r="B21" s="4" t="s">
        <v>142</v>
      </c>
      <c r="C21" s="4" t="s">
        <v>143</v>
      </c>
      <c r="D21" s="4" t="s">
        <v>861</v>
      </c>
      <c r="E21" s="4" t="s">
        <v>845</v>
      </c>
      <c r="F21" s="6" t="n">
        <v>1896</v>
      </c>
      <c r="G21" s="4" t="n">
        <v>36</v>
      </c>
      <c r="H21" s="4" t="s">
        <v>148</v>
      </c>
      <c r="I21" s="4" t="s">
        <v>54</v>
      </c>
    </row>
    <row r="22" customFormat="false" ht="53.7" hidden="false" customHeight="false" outlineLevel="0" collapsed="false">
      <c r="A22" s="5" t="s">
        <v>152</v>
      </c>
      <c r="B22" s="4" t="s">
        <v>40</v>
      </c>
      <c r="C22" s="4" t="s">
        <v>151</v>
      </c>
      <c r="D22" s="4" t="s">
        <v>862</v>
      </c>
      <c r="E22" s="4" t="s">
        <v>854</v>
      </c>
      <c r="F22" s="6" t="n">
        <v>2991</v>
      </c>
      <c r="G22" s="4" t="n">
        <v>37</v>
      </c>
      <c r="H22" s="4" t="s">
        <v>156</v>
      </c>
      <c r="I22" s="4" t="s">
        <v>156</v>
      </c>
    </row>
    <row r="23" customFormat="false" ht="64.15" hidden="false" customHeight="false" outlineLevel="0" collapsed="false">
      <c r="A23" s="5" t="s">
        <v>160</v>
      </c>
      <c r="B23" s="4" t="s">
        <v>40</v>
      </c>
      <c r="C23" s="4" t="s">
        <v>159</v>
      </c>
      <c r="D23" s="4" t="s">
        <v>863</v>
      </c>
      <c r="E23" s="4" t="s">
        <v>854</v>
      </c>
      <c r="F23" s="6" t="n">
        <v>2705</v>
      </c>
      <c r="G23" s="4" t="n">
        <v>37</v>
      </c>
      <c r="H23" s="4" t="s">
        <v>70</v>
      </c>
      <c r="I23" s="4" t="s">
        <v>164</v>
      </c>
    </row>
    <row r="24" customFormat="false" ht="22.35" hidden="false" customHeight="false" outlineLevel="0" collapsed="false">
      <c r="A24" s="5" t="s">
        <v>169</v>
      </c>
      <c r="B24" s="4" t="s">
        <v>166</v>
      </c>
      <c r="C24" s="4" t="s">
        <v>168</v>
      </c>
      <c r="D24" s="4"/>
      <c r="E24" s="4" t="s">
        <v>864</v>
      </c>
      <c r="F24" s="6"/>
      <c r="G24" s="4"/>
      <c r="H24" s="4"/>
      <c r="I24" s="4"/>
    </row>
    <row r="25" customFormat="false" ht="22.35" hidden="false" customHeight="false" outlineLevel="0" collapsed="false">
      <c r="A25" s="5" t="s">
        <v>174</v>
      </c>
      <c r="B25" s="4" t="s">
        <v>142</v>
      </c>
      <c r="C25" s="4" t="s">
        <v>173</v>
      </c>
      <c r="D25" s="4" t="s">
        <v>865</v>
      </c>
      <c r="E25" s="4" t="s">
        <v>845</v>
      </c>
      <c r="F25" s="6" t="n">
        <v>2089</v>
      </c>
      <c r="G25" s="4" t="n">
        <v>36</v>
      </c>
      <c r="H25" s="4" t="s">
        <v>35</v>
      </c>
      <c r="I25" s="4" t="s">
        <v>54</v>
      </c>
    </row>
    <row r="26" customFormat="false" ht="32.8" hidden="false" customHeight="false" outlineLevel="0" collapsed="false">
      <c r="A26" s="5" t="s">
        <v>180</v>
      </c>
      <c r="B26" s="4" t="s">
        <v>40</v>
      </c>
      <c r="C26" s="4" t="s">
        <v>179</v>
      </c>
      <c r="D26" s="4" t="s">
        <v>866</v>
      </c>
      <c r="E26" s="4" t="s">
        <v>845</v>
      </c>
      <c r="F26" s="6" t="n">
        <v>2316</v>
      </c>
      <c r="G26" s="4" t="n">
        <v>37</v>
      </c>
      <c r="H26" s="4" t="s">
        <v>53</v>
      </c>
      <c r="I26" s="4" t="s">
        <v>79</v>
      </c>
    </row>
    <row r="27" customFormat="false" ht="15" hidden="false" customHeight="false" outlineLevel="0" collapsed="false">
      <c r="A27" s="5" t="s">
        <v>185</v>
      </c>
      <c r="B27" s="4" t="s">
        <v>48</v>
      </c>
      <c r="C27" s="4" t="s">
        <v>184</v>
      </c>
      <c r="D27" s="7" t="s">
        <v>853</v>
      </c>
      <c r="E27" s="4" t="s">
        <v>845</v>
      </c>
      <c r="F27" s="6" t="n">
        <v>1801</v>
      </c>
      <c r="G27" s="4" t="n">
        <v>37</v>
      </c>
      <c r="H27" s="4" t="s">
        <v>189</v>
      </c>
      <c r="I27" s="4" t="s">
        <v>101</v>
      </c>
    </row>
    <row r="28" customFormat="false" ht="53.7" hidden="false" customHeight="false" outlineLevel="0" collapsed="false">
      <c r="A28" s="5" t="s">
        <v>192</v>
      </c>
      <c r="B28" s="4" t="s">
        <v>40</v>
      </c>
      <c r="C28" s="4" t="s">
        <v>191</v>
      </c>
      <c r="D28" s="4" t="s">
        <v>867</v>
      </c>
      <c r="E28" s="4" t="s">
        <v>845</v>
      </c>
      <c r="F28" s="6" t="n">
        <v>3064</v>
      </c>
      <c r="G28" s="4" t="n">
        <v>36</v>
      </c>
      <c r="H28" s="4" t="s">
        <v>79</v>
      </c>
      <c r="I28" s="4" t="s">
        <v>196</v>
      </c>
    </row>
    <row r="29" customFormat="false" ht="22.35" hidden="false" customHeight="false" outlineLevel="0" collapsed="false">
      <c r="A29" s="5" t="s">
        <v>199</v>
      </c>
      <c r="B29" s="4" t="s">
        <v>48</v>
      </c>
      <c r="C29" s="4" t="s">
        <v>198</v>
      </c>
      <c r="D29" s="4" t="s">
        <v>868</v>
      </c>
      <c r="E29" s="4" t="s">
        <v>854</v>
      </c>
      <c r="F29" s="6" t="n">
        <v>2211</v>
      </c>
      <c r="G29" s="4" t="n">
        <v>37</v>
      </c>
      <c r="H29" s="4" t="s">
        <v>203</v>
      </c>
      <c r="I29" s="4" t="s">
        <v>204</v>
      </c>
    </row>
    <row r="30" customFormat="false" ht="53.7" hidden="false" customHeight="false" outlineLevel="0" collapsed="false">
      <c r="A30" s="5" t="s">
        <v>207</v>
      </c>
      <c r="B30" s="4" t="s">
        <v>40</v>
      </c>
      <c r="C30" s="4" t="s">
        <v>206</v>
      </c>
      <c r="D30" s="4" t="s">
        <v>869</v>
      </c>
      <c r="E30" s="4" t="s">
        <v>854</v>
      </c>
      <c r="F30" s="6" t="n">
        <v>2273</v>
      </c>
      <c r="G30" s="4" t="n">
        <v>37</v>
      </c>
      <c r="H30" s="4" t="s">
        <v>70</v>
      </c>
      <c r="I30" s="4" t="s">
        <v>211</v>
      </c>
    </row>
    <row r="31" customFormat="false" ht="32.8" hidden="false" customHeight="false" outlineLevel="0" collapsed="false">
      <c r="A31" s="5" t="s">
        <v>214</v>
      </c>
      <c r="B31" s="4" t="s">
        <v>48</v>
      </c>
      <c r="C31" s="4" t="s">
        <v>213</v>
      </c>
      <c r="D31" s="4" t="s">
        <v>870</v>
      </c>
      <c r="E31" s="4" t="s">
        <v>854</v>
      </c>
      <c r="F31" s="6" t="n">
        <v>2279</v>
      </c>
      <c r="G31" s="4" t="n">
        <v>37</v>
      </c>
      <c r="H31" s="4" t="s">
        <v>218</v>
      </c>
      <c r="I31" s="4" t="s">
        <v>218</v>
      </c>
    </row>
    <row r="32" customFormat="false" ht="15" hidden="false" customHeight="false" outlineLevel="0" collapsed="false">
      <c r="A32" s="5" t="s">
        <v>222</v>
      </c>
      <c r="B32" s="4" t="s">
        <v>220</v>
      </c>
      <c r="C32" s="4" t="s">
        <v>221</v>
      </c>
      <c r="D32" s="4"/>
      <c r="E32" s="4" t="s">
        <v>864</v>
      </c>
      <c r="F32" s="6"/>
      <c r="G32" s="4"/>
      <c r="H32" s="4"/>
      <c r="I32" s="4"/>
    </row>
    <row r="33" customFormat="false" ht="15" hidden="false" customHeight="false" outlineLevel="0" collapsed="false">
      <c r="A33" s="5" t="s">
        <v>226</v>
      </c>
      <c r="B33" s="4" t="s">
        <v>166</v>
      </c>
      <c r="C33" s="4" t="s">
        <v>225</v>
      </c>
      <c r="D33" s="4"/>
      <c r="E33" s="4" t="s">
        <v>864</v>
      </c>
      <c r="F33" s="6"/>
      <c r="G33" s="4"/>
      <c r="H33" s="4"/>
      <c r="I33" s="4"/>
    </row>
    <row r="34" customFormat="false" ht="22.35" hidden="false" customHeight="false" outlineLevel="0" collapsed="false">
      <c r="A34" s="5" t="s">
        <v>871</v>
      </c>
      <c r="B34" s="4" t="s">
        <v>872</v>
      </c>
      <c r="C34" s="4" t="s">
        <v>873</v>
      </c>
      <c r="D34" s="4" t="s">
        <v>874</v>
      </c>
      <c r="E34" s="4" t="s">
        <v>845</v>
      </c>
      <c r="F34" s="6" t="n">
        <v>1533</v>
      </c>
      <c r="G34" s="4" t="n">
        <v>36</v>
      </c>
      <c r="H34" s="4" t="s">
        <v>875</v>
      </c>
      <c r="I34" s="4" t="s">
        <v>204</v>
      </c>
    </row>
    <row r="35" customFormat="false" ht="15" hidden="false" customHeight="false" outlineLevel="0" collapsed="false">
      <c r="A35" s="5" t="s">
        <v>876</v>
      </c>
      <c r="B35" s="4" t="s">
        <v>877</v>
      </c>
      <c r="C35" s="4" t="s">
        <v>878</v>
      </c>
      <c r="D35" s="4" t="s">
        <v>879</v>
      </c>
      <c r="E35" s="4" t="s">
        <v>845</v>
      </c>
      <c r="F35" s="6" t="n">
        <v>1234</v>
      </c>
      <c r="G35" s="4" t="n">
        <v>37</v>
      </c>
      <c r="H35" s="4" t="s">
        <v>880</v>
      </c>
      <c r="I35" s="4" t="s">
        <v>881</v>
      </c>
    </row>
    <row r="36" customFormat="false" ht="22.35" hidden="false" customHeight="false" outlineLevel="0" collapsed="false">
      <c r="A36" s="5" t="s">
        <v>882</v>
      </c>
      <c r="B36" s="4" t="s">
        <v>883</v>
      </c>
      <c r="C36" s="4" t="s">
        <v>884</v>
      </c>
      <c r="D36" s="4" t="s">
        <v>885</v>
      </c>
      <c r="E36" s="4" t="s">
        <v>845</v>
      </c>
      <c r="F36" s="6" t="n">
        <v>1544</v>
      </c>
      <c r="G36" s="4" t="n">
        <v>37</v>
      </c>
      <c r="H36" s="4" t="s">
        <v>886</v>
      </c>
      <c r="I36" s="4" t="s">
        <v>36</v>
      </c>
    </row>
    <row r="37" customFormat="false" ht="15" hidden="false" customHeight="false" outlineLevel="0" collapsed="false">
      <c r="A37" s="5" t="s">
        <v>887</v>
      </c>
      <c r="B37" s="4" t="s">
        <v>888</v>
      </c>
      <c r="C37" s="4" t="s">
        <v>889</v>
      </c>
      <c r="D37" s="4"/>
      <c r="E37" s="4" t="s">
        <v>864</v>
      </c>
      <c r="F37" s="6"/>
      <c r="G37" s="4"/>
      <c r="H37" s="4"/>
      <c r="I37" s="4"/>
    </row>
    <row r="38" customFormat="false" ht="15" hidden="false" customHeight="false" outlineLevel="0" collapsed="false">
      <c r="A38" s="5" t="s">
        <v>890</v>
      </c>
      <c r="B38" s="4" t="s">
        <v>891</v>
      </c>
      <c r="C38" s="4" t="s">
        <v>892</v>
      </c>
      <c r="D38" s="4"/>
      <c r="E38" s="4" t="s">
        <v>864</v>
      </c>
      <c r="F38" s="6"/>
      <c r="G38" s="4"/>
      <c r="H38" s="4"/>
      <c r="I38" s="4"/>
    </row>
    <row r="39" customFormat="false" ht="15" hidden="false" customHeight="false" outlineLevel="0" collapsed="false">
      <c r="A39" s="5" t="s">
        <v>893</v>
      </c>
      <c r="B39" s="4" t="s">
        <v>894</v>
      </c>
      <c r="C39" s="4" t="s">
        <v>895</v>
      </c>
      <c r="D39" s="7" t="s">
        <v>853</v>
      </c>
      <c r="E39" s="4" t="s">
        <v>854</v>
      </c>
      <c r="F39" s="6" t="n">
        <v>1174</v>
      </c>
      <c r="G39" s="4" t="n">
        <v>37</v>
      </c>
      <c r="H39" s="4" t="s">
        <v>896</v>
      </c>
      <c r="I39" s="4" t="s">
        <v>130</v>
      </c>
    </row>
    <row r="40" customFormat="false" ht="15" hidden="false" customHeight="false" outlineLevel="0" collapsed="false">
      <c r="A40" s="5" t="s">
        <v>897</v>
      </c>
      <c r="B40" s="4" t="s">
        <v>894</v>
      </c>
      <c r="C40" s="4" t="s">
        <v>898</v>
      </c>
      <c r="D40" s="7" t="s">
        <v>853</v>
      </c>
      <c r="E40" s="4" t="s">
        <v>854</v>
      </c>
      <c r="F40" s="6" t="n">
        <v>1174</v>
      </c>
      <c r="G40" s="4" t="n">
        <v>37</v>
      </c>
      <c r="H40" s="4" t="s">
        <v>896</v>
      </c>
      <c r="I40" s="4" t="s">
        <v>896</v>
      </c>
    </row>
    <row r="41" customFormat="false" ht="15" hidden="false" customHeight="false" outlineLevel="0" collapsed="false">
      <c r="A41" s="5" t="s">
        <v>899</v>
      </c>
      <c r="B41" s="4" t="s">
        <v>894</v>
      </c>
      <c r="C41" s="4" t="s">
        <v>900</v>
      </c>
      <c r="D41" s="7" t="s">
        <v>853</v>
      </c>
      <c r="E41" s="4" t="s">
        <v>854</v>
      </c>
      <c r="F41" s="6" t="n">
        <v>1177</v>
      </c>
      <c r="G41" s="4" t="n">
        <v>37</v>
      </c>
      <c r="H41" s="4" t="s">
        <v>896</v>
      </c>
      <c r="I41" s="4" t="s">
        <v>130</v>
      </c>
    </row>
    <row r="42" customFormat="false" ht="15" hidden="false" customHeight="false" outlineLevel="0" collapsed="false">
      <c r="A42" s="5" t="s">
        <v>901</v>
      </c>
      <c r="B42" s="4" t="s">
        <v>894</v>
      </c>
      <c r="C42" s="4" t="s">
        <v>902</v>
      </c>
      <c r="D42" s="7" t="s">
        <v>853</v>
      </c>
      <c r="E42" s="4" t="s">
        <v>845</v>
      </c>
      <c r="F42" s="6" t="n">
        <v>1174</v>
      </c>
      <c r="G42" s="4" t="n">
        <v>37</v>
      </c>
      <c r="H42" s="4" t="s">
        <v>896</v>
      </c>
      <c r="I42" s="4" t="s">
        <v>130</v>
      </c>
    </row>
    <row r="43" customFormat="false" ht="15" hidden="false" customHeight="false" outlineLevel="0" collapsed="false">
      <c r="A43" s="5" t="s">
        <v>903</v>
      </c>
      <c r="B43" s="4" t="s">
        <v>904</v>
      </c>
      <c r="C43" s="4" t="s">
        <v>905</v>
      </c>
      <c r="D43" s="4" t="s">
        <v>906</v>
      </c>
      <c r="E43" s="4" t="s">
        <v>854</v>
      </c>
      <c r="F43" s="6" t="n">
        <v>1966</v>
      </c>
      <c r="G43" s="4" t="n">
        <v>37</v>
      </c>
      <c r="H43" s="4" t="s">
        <v>907</v>
      </c>
      <c r="I43" s="4" t="s">
        <v>101</v>
      </c>
    </row>
    <row r="44" customFormat="false" ht="22.35" hidden="false" customHeight="false" outlineLevel="0" collapsed="false">
      <c r="A44" s="5" t="s">
        <v>908</v>
      </c>
      <c r="B44" s="4" t="s">
        <v>904</v>
      </c>
      <c r="C44" s="4" t="s">
        <v>909</v>
      </c>
      <c r="D44" s="4" t="s">
        <v>910</v>
      </c>
      <c r="E44" s="4" t="s">
        <v>854</v>
      </c>
      <c r="F44" s="6" t="n">
        <v>1926</v>
      </c>
      <c r="G44" s="4" t="n">
        <v>36</v>
      </c>
      <c r="H44" s="4" t="s">
        <v>911</v>
      </c>
      <c r="I44" s="4" t="s">
        <v>101</v>
      </c>
    </row>
  </sheetData>
  <autoFilter ref="A4:I44"/>
  <hyperlinks>
    <hyperlink ref="A5" r:id="rId1" display="https://familialife.ca/"/>
    <hyperlink ref="A6" r:id="rId2" display="https://familialife.ca/term-life-insurance/"/>
    <hyperlink ref="A7" r:id="rId3" display="https://familialife.ca/everything-about-term-life-insurance/"/>
    <hyperlink ref="A8" r:id="rId4" display="https://familialife.ca/what-happens-at-the-end-of-term-life-insurance/"/>
    <hyperlink ref="A9" r:id="rId5" display="https://familialife.ca/whole-life-insurance/"/>
    <hyperlink ref="A10" r:id="rId6" display="https://familialife.ca/everything-about-permanent-life-insurance/"/>
    <hyperlink ref="A11" r:id="rId7" display="https://familialife.ca/what-is-universal-life-insurance/"/>
    <hyperlink ref="A12" r:id="rId8" display="https://familialife.ca/what-is-joint-life/"/>
    <hyperlink ref="A13" r:id="rId9" display="https://familialife.ca/no-medical-insurance/"/>
    <hyperlink ref="A14" r:id="rId10" display="https://familialife.ca/everything-about-no-medical-life-insurance/"/>
    <hyperlink ref="A15" r:id="rId11" display="https://familialife.ca/how-to-get-life-insurance-if-you-have-health-issues/"/>
    <hyperlink ref="A16" r:id="rId12" display="https://familialife.ca/life-insurance-for-diabetics/"/>
    <hyperlink ref="A17" r:id="rId13" display="https://familialife.ca/life-insurance-with-cancer/"/>
    <hyperlink ref="A18" r:id="rId14" display="https://familialife.ca/life-insurance-with-heart-condition/"/>
    <hyperlink ref="A19" r:id="rId15" display="https://familialife.ca/mortgage-protection-insurance/"/>
    <hyperlink ref="A20" r:id="rId16" display="https://familialife.ca/what-is-mortgage-insurance/"/>
    <hyperlink ref="A21" r:id="rId17" display="https://familialife.ca/final-expense-insurance/"/>
    <hyperlink ref="A22" r:id="rId18" display="https://familialife.ca/seniors-life-insurance/"/>
    <hyperlink ref="A23" r:id="rId19" display="https://familialife.ca/family-life-insurance/"/>
    <hyperlink ref="A24" r:id="rId20" display="https://familialife.ca/whats-ci/"/>
    <hyperlink ref="A25" r:id="rId21" display="https://familialife.ca/health-insurance/"/>
    <hyperlink ref="A26" r:id="rId22" display="https://familialife.ca/how-does-life-insurance-work-in-canada/"/>
    <hyperlink ref="A27" r:id="rId23" display="https://familialife.ca/how-much-life-insurance-should-i-get/"/>
    <hyperlink ref="A28" r:id="rId24" display="https://familialife.ca/life-insurance-quotes-in-canada/"/>
    <hyperlink ref="A29" r:id="rId25" display="https://familialife.ca/how-do-life-insurance-companies-check-medical-background/"/>
    <hyperlink ref="A30" r:id="rId26" display="https://familialife.ca/12-myths-debunked/"/>
    <hyperlink ref="A31" r:id="rId27" display="https://familialife.ca/two-things-before-buying/"/>
    <hyperlink ref="A32" r:id="rId28" display="https://familialife.ca/are-life-insurance-premiums-tax-deductible-in-canada/"/>
    <hyperlink ref="A33" r:id="rId29" display="https://familialife.ca/how-to-claim/"/>
    <hyperlink ref="A34" r:id="rId30" display="https://familialife.ca/about/"/>
    <hyperlink ref="A35" r:id="rId31" display="https://familialife.ca/contact-us/"/>
    <hyperlink ref="A36" r:id="rId32" display="https://familialife.ca/blog/"/>
    <hyperlink ref="A37" r:id="rId33" display="https://familialife.ca/author/richard-kim/"/>
    <hyperlink ref="A38" r:id="rId34" display="https://familialife.ca/get-your-quote-today/"/>
    <hyperlink ref="A39" r:id="rId35" display="https://familialife.ca/term-life-insurance-quote-form/"/>
    <hyperlink ref="A40" r:id="rId36" display="https://familialife.ca/permanent-life-insurance-quote-form/"/>
    <hyperlink ref="A41" r:id="rId37" display="https://familialife.ca/no-medical-life-insurance-quote-form/"/>
    <hyperlink ref="A42" r:id="rId38" display="https://familialife.ca/mortgage-protection-insurance-quote-form/"/>
    <hyperlink ref="A43" r:id="rId39" display="https://familialife.ca/privacy-policy/"/>
    <hyperlink ref="A44" r:id="rId40" display="https://familialife.ca/terms-and-condition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4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00"/>
  </cols>
  <sheetData>
    <row r="1" customFormat="false" ht="17.35" hidden="false" customHeight="false" outlineLevel="0" collapsed="false">
      <c r="A1" s="53" t="s">
        <v>912</v>
      </c>
    </row>
    <row r="2" customFormat="false" ht="15" hidden="false" customHeight="false" outlineLevel="0" collapsed="false">
      <c r="A2" s="59" t="s">
        <v>913</v>
      </c>
      <c r="B2" s="62" t="s">
        <v>914</v>
      </c>
    </row>
    <row r="3" customFormat="false" ht="15" hidden="false" customHeight="false" outlineLevel="0" collapsed="false">
      <c r="A3" s="59" t="s">
        <v>915</v>
      </c>
      <c r="B3" s="62" t="s">
        <v>916</v>
      </c>
    </row>
    <row r="4" customFormat="false" ht="15" hidden="false" customHeight="false" outlineLevel="0" collapsed="false">
      <c r="A4" s="59" t="s">
        <v>917</v>
      </c>
      <c r="B4" s="62" t="s">
        <v>918</v>
      </c>
    </row>
    <row r="5" customFormat="false" ht="15" hidden="false" customHeight="false" outlineLevel="0" collapsed="false">
      <c r="A5" s="59"/>
      <c r="B5" s="62"/>
    </row>
    <row r="6" customFormat="false" ht="15" hidden="false" customHeight="false" outlineLevel="0" collapsed="false">
      <c r="A6" s="59" t="s">
        <v>919</v>
      </c>
      <c r="B6" s="63" t="n">
        <v>1174</v>
      </c>
    </row>
    <row r="7" customFormat="false" ht="23.85" hidden="false" customHeight="false" outlineLevel="0" collapsed="false">
      <c r="A7" s="59"/>
      <c r="B7" s="62" t="s">
        <v>920</v>
      </c>
    </row>
    <row r="8" customFormat="false" ht="15" hidden="false" customHeight="false" outlineLevel="0" collapsed="false">
      <c r="A8" s="59" t="s">
        <v>921</v>
      </c>
      <c r="B8" s="62" t="s">
        <v>922</v>
      </c>
    </row>
    <row r="9" customFormat="false" ht="23.85" hidden="false" customHeight="false" outlineLevel="0" collapsed="false">
      <c r="A9" s="59" t="s">
        <v>923</v>
      </c>
      <c r="B9" s="62" t="s">
        <v>924</v>
      </c>
    </row>
    <row r="10" customFormat="false" ht="35.05" hidden="false" customHeight="false" outlineLevel="0" collapsed="false">
      <c r="A10" s="59" t="s">
        <v>925</v>
      </c>
      <c r="B10" s="62" t="s">
        <v>926</v>
      </c>
    </row>
    <row r="11" customFormat="false" ht="15" hidden="false" customHeight="false" outlineLevel="0" collapsed="false">
      <c r="A11" s="59" t="s">
        <v>927</v>
      </c>
      <c r="B11" s="62" t="s">
        <v>928</v>
      </c>
    </row>
    <row r="12" customFormat="false" ht="15" hidden="false" customHeight="false" outlineLevel="0" collapsed="false">
      <c r="A12" s="59" t="s">
        <v>929</v>
      </c>
      <c r="B12" s="62" t="s">
        <v>930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2026-10-14T14:49:23Z</dcterms:created>
  <dc:creator>openpyxl</dc:creator>
  <dc:description/>
  <dc:language>en-US</dc:language>
  <cp:lastModifiedBy/>
  <dcterms:modified xsi:type="dcterms:W3CDTF">2026-10-14T14:49:23Z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