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Keywords" sheetId="1" state="visible" r:id="rId3"/>
    <sheet name="2. Article &amp; Content Topics" sheetId="2" state="visible" r:id="rId4"/>
    <sheet name="3. SEO &amp; Article Guidelines" sheetId="3" state="visible" r:id="rId5"/>
  </sheets>
  <definedNames>
    <definedName function="false" hidden="true" localSheetId="0" name="_xlnm._FilterDatabase" vbProcedure="false">'1. Keywords'!$A$24:$P$406</definedName>
    <definedName function="false" hidden="true" localSheetId="1" name="_xlnm._FilterDatabase" vbProcedure="false">'2. Article &amp; Content Topics'!$A$23:$V$113</definedName>
    <definedName function="false" hidden="true" localSheetId="2" name="_xlnm._FilterDatabase" vbProcedure="false">'3. SEO &amp; Article Guidelines'!$A$14:$G$151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<sst xmlns="http://schemas.openxmlformats.org/spreadsheetml/2006/main" count="6189" uniqueCount="2184">
  <si>
    <t xml:space="preserve">TAB 1 — KEYWORDS</t>
  </si>
  <si>
    <t xml:space="preserve">Canadian mortgage-investment keyword database. Research conducted 29 September 2026. Investor-side terms only (capital going into mortgages), not borrower-side.</t>
  </si>
  <si>
    <t xml:space="preserve">HOW TO USE THIS TAB</t>
  </si>
  <si>
    <t xml:space="preserve">Column A holds the keyword. Columns B-F classify it. Columns G-H are for YOUR measured data. Columns I-J are the only judgement inputs; K-L calculate from them.</t>
  </si>
  <si>
    <t xml:space="preserve">COLUMNS G AND H ARE DELIBERATELY EMPTY. No openly published third-party measured search volume exists for these Canadian terms, so no volume figure has been invented.</t>
  </si>
  <si>
    <t xml:space="preserve">Pull your own volumes from Google Keyword Planner or Ahrefs with the geo set to Canada, paste them into column G, name the tool and date in column H, then re-rank using both G and K together.</t>
  </si>
  <si>
    <t xml:space="preserve">Columns I and J (blue text, 1-5) are INFERRED opportunity and competition. They are reasoned estimates, not measurements. Column N records the reasoning behind each one so you can audit or overrule it.</t>
  </si>
  <si>
    <t xml:space="preserve">Column K = (Opportunity x 2) - Competition. Column L converts that to a build sequence. Both are formulas; edit I or J and they update.</t>
  </si>
  <si>
    <t xml:space="preserve">Tier names describe SEQUENCING, not importance. A tier 3 head term like "what is a MIC" is still a mandatory pillar page; it simply takes longer to rank.</t>
  </si>
  <si>
    <t xml:space="preserve">Column N evidence shorthand: VERBATIM = the phrasing was observed on a live Canadian investor FAQ page or forum. GAP = investors ask it, few Canadian sites answer it well. SATURATED = many operators already cover it. BORROWER = the phrase attracts loan applicants, not investors. MARKET = supported by CMHC or regulator data (market sizing, not search volume). REG = regulatory term, low volume but high authority.</t>
  </si>
  <si>
    <t xml:space="preserve">Column P carries the build recommendation for geographic rows. Read it before commissioning any location page.</t>
  </si>
  <si>
    <t xml:space="preserve">SUMMARY (calculated — updates as you edit)</t>
  </si>
  <si>
    <t xml:space="preserve">Total keywords</t>
  </si>
  <si>
    <t xml:space="preserve">Conversational / AI-search queries</t>
  </si>
  <si>
    <t xml:space="preserve">Tier 1 — quick wins</t>
  </si>
  <si>
    <t xml:space="preserve">Tier 2 — build early</t>
  </si>
  <si>
    <t xml:space="preserve">Tier 3 — slower climb</t>
  </si>
  <si>
    <t xml:space="preserve">Tier 4 — monitor / do not build</t>
  </si>
  <si>
    <t xml:space="preserve">Geographic rows marked DO NOT build</t>
  </si>
  <si>
    <t xml:space="preserve">Rows with YOUR measured volume filled in</t>
  </si>
  <si>
    <t xml:space="preserve">Keyword</t>
  </si>
  <si>
    <t xml:space="preserve">Keyword type</t>
  </si>
  <si>
    <t xml:space="preserve">Cluster / theme</t>
  </si>
  <si>
    <t xml:space="preserve">Search intent</t>
  </si>
  <si>
    <t xml:space="preserve">Investor stage</t>
  </si>
  <si>
    <t xml:space="preserve">Geography scope</t>
  </si>
  <si>
    <t xml:space="preserve">Measured CA monthly volume (YOU fill)</t>
  </si>
  <si>
    <t xml:space="preserve">Volume source &amp; date (YOU fill)</t>
  </si>
  <si>
    <t xml:space="preserve">Inferred opportunity (1-5)</t>
  </si>
  <si>
    <t xml:space="preserve">Inferred competition (1-5)</t>
  </si>
  <si>
    <t xml:space="preserve">Inferred priority score</t>
  </si>
  <si>
    <t xml:space="preserve">Build sequence tier</t>
  </si>
  <si>
    <t xml:space="preserve">AI / answer-engine relevance</t>
  </si>
  <si>
    <t xml:space="preserve">Basis for the inference (evidence)</t>
  </si>
  <si>
    <t xml:space="preserve">Recommended target page</t>
  </si>
  <si>
    <t xml:space="preserve">Geographic build guidance</t>
  </si>
  <si>
    <t xml:space="preserve">mortgage investing</t>
  </si>
  <si>
    <t xml:space="preserve">Short-tail</t>
  </si>
  <si>
    <t xml:space="preserve">01 Core mortgage investing</t>
  </si>
  <si>
    <t xml:space="preserve">Informational</t>
  </si>
  <si>
    <t xml:space="preserve">Unaware</t>
  </si>
  <si>
    <t xml:space="preserve">Canada (national)</t>
  </si>
  <si>
    <t xml:space="preserve">High</t>
  </si>
  <si>
    <t xml:space="preserve">Head term for the whole site. SATURATED at the top but the definitional hub must own it.</t>
  </si>
  <si>
    <t xml:space="preserve">Pillar: What is mortgage investing</t>
  </si>
  <si>
    <t xml:space="preserve">invest in mortgages</t>
  </si>
  <si>
    <t xml:space="preserve">Head term. Verb-form variant of the above; same pillar.</t>
  </si>
  <si>
    <t xml:space="preserve">invest in mortgages Canada</t>
  </si>
  <si>
    <t xml:space="preserve">Medium-tail</t>
  </si>
  <si>
    <t xml:space="preserve">Educational</t>
  </si>
  <si>
    <t xml:space="preserve">Country qualifier is how Canadian investors disambiguate from US content. Core.</t>
  </si>
  <si>
    <t xml:space="preserve">mortgage investment Canada</t>
  </si>
  <si>
    <t xml:space="preserve">VERBATIM framing across operator titles.</t>
  </si>
  <si>
    <t xml:space="preserve">mortgage investments</t>
  </si>
  <si>
    <t xml:space="preserve">Medium</t>
  </si>
  <si>
    <t xml:space="preserve">Plural head term; consolidate into the pillar rather than a separate page.</t>
  </si>
  <si>
    <t xml:space="preserve">how to invest in mortgages</t>
  </si>
  <si>
    <t xml:space="preserve">Long-tail</t>
  </si>
  <si>
    <t xml:space="preserve">Problem-aware</t>
  </si>
  <si>
    <t xml:space="preserve">Process intent. Pairs with the how-to-invest step page.</t>
  </si>
  <si>
    <t xml:space="preserve">Guide: How to invest in mortgages</t>
  </si>
  <si>
    <t xml:space="preserve">mortgage investing for beginners</t>
  </si>
  <si>
    <t xml:space="preserve">GAP — Canadian beginner-framed content is thin; most operator copy assumes fluency.</t>
  </si>
  <si>
    <t xml:space="preserve">Guide: Beginner's guide</t>
  </si>
  <si>
    <t xml:space="preserve">mortgage investing explained</t>
  </si>
  <si>
    <t xml:space="preserve">Definitional long-tail; strong answer-engine candidate.</t>
  </si>
  <si>
    <t xml:space="preserve">mortgage investment opportunities</t>
  </si>
  <si>
    <t xml:space="preserve">Comparison</t>
  </si>
  <si>
    <t xml:space="preserve">Solution-aware</t>
  </si>
  <si>
    <t xml:space="preserve">Commercial-investigation head term; the money page.</t>
  </si>
  <si>
    <t xml:space="preserve">Opportunities / contact page</t>
  </si>
  <si>
    <t xml:space="preserve">mortgage investment opportunities Canada</t>
  </si>
  <si>
    <t xml:space="preserve">Geo-qualified commercial term.</t>
  </si>
  <si>
    <t xml:space="preserve">mortgage lending as an investment</t>
  </si>
  <si>
    <t xml:space="preserve">Reframing query; useful supporting angle.</t>
  </si>
  <si>
    <t xml:space="preserve">investing in real estate debt</t>
  </si>
  <si>
    <t xml:space="preserve">Institutional vocabulary; attracts a more sophisticated reader.</t>
  </si>
  <si>
    <t xml:space="preserve">Pillar: Real estate debt investing</t>
  </si>
  <si>
    <t xml:space="preserve">real estate debt investing Canada</t>
  </si>
  <si>
    <t xml:space="preserve">GAP — little Canadian retail-facing content uses this frame.</t>
  </si>
  <si>
    <t xml:space="preserve">real estate secured investments</t>
  </si>
  <si>
    <t xml:space="preserve">VERBATIM value-prop language: 'secured by real property' recurs across operators.</t>
  </si>
  <si>
    <t xml:space="preserve">mortgage backed investments Canada</t>
  </si>
  <si>
    <t xml:space="preserve">Caution: risks colliding with US MBS content. Disambiguate explicitly on-page.</t>
  </si>
  <si>
    <t xml:space="preserve">debt investing vs equity investing real estate</t>
  </si>
  <si>
    <t xml:space="preserve">VERBATIM — 'What is the difference between Private Equity &amp; Private Debt?' on a CA fund FAQ.</t>
  </si>
  <si>
    <t xml:space="preserve">Comparison: debt vs equity</t>
  </si>
  <si>
    <t xml:space="preserve">what is a mortgage investor</t>
  </si>
  <si>
    <t xml:space="preserve">Definitional; supports entity clarity for answer engines.</t>
  </si>
  <si>
    <t xml:space="preserve">mortgage investor Canada</t>
  </si>
  <si>
    <t xml:space="preserve">Role-framed head term.</t>
  </si>
  <si>
    <t xml:space="preserve">passive real estate investing Canada</t>
  </si>
  <si>
    <t xml:space="preserve">VERBATIM value prop: 'no property management' recurs across operators.</t>
  </si>
  <si>
    <t xml:space="preserve">Pillar: Passive income</t>
  </si>
  <si>
    <t xml:space="preserve">private mortgage investing</t>
  </si>
  <si>
    <t xml:space="preserve">02 Private mortgage investing</t>
  </si>
  <si>
    <t xml:space="preserve">Core category term; VERBATIM page titles on CA operator sites.</t>
  </si>
  <si>
    <t xml:space="preserve">Pillar: Private mortgage investing</t>
  </si>
  <si>
    <t xml:space="preserve">private mortgage investments</t>
  </si>
  <si>
    <t xml:space="preserve">VERBATIM — 'What is a private mortgage investment?' is a live FAQ heading.</t>
  </si>
  <si>
    <t xml:space="preserve">private mortgage investing Canada</t>
  </si>
  <si>
    <t xml:space="preserve">VERBATIM operator page title.</t>
  </si>
  <si>
    <t xml:space="preserve">how to invest in private mortgages</t>
  </si>
  <si>
    <t xml:space="preserve">High-intent process query; GAP on step-by-step Canadian treatment.</t>
  </si>
  <si>
    <t xml:space="preserve">Guide: How to invest in private mortgages</t>
  </si>
  <si>
    <t xml:space="preserve">private lending Canada</t>
  </si>
  <si>
    <t xml:space="preserve">BORROWER risk is moderate here; 'private lending' skews lender-side but check SERP.</t>
  </si>
  <si>
    <t xml:space="preserve">become a private mortgage lender</t>
  </si>
  <si>
    <t xml:space="preserve">Transactional / investment intent</t>
  </si>
  <si>
    <t xml:space="preserve">VERBATIM — 'How can I become a private lender/private investor?' on a CA education site.</t>
  </si>
  <si>
    <t xml:space="preserve">Guide: Becoming a private lender</t>
  </si>
  <si>
    <t xml:space="preserve">how to become a private lender in Canada</t>
  </si>
  <si>
    <t xml:space="preserve">Conversational / AI</t>
  </si>
  <si>
    <t xml:space="preserve">VERBATIM reader comment: 'My family and I would love to become private lenders... No idea how.'</t>
  </si>
  <si>
    <t xml:space="preserve">private lender vs bank mortgage investor view</t>
  </si>
  <si>
    <t xml:space="preserve">Supporting explainer; keep investor-framed to avoid borrower drift.</t>
  </si>
  <si>
    <t xml:space="preserve">private mortgage lender returns</t>
  </si>
  <si>
    <t xml:space="preserve">Income / cash-flow intent</t>
  </si>
  <si>
    <t xml:space="preserve">Evaluating</t>
  </si>
  <si>
    <t xml:space="preserve">VERBATIM page title: 'As A Private Mortgage Lender, What Types of Returns Can I Expect?'</t>
  </si>
  <si>
    <t xml:space="preserve">Guide: Returns and cash flow</t>
  </si>
  <si>
    <t xml:space="preserve">individual mortgage investing</t>
  </si>
  <si>
    <t xml:space="preserve">VERBATIM — 'What is the difference between MICs and individual mortgage investments?'</t>
  </si>
  <si>
    <t xml:space="preserve">Comparison: MIC vs direct</t>
  </si>
  <si>
    <t xml:space="preserve">direct mortgage investing</t>
  </si>
  <si>
    <t xml:space="preserve">Structural category term; pairs with the MIC-vs-direct comparison.</t>
  </si>
  <si>
    <t xml:space="preserve">fractional mortgage investing</t>
  </si>
  <si>
    <t xml:space="preserve">VERBATIM — 'How does fractional mortgage investing actually work?' on a CA personal-finance site.</t>
  </si>
  <si>
    <t xml:space="preserve">Guide: Fractional and syndicated</t>
  </si>
  <si>
    <t xml:space="preserve">whole mortgage investment</t>
  </si>
  <si>
    <t xml:space="preserve">Structural counterpart to fractional; define both on one page.</t>
  </si>
  <si>
    <t xml:space="preserve">arm's length mortgage investment</t>
  </si>
  <si>
    <t xml:space="preserve">Risk / due diligence</t>
  </si>
  <si>
    <t xml:space="preserve">REG — critical for registered-plan eligibility; GAP in plain-language coverage.</t>
  </si>
  <si>
    <t xml:space="preserve">Guide: Registered plans</t>
  </si>
  <si>
    <t xml:space="preserve">non-arm's length mortgage RRSP</t>
  </si>
  <si>
    <t xml:space="preserve">REG + GAP. Real compliance trap for self-directed plan holders.</t>
  </si>
  <si>
    <t xml:space="preserve">self-directed RRSP mortgage investment</t>
  </si>
  <si>
    <t xml:space="preserve">High-intent registered-plan query.</t>
  </si>
  <si>
    <t xml:space="preserve">private mortgage investment minimum</t>
  </si>
  <si>
    <t xml:space="preserve">VERBATIM across 5+ CA FAQs: 'Is there a minimum investment?'</t>
  </si>
  <si>
    <t xml:space="preserve">FAQ: Minimums and process</t>
  </si>
  <si>
    <t xml:space="preserve">mortgage investment corporation</t>
  </si>
  <si>
    <t xml:space="preserve">03 MICs and mortgage investment entities</t>
  </si>
  <si>
    <t xml:space="preserve">The single most-published term in the Canadian sector. SATURATED but mandatory.</t>
  </si>
  <si>
    <t xml:space="preserve">Pillar: What is a MIC</t>
  </si>
  <si>
    <t xml:space="preserve">MIC investment</t>
  </si>
  <si>
    <t xml:space="preserve">Acronym head term; investors search MIC, regulators say MIE.</t>
  </si>
  <si>
    <t xml:space="preserve">what is a MIC</t>
  </si>
  <si>
    <t xml:space="preserve">VERBATIM on 8+ Canadian sites verbatim as an FAQ/H1. SATURATED — win on depth and clarity.</t>
  </si>
  <si>
    <t xml:space="preserve">what is a mortgage investment corporation</t>
  </si>
  <si>
    <t xml:space="preserve">VERBATIM H1/FAQ on 8+ CA sites. SATURATED.</t>
  </si>
  <si>
    <t xml:space="preserve">mortgage investment corporation Canada</t>
  </si>
  <si>
    <t xml:space="preserve">VERBATIM operator page titles.</t>
  </si>
  <si>
    <t xml:space="preserve">how do MICs work</t>
  </si>
  <si>
    <t xml:space="preserve">VERBATIM FAQ on multiple CA operator sites.</t>
  </si>
  <si>
    <t xml:space="preserve">MIC investments Canada</t>
  </si>
  <si>
    <t xml:space="preserve">VERBATIM site tagline ('MIC Investing Canada').</t>
  </si>
  <si>
    <t xml:space="preserve">mortgage investment entity</t>
  </si>
  <si>
    <t xml:space="preserve">REG/MARKET — CMHC and the industry association use MIE, not MIC. Own this for data queries.</t>
  </si>
  <si>
    <t xml:space="preserve">Pillar: MIC vs MIE terminology</t>
  </si>
  <si>
    <t xml:space="preserve">what is an MIE</t>
  </si>
  <si>
    <t xml:space="preserve">VERBATIM nav item on the Ontario MIC association site. GAP — investors rarely see it explained.</t>
  </si>
  <si>
    <t xml:space="preserve">MIC vs MIE difference</t>
  </si>
  <si>
    <t xml:space="preserve">GAP — the terminology split between investor-facing and regulator-facing language is unexplained anywhere.</t>
  </si>
  <si>
    <t xml:space="preserve">MIC shares</t>
  </si>
  <si>
    <t xml:space="preserve">Structural term; preferred/common share mechanics.</t>
  </si>
  <si>
    <t xml:space="preserve">Guide: MIC share structure</t>
  </si>
  <si>
    <t xml:space="preserve">MIC preferred shares</t>
  </si>
  <si>
    <t xml:space="preserve">REG — s.130.1(6)(e) pari passu participation condition lives here.</t>
  </si>
  <si>
    <t xml:space="preserve">MIC Class A vs Class B shares</t>
  </si>
  <si>
    <t xml:space="preserve">GAP — share-class differences are material to yield and redemption but rarely explained.</t>
  </si>
  <si>
    <t xml:space="preserve">retractable shares MIC</t>
  </si>
  <si>
    <t xml:space="preserve">Existing investor</t>
  </si>
  <si>
    <t xml:space="preserve">VERBATIM — 'How do I retract my shares?' Canadian MICs say retraction where funds say redemption.</t>
  </si>
  <si>
    <t xml:space="preserve">Guide: Liquidity and redemption</t>
  </si>
  <si>
    <t xml:space="preserve">how to invest in a MIC</t>
  </si>
  <si>
    <t xml:space="preserve">Ready to invest</t>
  </si>
  <si>
    <t xml:space="preserve">VERBATIM — 'How do I invest in MICs?'</t>
  </si>
  <si>
    <t xml:space="preserve">Guide: How to invest in a MIC</t>
  </si>
  <si>
    <t xml:space="preserve">MIC minimum investment</t>
  </si>
  <si>
    <t xml:space="preserve">VERBATIM across 5+ CA FAQs.</t>
  </si>
  <si>
    <t xml:space="preserve">MIC 20 shareholder rule</t>
  </si>
  <si>
    <t xml:space="preserve">REG — ITA s.130.1(6)(d). GAP in plain-language treatment.</t>
  </si>
  <si>
    <t xml:space="preserve">Guide: MIC qualification rules</t>
  </si>
  <si>
    <t xml:space="preserve">MIC 25 percent shareholder limit</t>
  </si>
  <si>
    <t xml:space="preserve">REG — s.130.1(6)(d) via the specified-shareholder definition, class by class.</t>
  </si>
  <si>
    <t xml:space="preserve">section 130.1 Income Tax Act</t>
  </si>
  <si>
    <t xml:space="preserve">VERBATIM cited by 4+ CA operators. REG — the authority anchor for the whole category.</t>
  </si>
  <si>
    <t xml:space="preserve">MIC qualification requirements Canada</t>
  </si>
  <si>
    <t xml:space="preserve">REG — the nine conditions in s.130.1(6). GAP — no complete plain-language version exists.</t>
  </si>
  <si>
    <t xml:space="preserve">how many MICs are there in Canada</t>
  </si>
  <si>
    <t xml:space="preserve">MARKET — answerable from CMHC/industry data. Strong citable-statistic play.</t>
  </si>
  <si>
    <t xml:space="preserve">Data: Canadian MIC market</t>
  </si>
  <si>
    <t xml:space="preserve">MIC market size Canada</t>
  </si>
  <si>
    <t xml:space="preserve">VERBATIM FAQ ('What is the size of the MIC market?') + MARKET data available from CMHC.</t>
  </si>
  <si>
    <t xml:space="preserve">largest MICs in Canada</t>
  </si>
  <si>
    <t xml:space="preserve">One comparison site currently owns this. MARKET data exists to answer it properly.</t>
  </si>
  <si>
    <t xml:space="preserve">how to choose a MIC</t>
  </si>
  <si>
    <t xml:space="preserve">VERBATIM — 'What should I look for when selecting a MIC provider?' GAP on a real framework.</t>
  </si>
  <si>
    <t xml:space="preserve">Guide: How to evaluate a MIC</t>
  </si>
  <si>
    <t xml:space="preserve">MIC due diligence checklist</t>
  </si>
  <si>
    <t xml:space="preserve">GAP — only one Canadian site publishes anything like this. Highest-value ownable asset.</t>
  </si>
  <si>
    <t xml:space="preserve">Tool: MIC due-diligence checklist</t>
  </si>
  <si>
    <t xml:space="preserve">questions to ask before investing in a MIC</t>
  </si>
  <si>
    <t xml:space="preserve">VERBATIM article title observed. Strong answer-engine format.</t>
  </si>
  <si>
    <t xml:space="preserve">how to read a MIC offering memorandum</t>
  </si>
  <si>
    <t xml:space="preserve">GAP — nothing exists on interpreting an OM, ECL provisions or weighted-average LTV.</t>
  </si>
  <si>
    <t xml:space="preserve">Guide: Reading a MIC's financials</t>
  </si>
  <si>
    <t xml:space="preserve">how to read a MIC financial statement</t>
  </si>
  <si>
    <t xml:space="preserve">GAP — total absence of content on payout ratio, AFDA, renewal concentration.</t>
  </si>
  <si>
    <t xml:space="preserve">mortgage funds Canada</t>
  </si>
  <si>
    <t xml:space="preserve">04 Mortgage funds and structures</t>
  </si>
  <si>
    <t xml:space="preserve">Category term; distinct structure from a MIC.</t>
  </si>
  <si>
    <t xml:space="preserve">Pillar: Mortgage funds</t>
  </si>
  <si>
    <t xml:space="preserve">mortgage income fund</t>
  </si>
  <si>
    <t xml:space="preserve">VERBATIM — 'What is a mortgage income fund and how does it generate returns for investors?'</t>
  </si>
  <si>
    <t xml:space="preserve">mortgage fund vs MIC</t>
  </si>
  <si>
    <t xml:space="preserve">GAP — one FAQ line each across two sites; nothing dedicated.</t>
  </si>
  <si>
    <t xml:space="preserve">Comparison: structures</t>
  </si>
  <si>
    <t xml:space="preserve">mortgage investment structures Canada</t>
  </si>
  <si>
    <t xml:space="preserve">GAP — MIC vs fund vs LP vs trust vs syndicated has no dedicated treatment anywhere.</t>
  </si>
  <si>
    <t xml:space="preserve">syndicated mortgage investment</t>
  </si>
  <si>
    <t xml:space="preserve">REG-heavy and trust-sensitive after the pre-2018 failures. Handle carefully.</t>
  </si>
  <si>
    <t xml:space="preserve">Guide: Syndicated mortgages</t>
  </si>
  <si>
    <t xml:space="preserve">what is a syndicated mortgage</t>
  </si>
  <si>
    <t xml:space="preserve">REG — regulator-defined term; high citability.</t>
  </si>
  <si>
    <t xml:space="preserve">qualified syndicated mortgage</t>
  </si>
  <si>
    <t xml:space="preserve">Ontario</t>
  </si>
  <si>
    <t xml:space="preserve">REG — QSM is a defined Ontario regulatory term. Narrow but authoritative.</t>
  </si>
  <si>
    <t xml:space="preserve">Ontario-specific regulatory term</t>
  </si>
  <si>
    <t xml:space="preserve">non-qualified syndicated mortgage</t>
  </si>
  <si>
    <t xml:space="preserve">REG — NQSMI; oversight splits between the provincial regulator and the OSC by client type.</t>
  </si>
  <si>
    <t xml:space="preserve">syndicated mortgage risks</t>
  </si>
  <si>
    <t xml:space="preserve">Trust-critical. Investors remember the failures; addressing them directly builds credibility.</t>
  </si>
  <si>
    <t xml:space="preserve">MIC vs syndicated mortgage</t>
  </si>
  <si>
    <t xml:space="preserve">VERBATIM FAQ ('What is the key difference between a MIC and a syndicated loan?'). GAP.</t>
  </si>
  <si>
    <t xml:space="preserve">mortgage limited partnership Canada</t>
  </si>
  <si>
    <t xml:space="preserve">Thin. Cover inside the structures comparison rather than as its own page.</t>
  </si>
  <si>
    <t xml:space="preserve">mortgage trust investment Canada</t>
  </si>
  <si>
    <t xml:space="preserve">Thin; fold into structures comparison.</t>
  </si>
  <si>
    <t xml:space="preserve">pooled mortgage investment</t>
  </si>
  <si>
    <t xml:space="preserve">REG — s.130.1 requires a pooled vehicle; VERBATIM 'A MIC must be a pooled vehicle'.</t>
  </si>
  <si>
    <t xml:space="preserve">senior fund vs junior fund mortgage</t>
  </si>
  <si>
    <t xml:space="preserve">VERBATIM operator FAQ; niche but signals sophistication.</t>
  </si>
  <si>
    <t xml:space="preserve">exempt market mortgage investment</t>
  </si>
  <si>
    <t xml:space="preserve">VERBATIM — 'What is an exempt market security?' is a live FAQ.</t>
  </si>
  <si>
    <t xml:space="preserve">Guide: Exempt market basics</t>
  </si>
  <si>
    <t xml:space="preserve">exempt market dealer mortgage</t>
  </si>
  <si>
    <t xml:space="preserve">REG — the distribution channel for most MIC capital.</t>
  </si>
  <si>
    <t xml:space="preserve">first mortgage investments</t>
  </si>
  <si>
    <t xml:space="preserve">05 Position, priority and security</t>
  </si>
  <si>
    <t xml:space="preserve">GAP — investor-side first-vs-second content barely exists; investors think in positions.</t>
  </si>
  <si>
    <t xml:space="preserve">Guide: First vs second position</t>
  </si>
  <si>
    <t xml:space="preserve">second mortgage investments</t>
  </si>
  <si>
    <t xml:space="preserve">GAP — same. Yield premium for position is the hook.</t>
  </si>
  <si>
    <t xml:space="preserve">first mortgage vs second mortgage investing</t>
  </si>
  <si>
    <t xml:space="preserve">GAP — the strongest under-served comparison on the investor side.</t>
  </si>
  <si>
    <t xml:space="preserve">Comparison: first vs second</t>
  </si>
  <si>
    <t xml:space="preserve">first position mortgage investment</t>
  </si>
  <si>
    <t xml:space="preserve">Forum usage confirms 'first position / second position' is the investor's own vocabulary.</t>
  </si>
  <si>
    <t xml:space="preserve">second position mortgage investment</t>
  </si>
  <si>
    <t xml:space="preserve">As above.</t>
  </si>
  <si>
    <t xml:space="preserve">mortgage priority Canada</t>
  </si>
  <si>
    <t xml:space="preserve">REG/legal term; supports the security explainer.</t>
  </si>
  <si>
    <t xml:space="preserve">Guide: How mortgages are secured</t>
  </si>
  <si>
    <t xml:space="preserve">mortgage postponement agreement</t>
  </si>
  <si>
    <t xml:space="preserve">REG — confirmed Canadian usage. Narrow, for the legal-mechanics page.</t>
  </si>
  <si>
    <t xml:space="preserve">how is a mortgage investment secured</t>
  </si>
  <si>
    <t xml:space="preserve">VERBATIM — 'How is my investment secured?' Core trust question.</t>
  </si>
  <si>
    <t xml:space="preserve">registered charge against title</t>
  </si>
  <si>
    <t xml:space="preserve">Canadian register: 'Charge/Mortgage of Land'. Avoid UK 'first charge' phrasing in copy.</t>
  </si>
  <si>
    <t xml:space="preserve">title search mortgage investment</t>
  </si>
  <si>
    <t xml:space="preserve">Due-diligence step; part of the checklist cluster.</t>
  </si>
  <si>
    <t xml:space="preserve">Tool: Due-diligence checklist</t>
  </si>
  <si>
    <t xml:space="preserve">title insurance mortgage investor</t>
  </si>
  <si>
    <t xml:space="preserve">VERBATIM FAQ — 'Do your mortgages come with title insurance?'</t>
  </si>
  <si>
    <t xml:space="preserve">third mortgage investment risk</t>
  </si>
  <si>
    <t xml:space="preserve">Observed in operator portfolio descriptions; small but real.</t>
  </si>
  <si>
    <t xml:space="preserve">inter alia mortgage</t>
  </si>
  <si>
    <t xml:space="preserve">VERBATIM in CA operator portfolio copy ('1st, 2nd, and inter-alia mortgages'). Glossary item.</t>
  </si>
  <si>
    <t xml:space="preserve">Glossary</t>
  </si>
  <si>
    <t xml:space="preserve">residential mortgage investing</t>
  </si>
  <si>
    <t xml:space="preserve">06 Asset and loan types</t>
  </si>
  <si>
    <t xml:space="preserve">REG relevance: s.130.1(6)(f) 50% residential/cash test.</t>
  </si>
  <si>
    <t xml:space="preserve">Guide: Residential mortgage investing</t>
  </si>
  <si>
    <t xml:space="preserve">commercial mortgage investing Canada</t>
  </si>
  <si>
    <t xml:space="preserve">Distinct risk profile; warrants its own page.</t>
  </si>
  <si>
    <t xml:space="preserve">Guide: Commercial mortgage investing</t>
  </si>
  <si>
    <t xml:space="preserve">residential vs commercial mortgage investing</t>
  </si>
  <si>
    <t xml:space="preserve">GAP — no dedicated Canadian investor-side comparison found.</t>
  </si>
  <si>
    <t xml:space="preserve">Comparison: residential vs commercial</t>
  </si>
  <si>
    <t xml:space="preserve">construction mortgage investments</t>
  </si>
  <si>
    <t xml:space="preserve">GAP — investor-facing construction-risk education is effectively nonexistent. Ownable niche.</t>
  </si>
  <si>
    <t xml:space="preserve">Guide: Construction mortgage investing</t>
  </si>
  <si>
    <t xml:space="preserve">construction loan investment risk</t>
  </si>
  <si>
    <t xml:space="preserve">GAP — draw schedules, cost-to-complete, holdbacks, lien risk: no investor content exists.</t>
  </si>
  <si>
    <t xml:space="preserve">development financing investment Canada</t>
  </si>
  <si>
    <t xml:space="preserve">GAP; pairs with construction.</t>
  </si>
  <si>
    <t xml:space="preserve">Guide: Development financing</t>
  </si>
  <si>
    <t xml:space="preserve">bridge mortgage investing</t>
  </si>
  <si>
    <t xml:space="preserve">GAP on the investor side; short-duration appeal is a real hook.</t>
  </si>
  <si>
    <t xml:space="preserve">Guide: Bridge mortgage investing</t>
  </si>
  <si>
    <t xml:space="preserve">bridge financing investment returns</t>
  </si>
  <si>
    <t xml:space="preserve">Short-term/high-turnover angle; no rate figures to be published.</t>
  </si>
  <si>
    <t xml:space="preserve">land loan investment Canada</t>
  </si>
  <si>
    <t xml:space="preserve">Higher-risk niche; treat carefully and disclose plainly.</t>
  </si>
  <si>
    <t xml:space="preserve">home equity loan investment opportunity</t>
  </si>
  <si>
    <t xml:space="preserve">BORROWER risk is high on this phrase. Segment deliberately or skip.</t>
  </si>
  <si>
    <t xml:space="preserve">Guide: Second mortgage investing</t>
  </si>
  <si>
    <t xml:space="preserve">HELOC investment for investors</t>
  </si>
  <si>
    <t xml:space="preserve">Low</t>
  </si>
  <si>
    <t xml:space="preserve">BORROWER intent dominates. Not recommended as an investor target.</t>
  </si>
  <si>
    <t xml:space="preserve">—</t>
  </si>
  <si>
    <t xml:space="preserve">interest only mortgage investment</t>
  </si>
  <si>
    <t xml:space="preserve">Structural feature common in private mortgages; supports cash-flow explanation.</t>
  </si>
  <si>
    <t xml:space="preserve">multi-residential mortgage investing</t>
  </si>
  <si>
    <t xml:space="preserve">Segment page if the book supports it.</t>
  </si>
  <si>
    <t xml:space="preserve">mixed use property mortgage investment</t>
  </si>
  <si>
    <t xml:space="preserve">Thin; fold into commercial.</t>
  </si>
  <si>
    <t xml:space="preserve">rural property mortgage investment risk</t>
  </si>
  <si>
    <t xml:space="preserve">Marketability risk angle; genuinely under-covered.</t>
  </si>
  <si>
    <t xml:space="preserve">Guide: Property and marketability risk</t>
  </si>
  <si>
    <t xml:space="preserve">mortgage investment returns</t>
  </si>
  <si>
    <t xml:space="preserve">07 Returns, income and cash flow</t>
  </si>
  <si>
    <t xml:space="preserve">VERBATIM across many FAQs. NOTE: publish mechanics, not rate figures.</t>
  </si>
  <si>
    <t xml:space="preserve">mortgage investment income</t>
  </si>
  <si>
    <t xml:space="preserve">Core income intent.</t>
  </si>
  <si>
    <t xml:space="preserve">mortgage passive income</t>
  </si>
  <si>
    <t xml:space="preserve">VERBATIM value-prop language across operators; VERBATIM FAQ 'Could I use this as a Passive Income source?'</t>
  </si>
  <si>
    <t xml:space="preserve">passive income Canada mortgage</t>
  </si>
  <si>
    <t xml:space="preserve">High-volume adjacent intent; qualify the visitor on-page.</t>
  </si>
  <si>
    <t xml:space="preserve">mortgage cash flow investments</t>
  </si>
  <si>
    <t xml:space="preserve">Cash-flow framing.</t>
  </si>
  <si>
    <t xml:space="preserve">monthly income investments Canada</t>
  </si>
  <si>
    <t xml:space="preserve">VERBATIM operator promise: 'monthly distributions'. Strong acquisition term.</t>
  </si>
  <si>
    <t xml:space="preserve">Pillar: Monthly income investing</t>
  </si>
  <si>
    <t xml:space="preserve">monthly distribution investment Canada</t>
  </si>
  <si>
    <t xml:space="preserve">Mechanism-specific.</t>
  </si>
  <si>
    <t xml:space="preserve">how do mortgage investors make money</t>
  </si>
  <si>
    <t xml:space="preserve">VERBATIM FAQ variants ('How do I earn returns?', 'How do private mortgage lenders make money?').</t>
  </si>
  <si>
    <t xml:space="preserve">Guide: Where returns come from</t>
  </si>
  <si>
    <t xml:space="preserve">how is interest paid to a mortgage investor</t>
  </si>
  <si>
    <t xml:space="preserve">VERBATIM — 'How often are my interest payments paid out?'</t>
  </si>
  <si>
    <t xml:space="preserve">mortgage investment yield explained</t>
  </si>
  <si>
    <t xml:space="preserve">Distinguish gross, net and after-tax. GAP.</t>
  </si>
  <si>
    <t xml:space="preserve">Guide: Gross vs net vs after-tax</t>
  </si>
  <si>
    <t xml:space="preserve">net yield vs gross yield mortgage investment</t>
  </si>
  <si>
    <t xml:space="preserve">GAP — nobody itemises the stack from gross coupon to what lands in the investor's hand.</t>
  </si>
  <si>
    <t xml:space="preserve">after tax return mortgage investment Canada</t>
  </si>
  <si>
    <t xml:space="preserve">HIGHEST-VALUE GAP. One site does the math; none publishes a calculator.</t>
  </si>
  <si>
    <t xml:space="preserve">Tool: After-tax yield calculator</t>
  </si>
  <si>
    <t xml:space="preserve">mortgage investment compound interest</t>
  </si>
  <si>
    <t xml:space="preserve">VERBATIM — 'How do I benefit from compound interest?'</t>
  </si>
  <si>
    <t xml:space="preserve">Tool: DRIP compounding calculator</t>
  </si>
  <si>
    <t xml:space="preserve">dividend reinvestment plan MIC</t>
  </si>
  <si>
    <t xml:space="preserve">VERBATIM — DRIP appears under three different expansions across CA sites. Clarify all three.</t>
  </si>
  <si>
    <t xml:space="preserve">simple vs compound return mortgage investing</t>
  </si>
  <si>
    <t xml:space="preserve">GAP; pairs with the DRIP calculator.</t>
  </si>
  <si>
    <t xml:space="preserve">annualized return mortgage investment</t>
  </si>
  <si>
    <t xml:space="preserve">Methodology explainer; supports honest performance presentation.</t>
  </si>
  <si>
    <t xml:space="preserve">mortgage investment fees Canada</t>
  </si>
  <si>
    <t xml:space="preserve">GAP — nobody itemises management + admin + lender + dealer fees into one all-in number.</t>
  </si>
  <si>
    <t xml:space="preserve">Guide: Fee stack, itemised</t>
  </si>
  <si>
    <t xml:space="preserve">MIC management fee</t>
  </si>
  <si>
    <t xml:space="preserve">VERBATIM FAQ — 'What is the industry average cost for the management of a mortgage investment pool?'</t>
  </si>
  <si>
    <t xml:space="preserve">mortgage administration fee investor</t>
  </si>
  <si>
    <t xml:space="preserve">VERBATIM — live phrasing is 'administration charge', not 'administration fee'.</t>
  </si>
  <si>
    <t xml:space="preserve">lender fee mortgage investment</t>
  </si>
  <si>
    <t xml:space="preserve">Who keeps the lender fee is a real investor question.</t>
  </si>
  <si>
    <t xml:space="preserve">mortgage investment term length</t>
  </si>
  <si>
    <t xml:space="preserve">VERBATIM — 'How long is the term of my mortgage investment?'</t>
  </si>
  <si>
    <t xml:space="preserve">Guide: Terms, renewals and exits</t>
  </si>
  <si>
    <t xml:space="preserve">mortgage renewal investor impact</t>
  </si>
  <si>
    <t xml:space="preserve">Renewal risk; GAP.</t>
  </si>
  <si>
    <t xml:space="preserve">early repayment mortgage investment</t>
  </si>
  <si>
    <t xml:space="preserve">Reinvestment risk angle.</t>
  </si>
  <si>
    <t xml:space="preserve">mortgage discharge investor</t>
  </si>
  <si>
    <t xml:space="preserve">Process mechanics at exit.</t>
  </si>
  <si>
    <t xml:space="preserve">reinvestment risk mortgage investing</t>
  </si>
  <si>
    <t xml:space="preserve">GAP — short terms mean reinvestment risk is structural, and it is rarely named.</t>
  </si>
  <si>
    <t xml:space="preserve">capital preservation mortgage investment</t>
  </si>
  <si>
    <t xml:space="preserve">VERBATIM operator value-prop. Must be paired with loss-of-principal disclosure.</t>
  </si>
  <si>
    <t xml:space="preserve">Guide: Capital preservation and loss</t>
  </si>
  <si>
    <t xml:space="preserve">how are MIC dividends taxed</t>
  </si>
  <si>
    <t xml:space="preserve">08 Tax and registered plans</t>
  </si>
  <si>
    <t xml:space="preserve">VERBATIM across 5+ CA FAQs ('How am I taxed?', 'How are distributions taxed?').</t>
  </si>
  <si>
    <t xml:space="preserve">Pillar: Tax treatment</t>
  </si>
  <si>
    <t xml:space="preserve">MIC dividends taxed as interest income</t>
  </si>
  <si>
    <t xml:space="preserve">VERBATIM FAQ — 'Why are MIC dividends reported as interest income on my T5?' REG: ITA s.130.1(2).</t>
  </si>
  <si>
    <t xml:space="preserve">mortgage investment tax treatment Canada</t>
  </si>
  <si>
    <t xml:space="preserve">Core tax intent; the most-asked topic after returns.</t>
  </si>
  <si>
    <t xml:space="preserve">MIC T5 slip</t>
  </si>
  <si>
    <t xml:space="preserve">Verify slip mechanics with a tax source before publishing specifics.</t>
  </si>
  <si>
    <t xml:space="preserve">capital gains dividend MIC</t>
  </si>
  <si>
    <t xml:space="preserve">REG — s.130.1(4) election. Precise and citable.</t>
  </si>
  <si>
    <t xml:space="preserve">is a MIC RRSP eligible</t>
  </si>
  <si>
    <t xml:space="preserve">VERBATIM across 7+ CA FAQs. Extremely high intent.</t>
  </si>
  <si>
    <t xml:space="preserve">Pillar: Registered plans</t>
  </si>
  <si>
    <t xml:space="preserve">is a MIC TFSA eligible</t>
  </si>
  <si>
    <t xml:space="preserve">VERBATIM across many CA FAQs.</t>
  </si>
  <si>
    <t xml:space="preserve">can I hold a mortgage in my RRSP</t>
  </si>
  <si>
    <t xml:space="preserve">VERBATIM FAQ — 'Can I hold a private mortgage in my RRSP or TFSA?'</t>
  </si>
  <si>
    <t xml:space="preserve">mortgage investment RRSP TFSA RRIF eligible</t>
  </si>
  <si>
    <t xml:space="preserve">VERBATIM — one operator lists RRSP, RRIF, RESP, LIRA, LIF, TFSA, FHSA in a single FAQ.</t>
  </si>
  <si>
    <t xml:space="preserve">prohibited investment RRSP mortgage</t>
  </si>
  <si>
    <t xml:space="preserve">CRITICAL GAP — sites say 'RRSP eligible' and stop. The 10% significant-interest trap is unexplained.</t>
  </si>
  <si>
    <t xml:space="preserve">Guide: Registered-plan traps</t>
  </si>
  <si>
    <t xml:space="preserve">significant interest 10 percent rule registered plan</t>
  </si>
  <si>
    <t xml:space="preserve">REG — ITA s.207.01(1); 50% + 100% taxes. Genuinely ownable and genuinely useful.</t>
  </si>
  <si>
    <t xml:space="preserve">qualified investment mortgage investment corporation</t>
  </si>
  <si>
    <t xml:space="preserve">REG — Income Tax Regulations 4900(1)(c) and the connected-person condition.</t>
  </si>
  <si>
    <t xml:space="preserve">RRSP mortgage investment rules Canada</t>
  </si>
  <si>
    <t xml:space="preserve">Consolidated registered-plan hub term.</t>
  </si>
  <si>
    <t xml:space="preserve">FHSA mortgage investment</t>
  </si>
  <si>
    <t xml:space="preserve">Newer plan type; observed in one operator's eligibility list.</t>
  </si>
  <si>
    <t xml:space="preserve">corporate investment mortgage Canada</t>
  </si>
  <si>
    <t xml:space="preserve">GAP — corporate/holdco investing is under-served relative to demand.</t>
  </si>
  <si>
    <t xml:space="preserve">Guide: Corporate and holdco investors</t>
  </si>
  <si>
    <t xml:space="preserve">holding company mortgage investment</t>
  </si>
  <si>
    <t xml:space="preserve">GAP; pairs with the above.</t>
  </si>
  <si>
    <t xml:space="preserve">non-resident investing in Canadian MIC</t>
  </si>
  <si>
    <t xml:space="preserve">GAP — one law-firm blog covers the deemed-interest and Part XIII withholding mechanics.</t>
  </si>
  <si>
    <t xml:space="preserve">Guide: Non-resident investors</t>
  </si>
  <si>
    <t xml:space="preserve">withholding tax MIC non resident</t>
  </si>
  <si>
    <t xml:space="preserve">REG — verify the rate and treaty position with a tax source before publishing.</t>
  </si>
  <si>
    <t xml:space="preserve">retirement income mortgage investing Canada</t>
  </si>
  <si>
    <t xml:space="preserve">Investor-profile term; must avoid any suitability implication.</t>
  </si>
  <si>
    <t xml:space="preserve">Profile: Retirement income</t>
  </si>
  <si>
    <t xml:space="preserve">mortgage investment risks</t>
  </si>
  <si>
    <t xml:space="preserve">09 Risk</t>
  </si>
  <si>
    <t xml:space="preserve">VERBATIM — 'What risks are associated with investing in a MIC?' appears identically on multiple CA sites.</t>
  </si>
  <si>
    <t xml:space="preserve">Pillar: Risks</t>
  </si>
  <si>
    <t xml:space="preserve">risks of private mortgage investing</t>
  </si>
  <si>
    <t xml:space="preserve">VERBATIM page title on a CA site.</t>
  </si>
  <si>
    <t xml:space="preserve">what are the risks of investing in a MIC</t>
  </si>
  <si>
    <t xml:space="preserve">VERBATIM FAQ, multiple sites.</t>
  </si>
  <si>
    <t xml:space="preserve">is mortgage investing safe</t>
  </si>
  <si>
    <t xml:space="preserve">VERBATIM — 'How safe is my money with you?' and 'Are Mortgage Funds Safe for Canadian Investors?'</t>
  </si>
  <si>
    <t xml:space="preserve">are MIC investments guaranteed</t>
  </si>
  <si>
    <t xml:space="preserve">VERBATIM on 4+ CA sites. Answer must be an unambiguous no.</t>
  </si>
  <si>
    <t xml:space="preserve">is my principal guaranteed mortgage investment</t>
  </si>
  <si>
    <t xml:space="preserve">VERBATIM FAQ — 'Is my principal guaranteed?' Never answer this affirmatively.</t>
  </si>
  <si>
    <t xml:space="preserve">can you lose money investing in mortgages</t>
  </si>
  <si>
    <t xml:space="preserve">GAP — the honest version of this question is rarely answered directly. Trust-building.</t>
  </si>
  <si>
    <t xml:space="preserve">mortgage default risk investor</t>
  </si>
  <si>
    <t xml:space="preserve">VERBATIM — 'Why Default Risk Matters for Investors'.</t>
  </si>
  <si>
    <t xml:space="preserve">Guide: Default and recovery</t>
  </si>
  <si>
    <t xml:space="preserve">borrower default mortgage investment</t>
  </si>
  <si>
    <t xml:space="preserve">VERBATIM — 'What happens if the borrower defaults on the mortgage?' Among the most-asked.</t>
  </si>
  <si>
    <t xml:space="preserve">loan to value mortgage investing</t>
  </si>
  <si>
    <t xml:space="preserve">VERBATIM — LTV is ubiquitous across every CA operator site.</t>
  </si>
  <si>
    <t xml:space="preserve">Guide: LTV explained</t>
  </si>
  <si>
    <t xml:space="preserve">what is a good LTV for mortgage investing</t>
  </si>
  <si>
    <t xml:space="preserve">VERBATIM FAQ variants on LTV targets. GAP on how to judge one.</t>
  </si>
  <si>
    <t xml:space="preserve">how to calculate loan to value</t>
  </si>
  <si>
    <t xml:space="preserve">SATURATED generally, but a worked investor-side example with a second position earns the click.</t>
  </si>
  <si>
    <t xml:space="preserve">combined loan to value second mortgage</t>
  </si>
  <si>
    <t xml:space="preserve">GAP — LTV stacking across positions is the thing investors most often misread.</t>
  </si>
  <si>
    <t xml:space="preserve">weighted average LTV MIC</t>
  </si>
  <si>
    <t xml:space="preserve">VERBATIM portfolio metric; teach investors to interrogate it.</t>
  </si>
  <si>
    <t xml:space="preserve">borrower creditworthiness mortgage investment</t>
  </si>
  <si>
    <t xml:space="preserve">VERBATIM forum concern: 'how rigorous are they in verifying the borrower before they lend'.</t>
  </si>
  <si>
    <t xml:space="preserve">property appraisal mortgage investment</t>
  </si>
  <si>
    <t xml:space="preserve">REG relevance: NI 45-106 syndicated-mortgage appraisal requirements (as-is value).</t>
  </si>
  <si>
    <t xml:space="preserve">Guide: Appraisals for investors</t>
  </si>
  <si>
    <t xml:space="preserve">as is value vs as complete value appraisal</t>
  </si>
  <si>
    <t xml:space="preserve">REG + GAP — this distinction is exactly what the syndicated-mortgage reforms targeted.</t>
  </si>
  <si>
    <t xml:space="preserve">property marketability risk mortgage</t>
  </si>
  <si>
    <t xml:space="preserve">Under-covered; drives real recovery outcomes.</t>
  </si>
  <si>
    <t xml:space="preserve">liquidity risk mortgage investment</t>
  </si>
  <si>
    <t xml:space="preserve">GAP — 'liquidity mismatch' is named as a risk by operators but the mechanics are never explained.</t>
  </si>
  <si>
    <t xml:space="preserve">how liquid is a MIC investment</t>
  </si>
  <si>
    <t xml:space="preserve">VERBATIM FAQ + VERBATIM forum worry: 'how easy or quick is it to sell the shares?'</t>
  </si>
  <si>
    <t xml:space="preserve">MIC redemption restrictions</t>
  </si>
  <si>
    <t xml:space="preserve">GAP — redemption queues, gates and suspension rights are unexplained sector-wide.</t>
  </si>
  <si>
    <t xml:space="preserve">lock up period mortgage investment</t>
  </si>
  <si>
    <t xml:space="preserve">VERBATIM FAQ — 'Is there a lock-up period?'</t>
  </si>
  <si>
    <t xml:space="preserve">early redemption fee mortgage fund</t>
  </si>
  <si>
    <t xml:space="preserve">VERBATIM — the live term is 'early redemption fee', not the retired 'deferred sales charge'.</t>
  </si>
  <si>
    <t xml:space="preserve">interest rate risk mortgage investing</t>
  </si>
  <si>
    <t xml:space="preserve">Under-covered on the investor side.</t>
  </si>
  <si>
    <t xml:space="preserve">real estate market risk mortgage investment</t>
  </si>
  <si>
    <t xml:space="preserve">Property-value decline is the core collateral risk.</t>
  </si>
  <si>
    <t xml:space="preserve">borrower concentration risk MIC</t>
  </si>
  <si>
    <t xml:space="preserve">GAP — concentration is a real and rarely-disclosed exposure.</t>
  </si>
  <si>
    <t xml:space="preserve">Guide: Diversification for investors</t>
  </si>
  <si>
    <t xml:space="preserve">geographic concentration risk mortgage fund</t>
  </si>
  <si>
    <t xml:space="preserve">MARKET — CMHC has attributed MIE delinquency deterioration partly to concentrated exposure.</t>
  </si>
  <si>
    <t xml:space="preserve">mortgage investment diversification</t>
  </si>
  <si>
    <t xml:space="preserve">VERBATIM operator value-prop.</t>
  </si>
  <si>
    <t xml:space="preserve">MIC delinquency rate Canada</t>
  </si>
  <si>
    <t xml:space="preserve">MARKET — CMHC publishes MIE delinquency. Cite with the reporting period stated.</t>
  </si>
  <si>
    <t xml:space="preserve">loan loss reserve MIC</t>
  </si>
  <si>
    <t xml:space="preserve">VERBATIM FAQ — 'What percentage of capital do you allocate to a loss reserve?'</t>
  </si>
  <si>
    <t xml:space="preserve">expected credit loss mortgage fund IFRS 9</t>
  </si>
  <si>
    <t xml:space="preserve">Advanced; for the financial-statement literacy page.</t>
  </si>
  <si>
    <t xml:space="preserve">mortgage investment fraud prevention</t>
  </si>
  <si>
    <t xml:space="preserve">Trust-critical given sector history.</t>
  </si>
  <si>
    <t xml:space="preserve">Guide: Fraud red flags</t>
  </si>
  <si>
    <t xml:space="preserve">mortgage investment red flags</t>
  </si>
  <si>
    <t xml:space="preserve">GAP — strong, genuinely useful, and differentiating.</t>
  </si>
  <si>
    <t xml:space="preserve">is leverage used in a MIC</t>
  </si>
  <si>
    <t xml:space="preserve">VERBATIM FAQ — 'Is leverage utilized?' REG: s.130.1(6)(h)/(i) leverage limits.</t>
  </si>
  <si>
    <t xml:space="preserve">independent legal advice mortgage investment</t>
  </si>
  <si>
    <t xml:space="preserve">Good-practice step; supports the process page.</t>
  </si>
  <si>
    <t xml:space="preserve">Guide: How to invest step by step</t>
  </si>
  <si>
    <t xml:space="preserve">power of sale Canada investor</t>
  </si>
  <si>
    <t xml:space="preserve">10 Default, enforcement and recovery</t>
  </si>
  <si>
    <t xml:space="preserve">VERBATIM — 'What Does Power of Sale Mean?' and 'Power of Sale in Action: Protecting Investor Capital'.</t>
  </si>
  <si>
    <t xml:space="preserve">Guide: Power of sale</t>
  </si>
  <si>
    <t xml:space="preserve">ON, NB, NL, PEI</t>
  </si>
  <si>
    <t xml:space="preserve">what is power of sale</t>
  </si>
  <si>
    <t xml:space="preserve">VERBATIM FAQ. Note power of sale is NOT the route in BC, AB, SK, NS or QC.</t>
  </si>
  <si>
    <t xml:space="preserve">foreclosure process for mortgage investors</t>
  </si>
  <si>
    <t xml:space="preserve">MAJOR GAP — no site distinguishes provincial routes, timelines, costs or recovery rates.</t>
  </si>
  <si>
    <t xml:space="preserve">Pillar: Enforcement by province</t>
  </si>
  <si>
    <t xml:space="preserve">power of sale vs foreclosure Canada</t>
  </si>
  <si>
    <t xml:space="preserve">GAP + commonly stated wrong online. Correcting it is the value-add.</t>
  </si>
  <si>
    <t xml:space="preserve">judicial sale mortgage BC</t>
  </si>
  <si>
    <t xml:space="preserve">British Columbia</t>
  </si>
  <si>
    <t xml:space="preserve">BC is judicial — order nisi, redemption period, order absolute. Commonly misstated.</t>
  </si>
  <si>
    <t xml:space="preserve">Guide: Enforcement in BC</t>
  </si>
  <si>
    <t xml:space="preserve">BC-specific</t>
  </si>
  <si>
    <t xml:space="preserve">judicial sale Alberta mortgage investor</t>
  </si>
  <si>
    <t xml:space="preserve">Alberta</t>
  </si>
  <si>
    <t xml:space="preserve">AB is judicial-sale, and restricts recourse to an individual borrower's personal covenant.</t>
  </si>
  <si>
    <t xml:space="preserve">Guide: Enforcement in Alberta</t>
  </si>
  <si>
    <t xml:space="preserve">AB-specific</t>
  </si>
  <si>
    <t xml:space="preserve">mortgage enforcement Quebec hypothecary recourse</t>
  </si>
  <si>
    <t xml:space="preserve">Quebec</t>
  </si>
  <si>
    <t xml:space="preserve">QC does not fit the power-of-sale/judicial binary at all. Four CCQ recourses.</t>
  </si>
  <si>
    <t xml:space="preserve">Guide: Enforcement in Quebec</t>
  </si>
  <si>
    <t xml:space="preserve">QC-specific</t>
  </si>
  <si>
    <t xml:space="preserve">deficiency judgment mortgage Canada</t>
  </si>
  <si>
    <t xml:space="preserve">GAP — whether the deficiency survives varies by province and by remedy chosen.</t>
  </si>
  <si>
    <t xml:space="preserve">how long does power of sale take</t>
  </si>
  <si>
    <t xml:space="preserve">Timeline intent. Verify day-counts against the statute before publishing.</t>
  </si>
  <si>
    <t xml:space="preserve">ON-specific</t>
  </si>
  <si>
    <t xml:space="preserve">cost of enforcing a mortgage investment</t>
  </si>
  <si>
    <t xml:space="preserve">GAP — legal and enforcement costs erode recovery and are almost never quantified.</t>
  </si>
  <si>
    <t xml:space="preserve">what happens if a borrower stops paying</t>
  </si>
  <si>
    <t xml:space="preserve">VERBATIM FAQ variants across 4+ CA sites.</t>
  </si>
  <si>
    <t xml:space="preserve">mortgage arrears investor meaning</t>
  </si>
  <si>
    <t xml:space="preserve">VERBATIM — 'What Does Arrears Mean in an Investing Context?'</t>
  </si>
  <si>
    <t xml:space="preserve">do foreclosures affect MIC returns</t>
  </si>
  <si>
    <t xml:space="preserve">VERBATIM FAQ — 'Will the foreclosures affect the Rate or Return?'</t>
  </si>
  <si>
    <t xml:space="preserve">property insurance mortgage investor</t>
  </si>
  <si>
    <t xml:space="preserve">VERBATIM FAQ — 'What happens if the house I've invested in burns down?'</t>
  </si>
  <si>
    <t xml:space="preserve">exit strategy mortgage investment</t>
  </si>
  <si>
    <t xml:space="preserve">VERBATIM — 'What is the most important thing to consider in private lending? Exit Strategy.'</t>
  </si>
  <si>
    <t xml:space="preserve">mortgage investment regulations Canada</t>
  </si>
  <si>
    <t xml:space="preserve">11 Regulation and licensing</t>
  </si>
  <si>
    <t xml:space="preserve">REG hub term; brokering is provincial, securities are provincial, tax is federal.</t>
  </si>
  <si>
    <t xml:space="preserve">Pillar: Regulation by province</t>
  </si>
  <si>
    <t xml:space="preserve">how is the MIC market regulated</t>
  </si>
  <si>
    <t xml:space="preserve">VERBATIM FAQ.</t>
  </si>
  <si>
    <t xml:space="preserve">mortgage administrator licence Canada</t>
  </si>
  <si>
    <t xml:space="preserve">REG — a distinct licence class in ON, SK, NB and NS; not in AB, MB or NL.</t>
  </si>
  <si>
    <t xml:space="preserve">Guide: Mortgage administrators</t>
  </si>
  <si>
    <t xml:space="preserve">what is a mortgage administrator</t>
  </si>
  <si>
    <t xml:space="preserve">REG — GAP on why an administrator matters to an investor.</t>
  </si>
  <si>
    <t xml:space="preserve">accredited investor Canada</t>
  </si>
  <si>
    <t xml:space="preserve">VERBATIM FAQ — 'What is an accredited investor?' REG: NI 45-106 s.2.3.</t>
  </si>
  <si>
    <t xml:space="preserve">Guide: Investor eligibility</t>
  </si>
  <si>
    <t xml:space="preserve">am I an accredited investor Canada</t>
  </si>
  <si>
    <t xml:space="preserve">Self-qualification intent; high conversion value.</t>
  </si>
  <si>
    <t xml:space="preserve">eligible investor definition Canada</t>
  </si>
  <si>
    <t xml:space="preserve">REG — eligible investor is a DEFINED TERM in NI 45-106 s.1.1, not an exemption. Get this right.</t>
  </si>
  <si>
    <t xml:space="preserve">offering memorandum exemption mortgage</t>
  </si>
  <si>
    <t xml:space="preserve">REG — NI 45-106 s.2.9, with syndicated-mortgage appraisal requirements at ss.2.9(19.1)-(19.4).</t>
  </si>
  <si>
    <t xml:space="preserve">prospectus exemption mortgage investment</t>
  </si>
  <si>
    <t xml:space="preserve">REG — name the exemptions precisely: accredited investor, OM, minimum amount.</t>
  </si>
  <si>
    <t xml:space="preserve">do I need to be accredited to invest in a MIC</t>
  </si>
  <si>
    <t xml:space="preserve">VERBATIM FAQ. Very high intent, and the answer is genuinely nuanced.</t>
  </si>
  <si>
    <t xml:space="preserve">FSRA private mortgage investor</t>
  </si>
  <si>
    <t xml:space="preserve">REG — name the current Ontario regulator correctly; FSCO no longer exists.</t>
  </si>
  <si>
    <t xml:space="preserve">Guide: Regulation in Ontario</t>
  </si>
  <si>
    <t xml:space="preserve">mortgage investor disclosure form Ontario</t>
  </si>
  <si>
    <t xml:space="preserve">REG — Ontario prescribes investor/lender disclosure. Verify current form numbers.</t>
  </si>
  <si>
    <t xml:space="preserve">BC Mortgage Services Act investors</t>
  </si>
  <si>
    <t xml:space="preserve">URGENT — the MSA takes effect 13 Oct 2026 and makes lending and administering licensed activities in BC.</t>
  </si>
  <si>
    <t xml:space="preserve">Guide: Regulation in BC</t>
  </si>
  <si>
    <t xml:space="preserve">BC-specific; time-critical</t>
  </si>
  <si>
    <t xml:space="preserve">mortgage broker licensing by province</t>
  </si>
  <si>
    <t xml:space="preserve">GAP — a verified province-by-province table is genuinely citable.</t>
  </si>
  <si>
    <t xml:space="preserve">single regulator provinces mortgage securities</t>
  </si>
  <si>
    <t xml:space="preserve">QC, MB, SK and NB integrate mortgage and securities regulation; ON, BC, AB and NS split it.</t>
  </si>
  <si>
    <t xml:space="preserve">suitability determination mortgage investment</t>
  </si>
  <si>
    <t xml:space="preserve">REG — KYC/KYP/suitability. Frame as process, never as a suitability claim.</t>
  </si>
  <si>
    <t xml:space="preserve">MIC vs REIT</t>
  </si>
  <si>
    <t xml:space="preserve">12 Comparisons</t>
  </si>
  <si>
    <t xml:space="preserve">SATURATED — the most-published comparison in the sector by a wide margin. Mandatory anyway.</t>
  </si>
  <si>
    <t xml:space="preserve">Comparison: MIC vs REIT</t>
  </si>
  <si>
    <t xml:space="preserve">MIC vs REIT Canada</t>
  </si>
  <si>
    <t xml:space="preserve">SATURATED. Win on depth, tables and honesty about the trade-offs.</t>
  </si>
  <si>
    <t xml:space="preserve">mortgage investing vs GIC</t>
  </si>
  <si>
    <t xml:space="preserve">Strong. The deposit-insurance contrast is the recurring hook — and a compliance obligation.</t>
  </si>
  <si>
    <t xml:space="preserve">Comparison: vs GICs</t>
  </si>
  <si>
    <t xml:space="preserve">MIC vs GIC Canada</t>
  </si>
  <si>
    <t xml:space="preserve">VERBATIM — 'Is a MIC the same as a GIC?' and 'GICs vs. MICs'. Must state the CDIC position plainly.</t>
  </si>
  <si>
    <t xml:space="preserve">mortgage investing vs bonds</t>
  </si>
  <si>
    <t xml:space="preserve">BEST UNDER-SERVED COMPARISON — only one operator FAQ line addresses it anywhere.</t>
  </si>
  <si>
    <t xml:space="preserve">Comparison: vs bonds</t>
  </si>
  <si>
    <t xml:space="preserve">mortgage investing vs dividend stocks</t>
  </si>
  <si>
    <t xml:space="preserve">GAP — same; one FAQ line sector-wide.</t>
  </si>
  <si>
    <t xml:space="preserve">Comparison: vs dividend stocks</t>
  </si>
  <si>
    <t xml:space="preserve">MIC vs private lender</t>
  </si>
  <si>
    <t xml:space="preserve">VERBATIM article titles and FAQs; active vs passive is the framing operators use.</t>
  </si>
  <si>
    <t xml:space="preserve">MIC vs direct mortgage investing</t>
  </si>
  <si>
    <t xml:space="preserve">VERBATIM FAQ — 'How does a MIC differ from directly held mortgages?'</t>
  </si>
  <si>
    <t xml:space="preserve">mortgage investing vs rental property</t>
  </si>
  <si>
    <t xml:space="preserve">VERBATIM — 'Private Mortgage Investing vs Owning Real Estate'. Strong 'no tenants' hook.</t>
  </si>
  <si>
    <t xml:space="preserve">Comparison: vs rental property</t>
  </si>
  <si>
    <t xml:space="preserve">mortgage fund vs rental income</t>
  </si>
  <si>
    <t xml:space="preserve">VERBATIM — 'REITs, Rentals or Mortgage Funds?'</t>
  </si>
  <si>
    <t xml:space="preserve">mortgage investing vs high interest savings</t>
  </si>
  <si>
    <t xml:space="preserve">Natural competitor for cash-heavy investors. Deposit-insurance contrast is essential.</t>
  </si>
  <si>
    <t xml:space="preserve">MIC vs mutual fund</t>
  </si>
  <si>
    <t xml:space="preserve">VERBATIM FAQ but probably educational filler rather than acquisition.</t>
  </si>
  <si>
    <t xml:space="preserve">MIC vs bond ETF income</t>
  </si>
  <si>
    <t xml:space="preserve">GAP; modern framing of the fixed-income comparison.</t>
  </si>
  <si>
    <t xml:space="preserve">fixed rate vs variable rate mortgage investment</t>
  </si>
  <si>
    <t xml:space="preserve">alternative fixed income investments Canada</t>
  </si>
  <si>
    <t xml:space="preserve">Category-level entry point for the yield-seeking investor.</t>
  </si>
  <si>
    <t xml:space="preserve">Pillar: Alternative fixed income</t>
  </si>
  <si>
    <t xml:space="preserve">high yield investments Canada</t>
  </si>
  <si>
    <t xml:space="preserve">Broad and competitive; qualify hard on-page and never imply a guarantee.</t>
  </si>
  <si>
    <t xml:space="preserve">income producing investments Canada</t>
  </si>
  <si>
    <t xml:space="preserve">Category entry point.</t>
  </si>
  <si>
    <t xml:space="preserve">best alternative to GIC Canada</t>
  </si>
  <si>
    <t xml:space="preserve">Careful: 'best' framing invites comparative claims. Answer with trade-offs, not a winner.</t>
  </si>
  <si>
    <t xml:space="preserve">how to start investing in mortgages</t>
  </si>
  <si>
    <t xml:space="preserve">13 Process and mechanics</t>
  </si>
  <si>
    <t xml:space="preserve">Process intent; top-of-funnel to conversion bridge.</t>
  </si>
  <si>
    <t xml:space="preserve">mortgage investment process steps</t>
  </si>
  <si>
    <t xml:space="preserve">VERBATIM FAQ — 'What does the mortgage investment process look like?'</t>
  </si>
  <si>
    <t xml:space="preserve">subscription agreement mortgage investment</t>
  </si>
  <si>
    <t xml:space="preserve">REG — part of the OM package; demystify the paperwork.</t>
  </si>
  <si>
    <t xml:space="preserve">what documents do I need to invest in a MIC</t>
  </si>
  <si>
    <t xml:space="preserve">VERBATIM FAQ — 'What information do I need to get started?'</t>
  </si>
  <si>
    <t xml:space="preserve">how do I get paid mortgage investment</t>
  </si>
  <si>
    <t xml:space="preserve">VERBATIM FAQ — 'How do I get paid?'</t>
  </si>
  <si>
    <t xml:space="preserve">how do I get my money back mortgage investment</t>
  </si>
  <si>
    <t xml:space="preserve">VERBATIM FAQ — 'How do I get my money back?' Blunt, and deserves a blunt answer.</t>
  </si>
  <si>
    <t xml:space="preserve">can I choose which mortgage to invest in</t>
  </si>
  <si>
    <t xml:space="preserve">VERBATIM FAQ — the direct-vs-pooled control question, asked plainly.</t>
  </si>
  <si>
    <t xml:space="preserve">mortgage investment reporting to investors</t>
  </si>
  <si>
    <t xml:space="preserve">VERBATIM — 'What kind of reporting will I get?'</t>
  </si>
  <si>
    <t xml:space="preserve">Guide: What to expect as an investor</t>
  </si>
  <si>
    <t xml:space="preserve">who holds the mortgage on my behalf</t>
  </si>
  <si>
    <t xml:space="preserve">VERBATIM — 'What is a trustee and how do they work?' Trust mechanics; GAP.</t>
  </si>
  <si>
    <t xml:space="preserve">can I use my own lawyer mortgage investment</t>
  </si>
  <si>
    <t xml:space="preserve">how are mortgages underwritten for investors</t>
  </si>
  <si>
    <t xml:space="preserve">VERBATIM — 'How do you decide which mortgages to invest in?'</t>
  </si>
  <si>
    <t xml:space="preserve">Guide: Underwriting for investors</t>
  </si>
  <si>
    <t xml:space="preserve">mortgage investment glossary Canada</t>
  </si>
  <si>
    <t xml:space="preserve">GAP — no Canadian mortgage-investment glossary exists anywhere. Easy, durable, highly linkable.</t>
  </si>
  <si>
    <t xml:space="preserve">who should invest in mortgages</t>
  </si>
  <si>
    <t xml:space="preserve">14 Investor profiles</t>
  </si>
  <si>
    <t xml:space="preserve">VERBATIM — 'Who Should Consider a MIC?' Frame as who might consider, never as suitability.</t>
  </si>
  <si>
    <t xml:space="preserve">Guide: Who considers mortgage investing</t>
  </si>
  <si>
    <t xml:space="preserve">who can invest in a MIC</t>
  </si>
  <si>
    <t xml:space="preserve">VERBATIM across 4+ CA FAQs.</t>
  </si>
  <si>
    <t xml:space="preserve">mortgage investing for retirees Canada</t>
  </si>
  <si>
    <t xml:space="preserve">Profile page; strict no-suitability language required.</t>
  </si>
  <si>
    <t xml:space="preserve">short term mortgage investment Canada</t>
  </si>
  <si>
    <t xml:space="preserve">VERBATIM FAQ — 'Are MIC Funds a good option for short term investments?'</t>
  </si>
  <si>
    <t xml:space="preserve">Profile: Short-duration investors</t>
  </si>
  <si>
    <t xml:space="preserve">long term mortgage investment strategy</t>
  </si>
  <si>
    <t xml:space="preserve">Counterpart to the above; compounding angle.</t>
  </si>
  <si>
    <t xml:space="preserve">Profile: Long-horizon investors</t>
  </si>
  <si>
    <t xml:space="preserve">real estate exposure without owning property</t>
  </si>
  <si>
    <t xml:space="preserve">VERBATIM operator value-prop ('no property management'). Excellent acquisition angle.</t>
  </si>
  <si>
    <t xml:space="preserve">diversify portfolio with mortgage investments</t>
  </si>
  <si>
    <t xml:space="preserve">VERBATIM value-prop language.</t>
  </si>
  <si>
    <t xml:space="preserve">first time mortgage investor Canada</t>
  </si>
  <si>
    <t xml:space="preserve">VERBATIM article framing ('a first-timer's guide').</t>
  </si>
  <si>
    <t xml:space="preserve">sophisticated investor mortgage Canada</t>
  </si>
  <si>
    <t xml:space="preserve">Observed in one operator's eligibility list; check its regulatory accuracy before using.</t>
  </si>
  <si>
    <t xml:space="preserve">mortgage investing Ontario</t>
  </si>
  <si>
    <t xml:space="preserve">15 Geographic — province</t>
  </si>
  <si>
    <t xml:space="preserve">MARKET — Ontario is the deepest private-lending market by volume and lender count; operator geo pages confirm the pattern.</t>
  </si>
  <si>
    <t xml:space="preserve">Province hub: Ontario</t>
  </si>
  <si>
    <t xml:space="preserve">Build — priority province page</t>
  </si>
  <si>
    <t xml:space="preserve">private mortgage investing Ontario</t>
  </si>
  <si>
    <t xml:space="preserve">VERBATIM operator H2 ('Ontario Investors').</t>
  </si>
  <si>
    <t xml:space="preserve">mortgage investment corporation Ontario</t>
  </si>
  <si>
    <t xml:space="preserve">Strongest province + category pairing.</t>
  </si>
  <si>
    <t xml:space="preserve">mortgage investment opportunities Ontario</t>
  </si>
  <si>
    <t xml:space="preserve">Commercial geo term.</t>
  </si>
  <si>
    <t xml:space="preserve">invest in mortgages Ontario</t>
  </si>
  <si>
    <t xml:space="preserve">Verb-form geo variant.</t>
  </si>
  <si>
    <t xml:space="preserve">mortgage investing British Columbia</t>
  </si>
  <si>
    <t xml:space="preserve">MARKET — BC is the clear second market by MIC asset concentration.</t>
  </si>
  <si>
    <t xml:space="preserve">Province hub: BC</t>
  </si>
  <si>
    <t xml:space="preserve">private lending BC</t>
  </si>
  <si>
    <t xml:space="preserve">VERBATIM operator phrasing. Watch for borrower drift.</t>
  </si>
  <si>
    <t xml:space="preserve">mortgage investment corporation BC</t>
  </si>
  <si>
    <t xml:space="preserve">invest in mortgages BC</t>
  </si>
  <si>
    <t xml:space="preserve">Include the MSA commencement note dated 13 Oct 2026.</t>
  </si>
  <si>
    <t xml:space="preserve">mortgage investing Alberta</t>
  </si>
  <si>
    <t xml:space="preserve">Real third market; several operators market BC and AB together.</t>
  </si>
  <si>
    <t xml:space="preserve">Province hub: Alberta</t>
  </si>
  <si>
    <t xml:space="preserve">Build — secondary province page</t>
  </si>
  <si>
    <t xml:space="preserve">invest in mortgages Alberta</t>
  </si>
  <si>
    <t xml:space="preserve">Judicial-sale and personal-covenant differences are the distinctive content.</t>
  </si>
  <si>
    <t xml:space="preserve">mortgage investment corporation Alberta</t>
  </si>
  <si>
    <t xml:space="preserve">Operator geo pattern confirms.</t>
  </si>
  <si>
    <t xml:space="preserve">private mortgage investing BC and Alberta</t>
  </si>
  <si>
    <t xml:space="preserve">BC + Alberta</t>
  </si>
  <si>
    <t xml:space="preserve">VERBATIM — multiple operators pair 'BC &amp; AB' in titles. Mirror the market's own phrasing.</t>
  </si>
  <si>
    <t xml:space="preserve">Province hub: BC + Alberta</t>
  </si>
  <si>
    <t xml:space="preserve">mortgage investing Quebec</t>
  </si>
  <si>
    <t xml:space="preserve">THIN — almost no English-language Quebec investor marketing found. Distinctive CCQ enforcement is the only real hook.</t>
  </si>
  <si>
    <t xml:space="preserve">Province page: Quebec</t>
  </si>
  <si>
    <t xml:space="preserve">One thin page at most</t>
  </si>
  <si>
    <t xml:space="preserve">mortgage investing Manitoba</t>
  </si>
  <si>
    <t xml:space="preserve">Manitoba</t>
  </si>
  <si>
    <t xml:space="preserve">THIN investor-side presence.</t>
  </si>
  <si>
    <t xml:space="preserve">Roll into a Prairie/other-provinces page</t>
  </si>
  <si>
    <t xml:space="preserve">mortgage investing Saskatchewan</t>
  </si>
  <si>
    <t xml:space="preserve">Saskatchewan</t>
  </si>
  <si>
    <t xml:space="preserve">THIN, but SK is the most debtor-protective province — a genuine risk-content hook.</t>
  </si>
  <si>
    <t xml:space="preserve">mortgage investing Nova Scotia</t>
  </si>
  <si>
    <t xml:space="preserve">Nova Scotia</t>
  </si>
  <si>
    <t xml:space="preserve">THINNEST — no MIC investor content found in Atlantic Canada.</t>
  </si>
  <si>
    <t xml:space="preserve">Roll into an Atlantic/other-provinces page</t>
  </si>
  <si>
    <t xml:space="preserve">Do NOT build a dedicated page</t>
  </si>
  <si>
    <t xml:space="preserve">mortgage investing New Brunswick</t>
  </si>
  <si>
    <t xml:space="preserve">New Brunswick</t>
  </si>
  <si>
    <t xml:space="preserve">THIN. NB is essentially power-of-sale-only, which is at least distinctive.</t>
  </si>
  <si>
    <t xml:space="preserve">mortgage investing Prince Edward Island</t>
  </si>
  <si>
    <t xml:space="preserve">PEI</t>
  </si>
  <si>
    <t xml:space="preserve">THIN. PEI appears to have no mortgage-broker licensing regime — verify before asserting.</t>
  </si>
  <si>
    <t xml:space="preserve">mortgage investing Newfoundland and Labrador</t>
  </si>
  <si>
    <t xml:space="preserve">NL</t>
  </si>
  <si>
    <t xml:space="preserve">THIN, but NL's statute was replaced 1 Apr 2025, so most existing content is stale. Accuracy hook.</t>
  </si>
  <si>
    <t xml:space="preserve">mortgage investing Toronto</t>
  </si>
  <si>
    <t xml:space="preserve">16 Geographic — region and city</t>
  </si>
  <si>
    <t xml:space="preserve">GTA</t>
  </si>
  <si>
    <t xml:space="preserve">MARKET — deepest operator concentration; a competitor runs a Toronto investor page under a province hub.</t>
  </si>
  <si>
    <t xml:space="preserve">Region page: GTA (under Ontario)</t>
  </si>
  <si>
    <t xml:space="preserve">Build as a region page, not a standalone city page</t>
  </si>
  <si>
    <t xml:space="preserve">mortgage investing GTA</t>
  </si>
  <si>
    <t xml:space="preserve">VERBATIM — operators use 'GTA' and 'Greater Toronto Area' in their own copy.</t>
  </si>
  <si>
    <t xml:space="preserve">Build</t>
  </si>
  <si>
    <t xml:space="preserve">private mortgage investment Greater Toronto Area</t>
  </si>
  <si>
    <t xml:space="preserve">VERBATIM operator phrasing.</t>
  </si>
  <si>
    <t xml:space="preserve">mortgage investing Ottawa</t>
  </si>
  <si>
    <t xml:space="preserve">Ottawa / NCR</t>
  </si>
  <si>
    <t xml:space="preserve">MODEST but real — 'National Capital Region' appears in operator copy; Ottawa-region MICs exist.</t>
  </si>
  <si>
    <t xml:space="preserve">Region section under Ontario</t>
  </si>
  <si>
    <t xml:space="preserve">One page, as a section of Ontario</t>
  </si>
  <si>
    <t xml:space="preserve">mortgage investing Vancouver</t>
  </si>
  <si>
    <t xml:space="preserve">Vancouver</t>
  </si>
  <si>
    <t xml:space="preserve">Fold into the BC hub rather than a standalone city page.</t>
  </si>
  <si>
    <t xml:space="preserve">Fold into BC hub</t>
  </si>
  <si>
    <t xml:space="preserve">Fold into BC</t>
  </si>
  <si>
    <t xml:space="preserve">mortgage investing Calgary</t>
  </si>
  <si>
    <t xml:space="preserve">Calgary</t>
  </si>
  <si>
    <t xml:space="preserve">Fold into the Alberta hub.</t>
  </si>
  <si>
    <t xml:space="preserve">Fold into Alberta hub</t>
  </si>
  <si>
    <t xml:space="preserve">Fold into Alberta</t>
  </si>
  <si>
    <t xml:space="preserve">mortgage investing Edmonton</t>
  </si>
  <si>
    <t xml:space="preserve">Edmonton</t>
  </si>
  <si>
    <t xml:space="preserve">Fold into Alberta.</t>
  </si>
  <si>
    <t xml:space="preserve">mortgage investing Victoria BC</t>
  </si>
  <si>
    <t xml:space="preserve">Victoria</t>
  </si>
  <si>
    <t xml:space="preserve">THIN as a search term despite operator presence on the Island.</t>
  </si>
  <si>
    <t xml:space="preserve">mortgage investing Montreal</t>
  </si>
  <si>
    <t xml:space="preserve">Montreal</t>
  </si>
  <si>
    <t xml:space="preserve">THIN in English.</t>
  </si>
  <si>
    <t xml:space="preserve">Fold into Quebec page</t>
  </si>
  <si>
    <t xml:space="preserve">Fold into Quebec</t>
  </si>
  <si>
    <t xml:space="preserve">mortgage investing Halifax</t>
  </si>
  <si>
    <t xml:space="preserve">Halifax</t>
  </si>
  <si>
    <t xml:space="preserve">THINNEST.</t>
  </si>
  <si>
    <t xml:space="preserve">private mortgage lender Toronto</t>
  </si>
  <si>
    <t xml:space="preserve">BORROWER — every city-level result observed is borrower-facing. Will attract loan applicants, not capital.</t>
  </si>
  <si>
    <t xml:space="preserve">Do NOT target for investors</t>
  </si>
  <si>
    <t xml:space="preserve">private mortgage lender Hamilton</t>
  </si>
  <si>
    <t xml:space="preserve">Hamilton</t>
  </si>
  <si>
    <t xml:space="preserve">BORROWER. No investor-side footprint observed.</t>
  </si>
  <si>
    <t xml:space="preserve">private mortgage lender London Ontario</t>
  </si>
  <si>
    <t xml:space="preserve">London ON</t>
  </si>
  <si>
    <t xml:space="preserve">BORROWER.</t>
  </si>
  <si>
    <t xml:space="preserve">private mortgage lender Kitchener Waterloo</t>
  </si>
  <si>
    <t xml:space="preserve">KW</t>
  </si>
  <si>
    <t xml:space="preserve">BORROWER — lender presence exists in KW but no investor search footprint observed.</t>
  </si>
  <si>
    <t xml:space="preserve">mortgage investing Prairies Canada</t>
  </si>
  <si>
    <t xml:space="preserve">Prairies</t>
  </si>
  <si>
    <t xml:space="preserve">Consolidation page for MB/SK rather than separate province pages.</t>
  </si>
  <si>
    <t xml:space="preserve">Other-provinces page</t>
  </si>
  <si>
    <t xml:space="preserve">mortgage investing Atlantic Canada</t>
  </si>
  <si>
    <t xml:space="preserve">Atlantic</t>
  </si>
  <si>
    <t xml:space="preserve">Consolidation page for NS/NB/PEI/NL.</t>
  </si>
  <si>
    <t xml:space="preserve">how do I invest in a MIC</t>
  </si>
  <si>
    <t xml:space="preserve">17 Conversational / AI-search</t>
  </si>
  <si>
    <t xml:space="preserve">VERBATIM or near-verbatim question observed on live Canadian investor FAQ pages / forums, 2026-09-29. Prime answer-engine target.</t>
  </si>
  <si>
    <t xml:space="preserve">how do I become a private mortgage lender in Canada</t>
  </si>
  <si>
    <t xml:space="preserve">how do I start investing in mortgages with a small amount</t>
  </si>
  <si>
    <t xml:space="preserve">how do I get paid on a mortgage investment</t>
  </si>
  <si>
    <t xml:space="preserve">how do I get my money out of a MIC</t>
  </si>
  <si>
    <t xml:space="preserve">how do I know if a MIC is well run</t>
  </si>
  <si>
    <t xml:space="preserve">how do I check that my mortgage investment actually closed</t>
  </si>
  <si>
    <t xml:space="preserve">how do I monitor my mortgage investment</t>
  </si>
  <si>
    <t xml:space="preserve">how do I transfer my RRSP to a mortgage investment</t>
  </si>
  <si>
    <t xml:space="preserve">how do I reinvest my mortgage investment distributions</t>
  </si>
  <si>
    <t xml:space="preserve">what is a mortgage investment corporation in Canada</t>
  </si>
  <si>
    <t xml:space="preserve">what is a private mortgage investment</t>
  </si>
  <si>
    <t xml:space="preserve">what is a mortgage income fund</t>
  </si>
  <si>
    <t xml:space="preserve">what is loan to value in mortgage investing</t>
  </si>
  <si>
    <t xml:space="preserve">what is an exempt market security</t>
  </si>
  <si>
    <t xml:space="preserve">what is an accredited investor in Canada</t>
  </si>
  <si>
    <t xml:space="preserve">what is a DRIP in a MIC</t>
  </si>
  <si>
    <t xml:space="preserve">what is the difference between a MIC and a syndicated mortgage</t>
  </si>
  <si>
    <t xml:space="preserve">what is the difference between a MIC and an individual mortgage investment</t>
  </si>
  <si>
    <t xml:space="preserve">what is a mortgage administrator and why does it matter to me</t>
  </si>
  <si>
    <t xml:space="preserve">what is a trustee in a mortgage investment</t>
  </si>
  <si>
    <t xml:space="preserve">what is the minimum investment for a MIC</t>
  </si>
  <si>
    <t xml:space="preserve">what is a realistic return on a private mortgage investment</t>
  </si>
  <si>
    <t xml:space="preserve">what is reinvestment risk in mortgage investing</t>
  </si>
  <si>
    <t xml:space="preserve">is investing in mortgages safe in Canada</t>
  </si>
  <si>
    <t xml:space="preserve">is my money safe in a mortgage investment corporation</t>
  </si>
  <si>
    <t xml:space="preserve">is a MIC guaranteed</t>
  </si>
  <si>
    <t xml:space="preserve">is a MIC CDIC insured</t>
  </si>
  <si>
    <t xml:space="preserve">is a MIC the same as a GIC</t>
  </si>
  <si>
    <t xml:space="preserve">is mortgage investing riskier than a bond fund</t>
  </si>
  <si>
    <t xml:space="preserve">is financing real estate as secure as owning it</t>
  </si>
  <si>
    <t xml:space="preserve">is a second mortgage investment too risky</t>
  </si>
  <si>
    <t xml:space="preserve">is private mortgage investing regulated in Canada</t>
  </si>
  <si>
    <t xml:space="preserve">what are the risks of investing in a mortgage investment corporation</t>
  </si>
  <si>
    <t xml:space="preserve">what are the risks of private mortgage investing</t>
  </si>
  <si>
    <t xml:space="preserve">what are the risks of a construction mortgage investment</t>
  </si>
  <si>
    <t xml:space="preserve">what are the risks of a second mortgage investment</t>
  </si>
  <si>
    <t xml:space="preserve">what happens to my money if the MIC fails</t>
  </si>
  <si>
    <t xml:space="preserve">what are the hidden fees in a MIC</t>
  </si>
  <si>
    <t xml:space="preserve">what is liquidity mismatch in a mortgage fund</t>
  </si>
  <si>
    <t xml:space="preserve">how much can I earn investing in mortgages</t>
  </si>
  <si>
    <t xml:space="preserve">how much money do I need to invest in mortgages</t>
  </si>
  <si>
    <t xml:space="preserve">how much do I need to start investing in a MIC</t>
  </si>
  <si>
    <t xml:space="preserve">how much of my portfolio should be in mortgage investments</t>
  </si>
  <si>
    <t xml:space="preserve">how much tax will I pay on MIC dividends</t>
  </si>
  <si>
    <t xml:space="preserve">how much does enforcement cost if a borrower defaults</t>
  </si>
  <si>
    <t xml:space="preserve">what happens if the borrower defaults on my mortgage investment</t>
  </si>
  <si>
    <t xml:space="preserve">what happens if the property is worth less than the mortgage</t>
  </si>
  <si>
    <t xml:space="preserve">what happens if the property burns down</t>
  </si>
  <si>
    <t xml:space="preserve">what happens if I need my money before the term ends</t>
  </si>
  <si>
    <t xml:space="preserve">what happens if the borrower does not renew</t>
  </si>
  <si>
    <t xml:space="preserve">what happens if there are foreclosures in the portfolio</t>
  </si>
  <si>
    <t xml:space="preserve">what happens if a MIC suspends redemptions</t>
  </si>
  <si>
    <t xml:space="preserve">what happens to a second mortgage in a power of sale</t>
  </si>
  <si>
    <t xml:space="preserve">which is better a MIC or a REIT</t>
  </si>
  <si>
    <t xml:space="preserve">which is better mortgage investing or a GIC</t>
  </si>
  <si>
    <t xml:space="preserve">which is better a MIC or a rental property</t>
  </si>
  <si>
    <t xml:space="preserve">which is better a first or second mortgage investment</t>
  </si>
  <si>
    <t xml:space="preserve">which is better a MIC or lending directly</t>
  </si>
  <si>
    <t xml:space="preserve">which is better a mortgage fund or a bond fund</t>
  </si>
  <si>
    <t xml:space="preserve">which is safer residential or commercial mortgage investing</t>
  </si>
  <si>
    <t xml:space="preserve">how does a MIC work</t>
  </si>
  <si>
    <t xml:space="preserve">how does private mortgage investing work in Canada</t>
  </si>
  <si>
    <t xml:space="preserve">how does a mortgage investment generate income</t>
  </si>
  <si>
    <t xml:space="preserve">how does power of sale work for an investor</t>
  </si>
  <si>
    <t xml:space="preserve">how does foreclosure work in British Columbia</t>
  </si>
  <si>
    <t xml:space="preserve">how does a MIC decide which mortgages to fund</t>
  </si>
  <si>
    <t xml:space="preserve">how does fractional mortgage investing work</t>
  </si>
  <si>
    <t xml:space="preserve">how does a MIC keep its tax status</t>
  </si>
  <si>
    <t xml:space="preserve">how does an appraisal protect a mortgage investor</t>
  </si>
  <si>
    <t xml:space="preserve">how does LTV protect my capital</t>
  </si>
  <si>
    <t xml:space="preserve">can I invest in mortgages through my RRSP</t>
  </si>
  <si>
    <t xml:space="preserve">can I invest in a MIC with my TFSA</t>
  </si>
  <si>
    <t xml:space="preserve">can I invest in mortgages through my corporation</t>
  </si>
  <si>
    <t xml:space="preserve">can I invest in Canadian mortgages if I live abroad</t>
  </si>
  <si>
    <t xml:space="preserve">can I invest in a MIC without being accredited</t>
  </si>
  <si>
    <t xml:space="preserve">can I choose the specific mortgage I invest in</t>
  </si>
  <si>
    <t xml:space="preserve">can I lose my whole investment in a mortgage</t>
  </si>
  <si>
    <t xml:space="preserve">can I sell my MIC shares early</t>
  </si>
  <si>
    <t xml:space="preserve">can I invest in mortgages with $10,000</t>
  </si>
  <si>
    <t xml:space="preserve">what should I look for when choosing a MIC</t>
  </si>
  <si>
    <t xml:space="preserve">what questions should I ask before investing in a MIC</t>
  </si>
  <si>
    <t xml:space="preserve">what should I check in a mortgage investment before I commit</t>
  </si>
  <si>
    <t xml:space="preserve">what are the warning signs of a bad mortgage investment</t>
  </si>
  <si>
    <t xml:space="preserve">what should I look for in a MIC's financial statements</t>
  </si>
  <si>
    <t xml:space="preserve">what should be in a mortgage investment offering memorandum</t>
  </si>
  <si>
    <t xml:space="preserve">what documents should I receive as a mortgage investor</t>
  </si>
  <si>
    <t xml:space="preserve">what oversight is there on a MIC</t>
  </si>
  <si>
    <t xml:space="preserve">Source note: keyword phrasings, industry terminology, competitor content patterns and geographic guidance were derived from live Canadian MIC, mortgage-fund and private-lender investor pages, Canadian investor forums, CMHC Residential Mortgage Industry Report data and provincial regulator reports, reviewed 29 September 2026. No third-party measured search-volume data was available; none has been estimated.</t>
  </si>
  <si>
    <t xml:space="preserve">TAB 2 — ARTICLE &amp; CONTENT TOPICS</t>
  </si>
  <si>
    <t xml:space="preserve">90 articles across the full Canadian mortgage-investor journey, each mapped to Tab 1 keywords. Research conducted 29 September 2026.</t>
  </si>
  <si>
    <t xml:space="preserve">One row per article. Columns D-F carry the keyword assignment, which must come from Tab 1 rather than being invented at the desk.</t>
  </si>
  <si>
    <t xml:space="preserve">Columns L and M are the internal-link plan and they work in both directions: when you publish an article, update the pages named in column M so they link to it.</t>
  </si>
  <si>
    <t xml:space="preserve">Columns O-T are the complete featured-image specification required by Tab 3 section G. Commission or generate images from these, not from the article title.</t>
  </si>
  <si>
    <t xml:space="preserve">Column V lists what must be verified against a primary source BEFORE the article is published. Several rows name provisions that research could not verify verbatim — those must be checked, not paraphrased.</t>
  </si>
  <si>
    <t xml:space="preserve">Column U lists the disclosures each article must carry. The codes expand in Tab 3 section H.</t>
  </si>
  <si>
    <t xml:space="preserve">Priority in column N: 1 = build first (pillar, high demand or an ownable gap), 2 = second wave, 3 = later.</t>
  </si>
  <si>
    <t xml:space="preserve">Journey stage in column B follows the eight-stage investor path: understanding, types, returns, comparisons, risk, rules, profiles and process, then tools and reference.</t>
  </si>
  <si>
    <t xml:space="preserve">SUMMARY (calculated)</t>
  </si>
  <si>
    <t xml:space="preserve">Total articles</t>
  </si>
  <si>
    <t xml:space="preserve">Priority 1 — build first</t>
  </si>
  <si>
    <t xml:space="preserve">Priority 2</t>
  </si>
  <si>
    <t xml:space="preserve">Priority 3</t>
  </si>
  <si>
    <t xml:space="preserve">Pillar pages</t>
  </si>
  <si>
    <t xml:space="preserve">Comparison articles</t>
  </si>
  <si>
    <t xml:space="preserve">Calculators / tools</t>
  </si>
  <si>
    <t xml:space="preserve">Total target words across the plan</t>
  </si>
  <si>
    <t xml:space="preserve">Article title</t>
  </si>
  <si>
    <t xml:space="preserve">Content pillar / journey stage</t>
  </si>
  <si>
    <t xml:space="preserve">Article type</t>
  </si>
  <si>
    <t xml:space="preserve">Primary keyword</t>
  </si>
  <si>
    <t xml:space="preserve">Secondary keywords</t>
  </si>
  <si>
    <t xml:space="preserve">Long-tail / question keyword</t>
  </si>
  <si>
    <t xml:space="preserve">Province / geographic relevance</t>
  </si>
  <si>
    <t xml:space="preserve">Geographic build note</t>
  </si>
  <si>
    <t xml:space="preserve">Target words</t>
  </si>
  <si>
    <t xml:space="preserve">Internal links — link TO</t>
  </si>
  <si>
    <t xml:space="preserve">Internal links — link FROM</t>
  </si>
  <si>
    <t xml:space="preserve">Priority</t>
  </si>
  <si>
    <t xml:space="preserve">Image concept</t>
  </si>
  <si>
    <t xml:space="preserve">Image subject, setting and elements</t>
  </si>
  <si>
    <t xml:space="preserve">Composition and aspect ratio</t>
  </si>
  <si>
    <t xml:space="preserve">Suggested alt text</t>
  </si>
  <si>
    <t xml:space="preserve">Suggested filename</t>
  </si>
  <si>
    <t xml:space="preserve">Image / intent rationale and prohibitions</t>
  </si>
  <si>
    <t xml:space="preserve">Compliance and required disclosures</t>
  </si>
  <si>
    <t xml:space="preserve">Sources to verify before publishing</t>
  </si>
  <si>
    <t xml:space="preserve">What Is Mortgage Investing in Canada?</t>
  </si>
  <si>
    <t xml:space="preserve">1 Understanding mortgage investing</t>
  </si>
  <si>
    <t xml:space="preserve">Pillar page</t>
  </si>
  <si>
    <t xml:space="preserve">invest in mortgages Canada; mortgage investment Canada; real estate debt investing</t>
  </si>
  <si>
    <t xml:space="preserve">what is mortgage investing</t>
  </si>
  <si>
    <t xml:space="preserve">How private mortgage investing works; Where returns come from; Risks of mortgage investing; Glossary</t>
  </si>
  <si>
    <t xml:space="preserve">Homepage; every S1 article; Investor hub</t>
  </si>
  <si>
    <t xml:space="preserve">The category defined from first principles: you are lending against Canadian real property, not buying it</t>
  </si>
  <si>
    <t xml:space="preserve">An ordinary Canadian residential street — brick semi or detached, mature trees, overcast daylight. Housing stock only, no signage, no people, no for-sale boards</t>
  </si>
  <si>
    <t xml:space="preserve">Eye-level, rule-of-thirds with the property right of centre, sky left for overlay. Aspect ratio 16:9.</t>
  </si>
  <si>
    <t xml:space="preserve">A Canadian street of brick semi-detached homes, the kind of property a private mortgage is secured against</t>
  </si>
  <si>
    <t xml:space="preserve">what-is-mortgage-investing-canada.jpg</t>
  </si>
  <si>
    <t xml:space="preserve">Grounds an abstract financial topic in the real collateral behind it, which is what the searcher is actually buying exposure to. Never: cash piles, gold coins, rising-arrow graphics, luxury cars or watches, handshake-over-skyline stock, guaranteed-return wording in any on-image text.</t>
  </si>
  <si>
    <t xml:space="preserve">No-guarantee statement; loss-of-principal risk; 'educational, not investment advice'; author and review date.</t>
  </si>
  <si>
    <t xml:space="preserve">CMHC Residential Mortgage Industry Report for market context; ITA s.130.1 for the MIC definition</t>
  </si>
  <si>
    <t xml:space="preserve">How Does Private Mortgage Investing Work?</t>
  </si>
  <si>
    <t xml:space="preserve">private mortgage investments; private lending Canada; how to invest in private mortgages</t>
  </si>
  <si>
    <t xml:space="preserve">First vs second position; How mortgages are secured; Default and recovery; How to invest step by step</t>
  </si>
  <si>
    <t xml:space="preserve">What is mortgage investing; Private mortgage investing hub</t>
  </si>
  <si>
    <t xml:space="preserve">The transaction traced end to end — application, underwriting, funding, registration, payments, discharge</t>
  </si>
  <si>
    <t xml:space="preserve">A Canadian mortgage commitment and registered charge on a plain desk, natural window light. Documents, reading glasses, a pen. No people, or hands only</t>
  </si>
  <si>
    <t xml:space="preserve">Flat lay, slight angle, shallow depth of field, generous negative space upper-left for title overlay. Aspect ratio 16:9.</t>
  </si>
  <si>
    <t xml:space="preserve">A mortgage commitment and registered charge on a desk, the paperwork behind a private mortgage investment</t>
  </si>
  <si>
    <t xml:space="preserve">how-private-mortgage-investing-works.jpg</t>
  </si>
  <si>
    <t xml:space="preserve">The reader's question is about paperwork and mechanics, so the image shows the actual instrument rather than an abstraction. Never: cash piles, gold coins, rising-arrow graphics, luxury cars or watches, handshake-over-skyline stock, guaranteed-return wording in any on-image text.</t>
  </si>
  <si>
    <t xml:space="preserve">Provincial land registry terminology; FSRA private-lending report for Ontario scale</t>
  </si>
  <si>
    <t xml:space="preserve">How Do Mortgage Investors Actually Make Money?</t>
  </si>
  <si>
    <t xml:space="preserve">Guide</t>
  </si>
  <si>
    <t xml:space="preserve">mortgage investment income; where returns come from; mortgage interest income</t>
  </si>
  <si>
    <t xml:space="preserve">Gross vs net vs after-tax yield; Fee stack itemised; Returns and cash flow</t>
  </si>
  <si>
    <t xml:space="preserve">What is mortgage investing; Passive income pillar</t>
  </si>
  <si>
    <t xml:space="preserve">The four sources of investor return — interest, lender fees, renewal fees, and where each one actually lands</t>
  </si>
  <si>
    <t xml:space="preserve">A worked calculation on paper or a plain spreadsheet on screen, no branding. Numbers, a pen, a simple calculator. No stock-chart imagery, no upward arrows</t>
  </si>
  <si>
    <t xml:space="preserve">Tight overhead on the working, one figure circled, high key, space top-left. Aspect ratio 16:9.</t>
  </si>
  <si>
    <t xml:space="preserve">A worked calculation on paper showing how interest on a mortgage investment is broken down</t>
  </si>
  <si>
    <t xml:space="preserve">how-mortgage-investors-make-money.jpg</t>
  </si>
  <si>
    <t xml:space="preserve">A calculation query deserves a picture of the calculation, and it signals the page will actually do the maths. Never: cash piles, gold coins, rising-arrow graphics, luxury cars or watches, handshake-over-skyline stock, guaranteed-return wording in any on-image text.</t>
  </si>
  <si>
    <t xml:space="preserve">No-guarantee statement; loss-of-principal risk; 'educational, not investment advice'; author and review date. Any return figure needs a stated period, source and a past-performance caveat. Publish mechanics, not rate promises.</t>
  </si>
  <si>
    <t xml:space="preserve">None required for mechanics; do not publish rate figures</t>
  </si>
  <si>
    <t xml:space="preserve">How Is Interest Paid to a Private Mortgage Investor?</t>
  </si>
  <si>
    <t xml:space="preserve">Explainer</t>
  </si>
  <si>
    <t xml:space="preserve">monthly distribution investment Canada; interest only mortgage investment</t>
  </si>
  <si>
    <t xml:space="preserve">how often are interest payments paid out</t>
  </si>
  <si>
    <t xml:space="preserve">Returns and cash flow; Liquidity and redemption; What to expect as an investor</t>
  </si>
  <si>
    <t xml:space="preserve">How private mortgage investing works</t>
  </si>
  <si>
    <t xml:space="preserve">Payment mechanics: interest-only servicing, monthly versus quarterly, who collects and remits</t>
  </si>
  <si>
    <t xml:space="preserve">A printed portfolio or fund report on a desk, one column annotated in pencil. Paper report, pencil, a plain mug. Hands only if any</t>
  </si>
  <si>
    <t xml:space="preserve">Overhead, tight on the annotated figures, one clear focal number, space at top for overlay. Aspect ratio 16:9.</t>
  </si>
  <si>
    <t xml:space="preserve">A fund distribution statement on a desk with the payment column annotated in pencil</t>
  </si>
  <si>
    <t xml:space="preserve">how-interest-is-paid-mortgage-investor.jpg</t>
  </si>
  <si>
    <t xml:space="preserve">The query is analytical, so the image should show the act of interrogating numbers, not celebrating them. Never: cash piles, gold coins, rising-arrow graphics, luxury cars or watches, handshake-over-skyline stock, guaranteed-return wording in any on-image text.</t>
  </si>
  <si>
    <t xml:space="preserve">Mortgage administrator role per provincial statute</t>
  </si>
  <si>
    <t xml:space="preserve">How Are Canadian Mortgages Secured Against Real Estate?</t>
  </si>
  <si>
    <t xml:space="preserve">registered charge against title; mortgage priority Canada; title search mortgage investment</t>
  </si>
  <si>
    <t xml:space="preserve">how is my investment secured</t>
  </si>
  <si>
    <t xml:space="preserve">First vs second position; Power of sale; Title insurance; Appraisals for investors</t>
  </si>
  <si>
    <t xml:space="preserve">What is mortgage investing; How private mortgage investing works</t>
  </si>
  <si>
    <t xml:space="preserve">Registration as the mechanism of security — what a charge on title does and does not give you</t>
  </si>
  <si>
    <t xml:space="preserve">A land registry office or law office interior, plain and institutional, daylight. Title documents, a registry printout, a plain clock. No gavels, no scales of justice</t>
  </si>
  <si>
    <t xml:space="preserve">Medium shot, symmetrical, cool neutral tones, space right for overlay. Aspect ratio 16:9.</t>
  </si>
  <si>
    <t xml:space="preserve">Title documents and a land registry printout on a desk in a law office</t>
  </si>
  <si>
    <t xml:space="preserve">how-canadian-mortgages-are-secured.jpg</t>
  </si>
  <si>
    <t xml:space="preserve">Enforcement and regulatory topics need institutional sobriety, not drama. Never: cash piles, gold coins, rising-arrow graphics, luxury cars or watches, handshake-over-skyline stock, guaranteed-return wording in any on-image text.</t>
  </si>
  <si>
    <t xml:space="preserve">Provincial land titles terminology; use 'Charge/Mortgage of Land' for Ontario, not UK 'first charge'</t>
  </si>
  <si>
    <t xml:space="preserve">A Beginner's Guide to Mortgage Investing in Canada</t>
  </si>
  <si>
    <t xml:space="preserve">first time mortgage investor Canada; mortgage investing explained</t>
  </si>
  <si>
    <t xml:space="preserve">What is mortgage investing; Minimums and process; Risks; Glossary; Due-diligence checklist</t>
  </si>
  <si>
    <t xml:space="preserve">Homepage; Investor hub</t>
  </si>
  <si>
    <t xml:space="preserve">The honest beginner's path: what you need to understand before you commit anything</t>
  </si>
  <si>
    <t xml:space="preserve">A single investor at a kitchen or home-office table reviewing a statement, early morning light. One person from behind or in three-quarter profile, a statement, a calculator. Face not the focus</t>
  </si>
  <si>
    <t xml:space="preserve">Over-the-shoulder, subject left, document legible but not readable, space right for overlay. Aspect ratio 4:3.</t>
  </si>
  <si>
    <t xml:space="preserve">A first-time investor at a kitchen table reviewing a mortgage investment statement</t>
  </si>
  <si>
    <t xml:space="preserve">mortgage-investing-beginners-guide-canada.jpg</t>
  </si>
  <si>
    <t xml:space="preserve">Places the reader in their own decision moment, which suits a personal-planning or suitability question. Never: cash piles, gold coins, rising-arrow graphics, luxury cars or watches, handshake-over-skyline stock, guaranteed-return wording in any on-image text.</t>
  </si>
  <si>
    <t xml:space="preserve">No-guarantee statement; loss-of-principal risk; 'educational, not investment advice'; author and review date. Beginner content carries a heightened duty not to understate risk.</t>
  </si>
  <si>
    <t xml:space="preserve">None; this is synthesis of the other verified pages</t>
  </si>
  <si>
    <t xml:space="preserve">Canadian Mortgage Investment Glossary: 120 Terms Defined</t>
  </si>
  <si>
    <t xml:space="preserve">mortgage investing terminology; LTV; power of sale; retraction; MIE</t>
  </si>
  <si>
    <t xml:space="preserve">what does arrears mean in an investing context</t>
  </si>
  <si>
    <t xml:space="preserve">Every pillar page; all guides</t>
  </si>
  <si>
    <t xml:space="preserve">All articles as a definitional reference</t>
  </si>
  <si>
    <t xml:space="preserve">A plain-language glossary of the actual vocabulary Canadian mortgage investors encounter, from LTV to retraction to NQSMI</t>
  </si>
  <si>
    <t xml:space="preserve">A printed glossary of mortgage investment terms on a desk with a pen</t>
  </si>
  <si>
    <t xml:space="preserve">canadian-mortgage-investment-glossary.jpg</t>
  </si>
  <si>
    <t xml:space="preserve">Each regulatory term verified against its statute or regulator page; GAP — no such glossary currently exists in Canada</t>
  </si>
  <si>
    <t xml:space="preserve">First Mortgage Investments Explained</t>
  </si>
  <si>
    <t xml:space="preserve">2 Investment types and structures</t>
  </si>
  <si>
    <t xml:space="preserve">first position mortgage investment; mortgage priority Canada</t>
  </si>
  <si>
    <t xml:space="preserve">what is a first position mortgage investment</t>
  </si>
  <si>
    <t xml:space="preserve">First vs second comparison; LTV explained; Power of sale; How mortgages are secured</t>
  </si>
  <si>
    <t xml:space="preserve">Investment types hub; What is mortgage investing</t>
  </si>
  <si>
    <t xml:space="preserve">What first position actually buys you: recovery order, LTV headroom, and the yield you give up for it</t>
  </si>
  <si>
    <t xml:space="preserve">A detached Canadian home representing property secured by a first mortgage</t>
  </si>
  <si>
    <t xml:space="preserve">first-mortgage-investments-explained.jpg</t>
  </si>
  <si>
    <t xml:space="preserve">Provincial priority rules</t>
  </si>
  <si>
    <t xml:space="preserve">Second Mortgage Investments: The Yield and the Trade-Off</t>
  </si>
  <si>
    <t xml:space="preserve">second position mortgage investment; combined loan to value second mortgage</t>
  </si>
  <si>
    <t xml:space="preserve">First vs second comparison; LTV explained; Default and recovery; Power of sale</t>
  </si>
  <si>
    <t xml:space="preserve">Investment types hub; First mortgage investments</t>
  </si>
  <si>
    <t xml:space="preserve">Why a second position pays more, and exactly what happens to it when the first enforces</t>
  </si>
  <si>
    <t xml:space="preserve">A Canadian residential property representing collateral behind a second mortgage investment</t>
  </si>
  <si>
    <t xml:space="preserve">second-mortgage-investments-canada.jpg</t>
  </si>
  <si>
    <t xml:space="preserve">No-guarantee statement; loss-of-principal risk; 'educational, not investment advice'; author and review date. Risk content must not be softened by a reassurance that undercuts it.</t>
  </si>
  <si>
    <t xml:space="preserve">Provincial enforcement order and deficiency treatment</t>
  </si>
  <si>
    <t xml:space="preserve">Residential Mortgage Investing in Canada</t>
  </si>
  <si>
    <t xml:space="preserve">residential vs commercial mortgage investing; housing collateral</t>
  </si>
  <si>
    <t xml:space="preserve">is residential mortgage investing safer</t>
  </si>
  <si>
    <t xml:space="preserve">Residential vs commercial; Property and marketability risk; MIC qualification rules</t>
  </si>
  <si>
    <t xml:space="preserve">Investment types hub</t>
  </si>
  <si>
    <t xml:space="preserve">The residential book: what the collateral is, why regulation treats it differently, how marketability varies</t>
  </si>
  <si>
    <t xml:space="preserve">Typical Canadian residential housing stock of the kind held as security in a residential mortgage portfolio</t>
  </si>
  <si>
    <t xml:space="preserve">residential-mortgage-investing-canada.jpg</t>
  </si>
  <si>
    <t xml:space="preserve">ITA s.130.1(6)(f) residential/cash test and the National Housing Act definitions it borrows</t>
  </si>
  <si>
    <t xml:space="preserve">Commercial Mortgage Investing in Canada</t>
  </si>
  <si>
    <t xml:space="preserve">multi-residential mortgage investing; mixed use property mortgage investment</t>
  </si>
  <si>
    <t xml:space="preserve">is commercial mortgage investing riskier than residential</t>
  </si>
  <si>
    <t xml:space="preserve">Residential vs commercial; Property and marketability risk; Underwriting for investors</t>
  </si>
  <si>
    <t xml:space="preserve">How commercial credit differs: tenant covenants, valuation method, longer marketing periods on enforcement</t>
  </si>
  <si>
    <t xml:space="preserve">A modest Canadian commercial or mixed-use building of the kind behind a commercial mortgage investment</t>
  </si>
  <si>
    <t xml:space="preserve">commercial-mortgage-investing-canada.jpg</t>
  </si>
  <si>
    <t xml:space="preserve">Appraisal methodology differences (income vs comparable)</t>
  </si>
  <si>
    <t xml:space="preserve">Construction Mortgage Investments: Draws, Holdbacks and Cost to Complete</t>
  </si>
  <si>
    <t xml:space="preserve">construction loan investment risk; development financing investment Canada</t>
  </si>
  <si>
    <t xml:space="preserve">Development financing; Property and marketability risk; Default and recovery; Due-diligence checklist</t>
  </si>
  <si>
    <t xml:space="preserve">Investment types hub; Risks pillar</t>
  </si>
  <si>
    <t xml:space="preserve">The stage-by-stage risk of lending into an unfinished building — draw schedules, cost-to-complete, lien holdbacks, and what happens if the builder stops</t>
  </si>
  <si>
    <t xml:space="preserve">A mid-construction Canadian low-rise or infill build, hoarding up, overcast day. Partially framed structure, site fencing, no workers identifiable, no branded equipment</t>
  </si>
  <si>
    <t xml:space="preserve">Wide establishing shot, structure filling the lower two-thirds, sky above for overlay. Aspect ratio 16:9.</t>
  </si>
  <si>
    <t xml:space="preserve">A partially framed low-rise construction site in Canada, representing a construction mortgage investment mid-build</t>
  </si>
  <si>
    <t xml:space="preserve">construction-mortgage-investment-risk.jpg</t>
  </si>
  <si>
    <t xml:space="preserve">Construction and development lending risk is physical and stage-dependent; the image should show an unfinished thing. Never: cash piles, gold coins, rising-arrow graphics, luxury cars or watches, handshake-over-skyline stock, guaranteed-return wording in any on-image text.</t>
  </si>
  <si>
    <t xml:space="preserve">Provincial construction lien legislation; GAP — investor-facing construction education is effectively absent in Canada</t>
  </si>
  <si>
    <t xml:space="preserve">Development Financing as an Investment: Land, Servicing and Entitlement Risk</t>
  </si>
  <si>
    <t xml:space="preserve">land loan investment Canada; project equity loans</t>
  </si>
  <si>
    <t xml:space="preserve">how risky is land development lending</t>
  </si>
  <si>
    <t xml:space="preserve">Construction mortgage investments; Property and marketability risk; Risks pillar</t>
  </si>
  <si>
    <t xml:space="preserve">Pre-construction risk: zoning, servicing, entitlement timelines, and why land is the hardest collateral to sell</t>
  </si>
  <si>
    <t xml:space="preserve">Undeveloped serviced land in a Canadian municipality awaiting construction</t>
  </si>
  <si>
    <t xml:space="preserve">development-financing-investment-risk.jpg</t>
  </si>
  <si>
    <t xml:space="preserve">Municipal entitlement process; provincial lien rules</t>
  </si>
  <si>
    <t xml:space="preserve">Bridge Mortgage Investments: Short Terms, Fast Turnover</t>
  </si>
  <si>
    <t xml:space="preserve">bridge financing investment returns; short term mortgage investment Canada</t>
  </si>
  <si>
    <t xml:space="preserve">how does a bridge mortgage investment work</t>
  </si>
  <si>
    <t xml:space="preserve">Terms renewals and exits; Reinvestment risk; Short-duration investor profile</t>
  </si>
  <si>
    <t xml:space="preserve">Short-duration lending and the reinvestment problem it creates — capital that keeps coming back looking for a home</t>
  </si>
  <si>
    <t xml:space="preserve">A short-term mortgage commitment document showing a term measured in months</t>
  </si>
  <si>
    <t xml:space="preserve">bridge-mortgage-investments-canada.jpg</t>
  </si>
  <si>
    <t xml:space="preserve">None for mechanics</t>
  </si>
  <si>
    <t xml:space="preserve">What Is a Mortgage Investment Corporation (MIC)?</t>
  </si>
  <si>
    <t xml:space="preserve">mortgage investment corporation; MIC investment; how do MICs work</t>
  </si>
  <si>
    <t xml:space="preserve">MIC qualification rules; MIC share structure; How to invest in a MIC; MIC vs direct; Tax treatment</t>
  </si>
  <si>
    <t xml:space="preserve">Homepage; Investor hub; every MIC article</t>
  </si>
  <si>
    <t xml:space="preserve">The structure explained properly: a pooled corporation that flows its mortgage income through to shareholders, and the nine tax conditions that keep it one</t>
  </si>
  <si>
    <t xml:space="preserve">A mortgage investment corporation portfolio report on a desk with the loan-to-value column annotated</t>
  </si>
  <si>
    <t xml:space="preserve">what-is-a-mortgage-investment-corporation.jpg</t>
  </si>
  <si>
    <t xml:space="preserve">ITA s.130.1(6) — paste the literal statutory text from Justice Laws; do not paraphrase</t>
  </si>
  <si>
    <t xml:space="preserve">The Nine Conditions a MIC Must Meet to Keep Its Tax Status</t>
  </si>
  <si>
    <t xml:space="preserve">section 130.1 Income Tax Act; MIC 20 shareholder rule; MIC 25 percent shareholder limit</t>
  </si>
  <si>
    <t xml:space="preserve">What is a MIC; Registered-plan traps; Tax treatment; Reading a MIC's financials</t>
  </si>
  <si>
    <t xml:space="preserve">What is a MIC</t>
  </si>
  <si>
    <t xml:space="preserve">Each condition in s.130.1(6) in plain language — and what happens to investors if one is breached</t>
  </si>
  <si>
    <t xml:space="preserve">The text of section 130.1 of the Income Tax Act printed and annotated</t>
  </si>
  <si>
    <t xml:space="preserve">mic-qualification-conditions-s130-1.jpg</t>
  </si>
  <si>
    <t xml:space="preserve">No-guarantee statement; loss-of-principal risk; 'educational, not investment advice'; author and review date. Tax content must be reviewed by a Canadian tax professional and carry a 'current as of' date. No-guarantee statement; loss-of-principal risk; 'educational, not investment advice'; author and review date. Regulatory claims verified against the primary statute/regulator page cited, with a 'current as of' date.</t>
  </si>
  <si>
    <t xml:space="preserve">ITA s.130.1(6) literal text from laws-lois.justice.gc.ca, including the paragraph (g) foreclosure carve-out</t>
  </si>
  <si>
    <t xml:space="preserve">MIC Share Structure: Preferred, Common and Multiple Classes</t>
  </si>
  <si>
    <t xml:space="preserve">MIC preferred shares; MIC Class A vs Class B shares; pari passu</t>
  </si>
  <si>
    <t xml:space="preserve">what is the difference between MIC share classes</t>
  </si>
  <si>
    <t xml:space="preserve">MIC qualification rules; Liquidity and redemption; Reading a MIC's financials</t>
  </si>
  <si>
    <t xml:space="preserve">Why share class changes your yield, your redemption rights and your ranking, and how to find out which class you are buying</t>
  </si>
  <si>
    <t xml:space="preserve">A MIC subscription agreement showing the share class being purchased</t>
  </si>
  <si>
    <t xml:space="preserve">mic-share-classes-explained.jpg</t>
  </si>
  <si>
    <t xml:space="preserve">ITA s.130.1(6)(e) pari passu participation condition</t>
  </si>
  <si>
    <t xml:space="preserve">MIC or MIE? Why the Industry and the Regulators Use Different Words</t>
  </si>
  <si>
    <t xml:space="preserve">what is an MIE; MIC vs MIE difference</t>
  </si>
  <si>
    <t xml:space="preserve">What is a MIC; Canadian MIC market data; Regulation by province</t>
  </si>
  <si>
    <t xml:space="preserve">What is a MIC; Data hub</t>
  </si>
  <si>
    <t xml:space="preserve">Investors search MIC; CMHC and the industry association report on MIEs. Same thing, two vocabularies, and it matters when you go looking for data</t>
  </si>
  <si>
    <t xml:space="preserve">A clean data visual on a matte background — Canadian provincial outlines, restrained palette. Original chart or map artwork only; no photographic elements, no flags</t>
  </si>
  <si>
    <t xml:space="preserve">Centred, wide margins, legible at 320px wide, AA contrast in light and dark. Aspect ratio 16:9.</t>
  </si>
  <si>
    <t xml:space="preserve">A chart comparing how Canadian regulators and investors name mortgage investment entities</t>
  </si>
  <si>
    <t xml:space="preserve">mic-vs-mie-terminology.jpg</t>
  </si>
  <si>
    <t xml:space="preserve">A geographic or statistical query is best answered by an original visual the reader can actually read. Never: cash piles, gold coins, rising-arrow graphics, luxury cars or watches, handshake-over-skyline stock, guaranteed-return wording in any on-image text.</t>
  </si>
  <si>
    <t xml:space="preserve">CMHC Residential Mortgage Industry Report terminology; provincial MIC association usage</t>
  </si>
  <si>
    <t xml:space="preserve">Mortgage Funds in Canada: How They Differ From a MIC</t>
  </si>
  <si>
    <t xml:space="preserve">mortgage income fund; pooled mortgage investment; senior fund vs junior fund</t>
  </si>
  <si>
    <t xml:space="preserve">Structures compared; What is a MIC; Liquidity and redemption</t>
  </si>
  <si>
    <t xml:space="preserve">Fund structures alongside the MIC — different tax path, different liquidity terms, different disclosure</t>
  </si>
  <si>
    <t xml:space="preserve">A mortgage income fund monthly report open on a desk</t>
  </si>
  <si>
    <t xml:space="preserve">mortgage-funds-canada-vs-mic.jpg</t>
  </si>
  <si>
    <t xml:space="preserve">NI 81-106 where applicable; fund structure vs corporation tax treatment</t>
  </si>
  <si>
    <t xml:space="preserve">Direct Mortgage Investing: Holding the Charge in Your Own Name</t>
  </si>
  <si>
    <t xml:space="preserve">individual mortgage investing; whole mortgage investment; arm's length mortgage investment</t>
  </si>
  <si>
    <t xml:space="preserve">MIC vs direct; Due-diligence checklist; Registered plans; Mortgage administrators</t>
  </si>
  <si>
    <t xml:space="preserve">What changes when the mortgage is registered in your name: control, concentration, and the work that becomes yours</t>
  </si>
  <si>
    <t xml:space="preserve">A registered charge document naming an individual investor as mortgagee</t>
  </si>
  <si>
    <t xml:space="preserve">direct-mortgage-investing-canada.jpg</t>
  </si>
  <si>
    <t xml:space="preserve">Provincial administrator licensing where a third party services the loan</t>
  </si>
  <si>
    <t xml:space="preserve">Fractional and Syndicated Mortgage Investments</t>
  </si>
  <si>
    <t xml:space="preserve">syndicated mortgage investment; what is a syndicated mortgage</t>
  </si>
  <si>
    <t xml:space="preserve">Syndicated mortgage rules; Structures compared; Risks pillar</t>
  </si>
  <si>
    <t xml:space="preserve">Several investors, one mortgage: how fractional interests work and why syndicated mortgages now sit under securities law</t>
  </si>
  <si>
    <t xml:space="preserve">A syndicated mortgage participation schedule listing multiple investor interests in one loan</t>
  </si>
  <si>
    <t xml:space="preserve">fractional-syndicated-mortgage-investing.jpg</t>
  </si>
  <si>
    <t xml:space="preserve">No-guarantee statement; loss-of-principal risk; 'educational, not investment advice'; author and review date. Regulatory claims verified against the primary statute/regulator page cited, with a 'current as of' date.</t>
  </si>
  <si>
    <t xml:space="preserve">NI 45-106 ss.2.36(3), 2.4(4), 2.9(19.1)-(19.4); effective 1 Mar 2021, and 1 Jul 2021 in ON and QC</t>
  </si>
  <si>
    <t xml:space="preserve">Comparing Mortgage Investment Structures: MIC, Fund, LP, Trust and Syndicated</t>
  </si>
  <si>
    <t xml:space="preserve">mortgage fund vs MIC; MIC vs syndicated mortgage; mortgage limited partnership Canada</t>
  </si>
  <si>
    <t xml:space="preserve">What is a MIC; Mortgage funds; Fractional and syndicated; Tax treatment; Liquidity</t>
  </si>
  <si>
    <t xml:space="preserve">Investment types hub; every structure page</t>
  </si>
  <si>
    <t xml:space="preserve">One table covering tax path, liquidity, disclosure, regulation and control across all five structures</t>
  </si>
  <si>
    <t xml:space="preserve">A comparison chart of Canadian mortgage investment structures across tax, liquidity and regulation</t>
  </si>
  <si>
    <t xml:space="preserve">mortgage-investment-structures-compared.jpg</t>
  </si>
  <si>
    <t xml:space="preserve">No-guarantee statement; loss-of-principal risk; 'educational, not investment advice'; author and review date. Comparison must present trade-offs both ways; no 'better than' verdict; deposit-insurance position stated where a GIC or savings product is named.</t>
  </si>
  <si>
    <t xml:space="preserve">ITA s.130.1 for MICs; NI 45-106 for syndicated; fund/trust tax treatment — GAP, nothing comprehensive exists</t>
  </si>
  <si>
    <t xml:space="preserve">Where Do Mortgage Investment Returns Actually Come From?</t>
  </si>
  <si>
    <t xml:space="preserve">3 Returns, income and cash flow</t>
  </si>
  <si>
    <t xml:space="preserve">mortgage investment income; how do mortgage investors make money</t>
  </si>
  <si>
    <t xml:space="preserve">Gross vs net vs after-tax; Fee stack itemised; After-tax calculator; Risks pillar</t>
  </si>
  <si>
    <t xml:space="preserve">Investor hub; every S3 article</t>
  </si>
  <si>
    <t xml:space="preserve">Interest, lender fees, renewal fees and reinvestment — each source traced to what the investor actually receives</t>
  </si>
  <si>
    <t xml:space="preserve">A worked breakdown showing the components of a mortgage investment return</t>
  </si>
  <si>
    <t xml:space="preserve">where-mortgage-investment-returns-come-from.jpg</t>
  </si>
  <si>
    <t xml:space="preserve">None for mechanics; do not publish rate figures</t>
  </si>
  <si>
    <t xml:space="preserve">Gross Yield, Net Yield and After-Tax Yield: The Three Numbers That Matter</t>
  </si>
  <si>
    <t xml:space="preserve">after tax return mortgage investment Canada; mortgage investment yield explained</t>
  </si>
  <si>
    <t xml:space="preserve">After-tax calculator; Fee stack itemised; Tax treatment; Comparison vs GICs</t>
  </si>
  <si>
    <t xml:space="preserve">Returns pillar; Tax pillar</t>
  </si>
  <si>
    <t xml:space="preserve">The single most useful calculation on the site: a stated yield taken down through fees and tax to what lands in your account</t>
  </si>
  <si>
    <t xml:space="preserve">A calculation showing a mortgage investment yield reduced step by step by fees and tax</t>
  </si>
  <si>
    <t xml:space="preserve">gross-net-after-tax-yield-mortgage-investment.jpg</t>
  </si>
  <si>
    <t xml:space="preserve">No-guarantee statement; loss-of-principal risk; 'educational, not investment advice'; author and review date. Any return figure needs a stated period, source and a past-performance caveat. Publish mechanics, not rate promises. No-guarantee statement; loss-of-principal risk; 'educational, not investment advice'; author and review date. Tax content must be reviewed by a Canadian tax professional and carry a 'current as of' date.</t>
  </si>
  <si>
    <t xml:space="preserve">ITA s.130.1(2) deemed-interest treatment; current marginal rates by province with a stated tax year</t>
  </si>
  <si>
    <t xml:space="preserve">After-Tax Yield Calculator for Canadian Mortgage Investments</t>
  </si>
  <si>
    <t xml:space="preserve">Calculator / tool</t>
  </si>
  <si>
    <t xml:space="preserve">MIC dividends taxed as interest income; mortgage investment tax treatment Canada</t>
  </si>
  <si>
    <t xml:space="preserve">Gross vs net vs after-tax; Tax treatment; Registered plans; Comparison vs GICs</t>
  </si>
  <si>
    <t xml:space="preserve">Returns pillar; Tax pillar; Comparison pages</t>
  </si>
  <si>
    <t xml:space="preserve">An interactive calculator: enter a distribution yield, province and income band, see the after-tax result against a GIC equivalent</t>
  </si>
  <si>
    <t xml:space="preserve">An after-tax yield calculator for Canadian mortgage investments showing input fields and a result</t>
  </si>
  <si>
    <t xml:space="preserve">after-tax-yield-calculator-mortgage-investment.jpg</t>
  </si>
  <si>
    <t xml:space="preserve">No-guarantee statement; loss-of-principal risk; 'educational, not investment advice'; author and review date. Any return figure needs a stated period, source and a past-performance caveat. Publish mechanics, not rate promises. No-guarantee statement; loss-of-principal risk; 'educational, not investment advice'; author and review date. Tax content must be reviewed by a Canadian tax professional and carry a 'current as of' date. Calculator must state its assumptions on screen and disclaim that it is illustrative only.</t>
  </si>
  <si>
    <t xml:space="preserve">Current federal and provincial marginal rates with the tax year stated; ITA s.130.1(2). HIGHEST-VALUE GAP — no Canadian site publishes this</t>
  </si>
  <si>
    <t xml:space="preserve">The Real Fee Stack in a Mortgage Investment, Itemised</t>
  </si>
  <si>
    <t xml:space="preserve">MIC management fee; mortgage administration fee investor; lender fee mortgage investment</t>
  </si>
  <si>
    <t xml:space="preserve">Gross vs net vs after-tax; How to evaluate a MIC; Reading a MIC's financials</t>
  </si>
  <si>
    <t xml:space="preserve">Returns pillar; Due-diligence hub</t>
  </si>
  <si>
    <t xml:space="preserve">Management, servicing and administration charges, lender fees and dealer commission added up into one all-in number</t>
  </si>
  <si>
    <t xml:space="preserve">A fee schedule from a mortgage investment offering with each charge line annotated</t>
  </si>
  <si>
    <t xml:space="preserve">mortgage-investment-fee-stack-itemised.jpg</t>
  </si>
  <si>
    <t xml:space="preserve">GAP — no Canadian operator itemises the full stack. Verify each fee type against live offering documents</t>
  </si>
  <si>
    <t xml:space="preserve">Monthly Income From Mortgage Investments: How the Cash Flow Works</t>
  </si>
  <si>
    <t xml:space="preserve">mortgage cash flow investments; monthly distribution investment Canada; mortgage passive income</t>
  </si>
  <si>
    <t xml:space="preserve">Returns and cash flow; DRIP calculator; Liquidity and redemption; Retirement income profile</t>
  </si>
  <si>
    <t xml:space="preserve">Investor hub; Passive income pillar</t>
  </si>
  <si>
    <t xml:space="preserve">What a monthly distribution actually is, when it arrives, and the circumstances in which it does not</t>
  </si>
  <si>
    <t xml:space="preserve">An investor reviewing a monthly distribution statement at a home office desk</t>
  </si>
  <si>
    <t xml:space="preserve">monthly-income-mortgage-investments-canada.jpg</t>
  </si>
  <si>
    <t xml:space="preserve">No-guarantee statement; loss-of-principal risk; 'educational, not investment advice'; author and review date. Any return figure needs a stated period, source and a past-performance caveat. Publish mechanics, not rate promises. Must state plainly that distributions are not guaranteed and can be reduced or suspended.</t>
  </si>
  <si>
    <t xml:space="preserve">Compounding a Mortgage Investment: How DRIPs Change the Maths</t>
  </si>
  <si>
    <t xml:space="preserve">dividend reinvestment plan MIC; simple vs compound return mortgage investing</t>
  </si>
  <si>
    <t xml:space="preserve">Returns pillar; Liquidity and redemption; After-tax calculator</t>
  </si>
  <si>
    <t xml:space="preserve">Returns pillar; Existing-investor hub</t>
  </si>
  <si>
    <t xml:space="preserve">Simple versus compounded over realistic horizons, with the tax drag shown rather than ignored</t>
  </si>
  <si>
    <t xml:space="preserve">A compounding projection for a reinvested mortgage investment distribution</t>
  </si>
  <si>
    <t xml:space="preserve">mortgage-investment-drip-compounding.jpg</t>
  </si>
  <si>
    <t xml:space="preserve">No-guarantee statement; loss-of-principal risk; 'educational, not investment advice'; author and review date. Any return figure needs a stated period, source and a past-performance caveat. Publish mechanics, not rate promises. Projections must be labelled illustrative and must not imply a guaranteed path.</t>
  </si>
  <si>
    <t xml:space="preserve">Note that DRIP appears under three different expansions across Canadian sites — define the term used</t>
  </si>
  <si>
    <t xml:space="preserve">Terms, Renewals, Early Repayment and Discharge</t>
  </si>
  <si>
    <t xml:space="preserve">mortgage renewal investor impact; early repayment mortgage investment; mortgage discharge investor</t>
  </si>
  <si>
    <t xml:space="preserve">Reinvestment risk; Liquidity and redemption; Default and recovery; Bridge investments</t>
  </si>
  <si>
    <t xml:space="preserve">Returns pillar</t>
  </si>
  <si>
    <t xml:space="preserve">The life of a mortgage investment from funding to discharge, and the three ways it can end early</t>
  </si>
  <si>
    <t xml:space="preserve">A mortgage discharge document marking the end of a mortgage investment term</t>
  </si>
  <si>
    <t xml:space="preserve">mortgage-investment-terms-renewals-discharge.jpg</t>
  </si>
  <si>
    <t xml:space="preserve">Provincial discharge process</t>
  </si>
  <si>
    <t xml:space="preserve">Reinvestment Risk: The Cost of Money Coming Back Too Soon</t>
  </si>
  <si>
    <t xml:space="preserve">short term mortgage investment Canada; mortgage investment term length</t>
  </si>
  <si>
    <t xml:space="preserve">Terms renewals and exits; Bridge investments; Returns pillar</t>
  </si>
  <si>
    <t xml:space="preserve">Returns pillar; Risks pillar</t>
  </si>
  <si>
    <t xml:space="preserve">Short terms look attractive until you price the gaps between them — the return you assume is not the return you get</t>
  </si>
  <si>
    <t xml:space="preserve">A calculation showing the effect of idle capital between mortgage investment terms</t>
  </si>
  <si>
    <t xml:space="preserve">reinvestment-risk-mortgage-investing.jpg</t>
  </si>
  <si>
    <t xml:space="preserve">GAP — structural to private mortgages and almost never named</t>
  </si>
  <si>
    <t xml:space="preserve">Capital Preservation and Loss of Principal: Both Sides Stated Plainly</t>
  </si>
  <si>
    <t xml:space="preserve">can you lose money investing in mortgages; mortgage investment risks</t>
  </si>
  <si>
    <t xml:space="preserve">Risks pillar; LTV explained; Default and recovery; First vs second</t>
  </si>
  <si>
    <t xml:space="preserve">What 'capital preservation' means when the collateral is a house whose value can fall — and what a loss actually looks like</t>
  </si>
  <si>
    <t xml:space="preserve">A Canadian residential property representing the collateral standing behind invested principal</t>
  </si>
  <si>
    <t xml:space="preserve">capital-preservation-loss-of-principal.jpg</t>
  </si>
  <si>
    <t xml:space="preserve">No-guarantee statement; loss-of-principal risk; 'educational, not investment advice'; author and review date. Risk content must not be softened by a reassurance that undercuts it. The phrase 'capital preservation' must never appear without the loss-of-principal disclosure adjacent to it.</t>
  </si>
  <si>
    <t xml:space="preserve">CMHC MIE delinquency data with the reporting period stated</t>
  </si>
  <si>
    <t xml:space="preserve">MIC vs REIT in Canada: Debt Income or Equity Ownership</t>
  </si>
  <si>
    <t xml:space="preserve">4 Comparisons</t>
  </si>
  <si>
    <t xml:space="preserve">MIC vs REIT; mortgage investing vs dividend stocks; real estate debt investing</t>
  </si>
  <si>
    <t xml:space="preserve">What is a MIC; Structures compared; vs rental property; Tax treatment</t>
  </si>
  <si>
    <t xml:space="preserve">Comparison hub; What is a MIC</t>
  </si>
  <si>
    <t xml:space="preserve">Where you sit in the capital stack, how each is taxed, how each behaves when property values fall</t>
  </si>
  <si>
    <t xml:space="preserve">A comparison chart showing a MIC and a REIT across income source, tax treatment and market exposure</t>
  </si>
  <si>
    <t xml:space="preserve">mic-vs-reit-canada-comparison.jpg</t>
  </si>
  <si>
    <t xml:space="preserve">REIT tax treatment vs ITA s.130.1(2) deemed interest. SATURATED topic — win on depth and honesty</t>
  </si>
  <si>
    <t xml:space="preserve">Mortgage Investing vs GICs: Yield, Insurance and What You Give Up</t>
  </si>
  <si>
    <t xml:space="preserve">MIC vs GIC Canada; mortgage investing vs high interest savings; best alternative to GIC Canada</t>
  </si>
  <si>
    <t xml:space="preserve">After-tax calculator; Risks pillar; Liquidity and redemption</t>
  </si>
  <si>
    <t xml:space="preserve">Comparison hub; Alternative fixed income pillar</t>
  </si>
  <si>
    <t xml:space="preserve">The comparison most readers actually want, answered without pretending the insurance difference is a detail</t>
  </si>
  <si>
    <t xml:space="preserve">A comparison chart of a GIC and a mortgage investment across yield, deposit insurance and liquidity</t>
  </si>
  <si>
    <t xml:space="preserve">mortgage-investing-vs-gic-canada.jpg</t>
  </si>
  <si>
    <t xml:space="preserve">No-guarantee statement; loss-of-principal risk; 'educational, not investment advice'; author and review date. Comparison must present trade-offs both ways; no 'better than' verdict; deposit-insurance position stated where a GIC or savings product is named. The absence of CDIC or provincial deposit insurance must be stated explicitly and prominently.</t>
  </si>
  <si>
    <t xml:space="preserve">CDIC coverage scope; current GIC rates with date if cited at all</t>
  </si>
  <si>
    <t xml:space="preserve">Mortgage Investing vs Bonds: Two Kinds of Fixed Income</t>
  </si>
  <si>
    <t xml:space="preserve">MIC vs bond ETF income; alternative fixed income investments Canada</t>
  </si>
  <si>
    <t xml:space="preserve">vs dividend stocks; vs GICs; Alternative fixed income pillar; Risks pillar</t>
  </si>
  <si>
    <t xml:space="preserve">Comparison hub</t>
  </si>
  <si>
    <t xml:space="preserve">Duration, credit risk, mark-to-market and liquidity set side by side — the best under-served comparison in the category</t>
  </si>
  <si>
    <t xml:space="preserve">A comparison chart of mortgage investments and bonds across duration, credit risk and liquidity</t>
  </si>
  <si>
    <t xml:space="preserve">mortgage-investing-vs-bonds-canada.jpg</t>
  </si>
  <si>
    <t xml:space="preserve">GAP — only one operator FAQ line addresses this anywhere in Canada</t>
  </si>
  <si>
    <t xml:space="preserve">Mortgage Investing vs Dividend Stocks for Income</t>
  </si>
  <si>
    <t xml:space="preserve">monthly income investments Canada; income producing investments Canada</t>
  </si>
  <si>
    <t xml:space="preserve">is a mortgage investment better than a dividend portfolio</t>
  </si>
  <si>
    <t xml:space="preserve">vs bonds; After-tax calculator; Tax treatment; Monthly income</t>
  </si>
  <si>
    <t xml:space="preserve">Income reliability, tax treatment and volatility compared — and why the dividend tax credit does not apply here</t>
  </si>
  <si>
    <t xml:space="preserve">A comparison chart of mortgage investment income and dividend stock income after tax</t>
  </si>
  <si>
    <t xml:space="preserve">mortgage-investing-vs-dividend-stocks.jpg</t>
  </si>
  <si>
    <t xml:space="preserve">No-guarantee statement; loss-of-principal risk; 'educational, not investment advice'; author and review date. Comparison must present trade-offs both ways; no 'better than' verdict; deposit-insurance position stated where a GIC or savings product is named. No-guarantee statement; loss-of-principal risk; 'educational, not investment advice'; author and review date. Tax content must be reviewed by a Canadian tax professional and carry a 'current as of' date.</t>
  </si>
  <si>
    <t xml:space="preserve">Dividend tax credit vs ITA s.130.1(2) deemed-interest treatment. GAP</t>
  </si>
  <si>
    <t xml:space="preserve">MIC vs Investing in Mortgages Directly</t>
  </si>
  <si>
    <t xml:space="preserve">MIC vs private lender; individual mortgage investing; direct mortgage investing</t>
  </si>
  <si>
    <t xml:space="preserve">Direct mortgage investing; What is a MIC; Due-diligence checklist; Registered plans</t>
  </si>
  <si>
    <t xml:space="preserve">Comparison hub; Investment types hub</t>
  </si>
  <si>
    <t xml:space="preserve">Control and concentration against diversification and delegation, with the work each one asks of you</t>
  </si>
  <si>
    <t xml:space="preserve">A comparison chart of pooled MIC investing and direct mortgage lending across control, diversification and effort</t>
  </si>
  <si>
    <t xml:space="preserve">mic-vs-direct-mortgage-investing.jpg</t>
  </si>
  <si>
    <t xml:space="preserve">Provincial administrator licensing where servicing is delegated</t>
  </si>
  <si>
    <t xml:space="preserve">Mortgage Investing vs Owning a Rental Property</t>
  </si>
  <si>
    <t xml:space="preserve">real estate exposure without owning property; mortgage fund vs rental income</t>
  </si>
  <si>
    <t xml:space="preserve">vs REIT; Monthly income; Risks pillar; Liquidity and redemption</t>
  </si>
  <si>
    <t xml:space="preserve">Comparison hub; Passive income pillar</t>
  </si>
  <si>
    <t xml:space="preserve">Debt against equity: no tenants and no maintenance, but no appreciation and no control either</t>
  </si>
  <si>
    <t xml:space="preserve">A Canadian rental property, contrasted in the article with holding the mortgage rather than the deed</t>
  </si>
  <si>
    <t xml:space="preserve">mortgage-investing-vs-rental-property.jpg</t>
  </si>
  <si>
    <t xml:space="preserve">None; ensure the appreciation trade-off is stated as plainly as the no-management benefit</t>
  </si>
  <si>
    <t xml:space="preserve">First vs Second Mortgage Investments: What Position Really Costs</t>
  </si>
  <si>
    <t xml:space="preserve">first position mortgage investment; second position mortgage investment; combined loan to value second mortgage</t>
  </si>
  <si>
    <t xml:space="preserve">First mortgage investments; Second mortgage investments; Power of sale; LTV explained</t>
  </si>
  <si>
    <t xml:space="preserve">A worked recovery example through a power of sale, showing what the first and second each receive when the numbers are tight</t>
  </si>
  <si>
    <t xml:space="preserve">A worked recovery calculation showing how sale proceeds are distributed between a first and second mortgage</t>
  </si>
  <si>
    <t xml:space="preserve">first-vs-second-mortgage-investing.jpg</t>
  </si>
  <si>
    <t xml:space="preserve">No-guarantee statement; loss-of-principal risk; 'educational, not investment advice'; author and review date. Comparison must present trade-offs both ways; no 'better than' verdict; deposit-insurance position stated where a GIC or savings product is named. No-guarantee statement; loss-of-principal risk; 'educational, not investment advice'; author and review date. Risk content must not be softened by a reassurance that undercuts it.</t>
  </si>
  <si>
    <t xml:space="preserve">Provincial enforcement order and deficiency treatment. GAP — strongest under-served investor comparison</t>
  </si>
  <si>
    <t xml:space="preserve">Residential vs Commercial Mortgage Investing</t>
  </si>
  <si>
    <t xml:space="preserve">residential mortgage investing; commercial mortgage investing Canada</t>
  </si>
  <si>
    <t xml:space="preserve">Residential mortgage investing; Commercial mortgage investing; Property and marketability risk</t>
  </si>
  <si>
    <t xml:space="preserve">Valuation method, tenant risk, enforcement timelines and marketability compared across the two books</t>
  </si>
  <si>
    <t xml:space="preserve">A comparison chart of residential and commercial mortgage investing across valuation and enforcement</t>
  </si>
  <si>
    <t xml:space="preserve">residential-vs-commercial-mortgage-investing.jpg</t>
  </si>
  <si>
    <t xml:space="preserve">Appraisal methodology; GAP on the investor side</t>
  </si>
  <si>
    <t xml:space="preserve">Fixed vs Variable Rate Mortgage Investments</t>
  </si>
  <si>
    <t xml:space="preserve">interest rate risk mortgage investing; mortgage investment term length</t>
  </si>
  <si>
    <t xml:space="preserve">does a variable rate mortgage investment pay more</t>
  </si>
  <si>
    <t xml:space="preserve">Interest rate risk; Returns pillar; Terms renewals and exits</t>
  </si>
  <si>
    <t xml:space="preserve">How rate structure shifts risk between borrower and investor, and what happens to each in a rate move</t>
  </si>
  <si>
    <t xml:space="preserve">A comparison chart of fixed and variable rate mortgage investments under changing interest rates</t>
  </si>
  <si>
    <t xml:space="preserve">fixed-vs-variable-mortgage-investment.jpg</t>
  </si>
  <si>
    <t xml:space="preserve">Alternative Fixed Income in Canada: Where Mortgage Investments Sit</t>
  </si>
  <si>
    <t xml:space="preserve">high yield investments Canada; income producing investments Canada</t>
  </si>
  <si>
    <t xml:space="preserve">what are the alternatives to GICs and bonds in Canada</t>
  </si>
  <si>
    <t xml:space="preserve">vs GICs; vs bonds; What is mortgage investing; Risks pillar</t>
  </si>
  <si>
    <t xml:space="preserve">Investor hub; Comparison hub</t>
  </si>
  <si>
    <t xml:space="preserve">The landscape map: GICs, bonds, preferred shares, private credit and mortgage investments across yield, liquidity and risk</t>
  </si>
  <si>
    <t xml:space="preserve">A landscape chart positioning Canadian alternative fixed income options by yield and liquidity</t>
  </si>
  <si>
    <t xml:space="preserve">alternative-fixed-income-canada-landscape.jpg</t>
  </si>
  <si>
    <t xml:space="preserve">No-guarantee statement; loss-of-principal risk; 'educational, not investment advice'; author and review date. Comparison must present trade-offs both ways; no 'better than' verdict; deposit-insurance position stated where a GIC or savings product is named. Higher potential yield must be tied explicitly to additional risk wherever it appears.</t>
  </si>
  <si>
    <t xml:space="preserve">Current yields only if dated and sourced; prefer relative positioning over figures</t>
  </si>
  <si>
    <t xml:space="preserve">The Risks of Mortgage Investing in Canada</t>
  </si>
  <si>
    <t xml:space="preserve">5 Risk and due diligence</t>
  </si>
  <si>
    <t xml:space="preserve">risks of private mortgage investing; what are the risks of investing in a MIC</t>
  </si>
  <si>
    <t xml:space="preserve">Every S5 article; LTV explained; Default and recovery; Liquidity and redemption</t>
  </si>
  <si>
    <t xml:space="preserve">Homepage; Investor hub; every pillar page</t>
  </si>
  <si>
    <t xml:space="preserve">Every material risk named and explained in one place — default, value, liquidity, rate, concentration, enforcement cost, structure and fraud</t>
  </si>
  <si>
    <t xml:space="preserve">A Canadian residential property with visible wear, representing collateral whose value can fall</t>
  </si>
  <si>
    <t xml:space="preserve">risks-of-mortgage-investing-canada.jpg</t>
  </si>
  <si>
    <t xml:space="preserve">CMHC MIE delinquency data; FSRA private-lending report, both with periods stated</t>
  </si>
  <si>
    <t xml:space="preserve">Are Mortgage Investments Guaranteed? No — Here Is What That Means</t>
  </si>
  <si>
    <t xml:space="preserve">is my principal guaranteed mortgage investment; is a MIC CDIC insured</t>
  </si>
  <si>
    <t xml:space="preserve">Risks pillar; vs GICs; Liquidity and redemption; Capital preservation</t>
  </si>
  <si>
    <t xml:space="preserve">Risks pillar; every comparison page</t>
  </si>
  <si>
    <t xml:space="preserve">A direct answer to the question investors ask most often, and what the absence of a guarantee changes in practice</t>
  </si>
  <si>
    <t xml:space="preserve">A mortgage investment offering document with the risk disclosure section visible</t>
  </si>
  <si>
    <t xml:space="preserve">are-mortgage-investments-guaranteed.jpg</t>
  </si>
  <si>
    <t xml:space="preserve">No-guarantee statement; loss-of-principal risk; 'educational, not investment advice'; author and review date. Risk content must not be softened by a reassurance that undercuts it. This page must never be softened. No deposit insurance, no principal guarantee, no exceptions.</t>
  </si>
  <si>
    <t xml:space="preserve">CDIC coverage scope to state the contrast accurately</t>
  </si>
  <si>
    <t xml:space="preserve">Loan-to-Value for Mortgage Investors: How to Read It and Where It Misleads</t>
  </si>
  <si>
    <t xml:space="preserve">what is a good LTV for mortgage investing; combined loan to value second mortgage; weighted average LTV MIC</t>
  </si>
  <si>
    <t xml:space="preserve">First vs second; Appraisals for investors; Reading a MIC's financials; Risks pillar</t>
  </si>
  <si>
    <t xml:space="preserve">Risks pillar; Due-diligence hub</t>
  </si>
  <si>
    <t xml:space="preserve">LTV calculated properly, including stacked positions — and the three ways a reported LTV can flatter a portfolio</t>
  </si>
  <si>
    <t xml:space="preserve">A loan-to-value calculation showing a first and second mortgage stacked against one property value</t>
  </si>
  <si>
    <t xml:space="preserve">loan-to-value-mortgage-investing-explained.jpg</t>
  </si>
  <si>
    <t xml:space="preserve">Appraisal basis (as-is vs as-complete); NI 45-106 s.2.9(19.1) appraisal requirements for syndicated mortgages</t>
  </si>
  <si>
    <t xml:space="preserve">What Happens When a Borrower Defaults on Your Mortgage Investment</t>
  </si>
  <si>
    <t xml:space="preserve">mortgage default risk investor; what happens if a borrower stops paying; do foreclosures affect MIC returns</t>
  </si>
  <si>
    <t xml:space="preserve">Enforcement by province; Power of sale; Cost of enforcement; First vs second</t>
  </si>
  <si>
    <t xml:space="preserve">Risks pillar; Investor hub</t>
  </si>
  <si>
    <t xml:space="preserve">The sequence from missed payment to recovery, with the costs and time each step adds</t>
  </si>
  <si>
    <t xml:space="preserve">A notice of default and enforcement file on a desk in a law office</t>
  </si>
  <si>
    <t xml:space="preserve">borrower-default-mortgage-investment.jpg</t>
  </si>
  <si>
    <t xml:space="preserve">Provincial enforcement statutes; verify notice periods against the primary statute, not secondary summaries</t>
  </si>
  <si>
    <t xml:space="preserve">Mortgage Enforcement Across Canada: Power of Sale, Judicial Sale and Quebec's Recourses</t>
  </si>
  <si>
    <t xml:space="preserve">power of sale vs foreclosure Canada; deficiency judgment mortgage Canada</t>
  </si>
  <si>
    <t xml:space="preserve">Power of sale; Enforcement in BC; Enforcement in Alberta; Enforcement in Quebec; Default and recovery</t>
  </si>
  <si>
    <t xml:space="preserve">Risks pillar; every province page</t>
  </si>
  <si>
    <t xml:space="preserve">A province-by-province map of how a lender actually recovers, correcting the two-bucket framing most sites use</t>
  </si>
  <si>
    <t xml:space="preserve">A map of Canada showing which provinces use power of sale, judicial sale, and Quebec's hypothecary recourses</t>
  </si>
  <si>
    <t xml:space="preserve">mortgage-enforcement-by-province-canada.jpg</t>
  </si>
  <si>
    <t xml:space="preserve">No-guarantee statement; loss-of-principal risk; 'educational, not investment advice'; author and review date. Risk content must not be softened by a reassurance that undercuts it. No-guarantee statement; loss-of-principal risk; 'educational, not investment advice'; author and review date. Regulatory claims verified against the primary statute/regulator page cited, with a 'current as of' date.</t>
  </si>
  <si>
    <t xml:space="preserve">ON Mortgages Act; NB Property Act; NL Conveyancing Act ss.5-9; PEI Real Property Act; BC Law and Equity Act; AB Law of Property Act; SK LCAA; NS judicial process; QC CCQ arts.2748 et seq. MANITOBA IS DISPUTED — describe mechanics, do not assign a label</t>
  </si>
  <si>
    <t xml:space="preserve">Power of Sale: What It Means for a Mortgage Investor</t>
  </si>
  <si>
    <t xml:space="preserve">what is power of sale; how long does power of sale take</t>
  </si>
  <si>
    <t xml:space="preserve">Applies to ON, NB, NL and PEI; NOT to BC, AB, SK, NS or QC</t>
  </si>
  <si>
    <t xml:space="preserve">Enforcement by province; First vs second; Cost of enforcement</t>
  </si>
  <si>
    <t xml:space="preserve">Risks pillar; Ontario province page</t>
  </si>
  <si>
    <t xml:space="preserve">The Ontario process step by step — notice, redemption, sale, distribution of proceeds — and what a second position receives</t>
  </si>
  <si>
    <t xml:space="preserve">An Ontario notice of sale under mortgage on a desk with the redemption period highlighted</t>
  </si>
  <si>
    <t xml:space="preserve">power-of-sale-mortgage-investor-ontario.jpg</t>
  </si>
  <si>
    <t xml:space="preserve">Ontario Mortgages Act RSO 1990 c.M.40; verify notice periods and day-counts against the statute — sources are inconsistent</t>
  </si>
  <si>
    <t xml:space="preserve">What Enforcement Actually Costs a Mortgage Investor</t>
  </si>
  <si>
    <t xml:space="preserve">mortgage default risk investor; deficiency judgment mortgage Canada</t>
  </si>
  <si>
    <t xml:space="preserve">Default and recovery; Enforcement by province; LTV explained; First vs second</t>
  </si>
  <si>
    <t xml:space="preserve">Risks pillar</t>
  </si>
  <si>
    <t xml:space="preserve">Legal fees, carrying costs, property taxes, insurance and time — modelled against a recovery to show what reaches the investor</t>
  </si>
  <si>
    <t xml:space="preserve">A worked calculation showing enforcement costs deducted from mortgage sale proceeds</t>
  </si>
  <si>
    <t xml:space="preserve">cost-of-enforcing-mortgage-investment.jpg</t>
  </si>
  <si>
    <t xml:space="preserve">GAP — enforcement cost is almost never quantified for investors. Use ranges with stated assumptions, not invented precision</t>
  </si>
  <si>
    <t xml:space="preserve">Liquidity and Redemption: Getting Your Money Out</t>
  </si>
  <si>
    <t xml:space="preserve">MIC redemption restrictions; lock up period mortgage investment; how liquid is a MIC investment</t>
  </si>
  <si>
    <t xml:space="preserve">Terms renewals and exits; Risks pillar; How to evaluate a MIC; vs GICs</t>
  </si>
  <si>
    <t xml:space="preserve">Notice periods, redemption queues, gates and suspension rights — the mechanics nobody in the sector explains</t>
  </si>
  <si>
    <t xml:space="preserve">A fund redemption request form showing the notice period required</t>
  </si>
  <si>
    <t xml:space="preserve">mortgage-investment-liquidity-redemption.jpg</t>
  </si>
  <si>
    <t xml:space="preserve">No-guarantee statement; loss-of-principal risk; 'educational, not investment advice'; author and review date. Risk content must not be softened by a reassurance that undercuts it. Must state that redemptions can be delayed, gated or suspended.</t>
  </si>
  <si>
    <t xml:space="preserve">GAP — liquidity mismatch is named as a risk sector-wide but never explained. Verify terms against live offering documents</t>
  </si>
  <si>
    <t xml:space="preserve">Property Value and Marketability Risk</t>
  </si>
  <si>
    <t xml:space="preserve">real estate market risk mortgage investment; rural property mortgage investment risk</t>
  </si>
  <si>
    <t xml:space="preserve">LTV explained; Appraisals for investors; Default and recovery; Risks pillar</t>
  </si>
  <si>
    <t xml:space="preserve">How long a property takes to sell, and why that matters more than its appraised number when you need to recover</t>
  </si>
  <si>
    <t xml:space="preserve">A Canadian property in a slower rural market, illustrating marketability risk for a mortgage investor</t>
  </si>
  <si>
    <t xml:space="preserve">property-marketability-risk-mortgage.jpg</t>
  </si>
  <si>
    <t xml:space="preserve">Regional market liquidity data if cited, with period stated</t>
  </si>
  <si>
    <t xml:space="preserve">Appraisals for Mortgage Investors: As-Is vs As-Complete</t>
  </si>
  <si>
    <t xml:space="preserve">as is value vs as complete value appraisal; how does an appraisal protect a mortgage investor</t>
  </si>
  <si>
    <t xml:space="preserve">LTV explained; Construction mortgage investments; Due-diligence checklist; Syndicated mortgages</t>
  </si>
  <si>
    <t xml:space="preserve">Why the appraisal basis matters more than the appraisal figure, and the reform that made it a securities-law requirement</t>
  </si>
  <si>
    <t xml:space="preserve">An appraisal report open to the valuation basis and effective date</t>
  </si>
  <si>
    <t xml:space="preserve">mortgage-investment-appraisal-as-is-vs-complete.jpg</t>
  </si>
  <si>
    <t xml:space="preserve">NI 45-106 s.2.9(19.1)-(19.4): independent appraiser, value within the preceding 6 months, as-is basis without improvements or development</t>
  </si>
  <si>
    <t xml:space="preserve">Concentration and Diversification in a Mortgage Portfolio</t>
  </si>
  <si>
    <t xml:space="preserve">borrower concentration risk MIC; geographic concentration risk mortgage fund</t>
  </si>
  <si>
    <t xml:space="preserve">Reading a MIC's financials; How to evaluate a MIC; Risks pillar; Canadian MIC market data</t>
  </si>
  <si>
    <t xml:space="preserve">Borrower, geographic, property-type and maturity concentration — what to look for and what a concentrated book means in a downturn</t>
  </si>
  <si>
    <t xml:space="preserve">A portfolio breakdown chart showing concentration by geography, borrower and property type</t>
  </si>
  <si>
    <t xml:space="preserve">mortgage-portfolio-concentration-diversification.jpg</t>
  </si>
  <si>
    <t xml:space="preserve">CMHC has attributed part of MIE delinquency deterioration to concentrated regional exposure — cite with period</t>
  </si>
  <si>
    <t xml:space="preserve">The Mortgage Investor's Due Diligence Checklist</t>
  </si>
  <si>
    <t xml:space="preserve">Checklist</t>
  </si>
  <si>
    <t xml:space="preserve">mortgage investor due diligence</t>
  </si>
  <si>
    <t xml:space="preserve">mortgage investment red flags; what should I check in a mortgage investment before I commit</t>
  </si>
  <si>
    <t xml:space="preserve">MIC due-diligence checklist; LTV explained; Appraisals; Title insurance; Fraud red flags</t>
  </si>
  <si>
    <t xml:space="preserve">Risks pillar; Investor hub; every S5 article</t>
  </si>
  <si>
    <t xml:space="preserve">A working checklist covering borrower, property, security, structure, manager and paperwork — designed to be printed and used</t>
  </si>
  <si>
    <t xml:space="preserve">A printed mortgage investment due diligence checklist with items ticked</t>
  </si>
  <si>
    <t xml:space="preserve">mortgage-investor-due-diligence-checklist.jpg</t>
  </si>
  <si>
    <t xml:space="preserve">GAP — only one Canadian site publishes anything comparable. Highest-value ownable asset</t>
  </si>
  <si>
    <t xml:space="preserve">How to Evaluate a MIC Before You Invest</t>
  </si>
  <si>
    <t xml:space="preserve">MIC due diligence checklist; questions to ask before investing in a MIC; what should I look for when choosing a MIC</t>
  </si>
  <si>
    <t xml:space="preserve">Reading a MIC's financials; Fee stack; Liquidity and redemption; MIC qualification rules</t>
  </si>
  <si>
    <t xml:space="preserve">Risks pillar; What is a MIC; Due-diligence hub</t>
  </si>
  <si>
    <t xml:space="preserve">Twenty questions with the answer you want, the answer that should worry you, and where in the documents to find it</t>
  </si>
  <si>
    <t xml:space="preserve">A MIC offering memorandum and fund report side by side with evaluation notes in the margin</t>
  </si>
  <si>
    <t xml:space="preserve">how-to-evaluate-a-mic-before-investing.jpg</t>
  </si>
  <si>
    <t xml:space="preserve">GAP — no operator has published a credible evaluation framework</t>
  </si>
  <si>
    <t xml:space="preserve">Reading a MIC's Financial Statements and Offering Memorandum</t>
  </si>
  <si>
    <t xml:space="preserve">how to read a MIC offering memorandum; loan loss reserve MIC; expected credit loss mortgage fund IFRS 9; weighted average LTV MIC</t>
  </si>
  <si>
    <t xml:space="preserve">How to evaluate a MIC; Fee stack; Concentration; LTV explained</t>
  </si>
  <si>
    <t xml:space="preserve">Due-diligence hub</t>
  </si>
  <si>
    <t xml:space="preserve">Payout ratio, expected credit loss provisioning, allowance for doubtful accounts, weighted-average LTV and renewal concentration — what each one tells you</t>
  </si>
  <si>
    <t xml:space="preserve">A MIC financial statement open to the loan loss provision note, annotated in pencil</t>
  </si>
  <si>
    <t xml:space="preserve">how-to-read-mic-financial-statements.jpg</t>
  </si>
  <si>
    <t xml:space="preserve">IFRS 9 expected credit loss terminology; GAP — nothing exists on interpreting these for investors</t>
  </si>
  <si>
    <t xml:space="preserve">Mortgage Investment Red Flags and Fraud Prevention</t>
  </si>
  <si>
    <t xml:space="preserve">mortgage investment fraud prevention; what are the warning signs of a bad mortgage investment</t>
  </si>
  <si>
    <t xml:space="preserve">Due-diligence checklist; How to evaluate a MIC; Appraisals; Syndicated mortgages; Regulation by province</t>
  </si>
  <si>
    <t xml:space="preserve">The warning signs that recur in Canadian mortgage-investment failures — inflated as-complete appraisals, guaranteed-return language, no independent appraisal, pressure to sign</t>
  </si>
  <si>
    <t xml:space="preserve">An offering document with overstated return claims flagged for review</t>
  </si>
  <si>
    <t xml:space="preserve">mortgage-investment-red-flags-fraud.jpg</t>
  </si>
  <si>
    <t xml:space="preserve">No-guarantee statement; loss-of-principal risk; 'educational, not investment advice'; author and review date. Risk content must not be softened by a reassurance that undercuts it. Describe categories of warning sign; do not name or imply wrongdoing by any identifiable firm.</t>
  </si>
  <si>
    <t xml:space="preserve">Regulator investor alerts and enforcement summaries; NI 45-106 syndicated-mortgage reforms and what prompted them</t>
  </si>
  <si>
    <t xml:space="preserve">Title, Insurance and the Legal File a Mortgage Investor Should See</t>
  </si>
  <si>
    <t xml:space="preserve">title insurance mortgage investor; property insurance mortgage investor; independent legal advice mortgage investment</t>
  </si>
  <si>
    <t xml:space="preserve">Due-diligence checklist; How mortgages are secured; How to invest step by step</t>
  </si>
  <si>
    <t xml:space="preserve">The documents that should exist before funding: title search, insurance binder with the mortgagee named, solicitor's report</t>
  </si>
  <si>
    <t xml:space="preserve">A title search and insurance binder in a mortgage investment file</t>
  </si>
  <si>
    <t xml:space="preserve">title-insurance-legal-file-mortgage-investor.jpg</t>
  </si>
  <si>
    <t xml:space="preserve">Provincial land registry practice; standard mortgagee insurance requirements</t>
  </si>
  <si>
    <t xml:space="preserve">Interest Rate Risk for Mortgage Investors</t>
  </si>
  <si>
    <t xml:space="preserve">fixed rate vs variable rate mortgage investment; reinvestment risk mortgage investing</t>
  </si>
  <si>
    <t xml:space="preserve">what happens to mortgage investments when rates change</t>
  </si>
  <si>
    <t xml:space="preserve">Fixed vs variable; Reinvestment risk; vs bonds; Risks pillar</t>
  </si>
  <si>
    <t xml:space="preserve">Two separate effects — what happens to your yield on renewal, and what happens to borrowers' ability to pay</t>
  </si>
  <si>
    <t xml:space="preserve">A calculation showing the effect of a rate change on mortgage investment renewal yield</t>
  </si>
  <si>
    <t xml:space="preserve">interest-rate-risk-mortgage-investing.jpg</t>
  </si>
  <si>
    <t xml:space="preserve">How Mortgage Investing Is Regulated in Canada</t>
  </si>
  <si>
    <t xml:space="preserve">6 Rules and regulations</t>
  </si>
  <si>
    <t xml:space="preserve">how is the MIC market regulated; mortgage broker licensing by province</t>
  </si>
  <si>
    <t xml:space="preserve">Every province regulation page; Exempt market basics; Mortgage administrators; Investor eligibility</t>
  </si>
  <si>
    <t xml:space="preserve">Investor hub; Risks pillar</t>
  </si>
  <si>
    <t xml:space="preserve">Three layers: provincial mortgage brokering, provincial securities law, federal tax — and how a single investment touches all three</t>
  </si>
  <si>
    <t xml:space="preserve">A chart showing the three regulatory layers applying to a Canadian mortgage investment</t>
  </si>
  <si>
    <t xml:space="preserve">mortgage-investing-regulation-canada.jpg</t>
  </si>
  <si>
    <t xml:space="preserve">There is NO federal mortgage brokering regulator — never imply one. Verify every regulator name and statute against its own site</t>
  </si>
  <si>
    <t xml:space="preserve">Mortgage Investment Rules by Province: A Verified Comparison</t>
  </si>
  <si>
    <t xml:space="preserve">Data / research</t>
  </si>
  <si>
    <t xml:space="preserve">mortgage administrator licence Canada; single regulator provinces mortgage securities</t>
  </si>
  <si>
    <t xml:space="preserve">which provinces license mortgage administrators</t>
  </si>
  <si>
    <t xml:space="preserve">Regulation by province pillar; Enforcement by province; every province page</t>
  </si>
  <si>
    <t xml:space="preserve">Regulation pillar; every province page</t>
  </si>
  <si>
    <t xml:space="preserve">A table of regulator, statute, administrator licensing and enforcement route for all ten provinces, each cell sourced</t>
  </si>
  <si>
    <t xml:space="preserve">A province-by-province table of Canadian mortgage regulators, statutes and licensing categories</t>
  </si>
  <si>
    <t xml:space="preserve">mortgage-investment-rules-by-province.jpg</t>
  </si>
  <si>
    <t xml:space="preserve">No-guarantee statement; loss-of-principal risk; 'educational, not investment advice'; author and review date. Regulatory claims verified against the primary statute/regulator page cited, with a 'current as of' date. Every row needs its own source link and a 'current as of' date. Do not assume one province's rules apply elsewhere.</t>
  </si>
  <si>
    <t xml:space="preserve">ON: FSRA / MBLAA 2006 (FSCO is defunct). BC: BCFSA / Mortgage Brokers Act — MSA in force 13 Oct 2026. AB: RECA / Real Estate Act. QC: AMF (moved from OACIQ 1 May 2020). MB: Manitoba Securities Commission / Mortgage Brokers Act. SK: FCAA / MBMAA. NB: FCNB / Mortgage Brokers Act. NS: Registrar of Mortgage Regulation / Mortgage Regulation Act SNS 2012 c.11 in force 1 Nov 2021. NL: Mortgage Brokerages and Brokers Act in force 1 Apr 2025. PEI: appears to have no licensing regime — VERIFY</t>
  </si>
  <si>
    <t xml:space="preserve">Mortgage Administrators: Who Services Your Investment and Why It Matters</t>
  </si>
  <si>
    <t xml:space="preserve">mortgage administrator licence Canada; who holds the mortgage on my behalf</t>
  </si>
  <si>
    <t xml:space="preserve">Regulation by province; Due-diligence checklist; Direct mortgage investing</t>
  </si>
  <si>
    <t xml:space="preserve">Regulation pillar; Due-diligence hub</t>
  </si>
  <si>
    <t xml:space="preserve">The administrator's role, and the provinces where it is a licensed activity — ON, SK, NB and NS yes; AB, MB and NL no</t>
  </si>
  <si>
    <t xml:space="preserve">A mortgage administration agreement in a registry office setting</t>
  </si>
  <si>
    <t xml:space="preserve">mortgage-administrators-canada-investors.jpg</t>
  </si>
  <si>
    <t xml:space="preserve">MBLAA s.5(2) for Ontario; SK MBMAA s.5(4); NB and NS administrator classes; confirm AB, MB, NL negatives; BC becomes a licensed category 13 Oct 2026</t>
  </si>
  <si>
    <t xml:space="preserve">Are You an Accredited Investor? Canadian Eligibility Explained</t>
  </si>
  <si>
    <t xml:space="preserve">am I an accredited investor Canada; eligible investor definition Canada; who can invest in a MIC</t>
  </si>
  <si>
    <t xml:space="preserve">Exempt market basics; How to invest step by step; Regulation by province</t>
  </si>
  <si>
    <t xml:space="preserve">Regulation pillar; Investor hub; How to invest</t>
  </si>
  <si>
    <t xml:space="preserve">The accredited investor test, the eligible investor thresholds, and the other routes into an exempt offering</t>
  </si>
  <si>
    <t xml:space="preserve">An investor completing an accredited investor certification form</t>
  </si>
  <si>
    <t xml:space="preserve">accredited-investor-canada-eligibility.jpg</t>
  </si>
  <si>
    <t xml:space="preserve">No-guarantee statement; loss-of-principal risk; 'educational, not investment advice'; author and review date. Regulatory claims verified against the primary statute/regulator page cited, with a 'current as of' date. Eligibility is not suitability — state that explicitly.</t>
  </si>
  <si>
    <t xml:space="preserve">NI 45-106 s.2.3 accredited investor; s.1.1 'eligible investor' is a DEFINED TERM not an exemption — thresholds include net assets over $400,000, income over $75,000 individually or $125,000 with a spouse in each of the two most recent years; s.2.9 OM; s.2.10 minimum amount</t>
  </si>
  <si>
    <t xml:space="preserve">The Exempt Market and Offering Memorandums</t>
  </si>
  <si>
    <t xml:space="preserve">offering memorandum exemption mortgage; prospectus exemption mortgage investment; exempt market dealer mortgage</t>
  </si>
  <si>
    <t xml:space="preserve">Accredited investor; How to read an OM; Syndicated mortgages; Regulation by province</t>
  </si>
  <si>
    <t xml:space="preserve">Regulation pillar</t>
  </si>
  <si>
    <t xml:space="preserve">How exempt-market distribution works, what an OM must contain, and the role of the dealer in between</t>
  </si>
  <si>
    <t xml:space="preserve">An offering memorandum for a mortgage investment with the risk factors section visible</t>
  </si>
  <si>
    <t xml:space="preserve">exempt-market-offering-memorandum-mortgage.jpg</t>
  </si>
  <si>
    <t xml:space="preserve">NI 45-106 ss.2.3, 2.4, 2.5, 2.9, 2.36; NI 31-103 registration; name exemptions exactly</t>
  </si>
  <si>
    <t xml:space="preserve">Syndicated Mortgage Rules in Canada After the 2021 Reforms</t>
  </si>
  <si>
    <t xml:space="preserve">qualified syndicated mortgage; non-qualified syndicated mortgage; syndicated mortgage risks</t>
  </si>
  <si>
    <t xml:space="preserve">Fractional and syndicated; Appraisals; Regulation by province; Red flags</t>
  </si>
  <si>
    <t xml:space="preserve">Regulation pillar; Investment types hub</t>
  </si>
  <si>
    <t xml:space="preserve">What changed, when, and why — the exemptions withdrawn, the appraisal requirements added, and the oversight split by client type</t>
  </si>
  <si>
    <t xml:space="preserve">A syndicated mortgage offering with the independent appraisal requirement highlighted</t>
  </si>
  <si>
    <t xml:space="preserve">syndicated-mortgage-rules-canada-2021.jpg</t>
  </si>
  <si>
    <t xml:space="preserve">NI 45-106 s.2.36(3) removes the mortgages exemption; s.2.4(4) removes the private issuer exemption; ss.2.9(19.1)-(19.4) add appraisal requirements; NI 31-103 s.8.12(4) repealed. Effective 1 Mar 2021, and 1 Jul 2021 in ON and QC. In Ontario, FSRA supervises NQSMIs with permitted clients and the OSC supervises the rest</t>
  </si>
  <si>
    <t xml:space="preserve">Mortgage Investment Regulation in Ontario</t>
  </si>
  <si>
    <t xml:space="preserve">Location page</t>
  </si>
  <si>
    <t xml:space="preserve">mortgage investor disclosure form Ontario; mortgage investing Ontario</t>
  </si>
  <si>
    <t xml:space="preserve">who regulates private mortgage investing in Ontario</t>
  </si>
  <si>
    <t xml:space="preserve">Ontario only</t>
  </si>
  <si>
    <t xml:space="preserve">Regulation by province; Power of sale; Ontario province page</t>
  </si>
  <si>
    <t xml:space="preserve">Regulation pillar; Ontario province page</t>
  </si>
  <si>
    <t xml:space="preserve">FSRA's role, the MBLAA licensing classes, investor disclosure obligations, and the OSC's part in syndicated mortgages</t>
  </si>
  <si>
    <t xml:space="preserve">The Ontario mortgage brokering regulatory framework documents on a desk</t>
  </si>
  <si>
    <t xml:space="preserve">mortgage-investment-regulation-ontario.jpg</t>
  </si>
  <si>
    <t xml:space="preserve">FSRA under MBLAA 2006 S.O. 2006 c.29; O.Reg 188/08 and 189/08. FSCO ceased to exist 8 June 2019 — never name it as current. Verify current investor disclosure form numbers with FSRA</t>
  </si>
  <si>
    <t xml:space="preserve">Mortgage Investment Regulation in British Columbia — and the October 2026 Change</t>
  </si>
  <si>
    <t xml:space="preserve">mortgage investing British Columbia; private lending BC</t>
  </si>
  <si>
    <t xml:space="preserve">what is changing for mortgage lenders in BC</t>
  </si>
  <si>
    <t xml:space="preserve">British Columbia only</t>
  </si>
  <si>
    <t xml:space="preserve">Regulation by province; Enforcement in BC; BC province page</t>
  </si>
  <si>
    <t xml:space="preserve">Regulation pillar; BC province page</t>
  </si>
  <si>
    <t xml:space="preserve">The current Mortgage Brokers Act regime, and the Mortgage Services Act taking effect 13 October 2026 which makes mortgage lending and mortgage administration licensed activities</t>
  </si>
  <si>
    <t xml:space="preserve">British Columbia mortgage regulation documents showing the transition to the new Act</t>
  </si>
  <si>
    <t xml:space="preserve">mortgage-investment-regulation-bc.jpg</t>
  </si>
  <si>
    <t xml:space="preserve">No-guarantee statement; loss-of-principal risk; 'educational, not investment advice'; author and review date. Regulatory claims verified against the primary statute/regulator page cited, with a 'current as of' date. TIME-CRITICAL: this page needs a prominent 'current as of' date and a scheduled review.</t>
  </si>
  <si>
    <t xml:space="preserve">BCFSA; Mortgage Brokers Act RSBC 1996 c.313; Mortgage Services Act in force 13 Oct 2026 with four licence categories — dealing, trading, administering, and lending. Verify BC's current syndicated-mortgage exemption position (BCI 45-501) and the status of BCI 33-707 before publishing</t>
  </si>
  <si>
    <t xml:space="preserve">Mortgage Investment Regulation in Alberta</t>
  </si>
  <si>
    <t xml:space="preserve">invest in mortgages Alberta; judicial sale Alberta mortgage investor</t>
  </si>
  <si>
    <t xml:space="preserve">who regulates mortgage brokers in Alberta</t>
  </si>
  <si>
    <t xml:space="preserve">Alberta only</t>
  </si>
  <si>
    <t xml:space="preserve">Regulation by province; Enforcement in Alberta; Alberta province page</t>
  </si>
  <si>
    <t xml:space="preserve">Regulation pillar; Alberta province page</t>
  </si>
  <si>
    <t xml:space="preserve">RECA under the Real Estate Act, the absence of an administrator licence class, and Alberta's distinctive restriction on suing an individual borrower's personal covenant</t>
  </si>
  <si>
    <t xml:space="preserve">Alberta real estate and mortgage regulation documents on a desk</t>
  </si>
  <si>
    <t xml:space="preserve">mortgage-investment-regulation-alberta.jpg</t>
  </si>
  <si>
    <t xml:space="preserve">RECA under the Real Estate Act and its Rules; Mortgage Broker Industry Council. Alberta has NO administrator licence class. Law of Property Act ss.37-50.1 for judicial sale — verify current section numbers. Alberta investor disclosure requirements are UNVERIFIED — do not assert presence or absence</t>
  </si>
  <si>
    <t xml:space="preserve">Mortgage Investing in Quebec: A Different Legal System</t>
  </si>
  <si>
    <t xml:space="preserve">how does mortgage enforcement work in Quebec</t>
  </si>
  <si>
    <t xml:space="preserve">Quebec only</t>
  </si>
  <si>
    <t xml:space="preserve">Regulation by province; Enforcement by province; Quebec province page</t>
  </si>
  <si>
    <t xml:space="preserve">The AMF regulates both mortgage brokerage and securities, and the Civil Code's four hypothecary recourses replace power of sale entirely</t>
  </si>
  <si>
    <t xml:space="preserve">Civil Code of Quebec provisions on hypothecary recourses open on a desk</t>
  </si>
  <si>
    <t xml:space="preserve">mortgage-investing-quebec-civil-code.jpg</t>
  </si>
  <si>
    <t xml:space="preserve">AMF took over mortgage brokerage from OACIQ on 1 May 2020 — do not name OACIQ as current. CCQ arts.2748 et seq., 60-day prior notice for immovables, cannot be waived in advance. Verify article numbers at legisquebec.gouv.qc.ca. Quebec does NOT fit the power-of-sale / judicial-sale binary</t>
  </si>
  <si>
    <t xml:space="preserve">How Mortgage Investment Income Is Taxed in Canada</t>
  </si>
  <si>
    <t xml:space="preserve">how are MIC dividends taxed; MIC dividends taxed as interest income; MIC T5 slip</t>
  </si>
  <si>
    <t xml:space="preserve">After-tax calculator; Registered plans; Gross vs net vs after-tax; Corporate investors</t>
  </si>
  <si>
    <t xml:space="preserve">Investor hub; Returns pillar; every comparison page</t>
  </si>
  <si>
    <t xml:space="preserve">Why a MIC dividend is taxed as interest and not as a dividend, what that costs you, and how capital gains dividends differ</t>
  </si>
  <si>
    <t xml:space="preserve">A T5 slip and a MIC distribution statement showing income reported as interest</t>
  </si>
  <si>
    <t xml:space="preserve">mortgage-investment-tax-treatment-canada.jpg</t>
  </si>
  <si>
    <t xml:space="preserve">No-guarantee statement; loss-of-principal risk; 'educational, not investment advice'; author and review date. Tax content must be reviewed by a Canadian tax professional and carry a 'current as of' date.</t>
  </si>
  <si>
    <t xml:space="preserve">ITA s.130.1(2) deems taxable dividends to be interest on a bond — no gross-up, no dividend tax credit. s.130.1(1) 90-day distribution deduction; s.130.1(4) capital gains dividend election. Verify T5 box mechanics with a tax professional</t>
  </si>
  <si>
    <t xml:space="preserve">Holding Mortgage Investments in an RRSP, TFSA or RRIF</t>
  </si>
  <si>
    <t xml:space="preserve">is a MIC RRSP eligible; is a MIC TFSA eligible; mortgage investment RRSP TFSA RRIF eligible; FHSA mortgage investment</t>
  </si>
  <si>
    <t xml:space="preserve">Registered-plan traps; Tax treatment; Self-directed plans; How to invest step by step</t>
  </si>
  <si>
    <t xml:space="preserve">Investor hub; Tax pillar</t>
  </si>
  <si>
    <t xml:space="preserve">Which plans can hold what, how a transfer works, and the two separate tests every registered-plan investor has to pass</t>
  </si>
  <si>
    <t xml:space="preserve">Registered plan transfer paperwork for a mortgage investment held in an RRSP</t>
  </si>
  <si>
    <t xml:space="preserve">mortgage-investments-rrsp-tfsa-rrif.jpg</t>
  </si>
  <si>
    <t xml:space="preserve">Income Tax Regulations 4900(1)(c) for MIC shares as a qualified investment, including the connected-person condition; CRA Income Tax Folios S3-F10-C1 and S3-F10-C2</t>
  </si>
  <si>
    <t xml:space="preserve">The Registered-Plan Trap: When a MIC Becomes a Prohibited Investment</t>
  </si>
  <si>
    <t xml:space="preserve">significant interest 10 percent rule registered plan; qualified investment mortgage investment corporation; non-arm's length mortgage RRSP</t>
  </si>
  <si>
    <t xml:space="preserve">can my RRSP hold shares of a MIC I have a big stake in</t>
  </si>
  <si>
    <t xml:space="preserve">Registered plans; MIC qualification rules; Tax treatment; Direct mortgage investing</t>
  </si>
  <si>
    <t xml:space="preserve">Tax pillar; Registered plans pillar</t>
  </si>
  <si>
    <t xml:space="preserve">The MIC-level 25% cap and the registered-plan 10% cap are different numbers doing different jobs — a valid MIC can still leave your RRSP holding a prohibited investment</t>
  </si>
  <si>
    <t xml:space="preserve">A calculation showing how a shareholding crosses the 10% significant-interest threshold inside a registered plan</t>
  </si>
  <si>
    <t xml:space="preserve">prohibited-investment-rrsp-mic-trap.jpg</t>
  </si>
  <si>
    <t xml:space="preserve">No-guarantee statement; loss-of-principal risk; 'educational, not investment advice'; author and review date. Tax content must be reviewed by a Canadian tax professional and carry a 'current as of' date. This page must carry a clear 'consult a tax professional' instruction.</t>
  </si>
  <si>
    <t xml:space="preserve">ITA s.207.01(1) prohibited investment and significant interest — generally 10% or more of any class, counting non-arm's-length holdings. 50% tax on FMV plus 100% advantage tax; Form RC339. Contrast with s.130.1(6)(d)'s 25% MIC test. CRITICAL GAP — sites say 'RRSP eligible' and stop</t>
  </si>
  <si>
    <t xml:space="preserve">Investing in Mortgages Through a Corporation or Holding Company</t>
  </si>
  <si>
    <t xml:space="preserve">holding company mortgage investment; corporate investment opportunities</t>
  </si>
  <si>
    <t xml:space="preserve">Tax treatment; Investor eligibility; How to invest step by step</t>
  </si>
  <si>
    <t xml:space="preserve">Tax pillar; Investor profiles hub</t>
  </si>
  <si>
    <t xml:space="preserve">How corporate-held mortgage investment income is taxed, and the questions to put to your accountant first</t>
  </si>
  <si>
    <t xml:space="preserve">A modest Canadian professional office — a table, two chairs, a laptop closed, paper notes open. Two people mid-conversation, business-casual, no handshake, no suits-and-skyline styling</t>
  </si>
  <si>
    <t xml:space="preserve">Medium two-shot from the side, natural light, uncluttered background. Aspect ratio 16:9.</t>
  </si>
  <si>
    <t xml:space="preserve">An accountant and a business owner reviewing corporate investment options across a table</t>
  </si>
  <si>
    <t xml:space="preserve">corporate-holdco-mortgage-investment-canada.jpg</t>
  </si>
  <si>
    <t xml:space="preserve">Signals a considered advice conversation rather than a transaction, matching a reader who is evaluating rather than buying. Never: cash piles, gold coins, rising-arrow graphics, luxury cars or watches, handshake-over-skyline stock, guaranteed-return wording in any on-image text.</t>
  </si>
  <si>
    <t xml:space="preserve">No-guarantee statement; loss-of-principal risk; 'educational, not investment advice'; author and review date. Tax content must be reviewed by a Canadian tax professional and carry a 'current as of' date. No-guarantee statement; loss-of-principal risk; 'educational, not investment advice'; author and review date. Explain who might CONSIDER this; never state or imply suitability for any reader.</t>
  </si>
  <si>
    <t xml:space="preserve">Corporate investment income taxation and refundable tax mechanics — verify with a Canadian tax professional. GAP relative to demand</t>
  </si>
  <si>
    <t xml:space="preserve">Non-Residents Investing in Canadian Mortgages</t>
  </si>
  <si>
    <t xml:space="preserve">Tax pillar</t>
  </si>
  <si>
    <t xml:space="preserve">How a MIC dividend is characterised for a non-resident, the withholding that applies, and where a treaty may change it</t>
  </si>
  <si>
    <t xml:space="preserve">Non-resident investor documentation for a Canadian mortgage investment</t>
  </si>
  <si>
    <t xml:space="preserve">non-resident-investing-canadian-mortgages.jpg</t>
  </si>
  <si>
    <t xml:space="preserve">No-guarantee statement; loss-of-principal risk; 'educational, not investment advice'; author and review date. Tax content must be reviewed by a Canadian tax professional and carry a 'current as of' date. Withholding rates and treaty positions must be verified and dated.</t>
  </si>
  <si>
    <t xml:space="preserve">ITA s.130.1(2) with para 214(3)(e) deemed interest; Part XIII withholding and treaty reduction; CRA participating-debt-interest treatment. VERIFY the rate before publishing. Also note s.130.1(6)(c) restricts a MIC from holding debts owing by non-residents</t>
  </si>
  <si>
    <t xml:space="preserve">How to Invest in Mortgages: The Process Step by Step</t>
  </si>
  <si>
    <t xml:space="preserve">7 Investor profiles and process</t>
  </si>
  <si>
    <t xml:space="preserve">mortgage investment process steps; what documents do I need to invest in a MIC; how to invest in a MIC</t>
  </si>
  <si>
    <t xml:space="preserve">Accredited investor; Due-diligence checklist; Registered plans; What to expect as an investor</t>
  </si>
  <si>
    <t xml:space="preserve">Enquiry, eligibility, document review, questions, subscription, funding, confirmation — with what to do at each step</t>
  </si>
  <si>
    <t xml:space="preserve">An investor and a dealing representative reviewing mortgage investment documents together</t>
  </si>
  <si>
    <t xml:space="preserve">how-to-invest-in-mortgages-step-by-step.jpg</t>
  </si>
  <si>
    <t xml:space="preserve">No-guarantee statement; loss-of-principal risk; 'educational, not investment advice'; author and review date. Describe the process; never imply a particular investment is appropriate for the reader.</t>
  </si>
  <si>
    <t xml:space="preserve">NI 31-103 KYC / KYP / suitability process; provincial disclosure obligations</t>
  </si>
  <si>
    <t xml:space="preserve">What to Expect as a Mortgage Investor: Reporting, Statements and Communication</t>
  </si>
  <si>
    <t xml:space="preserve">how do I monitor my mortgage investment; what documents should I receive as a mortgage investor</t>
  </si>
  <si>
    <t xml:space="preserve">what kind of reporting will I get</t>
  </si>
  <si>
    <t xml:space="preserve">How to invest step by step; Reading a MIC's financials; Liquidity and redemption</t>
  </si>
  <si>
    <t xml:space="preserve">Investor hub; Process pillar</t>
  </si>
  <si>
    <t xml:space="preserve">The reporting cadence a Canadian mortgage investor should expect, and what to ask for if it is missing</t>
  </si>
  <si>
    <t xml:space="preserve">A quarterly investor report and distribution statement on a desk</t>
  </si>
  <si>
    <t xml:space="preserve">what-to-expect-mortgage-investor-reporting.jpg</t>
  </si>
  <si>
    <t xml:space="preserve">NI 81-106 continuous disclosure where applicable; provincial administrator reporting obligations</t>
  </si>
  <si>
    <t xml:space="preserve">How Mortgages Are Underwritten — From an Investor's Side of the Table</t>
  </si>
  <si>
    <t xml:space="preserve">borrower creditworthiness mortgage investment; how does a MIC decide which mortgages to fund</t>
  </si>
  <si>
    <t xml:space="preserve">how do you decide which mortgages to invest in</t>
  </si>
  <si>
    <t xml:space="preserve">Due-diligence checklist; LTV explained; Appraisals; How to evaluate a MIC</t>
  </si>
  <si>
    <t xml:space="preserve">Process pillar; Due-diligence hub</t>
  </si>
  <si>
    <t xml:space="preserve">What an underwriter looks at, in what order, and which of those things you can verify yourself</t>
  </si>
  <si>
    <t xml:space="preserve">An underwriting file open to the borrower credit and property valuation sections</t>
  </si>
  <si>
    <t xml:space="preserve">mortgage-underwriting-investor-perspective.jpg</t>
  </si>
  <si>
    <t xml:space="preserve">Standard private-lending underwriting criteria; do not publish specific rate or fee figures</t>
  </si>
  <si>
    <t xml:space="preserve">Minimum Investments and Getting Started: What It Actually Takes</t>
  </si>
  <si>
    <t xml:space="preserve">FAQ hub</t>
  </si>
  <si>
    <t xml:space="preserve">private mortgage investment minimum; how much money do I need to invest in mortgages; can I invest in mortgages with $10,000</t>
  </si>
  <si>
    <t xml:space="preserve">How to invest step by step; Accredited investor; Beginner's guide</t>
  </si>
  <si>
    <t xml:space="preserve">Investor hub; Beginner's guide</t>
  </si>
  <si>
    <t xml:space="preserve">Realistic entry points for pooled and direct investments, and why the minimum is usually not the binding constraint</t>
  </si>
  <si>
    <t xml:space="preserve">An investor reviewing minimum investment requirements for a mortgage investment</t>
  </si>
  <si>
    <t xml:space="preserve">mortgage-investment-minimums-getting-started.jpg</t>
  </si>
  <si>
    <t xml:space="preserve">No-guarantee statement; loss-of-principal risk; 'educational, not investment advice'; author and review date. Do not publish a specific minimum unless it is current and verified.</t>
  </si>
  <si>
    <t xml:space="preserve">Verify against live offering documents; minimums change</t>
  </si>
  <si>
    <t xml:space="preserve">Who Might Consider Mortgage Investing — and Who Probably Should Not</t>
  </si>
  <si>
    <t xml:space="preserve">mortgage investing for retirees Canada; diversify portfolio with mortgage investments</t>
  </si>
  <si>
    <t xml:space="preserve">who should consider a MIC</t>
  </si>
  <si>
    <t xml:space="preserve">Risks pillar; Liquidity and redemption; Alternative fixed income; How to invest step by step</t>
  </si>
  <si>
    <t xml:space="preserve">Investor hub; Investor profiles hub</t>
  </si>
  <si>
    <t xml:space="preserve">Circumstances in which this asset class tends to fit, and the circumstances in which its illiquidity makes it a poor choice</t>
  </si>
  <si>
    <t xml:space="preserve">An investor weighing whether a mortgage investment fits their circumstances at a home desk</t>
  </si>
  <si>
    <t xml:space="preserve">who-should-consider-mortgage-investing.jpg</t>
  </si>
  <si>
    <t xml:space="preserve">No-guarantee statement; loss-of-principal risk; 'educational, not investment advice'; author and review date. Explain who might CONSIDER this; never state or imply suitability for any reader. No-guarantee statement; loss-of-principal risk; 'educational, not investment advice'; author and review date. Risk content must not be softened by a reassurance that undercuts it.</t>
  </si>
  <si>
    <t xml:space="preserve">None; this page carries the highest suitability-language risk on the site. No reader-specific recommendation</t>
  </si>
  <si>
    <t xml:space="preserve">Mortgage Investing for Retirement Income</t>
  </si>
  <si>
    <t xml:space="preserve">monthly income investments Canada; mortgage investing for retirees Canada</t>
  </si>
  <si>
    <t xml:space="preserve">can mortgage investments fund my retirement income</t>
  </si>
  <si>
    <t xml:space="preserve">Monthly income; Registered plans; Liquidity and redemption; Risks pillar</t>
  </si>
  <si>
    <t xml:space="preserve">Investor profiles hub</t>
  </si>
  <si>
    <t xml:space="preserve">Income timing against liquidity needs, and why a retiree's redemption horizon deserves particular attention</t>
  </si>
  <si>
    <t xml:space="preserve">A retired investor reviewing monthly income statements at a kitchen table</t>
  </si>
  <si>
    <t xml:space="preserve">mortgage-investing-retirement-income-canada.jpg</t>
  </si>
  <si>
    <t xml:space="preserve">No-guarantee statement; loss-of-principal risk; 'educational, not investment advice'; author and review date. Explain who might CONSIDER this; never state or imply suitability for any reader. No-guarantee statement; loss-of-principal risk; 'educational, not investment advice'; author and review date. Risk content must not be softened by a reassurance that undercuts it. Retirement framing requires explicit liquidity and capital-loss warnings.</t>
  </si>
  <si>
    <t xml:space="preserve">None; avoid any drawdown modelling that implies a guaranteed income stream</t>
  </si>
  <si>
    <t xml:space="preserve">Short-Duration Mortgage Investments for Investors Who Need Flexibility</t>
  </si>
  <si>
    <t xml:space="preserve">bridge mortgage investing; lock up period mortgage investment</t>
  </si>
  <si>
    <t xml:space="preserve">are MIC funds a good option for short term investments</t>
  </si>
  <si>
    <t xml:space="preserve">Bridge investments; Liquidity and redemption; Reinvestment risk</t>
  </si>
  <si>
    <t xml:space="preserve">What 'short term' means in this asset class, and why a short mortgage term is not the same as short-term access to your money</t>
  </si>
  <si>
    <t xml:space="preserve">A short-term mortgage investment document alongside a redemption notice period schedule</t>
  </si>
  <si>
    <t xml:space="preserve">short-term-mortgage-investments-canada.jpg</t>
  </si>
  <si>
    <t xml:space="preserve">No-guarantee statement; loss-of-principal risk; 'educational, not investment advice'; author and review date. Risk content must not be softened by a reassurance that undercuts it. Distinguish mortgage term from investor liquidity explicitly.</t>
  </si>
  <si>
    <t xml:space="preserve">Verify redemption notice periods against live offering documents</t>
  </si>
  <si>
    <t xml:space="preserve">Building Real-Estate Exposure Without Becoming a Landlord</t>
  </si>
  <si>
    <t xml:space="preserve">passive real estate investing Canada; mortgage passive income</t>
  </si>
  <si>
    <t xml:space="preserve">how do I get real estate exposure without buying property</t>
  </si>
  <si>
    <t xml:space="preserve">vs rental property; vs REIT; Monthly income; Risks pillar</t>
  </si>
  <si>
    <t xml:space="preserve">Passive income pillar; Comparison hub</t>
  </si>
  <si>
    <t xml:space="preserve">Debt exposure to Canadian housing without tenants, maintenance or a property manager — and what you forgo in exchange</t>
  </si>
  <si>
    <t xml:space="preserve">A Canadian residential street representing property exposure held through mortgages rather than ownership</t>
  </si>
  <si>
    <t xml:space="preserve">real-estate-exposure-without-landlord.jpg</t>
  </si>
  <si>
    <t xml:space="preserve">None; ensure the loss of appreciation upside is stated as clearly as the convenience benefit</t>
  </si>
  <si>
    <t xml:space="preserve">Mortgage Investing as Passive Income in Canada</t>
  </si>
  <si>
    <t xml:space="preserve">passive income Canada mortgage; monthly income investments Canada; passive real estate investing Canada</t>
  </si>
  <si>
    <t xml:space="preserve">could I use mortgage investing as a passive income source</t>
  </si>
  <si>
    <t xml:space="preserve">Monthly income; vs rental property; Risks pillar; After-tax calculator</t>
  </si>
  <si>
    <t xml:space="preserve">Investor hub; Homepage</t>
  </si>
  <si>
    <t xml:space="preserve">What 'passive' honestly means here — no management, but also no control, limited liquidity and real credit risk</t>
  </si>
  <si>
    <t xml:space="preserve">An investor reviewing a monthly distribution statement in a home office</t>
  </si>
  <si>
    <t xml:space="preserve">mortgage-investing-passive-income-canada.jpg</t>
  </si>
  <si>
    <t xml:space="preserve">No-guarantee statement; loss-of-principal risk; 'educational, not investment advice'; author and review date. Any return figure needs a stated period, source and a past-performance caveat. Publish mechanics, not rate promises. The word 'passive' must not be allowed to imply 'safe'.</t>
  </si>
  <si>
    <t xml:space="preserve">The Canadian Mortgage Investment Market in Numbers</t>
  </si>
  <si>
    <t xml:space="preserve">8 Tools, data and reference</t>
  </si>
  <si>
    <t xml:space="preserve">how many MICs are there in Canada; largest MICs in Canada; MIC delinquency rate Canada</t>
  </si>
  <si>
    <t xml:space="preserve">what is the size of the MIC market in Canada</t>
  </si>
  <si>
    <t xml:space="preserve">What is a MIC; MIC vs MIE; Concentration; Risks pillar</t>
  </si>
  <si>
    <t xml:space="preserve">Investor hub; every data citation</t>
  </si>
  <si>
    <t xml:space="preserve">Market share, assets, growth and delinquency drawn from CMHC and provincial regulator reporting, each figure dated</t>
  </si>
  <si>
    <t xml:space="preserve">A chart of the Canadian mortgage investment entity market by share of originations and outstanding balances</t>
  </si>
  <si>
    <t xml:space="preserve">canadian-mortgage-investment-market-data.jpg</t>
  </si>
  <si>
    <t xml:space="preserve">No-guarantee statement; loss-of-principal risk; 'educational, not investment advice'; author and review date. Every figure needs its source, reporting period and a note that it will age.</t>
  </si>
  <si>
    <t xml:space="preserve">CMHC Residential Mortgage Industry Report for MIE share, assets, growth and delinquency; FSRA private residential mortgage lending report for Ontario volumes, lender counts and administrator counts. State the reporting period for each</t>
  </si>
  <si>
    <t xml:space="preserve">Mortgage Investing in Ontario</t>
  </si>
  <si>
    <t xml:space="preserve">private mortgage investing Ontario; mortgage investment corporation Ontario; mortgage investment opportunities Ontario; invest in mortgages Ontario</t>
  </si>
  <si>
    <t xml:space="preserve">how do I invest in mortgages in Ontario</t>
  </si>
  <si>
    <t xml:space="preserve">PRIORITY province page — deepest market by volume and lender count</t>
  </si>
  <si>
    <t xml:space="preserve">Regulation in Ontario; Power of sale; GTA region page; Market data</t>
  </si>
  <si>
    <t xml:space="preserve">Province hub; Homepage</t>
  </si>
  <si>
    <t xml:space="preserve">The Ontario market, its regulator, its enforcement route, and where the private lending activity actually is</t>
  </si>
  <si>
    <t xml:space="preserve">A chart of Ontario private mortgage lending activity by lender type</t>
  </si>
  <si>
    <t xml:space="preserve">mortgage-investing-ontario.jpg</t>
  </si>
  <si>
    <t xml:space="preserve">No-guarantee statement; loss-of-principal risk; 'educational, not investment advice'; author and review date. Regulatory claims verified against the primary statute/regulator page cited, with a 'current as of' date. No-guarantee statement; loss-of-principal risk; 'educational, not investment advice'; author and review date.</t>
  </si>
  <si>
    <t xml:space="preserve">FSRA private residential mortgage lending report with period stated; FSRA licensing data; MBLAA 2006</t>
  </si>
  <si>
    <t xml:space="preserve">Mortgage Investing in the Greater Toronto Area</t>
  </si>
  <si>
    <t xml:space="preserve">mortgage investing Toronto; private mortgage investment Greater Toronto Area</t>
  </si>
  <si>
    <t xml:space="preserve">how do I invest in mortgages in Toronto</t>
  </si>
  <si>
    <t xml:space="preserve">Build as a region page UNDER Ontario, not as a standalone city page</t>
  </si>
  <si>
    <t xml:space="preserve">Mortgage investing Ontario; Concentration risk; Market data</t>
  </si>
  <si>
    <t xml:space="preserve">Ontario province page</t>
  </si>
  <si>
    <t xml:space="preserve">GTA concentration — why so much of the sector's book sits here, and why that is both the opportunity and the risk</t>
  </si>
  <si>
    <t xml:space="preserve">A chart of mortgage investment portfolio concentration in the Greater Toronto Area</t>
  </si>
  <si>
    <t xml:space="preserve">mortgage-investing-gta-toronto.jpg</t>
  </si>
  <si>
    <t xml:space="preserve">No-guarantee statement; loss-of-principal risk; 'educational, not investment advice'; author and review date. Regulatory claims verified against the primary statute/regulator page cited, with a 'current as of' date. No-guarantee statement; loss-of-principal risk; 'educational, not investment advice'; author and review date. Risk content must not be softened by a reassurance that undercuts it.</t>
  </si>
  <si>
    <t xml:space="preserve">CMHC has attributed part of MIE delinquency deterioration to Toronto exposure — cite with period. Do NOT build 'private mortgage lender Toronto' pages: that phrase carries borrower intent</t>
  </si>
  <si>
    <t xml:space="preserve">Mortgage Investing in British Columbia</t>
  </si>
  <si>
    <t xml:space="preserve">mortgage investment corporation BC; private lending BC; invest in mortgages BC</t>
  </si>
  <si>
    <t xml:space="preserve">how do I invest in mortgages in BC</t>
  </si>
  <si>
    <t xml:space="preserve">PRIORITY province page — clear second market</t>
  </si>
  <si>
    <t xml:space="preserve">Regulation in BC; Enforcement in BC; Market data</t>
  </si>
  <si>
    <t xml:space="preserve">Province hub</t>
  </si>
  <si>
    <t xml:space="preserve">The BC market, judicial enforcement, and the licensing change arriving 13 October 2026</t>
  </si>
  <si>
    <t xml:space="preserve">A chart of British Columbia mortgage investment activity and portfolio concentration</t>
  </si>
  <si>
    <t xml:space="preserve">mortgage-investing-british-columbia.jpg</t>
  </si>
  <si>
    <t xml:space="preserve">No-guarantee statement; loss-of-principal risk; 'educational, not investment advice'; author and review date. Regulatory claims verified against the primary statute/regulator page cited, with a 'current as of' date. TIME-CRITICAL — needs a prominent review date because of the MSA.</t>
  </si>
  <si>
    <t xml:space="preserve">BCFSA; Mortgage Brokers Act; Mortgage Services Act in force 13 Oct 2026; industry data on BC's share of MIC holdings with period stated</t>
  </si>
  <si>
    <t xml:space="preserve">Mortgage Investing in Alberta</t>
  </si>
  <si>
    <t xml:space="preserve">invest in mortgages Alberta; mortgage investment corporation Alberta; private mortgage investing BC and Alberta</t>
  </si>
  <si>
    <t xml:space="preserve">how do I invest in mortgages in Alberta</t>
  </si>
  <si>
    <t xml:space="preserve">Secondary province page; several operators market BC and AB together — consider a combined page</t>
  </si>
  <si>
    <t xml:space="preserve">Regulation in Alberta; Enforcement in Alberta; Market data</t>
  </si>
  <si>
    <t xml:space="preserve">The Alberta market, judicial sale, and the personal-covenant restriction that changes recovery maths for individual borrowers</t>
  </si>
  <si>
    <t xml:space="preserve">A chart of Alberta mortgage investment activity by property type and region</t>
  </si>
  <si>
    <t xml:space="preserve">mortgage-investing-alberta.jpg</t>
  </si>
  <si>
    <t xml:space="preserve">RECA; Real Estate Act; Law of Property Act judicial sale and the personal-covenant restriction for individual borrowers</t>
  </si>
  <si>
    <t xml:space="preserve">Mortgage Investing in Ottawa and the National Capital Region</t>
  </si>
  <si>
    <t xml:space="preserve">mortgage investment opportunities Ontario; private mortgage investing Ontario</t>
  </si>
  <si>
    <t xml:space="preserve">how do I invest in mortgages in Ottawa</t>
  </si>
  <si>
    <t xml:space="preserve">One page, as a section under Ontario. Modest but real investor-side presence</t>
  </si>
  <si>
    <t xml:space="preserve">Mortgage investing Ontario; Regulation in Ontario</t>
  </si>
  <si>
    <t xml:space="preserve">The National Capital Region as a distinct Ontario sub-market</t>
  </si>
  <si>
    <t xml:space="preserve">A chart of mortgage lending activity in the Ottawa and National Capital Region market</t>
  </si>
  <si>
    <t xml:space="preserve">mortgage-investing-ottawa-ncr.jpg</t>
  </si>
  <si>
    <t xml:space="preserve">Ontario regional lending data if available with period stated</t>
  </si>
  <si>
    <t xml:space="preserve">Mortgage Investing in Quebec, the Prairies and Atlantic Canada</t>
  </si>
  <si>
    <t xml:space="preserve">mortgage investing Manitoba; mortgage investing Saskatchewan; mortgage investing Atlantic Canada; mortgage investing Prairies Canada</t>
  </si>
  <si>
    <t xml:space="preserve">how does mortgage investing differ outside Ontario BC and Alberta</t>
  </si>
  <si>
    <t xml:space="preserve">QC / MB / SK / Atlantic</t>
  </si>
  <si>
    <t xml:space="preserve">Consolidate rather than building separate thin province pages. Do NOT build Halifax, Hamilton, London or Kitchener-Waterloo investor pages</t>
  </si>
  <si>
    <t xml:space="preserve">Regulation by province; Enforcement by province; Regulation in Quebec</t>
  </si>
  <si>
    <t xml:space="preserve">Province hub; Regulation pillar</t>
  </si>
  <si>
    <t xml:space="preserve">One consolidated page covering the provinces where investor-side activity is thin but the legal differences are real — Quebec's Civil Code recourses, Saskatchewan's court-leave requirement, Manitoba's registrar-led process</t>
  </si>
  <si>
    <t xml:space="preserve">A map of Canada highlighting provincial differences in mortgage enforcement outside the three largest markets</t>
  </si>
  <si>
    <t xml:space="preserve">mortgage-investing-quebec-prairies-atlantic.jpg</t>
  </si>
  <si>
    <t xml:space="preserve">QC CCQ arts.2748 et seq.; SK Land Contracts (Actions) Act leave requirement and deficiency bar; MB process is DISPUTED between sources — describe mechanics only; NS judicial; NB and NL and PEI power of sale; NL statute replaced 1 Apr 2025; PEI licensing regime UNVERIFIED</t>
  </si>
  <si>
    <t xml:space="preserve">Mortgage Investing FAQ: 60 Questions Canadian Investors Ask</t>
  </si>
  <si>
    <t xml:space="preserve">mortgage investment FAQ Canada</t>
  </si>
  <si>
    <t xml:space="preserve">mortgage investing questions; what is a MIC; are MIC investments guaranteed</t>
  </si>
  <si>
    <t xml:space="preserve">what questions should I ask before investing in mortgages</t>
  </si>
  <si>
    <t xml:space="preserve">Every pillar page; Glossary; Due-diligence checklist</t>
  </si>
  <si>
    <t xml:space="preserve">Investor hub; every article</t>
  </si>
  <si>
    <t xml:space="preserve">The questions investors actually ask, in their own words, each answered in two or three sentences with a link to the full treatment</t>
  </si>
  <si>
    <t xml:space="preserve">A list of frequently asked mortgage investment questions with answers on a desk</t>
  </si>
  <si>
    <t xml:space="preserve">mortgage-investing-faq-canada.jpg</t>
  </si>
  <si>
    <t xml:space="preserve">No-guarantee statement; loss-of-principal risk; 'educational, not investment advice'; author and review date. No-guarantee statement; loss-of-principal risk; 'educational, not investment advice'; author and review date. Risk content must not be softened by a reassurance that undercuts it.</t>
  </si>
  <si>
    <t xml:space="preserve">Questions sourced from live Canadian investor FAQ pages and forums. Each answer must be consistent with its full article — audit for contradictions before publishing</t>
  </si>
  <si>
    <t xml:space="preserve">TAB 3 — SEO &amp; ARTICLE CREATION GUIDELINES</t>
  </si>
  <si>
    <t xml:space="preserve">Editorial standard, answer-engine format rules, imagery specification, compliance layer and pre-publication gate. Compiled 29 September 2026.</t>
  </si>
  <si>
    <t xml:space="preserve">Sections A-D are the 32-step editorial standard, in order, applied to every article.</t>
  </si>
  <si>
    <t xml:space="preserve">Sections E-G cover answer-engine formatting, the ten elements every article must establish, and the featured-image specification.</t>
  </si>
  <si>
    <t xml:space="preserve">Sections H-I are the compliance layer: the disclosure library and the prohibited-language scan.</t>
  </si>
  <si>
    <t xml:space="preserve">Section J is the conclusion and CTA standard. Section K is the pre-publication gate — every line must pass before an article goes live.</t>
  </si>
  <si>
    <t xml:space="preserve">Section L is the time-sensitive review register. It names the provisions that research could NOT verify verbatim, and the dated changes that will make content wrong if left unreviewed.</t>
  </si>
  <si>
    <t xml:space="preserve">L1 is live and imminent: British Columbia's Mortgage Services Act takes effect 13 October 2026 and makes mortgage lending and mortgage administration licensed activities. Every BC page depends on it.</t>
  </si>
  <si>
    <t xml:space="preserve">Column F names who is accountable. Tax and regulatory content requires a qualified reviewer, not an editor.</t>
  </si>
  <si>
    <t xml:space="preserve">Section</t>
  </si>
  <si>
    <t xml:space="preserve">Ref</t>
  </si>
  <si>
    <t xml:space="preserve">Requirement</t>
  </si>
  <si>
    <t xml:space="preserve">What good looks like</t>
  </si>
  <si>
    <t xml:space="preserve">Done when / verification</t>
  </si>
  <si>
    <t xml:space="preserve">Owner</t>
  </si>
  <si>
    <t xml:space="preserve">Applies to</t>
  </si>
  <si>
    <t xml:space="preserve">A. Research first — before a word is written</t>
  </si>
  <si>
    <t xml:space="preserve">1</t>
  </si>
  <si>
    <t xml:space="preserve">Identify the primary search intent.</t>
  </si>
  <si>
    <t xml:space="preserve">One sentence naming what the searcher wants: to understand, to compare, to assess risk, or to act. Written at the top of the brief, not inferred later.</t>
  </si>
  <si>
    <t xml:space="preserve">The brief states the intent and the draft's structure visibly serves it.</t>
  </si>
  <si>
    <t xml:space="preserve">Writer</t>
  </si>
  <si>
    <t xml:space="preserve">Every article</t>
  </si>
  <si>
    <t xml:space="preserve">2</t>
  </si>
  <si>
    <t xml:space="preserve">Select one primary keyword and appropriate secondary / semantic keywords from Tab 1.</t>
  </si>
  <si>
    <t xml:space="preserve">Exactly one primary. Three to six secondaries drawn from the same Tab 1 cluster. One long-tail question phrased the way investors actually phrase it.</t>
  </si>
  <si>
    <t xml:space="preserve">Keywords are recorded on the brief and each appears in Tab 1 — not invented at the desk.</t>
  </si>
  <si>
    <t xml:space="preserve">SEO lead</t>
  </si>
  <si>
    <t xml:space="preserve">3</t>
  </si>
  <si>
    <t xml:space="preserve">Research current Canadian information from authoritative sources.</t>
  </si>
  <si>
    <t xml:space="preserve">Regulator sites, statutes, CMHC and provincial regulator reports, CRA. Not competitor blog posts, and not the model's own recall.</t>
  </si>
  <si>
    <t xml:space="preserve">At least two primary or clearly authoritative Canadian sources are cited in the draft.</t>
  </si>
  <si>
    <t xml:space="preserve">4</t>
  </si>
  <si>
    <t xml:space="preserve">Verify rates, regulations, taxation and other time-sensitive information before publication.</t>
  </si>
  <si>
    <t xml:space="preserve">Every such claim traced to its own primary source on the day of writing. Regulator names and statute titles checked against the regulator's own page.</t>
  </si>
  <si>
    <t xml:space="preserve">Each time-sensitive claim carries a source and a date in the draft. Nothing is asserted from memory.</t>
  </si>
  <si>
    <t xml:space="preserve">5</t>
  </si>
  <si>
    <t xml:space="preserve">Cite authoritative sources.</t>
  </si>
  <si>
    <t xml:space="preserve">Inline attribution a reader can follow, plus a source list. Statute sections cited by number.</t>
  </si>
  <si>
    <t xml:space="preserve">Every factual claim that is not common knowledge has a traceable source.</t>
  </si>
  <si>
    <t xml:space="preserve">6</t>
  </si>
  <si>
    <t xml:space="preserve">State the date or period applicable to time-sensitive statistics.</t>
  </si>
  <si>
    <t xml:space="preserve">"As at Q3 2025" or "for the 2024 calendar year", beside the figure — not only in a footer.</t>
  </si>
  <si>
    <t xml:space="preserve">No undated statistic appears anywhere in the article.</t>
  </si>
  <si>
    <t xml:space="preserve">Editor</t>
  </si>
  <si>
    <t xml:space="preserve">B. Structure and on-page</t>
  </si>
  <si>
    <t xml:space="preserve">7</t>
  </si>
  <si>
    <t xml:space="preserve">Answer the primary search question early.</t>
  </si>
  <si>
    <t xml:space="preserve">A direct answer inside the first 120 words, before any context or background. If the honest answer is 'it depends', say what it depends on immediately.</t>
  </si>
  <si>
    <t xml:space="preserve">The answer is extractable from the opening paragraph with no further reading.</t>
  </si>
  <si>
    <t xml:space="preserve">8</t>
  </si>
  <si>
    <t xml:space="preserve">Use a clear H1.</t>
  </si>
  <si>
    <t xml:space="preserve">One H1 per page, containing the primary keyword, readable as a human sentence rather than a keyword string.</t>
  </si>
  <si>
    <t xml:space="preserve">Exactly one H1 exists and it matches the page's actual subject.</t>
  </si>
  <si>
    <t xml:space="preserve">9</t>
  </si>
  <si>
    <t xml:space="preserve">Create logically structured H2 and H3 sections.</t>
  </si>
  <si>
    <t xml:space="preserve">H2s that each answer a distinct question and make sense read in isolation. No heading-level jumps.</t>
  </si>
  <si>
    <t xml:space="preserve">The H2 list alone reads as a coherent outline of the topic.</t>
  </si>
  <si>
    <t xml:space="preserve">10</t>
  </si>
  <si>
    <t xml:space="preserve">Use the primary keyword naturally in the title, introduction and relevant headings.</t>
  </si>
  <si>
    <t xml:space="preserve">Present where it belongs and absent where it would read oddly. Natural variants count.</t>
  </si>
  <si>
    <t xml:space="preserve">A reader cannot tell which phrase was the target.</t>
  </si>
  <si>
    <t xml:space="preserve">11</t>
  </si>
  <si>
    <t xml:space="preserve">Avoid keyword stuffing.</t>
  </si>
  <si>
    <t xml:space="preserve">No repetition that a careful human writer would not have produced.</t>
  </si>
  <si>
    <t xml:space="preserve">Reading the draft aloud reveals no unnatural repetition.</t>
  </si>
  <si>
    <t xml:space="preserve">12</t>
  </si>
  <si>
    <t xml:space="preserve">Write naturally for both humans and AI / search engines.</t>
  </si>
  <si>
    <t xml:space="preserve">Plain declarative sentences. Self-contained passages. No padding written to hit a length.</t>
  </si>
  <si>
    <t xml:space="preserve">Any single section could be quoted on its own and still make sense.</t>
  </si>
  <si>
    <t xml:space="preserve">13</t>
  </si>
  <si>
    <t xml:space="preserve">Define technical mortgage terminology.</t>
  </si>
  <si>
    <t xml:space="preserve">Every term defined at first use in one clause, and linked to the glossary. Use Canadian register: 'first mortgage' and 'first position', not the UK 'first charge'.</t>
  </si>
  <si>
    <t xml:space="preserve">No undefined jargon survives a read by someone outside the industry.</t>
  </si>
  <si>
    <t xml:space="preserve">14</t>
  </si>
  <si>
    <t xml:space="preserve">Explain who, what, where, when, why and how.</t>
  </si>
  <si>
    <t xml:space="preserve">All six answered somewhere in the article, not necessarily as headings.</t>
  </si>
  <si>
    <t xml:space="preserve">Each of the six can be pointed to in the draft.</t>
  </si>
  <si>
    <t xml:space="preserve">C. Substance, examples and numbers</t>
  </si>
  <si>
    <t xml:space="preserve">15</t>
  </si>
  <si>
    <t xml:space="preserve">Include practical examples.</t>
  </si>
  <si>
    <t xml:space="preserve">A realistic Canadian scenario with a property, a position, an LTV and a term. Clearly labelled as illustrative.</t>
  </si>
  <si>
    <t xml:space="preserve">At least one concrete worked scenario appears.</t>
  </si>
  <si>
    <t xml:space="preserve">16</t>
  </si>
  <si>
    <t xml:space="preserve">Include numerical examples where appropriate.</t>
  </si>
  <si>
    <t xml:space="preserve">Round, plainly-stated numbers whose arithmetic the reader can follow and check.</t>
  </si>
  <si>
    <t xml:space="preserve">Every figure in the example can be reproduced by hand from the stated inputs.</t>
  </si>
  <si>
    <t xml:space="preserve">17</t>
  </si>
  <si>
    <t xml:space="preserve">Include comparison tables where useful.</t>
  </si>
  <si>
    <t xml:space="preserve">Real differentiating dimensions, both columns filled honestly, no column engineered to win.</t>
  </si>
  <si>
    <t xml:space="preserve">The table would be accepted as fair by someone selling the alternative.</t>
  </si>
  <si>
    <t xml:space="preserve">18</t>
  </si>
  <si>
    <t xml:space="preserve">Include calculation examples for interest, LTV, returns and cash flow where appropriate.</t>
  </si>
  <si>
    <t xml:space="preserve">The calculation shown step by step, including the deductions most sources omit — fees, then tax.</t>
  </si>
  <si>
    <t xml:space="preserve">The worked calculation has been checked independently by a second person.</t>
  </si>
  <si>
    <t xml:space="preserve">19</t>
  </si>
  <si>
    <t xml:space="preserve">Explain both potential benefits and material risks.</t>
  </si>
  <si>
    <t xml:space="preserve">Risk given comparable space and prominence to benefit, in the same voice — not quarantined in a closing paragraph.</t>
  </si>
  <si>
    <t xml:space="preserve">Removing the benefits would leave a coherent risk discussion, and vice versa.</t>
  </si>
  <si>
    <t xml:space="preserve">Reviewer (compliance)</t>
  </si>
  <si>
    <t xml:space="preserve">20</t>
  </si>
  <si>
    <t xml:space="preserve">Include an investor due-diligence checklist where appropriate.</t>
  </si>
  <si>
    <t xml:space="preserve">Specific, checkable items naming the document or figure to look at, not general encouragement to 'do your research'.</t>
  </si>
  <si>
    <t xml:space="preserve">Each item names something a reader could actually go and verify.</t>
  </si>
  <si>
    <t xml:space="preserve">21</t>
  </si>
  <si>
    <t xml:space="preserve">Address common investor mistakes.</t>
  </si>
  <si>
    <t xml:space="preserve">Mistakes grounded in observed investor questions and real sector failures, not invented for symmetry.</t>
  </si>
  <si>
    <t xml:space="preserve">Each mistake traces to a real question, forum post, regulator alert or documented failure.</t>
  </si>
  <si>
    <t xml:space="preserve">22</t>
  </si>
  <si>
    <t xml:space="preserve">Include FAQs based on genuine search questions.</t>
  </si>
  <si>
    <t xml:space="preserve">Questions taken from Tab 1's conversational block — real investor phrasing, not tidied-up marketing questions.</t>
  </si>
  <si>
    <t xml:space="preserve">Every FAQ question appears in Tab 1 or in the research record behind it.</t>
  </si>
  <si>
    <t xml:space="preserve">23</t>
  </si>
  <si>
    <t xml:space="preserve">Incorporate relevant province-specific information.</t>
  </si>
  <si>
    <t xml:space="preserve">Named provinces with their own regulator, statute and enforcement route. Never one province's rule generalised to Canada.</t>
  </si>
  <si>
    <t xml:space="preserve">No provincial claim is stated nationally, and each is separately sourced.</t>
  </si>
  <si>
    <t xml:space="preserve">24</t>
  </si>
  <si>
    <t xml:space="preserve">Link internally to related educational content.</t>
  </si>
  <si>
    <t xml:space="preserve">Three to eight contextual links using descriptive anchors, following the Tab 2 link plan in both directions.</t>
  </si>
  <si>
    <t xml:space="preserve">Links match the article's Tab 2 row, and the linked-from pages have been updated too.</t>
  </si>
  <si>
    <t xml:space="preserve">25</t>
  </si>
  <si>
    <t xml:space="preserve">Link to or cite authoritative external sources where appropriate.</t>
  </si>
  <si>
    <t xml:space="preserve">Regulators, statutes, CRA, CMHC. Not competitors, and not content farms.</t>
  </si>
  <si>
    <t xml:space="preserve">Every external link resolves and supports the specific claim beside it.</t>
  </si>
  <si>
    <t xml:space="preserve">D. Integrity, attribution and compliance</t>
  </si>
  <si>
    <t xml:space="preserve">26</t>
  </si>
  <si>
    <t xml:space="preserve">Include expert commentary only when attributable to an identifiable, credible source.</t>
  </si>
  <si>
    <t xml:space="preserve">A named person with a stated role who actually said it, or no quotation at all.</t>
  </si>
  <si>
    <t xml:space="preserve">Every quotation has a real, named, verifiable source.</t>
  </si>
  <si>
    <t xml:space="preserve">27</t>
  </si>
  <si>
    <t xml:space="preserve">Separate factual information from opinion.</t>
  </si>
  <si>
    <t xml:space="preserve">Fact stated plainly with its source; judgement signalled as judgement.</t>
  </si>
  <si>
    <t xml:space="preserve">A reader can tell, sentence by sentence, which is which.</t>
  </si>
  <si>
    <t xml:space="preserve">28</t>
  </si>
  <si>
    <t xml:space="preserve">Never manufacture quotations, statistics, returns or expert opinions.</t>
  </si>
  <si>
    <t xml:space="preserve">Absolute. A gap is left visible, or the claim is cut. An invented figure that looks plausible is worse than no figure.</t>
  </si>
  <si>
    <t xml:space="preserve">Every number and quotation traces to a source. Anything unverifiable has been removed, not softened.</t>
  </si>
  <si>
    <t xml:space="preserve">29</t>
  </si>
  <si>
    <t xml:space="preserve">Never describe returns, principal or income as guaranteed unless legally and factually guaranteed.</t>
  </si>
  <si>
    <t xml:space="preserve">In this asset class, nothing is. 'Target', 'historical' and 'not guaranteed' are the available words.</t>
  </si>
  <si>
    <t xml:space="preserve">A search for guarantee, guaranteed, secure, safe, assured, fixed return and principal protected returns nothing unsupportable.</t>
  </si>
  <si>
    <t xml:space="preserve">30</t>
  </si>
  <si>
    <t xml:space="preserve">Explain that higher potential returns generally involve additional risk.</t>
  </si>
  <si>
    <t xml:space="preserve">Stated where the yield is discussed, not only in a closing disclaimer.</t>
  </si>
  <si>
    <t xml:space="preserve">Every yield or return discussion has the risk relationship adjacent to it.</t>
  </si>
  <si>
    <t xml:space="preserve">31</t>
  </si>
  <si>
    <t xml:space="preserve">Include appropriate investment / risk disclosures.</t>
  </si>
  <si>
    <t xml:space="preserve">The disclosure set from section H, matched to the article type, in the body where it is relevant.</t>
  </si>
  <si>
    <t xml:space="preserve">Required disclosures for that article type are present and in context.</t>
  </si>
  <si>
    <t xml:space="preserve">32</t>
  </si>
  <si>
    <t xml:space="preserve">Review the article for regulatory and factual accuracy before publication.</t>
  </si>
  <si>
    <t xml:space="preserve">A second reader with the sources open. Tax and regulatory pages additionally reviewed by a qualified professional.</t>
  </si>
  <si>
    <t xml:space="preserve">The section I sign-off gate is complete and recorded.</t>
  </si>
  <si>
    <t xml:space="preserve">Legal / licensed reviewer</t>
  </si>
  <si>
    <t xml:space="preserve">E. Google and AI answer-engine format</t>
  </si>
  <si>
    <t xml:space="preserve">E1</t>
  </si>
  <si>
    <t xml:space="preserve">Direct question-and-answer sections</t>
  </si>
  <si>
    <t xml:space="preserve">H2 phrased as the investor's actual question, answered in the first two sentences beneath it.</t>
  </si>
  <si>
    <t xml:space="preserve">Present and correctly formed; the passage survives being read in isolation.</t>
  </si>
  <si>
    <t xml:space="preserve">E2</t>
  </si>
  <si>
    <t xml:space="preserve">Concise definitions</t>
  </si>
  <si>
    <t xml:space="preserve">A one-sentence definition of the page's core entity, positioned early and quotable without surrounding context.</t>
  </si>
  <si>
    <t xml:space="preserve">E3</t>
  </si>
  <si>
    <t xml:space="preserve">Descriptive headings</t>
  </si>
  <si>
    <t xml:space="preserve">Headings that state their content. Never 'Overview', 'Introduction', 'Key considerations' or 'Final thoughts'.</t>
  </si>
  <si>
    <t xml:space="preserve">E4</t>
  </si>
  <si>
    <t xml:space="preserve">Numbered processes</t>
  </si>
  <si>
    <t xml:space="preserve">Sequential steps numbered, each step beginning with a verb.</t>
  </si>
  <si>
    <t xml:space="preserve">E5</t>
  </si>
  <si>
    <t xml:space="preserve">Bullet points where useful</t>
  </si>
  <si>
    <t xml:space="preserve">Only for genuinely parallel items. Prose for reasoning and explanation.</t>
  </si>
  <si>
    <t xml:space="preserve">E6</t>
  </si>
  <si>
    <t xml:space="preserve">Comparison tables</t>
  </si>
  <si>
    <t xml:space="preserve">Labelled columns, a stated basis of comparison, no empty cells.</t>
  </si>
  <si>
    <t xml:space="preserve">E7</t>
  </si>
  <si>
    <t xml:space="preserve">FAQ sections</t>
  </si>
  <si>
    <t xml:space="preserve">Real investor phrasing from Tab 1, each answer self-contained in two to four sentences.</t>
  </si>
  <si>
    <t xml:space="preserve">E8</t>
  </si>
  <si>
    <t xml:space="preserve">Worked examples</t>
  </si>
  <si>
    <t xml:space="preserve">Inputs stated, arithmetic shown, result labelled illustrative.</t>
  </si>
  <si>
    <t xml:space="preserve">E9</t>
  </si>
  <si>
    <t xml:space="preserve">Key takeaways</t>
  </si>
  <si>
    <t xml:space="preserve">Three to five sentences that hold up if lifted out of the page entirely.</t>
  </si>
  <si>
    <t xml:space="preserve">E10</t>
  </si>
  <si>
    <t xml:space="preserve">Original calculations and data where appropriate</t>
  </si>
  <si>
    <t xml:space="preserve">The site's own worked figures and charts — the most defensible reason for an answer engine to cite this page rather than a competitor.</t>
  </si>
  <si>
    <t xml:space="preserve">E11</t>
  </si>
  <si>
    <t xml:space="preserve">Clear citations and source attribution</t>
  </si>
  <si>
    <t xml:space="preserve">Source named in the sentence, not hidden behind an unlabelled link.</t>
  </si>
  <si>
    <t xml:space="preserve">E12</t>
  </si>
  <si>
    <t xml:space="preserve">Relevant internal links</t>
  </si>
  <si>
    <t xml:space="preserve">Descriptive anchors that tell the reader where they are going.</t>
  </si>
  <si>
    <t xml:space="preserve">E13</t>
  </si>
  <si>
    <t xml:space="preserve">Do not write for keyword density</t>
  </si>
  <si>
    <t xml:space="preserve">If a sentence exists to carry a keyword, cut it.</t>
  </si>
  <si>
    <t xml:space="preserve">E14</t>
  </si>
  <si>
    <t xml:space="preserve">Structured data</t>
  </si>
  <si>
    <t xml:space="preserve">Article or FAQPage schema matching the visible content exactly. Never mark up an FAQ the page does not display.</t>
  </si>
  <si>
    <t xml:space="preserve">F. The ten elements every article must establish</t>
  </si>
  <si>
    <t xml:space="preserve">F1</t>
  </si>
  <si>
    <t xml:space="preserve">Entity: What investment or product is being discussed? Name it precisely, and distinguish it from adjacent structures.</t>
  </si>
  <si>
    <t xml:space="preserve">Explicitly addressed in the body. A reader should not have to infer any of the ten.</t>
  </si>
  <si>
    <t xml:space="preserve">All ten are identifiable in the draft before it goes to review.</t>
  </si>
  <si>
    <t xml:space="preserve">F2</t>
  </si>
  <si>
    <t xml:space="preserve">Audience: Who is considering it? State the circumstances, without implying suitability for the reader.</t>
  </si>
  <si>
    <t xml:space="preserve">F3</t>
  </si>
  <si>
    <t xml:space="preserve">Problem: What investor question does this answer? It should be recognisable as a question a real person asked.</t>
  </si>
  <si>
    <t xml:space="preserve">F4</t>
  </si>
  <si>
    <t xml:space="preserve">Mechanism: How does the mortgage investment work? Money in, security registered, payments out, capital returned.</t>
  </si>
  <si>
    <t xml:space="preserve">F5</t>
  </si>
  <si>
    <t xml:space="preserve">Economics: Where can income and return come from? Interest, lender fees, renewal fees — and what each is reduced by.</t>
  </si>
  <si>
    <t xml:space="preserve">F6</t>
  </si>
  <si>
    <t xml:space="preserve">Security: What collateral supports the mortgage? Property type, position, LTV, registration, insurance.</t>
  </si>
  <si>
    <t xml:space="preserve">F7</t>
  </si>
  <si>
    <t xml:space="preserve">Risk: What can go wrong? Default, value decline, illiquidity, rate moves, concentration, enforcement cost, structural failure.</t>
  </si>
  <si>
    <t xml:space="preserve">F8</t>
  </si>
  <si>
    <t xml:space="preserve">Due diligence: What should an investor investigate, and in which document would they find it?</t>
  </si>
  <si>
    <t xml:space="preserve">F9</t>
  </si>
  <si>
    <t xml:space="preserve">Comparison: How does this differ from the relevant alternatives, stated fairly in both directions?</t>
  </si>
  <si>
    <t xml:space="preserve">F10</t>
  </si>
  <si>
    <t xml:space="preserve">Next step: Where can the investor obtain professional information about an actual opportunity?</t>
  </si>
  <si>
    <t xml:space="preserve">G. Required featured-image specification</t>
  </si>
  <si>
    <t xml:space="preserve">G1</t>
  </si>
  <si>
    <t xml:space="preserve">One sentence on what the image shows and why it belongs to this article specifically.</t>
  </si>
  <si>
    <t xml:space="preserve">Specified in the article's Tab 2 row before the image is commissioned or generated.</t>
  </si>
  <si>
    <t xml:space="preserve">G2</t>
  </si>
  <si>
    <t xml:space="preserve">Subject</t>
  </si>
  <si>
    <t xml:space="preserve">The literal primary subject — a document, a property, a construction site, a chart, a person reviewing a statement.</t>
  </si>
  <si>
    <t xml:space="preserve">G3</t>
  </si>
  <si>
    <t xml:space="preserve">Setting</t>
  </si>
  <si>
    <t xml:space="preserve">A recognisably Canadian, ordinary, professional setting. Not a glass-tower skyline.</t>
  </si>
  <si>
    <t xml:space="preserve">G4</t>
  </si>
  <si>
    <t xml:space="preserve">People and objects shown</t>
  </si>
  <si>
    <t xml:space="preserve">Named explicitly, including when the answer is 'no people'. Faces not the focal point.</t>
  </si>
  <si>
    <t xml:space="preserve">G5</t>
  </si>
  <si>
    <t xml:space="preserve">Composition</t>
  </si>
  <si>
    <t xml:space="preserve">Framing, angle, depth of field, and where the negative space for a title overlay sits.</t>
  </si>
  <si>
    <t xml:space="preserve">G6</t>
  </si>
  <si>
    <t xml:space="preserve">Aspect ratio</t>
  </si>
  <si>
    <t xml:space="preserve">16:9 for featured images; 4:3 where a portrait subject needs it. Stated for every image.</t>
  </si>
  <si>
    <t xml:space="preserve">G7</t>
  </si>
  <si>
    <t xml:space="preserve">Describes the image for someone who cannot see it. Not a keyword dump. Under 125 characters.</t>
  </si>
  <si>
    <t xml:space="preserve">G8</t>
  </si>
  <si>
    <t xml:space="preserve">Lowercase, hyphenated, descriptive, no dates, no camera codes.</t>
  </si>
  <si>
    <t xml:space="preserve">G9</t>
  </si>
  <si>
    <t xml:space="preserve">Relationship between the visual and the article's search intent</t>
  </si>
  <si>
    <t xml:space="preserve">One sentence explaining why this image suits this searcher. If it cannot be written, the image is wrong.</t>
  </si>
  <si>
    <t xml:space="preserve">G10</t>
  </si>
  <si>
    <t xml:space="preserve">Credibility standard</t>
  </si>
  <si>
    <t xml:space="preserve">Professional, Canadian, financially credible. Ordinary housing stock and real paperwork over aspirational styling.</t>
  </si>
  <si>
    <t xml:space="preserve">G11</t>
  </si>
  <si>
    <t xml:space="preserve">Prohibited imagery</t>
  </si>
  <si>
    <t xml:space="preserve">No cash piles, gold coins, rising-arrow graphics, luxury goods, handshake-over-skyline stock, or any on-image text implying a guaranteed return.</t>
  </si>
  <si>
    <t xml:space="preserve">G12</t>
  </si>
  <si>
    <t xml:space="preserve">Technical delivery</t>
  </si>
  <si>
    <t xml:space="preserve">WebP with a JPEG fallback, under 200KB, lazy-loaded below the fold, explicit width and height to prevent layout shift.</t>
  </si>
  <si>
    <t xml:space="preserve">H. Required disclosure library</t>
  </si>
  <si>
    <t xml:space="preserve">H1</t>
  </si>
  <si>
    <t xml:space="preserve">No-guarantee statement</t>
  </si>
  <si>
    <t xml:space="preserve">"Mortgage investments are not guaranteed. Returns are targets, not promises, and principal can be lost." Required on every article discussing return.</t>
  </si>
  <si>
    <t xml:space="preserve">Present, in the body, in context — not swept into a footer.</t>
  </si>
  <si>
    <t xml:space="preserve">H2</t>
  </si>
  <si>
    <t xml:space="preserve">No deposit insurance</t>
  </si>
  <si>
    <t xml:space="preserve">Where a GIC, savings account or deposit product is named, state plainly that mortgage investments carry no CDIC or provincial deposit insurance.</t>
  </si>
  <si>
    <t xml:space="preserve">H3</t>
  </si>
  <si>
    <t xml:space="preserve">Loss of principal</t>
  </si>
  <si>
    <t xml:space="preserve">Stated in the body, not only in a footer, wherever capital preservation or security is discussed.</t>
  </si>
  <si>
    <t xml:space="preserve">H4</t>
  </si>
  <si>
    <t xml:space="preserve">Liquidity limitation</t>
  </si>
  <si>
    <t xml:space="preserve">Redemption terms, notice periods, and the possibility of delay, gating or suspension.</t>
  </si>
  <si>
    <t xml:space="preserve">H5</t>
  </si>
  <si>
    <t xml:space="preserve">Not investment advice</t>
  </si>
  <si>
    <t xml:space="preserve">Educational purpose stated; reader directed to their own qualified advisers.</t>
  </si>
  <si>
    <t xml:space="preserve">H6</t>
  </si>
  <si>
    <t xml:space="preserve">No suitability implication</t>
  </si>
  <si>
    <t xml:space="preserve">Who might consider a structure, never who should invest. No reader-specific recommendation anywhere.</t>
  </si>
  <si>
    <t xml:space="preserve">H7</t>
  </si>
  <si>
    <t xml:space="preserve">Past performance</t>
  </si>
  <si>
    <t xml:space="preserve">Any historical figure carries its period and a statement that it does not indicate future results.</t>
  </si>
  <si>
    <t xml:space="preserve">H8</t>
  </si>
  <si>
    <t xml:space="preserve">Tax disclaimer and date</t>
  </si>
  <si>
    <t xml:space="preserve">Tax content dated and marked for professional review; reader directed to a Canadian tax professional.</t>
  </si>
  <si>
    <t xml:space="preserve">H9</t>
  </si>
  <si>
    <t xml:space="preserve">Regulatory currency</t>
  </si>
  <si>
    <t xml:space="preserve">"Current as of [date]" on every regulatory page, with a scheduled review.</t>
  </si>
  <si>
    <t xml:space="preserve">H10</t>
  </si>
  <si>
    <t xml:space="preserve">Higher return means higher risk</t>
  </si>
  <si>
    <t xml:space="preserve">Stated adjacent to any yield discussion, not deferred to a disclaimer.</t>
  </si>
  <si>
    <t xml:space="preserve">I. Prohibited language — automated pre-publish scan</t>
  </si>
  <si>
    <t xml:space="preserve">I1</t>
  </si>
  <si>
    <t xml:space="preserve">guaranteed / guarantee / assured / risk-free / no risk</t>
  </si>
  <si>
    <t xml:space="preserve">Never, in any form, about return, income or principal.</t>
  </si>
  <si>
    <t xml:space="preserve">Automated scan run and clean before publication; every flag either removed or signed off with a reason.</t>
  </si>
  <si>
    <t xml:space="preserve">I2</t>
  </si>
  <si>
    <t xml:space="preserve">safe / secure investment / principal protected</t>
  </si>
  <si>
    <t xml:space="preserve">Not as a characterisation of the investment. 'Secured by real property' is a factual statement about collateral and is acceptable.</t>
  </si>
  <si>
    <t xml:space="preserve">I3</t>
  </si>
  <si>
    <t xml:space="preserve">like a GIC / GIC alternative with no downside / as safe as a deposit</t>
  </si>
  <si>
    <t xml:space="preserve">Never. Any GIC comparison must state the deposit-insurance difference.</t>
  </si>
  <si>
    <t xml:space="preserve">I4</t>
  </si>
  <si>
    <t xml:space="preserve">best / top / safest / highest-returning private lender</t>
  </si>
  <si>
    <t xml:space="preserve">No superlative or comparative self-claim.</t>
  </si>
  <si>
    <t xml:space="preserve">I5</t>
  </si>
  <si>
    <t xml:space="preserve">you should invest / ideal for you / perfect for your portfolio</t>
  </si>
  <si>
    <t xml:space="preserve">No suitability claim or second-person recommendation.</t>
  </si>
  <si>
    <t xml:space="preserve">I6</t>
  </si>
  <si>
    <t xml:space="preserve">passive income with no risk / set and forget / hands-off and safe</t>
  </si>
  <si>
    <t xml:space="preserve">'Passive' describes effort, never risk.</t>
  </si>
  <si>
    <t xml:space="preserve">I7</t>
  </si>
  <si>
    <t xml:space="preserve">Specific rate or return figures as a promise</t>
  </si>
  <si>
    <t xml:space="preserve">Publish programme structure and mechanics. Any figure must be historical, dated, sourced and caveated.</t>
  </si>
  <si>
    <t xml:space="preserve">I8</t>
  </si>
  <si>
    <t xml:space="preserve">Wholesale supplier, funder and counterparty names</t>
  </si>
  <si>
    <t xml:space="preserve">Never named in public content. Internal terminology stays internal.</t>
  </si>
  <si>
    <t xml:space="preserve">I9</t>
  </si>
  <si>
    <t xml:space="preserve">Manufactured quotations, statistics or testimonials</t>
  </si>
  <si>
    <t xml:space="preserve">Never. Including 'illustrative' quotations attributed to unnamed people.</t>
  </si>
  <si>
    <t xml:space="preserve">I10</t>
  </si>
  <si>
    <t xml:space="preserve">Naming or implying wrongdoing by an identifiable firm</t>
  </si>
  <si>
    <t xml:space="preserve">Discuss categories of failure and cite regulator findings; do not accuse.</t>
  </si>
  <si>
    <t xml:space="preserve">J. Conclusion and call to action</t>
  </si>
  <si>
    <t xml:space="preserve">J1</t>
  </si>
  <si>
    <t xml:space="preserve">Every article ends with a useful summary of the topic and a natural next step.</t>
  </si>
  <si>
    <t xml:space="preserve">Three to five sentences that resolve the question the reader arrived with. No new claims introduced in the conclusion.</t>
  </si>
  <si>
    <t xml:space="preserve">The summary would stand alone as an answer to the title.</t>
  </si>
  <si>
    <t xml:space="preserve">J2</t>
  </si>
  <si>
    <t xml:space="preserve">The conclusion reinforces that mortgage investments vary significantly.</t>
  </si>
  <si>
    <t xml:space="preserve">Name the axes of variation explicitly: borrower, property, LTV, security position, term, jurisdiction and investment structure.</t>
  </si>
  <si>
    <t xml:space="preserve">All seven axes are named in the closing section.</t>
  </si>
  <si>
    <t xml:space="preserve">J3</t>
  </si>
  <si>
    <t xml:space="preserve">Standard CTA — 'Explore Mortgage Investment Opportunities'.</t>
  </si>
  <si>
    <t xml:space="preserve">"Connect with our experienced mortgage professionals to discuss available mortgage investment opportunities, understand the underlying property and security, compare potential returns and risks, and determine which opportunities align with your investment objectives."</t>
  </si>
  <si>
    <t xml:space="preserve">Present, worded as approved, with the contact route and phone number correct.</t>
  </si>
  <si>
    <t xml:space="preserve">J4</t>
  </si>
  <si>
    <t xml:space="preserve">The CTA must not state or imply universal suitability or any guarantee.</t>
  </si>
  <si>
    <t xml:space="preserve">No 'right for every investor', no 'guaranteed returns', no urgency or scarcity framing.</t>
  </si>
  <si>
    <t xml:space="preserve">Compliance scan of the CTA block is clean.</t>
  </si>
  <si>
    <t xml:space="preserve">J5</t>
  </si>
  <si>
    <t xml:space="preserve">CTA destination is consistent site-wide.</t>
  </si>
  <si>
    <t xml:space="preserve">One investor enquiry route, matching the site's approved contact configuration. No competing or ad-hoc destinations.</t>
  </si>
  <si>
    <t xml:space="preserve">Destination matches the approved configuration exactly.</t>
  </si>
  <si>
    <t xml:space="preserve">K. Pre-publication QA gate — all must pass</t>
  </si>
  <si>
    <t xml:space="preserve">K1</t>
  </si>
  <si>
    <t xml:space="preserve">Primary search question answered within the first 120 words.</t>
  </si>
  <si>
    <t xml:space="preserve">Pass / fail, recorded against the article with the checker's name.</t>
  </si>
  <si>
    <t xml:space="preserve">Recorded as passed before publication. A fail blocks publication.</t>
  </si>
  <si>
    <t xml:space="preserve">K2</t>
  </si>
  <si>
    <t xml:space="preserve">One H1; heading hierarchy has no level jumps.</t>
  </si>
  <si>
    <t xml:space="preserve">K3</t>
  </si>
  <si>
    <t xml:space="preserve">Every statistic carries a source and a period.</t>
  </si>
  <si>
    <t xml:space="preserve">K4</t>
  </si>
  <si>
    <t xml:space="preserve">Every regulatory claim verified against the primary statute or regulator page cited today.</t>
  </si>
  <si>
    <t xml:space="preserve">K5</t>
  </si>
  <si>
    <t xml:space="preserve">No provincial rule stated as national.</t>
  </si>
  <si>
    <t xml:space="preserve">K6</t>
  </si>
  <si>
    <t xml:space="preserve">Regulator names and statute titles current — defunct bodies and repealed Acts not named as live.</t>
  </si>
  <si>
    <t xml:space="preserve">K7</t>
  </si>
  <si>
    <t xml:space="preserve">Prohibited-language scan clean (section I).</t>
  </si>
  <si>
    <t xml:space="preserve">K8</t>
  </si>
  <si>
    <t xml:space="preserve">Required disclosures present in the body for this article type (section H).</t>
  </si>
  <si>
    <t xml:space="preserve">K9</t>
  </si>
  <si>
    <t xml:space="preserve">All ten entity elements addressed (section F).</t>
  </si>
  <si>
    <t xml:space="preserve">K10</t>
  </si>
  <si>
    <t xml:space="preserve">Worked calculations independently recomputed by a second person.</t>
  </si>
  <si>
    <t xml:space="preserve">K11</t>
  </si>
  <si>
    <t xml:space="preserve">Internal links match the Tab 2 plan in both directions; linked-from pages updated.</t>
  </si>
  <si>
    <t xml:space="preserve">K12</t>
  </si>
  <si>
    <t xml:space="preserve">Every external link resolves and supports the adjacent claim.</t>
  </si>
  <si>
    <t xml:space="preserve">K13</t>
  </si>
  <si>
    <t xml:space="preserve">Featured image meets section G, including alt text and prohibitions.</t>
  </si>
  <si>
    <t xml:space="preserve">K14</t>
  </si>
  <si>
    <t xml:space="preserve">Structured data matches the visible content.</t>
  </si>
  <si>
    <t xml:space="preserve">K15</t>
  </si>
  <si>
    <t xml:space="preserve">Conclusion and approved CTA present and compliant.</t>
  </si>
  <si>
    <t xml:space="preserve">K16</t>
  </si>
  <si>
    <t xml:space="preserve">Author, reviewer and 'current as of' date visible on the page.</t>
  </si>
  <si>
    <t xml:space="preserve">K17</t>
  </si>
  <si>
    <t xml:space="preserve">Tax and regulatory content signed off by a qualified reviewer.</t>
  </si>
  <si>
    <t xml:space="preserve">K18</t>
  </si>
  <si>
    <t xml:space="preserve">Added to the time-sensitive review register (section L) if it contains dated material.</t>
  </si>
  <si>
    <t xml:space="preserve">L. Time-sensitive review register — scheduled re-checks</t>
  </si>
  <si>
    <t xml:space="preserve">L1</t>
  </si>
  <si>
    <t xml:space="preserve">British Columbia — Mortgage Services Act in force 13 October 2026</t>
  </si>
  <si>
    <t xml:space="preserve">Makes mortgage lending and mortgage administration licensed activities in BC, with four licence categories. Materially changes every BC page.</t>
  </si>
  <si>
    <t xml:space="preserve">Review immediately and again after commencement. HIGHEST PRIORITY.</t>
  </si>
  <si>
    <t xml:space="preserve">Regulatory, tax and statistical content</t>
  </si>
  <si>
    <t xml:space="preserve">L2</t>
  </si>
  <si>
    <t xml:space="preserve">Newfoundland and Labrador — Mortgage Brokerages and Brokers Act in force 1 April 2025</t>
  </si>
  <si>
    <t xml:space="preserve">Repealed the former Mortgage Brokers Act. Most existing online content is stale. No administrator licence category was adopted.</t>
  </si>
  <si>
    <t xml:space="preserve">Verify before any NL claim is published.</t>
  </si>
  <si>
    <t xml:space="preserve">L3</t>
  </si>
  <si>
    <t xml:space="preserve">Nova Scotia — Mortgage Regulation Act, S.N.S. 2012 c.11, in force 1 November 2021</t>
  </si>
  <si>
    <t xml:space="preserve">Enacted 2012, proclaimed 2021. Citing it as the 'Mortgage Regulation Act, 2021' is wrong.</t>
  </si>
  <si>
    <t xml:space="preserve">Check the citation format on every NS reference.</t>
  </si>
  <si>
    <t xml:space="preserve">L4</t>
  </si>
  <si>
    <t xml:space="preserve">Ontario — syndicated mortgage oversight split with the OSC from 1 July 2021</t>
  </si>
  <si>
    <t xml:space="preserve">FSRA supervises non-qualified syndicated mortgage investments with permitted clients; the OSC supervises the rest. Older forms retired.</t>
  </si>
  <si>
    <t xml:space="preserve">Verify current form numbers with FSRA before naming any.</t>
  </si>
  <si>
    <t xml:space="preserve">L5</t>
  </si>
  <si>
    <t xml:space="preserve">Quebec — mortgage brokerage moved from OACIQ to the AMF on 1 May 2020</t>
  </si>
  <si>
    <t xml:space="preserve">OACIQ must not be named as the current mortgage brokerage regulator.</t>
  </si>
  <si>
    <t xml:space="preserve">Check every Quebec reference.</t>
  </si>
  <si>
    <t xml:space="preserve">L6</t>
  </si>
  <si>
    <t xml:space="preserve">National — CSA syndicated mortgage amendments, 1 March 2021 (1 July 2021 in Ontario and Quebec)</t>
  </si>
  <si>
    <t xml:space="preserve">Mortgages and private issuer exemptions withdrawn for syndicated mortgages; OM appraisal requirements added; dealer-registration exemption repealed.</t>
  </si>
  <si>
    <t xml:space="preserve">Annual review.</t>
  </si>
  <si>
    <t xml:space="preserve">L7</t>
  </si>
  <si>
    <t xml:space="preserve">Manitoba enforcement route — sources conflict</t>
  </si>
  <si>
    <t xml:space="preserve">An administrative process through the Land Titles Office leading to an Order for Sale. Authoritative sources disagree on whether to call it power of sale or judicial.</t>
  </si>
  <si>
    <t xml:space="preserve">Describe the mechanics; do not assign a label. Verify against The Mortgage Act (Manitoba) and The Real Property Act before publishing.</t>
  </si>
  <si>
    <t xml:space="preserve">L8</t>
  </si>
  <si>
    <t xml:space="preserve">Prince Edward Island — apparent absence of a mortgage broker licensing regime</t>
  </si>
  <si>
    <t xml:space="preserve">Sourced to trade press only. A negative is hard to prove and a PEI reader could challenge it.</t>
  </si>
  <si>
    <t xml:space="preserve">Confirm via the Mortgage Broker Regulators' Council of Canada members list or the PEI legislation index before asserting it. Until then, phrase as 'does not appear to have'.</t>
  </si>
  <si>
    <t xml:space="preserve">L9</t>
  </si>
  <si>
    <t xml:space="preserve">ITA s.130.1(6) literal wording, including the paragraph (g) foreclosure carve-out</t>
  </si>
  <si>
    <t xml:space="preserve">The carve-out excluding property acquired on foreclosure from the 25% real-property test is commercially significant and was not verified verbatim.</t>
  </si>
  <si>
    <t xml:space="preserve">Paste the literal text from laws-lois.justice.gc.ca. Do not paraphrase from secondary sources.</t>
  </si>
  <si>
    <t xml:space="preserve">L10</t>
  </si>
  <si>
    <t xml:space="preserve">Income Tax Regulations 4900(1)(c) literal wording</t>
  </si>
  <si>
    <t xml:space="preserve">MIC shares as a qualified investment, and the connected-person condition. Obtained only via CRA's own paraphrase.</t>
  </si>
  <si>
    <t xml:space="preserve">Verify the regulatory text before publishing the registered-plan pages.</t>
  </si>
  <si>
    <t xml:space="preserve">L11</t>
  </si>
  <si>
    <t xml:space="preserve">Alberta and Manitoba investor / lender disclosure requirements</t>
  </si>
  <si>
    <t xml:space="preserve">Neither confirmed nor excluded by research.</t>
  </si>
  <si>
    <t xml:space="preserve">Do not assert presence or absence. Check the Alberta Real Estate Act Rules and Manitoba Mortgage Brokers Regulation 41/2011.</t>
  </si>
  <si>
    <t xml:space="preserve">L12</t>
  </si>
  <si>
    <t xml:space="preserve">BC syndicated-mortgage exemption position and the status of BCI 33-707</t>
  </si>
  <si>
    <t xml:space="preserve">BC's current position was not verified, and the reported revocation of the dealer-registration exemption for MIC capital raising is industry-sourced only.</t>
  </si>
  <si>
    <t xml:space="preserve">Verify with the BCSC before publishing anything on BC exempt-market distribution.</t>
  </si>
  <si>
    <t xml:space="preserve">L13</t>
  </si>
  <si>
    <t xml:space="preserve">All market statistics — CMHC and provincial regulator reporting</t>
  </si>
  <si>
    <t xml:space="preserve">MIE market share, assets, growth and delinquency; Ontario private-lending volumes and lender counts.</t>
  </si>
  <si>
    <t xml:space="preserve">Re-check each reporting cycle and update the stated period.</t>
  </si>
  <si>
    <t xml:space="preserve">L14</t>
  </si>
  <si>
    <t xml:space="preserve">Any published return, yield or rate figure</t>
  </si>
  <si>
    <t xml:space="preserve">Ages fastest of anything on the site and carries the most compliance risk.</t>
  </si>
  <si>
    <t xml:space="preserve">Quarterly review, or remove the figure and publish mechanics instead.</t>
  </si>
  <si>
    <t xml:space="preserve">Regulatory and statutory references in this tab were verified against primary sources where possible on 29 September 2026. Items in section L could NOT be verified verbatim and must be checked at the primary source before publication. Where a source conflict exists it is flagged rather than resolved — describe the mechanics and avoid the disputed label.</t>
  </si>
</sst>
</file>

<file path=xl/styles.xml><?xml version="1.0" encoding="utf-8"?>
<styleSheet xmlns="http://schemas.openxmlformats.org/spreadsheetml/2006/main">
  <numFmts count="3">
    <numFmt numFmtId="164" formatCode="General"/>
    <numFmt numFmtId="165" formatCode="#,##0"/>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1E3A5F"/>
      <name val="Arial"/>
      <family val="0"/>
      <charset val="1"/>
    </font>
    <font>
      <sz val="9"/>
      <color rgb="FF6B7280"/>
      <name val="Arial"/>
      <family val="0"/>
      <charset val="1"/>
    </font>
    <font>
      <b val="true"/>
      <sz val="11"/>
      <color rgb="FF1E3A5F"/>
      <name val="Arial"/>
      <family val="0"/>
      <charset val="1"/>
    </font>
    <font>
      <sz val="10"/>
      <name val="Arial"/>
      <family val="0"/>
      <charset val="1"/>
    </font>
    <font>
      <b val="true"/>
      <sz val="10"/>
      <color rgb="FFC0000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s>
  <fills count="6">
    <fill>
      <patternFill patternType="none"/>
    </fill>
    <fill>
      <patternFill patternType="gray125"/>
    </fill>
    <fill>
      <patternFill patternType="solid">
        <fgColor rgb="FFE8EDF2"/>
        <bgColor rgb="FFF5F8FA"/>
      </patternFill>
    </fill>
    <fill>
      <patternFill patternType="solid">
        <fgColor rgb="FF1E3A5F"/>
        <bgColor rgb="FF333333"/>
      </patternFill>
    </fill>
    <fill>
      <patternFill patternType="solid">
        <fgColor rgb="FFFFFFCC"/>
        <bgColor rgb="FFFFFFFF"/>
      </patternFill>
    </fill>
    <fill>
      <patternFill patternType="solid">
        <fgColor rgb="FFF5F8FA"/>
        <bgColor rgb="FFFFFFFF"/>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7" fillId="2" borderId="0" xfId="0" applyFont="true" applyBorder="false" applyAlignment="true" applyProtection="false">
      <alignment horizontal="left" vertical="top" textRotation="0" wrapText="true" indent="0" shrinkToFit="false"/>
      <protection locked="true" hidden="false"/>
    </xf>
    <xf numFmtId="165" fontId="7" fillId="2" borderId="0" xfId="0" applyFont="true" applyBorder="fals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10" fillId="4" borderId="1" xfId="0" applyFont="true" applyBorder="true" applyAlignment="true" applyProtection="false">
      <alignment horizontal="center" vertical="top"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6" fontId="10"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6" fontId="10" fillId="5" borderId="1" xfId="0" applyFont="true" applyBorder="true" applyAlignment="true" applyProtection="false">
      <alignment horizontal="center" vertical="top" textRotation="0" wrapText="false" indent="0" shrinkToFit="false"/>
      <protection locked="true" hidden="false"/>
    </xf>
    <xf numFmtId="166" fontId="7" fillId="5"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5" fontId="7" fillId="5"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E3A5F"/>
          <bgColor rgb="FF000000"/>
        </patternFill>
      </fill>
    </dxf>
    <dxf>
      <fill>
        <patternFill patternType="solid">
          <fgColor rgb="FFF5F8FA"/>
          <bgColor rgb="FF000000"/>
        </patternFill>
      </fill>
    </dxf>
    <dxf>
      <fill>
        <patternFill patternType="solid">
          <bgColor rgb="FF000000"/>
        </patternFill>
      </fill>
    </dxf>
    <dxf>
      <fill>
        <patternFill patternType="solid">
          <fgColor rgb="FFFFFFFF"/>
          <bgColor rgb="FF000000"/>
        </patternFill>
      </fill>
    </dxf>
    <dxf>
      <fill>
        <patternFill patternType="solid">
          <fgColor rgb="FFFFFFCC"/>
          <bgColor rgb="FF000000"/>
        </patternFill>
      </fill>
    </dxf>
    <dxf>
      <fill>
        <patternFill patternType="solid">
          <fgColor rgb="FF0000FF"/>
          <bgColor rgb="FF000000"/>
        </patternFill>
      </fill>
    </dxf>
    <dxf>
      <fill>
        <patternFill patternType="solid">
          <fgColor rgb="FFE8EDF2"/>
          <bgColor rgb="FF000000"/>
        </patternFill>
      </fill>
    </dxf>
    <dxf>
      <fill>
        <patternFill patternType="solid">
          <fgColor rgb="FF6B72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DF2"/>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F5F8FA"/>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E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8"/>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30"/>
    <col collapsed="false" customWidth="true" hidden="false" outlineLevel="0" max="4" min="4" style="0" width="20"/>
    <col collapsed="false" customWidth="true" hidden="false" outlineLevel="0" max="5" min="5" style="0" width="15"/>
    <col collapsed="false" customWidth="true" hidden="false" outlineLevel="0" max="6" min="6" style="0" width="18"/>
    <col collapsed="false" customWidth="true" hidden="false" outlineLevel="0" max="7" min="7" style="0" width="15"/>
    <col collapsed="false" customWidth="true" hidden="false" outlineLevel="0" max="8" min="8" style="0" width="16"/>
    <col collapsed="false" customWidth="true" hidden="false" outlineLevel="0" max="11" min="9" style="0" width="12"/>
    <col collapsed="false" customWidth="true" hidden="false" outlineLevel="0" max="12" min="12" style="0" width="22"/>
    <col collapsed="false" customWidth="true" hidden="false" outlineLevel="0" max="13" min="13" style="0" width="14"/>
    <col collapsed="false" customWidth="true" hidden="false" outlineLevel="0" max="14" min="14" style="0" width="62"/>
    <col collapsed="false" customWidth="true" hidden="false" outlineLevel="0" max="16" min="15" style="0" width="34"/>
  </cols>
  <sheetData>
    <row r="1" customFormat="false" ht="19.7" hidden="false" customHeight="false" outlineLevel="0" collapsed="false">
      <c r="A1" s="1" t="s">
        <v>0</v>
      </c>
    </row>
    <row r="2" customFormat="false" ht="43.25" hidden="false" customHeight="false" outlineLevel="0" collapsed="false">
      <c r="A2" s="2" t="s">
        <v>1</v>
      </c>
    </row>
    <row r="4" customFormat="false" ht="15" hidden="false" customHeight="false" outlineLevel="0" collapsed="false">
      <c r="A4" s="3" t="s">
        <v>2</v>
      </c>
    </row>
    <row r="5" customFormat="false" ht="12.75" hidden="false" customHeight="true" outlineLevel="0" collapsed="false">
      <c r="A5" s="4" t="s">
        <v>3</v>
      </c>
    </row>
    <row r="6" customFormat="false" ht="12.75" hidden="false" customHeight="true" outlineLevel="0" collapsed="false">
      <c r="A6" s="5" t="s">
        <v>4</v>
      </c>
    </row>
    <row r="7" customFormat="false" ht="12.75" hidden="false" customHeight="true" outlineLevel="0" collapsed="false">
      <c r="A7" s="5" t="s">
        <v>5</v>
      </c>
    </row>
    <row r="8" customFormat="false" ht="12.75" hidden="false" customHeight="true" outlineLevel="0" collapsed="false">
      <c r="A8" s="4" t="s">
        <v>6</v>
      </c>
    </row>
    <row r="9" customFormat="false" ht="12.75" hidden="false" customHeight="true" outlineLevel="0" collapsed="false">
      <c r="A9" s="4" t="s">
        <v>7</v>
      </c>
    </row>
    <row r="10" customFormat="false" ht="12.75" hidden="false" customHeight="true" outlineLevel="0" collapsed="false">
      <c r="A10" s="4" t="s">
        <v>8</v>
      </c>
    </row>
    <row r="11" customFormat="false" ht="12.75" hidden="false" customHeight="true" outlineLevel="0" collapsed="false">
      <c r="A11" s="4" t="s">
        <v>9</v>
      </c>
    </row>
    <row r="12" customFormat="false" ht="12.75" hidden="false" customHeight="true" outlineLevel="0" collapsed="false">
      <c r="A12" s="4" t="s">
        <v>10</v>
      </c>
    </row>
    <row r="14" customFormat="false" ht="26.85" hidden="false" customHeight="false" outlineLevel="0" collapsed="false">
      <c r="A14" s="3" t="s">
        <v>11</v>
      </c>
    </row>
    <row r="15" customFormat="false" ht="15" hidden="false" customHeight="false" outlineLevel="0" collapsed="false">
      <c r="A15" s="6" t="s">
        <v>12</v>
      </c>
      <c r="B15" s="7" t="n">
        <f aca="false">COUNTA(A25:A406)</f>
        <v>382</v>
      </c>
    </row>
    <row r="16" customFormat="false" ht="15" hidden="false" customHeight="false" outlineLevel="0" collapsed="false">
      <c r="A16" s="6" t="s">
        <v>13</v>
      </c>
      <c r="B16" s="7" t="n">
        <f aca="false">COUNTIF(B25:B406,"Conversational / AI")</f>
        <v>135</v>
      </c>
    </row>
    <row r="17" customFormat="false" ht="15" hidden="false" customHeight="false" outlineLevel="0" collapsed="false">
      <c r="A17" s="6" t="s">
        <v>14</v>
      </c>
      <c r="B17" s="7" t="n">
        <f aca="false">COUNTIF(L25:L406,"1*")</f>
        <v>98</v>
      </c>
    </row>
    <row r="18" customFormat="false" ht="15" hidden="false" customHeight="false" outlineLevel="0" collapsed="false">
      <c r="A18" s="6" t="s">
        <v>15</v>
      </c>
      <c r="B18" s="7" t="n">
        <f aca="false">COUNTIF(L25:L406,"2*")</f>
        <v>171</v>
      </c>
    </row>
    <row r="19" customFormat="false" ht="15" hidden="false" customHeight="false" outlineLevel="0" collapsed="false">
      <c r="A19" s="6" t="s">
        <v>16</v>
      </c>
      <c r="B19" s="7" t="n">
        <f aca="false">COUNTIF(L25:L406,"3*")</f>
        <v>86</v>
      </c>
    </row>
    <row r="20" customFormat="false" ht="15" hidden="false" customHeight="false" outlineLevel="0" collapsed="false">
      <c r="A20" s="6" t="s">
        <v>17</v>
      </c>
      <c r="B20" s="7" t="n">
        <f aca="false">COUNTIF(L25:L406,"4*")</f>
        <v>27</v>
      </c>
    </row>
    <row r="21" customFormat="false" ht="15" hidden="false" customHeight="false" outlineLevel="0" collapsed="false">
      <c r="A21" s="6" t="s">
        <v>18</v>
      </c>
      <c r="B21" s="7" t="n">
        <f aca="false">COUNTIF(P25:P406,"*NOT build*")</f>
        <v>8</v>
      </c>
    </row>
    <row r="22" customFormat="false" ht="15" hidden="false" customHeight="false" outlineLevel="0" collapsed="false">
      <c r="A22" s="6" t="s">
        <v>19</v>
      </c>
      <c r="B22" s="7" t="n">
        <f aca="false">COUNT(G25:G406)</f>
        <v>0</v>
      </c>
    </row>
    <row r="24" customFormat="false" ht="33.75" hidden="false" customHeight="true" outlineLevel="0" collapsed="false">
      <c r="A24" s="8" t="s">
        <v>20</v>
      </c>
      <c r="B24" s="8" t="s">
        <v>21</v>
      </c>
      <c r="C24" s="8" t="s">
        <v>22</v>
      </c>
      <c r="D24" s="8" t="s">
        <v>23</v>
      </c>
      <c r="E24" s="8" t="s">
        <v>24</v>
      </c>
      <c r="F24" s="8" t="s">
        <v>25</v>
      </c>
      <c r="G24" s="8" t="s">
        <v>26</v>
      </c>
      <c r="H24" s="8" t="s">
        <v>27</v>
      </c>
      <c r="I24" s="8" t="s">
        <v>28</v>
      </c>
      <c r="J24" s="8" t="s">
        <v>29</v>
      </c>
      <c r="K24" s="8" t="s">
        <v>30</v>
      </c>
      <c r="L24" s="8" t="s">
        <v>31</v>
      </c>
      <c r="M24" s="8" t="s">
        <v>32</v>
      </c>
      <c r="N24" s="8" t="s">
        <v>33</v>
      </c>
      <c r="O24" s="8" t="s">
        <v>34</v>
      </c>
      <c r="P24" s="8" t="s">
        <v>35</v>
      </c>
    </row>
    <row r="25" customFormat="false" ht="23.85" hidden="false" customHeight="false" outlineLevel="0" collapsed="false">
      <c r="A25" s="9" t="s">
        <v>36</v>
      </c>
      <c r="B25" s="9" t="s">
        <v>37</v>
      </c>
      <c r="C25" s="9" t="s">
        <v>38</v>
      </c>
      <c r="D25" s="9" t="s">
        <v>39</v>
      </c>
      <c r="E25" s="9" t="s">
        <v>40</v>
      </c>
      <c r="F25" s="9" t="s">
        <v>41</v>
      </c>
      <c r="G25" s="10"/>
      <c r="H25" s="11"/>
      <c r="I25" s="12" t="n">
        <v>5</v>
      </c>
      <c r="J25" s="12" t="n">
        <v>4</v>
      </c>
      <c r="K25" s="13" t="n">
        <f aca="false">IF(I25="","",I25*2-J25)</f>
        <v>6</v>
      </c>
      <c r="L25" s="9" t="str">
        <f aca="false">IF(K25="","",IF(K25&gt;=8,"1 - quick win",IF(K25&gt;=6,"2 - build early",IF(K25&gt;=4,"3 - slower climb","4 - monitor only"))))</f>
        <v>2 - build early</v>
      </c>
      <c r="M25" s="9" t="s">
        <v>42</v>
      </c>
      <c r="N25" s="9" t="s">
        <v>43</v>
      </c>
      <c r="O25" s="9" t="s">
        <v>44</v>
      </c>
      <c r="P25" s="9"/>
    </row>
    <row r="26" customFormat="false" ht="15" hidden="false" customHeight="false" outlineLevel="0" collapsed="false">
      <c r="A26" s="14" t="s">
        <v>45</v>
      </c>
      <c r="B26" s="14" t="s">
        <v>37</v>
      </c>
      <c r="C26" s="14" t="s">
        <v>38</v>
      </c>
      <c r="D26" s="14" t="s">
        <v>39</v>
      </c>
      <c r="E26" s="14" t="s">
        <v>40</v>
      </c>
      <c r="F26" s="14" t="s">
        <v>41</v>
      </c>
      <c r="G26" s="10"/>
      <c r="H26" s="11"/>
      <c r="I26" s="15" t="n">
        <v>5</v>
      </c>
      <c r="J26" s="15" t="n">
        <v>4</v>
      </c>
      <c r="K26" s="16" t="n">
        <f aca="false">IF(I26="","",I26*2-J26)</f>
        <v>6</v>
      </c>
      <c r="L26" s="14" t="str">
        <f aca="false">IF(K26="","",IF(K26&gt;=8,"1 - quick win",IF(K26&gt;=6,"2 - build early",IF(K26&gt;=4,"3 - slower climb","4 - monitor only"))))</f>
        <v>2 - build early</v>
      </c>
      <c r="M26" s="14" t="s">
        <v>42</v>
      </c>
      <c r="N26" s="14" t="s">
        <v>46</v>
      </c>
      <c r="O26" s="14" t="s">
        <v>44</v>
      </c>
      <c r="P26" s="14"/>
    </row>
    <row r="27" customFormat="false" ht="23.85" hidden="false" customHeight="false" outlineLevel="0" collapsed="false">
      <c r="A27" s="9" t="s">
        <v>47</v>
      </c>
      <c r="B27" s="9" t="s">
        <v>48</v>
      </c>
      <c r="C27" s="9" t="s">
        <v>38</v>
      </c>
      <c r="D27" s="9" t="s">
        <v>49</v>
      </c>
      <c r="E27" s="9" t="s">
        <v>40</v>
      </c>
      <c r="F27" s="9" t="s">
        <v>41</v>
      </c>
      <c r="G27" s="10"/>
      <c r="H27" s="11"/>
      <c r="I27" s="12" t="n">
        <v>5</v>
      </c>
      <c r="J27" s="12" t="n">
        <v>3</v>
      </c>
      <c r="K27" s="13" t="n">
        <f aca="false">IF(I27="","",I27*2-J27)</f>
        <v>7</v>
      </c>
      <c r="L27" s="9" t="str">
        <f aca="false">IF(K27="","",IF(K27&gt;=8,"1 - quick win",IF(K27&gt;=6,"2 - build early",IF(K27&gt;=4,"3 - slower climb","4 - monitor only"))))</f>
        <v>2 - build early</v>
      </c>
      <c r="M27" s="9" t="s">
        <v>42</v>
      </c>
      <c r="N27" s="9" t="s">
        <v>50</v>
      </c>
      <c r="O27" s="9" t="s">
        <v>44</v>
      </c>
      <c r="P27" s="9"/>
    </row>
    <row r="28" customFormat="false" ht="15" hidden="false" customHeight="false" outlineLevel="0" collapsed="false">
      <c r="A28" s="14" t="s">
        <v>51</v>
      </c>
      <c r="B28" s="14" t="s">
        <v>48</v>
      </c>
      <c r="C28" s="14" t="s">
        <v>38</v>
      </c>
      <c r="D28" s="14" t="s">
        <v>49</v>
      </c>
      <c r="E28" s="14" t="s">
        <v>40</v>
      </c>
      <c r="F28" s="14" t="s">
        <v>41</v>
      </c>
      <c r="G28" s="10"/>
      <c r="H28" s="11"/>
      <c r="I28" s="15" t="n">
        <v>5</v>
      </c>
      <c r="J28" s="15" t="n">
        <v>3</v>
      </c>
      <c r="K28" s="16" t="n">
        <f aca="false">IF(I28="","",I28*2-J28)</f>
        <v>7</v>
      </c>
      <c r="L28" s="14" t="str">
        <f aca="false">IF(K28="","",IF(K28&gt;=8,"1 - quick win",IF(K28&gt;=6,"2 - build early",IF(K28&gt;=4,"3 - slower climb","4 - monitor only"))))</f>
        <v>2 - build early</v>
      </c>
      <c r="M28" s="14" t="s">
        <v>42</v>
      </c>
      <c r="N28" s="14" t="s">
        <v>52</v>
      </c>
      <c r="O28" s="14" t="s">
        <v>44</v>
      </c>
      <c r="P28" s="14"/>
    </row>
    <row r="29" customFormat="false" ht="15" hidden="false" customHeight="false" outlineLevel="0" collapsed="false">
      <c r="A29" s="9" t="s">
        <v>53</v>
      </c>
      <c r="B29" s="9" t="s">
        <v>37</v>
      </c>
      <c r="C29" s="9" t="s">
        <v>38</v>
      </c>
      <c r="D29" s="9" t="s">
        <v>39</v>
      </c>
      <c r="E29" s="9" t="s">
        <v>40</v>
      </c>
      <c r="F29" s="9" t="s">
        <v>41</v>
      </c>
      <c r="G29" s="10"/>
      <c r="H29" s="11"/>
      <c r="I29" s="12" t="n">
        <v>4</v>
      </c>
      <c r="J29" s="12" t="n">
        <v>4</v>
      </c>
      <c r="K29" s="13" t="n">
        <f aca="false">IF(I29="","",I29*2-J29)</f>
        <v>4</v>
      </c>
      <c r="L29" s="9" t="str">
        <f aca="false">IF(K29="","",IF(K29&gt;=8,"1 - quick win",IF(K29&gt;=6,"2 - build early",IF(K29&gt;=4,"3 - slower climb","4 - monitor only"))))</f>
        <v>3 - slower climb</v>
      </c>
      <c r="M29" s="9" t="s">
        <v>54</v>
      </c>
      <c r="N29" s="9" t="s">
        <v>55</v>
      </c>
      <c r="O29" s="9" t="s">
        <v>44</v>
      </c>
      <c r="P29" s="9"/>
    </row>
    <row r="30" customFormat="false" ht="15" hidden="false" customHeight="false" outlineLevel="0" collapsed="false">
      <c r="A30" s="14" t="s">
        <v>56</v>
      </c>
      <c r="B30" s="14" t="s">
        <v>57</v>
      </c>
      <c r="C30" s="14" t="s">
        <v>38</v>
      </c>
      <c r="D30" s="14" t="s">
        <v>49</v>
      </c>
      <c r="E30" s="14" t="s">
        <v>58</v>
      </c>
      <c r="F30" s="14" t="s">
        <v>41</v>
      </c>
      <c r="G30" s="10"/>
      <c r="H30" s="11"/>
      <c r="I30" s="15" t="n">
        <v>5</v>
      </c>
      <c r="J30" s="15" t="n">
        <v>3</v>
      </c>
      <c r="K30" s="16" t="n">
        <f aca="false">IF(I30="","",I30*2-J30)</f>
        <v>7</v>
      </c>
      <c r="L30" s="14" t="str">
        <f aca="false">IF(K30="","",IF(K30&gt;=8,"1 - quick win",IF(K30&gt;=6,"2 - build early",IF(K30&gt;=4,"3 - slower climb","4 - monitor only"))))</f>
        <v>2 - build early</v>
      </c>
      <c r="M30" s="14" t="s">
        <v>42</v>
      </c>
      <c r="N30" s="14" t="s">
        <v>59</v>
      </c>
      <c r="O30" s="14" t="s">
        <v>60</v>
      </c>
      <c r="P30" s="14"/>
    </row>
    <row r="31" customFormat="false" ht="23.85" hidden="false" customHeight="false" outlineLevel="0" collapsed="false">
      <c r="A31" s="9" t="s">
        <v>61</v>
      </c>
      <c r="B31" s="9" t="s">
        <v>57</v>
      </c>
      <c r="C31" s="9" t="s">
        <v>38</v>
      </c>
      <c r="D31" s="9" t="s">
        <v>49</v>
      </c>
      <c r="E31" s="9" t="s">
        <v>40</v>
      </c>
      <c r="F31" s="9" t="s">
        <v>41</v>
      </c>
      <c r="G31" s="10"/>
      <c r="H31" s="11"/>
      <c r="I31" s="12" t="n">
        <v>4</v>
      </c>
      <c r="J31" s="12" t="n">
        <v>2</v>
      </c>
      <c r="K31" s="13" t="n">
        <f aca="false">IF(I31="","",I31*2-J31)</f>
        <v>6</v>
      </c>
      <c r="L31" s="9" t="str">
        <f aca="false">IF(K31="","",IF(K31&gt;=8,"1 - quick win",IF(K31&gt;=6,"2 - build early",IF(K31&gt;=4,"3 - slower climb","4 - monitor only"))))</f>
        <v>2 - build early</v>
      </c>
      <c r="M31" s="9" t="s">
        <v>42</v>
      </c>
      <c r="N31" s="9" t="s">
        <v>62</v>
      </c>
      <c r="O31" s="9" t="s">
        <v>63</v>
      </c>
      <c r="P31" s="9"/>
    </row>
    <row r="32" customFormat="false" ht="15" hidden="false" customHeight="false" outlineLevel="0" collapsed="false">
      <c r="A32" s="14" t="s">
        <v>64</v>
      </c>
      <c r="B32" s="14" t="s">
        <v>57</v>
      </c>
      <c r="C32" s="14" t="s">
        <v>38</v>
      </c>
      <c r="D32" s="14" t="s">
        <v>49</v>
      </c>
      <c r="E32" s="14" t="s">
        <v>40</v>
      </c>
      <c r="F32" s="14" t="s">
        <v>41</v>
      </c>
      <c r="G32" s="10"/>
      <c r="H32" s="11"/>
      <c r="I32" s="15" t="n">
        <v>4</v>
      </c>
      <c r="J32" s="15" t="n">
        <v>2</v>
      </c>
      <c r="K32" s="16" t="n">
        <f aca="false">IF(I32="","",I32*2-J32)</f>
        <v>6</v>
      </c>
      <c r="L32" s="14" t="str">
        <f aca="false">IF(K32="","",IF(K32&gt;=8,"1 - quick win",IF(K32&gt;=6,"2 - build early",IF(K32&gt;=4,"3 - slower climb","4 - monitor only"))))</f>
        <v>2 - build early</v>
      </c>
      <c r="M32" s="14" t="s">
        <v>42</v>
      </c>
      <c r="N32" s="14" t="s">
        <v>65</v>
      </c>
      <c r="O32" s="14" t="s">
        <v>44</v>
      </c>
      <c r="P32" s="14"/>
    </row>
    <row r="33" customFormat="false" ht="15" hidden="false" customHeight="false" outlineLevel="0" collapsed="false">
      <c r="A33" s="9" t="s">
        <v>66</v>
      </c>
      <c r="B33" s="9" t="s">
        <v>48</v>
      </c>
      <c r="C33" s="9" t="s">
        <v>38</v>
      </c>
      <c r="D33" s="9" t="s">
        <v>67</v>
      </c>
      <c r="E33" s="9" t="s">
        <v>68</v>
      </c>
      <c r="F33" s="9" t="s">
        <v>41</v>
      </c>
      <c r="G33" s="10"/>
      <c r="H33" s="11"/>
      <c r="I33" s="12" t="n">
        <v>5</v>
      </c>
      <c r="J33" s="12" t="n">
        <v>3</v>
      </c>
      <c r="K33" s="13" t="n">
        <f aca="false">IF(I33="","",I33*2-J33)</f>
        <v>7</v>
      </c>
      <c r="L33" s="9" t="str">
        <f aca="false">IF(K33="","",IF(K33&gt;=8,"1 - quick win",IF(K33&gt;=6,"2 - build early",IF(K33&gt;=4,"3 - slower climb","4 - monitor only"))))</f>
        <v>2 - build early</v>
      </c>
      <c r="M33" s="9" t="s">
        <v>54</v>
      </c>
      <c r="N33" s="9" t="s">
        <v>69</v>
      </c>
      <c r="O33" s="9" t="s">
        <v>70</v>
      </c>
      <c r="P33" s="9"/>
    </row>
    <row r="34" customFormat="false" ht="15" hidden="false" customHeight="false" outlineLevel="0" collapsed="false">
      <c r="A34" s="14" t="s">
        <v>71</v>
      </c>
      <c r="B34" s="14" t="s">
        <v>57</v>
      </c>
      <c r="C34" s="14" t="s">
        <v>38</v>
      </c>
      <c r="D34" s="14" t="s">
        <v>67</v>
      </c>
      <c r="E34" s="14" t="s">
        <v>68</v>
      </c>
      <c r="F34" s="14" t="s">
        <v>41</v>
      </c>
      <c r="G34" s="10"/>
      <c r="H34" s="11"/>
      <c r="I34" s="15" t="n">
        <v>5</v>
      </c>
      <c r="J34" s="15" t="n">
        <v>3</v>
      </c>
      <c r="K34" s="16" t="n">
        <f aca="false">IF(I34="","",I34*2-J34)</f>
        <v>7</v>
      </c>
      <c r="L34" s="14" t="str">
        <f aca="false">IF(K34="","",IF(K34&gt;=8,"1 - quick win",IF(K34&gt;=6,"2 - build early",IF(K34&gt;=4,"3 - slower climb","4 - monitor only"))))</f>
        <v>2 - build early</v>
      </c>
      <c r="M34" s="14" t="s">
        <v>54</v>
      </c>
      <c r="N34" s="14" t="s">
        <v>72</v>
      </c>
      <c r="O34" s="14" t="s">
        <v>70</v>
      </c>
      <c r="P34" s="14"/>
    </row>
    <row r="35" customFormat="false" ht="15" hidden="false" customHeight="false" outlineLevel="0" collapsed="false">
      <c r="A35" s="9" t="s">
        <v>73</v>
      </c>
      <c r="B35" s="9" t="s">
        <v>57</v>
      </c>
      <c r="C35" s="9" t="s">
        <v>38</v>
      </c>
      <c r="D35" s="9" t="s">
        <v>49</v>
      </c>
      <c r="E35" s="9" t="s">
        <v>40</v>
      </c>
      <c r="F35" s="9" t="s">
        <v>41</v>
      </c>
      <c r="G35" s="10"/>
      <c r="H35" s="11"/>
      <c r="I35" s="12" t="n">
        <v>3</v>
      </c>
      <c r="J35" s="12" t="n">
        <v>2</v>
      </c>
      <c r="K35" s="13" t="n">
        <f aca="false">IF(I35="","",I35*2-J35)</f>
        <v>4</v>
      </c>
      <c r="L35" s="9" t="str">
        <f aca="false">IF(K35="","",IF(K35&gt;=8,"1 - quick win",IF(K35&gt;=6,"2 - build early",IF(K35&gt;=4,"3 - slower climb","4 - monitor only"))))</f>
        <v>3 - slower climb</v>
      </c>
      <c r="M35" s="9" t="s">
        <v>54</v>
      </c>
      <c r="N35" s="9" t="s">
        <v>74</v>
      </c>
      <c r="O35" s="9" t="s">
        <v>44</v>
      </c>
      <c r="P35" s="9"/>
    </row>
    <row r="36" customFormat="false" ht="15" hidden="false" customHeight="false" outlineLevel="0" collapsed="false">
      <c r="A36" s="14" t="s">
        <v>75</v>
      </c>
      <c r="B36" s="14" t="s">
        <v>48</v>
      </c>
      <c r="C36" s="14" t="s">
        <v>38</v>
      </c>
      <c r="D36" s="14" t="s">
        <v>49</v>
      </c>
      <c r="E36" s="14" t="s">
        <v>58</v>
      </c>
      <c r="F36" s="14" t="s">
        <v>41</v>
      </c>
      <c r="G36" s="10"/>
      <c r="H36" s="11"/>
      <c r="I36" s="15" t="n">
        <v>4</v>
      </c>
      <c r="J36" s="15" t="n">
        <v>2</v>
      </c>
      <c r="K36" s="16" t="n">
        <f aca="false">IF(I36="","",I36*2-J36)</f>
        <v>6</v>
      </c>
      <c r="L36" s="14" t="str">
        <f aca="false">IF(K36="","",IF(K36&gt;=8,"1 - quick win",IF(K36&gt;=6,"2 - build early",IF(K36&gt;=4,"3 - slower climb","4 - monitor only"))))</f>
        <v>2 - build early</v>
      </c>
      <c r="M36" s="14" t="s">
        <v>42</v>
      </c>
      <c r="N36" s="14" t="s">
        <v>76</v>
      </c>
      <c r="O36" s="14" t="s">
        <v>77</v>
      </c>
      <c r="P36" s="14"/>
    </row>
    <row r="37" customFormat="false" ht="15" hidden="false" customHeight="false" outlineLevel="0" collapsed="false">
      <c r="A37" s="9" t="s">
        <v>78</v>
      </c>
      <c r="B37" s="9" t="s">
        <v>57</v>
      </c>
      <c r="C37" s="9" t="s">
        <v>38</v>
      </c>
      <c r="D37" s="9" t="s">
        <v>49</v>
      </c>
      <c r="E37" s="9" t="s">
        <v>58</v>
      </c>
      <c r="F37" s="9" t="s">
        <v>41</v>
      </c>
      <c r="G37" s="10"/>
      <c r="H37" s="11"/>
      <c r="I37" s="12" t="n">
        <v>4</v>
      </c>
      <c r="J37" s="12" t="n">
        <v>2</v>
      </c>
      <c r="K37" s="13" t="n">
        <f aca="false">IF(I37="","",I37*2-J37)</f>
        <v>6</v>
      </c>
      <c r="L37" s="9" t="str">
        <f aca="false">IF(K37="","",IF(K37&gt;=8,"1 - quick win",IF(K37&gt;=6,"2 - build early",IF(K37&gt;=4,"3 - slower climb","4 - monitor only"))))</f>
        <v>2 - build early</v>
      </c>
      <c r="M37" s="9" t="s">
        <v>42</v>
      </c>
      <c r="N37" s="9" t="s">
        <v>79</v>
      </c>
      <c r="O37" s="9" t="s">
        <v>77</v>
      </c>
      <c r="P37" s="9"/>
    </row>
    <row r="38" customFormat="false" ht="23.85" hidden="false" customHeight="false" outlineLevel="0" collapsed="false">
      <c r="A38" s="14" t="s">
        <v>80</v>
      </c>
      <c r="B38" s="14" t="s">
        <v>48</v>
      </c>
      <c r="C38" s="14" t="s">
        <v>38</v>
      </c>
      <c r="D38" s="14" t="s">
        <v>49</v>
      </c>
      <c r="E38" s="14" t="s">
        <v>58</v>
      </c>
      <c r="F38" s="14" t="s">
        <v>41</v>
      </c>
      <c r="G38" s="10"/>
      <c r="H38" s="11"/>
      <c r="I38" s="15" t="n">
        <v>4</v>
      </c>
      <c r="J38" s="15" t="n">
        <v>2</v>
      </c>
      <c r="K38" s="16" t="n">
        <f aca="false">IF(I38="","",I38*2-J38)</f>
        <v>6</v>
      </c>
      <c r="L38" s="14" t="str">
        <f aca="false">IF(K38="","",IF(K38&gt;=8,"1 - quick win",IF(K38&gt;=6,"2 - build early",IF(K38&gt;=4,"3 - slower climb","4 - monitor only"))))</f>
        <v>2 - build early</v>
      </c>
      <c r="M38" s="14" t="s">
        <v>54</v>
      </c>
      <c r="N38" s="14" t="s">
        <v>81</v>
      </c>
      <c r="O38" s="14" t="s">
        <v>77</v>
      </c>
      <c r="P38" s="14"/>
    </row>
    <row r="39" customFormat="false" ht="23.85" hidden="false" customHeight="false" outlineLevel="0" collapsed="false">
      <c r="A39" s="9" t="s">
        <v>82</v>
      </c>
      <c r="B39" s="9" t="s">
        <v>48</v>
      </c>
      <c r="C39" s="9" t="s">
        <v>38</v>
      </c>
      <c r="D39" s="9" t="s">
        <v>49</v>
      </c>
      <c r="E39" s="9" t="s">
        <v>58</v>
      </c>
      <c r="F39" s="9" t="s">
        <v>41</v>
      </c>
      <c r="G39" s="10"/>
      <c r="H39" s="11"/>
      <c r="I39" s="12" t="n">
        <v>3</v>
      </c>
      <c r="J39" s="12" t="n">
        <v>2</v>
      </c>
      <c r="K39" s="13" t="n">
        <f aca="false">IF(I39="","",I39*2-J39)</f>
        <v>4</v>
      </c>
      <c r="L39" s="9" t="str">
        <f aca="false">IF(K39="","",IF(K39&gt;=8,"1 - quick win",IF(K39&gt;=6,"2 - build early",IF(K39&gt;=4,"3 - slower climb","4 - monitor only"))))</f>
        <v>3 - slower climb</v>
      </c>
      <c r="M39" s="9" t="s">
        <v>54</v>
      </c>
      <c r="N39" s="9" t="s">
        <v>83</v>
      </c>
      <c r="O39" s="9" t="s">
        <v>77</v>
      </c>
      <c r="P39" s="9"/>
    </row>
    <row r="40" customFormat="false" ht="23.85" hidden="false" customHeight="false" outlineLevel="0" collapsed="false">
      <c r="A40" s="14" t="s">
        <v>84</v>
      </c>
      <c r="B40" s="14" t="s">
        <v>57</v>
      </c>
      <c r="C40" s="14" t="s">
        <v>38</v>
      </c>
      <c r="D40" s="14" t="s">
        <v>67</v>
      </c>
      <c r="E40" s="14" t="s">
        <v>68</v>
      </c>
      <c r="F40" s="14" t="s">
        <v>41</v>
      </c>
      <c r="G40" s="10"/>
      <c r="H40" s="11"/>
      <c r="I40" s="15" t="n">
        <v>4</v>
      </c>
      <c r="J40" s="15" t="n">
        <v>2</v>
      </c>
      <c r="K40" s="16" t="n">
        <f aca="false">IF(I40="","",I40*2-J40)</f>
        <v>6</v>
      </c>
      <c r="L40" s="14" t="str">
        <f aca="false">IF(K40="","",IF(K40&gt;=8,"1 - quick win",IF(K40&gt;=6,"2 - build early",IF(K40&gt;=4,"3 - slower climb","4 - monitor only"))))</f>
        <v>2 - build early</v>
      </c>
      <c r="M40" s="14" t="s">
        <v>42</v>
      </c>
      <c r="N40" s="14" t="s">
        <v>85</v>
      </c>
      <c r="O40" s="14" t="s">
        <v>86</v>
      </c>
      <c r="P40" s="14"/>
    </row>
    <row r="41" customFormat="false" ht="15" hidden="false" customHeight="false" outlineLevel="0" collapsed="false">
      <c r="A41" s="9" t="s">
        <v>87</v>
      </c>
      <c r="B41" s="9" t="s">
        <v>57</v>
      </c>
      <c r="C41" s="9" t="s">
        <v>38</v>
      </c>
      <c r="D41" s="9" t="s">
        <v>39</v>
      </c>
      <c r="E41" s="9" t="s">
        <v>40</v>
      </c>
      <c r="F41" s="9" t="s">
        <v>41</v>
      </c>
      <c r="G41" s="10"/>
      <c r="H41" s="11"/>
      <c r="I41" s="12" t="n">
        <v>3</v>
      </c>
      <c r="J41" s="12" t="n">
        <v>2</v>
      </c>
      <c r="K41" s="13" t="n">
        <f aca="false">IF(I41="","",I41*2-J41)</f>
        <v>4</v>
      </c>
      <c r="L41" s="9" t="str">
        <f aca="false">IF(K41="","",IF(K41&gt;=8,"1 - quick win",IF(K41&gt;=6,"2 - build early",IF(K41&gt;=4,"3 - slower climb","4 - monitor only"))))</f>
        <v>3 - slower climb</v>
      </c>
      <c r="M41" s="9" t="s">
        <v>42</v>
      </c>
      <c r="N41" s="9" t="s">
        <v>88</v>
      </c>
      <c r="O41" s="9" t="s">
        <v>44</v>
      </c>
      <c r="P41" s="9"/>
    </row>
    <row r="42" customFormat="false" ht="15" hidden="false" customHeight="false" outlineLevel="0" collapsed="false">
      <c r="A42" s="14" t="s">
        <v>89</v>
      </c>
      <c r="B42" s="14" t="s">
        <v>48</v>
      </c>
      <c r="C42" s="14" t="s">
        <v>38</v>
      </c>
      <c r="D42" s="14" t="s">
        <v>39</v>
      </c>
      <c r="E42" s="14" t="s">
        <v>40</v>
      </c>
      <c r="F42" s="14" t="s">
        <v>41</v>
      </c>
      <c r="G42" s="10"/>
      <c r="H42" s="11"/>
      <c r="I42" s="15" t="n">
        <v>4</v>
      </c>
      <c r="J42" s="15" t="n">
        <v>3</v>
      </c>
      <c r="K42" s="16" t="n">
        <f aca="false">IF(I42="","",I42*2-J42)</f>
        <v>5</v>
      </c>
      <c r="L42" s="14" t="str">
        <f aca="false">IF(K42="","",IF(K42&gt;=8,"1 - quick win",IF(K42&gt;=6,"2 - build early",IF(K42&gt;=4,"3 - slower climb","4 - monitor only"))))</f>
        <v>3 - slower climb</v>
      </c>
      <c r="M42" s="14" t="s">
        <v>54</v>
      </c>
      <c r="N42" s="14" t="s">
        <v>90</v>
      </c>
      <c r="O42" s="14" t="s">
        <v>44</v>
      </c>
      <c r="P42" s="14"/>
    </row>
    <row r="43" customFormat="false" ht="15" hidden="false" customHeight="false" outlineLevel="0" collapsed="false">
      <c r="A43" s="9" t="s">
        <v>91</v>
      </c>
      <c r="B43" s="9" t="s">
        <v>48</v>
      </c>
      <c r="C43" s="9" t="s">
        <v>38</v>
      </c>
      <c r="D43" s="9" t="s">
        <v>49</v>
      </c>
      <c r="E43" s="9" t="s">
        <v>58</v>
      </c>
      <c r="F43" s="9" t="s">
        <v>41</v>
      </c>
      <c r="G43" s="10"/>
      <c r="H43" s="11"/>
      <c r="I43" s="12" t="n">
        <v>4</v>
      </c>
      <c r="J43" s="12" t="n">
        <v>3</v>
      </c>
      <c r="K43" s="13" t="n">
        <f aca="false">IF(I43="","",I43*2-J43)</f>
        <v>5</v>
      </c>
      <c r="L43" s="9" t="str">
        <f aca="false">IF(K43="","",IF(K43&gt;=8,"1 - quick win",IF(K43&gt;=6,"2 - build early",IF(K43&gt;=4,"3 - slower climb","4 - monitor only"))))</f>
        <v>3 - slower climb</v>
      </c>
      <c r="M43" s="9" t="s">
        <v>42</v>
      </c>
      <c r="N43" s="9" t="s">
        <v>92</v>
      </c>
      <c r="O43" s="9" t="s">
        <v>93</v>
      </c>
      <c r="P43" s="9"/>
    </row>
    <row r="44" customFormat="false" ht="15" hidden="false" customHeight="false" outlineLevel="0" collapsed="false">
      <c r="A44" s="14" t="s">
        <v>94</v>
      </c>
      <c r="B44" s="14" t="s">
        <v>37</v>
      </c>
      <c r="C44" s="14" t="s">
        <v>95</v>
      </c>
      <c r="D44" s="14" t="s">
        <v>49</v>
      </c>
      <c r="E44" s="14" t="s">
        <v>68</v>
      </c>
      <c r="F44" s="14" t="s">
        <v>41</v>
      </c>
      <c r="G44" s="10"/>
      <c r="H44" s="11"/>
      <c r="I44" s="15" t="n">
        <v>5</v>
      </c>
      <c r="J44" s="15" t="n">
        <v>3</v>
      </c>
      <c r="K44" s="16" t="n">
        <f aca="false">IF(I44="","",I44*2-J44)</f>
        <v>7</v>
      </c>
      <c r="L44" s="14" t="str">
        <f aca="false">IF(K44="","",IF(K44&gt;=8,"1 - quick win",IF(K44&gt;=6,"2 - build early",IF(K44&gt;=4,"3 - slower climb","4 - monitor only"))))</f>
        <v>2 - build early</v>
      </c>
      <c r="M44" s="14" t="s">
        <v>42</v>
      </c>
      <c r="N44" s="14" t="s">
        <v>96</v>
      </c>
      <c r="O44" s="14" t="s">
        <v>97</v>
      </c>
      <c r="P44" s="14"/>
    </row>
    <row r="45" customFormat="false" ht="23.85" hidden="false" customHeight="false" outlineLevel="0" collapsed="false">
      <c r="A45" s="9" t="s">
        <v>98</v>
      </c>
      <c r="B45" s="9" t="s">
        <v>48</v>
      </c>
      <c r="C45" s="9" t="s">
        <v>95</v>
      </c>
      <c r="D45" s="9" t="s">
        <v>49</v>
      </c>
      <c r="E45" s="9" t="s">
        <v>68</v>
      </c>
      <c r="F45" s="9" t="s">
        <v>41</v>
      </c>
      <c r="G45" s="10"/>
      <c r="H45" s="11"/>
      <c r="I45" s="12" t="n">
        <v>5</v>
      </c>
      <c r="J45" s="12" t="n">
        <v>3</v>
      </c>
      <c r="K45" s="13" t="n">
        <f aca="false">IF(I45="","",I45*2-J45)</f>
        <v>7</v>
      </c>
      <c r="L45" s="9" t="str">
        <f aca="false">IF(K45="","",IF(K45&gt;=8,"1 - quick win",IF(K45&gt;=6,"2 - build early",IF(K45&gt;=4,"3 - slower climb","4 - monitor only"))))</f>
        <v>2 - build early</v>
      </c>
      <c r="M45" s="9" t="s">
        <v>42</v>
      </c>
      <c r="N45" s="9" t="s">
        <v>99</v>
      </c>
      <c r="O45" s="9" t="s">
        <v>97</v>
      </c>
      <c r="P45" s="9"/>
    </row>
    <row r="46" customFormat="false" ht="15" hidden="false" customHeight="false" outlineLevel="0" collapsed="false">
      <c r="A46" s="14" t="s">
        <v>100</v>
      </c>
      <c r="B46" s="14" t="s">
        <v>57</v>
      </c>
      <c r="C46" s="14" t="s">
        <v>95</v>
      </c>
      <c r="D46" s="14" t="s">
        <v>49</v>
      </c>
      <c r="E46" s="14" t="s">
        <v>68</v>
      </c>
      <c r="F46" s="14" t="s">
        <v>41</v>
      </c>
      <c r="G46" s="10"/>
      <c r="H46" s="11"/>
      <c r="I46" s="15" t="n">
        <v>5</v>
      </c>
      <c r="J46" s="15" t="n">
        <v>3</v>
      </c>
      <c r="K46" s="16" t="n">
        <f aca="false">IF(I46="","",I46*2-J46)</f>
        <v>7</v>
      </c>
      <c r="L46" s="14" t="str">
        <f aca="false">IF(K46="","",IF(K46&gt;=8,"1 - quick win",IF(K46&gt;=6,"2 - build early",IF(K46&gt;=4,"3 - slower climb","4 - monitor only"))))</f>
        <v>2 - build early</v>
      </c>
      <c r="M46" s="14" t="s">
        <v>42</v>
      </c>
      <c r="N46" s="14" t="s">
        <v>101</v>
      </c>
      <c r="O46" s="14" t="s">
        <v>97</v>
      </c>
      <c r="P46" s="14"/>
    </row>
    <row r="47" customFormat="false" ht="23.85" hidden="false" customHeight="false" outlineLevel="0" collapsed="false">
      <c r="A47" s="9" t="s">
        <v>102</v>
      </c>
      <c r="B47" s="9" t="s">
        <v>57</v>
      </c>
      <c r="C47" s="9" t="s">
        <v>95</v>
      </c>
      <c r="D47" s="9" t="s">
        <v>49</v>
      </c>
      <c r="E47" s="9" t="s">
        <v>58</v>
      </c>
      <c r="F47" s="9" t="s">
        <v>41</v>
      </c>
      <c r="G47" s="10"/>
      <c r="H47" s="11"/>
      <c r="I47" s="12" t="n">
        <v>5</v>
      </c>
      <c r="J47" s="12" t="n">
        <v>2</v>
      </c>
      <c r="K47" s="13" t="n">
        <f aca="false">IF(I47="","",I47*2-J47)</f>
        <v>8</v>
      </c>
      <c r="L47" s="9" t="str">
        <f aca="false">IF(K47="","",IF(K47&gt;=8,"1 - quick win",IF(K47&gt;=6,"2 - build early",IF(K47&gt;=4,"3 - slower climb","4 - monitor only"))))</f>
        <v>1 - quick win</v>
      </c>
      <c r="M47" s="9" t="s">
        <v>42</v>
      </c>
      <c r="N47" s="9" t="s">
        <v>103</v>
      </c>
      <c r="O47" s="9" t="s">
        <v>104</v>
      </c>
      <c r="P47" s="9"/>
    </row>
    <row r="48" customFormat="false" ht="23.85" hidden="false" customHeight="false" outlineLevel="0" collapsed="false">
      <c r="A48" s="14" t="s">
        <v>105</v>
      </c>
      <c r="B48" s="14" t="s">
        <v>48</v>
      </c>
      <c r="C48" s="14" t="s">
        <v>95</v>
      </c>
      <c r="D48" s="14" t="s">
        <v>49</v>
      </c>
      <c r="E48" s="14" t="s">
        <v>68</v>
      </c>
      <c r="F48" s="14" t="s">
        <v>41</v>
      </c>
      <c r="G48" s="10"/>
      <c r="H48" s="11"/>
      <c r="I48" s="15" t="n">
        <v>4</v>
      </c>
      <c r="J48" s="15" t="n">
        <v>4</v>
      </c>
      <c r="K48" s="16" t="n">
        <f aca="false">IF(I48="","",I48*2-J48)</f>
        <v>4</v>
      </c>
      <c r="L48" s="14" t="str">
        <f aca="false">IF(K48="","",IF(K48&gt;=8,"1 - quick win",IF(K48&gt;=6,"2 - build early",IF(K48&gt;=4,"3 - slower climb","4 - monitor only"))))</f>
        <v>3 - slower climb</v>
      </c>
      <c r="M48" s="14" t="s">
        <v>54</v>
      </c>
      <c r="N48" s="14" t="s">
        <v>106</v>
      </c>
      <c r="O48" s="14" t="s">
        <v>97</v>
      </c>
      <c r="P48" s="14"/>
    </row>
    <row r="49" customFormat="false" ht="23.85" hidden="false" customHeight="false" outlineLevel="0" collapsed="false">
      <c r="A49" s="9" t="s">
        <v>107</v>
      </c>
      <c r="B49" s="9" t="s">
        <v>57</v>
      </c>
      <c r="C49" s="9" t="s">
        <v>95</v>
      </c>
      <c r="D49" s="9" t="s">
        <v>108</v>
      </c>
      <c r="E49" s="9" t="s">
        <v>58</v>
      </c>
      <c r="F49" s="9" t="s">
        <v>41</v>
      </c>
      <c r="G49" s="10"/>
      <c r="H49" s="11"/>
      <c r="I49" s="12" t="n">
        <v>5</v>
      </c>
      <c r="J49" s="12" t="n">
        <v>2</v>
      </c>
      <c r="K49" s="13" t="n">
        <f aca="false">IF(I49="","",I49*2-J49)</f>
        <v>8</v>
      </c>
      <c r="L49" s="9" t="str">
        <f aca="false">IF(K49="","",IF(K49&gt;=8,"1 - quick win",IF(K49&gt;=6,"2 - build early",IF(K49&gt;=4,"3 - slower climb","4 - monitor only"))))</f>
        <v>1 - quick win</v>
      </c>
      <c r="M49" s="9" t="s">
        <v>42</v>
      </c>
      <c r="N49" s="9" t="s">
        <v>109</v>
      </c>
      <c r="O49" s="9" t="s">
        <v>110</v>
      </c>
      <c r="P49" s="9"/>
    </row>
    <row r="50" customFormat="false" ht="23.85" hidden="false" customHeight="false" outlineLevel="0" collapsed="false">
      <c r="A50" s="14" t="s">
        <v>111</v>
      </c>
      <c r="B50" s="14" t="s">
        <v>112</v>
      </c>
      <c r="C50" s="14" t="s">
        <v>95</v>
      </c>
      <c r="D50" s="14" t="s">
        <v>49</v>
      </c>
      <c r="E50" s="14" t="s">
        <v>58</v>
      </c>
      <c r="F50" s="14" t="s">
        <v>41</v>
      </c>
      <c r="G50" s="10"/>
      <c r="H50" s="11"/>
      <c r="I50" s="15" t="n">
        <v>5</v>
      </c>
      <c r="J50" s="15" t="n">
        <v>2</v>
      </c>
      <c r="K50" s="16" t="n">
        <f aca="false">IF(I50="","",I50*2-J50)</f>
        <v>8</v>
      </c>
      <c r="L50" s="14" t="str">
        <f aca="false">IF(K50="","",IF(K50&gt;=8,"1 - quick win",IF(K50&gt;=6,"2 - build early",IF(K50&gt;=4,"3 - slower climb","4 - monitor only"))))</f>
        <v>1 - quick win</v>
      </c>
      <c r="M50" s="14" t="s">
        <v>42</v>
      </c>
      <c r="N50" s="14" t="s">
        <v>113</v>
      </c>
      <c r="O50" s="14" t="s">
        <v>110</v>
      </c>
      <c r="P50" s="14"/>
    </row>
    <row r="51" customFormat="false" ht="15" hidden="false" customHeight="false" outlineLevel="0" collapsed="false">
      <c r="A51" s="9" t="s">
        <v>114</v>
      </c>
      <c r="B51" s="9" t="s">
        <v>57</v>
      </c>
      <c r="C51" s="9" t="s">
        <v>95</v>
      </c>
      <c r="D51" s="9" t="s">
        <v>67</v>
      </c>
      <c r="E51" s="9" t="s">
        <v>68</v>
      </c>
      <c r="F51" s="9" t="s">
        <v>41</v>
      </c>
      <c r="G51" s="10"/>
      <c r="H51" s="11"/>
      <c r="I51" s="12" t="n">
        <v>3</v>
      </c>
      <c r="J51" s="12" t="n">
        <v>2</v>
      </c>
      <c r="K51" s="13" t="n">
        <f aca="false">IF(I51="","",I51*2-J51)</f>
        <v>4</v>
      </c>
      <c r="L51" s="9" t="str">
        <f aca="false">IF(K51="","",IF(K51&gt;=8,"1 - quick win",IF(K51&gt;=6,"2 - build early",IF(K51&gt;=4,"3 - slower climb","4 - monitor only"))))</f>
        <v>3 - slower climb</v>
      </c>
      <c r="M51" s="9" t="s">
        <v>54</v>
      </c>
      <c r="N51" s="9" t="s">
        <v>115</v>
      </c>
      <c r="O51" s="9" t="s">
        <v>97</v>
      </c>
      <c r="P51" s="9"/>
    </row>
    <row r="52" customFormat="false" ht="23.85" hidden="false" customHeight="false" outlineLevel="0" collapsed="false">
      <c r="A52" s="14" t="s">
        <v>116</v>
      </c>
      <c r="B52" s="14" t="s">
        <v>48</v>
      </c>
      <c r="C52" s="14" t="s">
        <v>95</v>
      </c>
      <c r="D52" s="14" t="s">
        <v>117</v>
      </c>
      <c r="E52" s="14" t="s">
        <v>118</v>
      </c>
      <c r="F52" s="14" t="s">
        <v>41</v>
      </c>
      <c r="G52" s="10"/>
      <c r="H52" s="11"/>
      <c r="I52" s="15" t="n">
        <v>5</v>
      </c>
      <c r="J52" s="15" t="n">
        <v>2</v>
      </c>
      <c r="K52" s="16" t="n">
        <f aca="false">IF(I52="","",I52*2-J52)</f>
        <v>8</v>
      </c>
      <c r="L52" s="14" t="str">
        <f aca="false">IF(K52="","",IF(K52&gt;=8,"1 - quick win",IF(K52&gt;=6,"2 - build early",IF(K52&gt;=4,"3 - slower climb","4 - monitor only"))))</f>
        <v>1 - quick win</v>
      </c>
      <c r="M52" s="14" t="s">
        <v>42</v>
      </c>
      <c r="N52" s="14" t="s">
        <v>119</v>
      </c>
      <c r="O52" s="14" t="s">
        <v>120</v>
      </c>
      <c r="P52" s="14"/>
    </row>
    <row r="53" customFormat="false" ht="23.85" hidden="false" customHeight="false" outlineLevel="0" collapsed="false">
      <c r="A53" s="9" t="s">
        <v>121</v>
      </c>
      <c r="B53" s="9" t="s">
        <v>48</v>
      </c>
      <c r="C53" s="9" t="s">
        <v>95</v>
      </c>
      <c r="D53" s="9" t="s">
        <v>49</v>
      </c>
      <c r="E53" s="9" t="s">
        <v>118</v>
      </c>
      <c r="F53" s="9" t="s">
        <v>41</v>
      </c>
      <c r="G53" s="10"/>
      <c r="H53" s="11"/>
      <c r="I53" s="12" t="n">
        <v>4</v>
      </c>
      <c r="J53" s="12" t="n">
        <v>1</v>
      </c>
      <c r="K53" s="13" t="n">
        <f aca="false">IF(I53="","",I53*2-J53)</f>
        <v>7</v>
      </c>
      <c r="L53" s="9" t="str">
        <f aca="false">IF(K53="","",IF(K53&gt;=8,"1 - quick win",IF(K53&gt;=6,"2 - build early",IF(K53&gt;=4,"3 - slower climb","4 - monitor only"))))</f>
        <v>2 - build early</v>
      </c>
      <c r="M53" s="9" t="s">
        <v>42</v>
      </c>
      <c r="N53" s="9" t="s">
        <v>122</v>
      </c>
      <c r="O53" s="9" t="s">
        <v>123</v>
      </c>
      <c r="P53" s="9"/>
    </row>
    <row r="54" customFormat="false" ht="15" hidden="false" customHeight="false" outlineLevel="0" collapsed="false">
      <c r="A54" s="14" t="s">
        <v>124</v>
      </c>
      <c r="B54" s="14" t="s">
        <v>48</v>
      </c>
      <c r="C54" s="14" t="s">
        <v>95</v>
      </c>
      <c r="D54" s="14" t="s">
        <v>49</v>
      </c>
      <c r="E54" s="14" t="s">
        <v>118</v>
      </c>
      <c r="F54" s="14" t="s">
        <v>41</v>
      </c>
      <c r="G54" s="10"/>
      <c r="H54" s="11"/>
      <c r="I54" s="15" t="n">
        <v>4</v>
      </c>
      <c r="J54" s="15" t="n">
        <v>2</v>
      </c>
      <c r="K54" s="16" t="n">
        <f aca="false">IF(I54="","",I54*2-J54)</f>
        <v>6</v>
      </c>
      <c r="L54" s="14" t="str">
        <f aca="false">IF(K54="","",IF(K54&gt;=8,"1 - quick win",IF(K54&gt;=6,"2 - build early",IF(K54&gt;=4,"3 - slower climb","4 - monitor only"))))</f>
        <v>2 - build early</v>
      </c>
      <c r="M54" s="14" t="s">
        <v>42</v>
      </c>
      <c r="N54" s="14" t="s">
        <v>125</v>
      </c>
      <c r="O54" s="14" t="s">
        <v>123</v>
      </c>
      <c r="P54" s="14"/>
    </row>
    <row r="55" customFormat="false" ht="23.85" hidden="false" customHeight="false" outlineLevel="0" collapsed="false">
      <c r="A55" s="9" t="s">
        <v>126</v>
      </c>
      <c r="B55" s="9" t="s">
        <v>48</v>
      </c>
      <c r="C55" s="9" t="s">
        <v>95</v>
      </c>
      <c r="D55" s="9" t="s">
        <v>49</v>
      </c>
      <c r="E55" s="9" t="s">
        <v>68</v>
      </c>
      <c r="F55" s="9" t="s">
        <v>41</v>
      </c>
      <c r="G55" s="10"/>
      <c r="H55" s="11"/>
      <c r="I55" s="12" t="n">
        <v>4</v>
      </c>
      <c r="J55" s="12" t="n">
        <v>2</v>
      </c>
      <c r="K55" s="13" t="n">
        <f aca="false">IF(I55="","",I55*2-J55)</f>
        <v>6</v>
      </c>
      <c r="L55" s="9" t="str">
        <f aca="false">IF(K55="","",IF(K55&gt;=8,"1 - quick win",IF(K55&gt;=6,"2 - build early",IF(K55&gt;=4,"3 - slower climb","4 - monitor only"))))</f>
        <v>2 - build early</v>
      </c>
      <c r="M55" s="9" t="s">
        <v>42</v>
      </c>
      <c r="N55" s="9" t="s">
        <v>127</v>
      </c>
      <c r="O55" s="9" t="s">
        <v>128</v>
      </c>
      <c r="P55" s="9"/>
    </row>
    <row r="56" customFormat="false" ht="15" hidden="false" customHeight="false" outlineLevel="0" collapsed="false">
      <c r="A56" s="14" t="s">
        <v>129</v>
      </c>
      <c r="B56" s="14" t="s">
        <v>57</v>
      </c>
      <c r="C56" s="14" t="s">
        <v>95</v>
      </c>
      <c r="D56" s="14" t="s">
        <v>49</v>
      </c>
      <c r="E56" s="14" t="s">
        <v>118</v>
      </c>
      <c r="F56" s="14" t="s">
        <v>41</v>
      </c>
      <c r="G56" s="10"/>
      <c r="H56" s="11"/>
      <c r="I56" s="15" t="n">
        <v>3</v>
      </c>
      <c r="J56" s="15" t="n">
        <v>1</v>
      </c>
      <c r="K56" s="16" t="n">
        <f aca="false">IF(I56="","",I56*2-J56)</f>
        <v>5</v>
      </c>
      <c r="L56" s="14" t="str">
        <f aca="false">IF(K56="","",IF(K56&gt;=8,"1 - quick win",IF(K56&gt;=6,"2 - build early",IF(K56&gt;=4,"3 - slower climb","4 - monitor only"))))</f>
        <v>3 - slower climb</v>
      </c>
      <c r="M56" s="14" t="s">
        <v>54</v>
      </c>
      <c r="N56" s="14" t="s">
        <v>130</v>
      </c>
      <c r="O56" s="14" t="s">
        <v>128</v>
      </c>
      <c r="P56" s="14"/>
    </row>
    <row r="57" customFormat="false" ht="23.85" hidden="false" customHeight="false" outlineLevel="0" collapsed="false">
      <c r="A57" s="9" t="s">
        <v>131</v>
      </c>
      <c r="B57" s="9" t="s">
        <v>57</v>
      </c>
      <c r="C57" s="9" t="s">
        <v>95</v>
      </c>
      <c r="D57" s="9" t="s">
        <v>132</v>
      </c>
      <c r="E57" s="9" t="s">
        <v>118</v>
      </c>
      <c r="F57" s="9" t="s">
        <v>41</v>
      </c>
      <c r="G57" s="10"/>
      <c r="H57" s="11"/>
      <c r="I57" s="12" t="n">
        <v>4</v>
      </c>
      <c r="J57" s="12" t="n">
        <v>1</v>
      </c>
      <c r="K57" s="13" t="n">
        <f aca="false">IF(I57="","",I57*2-J57)</f>
        <v>7</v>
      </c>
      <c r="L57" s="9" t="str">
        <f aca="false">IF(K57="","",IF(K57&gt;=8,"1 - quick win",IF(K57&gt;=6,"2 - build early",IF(K57&gt;=4,"3 - slower climb","4 - monitor only"))))</f>
        <v>2 - build early</v>
      </c>
      <c r="M57" s="9" t="s">
        <v>42</v>
      </c>
      <c r="N57" s="9" t="s">
        <v>133</v>
      </c>
      <c r="O57" s="9" t="s">
        <v>134</v>
      </c>
      <c r="P57" s="9"/>
    </row>
    <row r="58" customFormat="false" ht="15" hidden="false" customHeight="false" outlineLevel="0" collapsed="false">
      <c r="A58" s="14" t="s">
        <v>135</v>
      </c>
      <c r="B58" s="14" t="s">
        <v>57</v>
      </c>
      <c r="C58" s="14" t="s">
        <v>95</v>
      </c>
      <c r="D58" s="14" t="s">
        <v>132</v>
      </c>
      <c r="E58" s="14" t="s">
        <v>118</v>
      </c>
      <c r="F58" s="14" t="s">
        <v>41</v>
      </c>
      <c r="G58" s="10"/>
      <c r="H58" s="11"/>
      <c r="I58" s="15" t="n">
        <v>4</v>
      </c>
      <c r="J58" s="15" t="n">
        <v>1</v>
      </c>
      <c r="K58" s="16" t="n">
        <f aca="false">IF(I58="","",I58*2-J58)</f>
        <v>7</v>
      </c>
      <c r="L58" s="14" t="str">
        <f aca="false">IF(K58="","",IF(K58&gt;=8,"1 - quick win",IF(K58&gt;=6,"2 - build early",IF(K58&gt;=4,"3 - slower climb","4 - monitor only"))))</f>
        <v>2 - build early</v>
      </c>
      <c r="M58" s="14" t="s">
        <v>42</v>
      </c>
      <c r="N58" s="14" t="s">
        <v>136</v>
      </c>
      <c r="O58" s="14" t="s">
        <v>134</v>
      </c>
      <c r="P58" s="14"/>
    </row>
    <row r="59" customFormat="false" ht="23.85" hidden="false" customHeight="false" outlineLevel="0" collapsed="false">
      <c r="A59" s="9" t="s">
        <v>137</v>
      </c>
      <c r="B59" s="9" t="s">
        <v>57</v>
      </c>
      <c r="C59" s="9" t="s">
        <v>95</v>
      </c>
      <c r="D59" s="9" t="s">
        <v>108</v>
      </c>
      <c r="E59" s="9" t="s">
        <v>118</v>
      </c>
      <c r="F59" s="9" t="s">
        <v>41</v>
      </c>
      <c r="G59" s="10"/>
      <c r="H59" s="11"/>
      <c r="I59" s="12" t="n">
        <v>4</v>
      </c>
      <c r="J59" s="12" t="n">
        <v>2</v>
      </c>
      <c r="K59" s="13" t="n">
        <f aca="false">IF(I59="","",I59*2-J59)</f>
        <v>6</v>
      </c>
      <c r="L59" s="9" t="str">
        <f aca="false">IF(K59="","",IF(K59&gt;=8,"1 - quick win",IF(K59&gt;=6,"2 - build early",IF(K59&gt;=4,"3 - slower climb","4 - monitor only"))))</f>
        <v>2 - build early</v>
      </c>
      <c r="M59" s="9" t="s">
        <v>42</v>
      </c>
      <c r="N59" s="9" t="s">
        <v>138</v>
      </c>
      <c r="O59" s="9" t="s">
        <v>134</v>
      </c>
      <c r="P59" s="9"/>
    </row>
    <row r="60" customFormat="false" ht="15" hidden="false" customHeight="false" outlineLevel="0" collapsed="false">
      <c r="A60" s="14" t="s">
        <v>139</v>
      </c>
      <c r="B60" s="14" t="s">
        <v>57</v>
      </c>
      <c r="C60" s="14" t="s">
        <v>95</v>
      </c>
      <c r="D60" s="14" t="s">
        <v>67</v>
      </c>
      <c r="E60" s="14" t="s">
        <v>118</v>
      </c>
      <c r="F60" s="14" t="s">
        <v>41</v>
      </c>
      <c r="G60" s="10"/>
      <c r="H60" s="11"/>
      <c r="I60" s="15" t="n">
        <v>4</v>
      </c>
      <c r="J60" s="15" t="n">
        <v>2</v>
      </c>
      <c r="K60" s="16" t="n">
        <f aca="false">IF(I60="","",I60*2-J60)</f>
        <v>6</v>
      </c>
      <c r="L60" s="14" t="str">
        <f aca="false">IF(K60="","",IF(K60&gt;=8,"1 - quick win",IF(K60&gt;=6,"2 - build early",IF(K60&gt;=4,"3 - slower climb","4 - monitor only"))))</f>
        <v>2 - build early</v>
      </c>
      <c r="M60" s="14" t="s">
        <v>42</v>
      </c>
      <c r="N60" s="14" t="s">
        <v>140</v>
      </c>
      <c r="O60" s="14" t="s">
        <v>141</v>
      </c>
      <c r="P60" s="14"/>
    </row>
    <row r="61" customFormat="false" ht="23.85" hidden="false" customHeight="false" outlineLevel="0" collapsed="false">
      <c r="A61" s="9" t="s">
        <v>142</v>
      </c>
      <c r="B61" s="9" t="s">
        <v>37</v>
      </c>
      <c r="C61" s="9" t="s">
        <v>143</v>
      </c>
      <c r="D61" s="9" t="s">
        <v>49</v>
      </c>
      <c r="E61" s="9" t="s">
        <v>68</v>
      </c>
      <c r="F61" s="9" t="s">
        <v>41</v>
      </c>
      <c r="G61" s="10"/>
      <c r="H61" s="11"/>
      <c r="I61" s="12" t="n">
        <v>5</v>
      </c>
      <c r="J61" s="12" t="n">
        <v>4</v>
      </c>
      <c r="K61" s="13" t="n">
        <f aca="false">IF(I61="","",I61*2-J61)</f>
        <v>6</v>
      </c>
      <c r="L61" s="9" t="str">
        <f aca="false">IF(K61="","",IF(K61&gt;=8,"1 - quick win",IF(K61&gt;=6,"2 - build early",IF(K61&gt;=4,"3 - slower climb","4 - monitor only"))))</f>
        <v>2 - build early</v>
      </c>
      <c r="M61" s="9" t="s">
        <v>42</v>
      </c>
      <c r="N61" s="9" t="s">
        <v>144</v>
      </c>
      <c r="O61" s="9" t="s">
        <v>145</v>
      </c>
      <c r="P61" s="9"/>
    </row>
    <row r="62" customFormat="false" ht="23.85" hidden="false" customHeight="false" outlineLevel="0" collapsed="false">
      <c r="A62" s="14" t="s">
        <v>146</v>
      </c>
      <c r="B62" s="14" t="s">
        <v>37</v>
      </c>
      <c r="C62" s="14" t="s">
        <v>143</v>
      </c>
      <c r="D62" s="14" t="s">
        <v>49</v>
      </c>
      <c r="E62" s="14" t="s">
        <v>68</v>
      </c>
      <c r="F62" s="14" t="s">
        <v>41</v>
      </c>
      <c r="G62" s="10"/>
      <c r="H62" s="11"/>
      <c r="I62" s="15" t="n">
        <v>5</v>
      </c>
      <c r="J62" s="15" t="n">
        <v>4</v>
      </c>
      <c r="K62" s="16" t="n">
        <f aca="false">IF(I62="","",I62*2-J62)</f>
        <v>6</v>
      </c>
      <c r="L62" s="14" t="str">
        <f aca="false">IF(K62="","",IF(K62&gt;=8,"1 - quick win",IF(K62&gt;=6,"2 - build early",IF(K62&gt;=4,"3 - slower climb","4 - monitor only"))))</f>
        <v>2 - build early</v>
      </c>
      <c r="M62" s="14" t="s">
        <v>42</v>
      </c>
      <c r="N62" s="14" t="s">
        <v>147</v>
      </c>
      <c r="O62" s="14" t="s">
        <v>145</v>
      </c>
      <c r="P62" s="14"/>
    </row>
    <row r="63" customFormat="false" ht="23.85" hidden="false" customHeight="false" outlineLevel="0" collapsed="false">
      <c r="A63" s="9" t="s">
        <v>148</v>
      </c>
      <c r="B63" s="9" t="s">
        <v>57</v>
      </c>
      <c r="C63" s="9" t="s">
        <v>143</v>
      </c>
      <c r="D63" s="9" t="s">
        <v>39</v>
      </c>
      <c r="E63" s="9" t="s">
        <v>40</v>
      </c>
      <c r="F63" s="9" t="s">
        <v>41</v>
      </c>
      <c r="G63" s="10"/>
      <c r="H63" s="11"/>
      <c r="I63" s="12" t="n">
        <v>5</v>
      </c>
      <c r="J63" s="12" t="n">
        <v>5</v>
      </c>
      <c r="K63" s="13" t="n">
        <f aca="false">IF(I63="","",I63*2-J63)</f>
        <v>5</v>
      </c>
      <c r="L63" s="9" t="str">
        <f aca="false">IF(K63="","",IF(K63&gt;=8,"1 - quick win",IF(K63&gt;=6,"2 - build early",IF(K63&gt;=4,"3 - slower climb","4 - monitor only"))))</f>
        <v>3 - slower climb</v>
      </c>
      <c r="M63" s="9" t="s">
        <v>42</v>
      </c>
      <c r="N63" s="9" t="s">
        <v>149</v>
      </c>
      <c r="O63" s="9" t="s">
        <v>145</v>
      </c>
      <c r="P63" s="9"/>
    </row>
    <row r="64" customFormat="false" ht="23.85" hidden="false" customHeight="false" outlineLevel="0" collapsed="false">
      <c r="A64" s="14" t="s">
        <v>150</v>
      </c>
      <c r="B64" s="14" t="s">
        <v>112</v>
      </c>
      <c r="C64" s="14" t="s">
        <v>143</v>
      </c>
      <c r="D64" s="14" t="s">
        <v>39</v>
      </c>
      <c r="E64" s="14" t="s">
        <v>40</v>
      </c>
      <c r="F64" s="14" t="s">
        <v>41</v>
      </c>
      <c r="G64" s="10"/>
      <c r="H64" s="11"/>
      <c r="I64" s="15" t="n">
        <v>5</v>
      </c>
      <c r="J64" s="15" t="n">
        <v>5</v>
      </c>
      <c r="K64" s="16" t="n">
        <f aca="false">IF(I64="","",I64*2-J64)</f>
        <v>5</v>
      </c>
      <c r="L64" s="14" t="str">
        <f aca="false">IF(K64="","",IF(K64&gt;=8,"1 - quick win",IF(K64&gt;=6,"2 - build early",IF(K64&gt;=4,"3 - slower climb","4 - monitor only"))))</f>
        <v>3 - slower climb</v>
      </c>
      <c r="M64" s="14" t="s">
        <v>42</v>
      </c>
      <c r="N64" s="14" t="s">
        <v>151</v>
      </c>
      <c r="O64" s="14" t="s">
        <v>145</v>
      </c>
      <c r="P64" s="14"/>
    </row>
    <row r="65" customFormat="false" ht="23.85" hidden="false" customHeight="false" outlineLevel="0" collapsed="false">
      <c r="A65" s="9" t="s">
        <v>152</v>
      </c>
      <c r="B65" s="9" t="s">
        <v>48</v>
      </c>
      <c r="C65" s="9" t="s">
        <v>143</v>
      </c>
      <c r="D65" s="9" t="s">
        <v>49</v>
      </c>
      <c r="E65" s="9" t="s">
        <v>68</v>
      </c>
      <c r="F65" s="9" t="s">
        <v>41</v>
      </c>
      <c r="G65" s="10"/>
      <c r="H65" s="11"/>
      <c r="I65" s="12" t="n">
        <v>5</v>
      </c>
      <c r="J65" s="12" t="n">
        <v>4</v>
      </c>
      <c r="K65" s="13" t="n">
        <f aca="false">IF(I65="","",I65*2-J65)</f>
        <v>6</v>
      </c>
      <c r="L65" s="9" t="str">
        <f aca="false">IF(K65="","",IF(K65&gt;=8,"1 - quick win",IF(K65&gt;=6,"2 - build early",IF(K65&gt;=4,"3 - slower climb","4 - monitor only"))))</f>
        <v>2 - build early</v>
      </c>
      <c r="M65" s="9" t="s">
        <v>42</v>
      </c>
      <c r="N65" s="9" t="s">
        <v>153</v>
      </c>
      <c r="O65" s="9" t="s">
        <v>145</v>
      </c>
      <c r="P65" s="9"/>
    </row>
    <row r="66" customFormat="false" ht="23.85" hidden="false" customHeight="false" outlineLevel="0" collapsed="false">
      <c r="A66" s="14" t="s">
        <v>154</v>
      </c>
      <c r="B66" s="14" t="s">
        <v>112</v>
      </c>
      <c r="C66" s="14" t="s">
        <v>143</v>
      </c>
      <c r="D66" s="14" t="s">
        <v>49</v>
      </c>
      <c r="E66" s="14" t="s">
        <v>68</v>
      </c>
      <c r="F66" s="14" t="s">
        <v>41</v>
      </c>
      <c r="G66" s="10"/>
      <c r="H66" s="11"/>
      <c r="I66" s="15" t="n">
        <v>5</v>
      </c>
      <c r="J66" s="15" t="n">
        <v>4</v>
      </c>
      <c r="K66" s="16" t="n">
        <f aca="false">IF(I66="","",I66*2-J66)</f>
        <v>6</v>
      </c>
      <c r="L66" s="14" t="str">
        <f aca="false">IF(K66="","",IF(K66&gt;=8,"1 - quick win",IF(K66&gt;=6,"2 - build early",IF(K66&gt;=4,"3 - slower climb","4 - monitor only"))))</f>
        <v>2 - build early</v>
      </c>
      <c r="M66" s="14" t="s">
        <v>42</v>
      </c>
      <c r="N66" s="14" t="s">
        <v>155</v>
      </c>
      <c r="O66" s="14" t="s">
        <v>145</v>
      </c>
      <c r="P66" s="14"/>
    </row>
    <row r="67" customFormat="false" ht="23.85" hidden="false" customHeight="false" outlineLevel="0" collapsed="false">
      <c r="A67" s="9" t="s">
        <v>156</v>
      </c>
      <c r="B67" s="9" t="s">
        <v>48</v>
      </c>
      <c r="C67" s="9" t="s">
        <v>143</v>
      </c>
      <c r="D67" s="9" t="s">
        <v>67</v>
      </c>
      <c r="E67" s="9" t="s">
        <v>118</v>
      </c>
      <c r="F67" s="9" t="s">
        <v>41</v>
      </c>
      <c r="G67" s="10"/>
      <c r="H67" s="11"/>
      <c r="I67" s="12" t="n">
        <v>5</v>
      </c>
      <c r="J67" s="12" t="n">
        <v>3</v>
      </c>
      <c r="K67" s="13" t="n">
        <f aca="false">IF(I67="","",I67*2-J67)</f>
        <v>7</v>
      </c>
      <c r="L67" s="9" t="str">
        <f aca="false">IF(K67="","",IF(K67&gt;=8,"1 - quick win",IF(K67&gt;=6,"2 - build early",IF(K67&gt;=4,"3 - slower climb","4 - monitor only"))))</f>
        <v>2 - build early</v>
      </c>
      <c r="M67" s="9" t="s">
        <v>42</v>
      </c>
      <c r="N67" s="9" t="s">
        <v>157</v>
      </c>
      <c r="O67" s="9" t="s">
        <v>145</v>
      </c>
      <c r="P67" s="9"/>
    </row>
    <row r="68" customFormat="false" ht="23.85" hidden="false" customHeight="false" outlineLevel="0" collapsed="false">
      <c r="A68" s="14" t="s">
        <v>158</v>
      </c>
      <c r="B68" s="14" t="s">
        <v>48</v>
      </c>
      <c r="C68" s="14" t="s">
        <v>143</v>
      </c>
      <c r="D68" s="14" t="s">
        <v>49</v>
      </c>
      <c r="E68" s="14" t="s">
        <v>58</v>
      </c>
      <c r="F68" s="14" t="s">
        <v>41</v>
      </c>
      <c r="G68" s="10"/>
      <c r="H68" s="11"/>
      <c r="I68" s="15" t="n">
        <v>4</v>
      </c>
      <c r="J68" s="15" t="n">
        <v>1</v>
      </c>
      <c r="K68" s="16" t="n">
        <f aca="false">IF(I68="","",I68*2-J68)</f>
        <v>7</v>
      </c>
      <c r="L68" s="14" t="str">
        <f aca="false">IF(K68="","",IF(K68&gt;=8,"1 - quick win",IF(K68&gt;=6,"2 - build early",IF(K68&gt;=4,"3 - slower climb","4 - monitor only"))))</f>
        <v>2 - build early</v>
      </c>
      <c r="M68" s="14" t="s">
        <v>42</v>
      </c>
      <c r="N68" s="14" t="s">
        <v>159</v>
      </c>
      <c r="O68" s="14" t="s">
        <v>160</v>
      </c>
      <c r="P68" s="14"/>
    </row>
    <row r="69" customFormat="false" ht="23.85" hidden="false" customHeight="false" outlineLevel="0" collapsed="false">
      <c r="A69" s="9" t="s">
        <v>161</v>
      </c>
      <c r="B69" s="9" t="s">
        <v>112</v>
      </c>
      <c r="C69" s="9" t="s">
        <v>143</v>
      </c>
      <c r="D69" s="9" t="s">
        <v>39</v>
      </c>
      <c r="E69" s="9" t="s">
        <v>58</v>
      </c>
      <c r="F69" s="9" t="s">
        <v>41</v>
      </c>
      <c r="G69" s="10"/>
      <c r="H69" s="11"/>
      <c r="I69" s="12" t="n">
        <v>4</v>
      </c>
      <c r="J69" s="12" t="n">
        <v>1</v>
      </c>
      <c r="K69" s="13" t="n">
        <f aca="false">IF(I69="","",I69*2-J69)</f>
        <v>7</v>
      </c>
      <c r="L69" s="9" t="str">
        <f aca="false">IF(K69="","",IF(K69&gt;=8,"1 - quick win",IF(K69&gt;=6,"2 - build early",IF(K69&gt;=4,"3 - slower climb","4 - monitor only"))))</f>
        <v>2 - build early</v>
      </c>
      <c r="M69" s="9" t="s">
        <v>42</v>
      </c>
      <c r="N69" s="9" t="s">
        <v>162</v>
      </c>
      <c r="O69" s="9" t="s">
        <v>160</v>
      </c>
      <c r="P69" s="9"/>
    </row>
    <row r="70" customFormat="false" ht="23.85" hidden="false" customHeight="false" outlineLevel="0" collapsed="false">
      <c r="A70" s="14" t="s">
        <v>163</v>
      </c>
      <c r="B70" s="14" t="s">
        <v>57</v>
      </c>
      <c r="C70" s="14" t="s">
        <v>143</v>
      </c>
      <c r="D70" s="14" t="s">
        <v>67</v>
      </c>
      <c r="E70" s="14" t="s">
        <v>58</v>
      </c>
      <c r="F70" s="14" t="s">
        <v>41</v>
      </c>
      <c r="G70" s="10"/>
      <c r="H70" s="11"/>
      <c r="I70" s="15" t="n">
        <v>3</v>
      </c>
      <c r="J70" s="15" t="n">
        <v>1</v>
      </c>
      <c r="K70" s="16" t="n">
        <f aca="false">IF(I70="","",I70*2-J70)</f>
        <v>5</v>
      </c>
      <c r="L70" s="14" t="str">
        <f aca="false">IF(K70="","",IF(K70&gt;=8,"1 - quick win",IF(K70&gt;=6,"2 - build early",IF(K70&gt;=4,"3 - slower climb","4 - monitor only"))))</f>
        <v>3 - slower climb</v>
      </c>
      <c r="M70" s="14" t="s">
        <v>42</v>
      </c>
      <c r="N70" s="14" t="s">
        <v>164</v>
      </c>
      <c r="O70" s="14" t="s">
        <v>160</v>
      </c>
      <c r="P70" s="14"/>
    </row>
    <row r="71" customFormat="false" ht="23.85" hidden="false" customHeight="false" outlineLevel="0" collapsed="false">
      <c r="A71" s="9" t="s">
        <v>165</v>
      </c>
      <c r="B71" s="9" t="s">
        <v>48</v>
      </c>
      <c r="C71" s="9" t="s">
        <v>143</v>
      </c>
      <c r="D71" s="9" t="s">
        <v>49</v>
      </c>
      <c r="E71" s="9" t="s">
        <v>118</v>
      </c>
      <c r="F71" s="9" t="s">
        <v>41</v>
      </c>
      <c r="G71" s="10"/>
      <c r="H71" s="11"/>
      <c r="I71" s="12" t="n">
        <v>4</v>
      </c>
      <c r="J71" s="12" t="n">
        <v>2</v>
      </c>
      <c r="K71" s="13" t="n">
        <f aca="false">IF(I71="","",I71*2-J71)</f>
        <v>6</v>
      </c>
      <c r="L71" s="9" t="str">
        <f aca="false">IF(K71="","",IF(K71&gt;=8,"1 - quick win",IF(K71&gt;=6,"2 - build early",IF(K71&gt;=4,"3 - slower climb","4 - monitor only"))))</f>
        <v>2 - build early</v>
      </c>
      <c r="M71" s="9" t="s">
        <v>54</v>
      </c>
      <c r="N71" s="9" t="s">
        <v>166</v>
      </c>
      <c r="O71" s="9" t="s">
        <v>167</v>
      </c>
      <c r="P71" s="9"/>
    </row>
    <row r="72" customFormat="false" ht="23.85" hidden="false" customHeight="false" outlineLevel="0" collapsed="false">
      <c r="A72" s="14" t="s">
        <v>168</v>
      </c>
      <c r="B72" s="14" t="s">
        <v>57</v>
      </c>
      <c r="C72" s="14" t="s">
        <v>143</v>
      </c>
      <c r="D72" s="14" t="s">
        <v>49</v>
      </c>
      <c r="E72" s="14" t="s">
        <v>118</v>
      </c>
      <c r="F72" s="14" t="s">
        <v>41</v>
      </c>
      <c r="G72" s="10"/>
      <c r="H72" s="11"/>
      <c r="I72" s="15" t="n">
        <v>3</v>
      </c>
      <c r="J72" s="15" t="n">
        <v>1</v>
      </c>
      <c r="K72" s="16" t="n">
        <f aca="false">IF(I72="","",I72*2-J72)</f>
        <v>5</v>
      </c>
      <c r="L72" s="14" t="str">
        <f aca="false">IF(K72="","",IF(K72&gt;=8,"1 - quick win",IF(K72&gt;=6,"2 - build early",IF(K72&gt;=4,"3 - slower climb","4 - monitor only"))))</f>
        <v>3 - slower climb</v>
      </c>
      <c r="M72" s="14" t="s">
        <v>54</v>
      </c>
      <c r="N72" s="14" t="s">
        <v>169</v>
      </c>
      <c r="O72" s="14" t="s">
        <v>167</v>
      </c>
      <c r="P72" s="14"/>
    </row>
    <row r="73" customFormat="false" ht="23.85" hidden="false" customHeight="false" outlineLevel="0" collapsed="false">
      <c r="A73" s="9" t="s">
        <v>170</v>
      </c>
      <c r="B73" s="9" t="s">
        <v>57</v>
      </c>
      <c r="C73" s="9" t="s">
        <v>143</v>
      </c>
      <c r="D73" s="9" t="s">
        <v>67</v>
      </c>
      <c r="E73" s="9" t="s">
        <v>118</v>
      </c>
      <c r="F73" s="9" t="s">
        <v>41</v>
      </c>
      <c r="G73" s="10"/>
      <c r="H73" s="11"/>
      <c r="I73" s="12" t="n">
        <v>3</v>
      </c>
      <c r="J73" s="12" t="n">
        <v>1</v>
      </c>
      <c r="K73" s="13" t="n">
        <f aca="false">IF(I73="","",I73*2-J73)</f>
        <v>5</v>
      </c>
      <c r="L73" s="9" t="str">
        <f aca="false">IF(K73="","",IF(K73&gt;=8,"1 - quick win",IF(K73&gt;=6,"2 - build early",IF(K73&gt;=4,"3 - slower climb","4 - monitor only"))))</f>
        <v>3 - slower climb</v>
      </c>
      <c r="M73" s="9" t="s">
        <v>42</v>
      </c>
      <c r="N73" s="9" t="s">
        <v>171</v>
      </c>
      <c r="O73" s="9" t="s">
        <v>167</v>
      </c>
      <c r="P73" s="9"/>
    </row>
    <row r="74" customFormat="false" ht="23.85" hidden="false" customHeight="false" outlineLevel="0" collapsed="false">
      <c r="A74" s="14" t="s">
        <v>172</v>
      </c>
      <c r="B74" s="14" t="s">
        <v>57</v>
      </c>
      <c r="C74" s="14" t="s">
        <v>143</v>
      </c>
      <c r="D74" s="14" t="s">
        <v>49</v>
      </c>
      <c r="E74" s="14" t="s">
        <v>173</v>
      </c>
      <c r="F74" s="14" t="s">
        <v>41</v>
      </c>
      <c r="G74" s="10"/>
      <c r="H74" s="11"/>
      <c r="I74" s="15" t="n">
        <v>3</v>
      </c>
      <c r="J74" s="15" t="n">
        <v>1</v>
      </c>
      <c r="K74" s="16" t="n">
        <f aca="false">IF(I74="","",I74*2-J74)</f>
        <v>5</v>
      </c>
      <c r="L74" s="14" t="str">
        <f aca="false">IF(K74="","",IF(K74&gt;=8,"1 - quick win",IF(K74&gt;=6,"2 - build early",IF(K74&gt;=4,"3 - slower climb","4 - monitor only"))))</f>
        <v>3 - slower climb</v>
      </c>
      <c r="M74" s="14" t="s">
        <v>54</v>
      </c>
      <c r="N74" s="14" t="s">
        <v>174</v>
      </c>
      <c r="O74" s="14" t="s">
        <v>175</v>
      </c>
      <c r="P74" s="14"/>
    </row>
    <row r="75" customFormat="false" ht="23.85" hidden="false" customHeight="false" outlineLevel="0" collapsed="false">
      <c r="A75" s="9" t="s">
        <v>176</v>
      </c>
      <c r="B75" s="9" t="s">
        <v>112</v>
      </c>
      <c r="C75" s="9" t="s">
        <v>143</v>
      </c>
      <c r="D75" s="9" t="s">
        <v>108</v>
      </c>
      <c r="E75" s="9" t="s">
        <v>177</v>
      </c>
      <c r="F75" s="9" t="s">
        <v>41</v>
      </c>
      <c r="G75" s="10"/>
      <c r="H75" s="11"/>
      <c r="I75" s="12" t="n">
        <v>5</v>
      </c>
      <c r="J75" s="12" t="n">
        <v>3</v>
      </c>
      <c r="K75" s="13" t="n">
        <f aca="false">IF(I75="","",I75*2-J75)</f>
        <v>7</v>
      </c>
      <c r="L75" s="9" t="str">
        <f aca="false">IF(K75="","",IF(K75&gt;=8,"1 - quick win",IF(K75&gt;=6,"2 - build early",IF(K75&gt;=4,"3 - slower climb","4 - monitor only"))))</f>
        <v>2 - build early</v>
      </c>
      <c r="M75" s="9" t="s">
        <v>42</v>
      </c>
      <c r="N75" s="9" t="s">
        <v>178</v>
      </c>
      <c r="O75" s="9" t="s">
        <v>179</v>
      </c>
      <c r="P75" s="9"/>
    </row>
    <row r="76" customFormat="false" ht="23.85" hidden="false" customHeight="false" outlineLevel="0" collapsed="false">
      <c r="A76" s="14" t="s">
        <v>180</v>
      </c>
      <c r="B76" s="14" t="s">
        <v>57</v>
      </c>
      <c r="C76" s="14" t="s">
        <v>143</v>
      </c>
      <c r="D76" s="14" t="s">
        <v>67</v>
      </c>
      <c r="E76" s="14" t="s">
        <v>118</v>
      </c>
      <c r="F76" s="14" t="s">
        <v>41</v>
      </c>
      <c r="G76" s="10"/>
      <c r="H76" s="11"/>
      <c r="I76" s="15" t="n">
        <v>4</v>
      </c>
      <c r="J76" s="15" t="n">
        <v>3</v>
      </c>
      <c r="K76" s="16" t="n">
        <f aca="false">IF(I76="","",I76*2-J76)</f>
        <v>5</v>
      </c>
      <c r="L76" s="14" t="str">
        <f aca="false">IF(K76="","",IF(K76&gt;=8,"1 - quick win",IF(K76&gt;=6,"2 - build early",IF(K76&gt;=4,"3 - slower climb","4 - monitor only"))))</f>
        <v>3 - slower climb</v>
      </c>
      <c r="M76" s="14" t="s">
        <v>42</v>
      </c>
      <c r="N76" s="14" t="s">
        <v>181</v>
      </c>
      <c r="O76" s="14" t="s">
        <v>141</v>
      </c>
      <c r="P76" s="14"/>
    </row>
    <row r="77" customFormat="false" ht="23.85" hidden="false" customHeight="false" outlineLevel="0" collapsed="false">
      <c r="A77" s="9" t="s">
        <v>182</v>
      </c>
      <c r="B77" s="9" t="s">
        <v>57</v>
      </c>
      <c r="C77" s="9" t="s">
        <v>143</v>
      </c>
      <c r="D77" s="9" t="s">
        <v>132</v>
      </c>
      <c r="E77" s="9" t="s">
        <v>118</v>
      </c>
      <c r="F77" s="9" t="s">
        <v>41</v>
      </c>
      <c r="G77" s="10"/>
      <c r="H77" s="11"/>
      <c r="I77" s="12" t="n">
        <v>3</v>
      </c>
      <c r="J77" s="12" t="n">
        <v>1</v>
      </c>
      <c r="K77" s="13" t="n">
        <f aca="false">IF(I77="","",I77*2-J77)</f>
        <v>5</v>
      </c>
      <c r="L77" s="9" t="str">
        <f aca="false">IF(K77="","",IF(K77&gt;=8,"1 - quick win",IF(K77&gt;=6,"2 - build early",IF(K77&gt;=4,"3 - slower climb","4 - monitor only"))))</f>
        <v>3 - slower climb</v>
      </c>
      <c r="M77" s="9" t="s">
        <v>42</v>
      </c>
      <c r="N77" s="9" t="s">
        <v>183</v>
      </c>
      <c r="O77" s="9" t="s">
        <v>184</v>
      </c>
      <c r="P77" s="9"/>
    </row>
    <row r="78" customFormat="false" ht="23.85" hidden="false" customHeight="false" outlineLevel="0" collapsed="false">
      <c r="A78" s="14" t="s">
        <v>185</v>
      </c>
      <c r="B78" s="14" t="s">
        <v>57</v>
      </c>
      <c r="C78" s="14" t="s">
        <v>143</v>
      </c>
      <c r="D78" s="14" t="s">
        <v>132</v>
      </c>
      <c r="E78" s="14" t="s">
        <v>118</v>
      </c>
      <c r="F78" s="14" t="s">
        <v>41</v>
      </c>
      <c r="G78" s="10"/>
      <c r="H78" s="11"/>
      <c r="I78" s="15" t="n">
        <v>3</v>
      </c>
      <c r="J78" s="15" t="n">
        <v>1</v>
      </c>
      <c r="K78" s="16" t="n">
        <f aca="false">IF(I78="","",I78*2-J78)</f>
        <v>5</v>
      </c>
      <c r="L78" s="14" t="str">
        <f aca="false">IF(K78="","",IF(K78&gt;=8,"1 - quick win",IF(K78&gt;=6,"2 - build early",IF(K78&gt;=4,"3 - slower climb","4 - monitor only"))))</f>
        <v>3 - slower climb</v>
      </c>
      <c r="M78" s="14" t="s">
        <v>42</v>
      </c>
      <c r="N78" s="14" t="s">
        <v>186</v>
      </c>
      <c r="O78" s="14" t="s">
        <v>184</v>
      </c>
      <c r="P78" s="14"/>
    </row>
    <row r="79" customFormat="false" ht="23.85" hidden="false" customHeight="false" outlineLevel="0" collapsed="false">
      <c r="A79" s="9" t="s">
        <v>187</v>
      </c>
      <c r="B79" s="9" t="s">
        <v>57</v>
      </c>
      <c r="C79" s="9" t="s">
        <v>143</v>
      </c>
      <c r="D79" s="9" t="s">
        <v>132</v>
      </c>
      <c r="E79" s="9" t="s">
        <v>118</v>
      </c>
      <c r="F79" s="9" t="s">
        <v>41</v>
      </c>
      <c r="G79" s="10"/>
      <c r="H79" s="11"/>
      <c r="I79" s="12" t="n">
        <v>4</v>
      </c>
      <c r="J79" s="12" t="n">
        <v>1</v>
      </c>
      <c r="K79" s="13" t="n">
        <f aca="false">IF(I79="","",I79*2-J79)</f>
        <v>7</v>
      </c>
      <c r="L79" s="9" t="str">
        <f aca="false">IF(K79="","",IF(K79&gt;=8,"1 - quick win",IF(K79&gt;=6,"2 - build early",IF(K79&gt;=4,"3 - slower climb","4 - monitor only"))))</f>
        <v>2 - build early</v>
      </c>
      <c r="M79" s="9" t="s">
        <v>42</v>
      </c>
      <c r="N79" s="9" t="s">
        <v>188</v>
      </c>
      <c r="O79" s="9" t="s">
        <v>184</v>
      </c>
      <c r="P79" s="9"/>
    </row>
    <row r="80" customFormat="false" ht="23.85" hidden="false" customHeight="false" outlineLevel="0" collapsed="false">
      <c r="A80" s="14" t="s">
        <v>189</v>
      </c>
      <c r="B80" s="14" t="s">
        <v>57</v>
      </c>
      <c r="C80" s="14" t="s">
        <v>143</v>
      </c>
      <c r="D80" s="14" t="s">
        <v>132</v>
      </c>
      <c r="E80" s="14" t="s">
        <v>118</v>
      </c>
      <c r="F80" s="14" t="s">
        <v>41</v>
      </c>
      <c r="G80" s="10"/>
      <c r="H80" s="11"/>
      <c r="I80" s="15" t="n">
        <v>4</v>
      </c>
      <c r="J80" s="15" t="n">
        <v>1</v>
      </c>
      <c r="K80" s="16" t="n">
        <f aca="false">IF(I80="","",I80*2-J80)</f>
        <v>7</v>
      </c>
      <c r="L80" s="14" t="str">
        <f aca="false">IF(K80="","",IF(K80&gt;=8,"1 - quick win",IF(K80&gt;=6,"2 - build early",IF(K80&gt;=4,"3 - slower climb","4 - monitor only"))))</f>
        <v>2 - build early</v>
      </c>
      <c r="M80" s="14" t="s">
        <v>42</v>
      </c>
      <c r="N80" s="14" t="s">
        <v>190</v>
      </c>
      <c r="O80" s="14" t="s">
        <v>184</v>
      </c>
      <c r="P80" s="14"/>
    </row>
    <row r="81" customFormat="false" ht="23.85" hidden="false" customHeight="false" outlineLevel="0" collapsed="false">
      <c r="A81" s="9" t="s">
        <v>191</v>
      </c>
      <c r="B81" s="9" t="s">
        <v>112</v>
      </c>
      <c r="C81" s="9" t="s">
        <v>143</v>
      </c>
      <c r="D81" s="9" t="s">
        <v>39</v>
      </c>
      <c r="E81" s="9" t="s">
        <v>58</v>
      </c>
      <c r="F81" s="9" t="s">
        <v>41</v>
      </c>
      <c r="G81" s="10"/>
      <c r="H81" s="11"/>
      <c r="I81" s="12" t="n">
        <v>3</v>
      </c>
      <c r="J81" s="12" t="n">
        <v>1</v>
      </c>
      <c r="K81" s="13" t="n">
        <f aca="false">IF(I81="","",I81*2-J81)</f>
        <v>5</v>
      </c>
      <c r="L81" s="9" t="str">
        <f aca="false">IF(K81="","",IF(K81&gt;=8,"1 - quick win",IF(K81&gt;=6,"2 - build early",IF(K81&gt;=4,"3 - slower climb","4 - monitor only"))))</f>
        <v>3 - slower climb</v>
      </c>
      <c r="M81" s="9" t="s">
        <v>42</v>
      </c>
      <c r="N81" s="9" t="s">
        <v>192</v>
      </c>
      <c r="O81" s="9" t="s">
        <v>193</v>
      </c>
      <c r="P81" s="9"/>
    </row>
    <row r="82" customFormat="false" ht="23.85" hidden="false" customHeight="false" outlineLevel="0" collapsed="false">
      <c r="A82" s="14" t="s">
        <v>194</v>
      </c>
      <c r="B82" s="14" t="s">
        <v>57</v>
      </c>
      <c r="C82" s="14" t="s">
        <v>143</v>
      </c>
      <c r="D82" s="14" t="s">
        <v>39</v>
      </c>
      <c r="E82" s="14" t="s">
        <v>58</v>
      </c>
      <c r="F82" s="14" t="s">
        <v>41</v>
      </c>
      <c r="G82" s="10"/>
      <c r="H82" s="11"/>
      <c r="I82" s="15" t="n">
        <v>4</v>
      </c>
      <c r="J82" s="15" t="n">
        <v>1</v>
      </c>
      <c r="K82" s="16" t="n">
        <f aca="false">IF(I82="","",I82*2-J82)</f>
        <v>7</v>
      </c>
      <c r="L82" s="14" t="str">
        <f aca="false">IF(K82="","",IF(K82&gt;=8,"1 - quick win",IF(K82&gt;=6,"2 - build early",IF(K82&gt;=4,"3 - slower climb","4 - monitor only"))))</f>
        <v>2 - build early</v>
      </c>
      <c r="M82" s="14" t="s">
        <v>42</v>
      </c>
      <c r="N82" s="14" t="s">
        <v>195</v>
      </c>
      <c r="O82" s="14" t="s">
        <v>193</v>
      </c>
      <c r="P82" s="14"/>
    </row>
    <row r="83" customFormat="false" ht="23.85" hidden="false" customHeight="false" outlineLevel="0" collapsed="false">
      <c r="A83" s="9" t="s">
        <v>196</v>
      </c>
      <c r="B83" s="9" t="s">
        <v>57</v>
      </c>
      <c r="C83" s="9" t="s">
        <v>143</v>
      </c>
      <c r="D83" s="9" t="s">
        <v>67</v>
      </c>
      <c r="E83" s="9" t="s">
        <v>118</v>
      </c>
      <c r="F83" s="9" t="s">
        <v>41</v>
      </c>
      <c r="G83" s="10"/>
      <c r="H83" s="11"/>
      <c r="I83" s="12" t="n">
        <v>4</v>
      </c>
      <c r="J83" s="12" t="n">
        <v>2</v>
      </c>
      <c r="K83" s="13" t="n">
        <f aca="false">IF(I83="","",I83*2-J83)</f>
        <v>6</v>
      </c>
      <c r="L83" s="9" t="str">
        <f aca="false">IF(K83="","",IF(K83&gt;=8,"1 - quick win",IF(K83&gt;=6,"2 - build early",IF(K83&gt;=4,"3 - slower climb","4 - monitor only"))))</f>
        <v>2 - build early</v>
      </c>
      <c r="M83" s="9" t="s">
        <v>42</v>
      </c>
      <c r="N83" s="9" t="s">
        <v>197</v>
      </c>
      <c r="O83" s="9" t="s">
        <v>193</v>
      </c>
      <c r="P83" s="9"/>
    </row>
    <row r="84" customFormat="false" ht="23.85" hidden="false" customHeight="false" outlineLevel="0" collapsed="false">
      <c r="A84" s="14" t="s">
        <v>198</v>
      </c>
      <c r="B84" s="14" t="s">
        <v>112</v>
      </c>
      <c r="C84" s="14" t="s">
        <v>143</v>
      </c>
      <c r="D84" s="14" t="s">
        <v>132</v>
      </c>
      <c r="E84" s="14" t="s">
        <v>118</v>
      </c>
      <c r="F84" s="14" t="s">
        <v>41</v>
      </c>
      <c r="G84" s="10"/>
      <c r="H84" s="11"/>
      <c r="I84" s="15" t="n">
        <v>5</v>
      </c>
      <c r="J84" s="15" t="n">
        <v>2</v>
      </c>
      <c r="K84" s="16" t="n">
        <f aca="false">IF(I84="","",I84*2-J84)</f>
        <v>8</v>
      </c>
      <c r="L84" s="14" t="str">
        <f aca="false">IF(K84="","",IF(K84&gt;=8,"1 - quick win",IF(K84&gt;=6,"2 - build early",IF(K84&gt;=4,"3 - slower climb","4 - monitor only"))))</f>
        <v>1 - quick win</v>
      </c>
      <c r="M84" s="14" t="s">
        <v>42</v>
      </c>
      <c r="N84" s="14" t="s">
        <v>199</v>
      </c>
      <c r="O84" s="14" t="s">
        <v>200</v>
      </c>
      <c r="P84" s="14"/>
    </row>
    <row r="85" customFormat="false" ht="23.85" hidden="false" customHeight="false" outlineLevel="0" collapsed="false">
      <c r="A85" s="9" t="s">
        <v>201</v>
      </c>
      <c r="B85" s="9" t="s">
        <v>57</v>
      </c>
      <c r="C85" s="9" t="s">
        <v>143</v>
      </c>
      <c r="D85" s="9" t="s">
        <v>132</v>
      </c>
      <c r="E85" s="9" t="s">
        <v>118</v>
      </c>
      <c r="F85" s="9" t="s">
        <v>41</v>
      </c>
      <c r="G85" s="10"/>
      <c r="H85" s="11"/>
      <c r="I85" s="12" t="n">
        <v>5</v>
      </c>
      <c r="J85" s="12" t="n">
        <v>1</v>
      </c>
      <c r="K85" s="13" t="n">
        <f aca="false">IF(I85="","",I85*2-J85)</f>
        <v>9</v>
      </c>
      <c r="L85" s="9" t="str">
        <f aca="false">IF(K85="","",IF(K85&gt;=8,"1 - quick win",IF(K85&gt;=6,"2 - build early",IF(K85&gt;=4,"3 - slower climb","4 - monitor only"))))</f>
        <v>1 - quick win</v>
      </c>
      <c r="M85" s="9" t="s">
        <v>42</v>
      </c>
      <c r="N85" s="9" t="s">
        <v>202</v>
      </c>
      <c r="O85" s="9" t="s">
        <v>203</v>
      </c>
      <c r="P85" s="9"/>
    </row>
    <row r="86" customFormat="false" ht="23.85" hidden="false" customHeight="false" outlineLevel="0" collapsed="false">
      <c r="A86" s="14" t="s">
        <v>204</v>
      </c>
      <c r="B86" s="14" t="s">
        <v>112</v>
      </c>
      <c r="C86" s="14" t="s">
        <v>143</v>
      </c>
      <c r="D86" s="14" t="s">
        <v>132</v>
      </c>
      <c r="E86" s="14" t="s">
        <v>118</v>
      </c>
      <c r="F86" s="14" t="s">
        <v>41</v>
      </c>
      <c r="G86" s="10"/>
      <c r="H86" s="11"/>
      <c r="I86" s="15" t="n">
        <v>5</v>
      </c>
      <c r="J86" s="15" t="n">
        <v>2</v>
      </c>
      <c r="K86" s="16" t="n">
        <f aca="false">IF(I86="","",I86*2-J86)</f>
        <v>8</v>
      </c>
      <c r="L86" s="14" t="str">
        <f aca="false">IF(K86="","",IF(K86&gt;=8,"1 - quick win",IF(K86&gt;=6,"2 - build early",IF(K86&gt;=4,"3 - slower climb","4 - monitor only"))))</f>
        <v>1 - quick win</v>
      </c>
      <c r="M86" s="14" t="s">
        <v>42</v>
      </c>
      <c r="N86" s="14" t="s">
        <v>205</v>
      </c>
      <c r="O86" s="14" t="s">
        <v>203</v>
      </c>
      <c r="P86" s="14"/>
    </row>
    <row r="87" customFormat="false" ht="23.85" hidden="false" customHeight="false" outlineLevel="0" collapsed="false">
      <c r="A87" s="9" t="s">
        <v>206</v>
      </c>
      <c r="B87" s="9" t="s">
        <v>112</v>
      </c>
      <c r="C87" s="9" t="s">
        <v>143</v>
      </c>
      <c r="D87" s="9" t="s">
        <v>132</v>
      </c>
      <c r="E87" s="9" t="s">
        <v>118</v>
      </c>
      <c r="F87" s="9" t="s">
        <v>41</v>
      </c>
      <c r="G87" s="10"/>
      <c r="H87" s="11"/>
      <c r="I87" s="12" t="n">
        <v>4</v>
      </c>
      <c r="J87" s="12" t="n">
        <v>1</v>
      </c>
      <c r="K87" s="13" t="n">
        <f aca="false">IF(I87="","",I87*2-J87)</f>
        <v>7</v>
      </c>
      <c r="L87" s="9" t="str">
        <f aca="false">IF(K87="","",IF(K87&gt;=8,"1 - quick win",IF(K87&gt;=6,"2 - build early",IF(K87&gt;=4,"3 - slower climb","4 - monitor only"))))</f>
        <v>2 - build early</v>
      </c>
      <c r="M87" s="9" t="s">
        <v>42</v>
      </c>
      <c r="N87" s="9" t="s">
        <v>207</v>
      </c>
      <c r="O87" s="9" t="s">
        <v>208</v>
      </c>
      <c r="P87" s="9"/>
    </row>
    <row r="88" customFormat="false" ht="23.85" hidden="false" customHeight="false" outlineLevel="0" collapsed="false">
      <c r="A88" s="14" t="s">
        <v>209</v>
      </c>
      <c r="B88" s="14" t="s">
        <v>112</v>
      </c>
      <c r="C88" s="14" t="s">
        <v>143</v>
      </c>
      <c r="D88" s="14" t="s">
        <v>132</v>
      </c>
      <c r="E88" s="14" t="s">
        <v>118</v>
      </c>
      <c r="F88" s="14" t="s">
        <v>41</v>
      </c>
      <c r="G88" s="10"/>
      <c r="H88" s="11"/>
      <c r="I88" s="15" t="n">
        <v>4</v>
      </c>
      <c r="J88" s="15" t="n">
        <v>1</v>
      </c>
      <c r="K88" s="16" t="n">
        <f aca="false">IF(I88="","",I88*2-J88)</f>
        <v>7</v>
      </c>
      <c r="L88" s="14" t="str">
        <f aca="false">IF(K88="","",IF(K88&gt;=8,"1 - quick win",IF(K88&gt;=6,"2 - build early",IF(K88&gt;=4,"3 - slower climb","4 - monitor only"))))</f>
        <v>2 - build early</v>
      </c>
      <c r="M88" s="14" t="s">
        <v>42</v>
      </c>
      <c r="N88" s="14" t="s">
        <v>210</v>
      </c>
      <c r="O88" s="14" t="s">
        <v>208</v>
      </c>
      <c r="P88" s="14"/>
    </row>
    <row r="89" customFormat="false" ht="15" hidden="false" customHeight="false" outlineLevel="0" collapsed="false">
      <c r="A89" s="9" t="s">
        <v>211</v>
      </c>
      <c r="B89" s="9" t="s">
        <v>48</v>
      </c>
      <c r="C89" s="9" t="s">
        <v>212</v>
      </c>
      <c r="D89" s="9" t="s">
        <v>49</v>
      </c>
      <c r="E89" s="9" t="s">
        <v>68</v>
      </c>
      <c r="F89" s="9" t="s">
        <v>41</v>
      </c>
      <c r="G89" s="10"/>
      <c r="H89" s="11"/>
      <c r="I89" s="12" t="n">
        <v>4</v>
      </c>
      <c r="J89" s="12" t="n">
        <v>3</v>
      </c>
      <c r="K89" s="13" t="n">
        <f aca="false">IF(I89="","",I89*2-J89)</f>
        <v>5</v>
      </c>
      <c r="L89" s="9" t="str">
        <f aca="false">IF(K89="","",IF(K89&gt;=8,"1 - quick win",IF(K89&gt;=6,"2 - build early",IF(K89&gt;=4,"3 - slower climb","4 - monitor only"))))</f>
        <v>3 - slower climb</v>
      </c>
      <c r="M89" s="9" t="s">
        <v>42</v>
      </c>
      <c r="N89" s="9" t="s">
        <v>213</v>
      </c>
      <c r="O89" s="9" t="s">
        <v>214</v>
      </c>
      <c r="P89" s="9"/>
    </row>
    <row r="90" customFormat="false" ht="23.85" hidden="false" customHeight="false" outlineLevel="0" collapsed="false">
      <c r="A90" s="14" t="s">
        <v>215</v>
      </c>
      <c r="B90" s="14" t="s">
        <v>48</v>
      </c>
      <c r="C90" s="14" t="s">
        <v>212</v>
      </c>
      <c r="D90" s="14" t="s">
        <v>49</v>
      </c>
      <c r="E90" s="14" t="s">
        <v>68</v>
      </c>
      <c r="F90" s="14" t="s">
        <v>41</v>
      </c>
      <c r="G90" s="10"/>
      <c r="H90" s="11"/>
      <c r="I90" s="15" t="n">
        <v>4</v>
      </c>
      <c r="J90" s="15" t="n">
        <v>2</v>
      </c>
      <c r="K90" s="16" t="n">
        <f aca="false">IF(I90="","",I90*2-J90)</f>
        <v>6</v>
      </c>
      <c r="L90" s="14" t="str">
        <f aca="false">IF(K90="","",IF(K90&gt;=8,"1 - quick win",IF(K90&gt;=6,"2 - build early",IF(K90&gt;=4,"3 - slower climb","4 - monitor only"))))</f>
        <v>2 - build early</v>
      </c>
      <c r="M90" s="14" t="s">
        <v>42</v>
      </c>
      <c r="N90" s="14" t="s">
        <v>216</v>
      </c>
      <c r="O90" s="14" t="s">
        <v>214</v>
      </c>
      <c r="P90" s="14"/>
    </row>
    <row r="91" customFormat="false" ht="15" hidden="false" customHeight="false" outlineLevel="0" collapsed="false">
      <c r="A91" s="9" t="s">
        <v>217</v>
      </c>
      <c r="B91" s="9" t="s">
        <v>57</v>
      </c>
      <c r="C91" s="9" t="s">
        <v>212</v>
      </c>
      <c r="D91" s="9" t="s">
        <v>67</v>
      </c>
      <c r="E91" s="9" t="s">
        <v>118</v>
      </c>
      <c r="F91" s="9" t="s">
        <v>41</v>
      </c>
      <c r="G91" s="10"/>
      <c r="H91" s="11"/>
      <c r="I91" s="12" t="n">
        <v>4</v>
      </c>
      <c r="J91" s="12" t="n">
        <v>1</v>
      </c>
      <c r="K91" s="13" t="n">
        <f aca="false">IF(I91="","",I91*2-J91)</f>
        <v>7</v>
      </c>
      <c r="L91" s="9" t="str">
        <f aca="false">IF(K91="","",IF(K91&gt;=8,"1 - quick win",IF(K91&gt;=6,"2 - build early",IF(K91&gt;=4,"3 - slower climb","4 - monitor only"))))</f>
        <v>2 - build early</v>
      </c>
      <c r="M91" s="9" t="s">
        <v>42</v>
      </c>
      <c r="N91" s="9" t="s">
        <v>218</v>
      </c>
      <c r="O91" s="9" t="s">
        <v>219</v>
      </c>
      <c r="P91" s="9"/>
    </row>
    <row r="92" customFormat="false" ht="23.85" hidden="false" customHeight="false" outlineLevel="0" collapsed="false">
      <c r="A92" s="14" t="s">
        <v>220</v>
      </c>
      <c r="B92" s="14" t="s">
        <v>57</v>
      </c>
      <c r="C92" s="14" t="s">
        <v>212</v>
      </c>
      <c r="D92" s="14" t="s">
        <v>67</v>
      </c>
      <c r="E92" s="14" t="s">
        <v>118</v>
      </c>
      <c r="F92" s="14" t="s">
        <v>41</v>
      </c>
      <c r="G92" s="10"/>
      <c r="H92" s="11"/>
      <c r="I92" s="15" t="n">
        <v>4</v>
      </c>
      <c r="J92" s="15" t="n">
        <v>1</v>
      </c>
      <c r="K92" s="16" t="n">
        <f aca="false">IF(I92="","",I92*2-J92)</f>
        <v>7</v>
      </c>
      <c r="L92" s="14" t="str">
        <f aca="false">IF(K92="","",IF(K92&gt;=8,"1 - quick win",IF(K92&gt;=6,"2 - build early",IF(K92&gt;=4,"3 - slower climb","4 - monitor only"))))</f>
        <v>2 - build early</v>
      </c>
      <c r="M92" s="14" t="s">
        <v>42</v>
      </c>
      <c r="N92" s="14" t="s">
        <v>221</v>
      </c>
      <c r="O92" s="14" t="s">
        <v>219</v>
      </c>
      <c r="P92" s="14"/>
    </row>
    <row r="93" customFormat="false" ht="15" hidden="false" customHeight="false" outlineLevel="0" collapsed="false">
      <c r="A93" s="9" t="s">
        <v>222</v>
      </c>
      <c r="B93" s="9" t="s">
        <v>48</v>
      </c>
      <c r="C93" s="9" t="s">
        <v>212</v>
      </c>
      <c r="D93" s="9" t="s">
        <v>49</v>
      </c>
      <c r="E93" s="9" t="s">
        <v>68</v>
      </c>
      <c r="F93" s="9" t="s">
        <v>41</v>
      </c>
      <c r="G93" s="10"/>
      <c r="H93" s="11"/>
      <c r="I93" s="12" t="n">
        <v>4</v>
      </c>
      <c r="J93" s="12" t="n">
        <v>2</v>
      </c>
      <c r="K93" s="13" t="n">
        <f aca="false">IF(I93="","",I93*2-J93)</f>
        <v>6</v>
      </c>
      <c r="L93" s="9" t="str">
        <f aca="false">IF(K93="","",IF(K93&gt;=8,"1 - quick win",IF(K93&gt;=6,"2 - build early",IF(K93&gt;=4,"3 - slower climb","4 - monitor only"))))</f>
        <v>2 - build early</v>
      </c>
      <c r="M93" s="9" t="s">
        <v>42</v>
      </c>
      <c r="N93" s="9" t="s">
        <v>223</v>
      </c>
      <c r="O93" s="9" t="s">
        <v>224</v>
      </c>
      <c r="P93" s="9"/>
    </row>
    <row r="94" customFormat="false" ht="15" hidden="false" customHeight="false" outlineLevel="0" collapsed="false">
      <c r="A94" s="14" t="s">
        <v>225</v>
      </c>
      <c r="B94" s="14" t="s">
        <v>112</v>
      </c>
      <c r="C94" s="14" t="s">
        <v>212</v>
      </c>
      <c r="D94" s="14" t="s">
        <v>39</v>
      </c>
      <c r="E94" s="14" t="s">
        <v>58</v>
      </c>
      <c r="F94" s="14" t="s">
        <v>41</v>
      </c>
      <c r="G94" s="10"/>
      <c r="H94" s="11"/>
      <c r="I94" s="15" t="n">
        <v>4</v>
      </c>
      <c r="J94" s="15" t="n">
        <v>2</v>
      </c>
      <c r="K94" s="16" t="n">
        <f aca="false">IF(I94="","",I94*2-J94)</f>
        <v>6</v>
      </c>
      <c r="L94" s="14" t="str">
        <f aca="false">IF(K94="","",IF(K94&gt;=8,"1 - quick win",IF(K94&gt;=6,"2 - build early",IF(K94&gt;=4,"3 - slower climb","4 - monitor only"))))</f>
        <v>2 - build early</v>
      </c>
      <c r="M94" s="14" t="s">
        <v>42</v>
      </c>
      <c r="N94" s="14" t="s">
        <v>226</v>
      </c>
      <c r="O94" s="14" t="s">
        <v>224</v>
      </c>
      <c r="P94" s="14"/>
    </row>
    <row r="95" customFormat="false" ht="15" hidden="false" customHeight="false" outlineLevel="0" collapsed="false">
      <c r="A95" s="9" t="s">
        <v>227</v>
      </c>
      <c r="B95" s="9" t="s">
        <v>57</v>
      </c>
      <c r="C95" s="9" t="s">
        <v>212</v>
      </c>
      <c r="D95" s="9" t="s">
        <v>132</v>
      </c>
      <c r="E95" s="9" t="s">
        <v>118</v>
      </c>
      <c r="F95" s="9" t="s">
        <v>228</v>
      </c>
      <c r="G95" s="10"/>
      <c r="H95" s="11"/>
      <c r="I95" s="12" t="n">
        <v>3</v>
      </c>
      <c r="J95" s="12" t="n">
        <v>1</v>
      </c>
      <c r="K95" s="13" t="n">
        <f aca="false">IF(I95="","",I95*2-J95)</f>
        <v>5</v>
      </c>
      <c r="L95" s="9" t="str">
        <f aca="false">IF(K95="","",IF(K95&gt;=8,"1 - quick win",IF(K95&gt;=6,"2 - build early",IF(K95&gt;=4,"3 - slower climb","4 - monitor only"))))</f>
        <v>3 - slower climb</v>
      </c>
      <c r="M95" s="9" t="s">
        <v>42</v>
      </c>
      <c r="N95" s="9" t="s">
        <v>229</v>
      </c>
      <c r="O95" s="9" t="s">
        <v>224</v>
      </c>
      <c r="P95" s="9" t="s">
        <v>230</v>
      </c>
    </row>
    <row r="96" customFormat="false" ht="23.85" hidden="false" customHeight="false" outlineLevel="0" collapsed="false">
      <c r="A96" s="14" t="s">
        <v>231</v>
      </c>
      <c r="B96" s="14" t="s">
        <v>57</v>
      </c>
      <c r="C96" s="14" t="s">
        <v>212</v>
      </c>
      <c r="D96" s="14" t="s">
        <v>132</v>
      </c>
      <c r="E96" s="14" t="s">
        <v>118</v>
      </c>
      <c r="F96" s="14" t="s">
        <v>228</v>
      </c>
      <c r="G96" s="10"/>
      <c r="H96" s="11"/>
      <c r="I96" s="15" t="n">
        <v>3</v>
      </c>
      <c r="J96" s="15" t="n">
        <v>1</v>
      </c>
      <c r="K96" s="16" t="n">
        <f aca="false">IF(I96="","",I96*2-J96)</f>
        <v>5</v>
      </c>
      <c r="L96" s="14" t="str">
        <f aca="false">IF(K96="","",IF(K96&gt;=8,"1 - quick win",IF(K96&gt;=6,"2 - build early",IF(K96&gt;=4,"3 - slower climb","4 - monitor only"))))</f>
        <v>3 - slower climb</v>
      </c>
      <c r="M96" s="14" t="s">
        <v>42</v>
      </c>
      <c r="N96" s="14" t="s">
        <v>232</v>
      </c>
      <c r="O96" s="14" t="s">
        <v>224</v>
      </c>
      <c r="P96" s="14" t="s">
        <v>230</v>
      </c>
    </row>
    <row r="97" customFormat="false" ht="23.85" hidden="false" customHeight="false" outlineLevel="0" collapsed="false">
      <c r="A97" s="9" t="s">
        <v>233</v>
      </c>
      <c r="B97" s="9" t="s">
        <v>57</v>
      </c>
      <c r="C97" s="9" t="s">
        <v>212</v>
      </c>
      <c r="D97" s="9" t="s">
        <v>132</v>
      </c>
      <c r="E97" s="9" t="s">
        <v>118</v>
      </c>
      <c r="F97" s="9" t="s">
        <v>41</v>
      </c>
      <c r="G97" s="10"/>
      <c r="H97" s="11"/>
      <c r="I97" s="12" t="n">
        <v>4</v>
      </c>
      <c r="J97" s="12" t="n">
        <v>2</v>
      </c>
      <c r="K97" s="13" t="n">
        <f aca="false">IF(I97="","",I97*2-J97)</f>
        <v>6</v>
      </c>
      <c r="L97" s="9" t="str">
        <f aca="false">IF(K97="","",IF(K97&gt;=8,"1 - quick win",IF(K97&gt;=6,"2 - build early",IF(K97&gt;=4,"3 - slower climb","4 - monitor only"))))</f>
        <v>2 - build early</v>
      </c>
      <c r="M97" s="9" t="s">
        <v>42</v>
      </c>
      <c r="N97" s="9" t="s">
        <v>234</v>
      </c>
      <c r="O97" s="9" t="s">
        <v>224</v>
      </c>
      <c r="P97" s="9"/>
    </row>
    <row r="98" customFormat="false" ht="23.85" hidden="false" customHeight="false" outlineLevel="0" collapsed="false">
      <c r="A98" s="14" t="s">
        <v>235</v>
      </c>
      <c r="B98" s="14" t="s">
        <v>57</v>
      </c>
      <c r="C98" s="14" t="s">
        <v>212</v>
      </c>
      <c r="D98" s="14" t="s">
        <v>67</v>
      </c>
      <c r="E98" s="14" t="s">
        <v>118</v>
      </c>
      <c r="F98" s="14" t="s">
        <v>41</v>
      </c>
      <c r="G98" s="10"/>
      <c r="H98" s="11"/>
      <c r="I98" s="15" t="n">
        <v>4</v>
      </c>
      <c r="J98" s="15" t="n">
        <v>1</v>
      </c>
      <c r="K98" s="16" t="n">
        <f aca="false">IF(I98="","",I98*2-J98)</f>
        <v>7</v>
      </c>
      <c r="L98" s="14" t="str">
        <f aca="false">IF(K98="","",IF(K98&gt;=8,"1 - quick win",IF(K98&gt;=6,"2 - build early",IF(K98&gt;=4,"3 - slower climb","4 - monitor only"))))</f>
        <v>2 - build early</v>
      </c>
      <c r="M98" s="14" t="s">
        <v>42</v>
      </c>
      <c r="N98" s="14" t="s">
        <v>236</v>
      </c>
      <c r="O98" s="14" t="s">
        <v>219</v>
      </c>
      <c r="P98" s="14"/>
    </row>
    <row r="99" customFormat="false" ht="15" hidden="false" customHeight="false" outlineLevel="0" collapsed="false">
      <c r="A99" s="9" t="s">
        <v>237</v>
      </c>
      <c r="B99" s="9" t="s">
        <v>57</v>
      </c>
      <c r="C99" s="9" t="s">
        <v>212</v>
      </c>
      <c r="D99" s="9" t="s">
        <v>49</v>
      </c>
      <c r="E99" s="9" t="s">
        <v>118</v>
      </c>
      <c r="F99" s="9" t="s">
        <v>41</v>
      </c>
      <c r="G99" s="10"/>
      <c r="H99" s="11"/>
      <c r="I99" s="12" t="n">
        <v>2</v>
      </c>
      <c r="J99" s="12" t="n">
        <v>1</v>
      </c>
      <c r="K99" s="13" t="n">
        <f aca="false">IF(I99="","",I99*2-J99)</f>
        <v>3</v>
      </c>
      <c r="L99" s="9" t="str">
        <f aca="false">IF(K99="","",IF(K99&gt;=8,"1 - quick win",IF(K99&gt;=6,"2 - build early",IF(K99&gt;=4,"3 - slower climb","4 - monitor only"))))</f>
        <v>4 - monitor only</v>
      </c>
      <c r="M99" s="9" t="s">
        <v>54</v>
      </c>
      <c r="N99" s="9" t="s">
        <v>238</v>
      </c>
      <c r="O99" s="9" t="s">
        <v>219</v>
      </c>
      <c r="P99" s="9"/>
    </row>
    <row r="100" customFormat="false" ht="15" hidden="false" customHeight="false" outlineLevel="0" collapsed="false">
      <c r="A100" s="14" t="s">
        <v>239</v>
      </c>
      <c r="B100" s="14" t="s">
        <v>57</v>
      </c>
      <c r="C100" s="14" t="s">
        <v>212</v>
      </c>
      <c r="D100" s="14" t="s">
        <v>49</v>
      </c>
      <c r="E100" s="14" t="s">
        <v>118</v>
      </c>
      <c r="F100" s="14" t="s">
        <v>41</v>
      </c>
      <c r="G100" s="10"/>
      <c r="H100" s="11"/>
      <c r="I100" s="15" t="n">
        <v>2</v>
      </c>
      <c r="J100" s="15" t="n">
        <v>1</v>
      </c>
      <c r="K100" s="16" t="n">
        <f aca="false">IF(I100="","",I100*2-J100)</f>
        <v>3</v>
      </c>
      <c r="L100" s="14" t="str">
        <f aca="false">IF(K100="","",IF(K100&gt;=8,"1 - quick win",IF(K100&gt;=6,"2 - build early",IF(K100&gt;=4,"3 - slower climb","4 - monitor only"))))</f>
        <v>4 - monitor only</v>
      </c>
      <c r="M100" s="14" t="s">
        <v>54</v>
      </c>
      <c r="N100" s="14" t="s">
        <v>240</v>
      </c>
      <c r="O100" s="14" t="s">
        <v>219</v>
      </c>
      <c r="P100" s="14"/>
    </row>
    <row r="101" customFormat="false" ht="23.85" hidden="false" customHeight="false" outlineLevel="0" collapsed="false">
      <c r="A101" s="9" t="s">
        <v>241</v>
      </c>
      <c r="B101" s="9" t="s">
        <v>57</v>
      </c>
      <c r="C101" s="9" t="s">
        <v>212</v>
      </c>
      <c r="D101" s="9" t="s">
        <v>49</v>
      </c>
      <c r="E101" s="9" t="s">
        <v>68</v>
      </c>
      <c r="F101" s="9" t="s">
        <v>41</v>
      </c>
      <c r="G101" s="10"/>
      <c r="H101" s="11"/>
      <c r="I101" s="12" t="n">
        <v>3</v>
      </c>
      <c r="J101" s="12" t="n">
        <v>1</v>
      </c>
      <c r="K101" s="13" t="n">
        <f aca="false">IF(I101="","",I101*2-J101)</f>
        <v>5</v>
      </c>
      <c r="L101" s="9" t="str">
        <f aca="false">IF(K101="","",IF(K101&gt;=8,"1 - quick win",IF(K101&gt;=6,"2 - build early",IF(K101&gt;=4,"3 - slower climb","4 - monitor only"))))</f>
        <v>3 - slower climb</v>
      </c>
      <c r="M101" s="9" t="s">
        <v>54</v>
      </c>
      <c r="N101" s="9" t="s">
        <v>242</v>
      </c>
      <c r="O101" s="9" t="s">
        <v>214</v>
      </c>
      <c r="P101" s="9"/>
    </row>
    <row r="102" customFormat="false" ht="15" hidden="false" customHeight="false" outlineLevel="0" collapsed="false">
      <c r="A102" s="14" t="s">
        <v>243</v>
      </c>
      <c r="B102" s="14" t="s">
        <v>57</v>
      </c>
      <c r="C102" s="14" t="s">
        <v>212</v>
      </c>
      <c r="D102" s="14" t="s">
        <v>67</v>
      </c>
      <c r="E102" s="14" t="s">
        <v>118</v>
      </c>
      <c r="F102" s="14" t="s">
        <v>41</v>
      </c>
      <c r="G102" s="10"/>
      <c r="H102" s="11"/>
      <c r="I102" s="15" t="n">
        <v>2</v>
      </c>
      <c r="J102" s="15" t="n">
        <v>1</v>
      </c>
      <c r="K102" s="16" t="n">
        <f aca="false">IF(I102="","",I102*2-J102)</f>
        <v>3</v>
      </c>
      <c r="L102" s="14" t="str">
        <f aca="false">IF(K102="","",IF(K102&gt;=8,"1 - quick win",IF(K102&gt;=6,"2 - build early",IF(K102&gt;=4,"3 - slower climb","4 - monitor only"))))</f>
        <v>4 - monitor only</v>
      </c>
      <c r="M102" s="14" t="s">
        <v>54</v>
      </c>
      <c r="N102" s="14" t="s">
        <v>244</v>
      </c>
      <c r="O102" s="14" t="s">
        <v>219</v>
      </c>
      <c r="P102" s="14"/>
    </row>
    <row r="103" customFormat="false" ht="15" hidden="false" customHeight="false" outlineLevel="0" collapsed="false">
      <c r="A103" s="9" t="s">
        <v>245</v>
      </c>
      <c r="B103" s="9" t="s">
        <v>57</v>
      </c>
      <c r="C103" s="9" t="s">
        <v>212</v>
      </c>
      <c r="D103" s="9" t="s">
        <v>132</v>
      </c>
      <c r="E103" s="9" t="s">
        <v>118</v>
      </c>
      <c r="F103" s="9" t="s">
        <v>41</v>
      </c>
      <c r="G103" s="10"/>
      <c r="H103" s="11"/>
      <c r="I103" s="12" t="n">
        <v>3</v>
      </c>
      <c r="J103" s="12" t="n">
        <v>1</v>
      </c>
      <c r="K103" s="13" t="n">
        <f aca="false">IF(I103="","",I103*2-J103)</f>
        <v>5</v>
      </c>
      <c r="L103" s="9" t="str">
        <f aca="false">IF(K103="","",IF(K103&gt;=8,"1 - quick win",IF(K103&gt;=6,"2 - build early",IF(K103&gt;=4,"3 - slower climb","4 - monitor only"))))</f>
        <v>3 - slower climb</v>
      </c>
      <c r="M103" s="9" t="s">
        <v>42</v>
      </c>
      <c r="N103" s="9" t="s">
        <v>246</v>
      </c>
      <c r="O103" s="9" t="s">
        <v>247</v>
      </c>
      <c r="P103" s="9"/>
    </row>
    <row r="104" customFormat="false" ht="15" hidden="false" customHeight="false" outlineLevel="0" collapsed="false">
      <c r="A104" s="14" t="s">
        <v>248</v>
      </c>
      <c r="B104" s="14" t="s">
        <v>57</v>
      </c>
      <c r="C104" s="14" t="s">
        <v>212</v>
      </c>
      <c r="D104" s="14" t="s">
        <v>132</v>
      </c>
      <c r="E104" s="14" t="s">
        <v>118</v>
      </c>
      <c r="F104" s="14" t="s">
        <v>41</v>
      </c>
      <c r="G104" s="10"/>
      <c r="H104" s="11"/>
      <c r="I104" s="15" t="n">
        <v>3</v>
      </c>
      <c r="J104" s="15" t="n">
        <v>1</v>
      </c>
      <c r="K104" s="16" t="n">
        <f aca="false">IF(I104="","",I104*2-J104)</f>
        <v>5</v>
      </c>
      <c r="L104" s="14" t="str">
        <f aca="false">IF(K104="","",IF(K104&gt;=8,"1 - quick win",IF(K104&gt;=6,"2 - build early",IF(K104&gt;=4,"3 - slower climb","4 - monitor only"))))</f>
        <v>3 - slower climb</v>
      </c>
      <c r="M104" s="14" t="s">
        <v>42</v>
      </c>
      <c r="N104" s="14" t="s">
        <v>249</v>
      </c>
      <c r="O104" s="14" t="s">
        <v>247</v>
      </c>
      <c r="P104" s="14"/>
    </row>
    <row r="105" customFormat="false" ht="23.85" hidden="false" customHeight="false" outlineLevel="0" collapsed="false">
      <c r="A105" s="9" t="s">
        <v>250</v>
      </c>
      <c r="B105" s="9" t="s">
        <v>48</v>
      </c>
      <c r="C105" s="9" t="s">
        <v>251</v>
      </c>
      <c r="D105" s="9" t="s">
        <v>49</v>
      </c>
      <c r="E105" s="9" t="s">
        <v>118</v>
      </c>
      <c r="F105" s="9" t="s">
        <v>41</v>
      </c>
      <c r="G105" s="10"/>
      <c r="H105" s="11"/>
      <c r="I105" s="12" t="n">
        <v>5</v>
      </c>
      <c r="J105" s="12" t="n">
        <v>2</v>
      </c>
      <c r="K105" s="13" t="n">
        <f aca="false">IF(I105="","",I105*2-J105)</f>
        <v>8</v>
      </c>
      <c r="L105" s="9" t="str">
        <f aca="false">IF(K105="","",IF(K105&gt;=8,"1 - quick win",IF(K105&gt;=6,"2 - build early",IF(K105&gt;=4,"3 - slower climb","4 - monitor only"))))</f>
        <v>1 - quick win</v>
      </c>
      <c r="M105" s="9" t="s">
        <v>42</v>
      </c>
      <c r="N105" s="9" t="s">
        <v>252</v>
      </c>
      <c r="O105" s="9" t="s">
        <v>253</v>
      </c>
      <c r="P105" s="9"/>
    </row>
    <row r="106" customFormat="false" ht="15" hidden="false" customHeight="false" outlineLevel="0" collapsed="false">
      <c r="A106" s="14" t="s">
        <v>254</v>
      </c>
      <c r="B106" s="14" t="s">
        <v>48</v>
      </c>
      <c r="C106" s="14" t="s">
        <v>251</v>
      </c>
      <c r="D106" s="14" t="s">
        <v>49</v>
      </c>
      <c r="E106" s="14" t="s">
        <v>118</v>
      </c>
      <c r="F106" s="14" t="s">
        <v>41</v>
      </c>
      <c r="G106" s="10"/>
      <c r="H106" s="11"/>
      <c r="I106" s="15" t="n">
        <v>5</v>
      </c>
      <c r="J106" s="15" t="n">
        <v>2</v>
      </c>
      <c r="K106" s="16" t="n">
        <f aca="false">IF(I106="","",I106*2-J106)</f>
        <v>8</v>
      </c>
      <c r="L106" s="14" t="str">
        <f aca="false">IF(K106="","",IF(K106&gt;=8,"1 - quick win",IF(K106&gt;=6,"2 - build early",IF(K106&gt;=4,"3 - slower climb","4 - monitor only"))))</f>
        <v>1 - quick win</v>
      </c>
      <c r="M106" s="14" t="s">
        <v>42</v>
      </c>
      <c r="N106" s="14" t="s">
        <v>255</v>
      </c>
      <c r="O106" s="14" t="s">
        <v>253</v>
      </c>
      <c r="P106" s="14"/>
    </row>
    <row r="107" customFormat="false" ht="15" hidden="false" customHeight="false" outlineLevel="0" collapsed="false">
      <c r="A107" s="9" t="s">
        <v>256</v>
      </c>
      <c r="B107" s="9" t="s">
        <v>57</v>
      </c>
      <c r="C107" s="9" t="s">
        <v>251</v>
      </c>
      <c r="D107" s="9" t="s">
        <v>67</v>
      </c>
      <c r="E107" s="9" t="s">
        <v>118</v>
      </c>
      <c r="F107" s="9" t="s">
        <v>41</v>
      </c>
      <c r="G107" s="10"/>
      <c r="H107" s="11"/>
      <c r="I107" s="12" t="n">
        <v>5</v>
      </c>
      <c r="J107" s="12" t="n">
        <v>1</v>
      </c>
      <c r="K107" s="13" t="n">
        <f aca="false">IF(I107="","",I107*2-J107)</f>
        <v>9</v>
      </c>
      <c r="L107" s="9" t="str">
        <f aca="false">IF(K107="","",IF(K107&gt;=8,"1 - quick win",IF(K107&gt;=6,"2 - build early",IF(K107&gt;=4,"3 - slower climb","4 - monitor only"))))</f>
        <v>1 - quick win</v>
      </c>
      <c r="M107" s="9" t="s">
        <v>42</v>
      </c>
      <c r="N107" s="9" t="s">
        <v>257</v>
      </c>
      <c r="O107" s="9" t="s">
        <v>258</v>
      </c>
      <c r="P107" s="9"/>
    </row>
    <row r="108" customFormat="false" ht="23.85" hidden="false" customHeight="false" outlineLevel="0" collapsed="false">
      <c r="A108" s="14" t="s">
        <v>259</v>
      </c>
      <c r="B108" s="14" t="s">
        <v>57</v>
      </c>
      <c r="C108" s="14" t="s">
        <v>251</v>
      </c>
      <c r="D108" s="14" t="s">
        <v>49</v>
      </c>
      <c r="E108" s="14" t="s">
        <v>118</v>
      </c>
      <c r="F108" s="14" t="s">
        <v>41</v>
      </c>
      <c r="G108" s="10"/>
      <c r="H108" s="11"/>
      <c r="I108" s="15" t="n">
        <v>4</v>
      </c>
      <c r="J108" s="15" t="n">
        <v>1</v>
      </c>
      <c r="K108" s="16" t="n">
        <f aca="false">IF(I108="","",I108*2-J108)</f>
        <v>7</v>
      </c>
      <c r="L108" s="14" t="str">
        <f aca="false">IF(K108="","",IF(K108&gt;=8,"1 - quick win",IF(K108&gt;=6,"2 - build early",IF(K108&gt;=4,"3 - slower climb","4 - monitor only"))))</f>
        <v>2 - build early</v>
      </c>
      <c r="M108" s="14" t="s">
        <v>42</v>
      </c>
      <c r="N108" s="14" t="s">
        <v>260</v>
      </c>
      <c r="O108" s="14" t="s">
        <v>253</v>
      </c>
      <c r="P108" s="14"/>
    </row>
    <row r="109" customFormat="false" ht="15" hidden="false" customHeight="false" outlineLevel="0" collapsed="false">
      <c r="A109" s="9" t="s">
        <v>261</v>
      </c>
      <c r="B109" s="9" t="s">
        <v>57</v>
      </c>
      <c r="C109" s="9" t="s">
        <v>251</v>
      </c>
      <c r="D109" s="9" t="s">
        <v>49</v>
      </c>
      <c r="E109" s="9" t="s">
        <v>118</v>
      </c>
      <c r="F109" s="9" t="s">
        <v>41</v>
      </c>
      <c r="G109" s="10"/>
      <c r="H109" s="11"/>
      <c r="I109" s="12" t="n">
        <v>4</v>
      </c>
      <c r="J109" s="12" t="n">
        <v>1</v>
      </c>
      <c r="K109" s="13" t="n">
        <f aca="false">IF(I109="","",I109*2-J109)</f>
        <v>7</v>
      </c>
      <c r="L109" s="9" t="str">
        <f aca="false">IF(K109="","",IF(K109&gt;=8,"1 - quick win",IF(K109&gt;=6,"2 - build early",IF(K109&gt;=4,"3 - slower climb","4 - monitor only"))))</f>
        <v>2 - build early</v>
      </c>
      <c r="M109" s="9" t="s">
        <v>42</v>
      </c>
      <c r="N109" s="9" t="s">
        <v>262</v>
      </c>
      <c r="O109" s="9" t="s">
        <v>253</v>
      </c>
      <c r="P109" s="9"/>
    </row>
    <row r="110" customFormat="false" ht="15" hidden="false" customHeight="false" outlineLevel="0" collapsed="false">
      <c r="A110" s="14" t="s">
        <v>263</v>
      </c>
      <c r="B110" s="14" t="s">
        <v>48</v>
      </c>
      <c r="C110" s="14" t="s">
        <v>251</v>
      </c>
      <c r="D110" s="14" t="s">
        <v>132</v>
      </c>
      <c r="E110" s="14" t="s">
        <v>118</v>
      </c>
      <c r="F110" s="14" t="s">
        <v>41</v>
      </c>
      <c r="G110" s="10"/>
      <c r="H110" s="11"/>
      <c r="I110" s="15" t="n">
        <v>3</v>
      </c>
      <c r="J110" s="15" t="n">
        <v>1</v>
      </c>
      <c r="K110" s="16" t="n">
        <f aca="false">IF(I110="","",I110*2-J110)</f>
        <v>5</v>
      </c>
      <c r="L110" s="14" t="str">
        <f aca="false">IF(K110="","",IF(K110&gt;=8,"1 - quick win",IF(K110&gt;=6,"2 - build early",IF(K110&gt;=4,"3 - slower climb","4 - monitor only"))))</f>
        <v>3 - slower climb</v>
      </c>
      <c r="M110" s="14" t="s">
        <v>42</v>
      </c>
      <c r="N110" s="14" t="s">
        <v>264</v>
      </c>
      <c r="O110" s="14" t="s">
        <v>265</v>
      </c>
      <c r="P110" s="14"/>
    </row>
    <row r="111" customFormat="false" ht="15" hidden="false" customHeight="false" outlineLevel="0" collapsed="false">
      <c r="A111" s="9" t="s">
        <v>266</v>
      </c>
      <c r="B111" s="9" t="s">
        <v>57</v>
      </c>
      <c r="C111" s="9" t="s">
        <v>251</v>
      </c>
      <c r="D111" s="9" t="s">
        <v>132</v>
      </c>
      <c r="E111" s="9" t="s">
        <v>173</v>
      </c>
      <c r="F111" s="9" t="s">
        <v>41</v>
      </c>
      <c r="G111" s="10"/>
      <c r="H111" s="11"/>
      <c r="I111" s="12" t="n">
        <v>2</v>
      </c>
      <c r="J111" s="12" t="n">
        <v>1</v>
      </c>
      <c r="K111" s="13" t="n">
        <f aca="false">IF(I111="","",I111*2-J111)</f>
        <v>3</v>
      </c>
      <c r="L111" s="9" t="str">
        <f aca="false">IF(K111="","",IF(K111&gt;=8,"1 - quick win",IF(K111&gt;=6,"2 - build early",IF(K111&gt;=4,"3 - slower climb","4 - monitor only"))))</f>
        <v>4 - monitor only</v>
      </c>
      <c r="M111" s="9" t="s">
        <v>54</v>
      </c>
      <c r="N111" s="9" t="s">
        <v>267</v>
      </c>
      <c r="O111" s="9" t="s">
        <v>265</v>
      </c>
      <c r="P111" s="9"/>
    </row>
    <row r="112" customFormat="false" ht="15" hidden="false" customHeight="false" outlineLevel="0" collapsed="false">
      <c r="A112" s="14" t="s">
        <v>268</v>
      </c>
      <c r="B112" s="14" t="s">
        <v>112</v>
      </c>
      <c r="C112" s="14" t="s">
        <v>251</v>
      </c>
      <c r="D112" s="14" t="s">
        <v>49</v>
      </c>
      <c r="E112" s="14" t="s">
        <v>68</v>
      </c>
      <c r="F112" s="14" t="s">
        <v>41</v>
      </c>
      <c r="G112" s="10"/>
      <c r="H112" s="11"/>
      <c r="I112" s="15" t="n">
        <v>5</v>
      </c>
      <c r="J112" s="15" t="n">
        <v>2</v>
      </c>
      <c r="K112" s="16" t="n">
        <f aca="false">IF(I112="","",I112*2-J112)</f>
        <v>8</v>
      </c>
      <c r="L112" s="14" t="str">
        <f aca="false">IF(K112="","",IF(K112&gt;=8,"1 - quick win",IF(K112&gt;=6,"2 - build early",IF(K112&gt;=4,"3 - slower climb","4 - monitor only"))))</f>
        <v>1 - quick win</v>
      </c>
      <c r="M112" s="14" t="s">
        <v>42</v>
      </c>
      <c r="N112" s="14" t="s">
        <v>269</v>
      </c>
      <c r="O112" s="14" t="s">
        <v>265</v>
      </c>
      <c r="P112" s="14"/>
    </row>
    <row r="113" customFormat="false" ht="23.85" hidden="false" customHeight="false" outlineLevel="0" collapsed="false">
      <c r="A113" s="9" t="s">
        <v>270</v>
      </c>
      <c r="B113" s="9" t="s">
        <v>57</v>
      </c>
      <c r="C113" s="9" t="s">
        <v>251</v>
      </c>
      <c r="D113" s="9" t="s">
        <v>49</v>
      </c>
      <c r="E113" s="9" t="s">
        <v>118</v>
      </c>
      <c r="F113" s="9" t="s">
        <v>41</v>
      </c>
      <c r="G113" s="10"/>
      <c r="H113" s="11"/>
      <c r="I113" s="12" t="n">
        <v>3</v>
      </c>
      <c r="J113" s="12" t="n">
        <v>1</v>
      </c>
      <c r="K113" s="13" t="n">
        <f aca="false">IF(I113="","",I113*2-J113)</f>
        <v>5</v>
      </c>
      <c r="L113" s="9" t="str">
        <f aca="false">IF(K113="","",IF(K113&gt;=8,"1 - quick win",IF(K113&gt;=6,"2 - build early",IF(K113&gt;=4,"3 - slower climb","4 - monitor only"))))</f>
        <v>3 - slower climb</v>
      </c>
      <c r="M113" s="9" t="s">
        <v>54</v>
      </c>
      <c r="N113" s="9" t="s">
        <v>271</v>
      </c>
      <c r="O113" s="9" t="s">
        <v>265</v>
      </c>
      <c r="P113" s="9"/>
    </row>
    <row r="114" customFormat="false" ht="15" hidden="false" customHeight="false" outlineLevel="0" collapsed="false">
      <c r="A114" s="14" t="s">
        <v>272</v>
      </c>
      <c r="B114" s="14" t="s">
        <v>57</v>
      </c>
      <c r="C114" s="14" t="s">
        <v>251</v>
      </c>
      <c r="D114" s="14" t="s">
        <v>132</v>
      </c>
      <c r="E114" s="14" t="s">
        <v>118</v>
      </c>
      <c r="F114" s="14" t="s">
        <v>41</v>
      </c>
      <c r="G114" s="10"/>
      <c r="H114" s="11"/>
      <c r="I114" s="15" t="n">
        <v>3</v>
      </c>
      <c r="J114" s="15" t="n">
        <v>1</v>
      </c>
      <c r="K114" s="16" t="n">
        <f aca="false">IF(I114="","",I114*2-J114)</f>
        <v>5</v>
      </c>
      <c r="L114" s="14" t="str">
        <f aca="false">IF(K114="","",IF(K114&gt;=8,"1 - quick win",IF(K114&gt;=6,"2 - build early",IF(K114&gt;=4,"3 - slower climb","4 - monitor only"))))</f>
        <v>3 - slower climb</v>
      </c>
      <c r="M114" s="14" t="s">
        <v>42</v>
      </c>
      <c r="N114" s="14" t="s">
        <v>273</v>
      </c>
      <c r="O114" s="14" t="s">
        <v>274</v>
      </c>
      <c r="P114" s="14"/>
    </row>
    <row r="115" customFormat="false" ht="15" hidden="false" customHeight="false" outlineLevel="0" collapsed="false">
      <c r="A115" s="9" t="s">
        <v>275</v>
      </c>
      <c r="B115" s="9" t="s">
        <v>57</v>
      </c>
      <c r="C115" s="9" t="s">
        <v>251</v>
      </c>
      <c r="D115" s="9" t="s">
        <v>132</v>
      </c>
      <c r="E115" s="9" t="s">
        <v>118</v>
      </c>
      <c r="F115" s="9" t="s">
        <v>41</v>
      </c>
      <c r="G115" s="10"/>
      <c r="H115" s="11"/>
      <c r="I115" s="12" t="n">
        <v>3</v>
      </c>
      <c r="J115" s="12" t="n">
        <v>1</v>
      </c>
      <c r="K115" s="13" t="n">
        <f aca="false">IF(I115="","",I115*2-J115)</f>
        <v>5</v>
      </c>
      <c r="L115" s="9" t="str">
        <f aca="false">IF(K115="","",IF(K115&gt;=8,"1 - quick win",IF(K115&gt;=6,"2 - build early",IF(K115&gt;=4,"3 - slower climb","4 - monitor only"))))</f>
        <v>3 - slower climb</v>
      </c>
      <c r="M115" s="9" t="s">
        <v>42</v>
      </c>
      <c r="N115" s="9" t="s">
        <v>276</v>
      </c>
      <c r="O115" s="9" t="s">
        <v>274</v>
      </c>
      <c r="P115" s="9"/>
    </row>
    <row r="116" customFormat="false" ht="15" hidden="false" customHeight="false" outlineLevel="0" collapsed="false">
      <c r="A116" s="14" t="s">
        <v>277</v>
      </c>
      <c r="B116" s="14" t="s">
        <v>57</v>
      </c>
      <c r="C116" s="14" t="s">
        <v>251</v>
      </c>
      <c r="D116" s="14" t="s">
        <v>132</v>
      </c>
      <c r="E116" s="14" t="s">
        <v>118</v>
      </c>
      <c r="F116" s="14" t="s">
        <v>41</v>
      </c>
      <c r="G116" s="10"/>
      <c r="H116" s="11"/>
      <c r="I116" s="15" t="n">
        <v>2</v>
      </c>
      <c r="J116" s="15" t="n">
        <v>1</v>
      </c>
      <c r="K116" s="16" t="n">
        <f aca="false">IF(I116="","",I116*2-J116)</f>
        <v>3</v>
      </c>
      <c r="L116" s="14" t="str">
        <f aca="false">IF(K116="","",IF(K116&gt;=8,"1 - quick win",IF(K116&gt;=6,"2 - build early",IF(K116&gt;=4,"3 - slower climb","4 - monitor only"))))</f>
        <v>4 - monitor only</v>
      </c>
      <c r="M116" s="14" t="s">
        <v>54</v>
      </c>
      <c r="N116" s="14" t="s">
        <v>278</v>
      </c>
      <c r="O116" s="14" t="s">
        <v>253</v>
      </c>
      <c r="P116" s="14"/>
    </row>
    <row r="117" customFormat="false" ht="23.85" hidden="false" customHeight="false" outlineLevel="0" collapsed="false">
      <c r="A117" s="9" t="s">
        <v>279</v>
      </c>
      <c r="B117" s="9" t="s">
        <v>57</v>
      </c>
      <c r="C117" s="9" t="s">
        <v>251</v>
      </c>
      <c r="D117" s="9" t="s">
        <v>49</v>
      </c>
      <c r="E117" s="9" t="s">
        <v>118</v>
      </c>
      <c r="F117" s="9" t="s">
        <v>41</v>
      </c>
      <c r="G117" s="10"/>
      <c r="H117" s="11"/>
      <c r="I117" s="12" t="n">
        <v>2</v>
      </c>
      <c r="J117" s="12" t="n">
        <v>1</v>
      </c>
      <c r="K117" s="13" t="n">
        <f aca="false">IF(I117="","",I117*2-J117)</f>
        <v>3</v>
      </c>
      <c r="L117" s="9" t="str">
        <f aca="false">IF(K117="","",IF(K117&gt;=8,"1 - quick win",IF(K117&gt;=6,"2 - build early",IF(K117&gt;=4,"3 - slower climb","4 - monitor only"))))</f>
        <v>4 - monitor only</v>
      </c>
      <c r="M117" s="9" t="s">
        <v>54</v>
      </c>
      <c r="N117" s="9" t="s">
        <v>280</v>
      </c>
      <c r="O117" s="9" t="s">
        <v>281</v>
      </c>
      <c r="P117" s="9"/>
    </row>
    <row r="118" customFormat="false" ht="15" hidden="false" customHeight="false" outlineLevel="0" collapsed="false">
      <c r="A118" s="14" t="s">
        <v>282</v>
      </c>
      <c r="B118" s="14" t="s">
        <v>48</v>
      </c>
      <c r="C118" s="14" t="s">
        <v>283</v>
      </c>
      <c r="D118" s="14" t="s">
        <v>49</v>
      </c>
      <c r="E118" s="14" t="s">
        <v>118</v>
      </c>
      <c r="F118" s="14" t="s">
        <v>41</v>
      </c>
      <c r="G118" s="10"/>
      <c r="H118" s="11"/>
      <c r="I118" s="15" t="n">
        <v>4</v>
      </c>
      <c r="J118" s="15" t="n">
        <v>2</v>
      </c>
      <c r="K118" s="16" t="n">
        <f aca="false">IF(I118="","",I118*2-J118)</f>
        <v>6</v>
      </c>
      <c r="L118" s="14" t="str">
        <f aca="false">IF(K118="","",IF(K118&gt;=8,"1 - quick win",IF(K118&gt;=6,"2 - build early",IF(K118&gt;=4,"3 - slower climb","4 - monitor only"))))</f>
        <v>2 - build early</v>
      </c>
      <c r="M118" s="14" t="s">
        <v>42</v>
      </c>
      <c r="N118" s="14" t="s">
        <v>284</v>
      </c>
      <c r="O118" s="14" t="s">
        <v>285</v>
      </c>
      <c r="P118" s="14"/>
    </row>
    <row r="119" customFormat="false" ht="15" hidden="false" customHeight="false" outlineLevel="0" collapsed="false">
      <c r="A119" s="9" t="s">
        <v>286</v>
      </c>
      <c r="B119" s="9" t="s">
        <v>48</v>
      </c>
      <c r="C119" s="9" t="s">
        <v>283</v>
      </c>
      <c r="D119" s="9" t="s">
        <v>49</v>
      </c>
      <c r="E119" s="9" t="s">
        <v>118</v>
      </c>
      <c r="F119" s="9" t="s">
        <v>41</v>
      </c>
      <c r="G119" s="10"/>
      <c r="H119" s="11"/>
      <c r="I119" s="12" t="n">
        <v>4</v>
      </c>
      <c r="J119" s="12" t="n">
        <v>2</v>
      </c>
      <c r="K119" s="13" t="n">
        <f aca="false">IF(I119="","",I119*2-J119)</f>
        <v>6</v>
      </c>
      <c r="L119" s="9" t="str">
        <f aca="false">IF(K119="","",IF(K119&gt;=8,"1 - quick win",IF(K119&gt;=6,"2 - build early",IF(K119&gt;=4,"3 - slower climb","4 - monitor only"))))</f>
        <v>2 - build early</v>
      </c>
      <c r="M119" s="9" t="s">
        <v>42</v>
      </c>
      <c r="N119" s="9" t="s">
        <v>287</v>
      </c>
      <c r="O119" s="9" t="s">
        <v>288</v>
      </c>
      <c r="P119" s="9"/>
    </row>
    <row r="120" customFormat="false" ht="15" hidden="false" customHeight="false" outlineLevel="0" collapsed="false">
      <c r="A120" s="14" t="s">
        <v>289</v>
      </c>
      <c r="B120" s="14" t="s">
        <v>57</v>
      </c>
      <c r="C120" s="14" t="s">
        <v>283</v>
      </c>
      <c r="D120" s="14" t="s">
        <v>67</v>
      </c>
      <c r="E120" s="14" t="s">
        <v>118</v>
      </c>
      <c r="F120" s="14" t="s">
        <v>41</v>
      </c>
      <c r="G120" s="10"/>
      <c r="H120" s="11"/>
      <c r="I120" s="15" t="n">
        <v>4</v>
      </c>
      <c r="J120" s="15" t="n">
        <v>1</v>
      </c>
      <c r="K120" s="16" t="n">
        <f aca="false">IF(I120="","",I120*2-J120)</f>
        <v>7</v>
      </c>
      <c r="L120" s="14" t="str">
        <f aca="false">IF(K120="","",IF(K120&gt;=8,"1 - quick win",IF(K120&gt;=6,"2 - build early",IF(K120&gt;=4,"3 - slower climb","4 - monitor only"))))</f>
        <v>2 - build early</v>
      </c>
      <c r="M120" s="14" t="s">
        <v>42</v>
      </c>
      <c r="N120" s="14" t="s">
        <v>290</v>
      </c>
      <c r="O120" s="14" t="s">
        <v>291</v>
      </c>
      <c r="P120" s="14"/>
    </row>
    <row r="121" customFormat="false" ht="23.85" hidden="false" customHeight="false" outlineLevel="0" collapsed="false">
      <c r="A121" s="9" t="s">
        <v>292</v>
      </c>
      <c r="B121" s="9" t="s">
        <v>48</v>
      </c>
      <c r="C121" s="9" t="s">
        <v>283</v>
      </c>
      <c r="D121" s="9" t="s">
        <v>49</v>
      </c>
      <c r="E121" s="9" t="s">
        <v>118</v>
      </c>
      <c r="F121" s="9" t="s">
        <v>41</v>
      </c>
      <c r="G121" s="10"/>
      <c r="H121" s="11"/>
      <c r="I121" s="12" t="n">
        <v>5</v>
      </c>
      <c r="J121" s="12" t="n">
        <v>1</v>
      </c>
      <c r="K121" s="13" t="n">
        <f aca="false">IF(I121="","",I121*2-J121)</f>
        <v>9</v>
      </c>
      <c r="L121" s="9" t="str">
        <f aca="false">IF(K121="","",IF(K121&gt;=8,"1 - quick win",IF(K121&gt;=6,"2 - build early",IF(K121&gt;=4,"3 - slower climb","4 - monitor only"))))</f>
        <v>1 - quick win</v>
      </c>
      <c r="M121" s="9" t="s">
        <v>42</v>
      </c>
      <c r="N121" s="9" t="s">
        <v>293</v>
      </c>
      <c r="O121" s="9" t="s">
        <v>294</v>
      </c>
      <c r="P121" s="9"/>
    </row>
    <row r="122" customFormat="false" ht="23.85" hidden="false" customHeight="false" outlineLevel="0" collapsed="false">
      <c r="A122" s="14" t="s">
        <v>295</v>
      </c>
      <c r="B122" s="14" t="s">
        <v>57</v>
      </c>
      <c r="C122" s="14" t="s">
        <v>283</v>
      </c>
      <c r="D122" s="14" t="s">
        <v>132</v>
      </c>
      <c r="E122" s="14" t="s">
        <v>118</v>
      </c>
      <c r="F122" s="14" t="s">
        <v>41</v>
      </c>
      <c r="G122" s="10"/>
      <c r="H122" s="11"/>
      <c r="I122" s="15" t="n">
        <v>5</v>
      </c>
      <c r="J122" s="15" t="n">
        <v>1</v>
      </c>
      <c r="K122" s="16" t="n">
        <f aca="false">IF(I122="","",I122*2-J122)</f>
        <v>9</v>
      </c>
      <c r="L122" s="14" t="str">
        <f aca="false">IF(K122="","",IF(K122&gt;=8,"1 - quick win",IF(K122&gt;=6,"2 - build early",IF(K122&gt;=4,"3 - slower climb","4 - monitor only"))))</f>
        <v>1 - quick win</v>
      </c>
      <c r="M122" s="14" t="s">
        <v>42</v>
      </c>
      <c r="N122" s="14" t="s">
        <v>296</v>
      </c>
      <c r="O122" s="14" t="s">
        <v>294</v>
      </c>
      <c r="P122" s="14"/>
    </row>
    <row r="123" customFormat="false" ht="15" hidden="false" customHeight="false" outlineLevel="0" collapsed="false">
      <c r="A123" s="9" t="s">
        <v>297</v>
      </c>
      <c r="B123" s="9" t="s">
        <v>57</v>
      </c>
      <c r="C123" s="9" t="s">
        <v>283</v>
      </c>
      <c r="D123" s="9" t="s">
        <v>49</v>
      </c>
      <c r="E123" s="9" t="s">
        <v>118</v>
      </c>
      <c r="F123" s="9" t="s">
        <v>41</v>
      </c>
      <c r="G123" s="10"/>
      <c r="H123" s="11"/>
      <c r="I123" s="12" t="n">
        <v>4</v>
      </c>
      <c r="J123" s="12" t="n">
        <v>1</v>
      </c>
      <c r="K123" s="13" t="n">
        <f aca="false">IF(I123="","",I123*2-J123)</f>
        <v>7</v>
      </c>
      <c r="L123" s="9" t="str">
        <f aca="false">IF(K123="","",IF(K123&gt;=8,"1 - quick win",IF(K123&gt;=6,"2 - build early",IF(K123&gt;=4,"3 - slower climb","4 - monitor only"))))</f>
        <v>2 - build early</v>
      </c>
      <c r="M123" s="9" t="s">
        <v>42</v>
      </c>
      <c r="N123" s="9" t="s">
        <v>298</v>
      </c>
      <c r="O123" s="9" t="s">
        <v>299</v>
      </c>
      <c r="P123" s="9"/>
    </row>
    <row r="124" customFormat="false" ht="15" hidden="false" customHeight="false" outlineLevel="0" collapsed="false">
      <c r="A124" s="14" t="s">
        <v>300</v>
      </c>
      <c r="B124" s="14" t="s">
        <v>48</v>
      </c>
      <c r="C124" s="14" t="s">
        <v>283</v>
      </c>
      <c r="D124" s="14" t="s">
        <v>49</v>
      </c>
      <c r="E124" s="14" t="s">
        <v>118</v>
      </c>
      <c r="F124" s="14" t="s">
        <v>41</v>
      </c>
      <c r="G124" s="10"/>
      <c r="H124" s="11"/>
      <c r="I124" s="15" t="n">
        <v>4</v>
      </c>
      <c r="J124" s="15" t="n">
        <v>1</v>
      </c>
      <c r="K124" s="16" t="n">
        <f aca="false">IF(I124="","",I124*2-J124)</f>
        <v>7</v>
      </c>
      <c r="L124" s="14" t="str">
        <f aca="false">IF(K124="","",IF(K124&gt;=8,"1 - quick win",IF(K124&gt;=6,"2 - build early",IF(K124&gt;=4,"3 - slower climb","4 - monitor only"))))</f>
        <v>2 - build early</v>
      </c>
      <c r="M124" s="14" t="s">
        <v>42</v>
      </c>
      <c r="N124" s="14" t="s">
        <v>301</v>
      </c>
      <c r="O124" s="14" t="s">
        <v>302</v>
      </c>
      <c r="P124" s="14"/>
    </row>
    <row r="125" customFormat="false" ht="23.85" hidden="false" customHeight="false" outlineLevel="0" collapsed="false">
      <c r="A125" s="9" t="s">
        <v>303</v>
      </c>
      <c r="B125" s="9" t="s">
        <v>57</v>
      </c>
      <c r="C125" s="9" t="s">
        <v>283</v>
      </c>
      <c r="D125" s="9" t="s">
        <v>117</v>
      </c>
      <c r="E125" s="9" t="s">
        <v>118</v>
      </c>
      <c r="F125" s="9" t="s">
        <v>41</v>
      </c>
      <c r="G125" s="10"/>
      <c r="H125" s="11"/>
      <c r="I125" s="12" t="n">
        <v>4</v>
      </c>
      <c r="J125" s="12" t="n">
        <v>1</v>
      </c>
      <c r="K125" s="13" t="n">
        <f aca="false">IF(I125="","",I125*2-J125)</f>
        <v>7</v>
      </c>
      <c r="L125" s="9" t="str">
        <f aca="false">IF(K125="","",IF(K125&gt;=8,"1 - quick win",IF(K125&gt;=6,"2 - build early",IF(K125&gt;=4,"3 - slower climb","4 - monitor only"))))</f>
        <v>2 - build early</v>
      </c>
      <c r="M125" s="9" t="s">
        <v>42</v>
      </c>
      <c r="N125" s="9" t="s">
        <v>304</v>
      </c>
      <c r="O125" s="9" t="s">
        <v>302</v>
      </c>
      <c r="P125" s="9"/>
    </row>
    <row r="126" customFormat="false" ht="15" hidden="false" customHeight="false" outlineLevel="0" collapsed="false">
      <c r="A126" s="14" t="s">
        <v>305</v>
      </c>
      <c r="B126" s="14" t="s">
        <v>57</v>
      </c>
      <c r="C126" s="14" t="s">
        <v>283</v>
      </c>
      <c r="D126" s="14" t="s">
        <v>49</v>
      </c>
      <c r="E126" s="14" t="s">
        <v>118</v>
      </c>
      <c r="F126" s="14" t="s">
        <v>41</v>
      </c>
      <c r="G126" s="10"/>
      <c r="H126" s="11"/>
      <c r="I126" s="15" t="n">
        <v>3</v>
      </c>
      <c r="J126" s="15" t="n">
        <v>1</v>
      </c>
      <c r="K126" s="16" t="n">
        <f aca="false">IF(I126="","",I126*2-J126)</f>
        <v>5</v>
      </c>
      <c r="L126" s="14" t="str">
        <f aca="false">IF(K126="","",IF(K126&gt;=8,"1 - quick win",IF(K126&gt;=6,"2 - build early",IF(K126&gt;=4,"3 - slower climb","4 - monitor only"))))</f>
        <v>3 - slower climb</v>
      </c>
      <c r="M126" s="14" t="s">
        <v>54</v>
      </c>
      <c r="N126" s="14" t="s">
        <v>306</v>
      </c>
      <c r="O126" s="14" t="s">
        <v>299</v>
      </c>
      <c r="P126" s="14"/>
    </row>
    <row r="127" customFormat="false" ht="15" hidden="false" customHeight="false" outlineLevel="0" collapsed="false">
      <c r="A127" s="9" t="s">
        <v>307</v>
      </c>
      <c r="B127" s="9" t="s">
        <v>57</v>
      </c>
      <c r="C127" s="9" t="s">
        <v>283</v>
      </c>
      <c r="D127" s="9" t="s">
        <v>49</v>
      </c>
      <c r="E127" s="9" t="s">
        <v>118</v>
      </c>
      <c r="F127" s="9" t="s">
        <v>41</v>
      </c>
      <c r="G127" s="10"/>
      <c r="H127" s="11"/>
      <c r="I127" s="12" t="n">
        <v>3</v>
      </c>
      <c r="J127" s="12" t="n">
        <v>2</v>
      </c>
      <c r="K127" s="13" t="n">
        <f aca="false">IF(I127="","",I127*2-J127)</f>
        <v>4</v>
      </c>
      <c r="L127" s="9" t="str">
        <f aca="false">IF(K127="","",IF(K127&gt;=8,"1 - quick win",IF(K127&gt;=6,"2 - build early",IF(K127&gt;=4,"3 - slower climb","4 - monitor only"))))</f>
        <v>3 - slower climb</v>
      </c>
      <c r="M127" s="9" t="s">
        <v>54</v>
      </c>
      <c r="N127" s="9" t="s">
        <v>308</v>
      </c>
      <c r="O127" s="9" t="s">
        <v>309</v>
      </c>
      <c r="P127" s="9"/>
    </row>
    <row r="128" customFormat="false" ht="15" hidden="false" customHeight="false" outlineLevel="0" collapsed="false">
      <c r="A128" s="14" t="s">
        <v>310</v>
      </c>
      <c r="B128" s="14" t="s">
        <v>57</v>
      </c>
      <c r="C128" s="14" t="s">
        <v>283</v>
      </c>
      <c r="D128" s="14" t="s">
        <v>49</v>
      </c>
      <c r="E128" s="14" t="s">
        <v>118</v>
      </c>
      <c r="F128" s="14" t="s">
        <v>41</v>
      </c>
      <c r="G128" s="10"/>
      <c r="H128" s="11"/>
      <c r="I128" s="15" t="n">
        <v>2</v>
      </c>
      <c r="J128" s="15" t="n">
        <v>3</v>
      </c>
      <c r="K128" s="16" t="n">
        <f aca="false">IF(I128="","",I128*2-J128)</f>
        <v>1</v>
      </c>
      <c r="L128" s="14" t="str">
        <f aca="false">IF(K128="","",IF(K128&gt;=8,"1 - quick win",IF(K128&gt;=6,"2 - build early",IF(K128&gt;=4,"3 - slower climb","4 - monitor only"))))</f>
        <v>4 - monitor only</v>
      </c>
      <c r="M128" s="14" t="s">
        <v>311</v>
      </c>
      <c r="N128" s="14" t="s">
        <v>312</v>
      </c>
      <c r="O128" s="14" t="s">
        <v>313</v>
      </c>
      <c r="P128" s="14"/>
    </row>
    <row r="129" customFormat="false" ht="23.85" hidden="false" customHeight="false" outlineLevel="0" collapsed="false">
      <c r="A129" s="9" t="s">
        <v>314</v>
      </c>
      <c r="B129" s="9" t="s">
        <v>57</v>
      </c>
      <c r="C129" s="9" t="s">
        <v>283</v>
      </c>
      <c r="D129" s="9" t="s">
        <v>49</v>
      </c>
      <c r="E129" s="9" t="s">
        <v>118</v>
      </c>
      <c r="F129" s="9" t="s">
        <v>41</v>
      </c>
      <c r="G129" s="10"/>
      <c r="H129" s="11"/>
      <c r="I129" s="12" t="n">
        <v>3</v>
      </c>
      <c r="J129" s="12" t="n">
        <v>1</v>
      </c>
      <c r="K129" s="13" t="n">
        <f aca="false">IF(I129="","",I129*2-J129)</f>
        <v>5</v>
      </c>
      <c r="L129" s="9" t="str">
        <f aca="false">IF(K129="","",IF(K129&gt;=8,"1 - quick win",IF(K129&gt;=6,"2 - build early",IF(K129&gt;=4,"3 - slower climb","4 - monitor only"))))</f>
        <v>3 - slower climb</v>
      </c>
      <c r="M129" s="9" t="s">
        <v>54</v>
      </c>
      <c r="N129" s="9" t="s">
        <v>315</v>
      </c>
      <c r="O129" s="9" t="s">
        <v>120</v>
      </c>
      <c r="P129" s="9"/>
    </row>
    <row r="130" customFormat="false" ht="15" hidden="false" customHeight="false" outlineLevel="0" collapsed="false">
      <c r="A130" s="14" t="s">
        <v>316</v>
      </c>
      <c r="B130" s="14" t="s">
        <v>57</v>
      </c>
      <c r="C130" s="14" t="s">
        <v>283</v>
      </c>
      <c r="D130" s="14" t="s">
        <v>49</v>
      </c>
      <c r="E130" s="14" t="s">
        <v>118</v>
      </c>
      <c r="F130" s="14" t="s">
        <v>41</v>
      </c>
      <c r="G130" s="10"/>
      <c r="H130" s="11"/>
      <c r="I130" s="15" t="n">
        <v>3</v>
      </c>
      <c r="J130" s="15" t="n">
        <v>1</v>
      </c>
      <c r="K130" s="16" t="n">
        <f aca="false">IF(I130="","",I130*2-J130)</f>
        <v>5</v>
      </c>
      <c r="L130" s="14" t="str">
        <f aca="false">IF(K130="","",IF(K130&gt;=8,"1 - quick win",IF(K130&gt;=6,"2 - build early",IF(K130&gt;=4,"3 - slower climb","4 - monitor only"))))</f>
        <v>3 - slower climb</v>
      </c>
      <c r="M130" s="14" t="s">
        <v>54</v>
      </c>
      <c r="N130" s="14" t="s">
        <v>317</v>
      </c>
      <c r="O130" s="14" t="s">
        <v>288</v>
      </c>
      <c r="P130" s="14"/>
    </row>
    <row r="131" customFormat="false" ht="15" hidden="false" customHeight="false" outlineLevel="0" collapsed="false">
      <c r="A131" s="9" t="s">
        <v>318</v>
      </c>
      <c r="B131" s="9" t="s">
        <v>57</v>
      </c>
      <c r="C131" s="9" t="s">
        <v>283</v>
      </c>
      <c r="D131" s="9" t="s">
        <v>49</v>
      </c>
      <c r="E131" s="9" t="s">
        <v>118</v>
      </c>
      <c r="F131" s="9" t="s">
        <v>41</v>
      </c>
      <c r="G131" s="10"/>
      <c r="H131" s="11"/>
      <c r="I131" s="12" t="n">
        <v>2</v>
      </c>
      <c r="J131" s="12" t="n">
        <v>1</v>
      </c>
      <c r="K131" s="13" t="n">
        <f aca="false">IF(I131="","",I131*2-J131)</f>
        <v>3</v>
      </c>
      <c r="L131" s="9" t="str">
        <f aca="false">IF(K131="","",IF(K131&gt;=8,"1 - quick win",IF(K131&gt;=6,"2 - build early",IF(K131&gt;=4,"3 - slower climb","4 - monitor only"))))</f>
        <v>4 - monitor only</v>
      </c>
      <c r="M131" s="9" t="s">
        <v>311</v>
      </c>
      <c r="N131" s="9" t="s">
        <v>319</v>
      </c>
      <c r="O131" s="9" t="s">
        <v>288</v>
      </c>
      <c r="P131" s="9"/>
    </row>
    <row r="132" customFormat="false" ht="15" hidden="false" customHeight="false" outlineLevel="0" collapsed="false">
      <c r="A132" s="14" t="s">
        <v>320</v>
      </c>
      <c r="B132" s="14" t="s">
        <v>57</v>
      </c>
      <c r="C132" s="14" t="s">
        <v>283</v>
      </c>
      <c r="D132" s="14" t="s">
        <v>132</v>
      </c>
      <c r="E132" s="14" t="s">
        <v>118</v>
      </c>
      <c r="F132" s="14" t="s">
        <v>41</v>
      </c>
      <c r="G132" s="10"/>
      <c r="H132" s="11"/>
      <c r="I132" s="15" t="n">
        <v>3</v>
      </c>
      <c r="J132" s="15" t="n">
        <v>1</v>
      </c>
      <c r="K132" s="16" t="n">
        <f aca="false">IF(I132="","",I132*2-J132)</f>
        <v>5</v>
      </c>
      <c r="L132" s="14" t="str">
        <f aca="false">IF(K132="","",IF(K132&gt;=8,"1 - quick win",IF(K132&gt;=6,"2 - build early",IF(K132&gt;=4,"3 - slower climb","4 - monitor only"))))</f>
        <v>3 - slower climb</v>
      </c>
      <c r="M132" s="14" t="s">
        <v>54</v>
      </c>
      <c r="N132" s="14" t="s">
        <v>321</v>
      </c>
      <c r="O132" s="14" t="s">
        <v>322</v>
      </c>
      <c r="P132" s="14"/>
    </row>
    <row r="133" customFormat="false" ht="23.85" hidden="false" customHeight="false" outlineLevel="0" collapsed="false">
      <c r="A133" s="9" t="s">
        <v>323</v>
      </c>
      <c r="B133" s="9" t="s">
        <v>48</v>
      </c>
      <c r="C133" s="9" t="s">
        <v>324</v>
      </c>
      <c r="D133" s="9" t="s">
        <v>117</v>
      </c>
      <c r="E133" s="9" t="s">
        <v>118</v>
      </c>
      <c r="F133" s="9" t="s">
        <v>41</v>
      </c>
      <c r="G133" s="10"/>
      <c r="H133" s="11"/>
      <c r="I133" s="12" t="n">
        <v>5</v>
      </c>
      <c r="J133" s="12" t="n">
        <v>3</v>
      </c>
      <c r="K133" s="13" t="n">
        <f aca="false">IF(I133="","",I133*2-J133)</f>
        <v>7</v>
      </c>
      <c r="L133" s="9" t="str">
        <f aca="false">IF(K133="","",IF(K133&gt;=8,"1 - quick win",IF(K133&gt;=6,"2 - build early",IF(K133&gt;=4,"3 - slower climb","4 - monitor only"))))</f>
        <v>2 - build early</v>
      </c>
      <c r="M133" s="9" t="s">
        <v>42</v>
      </c>
      <c r="N133" s="9" t="s">
        <v>325</v>
      </c>
      <c r="O133" s="9" t="s">
        <v>120</v>
      </c>
      <c r="P133" s="9"/>
    </row>
    <row r="134" customFormat="false" ht="23.85" hidden="false" customHeight="false" outlineLevel="0" collapsed="false">
      <c r="A134" s="14" t="s">
        <v>326</v>
      </c>
      <c r="B134" s="14" t="s">
        <v>48</v>
      </c>
      <c r="C134" s="14" t="s">
        <v>324</v>
      </c>
      <c r="D134" s="14" t="s">
        <v>117</v>
      </c>
      <c r="E134" s="14" t="s">
        <v>118</v>
      </c>
      <c r="F134" s="14" t="s">
        <v>41</v>
      </c>
      <c r="G134" s="10"/>
      <c r="H134" s="11"/>
      <c r="I134" s="15" t="n">
        <v>5</v>
      </c>
      <c r="J134" s="15" t="n">
        <v>3</v>
      </c>
      <c r="K134" s="16" t="n">
        <f aca="false">IF(I134="","",I134*2-J134)</f>
        <v>7</v>
      </c>
      <c r="L134" s="14" t="str">
        <f aca="false">IF(K134="","",IF(K134&gt;=8,"1 - quick win",IF(K134&gt;=6,"2 - build early",IF(K134&gt;=4,"3 - slower climb","4 - monitor only"))))</f>
        <v>2 - build early</v>
      </c>
      <c r="M134" s="14" t="s">
        <v>42</v>
      </c>
      <c r="N134" s="14" t="s">
        <v>327</v>
      </c>
      <c r="O134" s="14" t="s">
        <v>120</v>
      </c>
      <c r="P134" s="14"/>
    </row>
    <row r="135" customFormat="false" ht="23.85" hidden="false" customHeight="false" outlineLevel="0" collapsed="false">
      <c r="A135" s="9" t="s">
        <v>328</v>
      </c>
      <c r="B135" s="9" t="s">
        <v>48</v>
      </c>
      <c r="C135" s="9" t="s">
        <v>324</v>
      </c>
      <c r="D135" s="9" t="s">
        <v>117</v>
      </c>
      <c r="E135" s="9" t="s">
        <v>58</v>
      </c>
      <c r="F135" s="9" t="s">
        <v>41</v>
      </c>
      <c r="G135" s="10"/>
      <c r="H135" s="11"/>
      <c r="I135" s="12" t="n">
        <v>5</v>
      </c>
      <c r="J135" s="12" t="n">
        <v>3</v>
      </c>
      <c r="K135" s="13" t="n">
        <f aca="false">IF(I135="","",I135*2-J135)</f>
        <v>7</v>
      </c>
      <c r="L135" s="9" t="str">
        <f aca="false">IF(K135="","",IF(K135&gt;=8,"1 - quick win",IF(K135&gt;=6,"2 - build early",IF(K135&gt;=4,"3 - slower climb","4 - monitor only"))))</f>
        <v>2 - build early</v>
      </c>
      <c r="M135" s="9" t="s">
        <v>42</v>
      </c>
      <c r="N135" s="9" t="s">
        <v>329</v>
      </c>
      <c r="O135" s="9" t="s">
        <v>93</v>
      </c>
      <c r="P135" s="9"/>
    </row>
    <row r="136" customFormat="false" ht="23.85" hidden="false" customHeight="false" outlineLevel="0" collapsed="false">
      <c r="A136" s="14" t="s">
        <v>330</v>
      </c>
      <c r="B136" s="14" t="s">
        <v>57</v>
      </c>
      <c r="C136" s="14" t="s">
        <v>324</v>
      </c>
      <c r="D136" s="14" t="s">
        <v>117</v>
      </c>
      <c r="E136" s="14" t="s">
        <v>58</v>
      </c>
      <c r="F136" s="14" t="s">
        <v>41</v>
      </c>
      <c r="G136" s="10"/>
      <c r="H136" s="11"/>
      <c r="I136" s="15" t="n">
        <v>4</v>
      </c>
      <c r="J136" s="15" t="n">
        <v>3</v>
      </c>
      <c r="K136" s="16" t="n">
        <f aca="false">IF(I136="","",I136*2-J136)</f>
        <v>5</v>
      </c>
      <c r="L136" s="14" t="str">
        <f aca="false">IF(K136="","",IF(K136&gt;=8,"1 - quick win",IF(K136&gt;=6,"2 - build early",IF(K136&gt;=4,"3 - slower climb","4 - monitor only"))))</f>
        <v>3 - slower climb</v>
      </c>
      <c r="M136" s="14" t="s">
        <v>42</v>
      </c>
      <c r="N136" s="14" t="s">
        <v>331</v>
      </c>
      <c r="O136" s="14" t="s">
        <v>93</v>
      </c>
      <c r="P136" s="14"/>
    </row>
    <row r="137" customFormat="false" ht="23.85" hidden="false" customHeight="false" outlineLevel="0" collapsed="false">
      <c r="A137" s="9" t="s">
        <v>332</v>
      </c>
      <c r="B137" s="9" t="s">
        <v>48</v>
      </c>
      <c r="C137" s="9" t="s">
        <v>324</v>
      </c>
      <c r="D137" s="9" t="s">
        <v>117</v>
      </c>
      <c r="E137" s="9" t="s">
        <v>118</v>
      </c>
      <c r="F137" s="9" t="s">
        <v>41</v>
      </c>
      <c r="G137" s="10"/>
      <c r="H137" s="11"/>
      <c r="I137" s="12" t="n">
        <v>4</v>
      </c>
      <c r="J137" s="12" t="n">
        <v>2</v>
      </c>
      <c r="K137" s="13" t="n">
        <f aca="false">IF(I137="","",I137*2-J137)</f>
        <v>6</v>
      </c>
      <c r="L137" s="9" t="str">
        <f aca="false">IF(K137="","",IF(K137&gt;=8,"1 - quick win",IF(K137&gt;=6,"2 - build early",IF(K137&gt;=4,"3 - slower climb","4 - monitor only"))))</f>
        <v>2 - build early</v>
      </c>
      <c r="M137" s="9" t="s">
        <v>42</v>
      </c>
      <c r="N137" s="9" t="s">
        <v>333</v>
      </c>
      <c r="O137" s="9" t="s">
        <v>120</v>
      </c>
      <c r="P137" s="9"/>
    </row>
    <row r="138" customFormat="false" ht="23.85" hidden="false" customHeight="false" outlineLevel="0" collapsed="false">
      <c r="A138" s="14" t="s">
        <v>334</v>
      </c>
      <c r="B138" s="14" t="s">
        <v>48</v>
      </c>
      <c r="C138" s="14" t="s">
        <v>324</v>
      </c>
      <c r="D138" s="14" t="s">
        <v>117</v>
      </c>
      <c r="E138" s="14" t="s">
        <v>58</v>
      </c>
      <c r="F138" s="14" t="s">
        <v>41</v>
      </c>
      <c r="G138" s="10"/>
      <c r="H138" s="11"/>
      <c r="I138" s="15" t="n">
        <v>5</v>
      </c>
      <c r="J138" s="15" t="n">
        <v>3</v>
      </c>
      <c r="K138" s="16" t="n">
        <f aca="false">IF(I138="","",I138*2-J138)</f>
        <v>7</v>
      </c>
      <c r="L138" s="14" t="str">
        <f aca="false">IF(K138="","",IF(K138&gt;=8,"1 - quick win",IF(K138&gt;=6,"2 - build early",IF(K138&gt;=4,"3 - slower climb","4 - monitor only"))))</f>
        <v>2 - build early</v>
      </c>
      <c r="M138" s="14" t="s">
        <v>42</v>
      </c>
      <c r="N138" s="14" t="s">
        <v>335</v>
      </c>
      <c r="O138" s="14" t="s">
        <v>336</v>
      </c>
      <c r="P138" s="14"/>
    </row>
    <row r="139" customFormat="false" ht="23.85" hidden="false" customHeight="false" outlineLevel="0" collapsed="false">
      <c r="A139" s="9" t="s">
        <v>337</v>
      </c>
      <c r="B139" s="9" t="s">
        <v>57</v>
      </c>
      <c r="C139" s="9" t="s">
        <v>324</v>
      </c>
      <c r="D139" s="9" t="s">
        <v>117</v>
      </c>
      <c r="E139" s="9" t="s">
        <v>118</v>
      </c>
      <c r="F139" s="9" t="s">
        <v>41</v>
      </c>
      <c r="G139" s="10"/>
      <c r="H139" s="11"/>
      <c r="I139" s="12" t="n">
        <v>4</v>
      </c>
      <c r="J139" s="12" t="n">
        <v>2</v>
      </c>
      <c r="K139" s="13" t="n">
        <f aca="false">IF(I139="","",I139*2-J139)</f>
        <v>6</v>
      </c>
      <c r="L139" s="9" t="str">
        <f aca="false">IF(K139="","",IF(K139&gt;=8,"1 - quick win",IF(K139&gt;=6,"2 - build early",IF(K139&gt;=4,"3 - slower climb","4 - monitor only"))))</f>
        <v>2 - build early</v>
      </c>
      <c r="M139" s="9" t="s">
        <v>42</v>
      </c>
      <c r="N139" s="9" t="s">
        <v>338</v>
      </c>
      <c r="O139" s="9" t="s">
        <v>120</v>
      </c>
      <c r="P139" s="9"/>
    </row>
    <row r="140" customFormat="false" ht="23.85" hidden="false" customHeight="false" outlineLevel="0" collapsed="false">
      <c r="A140" s="14" t="s">
        <v>339</v>
      </c>
      <c r="B140" s="14" t="s">
        <v>112</v>
      </c>
      <c r="C140" s="14" t="s">
        <v>324</v>
      </c>
      <c r="D140" s="14" t="s">
        <v>49</v>
      </c>
      <c r="E140" s="14" t="s">
        <v>40</v>
      </c>
      <c r="F140" s="14" t="s">
        <v>41</v>
      </c>
      <c r="G140" s="10"/>
      <c r="H140" s="11"/>
      <c r="I140" s="15" t="n">
        <v>5</v>
      </c>
      <c r="J140" s="15" t="n">
        <v>2</v>
      </c>
      <c r="K140" s="16" t="n">
        <f aca="false">IF(I140="","",I140*2-J140)</f>
        <v>8</v>
      </c>
      <c r="L140" s="14" t="str">
        <f aca="false">IF(K140="","",IF(K140&gt;=8,"1 - quick win",IF(K140&gt;=6,"2 - build early",IF(K140&gt;=4,"3 - slower climb","4 - monitor only"))))</f>
        <v>1 - quick win</v>
      </c>
      <c r="M140" s="14" t="s">
        <v>42</v>
      </c>
      <c r="N140" s="14" t="s">
        <v>340</v>
      </c>
      <c r="O140" s="14" t="s">
        <v>341</v>
      </c>
      <c r="P140" s="14"/>
    </row>
    <row r="141" customFormat="false" ht="15" hidden="false" customHeight="false" outlineLevel="0" collapsed="false">
      <c r="A141" s="9" t="s">
        <v>342</v>
      </c>
      <c r="B141" s="9" t="s">
        <v>112</v>
      </c>
      <c r="C141" s="9" t="s">
        <v>324</v>
      </c>
      <c r="D141" s="9" t="s">
        <v>49</v>
      </c>
      <c r="E141" s="9" t="s">
        <v>68</v>
      </c>
      <c r="F141" s="9" t="s">
        <v>41</v>
      </c>
      <c r="G141" s="10"/>
      <c r="H141" s="11"/>
      <c r="I141" s="12" t="n">
        <v>4</v>
      </c>
      <c r="J141" s="12" t="n">
        <v>1</v>
      </c>
      <c r="K141" s="13" t="n">
        <f aca="false">IF(I141="","",I141*2-J141)</f>
        <v>7</v>
      </c>
      <c r="L141" s="9" t="str">
        <f aca="false">IF(K141="","",IF(K141&gt;=8,"1 - quick win",IF(K141&gt;=6,"2 - build early",IF(K141&gt;=4,"3 - slower climb","4 - monitor only"))))</f>
        <v>2 - build early</v>
      </c>
      <c r="M141" s="9" t="s">
        <v>42</v>
      </c>
      <c r="N141" s="9" t="s">
        <v>343</v>
      </c>
      <c r="O141" s="9" t="s">
        <v>120</v>
      </c>
      <c r="P141" s="9"/>
    </row>
    <row r="142" customFormat="false" ht="15" hidden="false" customHeight="false" outlineLevel="0" collapsed="false">
      <c r="A142" s="14" t="s">
        <v>344</v>
      </c>
      <c r="B142" s="14" t="s">
        <v>57</v>
      </c>
      <c r="C142" s="14" t="s">
        <v>324</v>
      </c>
      <c r="D142" s="14" t="s">
        <v>49</v>
      </c>
      <c r="E142" s="14" t="s">
        <v>118</v>
      </c>
      <c r="F142" s="14" t="s">
        <v>41</v>
      </c>
      <c r="G142" s="10"/>
      <c r="H142" s="11"/>
      <c r="I142" s="15" t="n">
        <v>4</v>
      </c>
      <c r="J142" s="15" t="n">
        <v>1</v>
      </c>
      <c r="K142" s="16" t="n">
        <f aca="false">IF(I142="","",I142*2-J142)</f>
        <v>7</v>
      </c>
      <c r="L142" s="14" t="str">
        <f aca="false">IF(K142="","",IF(K142&gt;=8,"1 - quick win",IF(K142&gt;=6,"2 - build early",IF(K142&gt;=4,"3 - slower climb","4 - monitor only"))))</f>
        <v>2 - build early</v>
      </c>
      <c r="M142" s="14" t="s">
        <v>42</v>
      </c>
      <c r="N142" s="14" t="s">
        <v>345</v>
      </c>
      <c r="O142" s="14" t="s">
        <v>346</v>
      </c>
      <c r="P142" s="14"/>
    </row>
    <row r="143" customFormat="false" ht="23.85" hidden="false" customHeight="false" outlineLevel="0" collapsed="false">
      <c r="A143" s="9" t="s">
        <v>347</v>
      </c>
      <c r="B143" s="9" t="s">
        <v>57</v>
      </c>
      <c r="C143" s="9" t="s">
        <v>324</v>
      </c>
      <c r="D143" s="9" t="s">
        <v>67</v>
      </c>
      <c r="E143" s="9" t="s">
        <v>118</v>
      </c>
      <c r="F143" s="9" t="s">
        <v>41</v>
      </c>
      <c r="G143" s="10"/>
      <c r="H143" s="11"/>
      <c r="I143" s="12" t="n">
        <v>5</v>
      </c>
      <c r="J143" s="12" t="n">
        <v>1</v>
      </c>
      <c r="K143" s="13" t="n">
        <f aca="false">IF(I143="","",I143*2-J143)</f>
        <v>9</v>
      </c>
      <c r="L143" s="9" t="str">
        <f aca="false">IF(K143="","",IF(K143&gt;=8,"1 - quick win",IF(K143&gt;=6,"2 - build early",IF(K143&gt;=4,"3 - slower climb","4 - monitor only"))))</f>
        <v>1 - quick win</v>
      </c>
      <c r="M143" s="9" t="s">
        <v>42</v>
      </c>
      <c r="N143" s="9" t="s">
        <v>348</v>
      </c>
      <c r="O143" s="9" t="s">
        <v>346</v>
      </c>
      <c r="P143" s="9"/>
    </row>
    <row r="144" customFormat="false" ht="23.85" hidden="false" customHeight="false" outlineLevel="0" collapsed="false">
      <c r="A144" s="14" t="s">
        <v>349</v>
      </c>
      <c r="B144" s="14" t="s">
        <v>57</v>
      </c>
      <c r="C144" s="14" t="s">
        <v>324</v>
      </c>
      <c r="D144" s="14" t="s">
        <v>117</v>
      </c>
      <c r="E144" s="14" t="s">
        <v>118</v>
      </c>
      <c r="F144" s="14" t="s">
        <v>41</v>
      </c>
      <c r="G144" s="10"/>
      <c r="H144" s="11"/>
      <c r="I144" s="15" t="n">
        <v>5</v>
      </c>
      <c r="J144" s="15" t="n">
        <v>1</v>
      </c>
      <c r="K144" s="16" t="n">
        <f aca="false">IF(I144="","",I144*2-J144)</f>
        <v>9</v>
      </c>
      <c r="L144" s="14" t="str">
        <f aca="false">IF(K144="","",IF(K144&gt;=8,"1 - quick win",IF(K144&gt;=6,"2 - build early",IF(K144&gt;=4,"3 - slower climb","4 - monitor only"))))</f>
        <v>1 - quick win</v>
      </c>
      <c r="M144" s="14" t="s">
        <v>42</v>
      </c>
      <c r="N144" s="14" t="s">
        <v>350</v>
      </c>
      <c r="O144" s="14" t="s">
        <v>351</v>
      </c>
      <c r="P144" s="14"/>
    </row>
    <row r="145" customFormat="false" ht="23.85" hidden="false" customHeight="false" outlineLevel="0" collapsed="false">
      <c r="A145" s="9" t="s">
        <v>352</v>
      </c>
      <c r="B145" s="9" t="s">
        <v>57</v>
      </c>
      <c r="C145" s="9" t="s">
        <v>324</v>
      </c>
      <c r="D145" s="9" t="s">
        <v>117</v>
      </c>
      <c r="E145" s="9" t="s">
        <v>173</v>
      </c>
      <c r="F145" s="9" t="s">
        <v>41</v>
      </c>
      <c r="G145" s="10"/>
      <c r="H145" s="11"/>
      <c r="I145" s="12" t="n">
        <v>4</v>
      </c>
      <c r="J145" s="12" t="n">
        <v>1</v>
      </c>
      <c r="K145" s="13" t="n">
        <f aca="false">IF(I145="","",I145*2-J145)</f>
        <v>7</v>
      </c>
      <c r="L145" s="9" t="str">
        <f aca="false">IF(K145="","",IF(K145&gt;=8,"1 - quick win",IF(K145&gt;=6,"2 - build early",IF(K145&gt;=4,"3 - slower climb","4 - monitor only"))))</f>
        <v>2 - build early</v>
      </c>
      <c r="M145" s="9" t="s">
        <v>42</v>
      </c>
      <c r="N145" s="9" t="s">
        <v>353</v>
      </c>
      <c r="O145" s="9" t="s">
        <v>354</v>
      </c>
      <c r="P145" s="9"/>
    </row>
    <row r="146" customFormat="false" ht="23.85" hidden="false" customHeight="false" outlineLevel="0" collapsed="false">
      <c r="A146" s="14" t="s">
        <v>355</v>
      </c>
      <c r="B146" s="14" t="s">
        <v>57</v>
      </c>
      <c r="C146" s="14" t="s">
        <v>324</v>
      </c>
      <c r="D146" s="14" t="s">
        <v>49</v>
      </c>
      <c r="E146" s="14" t="s">
        <v>173</v>
      </c>
      <c r="F146" s="14" t="s">
        <v>41</v>
      </c>
      <c r="G146" s="10"/>
      <c r="H146" s="11"/>
      <c r="I146" s="15" t="n">
        <v>4</v>
      </c>
      <c r="J146" s="15" t="n">
        <v>1</v>
      </c>
      <c r="K146" s="16" t="n">
        <f aca="false">IF(I146="","",I146*2-J146)</f>
        <v>7</v>
      </c>
      <c r="L146" s="14" t="str">
        <f aca="false">IF(K146="","",IF(K146&gt;=8,"1 - quick win",IF(K146&gt;=6,"2 - build early",IF(K146&gt;=4,"3 - slower climb","4 - monitor only"))))</f>
        <v>2 - build early</v>
      </c>
      <c r="M146" s="14" t="s">
        <v>42</v>
      </c>
      <c r="N146" s="14" t="s">
        <v>356</v>
      </c>
      <c r="O146" s="14" t="s">
        <v>354</v>
      </c>
      <c r="P146" s="14"/>
    </row>
    <row r="147" customFormat="false" ht="15" hidden="false" customHeight="false" outlineLevel="0" collapsed="false">
      <c r="A147" s="9" t="s">
        <v>357</v>
      </c>
      <c r="B147" s="9" t="s">
        <v>57</v>
      </c>
      <c r="C147" s="9" t="s">
        <v>324</v>
      </c>
      <c r="D147" s="9" t="s">
        <v>67</v>
      </c>
      <c r="E147" s="9" t="s">
        <v>118</v>
      </c>
      <c r="F147" s="9" t="s">
        <v>41</v>
      </c>
      <c r="G147" s="10"/>
      <c r="H147" s="11"/>
      <c r="I147" s="12" t="n">
        <v>4</v>
      </c>
      <c r="J147" s="12" t="n">
        <v>1</v>
      </c>
      <c r="K147" s="13" t="n">
        <f aca="false">IF(I147="","",I147*2-J147)</f>
        <v>7</v>
      </c>
      <c r="L147" s="9" t="str">
        <f aca="false">IF(K147="","",IF(K147&gt;=8,"1 - quick win",IF(K147&gt;=6,"2 - build early",IF(K147&gt;=4,"3 - slower climb","4 - monitor only"))))</f>
        <v>2 - build early</v>
      </c>
      <c r="M147" s="9" t="s">
        <v>42</v>
      </c>
      <c r="N147" s="9" t="s">
        <v>358</v>
      </c>
      <c r="O147" s="9" t="s">
        <v>354</v>
      </c>
      <c r="P147" s="9"/>
    </row>
    <row r="148" customFormat="false" ht="23.85" hidden="false" customHeight="false" outlineLevel="0" collapsed="false">
      <c r="A148" s="14" t="s">
        <v>359</v>
      </c>
      <c r="B148" s="14" t="s">
        <v>57</v>
      </c>
      <c r="C148" s="14" t="s">
        <v>324</v>
      </c>
      <c r="D148" s="14" t="s">
        <v>117</v>
      </c>
      <c r="E148" s="14" t="s">
        <v>118</v>
      </c>
      <c r="F148" s="14" t="s">
        <v>41</v>
      </c>
      <c r="G148" s="10"/>
      <c r="H148" s="11"/>
      <c r="I148" s="15" t="n">
        <v>3</v>
      </c>
      <c r="J148" s="15" t="n">
        <v>1</v>
      </c>
      <c r="K148" s="16" t="n">
        <f aca="false">IF(I148="","",I148*2-J148)</f>
        <v>5</v>
      </c>
      <c r="L148" s="14" t="str">
        <f aca="false">IF(K148="","",IF(K148&gt;=8,"1 - quick win",IF(K148&gt;=6,"2 - build early",IF(K148&gt;=4,"3 - slower climb","4 - monitor only"))))</f>
        <v>3 - slower climb</v>
      </c>
      <c r="M148" s="14" t="s">
        <v>42</v>
      </c>
      <c r="N148" s="14" t="s">
        <v>360</v>
      </c>
      <c r="O148" s="14" t="s">
        <v>346</v>
      </c>
      <c r="P148" s="14"/>
    </row>
    <row r="149" customFormat="false" ht="23.85" hidden="false" customHeight="false" outlineLevel="0" collapsed="false">
      <c r="A149" s="9" t="s">
        <v>361</v>
      </c>
      <c r="B149" s="9" t="s">
        <v>48</v>
      </c>
      <c r="C149" s="9" t="s">
        <v>324</v>
      </c>
      <c r="D149" s="9" t="s">
        <v>132</v>
      </c>
      <c r="E149" s="9" t="s">
        <v>118</v>
      </c>
      <c r="F149" s="9" t="s">
        <v>41</v>
      </c>
      <c r="G149" s="10"/>
      <c r="H149" s="11"/>
      <c r="I149" s="12" t="n">
        <v>5</v>
      </c>
      <c r="J149" s="12" t="n">
        <v>1</v>
      </c>
      <c r="K149" s="13" t="n">
        <f aca="false">IF(I149="","",I149*2-J149)</f>
        <v>9</v>
      </c>
      <c r="L149" s="9" t="str">
        <f aca="false">IF(K149="","",IF(K149&gt;=8,"1 - quick win",IF(K149&gt;=6,"2 - build early",IF(K149&gt;=4,"3 - slower climb","4 - monitor only"))))</f>
        <v>1 - quick win</v>
      </c>
      <c r="M149" s="9" t="s">
        <v>42</v>
      </c>
      <c r="N149" s="9" t="s">
        <v>362</v>
      </c>
      <c r="O149" s="9" t="s">
        <v>363</v>
      </c>
      <c r="P149" s="9"/>
    </row>
    <row r="150" customFormat="false" ht="23.85" hidden="false" customHeight="false" outlineLevel="0" collapsed="false">
      <c r="A150" s="14" t="s">
        <v>364</v>
      </c>
      <c r="B150" s="14" t="s">
        <v>57</v>
      </c>
      <c r="C150" s="14" t="s">
        <v>324</v>
      </c>
      <c r="D150" s="14" t="s">
        <v>132</v>
      </c>
      <c r="E150" s="14" t="s">
        <v>118</v>
      </c>
      <c r="F150" s="14" t="s">
        <v>41</v>
      </c>
      <c r="G150" s="10"/>
      <c r="H150" s="11"/>
      <c r="I150" s="15" t="n">
        <v>4</v>
      </c>
      <c r="J150" s="15" t="n">
        <v>1</v>
      </c>
      <c r="K150" s="16" t="n">
        <f aca="false">IF(I150="","",I150*2-J150)</f>
        <v>7</v>
      </c>
      <c r="L150" s="14" t="str">
        <f aca="false">IF(K150="","",IF(K150&gt;=8,"1 - quick win",IF(K150&gt;=6,"2 - build early",IF(K150&gt;=4,"3 - slower climb","4 - monitor only"))))</f>
        <v>2 - build early</v>
      </c>
      <c r="M150" s="14" t="s">
        <v>42</v>
      </c>
      <c r="N150" s="14" t="s">
        <v>365</v>
      </c>
      <c r="O150" s="14" t="s">
        <v>363</v>
      </c>
      <c r="P150" s="14"/>
    </row>
    <row r="151" customFormat="false" ht="23.85" hidden="false" customHeight="false" outlineLevel="0" collapsed="false">
      <c r="A151" s="9" t="s">
        <v>366</v>
      </c>
      <c r="B151" s="9" t="s">
        <v>57</v>
      </c>
      <c r="C151" s="9" t="s">
        <v>324</v>
      </c>
      <c r="D151" s="9" t="s">
        <v>132</v>
      </c>
      <c r="E151" s="9" t="s">
        <v>118</v>
      </c>
      <c r="F151" s="9" t="s">
        <v>41</v>
      </c>
      <c r="G151" s="10"/>
      <c r="H151" s="11"/>
      <c r="I151" s="12" t="n">
        <v>3</v>
      </c>
      <c r="J151" s="12" t="n">
        <v>1</v>
      </c>
      <c r="K151" s="13" t="n">
        <f aca="false">IF(I151="","",I151*2-J151)</f>
        <v>5</v>
      </c>
      <c r="L151" s="9" t="str">
        <f aca="false">IF(K151="","",IF(K151&gt;=8,"1 - quick win",IF(K151&gt;=6,"2 - build early",IF(K151&gt;=4,"3 - slower climb","4 - monitor only"))))</f>
        <v>3 - slower climb</v>
      </c>
      <c r="M151" s="9" t="s">
        <v>54</v>
      </c>
      <c r="N151" s="9" t="s">
        <v>367</v>
      </c>
      <c r="O151" s="9" t="s">
        <v>363</v>
      </c>
      <c r="P151" s="9"/>
    </row>
    <row r="152" customFormat="false" ht="15" hidden="false" customHeight="false" outlineLevel="0" collapsed="false">
      <c r="A152" s="14" t="s">
        <v>368</v>
      </c>
      <c r="B152" s="14" t="s">
        <v>57</v>
      </c>
      <c r="C152" s="14" t="s">
        <v>324</v>
      </c>
      <c r="D152" s="14" t="s">
        <v>49</v>
      </c>
      <c r="E152" s="14" t="s">
        <v>118</v>
      </c>
      <c r="F152" s="14" t="s">
        <v>41</v>
      </c>
      <c r="G152" s="10"/>
      <c r="H152" s="11"/>
      <c r="I152" s="15" t="n">
        <v>3</v>
      </c>
      <c r="J152" s="15" t="n">
        <v>1</v>
      </c>
      <c r="K152" s="16" t="n">
        <f aca="false">IF(I152="","",I152*2-J152)</f>
        <v>5</v>
      </c>
      <c r="L152" s="14" t="str">
        <f aca="false">IF(K152="","",IF(K152&gt;=8,"1 - quick win",IF(K152&gt;=6,"2 - build early",IF(K152&gt;=4,"3 - slower climb","4 - monitor only"))))</f>
        <v>3 - slower climb</v>
      </c>
      <c r="M152" s="14" t="s">
        <v>54</v>
      </c>
      <c r="N152" s="14" t="s">
        <v>369</v>
      </c>
      <c r="O152" s="14" t="s">
        <v>363</v>
      </c>
      <c r="P152" s="14"/>
    </row>
    <row r="153" customFormat="false" ht="15" hidden="false" customHeight="false" outlineLevel="0" collapsed="false">
      <c r="A153" s="9" t="s">
        <v>370</v>
      </c>
      <c r="B153" s="9" t="s">
        <v>57</v>
      </c>
      <c r="C153" s="9" t="s">
        <v>324</v>
      </c>
      <c r="D153" s="9" t="s">
        <v>49</v>
      </c>
      <c r="E153" s="9" t="s">
        <v>118</v>
      </c>
      <c r="F153" s="9" t="s">
        <v>41</v>
      </c>
      <c r="G153" s="10"/>
      <c r="H153" s="11"/>
      <c r="I153" s="12" t="n">
        <v>4</v>
      </c>
      <c r="J153" s="12" t="n">
        <v>1</v>
      </c>
      <c r="K153" s="13" t="n">
        <f aca="false">IF(I153="","",I153*2-J153)</f>
        <v>7</v>
      </c>
      <c r="L153" s="9" t="str">
        <f aca="false">IF(K153="","",IF(K153&gt;=8,"1 - quick win",IF(K153&gt;=6,"2 - build early",IF(K153&gt;=4,"3 - slower climb","4 - monitor only"))))</f>
        <v>2 - build early</v>
      </c>
      <c r="M153" s="9" t="s">
        <v>42</v>
      </c>
      <c r="N153" s="9" t="s">
        <v>371</v>
      </c>
      <c r="O153" s="9" t="s">
        <v>372</v>
      </c>
      <c r="P153" s="9"/>
    </row>
    <row r="154" customFormat="false" ht="15" hidden="false" customHeight="false" outlineLevel="0" collapsed="false">
      <c r="A154" s="14" t="s">
        <v>373</v>
      </c>
      <c r="B154" s="14" t="s">
        <v>57</v>
      </c>
      <c r="C154" s="14" t="s">
        <v>324</v>
      </c>
      <c r="D154" s="14" t="s">
        <v>132</v>
      </c>
      <c r="E154" s="14" t="s">
        <v>173</v>
      </c>
      <c r="F154" s="14" t="s">
        <v>41</v>
      </c>
      <c r="G154" s="10"/>
      <c r="H154" s="11"/>
      <c r="I154" s="15" t="n">
        <v>4</v>
      </c>
      <c r="J154" s="15" t="n">
        <v>1</v>
      </c>
      <c r="K154" s="16" t="n">
        <f aca="false">IF(I154="","",I154*2-J154)</f>
        <v>7</v>
      </c>
      <c r="L154" s="14" t="str">
        <f aca="false">IF(K154="","",IF(K154&gt;=8,"1 - quick win",IF(K154&gt;=6,"2 - build early",IF(K154&gt;=4,"3 - slower climb","4 - monitor only"))))</f>
        <v>2 - build early</v>
      </c>
      <c r="M154" s="14" t="s">
        <v>42</v>
      </c>
      <c r="N154" s="14" t="s">
        <v>374</v>
      </c>
      <c r="O154" s="14" t="s">
        <v>372</v>
      </c>
      <c r="P154" s="14"/>
    </row>
    <row r="155" customFormat="false" ht="15" hidden="false" customHeight="false" outlineLevel="0" collapsed="false">
      <c r="A155" s="9" t="s">
        <v>375</v>
      </c>
      <c r="B155" s="9" t="s">
        <v>57</v>
      </c>
      <c r="C155" s="9" t="s">
        <v>324</v>
      </c>
      <c r="D155" s="9" t="s">
        <v>49</v>
      </c>
      <c r="E155" s="9" t="s">
        <v>173</v>
      </c>
      <c r="F155" s="9" t="s">
        <v>41</v>
      </c>
      <c r="G155" s="10"/>
      <c r="H155" s="11"/>
      <c r="I155" s="12" t="n">
        <v>3</v>
      </c>
      <c r="J155" s="12" t="n">
        <v>1</v>
      </c>
      <c r="K155" s="13" t="n">
        <f aca="false">IF(I155="","",I155*2-J155)</f>
        <v>5</v>
      </c>
      <c r="L155" s="9" t="str">
        <f aca="false">IF(K155="","",IF(K155&gt;=8,"1 - quick win",IF(K155&gt;=6,"2 - build early",IF(K155&gt;=4,"3 - slower climb","4 - monitor only"))))</f>
        <v>3 - slower climb</v>
      </c>
      <c r="M155" s="9" t="s">
        <v>54</v>
      </c>
      <c r="N155" s="9" t="s">
        <v>376</v>
      </c>
      <c r="O155" s="9" t="s">
        <v>372</v>
      </c>
      <c r="P155" s="9"/>
    </row>
    <row r="156" customFormat="false" ht="15" hidden="false" customHeight="false" outlineLevel="0" collapsed="false">
      <c r="A156" s="14" t="s">
        <v>377</v>
      </c>
      <c r="B156" s="14" t="s">
        <v>57</v>
      </c>
      <c r="C156" s="14" t="s">
        <v>324</v>
      </c>
      <c r="D156" s="14" t="s">
        <v>49</v>
      </c>
      <c r="E156" s="14" t="s">
        <v>173</v>
      </c>
      <c r="F156" s="14" t="s">
        <v>41</v>
      </c>
      <c r="G156" s="10"/>
      <c r="H156" s="11"/>
      <c r="I156" s="15" t="n">
        <v>3</v>
      </c>
      <c r="J156" s="15" t="n">
        <v>1</v>
      </c>
      <c r="K156" s="16" t="n">
        <f aca="false">IF(I156="","",I156*2-J156)</f>
        <v>5</v>
      </c>
      <c r="L156" s="14" t="str">
        <f aca="false">IF(K156="","",IF(K156&gt;=8,"1 - quick win",IF(K156&gt;=6,"2 - build early",IF(K156&gt;=4,"3 - slower climb","4 - monitor only"))))</f>
        <v>3 - slower climb</v>
      </c>
      <c r="M156" s="14" t="s">
        <v>54</v>
      </c>
      <c r="N156" s="14" t="s">
        <v>378</v>
      </c>
      <c r="O156" s="14" t="s">
        <v>372</v>
      </c>
      <c r="P156" s="14"/>
    </row>
    <row r="157" customFormat="false" ht="23.85" hidden="false" customHeight="false" outlineLevel="0" collapsed="false">
      <c r="A157" s="9" t="s">
        <v>379</v>
      </c>
      <c r="B157" s="9" t="s">
        <v>57</v>
      </c>
      <c r="C157" s="9" t="s">
        <v>324</v>
      </c>
      <c r="D157" s="9" t="s">
        <v>132</v>
      </c>
      <c r="E157" s="9" t="s">
        <v>118</v>
      </c>
      <c r="F157" s="9" t="s">
        <v>41</v>
      </c>
      <c r="G157" s="10"/>
      <c r="H157" s="11"/>
      <c r="I157" s="12" t="n">
        <v>4</v>
      </c>
      <c r="J157" s="12" t="n">
        <v>1</v>
      </c>
      <c r="K157" s="13" t="n">
        <f aca="false">IF(I157="","",I157*2-J157)</f>
        <v>7</v>
      </c>
      <c r="L157" s="9" t="str">
        <f aca="false">IF(K157="","",IF(K157&gt;=8,"1 - quick win",IF(K157&gt;=6,"2 - build early",IF(K157&gt;=4,"3 - slower climb","4 - monitor only"))))</f>
        <v>2 - build early</v>
      </c>
      <c r="M157" s="9" t="s">
        <v>42</v>
      </c>
      <c r="N157" s="9" t="s">
        <v>380</v>
      </c>
      <c r="O157" s="9" t="s">
        <v>372</v>
      </c>
      <c r="P157" s="9"/>
    </row>
    <row r="158" customFormat="false" ht="23.85" hidden="false" customHeight="false" outlineLevel="0" collapsed="false">
      <c r="A158" s="14" t="s">
        <v>381</v>
      </c>
      <c r="B158" s="14" t="s">
        <v>57</v>
      </c>
      <c r="C158" s="14" t="s">
        <v>324</v>
      </c>
      <c r="D158" s="14" t="s">
        <v>49</v>
      </c>
      <c r="E158" s="14" t="s">
        <v>118</v>
      </c>
      <c r="F158" s="14" t="s">
        <v>41</v>
      </c>
      <c r="G158" s="10"/>
      <c r="H158" s="11"/>
      <c r="I158" s="15" t="n">
        <v>4</v>
      </c>
      <c r="J158" s="15" t="n">
        <v>2</v>
      </c>
      <c r="K158" s="16" t="n">
        <f aca="false">IF(I158="","",I158*2-J158)</f>
        <v>6</v>
      </c>
      <c r="L158" s="14" t="str">
        <f aca="false">IF(K158="","",IF(K158&gt;=8,"1 - quick win",IF(K158&gt;=6,"2 - build early",IF(K158&gt;=4,"3 - slower climb","4 - monitor only"))))</f>
        <v>2 - build early</v>
      </c>
      <c r="M158" s="14" t="s">
        <v>42</v>
      </c>
      <c r="N158" s="14" t="s">
        <v>382</v>
      </c>
      <c r="O158" s="14" t="s">
        <v>383</v>
      </c>
      <c r="P158" s="14"/>
    </row>
    <row r="159" customFormat="false" ht="23.85" hidden="false" customHeight="false" outlineLevel="0" collapsed="false">
      <c r="A159" s="9" t="s">
        <v>384</v>
      </c>
      <c r="B159" s="9" t="s">
        <v>112</v>
      </c>
      <c r="C159" s="9" t="s">
        <v>385</v>
      </c>
      <c r="D159" s="9" t="s">
        <v>49</v>
      </c>
      <c r="E159" s="9" t="s">
        <v>118</v>
      </c>
      <c r="F159" s="9" t="s">
        <v>41</v>
      </c>
      <c r="G159" s="10"/>
      <c r="H159" s="11"/>
      <c r="I159" s="12" t="n">
        <v>5</v>
      </c>
      <c r="J159" s="12" t="n">
        <v>2</v>
      </c>
      <c r="K159" s="13" t="n">
        <f aca="false">IF(I159="","",I159*2-J159)</f>
        <v>8</v>
      </c>
      <c r="L159" s="9" t="str">
        <f aca="false">IF(K159="","",IF(K159&gt;=8,"1 - quick win",IF(K159&gt;=6,"2 - build early",IF(K159&gt;=4,"3 - slower climb","4 - monitor only"))))</f>
        <v>1 - quick win</v>
      </c>
      <c r="M159" s="9" t="s">
        <v>42</v>
      </c>
      <c r="N159" s="9" t="s">
        <v>386</v>
      </c>
      <c r="O159" s="9" t="s">
        <v>387</v>
      </c>
      <c r="P159" s="9"/>
    </row>
    <row r="160" customFormat="false" ht="23.85" hidden="false" customHeight="false" outlineLevel="0" collapsed="false">
      <c r="A160" s="14" t="s">
        <v>388</v>
      </c>
      <c r="B160" s="14" t="s">
        <v>57</v>
      </c>
      <c r="C160" s="14" t="s">
        <v>385</v>
      </c>
      <c r="D160" s="14" t="s">
        <v>49</v>
      </c>
      <c r="E160" s="14" t="s">
        <v>118</v>
      </c>
      <c r="F160" s="14" t="s">
        <v>41</v>
      </c>
      <c r="G160" s="10"/>
      <c r="H160" s="11"/>
      <c r="I160" s="15" t="n">
        <v>5</v>
      </c>
      <c r="J160" s="15" t="n">
        <v>1</v>
      </c>
      <c r="K160" s="16" t="n">
        <f aca="false">IF(I160="","",I160*2-J160)</f>
        <v>9</v>
      </c>
      <c r="L160" s="14" t="str">
        <f aca="false">IF(K160="","",IF(K160&gt;=8,"1 - quick win",IF(K160&gt;=6,"2 - build early",IF(K160&gt;=4,"3 - slower climb","4 - monitor only"))))</f>
        <v>1 - quick win</v>
      </c>
      <c r="M160" s="14" t="s">
        <v>42</v>
      </c>
      <c r="N160" s="14" t="s">
        <v>389</v>
      </c>
      <c r="O160" s="14" t="s">
        <v>387</v>
      </c>
      <c r="P160" s="14"/>
    </row>
    <row r="161" customFormat="false" ht="15" hidden="false" customHeight="false" outlineLevel="0" collapsed="false">
      <c r="A161" s="9" t="s">
        <v>390</v>
      </c>
      <c r="B161" s="9" t="s">
        <v>48</v>
      </c>
      <c r="C161" s="9" t="s">
        <v>385</v>
      </c>
      <c r="D161" s="9" t="s">
        <v>49</v>
      </c>
      <c r="E161" s="9" t="s">
        <v>118</v>
      </c>
      <c r="F161" s="9" t="s">
        <v>41</v>
      </c>
      <c r="G161" s="10"/>
      <c r="H161" s="11"/>
      <c r="I161" s="12" t="n">
        <v>5</v>
      </c>
      <c r="J161" s="12" t="n">
        <v>2</v>
      </c>
      <c r="K161" s="13" t="n">
        <f aca="false">IF(I161="","",I161*2-J161)</f>
        <v>8</v>
      </c>
      <c r="L161" s="9" t="str">
        <f aca="false">IF(K161="","",IF(K161&gt;=8,"1 - quick win",IF(K161&gt;=6,"2 - build early",IF(K161&gt;=4,"3 - slower climb","4 - monitor only"))))</f>
        <v>1 - quick win</v>
      </c>
      <c r="M161" s="9" t="s">
        <v>42</v>
      </c>
      <c r="N161" s="9" t="s">
        <v>391</v>
      </c>
      <c r="O161" s="9" t="s">
        <v>387</v>
      </c>
      <c r="P161" s="9"/>
    </row>
    <row r="162" customFormat="false" ht="15" hidden="false" customHeight="false" outlineLevel="0" collapsed="false">
      <c r="A162" s="14" t="s">
        <v>392</v>
      </c>
      <c r="B162" s="14" t="s">
        <v>57</v>
      </c>
      <c r="C162" s="14" t="s">
        <v>385</v>
      </c>
      <c r="D162" s="14" t="s">
        <v>49</v>
      </c>
      <c r="E162" s="14" t="s">
        <v>173</v>
      </c>
      <c r="F162" s="14" t="s">
        <v>41</v>
      </c>
      <c r="G162" s="10"/>
      <c r="H162" s="11"/>
      <c r="I162" s="15" t="n">
        <v>3</v>
      </c>
      <c r="J162" s="15" t="n">
        <v>1</v>
      </c>
      <c r="K162" s="16" t="n">
        <f aca="false">IF(I162="","",I162*2-J162)</f>
        <v>5</v>
      </c>
      <c r="L162" s="14" t="str">
        <f aca="false">IF(K162="","",IF(K162&gt;=8,"1 - quick win",IF(K162&gt;=6,"2 - build early",IF(K162&gt;=4,"3 - slower climb","4 - monitor only"))))</f>
        <v>3 - slower climb</v>
      </c>
      <c r="M162" s="14" t="s">
        <v>42</v>
      </c>
      <c r="N162" s="14" t="s">
        <v>393</v>
      </c>
      <c r="O162" s="14" t="s">
        <v>387</v>
      </c>
      <c r="P162" s="14"/>
    </row>
    <row r="163" customFormat="false" ht="15" hidden="false" customHeight="false" outlineLevel="0" collapsed="false">
      <c r="A163" s="9" t="s">
        <v>394</v>
      </c>
      <c r="B163" s="9" t="s">
        <v>57</v>
      </c>
      <c r="C163" s="9" t="s">
        <v>385</v>
      </c>
      <c r="D163" s="9" t="s">
        <v>49</v>
      </c>
      <c r="E163" s="9" t="s">
        <v>173</v>
      </c>
      <c r="F163" s="9" t="s">
        <v>41</v>
      </c>
      <c r="G163" s="10"/>
      <c r="H163" s="11"/>
      <c r="I163" s="12" t="n">
        <v>3</v>
      </c>
      <c r="J163" s="12" t="n">
        <v>1</v>
      </c>
      <c r="K163" s="13" t="n">
        <f aca="false">IF(I163="","",I163*2-J163)</f>
        <v>5</v>
      </c>
      <c r="L163" s="9" t="str">
        <f aca="false">IF(K163="","",IF(K163&gt;=8,"1 - quick win",IF(K163&gt;=6,"2 - build early",IF(K163&gt;=4,"3 - slower climb","4 - monitor only"))))</f>
        <v>3 - slower climb</v>
      </c>
      <c r="M163" s="9" t="s">
        <v>54</v>
      </c>
      <c r="N163" s="9" t="s">
        <v>395</v>
      </c>
      <c r="O163" s="9" t="s">
        <v>387</v>
      </c>
      <c r="P163" s="9"/>
    </row>
    <row r="164" customFormat="false" ht="15" hidden="false" customHeight="false" outlineLevel="0" collapsed="false">
      <c r="A164" s="14" t="s">
        <v>396</v>
      </c>
      <c r="B164" s="14" t="s">
        <v>112</v>
      </c>
      <c r="C164" s="14" t="s">
        <v>385</v>
      </c>
      <c r="D164" s="14" t="s">
        <v>132</v>
      </c>
      <c r="E164" s="14" t="s">
        <v>118</v>
      </c>
      <c r="F164" s="14" t="s">
        <v>41</v>
      </c>
      <c r="G164" s="10"/>
      <c r="H164" s="11"/>
      <c r="I164" s="15" t="n">
        <v>5</v>
      </c>
      <c r="J164" s="15" t="n">
        <v>3</v>
      </c>
      <c r="K164" s="16" t="n">
        <f aca="false">IF(I164="","",I164*2-J164)</f>
        <v>7</v>
      </c>
      <c r="L164" s="14" t="str">
        <f aca="false">IF(K164="","",IF(K164&gt;=8,"1 - quick win",IF(K164&gt;=6,"2 - build early",IF(K164&gt;=4,"3 - slower climb","4 - monitor only"))))</f>
        <v>2 - build early</v>
      </c>
      <c r="M164" s="14" t="s">
        <v>42</v>
      </c>
      <c r="N164" s="14" t="s">
        <v>397</v>
      </c>
      <c r="O164" s="14" t="s">
        <v>398</v>
      </c>
      <c r="P164" s="14"/>
    </row>
    <row r="165" customFormat="false" ht="15" hidden="false" customHeight="false" outlineLevel="0" collapsed="false">
      <c r="A165" s="9" t="s">
        <v>399</v>
      </c>
      <c r="B165" s="9" t="s">
        <v>112</v>
      </c>
      <c r="C165" s="9" t="s">
        <v>385</v>
      </c>
      <c r="D165" s="9" t="s">
        <v>132</v>
      </c>
      <c r="E165" s="9" t="s">
        <v>118</v>
      </c>
      <c r="F165" s="9" t="s">
        <v>41</v>
      </c>
      <c r="G165" s="10"/>
      <c r="H165" s="11"/>
      <c r="I165" s="12" t="n">
        <v>5</v>
      </c>
      <c r="J165" s="12" t="n">
        <v>3</v>
      </c>
      <c r="K165" s="13" t="n">
        <f aca="false">IF(I165="","",I165*2-J165)</f>
        <v>7</v>
      </c>
      <c r="L165" s="9" t="str">
        <f aca="false">IF(K165="","",IF(K165&gt;=8,"1 - quick win",IF(K165&gt;=6,"2 - build early",IF(K165&gt;=4,"3 - slower climb","4 - monitor only"))))</f>
        <v>2 - build early</v>
      </c>
      <c r="M165" s="9" t="s">
        <v>42</v>
      </c>
      <c r="N165" s="9" t="s">
        <v>400</v>
      </c>
      <c r="O165" s="9" t="s">
        <v>398</v>
      </c>
      <c r="P165" s="9"/>
    </row>
    <row r="166" customFormat="false" ht="15" hidden="false" customHeight="false" outlineLevel="0" collapsed="false">
      <c r="A166" s="14" t="s">
        <v>401</v>
      </c>
      <c r="B166" s="14" t="s">
        <v>112</v>
      </c>
      <c r="C166" s="14" t="s">
        <v>385</v>
      </c>
      <c r="D166" s="14" t="s">
        <v>132</v>
      </c>
      <c r="E166" s="14" t="s">
        <v>118</v>
      </c>
      <c r="F166" s="14" t="s">
        <v>41</v>
      </c>
      <c r="G166" s="10"/>
      <c r="H166" s="11"/>
      <c r="I166" s="15" t="n">
        <v>5</v>
      </c>
      <c r="J166" s="15" t="n">
        <v>2</v>
      </c>
      <c r="K166" s="16" t="n">
        <f aca="false">IF(I166="","",I166*2-J166)</f>
        <v>8</v>
      </c>
      <c r="L166" s="14" t="str">
        <f aca="false">IF(K166="","",IF(K166&gt;=8,"1 - quick win",IF(K166&gt;=6,"2 - build early",IF(K166&gt;=4,"3 - slower climb","4 - monitor only"))))</f>
        <v>1 - quick win</v>
      </c>
      <c r="M166" s="14" t="s">
        <v>42</v>
      </c>
      <c r="N166" s="14" t="s">
        <v>402</v>
      </c>
      <c r="O166" s="14" t="s">
        <v>398</v>
      </c>
      <c r="P166" s="14"/>
    </row>
    <row r="167" customFormat="false" ht="23.85" hidden="false" customHeight="false" outlineLevel="0" collapsed="false">
      <c r="A167" s="9" t="s">
        <v>403</v>
      </c>
      <c r="B167" s="9" t="s">
        <v>57</v>
      </c>
      <c r="C167" s="9" t="s">
        <v>385</v>
      </c>
      <c r="D167" s="9" t="s">
        <v>132</v>
      </c>
      <c r="E167" s="9" t="s">
        <v>118</v>
      </c>
      <c r="F167" s="9" t="s">
        <v>41</v>
      </c>
      <c r="G167" s="10"/>
      <c r="H167" s="11"/>
      <c r="I167" s="12" t="n">
        <v>5</v>
      </c>
      <c r="J167" s="12" t="n">
        <v>2</v>
      </c>
      <c r="K167" s="13" t="n">
        <f aca="false">IF(I167="","",I167*2-J167)</f>
        <v>8</v>
      </c>
      <c r="L167" s="9" t="str">
        <f aca="false">IF(K167="","",IF(K167&gt;=8,"1 - quick win",IF(K167&gt;=6,"2 - build early",IF(K167&gt;=4,"3 - slower climb","4 - monitor only"))))</f>
        <v>1 - quick win</v>
      </c>
      <c r="M167" s="9" t="s">
        <v>42</v>
      </c>
      <c r="N167" s="9" t="s">
        <v>404</v>
      </c>
      <c r="O167" s="9" t="s">
        <v>398</v>
      </c>
      <c r="P167" s="9"/>
    </row>
    <row r="168" customFormat="false" ht="23.85" hidden="false" customHeight="false" outlineLevel="0" collapsed="false">
      <c r="A168" s="14" t="s">
        <v>405</v>
      </c>
      <c r="B168" s="14" t="s">
        <v>57</v>
      </c>
      <c r="C168" s="14" t="s">
        <v>385</v>
      </c>
      <c r="D168" s="14" t="s">
        <v>132</v>
      </c>
      <c r="E168" s="14" t="s">
        <v>118</v>
      </c>
      <c r="F168" s="14" t="s">
        <v>41</v>
      </c>
      <c r="G168" s="10"/>
      <c r="H168" s="11"/>
      <c r="I168" s="15" t="n">
        <v>5</v>
      </c>
      <c r="J168" s="15" t="n">
        <v>1</v>
      </c>
      <c r="K168" s="16" t="n">
        <f aca="false">IF(I168="","",I168*2-J168)</f>
        <v>9</v>
      </c>
      <c r="L168" s="14" t="str">
        <f aca="false">IF(K168="","",IF(K168&gt;=8,"1 - quick win",IF(K168&gt;=6,"2 - build early",IF(K168&gt;=4,"3 - slower climb","4 - monitor only"))))</f>
        <v>1 - quick win</v>
      </c>
      <c r="M168" s="14" t="s">
        <v>42</v>
      </c>
      <c r="N168" s="14" t="s">
        <v>406</v>
      </c>
      <c r="O168" s="14" t="s">
        <v>407</v>
      </c>
      <c r="P168" s="14"/>
    </row>
    <row r="169" customFormat="false" ht="23.85" hidden="false" customHeight="false" outlineLevel="0" collapsed="false">
      <c r="A169" s="9" t="s">
        <v>408</v>
      </c>
      <c r="B169" s="9" t="s">
        <v>57</v>
      </c>
      <c r="C169" s="9" t="s">
        <v>385</v>
      </c>
      <c r="D169" s="9" t="s">
        <v>132</v>
      </c>
      <c r="E169" s="9" t="s">
        <v>118</v>
      </c>
      <c r="F169" s="9" t="s">
        <v>41</v>
      </c>
      <c r="G169" s="10"/>
      <c r="H169" s="11"/>
      <c r="I169" s="12" t="n">
        <v>4</v>
      </c>
      <c r="J169" s="12" t="n">
        <v>1</v>
      </c>
      <c r="K169" s="13" t="n">
        <f aca="false">IF(I169="","",I169*2-J169)</f>
        <v>7</v>
      </c>
      <c r="L169" s="9" t="str">
        <f aca="false">IF(K169="","",IF(K169&gt;=8,"1 - quick win",IF(K169&gt;=6,"2 - build early",IF(K169&gt;=4,"3 - slower climb","4 - monitor only"))))</f>
        <v>2 - build early</v>
      </c>
      <c r="M169" s="9" t="s">
        <v>42</v>
      </c>
      <c r="N169" s="9" t="s">
        <v>409</v>
      </c>
      <c r="O169" s="9" t="s">
        <v>407</v>
      </c>
      <c r="P169" s="9"/>
    </row>
    <row r="170" customFormat="false" ht="23.85" hidden="false" customHeight="false" outlineLevel="0" collapsed="false">
      <c r="A170" s="14" t="s">
        <v>410</v>
      </c>
      <c r="B170" s="14" t="s">
        <v>57</v>
      </c>
      <c r="C170" s="14" t="s">
        <v>385</v>
      </c>
      <c r="D170" s="14" t="s">
        <v>132</v>
      </c>
      <c r="E170" s="14" t="s">
        <v>118</v>
      </c>
      <c r="F170" s="14" t="s">
        <v>41</v>
      </c>
      <c r="G170" s="10"/>
      <c r="H170" s="11"/>
      <c r="I170" s="15" t="n">
        <v>4</v>
      </c>
      <c r="J170" s="15" t="n">
        <v>1</v>
      </c>
      <c r="K170" s="16" t="n">
        <f aca="false">IF(I170="","",I170*2-J170)</f>
        <v>7</v>
      </c>
      <c r="L170" s="14" t="str">
        <f aca="false">IF(K170="","",IF(K170&gt;=8,"1 - quick win",IF(K170&gt;=6,"2 - build early",IF(K170&gt;=4,"3 - slower climb","4 - monitor only"))))</f>
        <v>2 - build early</v>
      </c>
      <c r="M170" s="14" t="s">
        <v>42</v>
      </c>
      <c r="N170" s="14" t="s">
        <v>411</v>
      </c>
      <c r="O170" s="14" t="s">
        <v>407</v>
      </c>
      <c r="P170" s="14"/>
    </row>
    <row r="171" customFormat="false" ht="15" hidden="false" customHeight="false" outlineLevel="0" collapsed="false">
      <c r="A171" s="9" t="s">
        <v>412</v>
      </c>
      <c r="B171" s="9" t="s">
        <v>57</v>
      </c>
      <c r="C171" s="9" t="s">
        <v>385</v>
      </c>
      <c r="D171" s="9" t="s">
        <v>132</v>
      </c>
      <c r="E171" s="9" t="s">
        <v>118</v>
      </c>
      <c r="F171" s="9" t="s">
        <v>41</v>
      </c>
      <c r="G171" s="10"/>
      <c r="H171" s="11"/>
      <c r="I171" s="12" t="n">
        <v>5</v>
      </c>
      <c r="J171" s="12" t="n">
        <v>2</v>
      </c>
      <c r="K171" s="13" t="n">
        <f aca="false">IF(I171="","",I171*2-J171)</f>
        <v>8</v>
      </c>
      <c r="L171" s="9" t="str">
        <f aca="false">IF(K171="","",IF(K171&gt;=8,"1 - quick win",IF(K171&gt;=6,"2 - build early",IF(K171&gt;=4,"3 - slower climb","4 - monitor only"))))</f>
        <v>1 - quick win</v>
      </c>
      <c r="M171" s="9" t="s">
        <v>42</v>
      </c>
      <c r="N171" s="9" t="s">
        <v>413</v>
      </c>
      <c r="O171" s="9" t="s">
        <v>398</v>
      </c>
      <c r="P171" s="9"/>
    </row>
    <row r="172" customFormat="false" ht="15" hidden="false" customHeight="false" outlineLevel="0" collapsed="false">
      <c r="A172" s="14" t="s">
        <v>414</v>
      </c>
      <c r="B172" s="14" t="s">
        <v>57</v>
      </c>
      <c r="C172" s="14" t="s">
        <v>385</v>
      </c>
      <c r="D172" s="14" t="s">
        <v>132</v>
      </c>
      <c r="E172" s="14" t="s">
        <v>118</v>
      </c>
      <c r="F172" s="14" t="s">
        <v>41</v>
      </c>
      <c r="G172" s="10"/>
      <c r="H172" s="11"/>
      <c r="I172" s="15" t="n">
        <v>3</v>
      </c>
      <c r="J172" s="15" t="n">
        <v>1</v>
      </c>
      <c r="K172" s="16" t="n">
        <f aca="false">IF(I172="","",I172*2-J172)</f>
        <v>5</v>
      </c>
      <c r="L172" s="14" t="str">
        <f aca="false">IF(K172="","",IF(K172&gt;=8,"1 - quick win",IF(K172&gt;=6,"2 - build early",IF(K172&gt;=4,"3 - slower climb","4 - monitor only"))))</f>
        <v>3 - slower climb</v>
      </c>
      <c r="M172" s="14" t="s">
        <v>54</v>
      </c>
      <c r="N172" s="14" t="s">
        <v>415</v>
      </c>
      <c r="O172" s="14" t="s">
        <v>398</v>
      </c>
      <c r="P172" s="14"/>
    </row>
    <row r="173" customFormat="false" ht="23.85" hidden="false" customHeight="false" outlineLevel="0" collapsed="false">
      <c r="A173" s="9" t="s">
        <v>416</v>
      </c>
      <c r="B173" s="9" t="s">
        <v>57</v>
      </c>
      <c r="C173" s="9" t="s">
        <v>385</v>
      </c>
      <c r="D173" s="9" t="s">
        <v>108</v>
      </c>
      <c r="E173" s="9" t="s">
        <v>118</v>
      </c>
      <c r="F173" s="9" t="s">
        <v>41</v>
      </c>
      <c r="G173" s="10"/>
      <c r="H173" s="11"/>
      <c r="I173" s="12" t="n">
        <v>4</v>
      </c>
      <c r="J173" s="12" t="n">
        <v>1</v>
      </c>
      <c r="K173" s="13" t="n">
        <f aca="false">IF(I173="","",I173*2-J173)</f>
        <v>7</v>
      </c>
      <c r="L173" s="9" t="str">
        <f aca="false">IF(K173="","",IF(K173&gt;=8,"1 - quick win",IF(K173&gt;=6,"2 - build early",IF(K173&gt;=4,"3 - slower climb","4 - monitor only"))))</f>
        <v>2 - build early</v>
      </c>
      <c r="M173" s="9" t="s">
        <v>42</v>
      </c>
      <c r="N173" s="9" t="s">
        <v>417</v>
      </c>
      <c r="O173" s="9" t="s">
        <v>418</v>
      </c>
      <c r="P173" s="9"/>
    </row>
    <row r="174" customFormat="false" ht="23.85" hidden="false" customHeight="false" outlineLevel="0" collapsed="false">
      <c r="A174" s="14" t="s">
        <v>419</v>
      </c>
      <c r="B174" s="14" t="s">
        <v>57</v>
      </c>
      <c r="C174" s="14" t="s">
        <v>385</v>
      </c>
      <c r="D174" s="14" t="s">
        <v>108</v>
      </c>
      <c r="E174" s="14" t="s">
        <v>118</v>
      </c>
      <c r="F174" s="14" t="s">
        <v>41</v>
      </c>
      <c r="G174" s="10"/>
      <c r="H174" s="11"/>
      <c r="I174" s="15" t="n">
        <v>4</v>
      </c>
      <c r="J174" s="15" t="n">
        <v>1</v>
      </c>
      <c r="K174" s="16" t="n">
        <f aca="false">IF(I174="","",I174*2-J174)</f>
        <v>7</v>
      </c>
      <c r="L174" s="14" t="str">
        <f aca="false">IF(K174="","",IF(K174&gt;=8,"1 - quick win",IF(K174&gt;=6,"2 - build early",IF(K174&gt;=4,"3 - slower climb","4 - monitor only"))))</f>
        <v>2 - build early</v>
      </c>
      <c r="M174" s="14" t="s">
        <v>42</v>
      </c>
      <c r="N174" s="14" t="s">
        <v>420</v>
      </c>
      <c r="O174" s="14" t="s">
        <v>418</v>
      </c>
      <c r="P174" s="14"/>
    </row>
    <row r="175" customFormat="false" ht="23.85" hidden="false" customHeight="false" outlineLevel="0" collapsed="false">
      <c r="A175" s="9" t="s">
        <v>421</v>
      </c>
      <c r="B175" s="9" t="s">
        <v>57</v>
      </c>
      <c r="C175" s="9" t="s">
        <v>385</v>
      </c>
      <c r="D175" s="9" t="s">
        <v>132</v>
      </c>
      <c r="E175" s="9" t="s">
        <v>118</v>
      </c>
      <c r="F175" s="9" t="s">
        <v>41</v>
      </c>
      <c r="G175" s="10"/>
      <c r="H175" s="11"/>
      <c r="I175" s="12" t="n">
        <v>4</v>
      </c>
      <c r="J175" s="12" t="n">
        <v>1</v>
      </c>
      <c r="K175" s="13" t="n">
        <f aca="false">IF(I175="","",I175*2-J175)</f>
        <v>7</v>
      </c>
      <c r="L175" s="9" t="str">
        <f aca="false">IF(K175="","",IF(K175&gt;=8,"1 - quick win",IF(K175&gt;=6,"2 - build early",IF(K175&gt;=4,"3 - slower climb","4 - monitor only"))))</f>
        <v>2 - build early</v>
      </c>
      <c r="M175" s="9" t="s">
        <v>42</v>
      </c>
      <c r="N175" s="9" t="s">
        <v>422</v>
      </c>
      <c r="O175" s="9" t="s">
        <v>423</v>
      </c>
      <c r="P175" s="9"/>
    </row>
    <row r="176" customFormat="false" ht="23.85" hidden="false" customHeight="false" outlineLevel="0" collapsed="false">
      <c r="A176" s="14" t="s">
        <v>424</v>
      </c>
      <c r="B176" s="14" t="s">
        <v>57</v>
      </c>
      <c r="C176" s="14" t="s">
        <v>385</v>
      </c>
      <c r="D176" s="14" t="s">
        <v>132</v>
      </c>
      <c r="E176" s="14" t="s">
        <v>118</v>
      </c>
      <c r="F176" s="14" t="s">
        <v>41</v>
      </c>
      <c r="G176" s="10"/>
      <c r="H176" s="11"/>
      <c r="I176" s="15" t="n">
        <v>3</v>
      </c>
      <c r="J176" s="15" t="n">
        <v>1</v>
      </c>
      <c r="K176" s="16" t="n">
        <f aca="false">IF(I176="","",I176*2-J176)</f>
        <v>5</v>
      </c>
      <c r="L176" s="14" t="str">
        <f aca="false">IF(K176="","",IF(K176&gt;=8,"1 - quick win",IF(K176&gt;=6,"2 - build early",IF(K176&gt;=4,"3 - slower climb","4 - monitor only"))))</f>
        <v>3 - slower climb</v>
      </c>
      <c r="M176" s="14" t="s">
        <v>42</v>
      </c>
      <c r="N176" s="14" t="s">
        <v>425</v>
      </c>
      <c r="O176" s="14" t="s">
        <v>423</v>
      </c>
      <c r="P176" s="14"/>
    </row>
    <row r="177" customFormat="false" ht="23.85" hidden="false" customHeight="false" outlineLevel="0" collapsed="false">
      <c r="A177" s="9" t="s">
        <v>426</v>
      </c>
      <c r="B177" s="9" t="s">
        <v>57</v>
      </c>
      <c r="C177" s="9" t="s">
        <v>385</v>
      </c>
      <c r="D177" s="9" t="s">
        <v>117</v>
      </c>
      <c r="E177" s="9" t="s">
        <v>58</v>
      </c>
      <c r="F177" s="9" t="s">
        <v>41</v>
      </c>
      <c r="G177" s="10"/>
      <c r="H177" s="11"/>
      <c r="I177" s="12" t="n">
        <v>4</v>
      </c>
      <c r="J177" s="12" t="n">
        <v>2</v>
      </c>
      <c r="K177" s="13" t="n">
        <f aca="false">IF(I177="","",I177*2-J177)</f>
        <v>6</v>
      </c>
      <c r="L177" s="9" t="str">
        <f aca="false">IF(K177="","",IF(K177&gt;=8,"1 - quick win",IF(K177&gt;=6,"2 - build early",IF(K177&gt;=4,"3 - slower climb","4 - monitor only"))))</f>
        <v>2 - build early</v>
      </c>
      <c r="M177" s="9" t="s">
        <v>42</v>
      </c>
      <c r="N177" s="9" t="s">
        <v>427</v>
      </c>
      <c r="O177" s="9" t="s">
        <v>428</v>
      </c>
      <c r="P177" s="9"/>
    </row>
    <row r="178" customFormat="false" ht="23.85" hidden="false" customHeight="false" outlineLevel="0" collapsed="false">
      <c r="A178" s="14" t="s">
        <v>429</v>
      </c>
      <c r="B178" s="14" t="s">
        <v>48</v>
      </c>
      <c r="C178" s="14" t="s">
        <v>430</v>
      </c>
      <c r="D178" s="14" t="s">
        <v>132</v>
      </c>
      <c r="E178" s="14" t="s">
        <v>118</v>
      </c>
      <c r="F178" s="14" t="s">
        <v>41</v>
      </c>
      <c r="G178" s="10"/>
      <c r="H178" s="11"/>
      <c r="I178" s="15" t="n">
        <v>5</v>
      </c>
      <c r="J178" s="15" t="n">
        <v>3</v>
      </c>
      <c r="K178" s="16" t="n">
        <f aca="false">IF(I178="","",I178*2-J178)</f>
        <v>7</v>
      </c>
      <c r="L178" s="14" t="str">
        <f aca="false">IF(K178="","",IF(K178&gt;=8,"1 - quick win",IF(K178&gt;=6,"2 - build early",IF(K178&gt;=4,"3 - slower climb","4 - monitor only"))))</f>
        <v>2 - build early</v>
      </c>
      <c r="M178" s="14" t="s">
        <v>42</v>
      </c>
      <c r="N178" s="14" t="s">
        <v>431</v>
      </c>
      <c r="O178" s="14" t="s">
        <v>432</v>
      </c>
      <c r="P178" s="14"/>
    </row>
    <row r="179" customFormat="false" ht="15" hidden="false" customHeight="false" outlineLevel="0" collapsed="false">
      <c r="A179" s="9" t="s">
        <v>433</v>
      </c>
      <c r="B179" s="9" t="s">
        <v>57</v>
      </c>
      <c r="C179" s="9" t="s">
        <v>430</v>
      </c>
      <c r="D179" s="9" t="s">
        <v>132</v>
      </c>
      <c r="E179" s="9" t="s">
        <v>118</v>
      </c>
      <c r="F179" s="9" t="s">
        <v>41</v>
      </c>
      <c r="G179" s="10"/>
      <c r="H179" s="11"/>
      <c r="I179" s="12" t="n">
        <v>5</v>
      </c>
      <c r="J179" s="12" t="n">
        <v>2</v>
      </c>
      <c r="K179" s="13" t="n">
        <f aca="false">IF(I179="","",I179*2-J179)</f>
        <v>8</v>
      </c>
      <c r="L179" s="9" t="str">
        <f aca="false">IF(K179="","",IF(K179&gt;=8,"1 - quick win",IF(K179&gt;=6,"2 - build early",IF(K179&gt;=4,"3 - slower climb","4 - monitor only"))))</f>
        <v>1 - quick win</v>
      </c>
      <c r="M179" s="9" t="s">
        <v>42</v>
      </c>
      <c r="N179" s="9" t="s">
        <v>434</v>
      </c>
      <c r="O179" s="9" t="s">
        <v>432</v>
      </c>
      <c r="P179" s="9"/>
    </row>
    <row r="180" customFormat="false" ht="15" hidden="false" customHeight="false" outlineLevel="0" collapsed="false">
      <c r="A180" s="14" t="s">
        <v>435</v>
      </c>
      <c r="B180" s="14" t="s">
        <v>112</v>
      </c>
      <c r="C180" s="14" t="s">
        <v>430</v>
      </c>
      <c r="D180" s="14" t="s">
        <v>132</v>
      </c>
      <c r="E180" s="14" t="s">
        <v>118</v>
      </c>
      <c r="F180" s="14" t="s">
        <v>41</v>
      </c>
      <c r="G180" s="10"/>
      <c r="H180" s="11"/>
      <c r="I180" s="15" t="n">
        <v>5</v>
      </c>
      <c r="J180" s="15" t="n">
        <v>3</v>
      </c>
      <c r="K180" s="16" t="n">
        <f aca="false">IF(I180="","",I180*2-J180)</f>
        <v>7</v>
      </c>
      <c r="L180" s="14" t="str">
        <f aca="false">IF(K180="","",IF(K180&gt;=8,"1 - quick win",IF(K180&gt;=6,"2 - build early",IF(K180&gt;=4,"3 - slower climb","4 - monitor only"))))</f>
        <v>2 - build early</v>
      </c>
      <c r="M180" s="14" t="s">
        <v>42</v>
      </c>
      <c r="N180" s="14" t="s">
        <v>436</v>
      </c>
      <c r="O180" s="14" t="s">
        <v>432</v>
      </c>
      <c r="P180" s="14"/>
    </row>
    <row r="181" customFormat="false" ht="23.85" hidden="false" customHeight="false" outlineLevel="0" collapsed="false">
      <c r="A181" s="9" t="s">
        <v>437</v>
      </c>
      <c r="B181" s="9" t="s">
        <v>112</v>
      </c>
      <c r="C181" s="9" t="s">
        <v>430</v>
      </c>
      <c r="D181" s="9" t="s">
        <v>132</v>
      </c>
      <c r="E181" s="9" t="s">
        <v>58</v>
      </c>
      <c r="F181" s="9" t="s">
        <v>41</v>
      </c>
      <c r="G181" s="10"/>
      <c r="H181" s="11"/>
      <c r="I181" s="12" t="n">
        <v>5</v>
      </c>
      <c r="J181" s="12" t="n">
        <v>2</v>
      </c>
      <c r="K181" s="13" t="n">
        <f aca="false">IF(I181="","",I181*2-J181)</f>
        <v>8</v>
      </c>
      <c r="L181" s="9" t="str">
        <f aca="false">IF(K181="","",IF(K181&gt;=8,"1 - quick win",IF(K181&gt;=6,"2 - build early",IF(K181&gt;=4,"3 - slower climb","4 - monitor only"))))</f>
        <v>1 - quick win</v>
      </c>
      <c r="M181" s="9" t="s">
        <v>42</v>
      </c>
      <c r="N181" s="9" t="s">
        <v>438</v>
      </c>
      <c r="O181" s="9" t="s">
        <v>432</v>
      </c>
      <c r="P181" s="9"/>
    </row>
    <row r="182" customFormat="false" ht="15" hidden="false" customHeight="false" outlineLevel="0" collapsed="false">
      <c r="A182" s="14" t="s">
        <v>439</v>
      </c>
      <c r="B182" s="14" t="s">
        <v>112</v>
      </c>
      <c r="C182" s="14" t="s">
        <v>430</v>
      </c>
      <c r="D182" s="14" t="s">
        <v>132</v>
      </c>
      <c r="E182" s="14" t="s">
        <v>118</v>
      </c>
      <c r="F182" s="14" t="s">
        <v>41</v>
      </c>
      <c r="G182" s="10"/>
      <c r="H182" s="11"/>
      <c r="I182" s="15" t="n">
        <v>5</v>
      </c>
      <c r="J182" s="15" t="n">
        <v>2</v>
      </c>
      <c r="K182" s="16" t="n">
        <f aca="false">IF(I182="","",I182*2-J182)</f>
        <v>8</v>
      </c>
      <c r="L182" s="14" t="str">
        <f aca="false">IF(K182="","",IF(K182&gt;=8,"1 - quick win",IF(K182&gt;=6,"2 - build early",IF(K182&gt;=4,"3 - slower climb","4 - monitor only"))))</f>
        <v>1 - quick win</v>
      </c>
      <c r="M182" s="14" t="s">
        <v>42</v>
      </c>
      <c r="N182" s="14" t="s">
        <v>440</v>
      </c>
      <c r="O182" s="14" t="s">
        <v>432</v>
      </c>
      <c r="P182" s="14"/>
    </row>
    <row r="183" customFormat="false" ht="23.85" hidden="false" customHeight="false" outlineLevel="0" collapsed="false">
      <c r="A183" s="9" t="s">
        <v>441</v>
      </c>
      <c r="B183" s="9" t="s">
        <v>112</v>
      </c>
      <c r="C183" s="9" t="s">
        <v>430</v>
      </c>
      <c r="D183" s="9" t="s">
        <v>132</v>
      </c>
      <c r="E183" s="9" t="s">
        <v>118</v>
      </c>
      <c r="F183" s="9" t="s">
        <v>41</v>
      </c>
      <c r="G183" s="10"/>
      <c r="H183" s="11"/>
      <c r="I183" s="12" t="n">
        <v>5</v>
      </c>
      <c r="J183" s="12" t="n">
        <v>2</v>
      </c>
      <c r="K183" s="13" t="n">
        <f aca="false">IF(I183="","",I183*2-J183)</f>
        <v>8</v>
      </c>
      <c r="L183" s="9" t="str">
        <f aca="false">IF(K183="","",IF(K183&gt;=8,"1 - quick win",IF(K183&gt;=6,"2 - build early",IF(K183&gt;=4,"3 - slower climb","4 - monitor only"))))</f>
        <v>1 - quick win</v>
      </c>
      <c r="M183" s="9" t="s">
        <v>42</v>
      </c>
      <c r="N183" s="9" t="s">
        <v>442</v>
      </c>
      <c r="O183" s="9" t="s">
        <v>432</v>
      </c>
      <c r="P183" s="9"/>
    </row>
    <row r="184" customFormat="false" ht="23.85" hidden="false" customHeight="false" outlineLevel="0" collapsed="false">
      <c r="A184" s="14" t="s">
        <v>443</v>
      </c>
      <c r="B184" s="14" t="s">
        <v>112</v>
      </c>
      <c r="C184" s="14" t="s">
        <v>430</v>
      </c>
      <c r="D184" s="14" t="s">
        <v>132</v>
      </c>
      <c r="E184" s="14" t="s">
        <v>58</v>
      </c>
      <c r="F184" s="14" t="s">
        <v>41</v>
      </c>
      <c r="G184" s="10"/>
      <c r="H184" s="11"/>
      <c r="I184" s="15" t="n">
        <v>5</v>
      </c>
      <c r="J184" s="15" t="n">
        <v>1</v>
      </c>
      <c r="K184" s="16" t="n">
        <f aca="false">IF(I184="","",I184*2-J184)</f>
        <v>9</v>
      </c>
      <c r="L184" s="14" t="str">
        <f aca="false">IF(K184="","",IF(K184&gt;=8,"1 - quick win",IF(K184&gt;=6,"2 - build early",IF(K184&gt;=4,"3 - slower climb","4 - monitor only"))))</f>
        <v>1 - quick win</v>
      </c>
      <c r="M184" s="14" t="s">
        <v>42</v>
      </c>
      <c r="N184" s="14" t="s">
        <v>444</v>
      </c>
      <c r="O184" s="14" t="s">
        <v>432</v>
      </c>
      <c r="P184" s="14"/>
    </row>
    <row r="185" customFormat="false" ht="15" hidden="false" customHeight="false" outlineLevel="0" collapsed="false">
      <c r="A185" s="9" t="s">
        <v>445</v>
      </c>
      <c r="B185" s="9" t="s">
        <v>48</v>
      </c>
      <c r="C185" s="9" t="s">
        <v>430</v>
      </c>
      <c r="D185" s="9" t="s">
        <v>132</v>
      </c>
      <c r="E185" s="9" t="s">
        <v>118</v>
      </c>
      <c r="F185" s="9" t="s">
        <v>41</v>
      </c>
      <c r="G185" s="10"/>
      <c r="H185" s="11"/>
      <c r="I185" s="12" t="n">
        <v>5</v>
      </c>
      <c r="J185" s="12" t="n">
        <v>2</v>
      </c>
      <c r="K185" s="13" t="n">
        <f aca="false">IF(I185="","",I185*2-J185)</f>
        <v>8</v>
      </c>
      <c r="L185" s="9" t="str">
        <f aca="false">IF(K185="","",IF(K185&gt;=8,"1 - quick win",IF(K185&gt;=6,"2 - build early",IF(K185&gt;=4,"3 - slower climb","4 - monitor only"))))</f>
        <v>1 - quick win</v>
      </c>
      <c r="M185" s="9" t="s">
        <v>42</v>
      </c>
      <c r="N185" s="9" t="s">
        <v>446</v>
      </c>
      <c r="O185" s="9" t="s">
        <v>447</v>
      </c>
      <c r="P185" s="9"/>
    </row>
    <row r="186" customFormat="false" ht="23.85" hidden="false" customHeight="false" outlineLevel="0" collapsed="false">
      <c r="A186" s="14" t="s">
        <v>448</v>
      </c>
      <c r="B186" s="14" t="s">
        <v>57</v>
      </c>
      <c r="C186" s="14" t="s">
        <v>430</v>
      </c>
      <c r="D186" s="14" t="s">
        <v>132</v>
      </c>
      <c r="E186" s="14" t="s">
        <v>118</v>
      </c>
      <c r="F186" s="14" t="s">
        <v>41</v>
      </c>
      <c r="G186" s="10"/>
      <c r="H186" s="11"/>
      <c r="I186" s="15" t="n">
        <v>5</v>
      </c>
      <c r="J186" s="15" t="n">
        <v>2</v>
      </c>
      <c r="K186" s="16" t="n">
        <f aca="false">IF(I186="","",I186*2-J186)</f>
        <v>8</v>
      </c>
      <c r="L186" s="14" t="str">
        <f aca="false">IF(K186="","",IF(K186&gt;=8,"1 - quick win",IF(K186&gt;=6,"2 - build early",IF(K186&gt;=4,"3 - slower climb","4 - monitor only"))))</f>
        <v>1 - quick win</v>
      </c>
      <c r="M186" s="14" t="s">
        <v>42</v>
      </c>
      <c r="N186" s="14" t="s">
        <v>449</v>
      </c>
      <c r="O186" s="14" t="s">
        <v>447</v>
      </c>
      <c r="P186" s="14"/>
    </row>
    <row r="187" customFormat="false" ht="15" hidden="false" customHeight="false" outlineLevel="0" collapsed="false">
      <c r="A187" s="9" t="s">
        <v>450</v>
      </c>
      <c r="B187" s="9" t="s">
        <v>48</v>
      </c>
      <c r="C187" s="9" t="s">
        <v>430</v>
      </c>
      <c r="D187" s="9" t="s">
        <v>132</v>
      </c>
      <c r="E187" s="9" t="s">
        <v>118</v>
      </c>
      <c r="F187" s="9" t="s">
        <v>41</v>
      </c>
      <c r="G187" s="10"/>
      <c r="H187" s="11"/>
      <c r="I187" s="12" t="n">
        <v>5</v>
      </c>
      <c r="J187" s="12" t="n">
        <v>2</v>
      </c>
      <c r="K187" s="13" t="n">
        <f aca="false">IF(I187="","",I187*2-J187)</f>
        <v>8</v>
      </c>
      <c r="L187" s="9" t="str">
        <f aca="false">IF(K187="","",IF(K187&gt;=8,"1 - quick win",IF(K187&gt;=6,"2 - build early",IF(K187&gt;=4,"3 - slower climb","4 - monitor only"))))</f>
        <v>1 - quick win</v>
      </c>
      <c r="M187" s="9" t="s">
        <v>42</v>
      </c>
      <c r="N187" s="9" t="s">
        <v>451</v>
      </c>
      <c r="O187" s="9" t="s">
        <v>452</v>
      </c>
      <c r="P187" s="9"/>
    </row>
    <row r="188" customFormat="false" ht="15" hidden="false" customHeight="false" outlineLevel="0" collapsed="false">
      <c r="A188" s="14" t="s">
        <v>453</v>
      </c>
      <c r="B188" s="14" t="s">
        <v>112</v>
      </c>
      <c r="C188" s="14" t="s">
        <v>430</v>
      </c>
      <c r="D188" s="14" t="s">
        <v>132</v>
      </c>
      <c r="E188" s="14" t="s">
        <v>118</v>
      </c>
      <c r="F188" s="14" t="s">
        <v>41</v>
      </c>
      <c r="G188" s="10"/>
      <c r="H188" s="11"/>
      <c r="I188" s="15" t="n">
        <v>5</v>
      </c>
      <c r="J188" s="15" t="n">
        <v>1</v>
      </c>
      <c r="K188" s="16" t="n">
        <f aca="false">IF(I188="","",I188*2-J188)</f>
        <v>9</v>
      </c>
      <c r="L188" s="14" t="str">
        <f aca="false">IF(K188="","",IF(K188&gt;=8,"1 - quick win",IF(K188&gt;=6,"2 - build early",IF(K188&gt;=4,"3 - slower climb","4 - monitor only"))))</f>
        <v>1 - quick win</v>
      </c>
      <c r="M188" s="14" t="s">
        <v>42</v>
      </c>
      <c r="N188" s="14" t="s">
        <v>454</v>
      </c>
      <c r="O188" s="14" t="s">
        <v>452</v>
      </c>
      <c r="P188" s="14"/>
    </row>
    <row r="189" customFormat="false" ht="23.85" hidden="false" customHeight="false" outlineLevel="0" collapsed="false">
      <c r="A189" s="9" t="s">
        <v>455</v>
      </c>
      <c r="B189" s="9" t="s">
        <v>112</v>
      </c>
      <c r="C189" s="9" t="s">
        <v>430</v>
      </c>
      <c r="D189" s="9" t="s">
        <v>49</v>
      </c>
      <c r="E189" s="9" t="s">
        <v>58</v>
      </c>
      <c r="F189" s="9" t="s">
        <v>41</v>
      </c>
      <c r="G189" s="10"/>
      <c r="H189" s="11"/>
      <c r="I189" s="12" t="n">
        <v>4</v>
      </c>
      <c r="J189" s="12" t="n">
        <v>4</v>
      </c>
      <c r="K189" s="13" t="n">
        <f aca="false">IF(I189="","",I189*2-J189)</f>
        <v>4</v>
      </c>
      <c r="L189" s="9" t="str">
        <f aca="false">IF(K189="","",IF(K189&gt;=8,"1 - quick win",IF(K189&gt;=6,"2 - build early",IF(K189&gt;=4,"3 - slower climb","4 - monitor only"))))</f>
        <v>3 - slower climb</v>
      </c>
      <c r="M189" s="9" t="s">
        <v>42</v>
      </c>
      <c r="N189" s="9" t="s">
        <v>456</v>
      </c>
      <c r="O189" s="9" t="s">
        <v>452</v>
      </c>
      <c r="P189" s="9"/>
    </row>
    <row r="190" customFormat="false" ht="23.85" hidden="false" customHeight="false" outlineLevel="0" collapsed="false">
      <c r="A190" s="14" t="s">
        <v>457</v>
      </c>
      <c r="B190" s="14" t="s">
        <v>57</v>
      </c>
      <c r="C190" s="14" t="s">
        <v>430</v>
      </c>
      <c r="D190" s="14" t="s">
        <v>132</v>
      </c>
      <c r="E190" s="14" t="s">
        <v>118</v>
      </c>
      <c r="F190" s="14" t="s">
        <v>41</v>
      </c>
      <c r="G190" s="10"/>
      <c r="H190" s="11"/>
      <c r="I190" s="15" t="n">
        <v>4</v>
      </c>
      <c r="J190" s="15" t="n">
        <v>1</v>
      </c>
      <c r="K190" s="16" t="n">
        <f aca="false">IF(I190="","",I190*2-J190)</f>
        <v>7</v>
      </c>
      <c r="L190" s="14" t="str">
        <f aca="false">IF(K190="","",IF(K190&gt;=8,"1 - quick win",IF(K190&gt;=6,"2 - build early",IF(K190&gt;=4,"3 - slower climb","4 - monitor only"))))</f>
        <v>2 - build early</v>
      </c>
      <c r="M190" s="14" t="s">
        <v>42</v>
      </c>
      <c r="N190" s="14" t="s">
        <v>458</v>
      </c>
      <c r="O190" s="14" t="s">
        <v>452</v>
      </c>
      <c r="P190" s="14"/>
    </row>
    <row r="191" customFormat="false" ht="15" hidden="false" customHeight="false" outlineLevel="0" collapsed="false">
      <c r="A191" s="9" t="s">
        <v>459</v>
      </c>
      <c r="B191" s="9" t="s">
        <v>57</v>
      </c>
      <c r="C191" s="9" t="s">
        <v>430</v>
      </c>
      <c r="D191" s="9" t="s">
        <v>132</v>
      </c>
      <c r="E191" s="9" t="s">
        <v>118</v>
      </c>
      <c r="F191" s="9" t="s">
        <v>41</v>
      </c>
      <c r="G191" s="10"/>
      <c r="H191" s="11"/>
      <c r="I191" s="12" t="n">
        <v>3</v>
      </c>
      <c r="J191" s="12" t="n">
        <v>1</v>
      </c>
      <c r="K191" s="13" t="n">
        <f aca="false">IF(I191="","",I191*2-J191)</f>
        <v>5</v>
      </c>
      <c r="L191" s="9" t="str">
        <f aca="false">IF(K191="","",IF(K191&gt;=8,"1 - quick win",IF(K191&gt;=6,"2 - build early",IF(K191&gt;=4,"3 - slower climb","4 - monitor only"))))</f>
        <v>3 - slower climb</v>
      </c>
      <c r="M191" s="9" t="s">
        <v>42</v>
      </c>
      <c r="N191" s="9" t="s">
        <v>460</v>
      </c>
      <c r="O191" s="9" t="s">
        <v>208</v>
      </c>
      <c r="P191" s="9"/>
    </row>
    <row r="192" customFormat="false" ht="23.85" hidden="false" customHeight="false" outlineLevel="0" collapsed="false">
      <c r="A192" s="14" t="s">
        <v>461</v>
      </c>
      <c r="B192" s="14" t="s">
        <v>57</v>
      </c>
      <c r="C192" s="14" t="s">
        <v>430</v>
      </c>
      <c r="D192" s="14" t="s">
        <v>132</v>
      </c>
      <c r="E192" s="14" t="s">
        <v>118</v>
      </c>
      <c r="F192" s="14" t="s">
        <v>41</v>
      </c>
      <c r="G192" s="10"/>
      <c r="H192" s="11"/>
      <c r="I192" s="15" t="n">
        <v>4</v>
      </c>
      <c r="J192" s="15" t="n">
        <v>1</v>
      </c>
      <c r="K192" s="16" t="n">
        <f aca="false">IF(I192="","",I192*2-J192)</f>
        <v>7</v>
      </c>
      <c r="L192" s="14" t="str">
        <f aca="false">IF(K192="","",IF(K192&gt;=8,"1 - quick win",IF(K192&gt;=6,"2 - build early",IF(K192&gt;=4,"3 - slower climb","4 - monitor only"))))</f>
        <v>2 - build early</v>
      </c>
      <c r="M192" s="14" t="s">
        <v>42</v>
      </c>
      <c r="N192" s="14" t="s">
        <v>462</v>
      </c>
      <c r="O192" s="14" t="s">
        <v>274</v>
      </c>
      <c r="P192" s="14"/>
    </row>
    <row r="193" customFormat="false" ht="23.85" hidden="false" customHeight="false" outlineLevel="0" collapsed="false">
      <c r="A193" s="9" t="s">
        <v>463</v>
      </c>
      <c r="B193" s="9" t="s">
        <v>57</v>
      </c>
      <c r="C193" s="9" t="s">
        <v>430</v>
      </c>
      <c r="D193" s="9" t="s">
        <v>132</v>
      </c>
      <c r="E193" s="9" t="s">
        <v>118</v>
      </c>
      <c r="F193" s="9" t="s">
        <v>41</v>
      </c>
      <c r="G193" s="10"/>
      <c r="H193" s="11"/>
      <c r="I193" s="12" t="n">
        <v>4</v>
      </c>
      <c r="J193" s="12" t="n">
        <v>1</v>
      </c>
      <c r="K193" s="13" t="n">
        <f aca="false">IF(I193="","",I193*2-J193)</f>
        <v>7</v>
      </c>
      <c r="L193" s="9" t="str">
        <f aca="false">IF(K193="","",IF(K193&gt;=8,"1 - quick win",IF(K193&gt;=6,"2 - build early",IF(K193&gt;=4,"3 - slower climb","4 - monitor only"))))</f>
        <v>2 - build early</v>
      </c>
      <c r="M193" s="9" t="s">
        <v>42</v>
      </c>
      <c r="N193" s="9" t="s">
        <v>464</v>
      </c>
      <c r="O193" s="9" t="s">
        <v>465</v>
      </c>
      <c r="P193" s="9"/>
    </row>
    <row r="194" customFormat="false" ht="23.85" hidden="false" customHeight="false" outlineLevel="0" collapsed="false">
      <c r="A194" s="14" t="s">
        <v>466</v>
      </c>
      <c r="B194" s="14" t="s">
        <v>57</v>
      </c>
      <c r="C194" s="14" t="s">
        <v>430</v>
      </c>
      <c r="D194" s="14" t="s">
        <v>132</v>
      </c>
      <c r="E194" s="14" t="s">
        <v>118</v>
      </c>
      <c r="F194" s="14" t="s">
        <v>41</v>
      </c>
      <c r="G194" s="10"/>
      <c r="H194" s="11"/>
      <c r="I194" s="15" t="n">
        <v>4</v>
      </c>
      <c r="J194" s="15" t="n">
        <v>1</v>
      </c>
      <c r="K194" s="16" t="n">
        <f aca="false">IF(I194="","",I194*2-J194)</f>
        <v>7</v>
      </c>
      <c r="L194" s="14" t="str">
        <f aca="false">IF(K194="","",IF(K194&gt;=8,"1 - quick win",IF(K194&gt;=6,"2 - build early",IF(K194&gt;=4,"3 - slower climb","4 - monitor only"))))</f>
        <v>2 - build early</v>
      </c>
      <c r="M194" s="14" t="s">
        <v>42</v>
      </c>
      <c r="N194" s="14" t="s">
        <v>467</v>
      </c>
      <c r="O194" s="14" t="s">
        <v>465</v>
      </c>
      <c r="P194" s="14"/>
    </row>
    <row r="195" customFormat="false" ht="15" hidden="false" customHeight="false" outlineLevel="0" collapsed="false">
      <c r="A195" s="9" t="s">
        <v>468</v>
      </c>
      <c r="B195" s="9" t="s">
        <v>57</v>
      </c>
      <c r="C195" s="9" t="s">
        <v>430</v>
      </c>
      <c r="D195" s="9" t="s">
        <v>132</v>
      </c>
      <c r="E195" s="9" t="s">
        <v>118</v>
      </c>
      <c r="F195" s="9" t="s">
        <v>41</v>
      </c>
      <c r="G195" s="10"/>
      <c r="H195" s="11"/>
      <c r="I195" s="12" t="n">
        <v>4</v>
      </c>
      <c r="J195" s="12" t="n">
        <v>1</v>
      </c>
      <c r="K195" s="13" t="n">
        <f aca="false">IF(I195="","",I195*2-J195)</f>
        <v>7</v>
      </c>
      <c r="L195" s="9" t="str">
        <f aca="false">IF(K195="","",IF(K195&gt;=8,"1 - quick win",IF(K195&gt;=6,"2 - build early",IF(K195&gt;=4,"3 - slower climb","4 - monitor only"))))</f>
        <v>2 - build early</v>
      </c>
      <c r="M195" s="9" t="s">
        <v>54</v>
      </c>
      <c r="N195" s="9" t="s">
        <v>469</v>
      </c>
      <c r="O195" s="9" t="s">
        <v>322</v>
      </c>
      <c r="P195" s="9"/>
    </row>
    <row r="196" customFormat="false" ht="23.85" hidden="false" customHeight="false" outlineLevel="0" collapsed="false">
      <c r="A196" s="14" t="s">
        <v>470</v>
      </c>
      <c r="B196" s="14" t="s">
        <v>48</v>
      </c>
      <c r="C196" s="14" t="s">
        <v>430</v>
      </c>
      <c r="D196" s="14" t="s">
        <v>132</v>
      </c>
      <c r="E196" s="14" t="s">
        <v>118</v>
      </c>
      <c r="F196" s="14" t="s">
        <v>41</v>
      </c>
      <c r="G196" s="10"/>
      <c r="H196" s="11"/>
      <c r="I196" s="15" t="n">
        <v>5</v>
      </c>
      <c r="J196" s="15" t="n">
        <v>1</v>
      </c>
      <c r="K196" s="16" t="n">
        <f aca="false">IF(I196="","",I196*2-J196)</f>
        <v>9</v>
      </c>
      <c r="L196" s="14" t="str">
        <f aca="false">IF(K196="","",IF(K196&gt;=8,"1 - quick win",IF(K196&gt;=6,"2 - build early",IF(K196&gt;=4,"3 - slower climb","4 - monitor only"))))</f>
        <v>1 - quick win</v>
      </c>
      <c r="M196" s="14" t="s">
        <v>42</v>
      </c>
      <c r="N196" s="14" t="s">
        <v>471</v>
      </c>
      <c r="O196" s="14" t="s">
        <v>175</v>
      </c>
      <c r="P196" s="14"/>
    </row>
    <row r="197" customFormat="false" ht="23.85" hidden="false" customHeight="false" outlineLevel="0" collapsed="false">
      <c r="A197" s="9" t="s">
        <v>472</v>
      </c>
      <c r="B197" s="9" t="s">
        <v>112</v>
      </c>
      <c r="C197" s="9" t="s">
        <v>430</v>
      </c>
      <c r="D197" s="9" t="s">
        <v>132</v>
      </c>
      <c r="E197" s="9" t="s">
        <v>118</v>
      </c>
      <c r="F197" s="9" t="s">
        <v>41</v>
      </c>
      <c r="G197" s="10"/>
      <c r="H197" s="11"/>
      <c r="I197" s="12" t="n">
        <v>5</v>
      </c>
      <c r="J197" s="12" t="n">
        <v>2</v>
      </c>
      <c r="K197" s="13" t="n">
        <f aca="false">IF(I197="","",I197*2-J197)</f>
        <v>8</v>
      </c>
      <c r="L197" s="9" t="str">
        <f aca="false">IF(K197="","",IF(K197&gt;=8,"1 - quick win",IF(K197&gt;=6,"2 - build early",IF(K197&gt;=4,"3 - slower climb","4 - monitor only"))))</f>
        <v>1 - quick win</v>
      </c>
      <c r="M197" s="9" t="s">
        <v>42</v>
      </c>
      <c r="N197" s="9" t="s">
        <v>473</v>
      </c>
      <c r="O197" s="9" t="s">
        <v>175</v>
      </c>
      <c r="P197" s="9"/>
    </row>
    <row r="198" customFormat="false" ht="23.85" hidden="false" customHeight="false" outlineLevel="0" collapsed="false">
      <c r="A198" s="14" t="s">
        <v>474</v>
      </c>
      <c r="B198" s="14" t="s">
        <v>57</v>
      </c>
      <c r="C198" s="14" t="s">
        <v>430</v>
      </c>
      <c r="D198" s="14" t="s">
        <v>132</v>
      </c>
      <c r="E198" s="14" t="s">
        <v>118</v>
      </c>
      <c r="F198" s="14" t="s">
        <v>41</v>
      </c>
      <c r="G198" s="10"/>
      <c r="H198" s="11"/>
      <c r="I198" s="15" t="n">
        <v>5</v>
      </c>
      <c r="J198" s="15" t="n">
        <v>1</v>
      </c>
      <c r="K198" s="16" t="n">
        <f aca="false">IF(I198="","",I198*2-J198)</f>
        <v>9</v>
      </c>
      <c r="L198" s="14" t="str">
        <f aca="false">IF(K198="","",IF(K198&gt;=8,"1 - quick win",IF(K198&gt;=6,"2 - build early",IF(K198&gt;=4,"3 - slower climb","4 - monitor only"))))</f>
        <v>1 - quick win</v>
      </c>
      <c r="M198" s="14" t="s">
        <v>42</v>
      </c>
      <c r="N198" s="14" t="s">
        <v>475</v>
      </c>
      <c r="O198" s="14" t="s">
        <v>175</v>
      </c>
      <c r="P198" s="14"/>
    </row>
    <row r="199" customFormat="false" ht="15" hidden="false" customHeight="false" outlineLevel="0" collapsed="false">
      <c r="A199" s="9" t="s">
        <v>476</v>
      </c>
      <c r="B199" s="9" t="s">
        <v>57</v>
      </c>
      <c r="C199" s="9" t="s">
        <v>430</v>
      </c>
      <c r="D199" s="9" t="s">
        <v>132</v>
      </c>
      <c r="E199" s="9" t="s">
        <v>118</v>
      </c>
      <c r="F199" s="9" t="s">
        <v>41</v>
      </c>
      <c r="G199" s="10"/>
      <c r="H199" s="11"/>
      <c r="I199" s="12" t="n">
        <v>4</v>
      </c>
      <c r="J199" s="12" t="n">
        <v>1</v>
      </c>
      <c r="K199" s="13" t="n">
        <f aca="false">IF(I199="","",I199*2-J199)</f>
        <v>7</v>
      </c>
      <c r="L199" s="9" t="str">
        <f aca="false">IF(K199="","",IF(K199&gt;=8,"1 - quick win",IF(K199&gt;=6,"2 - build early",IF(K199&gt;=4,"3 - slower climb","4 - monitor only"))))</f>
        <v>2 - build early</v>
      </c>
      <c r="M199" s="9" t="s">
        <v>42</v>
      </c>
      <c r="N199" s="9" t="s">
        <v>477</v>
      </c>
      <c r="O199" s="9" t="s">
        <v>175</v>
      </c>
      <c r="P199" s="9"/>
    </row>
    <row r="200" customFormat="false" ht="23.85" hidden="false" customHeight="false" outlineLevel="0" collapsed="false">
      <c r="A200" s="14" t="s">
        <v>478</v>
      </c>
      <c r="B200" s="14" t="s">
        <v>57</v>
      </c>
      <c r="C200" s="14" t="s">
        <v>430</v>
      </c>
      <c r="D200" s="14" t="s">
        <v>132</v>
      </c>
      <c r="E200" s="14" t="s">
        <v>118</v>
      </c>
      <c r="F200" s="14" t="s">
        <v>41</v>
      </c>
      <c r="G200" s="10"/>
      <c r="H200" s="11"/>
      <c r="I200" s="15" t="n">
        <v>3</v>
      </c>
      <c r="J200" s="15" t="n">
        <v>1</v>
      </c>
      <c r="K200" s="16" t="n">
        <f aca="false">IF(I200="","",I200*2-J200)</f>
        <v>5</v>
      </c>
      <c r="L200" s="14" t="str">
        <f aca="false">IF(K200="","",IF(K200&gt;=8,"1 - quick win",IF(K200&gt;=6,"2 - build early",IF(K200&gt;=4,"3 - slower climb","4 - monitor only"))))</f>
        <v>3 - slower climb</v>
      </c>
      <c r="M200" s="14" t="s">
        <v>54</v>
      </c>
      <c r="N200" s="14" t="s">
        <v>479</v>
      </c>
      <c r="O200" s="14" t="s">
        <v>175</v>
      </c>
      <c r="P200" s="14"/>
    </row>
    <row r="201" customFormat="false" ht="15" hidden="false" customHeight="false" outlineLevel="0" collapsed="false">
      <c r="A201" s="9" t="s">
        <v>480</v>
      </c>
      <c r="B201" s="9" t="s">
        <v>57</v>
      </c>
      <c r="C201" s="9" t="s">
        <v>430</v>
      </c>
      <c r="D201" s="9" t="s">
        <v>132</v>
      </c>
      <c r="E201" s="9" t="s">
        <v>118</v>
      </c>
      <c r="F201" s="9" t="s">
        <v>41</v>
      </c>
      <c r="G201" s="10"/>
      <c r="H201" s="11"/>
      <c r="I201" s="12" t="n">
        <v>4</v>
      </c>
      <c r="J201" s="12" t="n">
        <v>1</v>
      </c>
      <c r="K201" s="13" t="n">
        <f aca="false">IF(I201="","",I201*2-J201)</f>
        <v>7</v>
      </c>
      <c r="L201" s="9" t="str">
        <f aca="false">IF(K201="","",IF(K201&gt;=8,"1 - quick win",IF(K201&gt;=6,"2 - build early",IF(K201&gt;=4,"3 - slower climb","4 - monitor only"))))</f>
        <v>2 - build early</v>
      </c>
      <c r="M201" s="9" t="s">
        <v>42</v>
      </c>
      <c r="N201" s="9" t="s">
        <v>481</v>
      </c>
      <c r="O201" s="9" t="s">
        <v>432</v>
      </c>
      <c r="P201" s="9"/>
    </row>
    <row r="202" customFormat="false" ht="15" hidden="false" customHeight="false" outlineLevel="0" collapsed="false">
      <c r="A202" s="14" t="s">
        <v>482</v>
      </c>
      <c r="B202" s="14" t="s">
        <v>57</v>
      </c>
      <c r="C202" s="14" t="s">
        <v>430</v>
      </c>
      <c r="D202" s="14" t="s">
        <v>132</v>
      </c>
      <c r="E202" s="14" t="s">
        <v>118</v>
      </c>
      <c r="F202" s="14" t="s">
        <v>41</v>
      </c>
      <c r="G202" s="10"/>
      <c r="H202" s="11"/>
      <c r="I202" s="15" t="n">
        <v>4</v>
      </c>
      <c r="J202" s="15" t="n">
        <v>1</v>
      </c>
      <c r="K202" s="16" t="n">
        <f aca="false">IF(I202="","",I202*2-J202)</f>
        <v>7</v>
      </c>
      <c r="L202" s="14" t="str">
        <f aca="false">IF(K202="","",IF(K202&gt;=8,"1 - quick win",IF(K202&gt;=6,"2 - build early",IF(K202&gt;=4,"3 - slower climb","4 - monitor only"))))</f>
        <v>2 - build early</v>
      </c>
      <c r="M202" s="14" t="s">
        <v>42</v>
      </c>
      <c r="N202" s="14" t="s">
        <v>483</v>
      </c>
      <c r="O202" s="14" t="s">
        <v>432</v>
      </c>
      <c r="P202" s="14"/>
    </row>
    <row r="203" customFormat="false" ht="15" hidden="false" customHeight="false" outlineLevel="0" collapsed="false">
      <c r="A203" s="9" t="s">
        <v>484</v>
      </c>
      <c r="B203" s="9" t="s">
        <v>57</v>
      </c>
      <c r="C203" s="9" t="s">
        <v>430</v>
      </c>
      <c r="D203" s="9" t="s">
        <v>132</v>
      </c>
      <c r="E203" s="9" t="s">
        <v>118</v>
      </c>
      <c r="F203" s="9" t="s">
        <v>41</v>
      </c>
      <c r="G203" s="10"/>
      <c r="H203" s="11"/>
      <c r="I203" s="12" t="n">
        <v>4</v>
      </c>
      <c r="J203" s="12" t="n">
        <v>1</v>
      </c>
      <c r="K203" s="13" t="n">
        <f aca="false">IF(I203="","",I203*2-J203)</f>
        <v>7</v>
      </c>
      <c r="L203" s="9" t="str">
        <f aca="false">IF(K203="","",IF(K203&gt;=8,"1 - quick win",IF(K203&gt;=6,"2 - build early",IF(K203&gt;=4,"3 - slower climb","4 - monitor only"))))</f>
        <v>2 - build early</v>
      </c>
      <c r="M203" s="9" t="s">
        <v>42</v>
      </c>
      <c r="N203" s="9" t="s">
        <v>485</v>
      </c>
      <c r="O203" s="9" t="s">
        <v>486</v>
      </c>
      <c r="P203" s="9"/>
    </row>
    <row r="204" customFormat="false" ht="23.85" hidden="false" customHeight="false" outlineLevel="0" collapsed="false">
      <c r="A204" s="14" t="s">
        <v>487</v>
      </c>
      <c r="B204" s="14" t="s">
        <v>57</v>
      </c>
      <c r="C204" s="14" t="s">
        <v>430</v>
      </c>
      <c r="D204" s="14" t="s">
        <v>132</v>
      </c>
      <c r="E204" s="14" t="s">
        <v>118</v>
      </c>
      <c r="F204" s="14" t="s">
        <v>41</v>
      </c>
      <c r="G204" s="10"/>
      <c r="H204" s="11"/>
      <c r="I204" s="15" t="n">
        <v>4</v>
      </c>
      <c r="J204" s="15" t="n">
        <v>1</v>
      </c>
      <c r="K204" s="16" t="n">
        <f aca="false">IF(I204="","",I204*2-J204)</f>
        <v>7</v>
      </c>
      <c r="L204" s="14" t="str">
        <f aca="false">IF(K204="","",IF(K204&gt;=8,"1 - quick win",IF(K204&gt;=6,"2 - build early",IF(K204&gt;=4,"3 - slower climb","4 - monitor only"))))</f>
        <v>2 - build early</v>
      </c>
      <c r="M204" s="14" t="s">
        <v>42</v>
      </c>
      <c r="N204" s="14" t="s">
        <v>488</v>
      </c>
      <c r="O204" s="14" t="s">
        <v>486</v>
      </c>
      <c r="P204" s="14"/>
    </row>
    <row r="205" customFormat="false" ht="15" hidden="false" customHeight="false" outlineLevel="0" collapsed="false">
      <c r="A205" s="9" t="s">
        <v>489</v>
      </c>
      <c r="B205" s="9" t="s">
        <v>48</v>
      </c>
      <c r="C205" s="9" t="s">
        <v>430</v>
      </c>
      <c r="D205" s="9" t="s">
        <v>49</v>
      </c>
      <c r="E205" s="9" t="s">
        <v>118</v>
      </c>
      <c r="F205" s="9" t="s">
        <v>41</v>
      </c>
      <c r="G205" s="10"/>
      <c r="H205" s="11"/>
      <c r="I205" s="12" t="n">
        <v>4</v>
      </c>
      <c r="J205" s="12" t="n">
        <v>2</v>
      </c>
      <c r="K205" s="13" t="n">
        <f aca="false">IF(I205="","",I205*2-J205)</f>
        <v>6</v>
      </c>
      <c r="L205" s="9" t="str">
        <f aca="false">IF(K205="","",IF(K205&gt;=8,"1 - quick win",IF(K205&gt;=6,"2 - build early",IF(K205&gt;=4,"3 - slower climb","4 - monitor only"))))</f>
        <v>2 - build early</v>
      </c>
      <c r="M205" s="9" t="s">
        <v>42</v>
      </c>
      <c r="N205" s="9" t="s">
        <v>490</v>
      </c>
      <c r="O205" s="9" t="s">
        <v>486</v>
      </c>
      <c r="P205" s="9"/>
    </row>
    <row r="206" customFormat="false" ht="23.85" hidden="false" customHeight="false" outlineLevel="0" collapsed="false">
      <c r="A206" s="14" t="s">
        <v>491</v>
      </c>
      <c r="B206" s="14" t="s">
        <v>57</v>
      </c>
      <c r="C206" s="14" t="s">
        <v>430</v>
      </c>
      <c r="D206" s="14" t="s">
        <v>132</v>
      </c>
      <c r="E206" s="14" t="s">
        <v>118</v>
      </c>
      <c r="F206" s="14" t="s">
        <v>41</v>
      </c>
      <c r="G206" s="10"/>
      <c r="H206" s="11"/>
      <c r="I206" s="15" t="n">
        <v>4</v>
      </c>
      <c r="J206" s="15" t="n">
        <v>1</v>
      </c>
      <c r="K206" s="16" t="n">
        <f aca="false">IF(I206="","",I206*2-J206)</f>
        <v>7</v>
      </c>
      <c r="L206" s="14" t="str">
        <f aca="false">IF(K206="","",IF(K206&gt;=8,"1 - quick win",IF(K206&gt;=6,"2 - build early",IF(K206&gt;=4,"3 - slower climb","4 - monitor only"))))</f>
        <v>2 - build early</v>
      </c>
      <c r="M206" s="14" t="s">
        <v>42</v>
      </c>
      <c r="N206" s="14" t="s">
        <v>492</v>
      </c>
      <c r="O206" s="14" t="s">
        <v>193</v>
      </c>
      <c r="P206" s="14"/>
    </row>
    <row r="207" customFormat="false" ht="23.85" hidden="false" customHeight="false" outlineLevel="0" collapsed="false">
      <c r="A207" s="9" t="s">
        <v>493</v>
      </c>
      <c r="B207" s="9" t="s">
        <v>57</v>
      </c>
      <c r="C207" s="9" t="s">
        <v>430</v>
      </c>
      <c r="D207" s="9" t="s">
        <v>132</v>
      </c>
      <c r="E207" s="9" t="s">
        <v>118</v>
      </c>
      <c r="F207" s="9" t="s">
        <v>41</v>
      </c>
      <c r="G207" s="10"/>
      <c r="H207" s="11"/>
      <c r="I207" s="12" t="n">
        <v>3</v>
      </c>
      <c r="J207" s="12" t="n">
        <v>1</v>
      </c>
      <c r="K207" s="13" t="n">
        <f aca="false">IF(I207="","",I207*2-J207)</f>
        <v>5</v>
      </c>
      <c r="L207" s="9" t="str">
        <f aca="false">IF(K207="","",IF(K207&gt;=8,"1 - quick win",IF(K207&gt;=6,"2 - build early",IF(K207&gt;=4,"3 - slower climb","4 - monitor only"))))</f>
        <v>3 - slower climb</v>
      </c>
      <c r="M207" s="9" t="s">
        <v>42</v>
      </c>
      <c r="N207" s="9" t="s">
        <v>494</v>
      </c>
      <c r="O207" s="9" t="s">
        <v>208</v>
      </c>
      <c r="P207" s="9"/>
    </row>
    <row r="208" customFormat="false" ht="15" hidden="false" customHeight="false" outlineLevel="0" collapsed="false">
      <c r="A208" s="14" t="s">
        <v>495</v>
      </c>
      <c r="B208" s="14" t="s">
        <v>57</v>
      </c>
      <c r="C208" s="14" t="s">
        <v>430</v>
      </c>
      <c r="D208" s="14" t="s">
        <v>132</v>
      </c>
      <c r="E208" s="14" t="s">
        <v>118</v>
      </c>
      <c r="F208" s="14" t="s">
        <v>41</v>
      </c>
      <c r="G208" s="10"/>
      <c r="H208" s="11"/>
      <c r="I208" s="15" t="n">
        <v>3</v>
      </c>
      <c r="J208" s="15" t="n">
        <v>1</v>
      </c>
      <c r="K208" s="16" t="n">
        <f aca="false">IF(I208="","",I208*2-J208)</f>
        <v>5</v>
      </c>
      <c r="L208" s="14" t="str">
        <f aca="false">IF(K208="","",IF(K208&gt;=8,"1 - quick win",IF(K208&gt;=6,"2 - build early",IF(K208&gt;=4,"3 - slower climb","4 - monitor only"))))</f>
        <v>3 - slower climb</v>
      </c>
      <c r="M208" s="14" t="s">
        <v>54</v>
      </c>
      <c r="N208" s="14" t="s">
        <v>496</v>
      </c>
      <c r="O208" s="14" t="s">
        <v>208</v>
      </c>
      <c r="P208" s="14"/>
    </row>
    <row r="209" customFormat="false" ht="15" hidden="false" customHeight="false" outlineLevel="0" collapsed="false">
      <c r="A209" s="9" t="s">
        <v>497</v>
      </c>
      <c r="B209" s="9" t="s">
        <v>57</v>
      </c>
      <c r="C209" s="9" t="s">
        <v>430</v>
      </c>
      <c r="D209" s="9" t="s">
        <v>132</v>
      </c>
      <c r="E209" s="9" t="s">
        <v>118</v>
      </c>
      <c r="F209" s="9" t="s">
        <v>41</v>
      </c>
      <c r="G209" s="10"/>
      <c r="H209" s="11"/>
      <c r="I209" s="12" t="n">
        <v>4</v>
      </c>
      <c r="J209" s="12" t="n">
        <v>1</v>
      </c>
      <c r="K209" s="13" t="n">
        <f aca="false">IF(I209="","",I209*2-J209)</f>
        <v>7</v>
      </c>
      <c r="L209" s="9" t="str">
        <f aca="false">IF(K209="","",IF(K209&gt;=8,"1 - quick win",IF(K209&gt;=6,"2 - build early",IF(K209&gt;=4,"3 - slower climb","4 - monitor only"))))</f>
        <v>2 - build early</v>
      </c>
      <c r="M209" s="9" t="s">
        <v>42</v>
      </c>
      <c r="N209" s="9" t="s">
        <v>498</v>
      </c>
      <c r="O209" s="9" t="s">
        <v>499</v>
      </c>
      <c r="P209" s="9"/>
    </row>
    <row r="210" customFormat="false" ht="15" hidden="false" customHeight="false" outlineLevel="0" collapsed="false">
      <c r="A210" s="14" t="s">
        <v>500</v>
      </c>
      <c r="B210" s="14" t="s">
        <v>57</v>
      </c>
      <c r="C210" s="14" t="s">
        <v>430</v>
      </c>
      <c r="D210" s="14" t="s">
        <v>132</v>
      </c>
      <c r="E210" s="14" t="s">
        <v>118</v>
      </c>
      <c r="F210" s="14" t="s">
        <v>41</v>
      </c>
      <c r="G210" s="10"/>
      <c r="H210" s="11"/>
      <c r="I210" s="15" t="n">
        <v>5</v>
      </c>
      <c r="J210" s="15" t="n">
        <v>1</v>
      </c>
      <c r="K210" s="16" t="n">
        <f aca="false">IF(I210="","",I210*2-J210)</f>
        <v>9</v>
      </c>
      <c r="L210" s="14" t="str">
        <f aca="false">IF(K210="","",IF(K210&gt;=8,"1 - quick win",IF(K210&gt;=6,"2 - build early",IF(K210&gt;=4,"3 - slower climb","4 - monitor only"))))</f>
        <v>1 - quick win</v>
      </c>
      <c r="M210" s="14" t="s">
        <v>42</v>
      </c>
      <c r="N210" s="14" t="s">
        <v>501</v>
      </c>
      <c r="O210" s="14" t="s">
        <v>499</v>
      </c>
      <c r="P210" s="14"/>
    </row>
    <row r="211" customFormat="false" ht="23.85" hidden="false" customHeight="false" outlineLevel="0" collapsed="false">
      <c r="A211" s="9" t="s">
        <v>502</v>
      </c>
      <c r="B211" s="9" t="s">
        <v>112</v>
      </c>
      <c r="C211" s="9" t="s">
        <v>430</v>
      </c>
      <c r="D211" s="9" t="s">
        <v>132</v>
      </c>
      <c r="E211" s="9" t="s">
        <v>118</v>
      </c>
      <c r="F211" s="9" t="s">
        <v>41</v>
      </c>
      <c r="G211" s="10"/>
      <c r="H211" s="11"/>
      <c r="I211" s="12" t="n">
        <v>3</v>
      </c>
      <c r="J211" s="12" t="n">
        <v>1</v>
      </c>
      <c r="K211" s="13" t="n">
        <f aca="false">IF(I211="","",I211*2-J211)</f>
        <v>5</v>
      </c>
      <c r="L211" s="9" t="str">
        <f aca="false">IF(K211="","",IF(K211&gt;=8,"1 - quick win",IF(K211&gt;=6,"2 - build early",IF(K211&gt;=4,"3 - slower climb","4 - monitor only"))))</f>
        <v>3 - slower climb</v>
      </c>
      <c r="M211" s="9" t="s">
        <v>42</v>
      </c>
      <c r="N211" s="9" t="s">
        <v>503</v>
      </c>
      <c r="O211" s="9" t="s">
        <v>184</v>
      </c>
      <c r="P211" s="9"/>
    </row>
    <row r="212" customFormat="false" ht="15" hidden="false" customHeight="false" outlineLevel="0" collapsed="false">
      <c r="A212" s="14" t="s">
        <v>504</v>
      </c>
      <c r="B212" s="14" t="s">
        <v>57</v>
      </c>
      <c r="C212" s="14" t="s">
        <v>430</v>
      </c>
      <c r="D212" s="14" t="s">
        <v>132</v>
      </c>
      <c r="E212" s="14" t="s">
        <v>177</v>
      </c>
      <c r="F212" s="14" t="s">
        <v>41</v>
      </c>
      <c r="G212" s="10"/>
      <c r="H212" s="11"/>
      <c r="I212" s="15" t="n">
        <v>3</v>
      </c>
      <c r="J212" s="15" t="n">
        <v>1</v>
      </c>
      <c r="K212" s="16" t="n">
        <f aca="false">IF(I212="","",I212*2-J212)</f>
        <v>5</v>
      </c>
      <c r="L212" s="14" t="str">
        <f aca="false">IF(K212="","",IF(K212&gt;=8,"1 - quick win",IF(K212&gt;=6,"2 - build early",IF(K212&gt;=4,"3 - slower climb","4 - monitor only"))))</f>
        <v>3 - slower climb</v>
      </c>
      <c r="M212" s="14" t="s">
        <v>54</v>
      </c>
      <c r="N212" s="14" t="s">
        <v>505</v>
      </c>
      <c r="O212" s="14" t="s">
        <v>506</v>
      </c>
      <c r="P212" s="14"/>
    </row>
    <row r="213" customFormat="false" ht="23.85" hidden="false" customHeight="false" outlineLevel="0" collapsed="false">
      <c r="A213" s="9" t="s">
        <v>507</v>
      </c>
      <c r="B213" s="9" t="s">
        <v>48</v>
      </c>
      <c r="C213" s="9" t="s">
        <v>508</v>
      </c>
      <c r="D213" s="9" t="s">
        <v>132</v>
      </c>
      <c r="E213" s="9" t="s">
        <v>118</v>
      </c>
      <c r="F213" s="9" t="s">
        <v>228</v>
      </c>
      <c r="G213" s="10"/>
      <c r="H213" s="11"/>
      <c r="I213" s="12" t="n">
        <v>5</v>
      </c>
      <c r="J213" s="12" t="n">
        <v>2</v>
      </c>
      <c r="K213" s="13" t="n">
        <f aca="false">IF(I213="","",I213*2-J213)</f>
        <v>8</v>
      </c>
      <c r="L213" s="9" t="str">
        <f aca="false">IF(K213="","",IF(K213&gt;=8,"1 - quick win",IF(K213&gt;=6,"2 - build early",IF(K213&gt;=4,"3 - slower climb","4 - monitor only"))))</f>
        <v>1 - quick win</v>
      </c>
      <c r="M213" s="9" t="s">
        <v>42</v>
      </c>
      <c r="N213" s="9" t="s">
        <v>509</v>
      </c>
      <c r="O213" s="9" t="s">
        <v>510</v>
      </c>
      <c r="P213" s="9" t="s">
        <v>511</v>
      </c>
    </row>
    <row r="214" customFormat="false" ht="23.85" hidden="false" customHeight="false" outlineLevel="0" collapsed="false">
      <c r="A214" s="14" t="s">
        <v>512</v>
      </c>
      <c r="B214" s="14" t="s">
        <v>112</v>
      </c>
      <c r="C214" s="14" t="s">
        <v>508</v>
      </c>
      <c r="D214" s="14" t="s">
        <v>39</v>
      </c>
      <c r="E214" s="14" t="s">
        <v>58</v>
      </c>
      <c r="F214" s="14" t="s">
        <v>228</v>
      </c>
      <c r="G214" s="10"/>
      <c r="H214" s="11"/>
      <c r="I214" s="15" t="n">
        <v>5</v>
      </c>
      <c r="J214" s="15" t="n">
        <v>3</v>
      </c>
      <c r="K214" s="16" t="n">
        <f aca="false">IF(I214="","",I214*2-J214)</f>
        <v>7</v>
      </c>
      <c r="L214" s="14" t="str">
        <f aca="false">IF(K214="","",IF(K214&gt;=8,"1 - quick win",IF(K214&gt;=6,"2 - build early",IF(K214&gt;=4,"3 - slower climb","4 - monitor only"))))</f>
        <v>2 - build early</v>
      </c>
      <c r="M214" s="14" t="s">
        <v>42</v>
      </c>
      <c r="N214" s="14" t="s">
        <v>513</v>
      </c>
      <c r="O214" s="14" t="s">
        <v>510</v>
      </c>
      <c r="P214" s="14" t="s">
        <v>511</v>
      </c>
    </row>
    <row r="215" customFormat="false" ht="23.85" hidden="false" customHeight="false" outlineLevel="0" collapsed="false">
      <c r="A215" s="9" t="s">
        <v>514</v>
      </c>
      <c r="B215" s="9" t="s">
        <v>57</v>
      </c>
      <c r="C215" s="9" t="s">
        <v>508</v>
      </c>
      <c r="D215" s="9" t="s">
        <v>132</v>
      </c>
      <c r="E215" s="9" t="s">
        <v>118</v>
      </c>
      <c r="F215" s="9" t="s">
        <v>41</v>
      </c>
      <c r="G215" s="10"/>
      <c r="H215" s="11"/>
      <c r="I215" s="12" t="n">
        <v>5</v>
      </c>
      <c r="J215" s="12" t="n">
        <v>1</v>
      </c>
      <c r="K215" s="13" t="n">
        <f aca="false">IF(I215="","",I215*2-J215)</f>
        <v>9</v>
      </c>
      <c r="L215" s="9" t="str">
        <f aca="false">IF(K215="","",IF(K215&gt;=8,"1 - quick win",IF(K215&gt;=6,"2 - build early",IF(K215&gt;=4,"3 - slower climb","4 - monitor only"))))</f>
        <v>1 - quick win</v>
      </c>
      <c r="M215" s="9" t="s">
        <v>42</v>
      </c>
      <c r="N215" s="9" t="s">
        <v>515</v>
      </c>
      <c r="O215" s="9" t="s">
        <v>516</v>
      </c>
      <c r="P215" s="9"/>
    </row>
    <row r="216" customFormat="false" ht="23.85" hidden="false" customHeight="false" outlineLevel="0" collapsed="false">
      <c r="A216" s="14" t="s">
        <v>517</v>
      </c>
      <c r="B216" s="14" t="s">
        <v>57</v>
      </c>
      <c r="C216" s="14" t="s">
        <v>508</v>
      </c>
      <c r="D216" s="14" t="s">
        <v>67</v>
      </c>
      <c r="E216" s="14" t="s">
        <v>118</v>
      </c>
      <c r="F216" s="14" t="s">
        <v>41</v>
      </c>
      <c r="G216" s="10"/>
      <c r="H216" s="11"/>
      <c r="I216" s="15" t="n">
        <v>5</v>
      </c>
      <c r="J216" s="15" t="n">
        <v>2</v>
      </c>
      <c r="K216" s="16" t="n">
        <f aca="false">IF(I216="","",I216*2-J216)</f>
        <v>8</v>
      </c>
      <c r="L216" s="14" t="str">
        <f aca="false">IF(K216="","",IF(K216&gt;=8,"1 - quick win",IF(K216&gt;=6,"2 - build early",IF(K216&gt;=4,"3 - slower climb","4 - monitor only"))))</f>
        <v>1 - quick win</v>
      </c>
      <c r="M216" s="14" t="s">
        <v>42</v>
      </c>
      <c r="N216" s="14" t="s">
        <v>518</v>
      </c>
      <c r="O216" s="14" t="s">
        <v>516</v>
      </c>
      <c r="P216" s="14"/>
    </row>
    <row r="217" customFormat="false" ht="23.85" hidden="false" customHeight="false" outlineLevel="0" collapsed="false">
      <c r="A217" s="9" t="s">
        <v>519</v>
      </c>
      <c r="B217" s="9" t="s">
        <v>57</v>
      </c>
      <c r="C217" s="9" t="s">
        <v>508</v>
      </c>
      <c r="D217" s="9" t="s">
        <v>132</v>
      </c>
      <c r="E217" s="9" t="s">
        <v>118</v>
      </c>
      <c r="F217" s="9" t="s">
        <v>520</v>
      </c>
      <c r="G217" s="10"/>
      <c r="H217" s="11"/>
      <c r="I217" s="12" t="n">
        <v>4</v>
      </c>
      <c r="J217" s="12" t="n">
        <v>1</v>
      </c>
      <c r="K217" s="13" t="n">
        <f aca="false">IF(I217="","",I217*2-J217)</f>
        <v>7</v>
      </c>
      <c r="L217" s="9" t="str">
        <f aca="false">IF(K217="","",IF(K217&gt;=8,"1 - quick win",IF(K217&gt;=6,"2 - build early",IF(K217&gt;=4,"3 - slower climb","4 - monitor only"))))</f>
        <v>2 - build early</v>
      </c>
      <c r="M217" s="9" t="s">
        <v>42</v>
      </c>
      <c r="N217" s="9" t="s">
        <v>521</v>
      </c>
      <c r="O217" s="9" t="s">
        <v>522</v>
      </c>
      <c r="P217" s="9" t="s">
        <v>523</v>
      </c>
    </row>
    <row r="218" customFormat="false" ht="23.85" hidden="false" customHeight="false" outlineLevel="0" collapsed="false">
      <c r="A218" s="14" t="s">
        <v>524</v>
      </c>
      <c r="B218" s="14" t="s">
        <v>57</v>
      </c>
      <c r="C218" s="14" t="s">
        <v>508</v>
      </c>
      <c r="D218" s="14" t="s">
        <v>132</v>
      </c>
      <c r="E218" s="14" t="s">
        <v>118</v>
      </c>
      <c r="F218" s="14" t="s">
        <v>525</v>
      </c>
      <c r="G218" s="10"/>
      <c r="H218" s="11"/>
      <c r="I218" s="15" t="n">
        <v>4</v>
      </c>
      <c r="J218" s="15" t="n">
        <v>1</v>
      </c>
      <c r="K218" s="16" t="n">
        <f aca="false">IF(I218="","",I218*2-J218)</f>
        <v>7</v>
      </c>
      <c r="L218" s="14" t="str">
        <f aca="false">IF(K218="","",IF(K218&gt;=8,"1 - quick win",IF(K218&gt;=6,"2 - build early",IF(K218&gt;=4,"3 - slower climb","4 - monitor only"))))</f>
        <v>2 - build early</v>
      </c>
      <c r="M218" s="14" t="s">
        <v>42</v>
      </c>
      <c r="N218" s="14" t="s">
        <v>526</v>
      </c>
      <c r="O218" s="14" t="s">
        <v>527</v>
      </c>
      <c r="P218" s="14" t="s">
        <v>528</v>
      </c>
    </row>
    <row r="219" customFormat="false" ht="23.85" hidden="false" customHeight="false" outlineLevel="0" collapsed="false">
      <c r="A219" s="9" t="s">
        <v>529</v>
      </c>
      <c r="B219" s="9" t="s">
        <v>57</v>
      </c>
      <c r="C219" s="9" t="s">
        <v>508</v>
      </c>
      <c r="D219" s="9" t="s">
        <v>132</v>
      </c>
      <c r="E219" s="9" t="s">
        <v>118</v>
      </c>
      <c r="F219" s="9" t="s">
        <v>530</v>
      </c>
      <c r="G219" s="10"/>
      <c r="H219" s="11"/>
      <c r="I219" s="12" t="n">
        <v>3</v>
      </c>
      <c r="J219" s="12" t="n">
        <v>1</v>
      </c>
      <c r="K219" s="13" t="n">
        <f aca="false">IF(I219="","",I219*2-J219)</f>
        <v>5</v>
      </c>
      <c r="L219" s="9" t="str">
        <f aca="false">IF(K219="","",IF(K219&gt;=8,"1 - quick win",IF(K219&gt;=6,"2 - build early",IF(K219&gt;=4,"3 - slower climb","4 - monitor only"))))</f>
        <v>3 - slower climb</v>
      </c>
      <c r="M219" s="9" t="s">
        <v>42</v>
      </c>
      <c r="N219" s="9" t="s">
        <v>531</v>
      </c>
      <c r="O219" s="9" t="s">
        <v>532</v>
      </c>
      <c r="P219" s="9" t="s">
        <v>533</v>
      </c>
    </row>
    <row r="220" customFormat="false" ht="23.85" hidden="false" customHeight="false" outlineLevel="0" collapsed="false">
      <c r="A220" s="14" t="s">
        <v>534</v>
      </c>
      <c r="B220" s="14" t="s">
        <v>57</v>
      </c>
      <c r="C220" s="14" t="s">
        <v>508</v>
      </c>
      <c r="D220" s="14" t="s">
        <v>132</v>
      </c>
      <c r="E220" s="14" t="s">
        <v>118</v>
      </c>
      <c r="F220" s="14" t="s">
        <v>41</v>
      </c>
      <c r="G220" s="10"/>
      <c r="H220" s="11"/>
      <c r="I220" s="15" t="n">
        <v>4</v>
      </c>
      <c r="J220" s="15" t="n">
        <v>1</v>
      </c>
      <c r="K220" s="16" t="n">
        <f aca="false">IF(I220="","",I220*2-J220)</f>
        <v>7</v>
      </c>
      <c r="L220" s="14" t="str">
        <f aca="false">IF(K220="","",IF(K220&gt;=8,"1 - quick win",IF(K220&gt;=6,"2 - build early",IF(K220&gt;=4,"3 - slower climb","4 - monitor only"))))</f>
        <v>2 - build early</v>
      </c>
      <c r="M220" s="14" t="s">
        <v>42</v>
      </c>
      <c r="N220" s="14" t="s">
        <v>535</v>
      </c>
      <c r="O220" s="14" t="s">
        <v>516</v>
      </c>
      <c r="P220" s="14"/>
    </row>
    <row r="221" customFormat="false" ht="23.85" hidden="false" customHeight="false" outlineLevel="0" collapsed="false">
      <c r="A221" s="9" t="s">
        <v>536</v>
      </c>
      <c r="B221" s="9" t="s">
        <v>112</v>
      </c>
      <c r="C221" s="9" t="s">
        <v>508</v>
      </c>
      <c r="D221" s="9" t="s">
        <v>132</v>
      </c>
      <c r="E221" s="9" t="s">
        <v>118</v>
      </c>
      <c r="F221" s="9" t="s">
        <v>228</v>
      </c>
      <c r="G221" s="10"/>
      <c r="H221" s="11"/>
      <c r="I221" s="12" t="n">
        <v>4</v>
      </c>
      <c r="J221" s="12" t="n">
        <v>2</v>
      </c>
      <c r="K221" s="13" t="n">
        <f aca="false">IF(I221="","",I221*2-J221)</f>
        <v>6</v>
      </c>
      <c r="L221" s="9" t="str">
        <f aca="false">IF(K221="","",IF(K221&gt;=8,"1 - quick win",IF(K221&gt;=6,"2 - build early",IF(K221&gt;=4,"3 - slower climb","4 - monitor only"))))</f>
        <v>2 - build early</v>
      </c>
      <c r="M221" s="9" t="s">
        <v>42</v>
      </c>
      <c r="N221" s="9" t="s">
        <v>537</v>
      </c>
      <c r="O221" s="9" t="s">
        <v>510</v>
      </c>
      <c r="P221" s="9" t="s">
        <v>538</v>
      </c>
    </row>
    <row r="222" customFormat="false" ht="23.85" hidden="false" customHeight="false" outlineLevel="0" collapsed="false">
      <c r="A222" s="14" t="s">
        <v>539</v>
      </c>
      <c r="B222" s="14" t="s">
        <v>57</v>
      </c>
      <c r="C222" s="14" t="s">
        <v>508</v>
      </c>
      <c r="D222" s="14" t="s">
        <v>132</v>
      </c>
      <c r="E222" s="14" t="s">
        <v>118</v>
      </c>
      <c r="F222" s="14" t="s">
        <v>41</v>
      </c>
      <c r="G222" s="10"/>
      <c r="H222" s="11"/>
      <c r="I222" s="15" t="n">
        <v>5</v>
      </c>
      <c r="J222" s="15" t="n">
        <v>1</v>
      </c>
      <c r="K222" s="16" t="n">
        <f aca="false">IF(I222="","",I222*2-J222)</f>
        <v>9</v>
      </c>
      <c r="L222" s="14" t="str">
        <f aca="false">IF(K222="","",IF(K222&gt;=8,"1 - quick win",IF(K222&gt;=6,"2 - build early",IF(K222&gt;=4,"3 - slower climb","4 - monitor only"))))</f>
        <v>1 - quick win</v>
      </c>
      <c r="M222" s="14" t="s">
        <v>42</v>
      </c>
      <c r="N222" s="14" t="s">
        <v>540</v>
      </c>
      <c r="O222" s="14" t="s">
        <v>447</v>
      </c>
      <c r="P222" s="14"/>
    </row>
    <row r="223" customFormat="false" ht="23.85" hidden="false" customHeight="false" outlineLevel="0" collapsed="false">
      <c r="A223" s="9" t="s">
        <v>541</v>
      </c>
      <c r="B223" s="9" t="s">
        <v>112</v>
      </c>
      <c r="C223" s="9" t="s">
        <v>508</v>
      </c>
      <c r="D223" s="9" t="s">
        <v>132</v>
      </c>
      <c r="E223" s="9" t="s">
        <v>118</v>
      </c>
      <c r="F223" s="9" t="s">
        <v>41</v>
      </c>
      <c r="G223" s="10"/>
      <c r="H223" s="11"/>
      <c r="I223" s="12" t="n">
        <v>5</v>
      </c>
      <c r="J223" s="12" t="n">
        <v>2</v>
      </c>
      <c r="K223" s="13" t="n">
        <f aca="false">IF(I223="","",I223*2-J223)</f>
        <v>8</v>
      </c>
      <c r="L223" s="9" t="str">
        <f aca="false">IF(K223="","",IF(K223&gt;=8,"1 - quick win",IF(K223&gt;=6,"2 - build early",IF(K223&gt;=4,"3 - slower climb","4 - monitor only"))))</f>
        <v>1 - quick win</v>
      </c>
      <c r="M223" s="9" t="s">
        <v>42</v>
      </c>
      <c r="N223" s="9" t="s">
        <v>542</v>
      </c>
      <c r="O223" s="9" t="s">
        <v>447</v>
      </c>
      <c r="P223" s="9"/>
    </row>
    <row r="224" customFormat="false" ht="23.85" hidden="false" customHeight="false" outlineLevel="0" collapsed="false">
      <c r="A224" s="14" t="s">
        <v>543</v>
      </c>
      <c r="B224" s="14" t="s">
        <v>57</v>
      </c>
      <c r="C224" s="14" t="s">
        <v>508</v>
      </c>
      <c r="D224" s="14" t="s">
        <v>49</v>
      </c>
      <c r="E224" s="14" t="s">
        <v>118</v>
      </c>
      <c r="F224" s="14" t="s">
        <v>41</v>
      </c>
      <c r="G224" s="10"/>
      <c r="H224" s="11"/>
      <c r="I224" s="15" t="n">
        <v>3</v>
      </c>
      <c r="J224" s="15" t="n">
        <v>1</v>
      </c>
      <c r="K224" s="16" t="n">
        <f aca="false">IF(I224="","",I224*2-J224)</f>
        <v>5</v>
      </c>
      <c r="L224" s="14" t="str">
        <f aca="false">IF(K224="","",IF(K224&gt;=8,"1 - quick win",IF(K224&gt;=6,"2 - build early",IF(K224&gt;=4,"3 - slower climb","4 - monitor only"))))</f>
        <v>3 - slower climb</v>
      </c>
      <c r="M224" s="14" t="s">
        <v>54</v>
      </c>
      <c r="N224" s="14" t="s">
        <v>544</v>
      </c>
      <c r="O224" s="14" t="s">
        <v>281</v>
      </c>
      <c r="P224" s="14"/>
    </row>
    <row r="225" customFormat="false" ht="23.85" hidden="false" customHeight="false" outlineLevel="0" collapsed="false">
      <c r="A225" s="9" t="s">
        <v>545</v>
      </c>
      <c r="B225" s="9" t="s">
        <v>112</v>
      </c>
      <c r="C225" s="9" t="s">
        <v>508</v>
      </c>
      <c r="D225" s="9" t="s">
        <v>132</v>
      </c>
      <c r="E225" s="9" t="s">
        <v>173</v>
      </c>
      <c r="F225" s="9" t="s">
        <v>41</v>
      </c>
      <c r="G225" s="10"/>
      <c r="H225" s="11"/>
      <c r="I225" s="12" t="n">
        <v>4</v>
      </c>
      <c r="J225" s="12" t="n">
        <v>1</v>
      </c>
      <c r="K225" s="13" t="n">
        <f aca="false">IF(I225="","",I225*2-J225)</f>
        <v>7</v>
      </c>
      <c r="L225" s="9" t="str">
        <f aca="false">IF(K225="","",IF(K225&gt;=8,"1 - quick win",IF(K225&gt;=6,"2 - build early",IF(K225&gt;=4,"3 - slower climb","4 - monitor only"))))</f>
        <v>2 - build early</v>
      </c>
      <c r="M225" s="9" t="s">
        <v>42</v>
      </c>
      <c r="N225" s="9" t="s">
        <v>546</v>
      </c>
      <c r="O225" s="9" t="s">
        <v>447</v>
      </c>
      <c r="P225" s="9"/>
    </row>
    <row r="226" customFormat="false" ht="23.85" hidden="false" customHeight="false" outlineLevel="0" collapsed="false">
      <c r="A226" s="14" t="s">
        <v>547</v>
      </c>
      <c r="B226" s="14" t="s">
        <v>57</v>
      </c>
      <c r="C226" s="14" t="s">
        <v>508</v>
      </c>
      <c r="D226" s="14" t="s">
        <v>132</v>
      </c>
      <c r="E226" s="14" t="s">
        <v>118</v>
      </c>
      <c r="F226" s="14" t="s">
        <v>41</v>
      </c>
      <c r="G226" s="10"/>
      <c r="H226" s="11"/>
      <c r="I226" s="15" t="n">
        <v>4</v>
      </c>
      <c r="J226" s="15" t="n">
        <v>1</v>
      </c>
      <c r="K226" s="16" t="n">
        <f aca="false">IF(I226="","",I226*2-J226)</f>
        <v>7</v>
      </c>
      <c r="L226" s="14" t="str">
        <f aca="false">IF(K226="","",IF(K226&gt;=8,"1 - quick win",IF(K226&gt;=6,"2 - build early",IF(K226&gt;=4,"3 - slower climb","4 - monitor only"))))</f>
        <v>2 - build early</v>
      </c>
      <c r="M226" s="14" t="s">
        <v>42</v>
      </c>
      <c r="N226" s="14" t="s">
        <v>548</v>
      </c>
      <c r="O226" s="14" t="s">
        <v>274</v>
      </c>
      <c r="P226" s="14"/>
    </row>
    <row r="227" customFormat="false" ht="23.85" hidden="false" customHeight="false" outlineLevel="0" collapsed="false">
      <c r="A227" s="9" t="s">
        <v>549</v>
      </c>
      <c r="B227" s="9" t="s">
        <v>48</v>
      </c>
      <c r="C227" s="9" t="s">
        <v>508</v>
      </c>
      <c r="D227" s="9" t="s">
        <v>132</v>
      </c>
      <c r="E227" s="9" t="s">
        <v>118</v>
      </c>
      <c r="F227" s="9" t="s">
        <v>41</v>
      </c>
      <c r="G227" s="10"/>
      <c r="H227" s="11"/>
      <c r="I227" s="12" t="n">
        <v>5</v>
      </c>
      <c r="J227" s="12" t="n">
        <v>1</v>
      </c>
      <c r="K227" s="13" t="n">
        <f aca="false">IF(I227="","",I227*2-J227)</f>
        <v>9</v>
      </c>
      <c r="L227" s="9" t="str">
        <f aca="false">IF(K227="","",IF(K227&gt;=8,"1 - quick win",IF(K227&gt;=6,"2 - build early",IF(K227&gt;=4,"3 - slower climb","4 - monitor only"))))</f>
        <v>1 - quick win</v>
      </c>
      <c r="M227" s="9" t="s">
        <v>42</v>
      </c>
      <c r="N227" s="9" t="s">
        <v>550</v>
      </c>
      <c r="O227" s="9" t="s">
        <v>372</v>
      </c>
      <c r="P227" s="9"/>
    </row>
    <row r="228" customFormat="false" ht="23.85" hidden="false" customHeight="false" outlineLevel="0" collapsed="false">
      <c r="A228" s="14" t="s">
        <v>551</v>
      </c>
      <c r="B228" s="14" t="s">
        <v>48</v>
      </c>
      <c r="C228" s="14" t="s">
        <v>552</v>
      </c>
      <c r="D228" s="14" t="s">
        <v>132</v>
      </c>
      <c r="E228" s="14" t="s">
        <v>118</v>
      </c>
      <c r="F228" s="14" t="s">
        <v>41</v>
      </c>
      <c r="G228" s="10"/>
      <c r="H228" s="11"/>
      <c r="I228" s="15" t="n">
        <v>4</v>
      </c>
      <c r="J228" s="15" t="n">
        <v>1</v>
      </c>
      <c r="K228" s="16" t="n">
        <f aca="false">IF(I228="","",I228*2-J228)</f>
        <v>7</v>
      </c>
      <c r="L228" s="14" t="str">
        <f aca="false">IF(K228="","",IF(K228&gt;=8,"1 - quick win",IF(K228&gt;=6,"2 - build early",IF(K228&gt;=4,"3 - slower climb","4 - monitor only"))))</f>
        <v>2 - build early</v>
      </c>
      <c r="M228" s="14" t="s">
        <v>42</v>
      </c>
      <c r="N228" s="14" t="s">
        <v>553</v>
      </c>
      <c r="O228" s="14" t="s">
        <v>554</v>
      </c>
      <c r="P228" s="14"/>
    </row>
    <row r="229" customFormat="false" ht="15" hidden="false" customHeight="false" outlineLevel="0" collapsed="false">
      <c r="A229" s="9" t="s">
        <v>555</v>
      </c>
      <c r="B229" s="9" t="s">
        <v>112</v>
      </c>
      <c r="C229" s="9" t="s">
        <v>552</v>
      </c>
      <c r="D229" s="9" t="s">
        <v>132</v>
      </c>
      <c r="E229" s="9" t="s">
        <v>118</v>
      </c>
      <c r="F229" s="9" t="s">
        <v>41</v>
      </c>
      <c r="G229" s="10"/>
      <c r="H229" s="11"/>
      <c r="I229" s="12" t="n">
        <v>4</v>
      </c>
      <c r="J229" s="12" t="n">
        <v>1</v>
      </c>
      <c r="K229" s="13" t="n">
        <f aca="false">IF(I229="","",I229*2-J229)</f>
        <v>7</v>
      </c>
      <c r="L229" s="9" t="str">
        <f aca="false">IF(K229="","",IF(K229&gt;=8,"1 - quick win",IF(K229&gt;=6,"2 - build early",IF(K229&gt;=4,"3 - slower climb","4 - monitor only"))))</f>
        <v>2 - build early</v>
      </c>
      <c r="M229" s="9" t="s">
        <v>42</v>
      </c>
      <c r="N229" s="9" t="s">
        <v>556</v>
      </c>
      <c r="O229" s="9" t="s">
        <v>554</v>
      </c>
      <c r="P229" s="9"/>
    </row>
    <row r="230" customFormat="false" ht="15" hidden="false" customHeight="false" outlineLevel="0" collapsed="false">
      <c r="A230" s="14" t="s">
        <v>557</v>
      </c>
      <c r="B230" s="14" t="s">
        <v>57</v>
      </c>
      <c r="C230" s="14" t="s">
        <v>552</v>
      </c>
      <c r="D230" s="14" t="s">
        <v>132</v>
      </c>
      <c r="E230" s="14" t="s">
        <v>118</v>
      </c>
      <c r="F230" s="14" t="s">
        <v>41</v>
      </c>
      <c r="G230" s="10"/>
      <c r="H230" s="11"/>
      <c r="I230" s="15" t="n">
        <v>3</v>
      </c>
      <c r="J230" s="15" t="n">
        <v>1</v>
      </c>
      <c r="K230" s="16" t="n">
        <f aca="false">IF(I230="","",I230*2-J230)</f>
        <v>5</v>
      </c>
      <c r="L230" s="14" t="str">
        <f aca="false">IF(K230="","",IF(K230&gt;=8,"1 - quick win",IF(K230&gt;=6,"2 - build early",IF(K230&gt;=4,"3 - slower climb","4 - monitor only"))))</f>
        <v>3 - slower climb</v>
      </c>
      <c r="M230" s="14" t="s">
        <v>42</v>
      </c>
      <c r="N230" s="14" t="s">
        <v>558</v>
      </c>
      <c r="O230" s="14" t="s">
        <v>559</v>
      </c>
      <c r="P230" s="14"/>
    </row>
    <row r="231" customFormat="false" ht="15" hidden="false" customHeight="false" outlineLevel="0" collapsed="false">
      <c r="A231" s="9" t="s">
        <v>560</v>
      </c>
      <c r="B231" s="9" t="s">
        <v>112</v>
      </c>
      <c r="C231" s="9" t="s">
        <v>552</v>
      </c>
      <c r="D231" s="9" t="s">
        <v>39</v>
      </c>
      <c r="E231" s="9" t="s">
        <v>58</v>
      </c>
      <c r="F231" s="9" t="s">
        <v>41</v>
      </c>
      <c r="G231" s="10"/>
      <c r="H231" s="11"/>
      <c r="I231" s="12" t="n">
        <v>3</v>
      </c>
      <c r="J231" s="12" t="n">
        <v>1</v>
      </c>
      <c r="K231" s="13" t="n">
        <f aca="false">IF(I231="","",I231*2-J231)</f>
        <v>5</v>
      </c>
      <c r="L231" s="9" t="str">
        <f aca="false">IF(K231="","",IF(K231&gt;=8,"1 - quick win",IF(K231&gt;=6,"2 - build early",IF(K231&gt;=4,"3 - slower climb","4 - monitor only"))))</f>
        <v>3 - slower climb</v>
      </c>
      <c r="M231" s="9" t="s">
        <v>42</v>
      </c>
      <c r="N231" s="9" t="s">
        <v>561</v>
      </c>
      <c r="O231" s="9" t="s">
        <v>559</v>
      </c>
      <c r="P231" s="9"/>
    </row>
    <row r="232" customFormat="false" ht="15" hidden="false" customHeight="false" outlineLevel="0" collapsed="false">
      <c r="A232" s="14" t="s">
        <v>562</v>
      </c>
      <c r="B232" s="14" t="s">
        <v>48</v>
      </c>
      <c r="C232" s="14" t="s">
        <v>552</v>
      </c>
      <c r="D232" s="14" t="s">
        <v>132</v>
      </c>
      <c r="E232" s="14" t="s">
        <v>118</v>
      </c>
      <c r="F232" s="14" t="s">
        <v>41</v>
      </c>
      <c r="G232" s="10"/>
      <c r="H232" s="11"/>
      <c r="I232" s="15" t="n">
        <v>4</v>
      </c>
      <c r="J232" s="15" t="n">
        <v>3</v>
      </c>
      <c r="K232" s="16" t="n">
        <f aca="false">IF(I232="","",I232*2-J232)</f>
        <v>5</v>
      </c>
      <c r="L232" s="14" t="str">
        <f aca="false">IF(K232="","",IF(K232&gt;=8,"1 - quick win",IF(K232&gt;=6,"2 - build early",IF(K232&gt;=4,"3 - slower climb","4 - monitor only"))))</f>
        <v>3 - slower climb</v>
      </c>
      <c r="M232" s="14" t="s">
        <v>42</v>
      </c>
      <c r="N232" s="14" t="s">
        <v>563</v>
      </c>
      <c r="O232" s="14" t="s">
        <v>564</v>
      </c>
      <c r="P232" s="14"/>
    </row>
    <row r="233" customFormat="false" ht="15" hidden="false" customHeight="false" outlineLevel="0" collapsed="false">
      <c r="A233" s="9" t="s">
        <v>565</v>
      </c>
      <c r="B233" s="9" t="s">
        <v>112</v>
      </c>
      <c r="C233" s="9" t="s">
        <v>552</v>
      </c>
      <c r="D233" s="9" t="s">
        <v>132</v>
      </c>
      <c r="E233" s="9" t="s">
        <v>118</v>
      </c>
      <c r="F233" s="9" t="s">
        <v>41</v>
      </c>
      <c r="G233" s="10"/>
      <c r="H233" s="11"/>
      <c r="I233" s="12" t="n">
        <v>4</v>
      </c>
      <c r="J233" s="12" t="n">
        <v>2</v>
      </c>
      <c r="K233" s="13" t="n">
        <f aca="false">IF(I233="","",I233*2-J233)</f>
        <v>6</v>
      </c>
      <c r="L233" s="9" t="str">
        <f aca="false">IF(K233="","",IF(K233&gt;=8,"1 - quick win",IF(K233&gt;=6,"2 - build early",IF(K233&gt;=4,"3 - slower climb","4 - monitor only"))))</f>
        <v>2 - build early</v>
      </c>
      <c r="M233" s="9" t="s">
        <v>42</v>
      </c>
      <c r="N233" s="9" t="s">
        <v>566</v>
      </c>
      <c r="O233" s="9" t="s">
        <v>564</v>
      </c>
      <c r="P233" s="9"/>
    </row>
    <row r="234" customFormat="false" ht="23.85" hidden="false" customHeight="false" outlineLevel="0" collapsed="false">
      <c r="A234" s="14" t="s">
        <v>567</v>
      </c>
      <c r="B234" s="14" t="s">
        <v>57</v>
      </c>
      <c r="C234" s="14" t="s">
        <v>552</v>
      </c>
      <c r="D234" s="14" t="s">
        <v>132</v>
      </c>
      <c r="E234" s="14" t="s">
        <v>118</v>
      </c>
      <c r="F234" s="14" t="s">
        <v>41</v>
      </c>
      <c r="G234" s="10"/>
      <c r="H234" s="11"/>
      <c r="I234" s="15" t="n">
        <v>3</v>
      </c>
      <c r="J234" s="15" t="n">
        <v>1</v>
      </c>
      <c r="K234" s="16" t="n">
        <f aca="false">IF(I234="","",I234*2-J234)</f>
        <v>5</v>
      </c>
      <c r="L234" s="14" t="str">
        <f aca="false">IF(K234="","",IF(K234&gt;=8,"1 - quick win",IF(K234&gt;=6,"2 - build early",IF(K234&gt;=4,"3 - slower climb","4 - monitor only"))))</f>
        <v>3 - slower climb</v>
      </c>
      <c r="M234" s="14" t="s">
        <v>42</v>
      </c>
      <c r="N234" s="14" t="s">
        <v>568</v>
      </c>
      <c r="O234" s="14" t="s">
        <v>564</v>
      </c>
      <c r="P234" s="14"/>
    </row>
    <row r="235" customFormat="false" ht="23.85" hidden="false" customHeight="false" outlineLevel="0" collapsed="false">
      <c r="A235" s="9" t="s">
        <v>569</v>
      </c>
      <c r="B235" s="9" t="s">
        <v>57</v>
      </c>
      <c r="C235" s="9" t="s">
        <v>552</v>
      </c>
      <c r="D235" s="9" t="s">
        <v>132</v>
      </c>
      <c r="E235" s="9" t="s">
        <v>118</v>
      </c>
      <c r="F235" s="9" t="s">
        <v>41</v>
      </c>
      <c r="G235" s="10"/>
      <c r="H235" s="11"/>
      <c r="I235" s="12" t="n">
        <v>3</v>
      </c>
      <c r="J235" s="12" t="n">
        <v>1</v>
      </c>
      <c r="K235" s="13" t="n">
        <f aca="false">IF(I235="","",I235*2-J235)</f>
        <v>5</v>
      </c>
      <c r="L235" s="9" t="str">
        <f aca="false">IF(K235="","",IF(K235&gt;=8,"1 - quick win",IF(K235&gt;=6,"2 - build early",IF(K235&gt;=4,"3 - slower climb","4 - monitor only"))))</f>
        <v>3 - slower climb</v>
      </c>
      <c r="M235" s="9" t="s">
        <v>42</v>
      </c>
      <c r="N235" s="9" t="s">
        <v>570</v>
      </c>
      <c r="O235" s="9" t="s">
        <v>247</v>
      </c>
      <c r="P235" s="9"/>
    </row>
    <row r="236" customFormat="false" ht="23.85" hidden="false" customHeight="false" outlineLevel="0" collapsed="false">
      <c r="A236" s="14" t="s">
        <v>571</v>
      </c>
      <c r="B236" s="14" t="s">
        <v>57</v>
      </c>
      <c r="C236" s="14" t="s">
        <v>552</v>
      </c>
      <c r="D236" s="14" t="s">
        <v>132</v>
      </c>
      <c r="E236" s="14" t="s">
        <v>118</v>
      </c>
      <c r="F236" s="14" t="s">
        <v>41</v>
      </c>
      <c r="G236" s="10"/>
      <c r="H236" s="11"/>
      <c r="I236" s="15" t="n">
        <v>3</v>
      </c>
      <c r="J236" s="15" t="n">
        <v>1</v>
      </c>
      <c r="K236" s="16" t="n">
        <f aca="false">IF(I236="","",I236*2-J236)</f>
        <v>5</v>
      </c>
      <c r="L236" s="14" t="str">
        <f aca="false">IF(K236="","",IF(K236&gt;=8,"1 - quick win",IF(K236&gt;=6,"2 - build early",IF(K236&gt;=4,"3 - slower climb","4 - monitor only"))))</f>
        <v>3 - slower climb</v>
      </c>
      <c r="M236" s="14" t="s">
        <v>42</v>
      </c>
      <c r="N236" s="14" t="s">
        <v>572</v>
      </c>
      <c r="O236" s="14" t="s">
        <v>247</v>
      </c>
      <c r="P236" s="14"/>
    </row>
    <row r="237" customFormat="false" ht="15" hidden="false" customHeight="false" outlineLevel="0" collapsed="false">
      <c r="A237" s="9" t="s">
        <v>573</v>
      </c>
      <c r="B237" s="9" t="s">
        <v>112</v>
      </c>
      <c r="C237" s="9" t="s">
        <v>552</v>
      </c>
      <c r="D237" s="9" t="s">
        <v>132</v>
      </c>
      <c r="E237" s="9" t="s">
        <v>118</v>
      </c>
      <c r="F237" s="9" t="s">
        <v>41</v>
      </c>
      <c r="G237" s="10"/>
      <c r="H237" s="11"/>
      <c r="I237" s="12" t="n">
        <v>5</v>
      </c>
      <c r="J237" s="12" t="n">
        <v>1</v>
      </c>
      <c r="K237" s="13" t="n">
        <f aca="false">IF(I237="","",I237*2-J237)</f>
        <v>9</v>
      </c>
      <c r="L237" s="9" t="str">
        <f aca="false">IF(K237="","",IF(K237&gt;=8,"1 - quick win",IF(K237&gt;=6,"2 - build early",IF(K237&gt;=4,"3 - slower climb","4 - monitor only"))))</f>
        <v>1 - quick win</v>
      </c>
      <c r="M237" s="9" t="s">
        <v>42</v>
      </c>
      <c r="N237" s="9" t="s">
        <v>574</v>
      </c>
      <c r="O237" s="9" t="s">
        <v>564</v>
      </c>
      <c r="P237" s="9"/>
    </row>
    <row r="238" customFormat="false" ht="23.85" hidden="false" customHeight="false" outlineLevel="0" collapsed="false">
      <c r="A238" s="14" t="s">
        <v>575</v>
      </c>
      <c r="B238" s="14" t="s">
        <v>57</v>
      </c>
      <c r="C238" s="14" t="s">
        <v>552</v>
      </c>
      <c r="D238" s="14" t="s">
        <v>132</v>
      </c>
      <c r="E238" s="14" t="s">
        <v>118</v>
      </c>
      <c r="F238" s="14" t="s">
        <v>228</v>
      </c>
      <c r="G238" s="10"/>
      <c r="H238" s="11"/>
      <c r="I238" s="15" t="n">
        <v>3</v>
      </c>
      <c r="J238" s="15" t="n">
        <v>1</v>
      </c>
      <c r="K238" s="16" t="n">
        <f aca="false">IF(I238="","",I238*2-J238)</f>
        <v>5</v>
      </c>
      <c r="L238" s="14" t="str">
        <f aca="false">IF(K238="","",IF(K238&gt;=8,"1 - quick win",IF(K238&gt;=6,"2 - build early",IF(K238&gt;=4,"3 - slower climb","4 - monitor only"))))</f>
        <v>3 - slower climb</v>
      </c>
      <c r="M238" s="14" t="s">
        <v>42</v>
      </c>
      <c r="N238" s="14" t="s">
        <v>576</v>
      </c>
      <c r="O238" s="14" t="s">
        <v>577</v>
      </c>
      <c r="P238" s="14" t="s">
        <v>538</v>
      </c>
    </row>
    <row r="239" customFormat="false" ht="23.85" hidden="false" customHeight="false" outlineLevel="0" collapsed="false">
      <c r="A239" s="9" t="s">
        <v>578</v>
      </c>
      <c r="B239" s="9" t="s">
        <v>57</v>
      </c>
      <c r="C239" s="9" t="s">
        <v>552</v>
      </c>
      <c r="D239" s="9" t="s">
        <v>132</v>
      </c>
      <c r="E239" s="9" t="s">
        <v>118</v>
      </c>
      <c r="F239" s="9" t="s">
        <v>228</v>
      </c>
      <c r="G239" s="10"/>
      <c r="H239" s="11"/>
      <c r="I239" s="12" t="n">
        <v>3</v>
      </c>
      <c r="J239" s="12" t="n">
        <v>1</v>
      </c>
      <c r="K239" s="13" t="n">
        <f aca="false">IF(I239="","",I239*2-J239)</f>
        <v>5</v>
      </c>
      <c r="L239" s="9" t="str">
        <f aca="false">IF(K239="","",IF(K239&gt;=8,"1 - quick win",IF(K239&gt;=6,"2 - build early",IF(K239&gt;=4,"3 - slower climb","4 - monitor only"))))</f>
        <v>3 - slower climb</v>
      </c>
      <c r="M239" s="9" t="s">
        <v>42</v>
      </c>
      <c r="N239" s="9" t="s">
        <v>579</v>
      </c>
      <c r="O239" s="9" t="s">
        <v>577</v>
      </c>
      <c r="P239" s="9" t="s">
        <v>538</v>
      </c>
    </row>
    <row r="240" customFormat="false" ht="23.85" hidden="false" customHeight="false" outlineLevel="0" collapsed="false">
      <c r="A240" s="14" t="s">
        <v>580</v>
      </c>
      <c r="B240" s="14" t="s">
        <v>57</v>
      </c>
      <c r="C240" s="14" t="s">
        <v>552</v>
      </c>
      <c r="D240" s="14" t="s">
        <v>132</v>
      </c>
      <c r="E240" s="14" t="s">
        <v>118</v>
      </c>
      <c r="F240" s="14" t="s">
        <v>520</v>
      </c>
      <c r="G240" s="10"/>
      <c r="H240" s="11"/>
      <c r="I240" s="15" t="n">
        <v>4</v>
      </c>
      <c r="J240" s="15" t="n">
        <v>1</v>
      </c>
      <c r="K240" s="16" t="n">
        <f aca="false">IF(I240="","",I240*2-J240)</f>
        <v>7</v>
      </c>
      <c r="L240" s="14" t="str">
        <f aca="false">IF(K240="","",IF(K240&gt;=8,"1 - quick win",IF(K240&gt;=6,"2 - build early",IF(K240&gt;=4,"3 - slower climb","4 - monitor only"))))</f>
        <v>2 - build early</v>
      </c>
      <c r="M240" s="14" t="s">
        <v>42</v>
      </c>
      <c r="N240" s="14" t="s">
        <v>581</v>
      </c>
      <c r="O240" s="14" t="s">
        <v>582</v>
      </c>
      <c r="P240" s="14" t="s">
        <v>583</v>
      </c>
    </row>
    <row r="241" customFormat="false" ht="15" hidden="false" customHeight="false" outlineLevel="0" collapsed="false">
      <c r="A241" s="9" t="s">
        <v>584</v>
      </c>
      <c r="B241" s="9" t="s">
        <v>57</v>
      </c>
      <c r="C241" s="9" t="s">
        <v>552</v>
      </c>
      <c r="D241" s="9" t="s">
        <v>67</v>
      </c>
      <c r="E241" s="9" t="s">
        <v>118</v>
      </c>
      <c r="F241" s="9" t="s">
        <v>41</v>
      </c>
      <c r="G241" s="10"/>
      <c r="H241" s="11"/>
      <c r="I241" s="12" t="n">
        <v>4</v>
      </c>
      <c r="J241" s="12" t="n">
        <v>1</v>
      </c>
      <c r="K241" s="13" t="n">
        <f aca="false">IF(I241="","",I241*2-J241)</f>
        <v>7</v>
      </c>
      <c r="L241" s="9" t="str">
        <f aca="false">IF(K241="","",IF(K241&gt;=8,"1 - quick win",IF(K241&gt;=6,"2 - build early",IF(K241&gt;=4,"3 - slower climb","4 - monitor only"))))</f>
        <v>2 - build early</v>
      </c>
      <c r="M241" s="9" t="s">
        <v>42</v>
      </c>
      <c r="N241" s="9" t="s">
        <v>585</v>
      </c>
      <c r="O241" s="9" t="s">
        <v>554</v>
      </c>
      <c r="P241" s="9"/>
    </row>
    <row r="242" customFormat="false" ht="23.85" hidden="false" customHeight="false" outlineLevel="0" collapsed="false">
      <c r="A242" s="14" t="s">
        <v>586</v>
      </c>
      <c r="B242" s="14" t="s">
        <v>57</v>
      </c>
      <c r="C242" s="14" t="s">
        <v>552</v>
      </c>
      <c r="D242" s="14" t="s">
        <v>39</v>
      </c>
      <c r="E242" s="14" t="s">
        <v>118</v>
      </c>
      <c r="F242" s="14" t="s">
        <v>41</v>
      </c>
      <c r="G242" s="10"/>
      <c r="H242" s="11"/>
      <c r="I242" s="15" t="n">
        <v>2</v>
      </c>
      <c r="J242" s="15" t="n">
        <v>1</v>
      </c>
      <c r="K242" s="16" t="n">
        <f aca="false">IF(I242="","",I242*2-J242)</f>
        <v>3</v>
      </c>
      <c r="L242" s="14" t="str">
        <f aca="false">IF(K242="","",IF(K242&gt;=8,"1 - quick win",IF(K242&gt;=6,"2 - build early",IF(K242&gt;=4,"3 - slower climb","4 - monitor only"))))</f>
        <v>4 - monitor only</v>
      </c>
      <c r="M242" s="14" t="s">
        <v>54</v>
      </c>
      <c r="N242" s="14" t="s">
        <v>587</v>
      </c>
      <c r="O242" s="14" t="s">
        <v>554</v>
      </c>
      <c r="P242" s="14"/>
    </row>
    <row r="243" customFormat="false" ht="15" hidden="false" customHeight="false" outlineLevel="0" collapsed="false">
      <c r="A243" s="9" t="s">
        <v>588</v>
      </c>
      <c r="B243" s="9" t="s">
        <v>57</v>
      </c>
      <c r="C243" s="9" t="s">
        <v>552</v>
      </c>
      <c r="D243" s="9" t="s">
        <v>132</v>
      </c>
      <c r="E243" s="9" t="s">
        <v>118</v>
      </c>
      <c r="F243" s="9" t="s">
        <v>41</v>
      </c>
      <c r="G243" s="10"/>
      <c r="H243" s="11"/>
      <c r="I243" s="12" t="n">
        <v>3</v>
      </c>
      <c r="J243" s="12" t="n">
        <v>1</v>
      </c>
      <c r="K243" s="13" t="n">
        <f aca="false">IF(I243="","",I243*2-J243)</f>
        <v>5</v>
      </c>
      <c r="L243" s="9" t="str">
        <f aca="false">IF(K243="","",IF(K243&gt;=8,"1 - quick win",IF(K243&gt;=6,"2 - build early",IF(K243&gt;=4,"3 - slower climb","4 - monitor only"))))</f>
        <v>3 - slower climb</v>
      </c>
      <c r="M243" s="9" t="s">
        <v>42</v>
      </c>
      <c r="N243" s="9" t="s">
        <v>589</v>
      </c>
      <c r="O243" s="9" t="s">
        <v>564</v>
      </c>
      <c r="P243" s="9"/>
    </row>
    <row r="244" customFormat="false" ht="23.85" hidden="false" customHeight="false" outlineLevel="0" collapsed="false">
      <c r="A244" s="14" t="s">
        <v>590</v>
      </c>
      <c r="B244" s="14" t="s">
        <v>48</v>
      </c>
      <c r="C244" s="14" t="s">
        <v>591</v>
      </c>
      <c r="D244" s="14" t="s">
        <v>67</v>
      </c>
      <c r="E244" s="14" t="s">
        <v>118</v>
      </c>
      <c r="F244" s="14" t="s">
        <v>41</v>
      </c>
      <c r="G244" s="10"/>
      <c r="H244" s="11"/>
      <c r="I244" s="15" t="n">
        <v>5</v>
      </c>
      <c r="J244" s="15" t="n">
        <v>5</v>
      </c>
      <c r="K244" s="16" t="n">
        <f aca="false">IF(I244="","",I244*2-J244)</f>
        <v>5</v>
      </c>
      <c r="L244" s="14" t="str">
        <f aca="false">IF(K244="","",IF(K244&gt;=8,"1 - quick win",IF(K244&gt;=6,"2 - build early",IF(K244&gt;=4,"3 - slower climb","4 - monitor only"))))</f>
        <v>3 - slower climb</v>
      </c>
      <c r="M244" s="14" t="s">
        <v>42</v>
      </c>
      <c r="N244" s="14" t="s">
        <v>592</v>
      </c>
      <c r="O244" s="14" t="s">
        <v>593</v>
      </c>
      <c r="P244" s="14"/>
    </row>
    <row r="245" customFormat="false" ht="15" hidden="false" customHeight="false" outlineLevel="0" collapsed="false">
      <c r="A245" s="9" t="s">
        <v>594</v>
      </c>
      <c r="B245" s="9" t="s">
        <v>57</v>
      </c>
      <c r="C245" s="9" t="s">
        <v>591</v>
      </c>
      <c r="D245" s="9" t="s">
        <v>67</v>
      </c>
      <c r="E245" s="9" t="s">
        <v>118</v>
      </c>
      <c r="F245" s="9" t="s">
        <v>41</v>
      </c>
      <c r="G245" s="10"/>
      <c r="H245" s="11"/>
      <c r="I245" s="12" t="n">
        <v>5</v>
      </c>
      <c r="J245" s="12" t="n">
        <v>5</v>
      </c>
      <c r="K245" s="13" t="n">
        <f aca="false">IF(I245="","",I245*2-J245)</f>
        <v>5</v>
      </c>
      <c r="L245" s="9" t="str">
        <f aca="false">IF(K245="","",IF(K245&gt;=8,"1 - quick win",IF(K245&gt;=6,"2 - build early",IF(K245&gt;=4,"3 - slower climb","4 - monitor only"))))</f>
        <v>3 - slower climb</v>
      </c>
      <c r="M245" s="9" t="s">
        <v>42</v>
      </c>
      <c r="N245" s="9" t="s">
        <v>595</v>
      </c>
      <c r="O245" s="9" t="s">
        <v>593</v>
      </c>
      <c r="P245" s="9"/>
    </row>
    <row r="246" customFormat="false" ht="23.85" hidden="false" customHeight="false" outlineLevel="0" collapsed="false">
      <c r="A246" s="14" t="s">
        <v>596</v>
      </c>
      <c r="B246" s="14" t="s">
        <v>48</v>
      </c>
      <c r="C246" s="14" t="s">
        <v>591</v>
      </c>
      <c r="D246" s="14" t="s">
        <v>67</v>
      </c>
      <c r="E246" s="14" t="s">
        <v>118</v>
      </c>
      <c r="F246" s="14" t="s">
        <v>41</v>
      </c>
      <c r="G246" s="10"/>
      <c r="H246" s="11"/>
      <c r="I246" s="15" t="n">
        <v>5</v>
      </c>
      <c r="J246" s="15" t="n">
        <v>4</v>
      </c>
      <c r="K246" s="16" t="n">
        <f aca="false">IF(I246="","",I246*2-J246)</f>
        <v>6</v>
      </c>
      <c r="L246" s="14" t="str">
        <f aca="false">IF(K246="","",IF(K246&gt;=8,"1 - quick win",IF(K246&gt;=6,"2 - build early",IF(K246&gt;=4,"3 - slower climb","4 - monitor only"))))</f>
        <v>2 - build early</v>
      </c>
      <c r="M246" s="14" t="s">
        <v>42</v>
      </c>
      <c r="N246" s="14" t="s">
        <v>597</v>
      </c>
      <c r="O246" s="14" t="s">
        <v>598</v>
      </c>
      <c r="P246" s="14"/>
    </row>
    <row r="247" customFormat="false" ht="23.85" hidden="false" customHeight="false" outlineLevel="0" collapsed="false">
      <c r="A247" s="9" t="s">
        <v>599</v>
      </c>
      <c r="B247" s="9" t="s">
        <v>57</v>
      </c>
      <c r="C247" s="9" t="s">
        <v>591</v>
      </c>
      <c r="D247" s="9" t="s">
        <v>67</v>
      </c>
      <c r="E247" s="9" t="s">
        <v>118</v>
      </c>
      <c r="F247" s="9" t="s">
        <v>41</v>
      </c>
      <c r="G247" s="10"/>
      <c r="H247" s="11"/>
      <c r="I247" s="12" t="n">
        <v>5</v>
      </c>
      <c r="J247" s="12" t="n">
        <v>4</v>
      </c>
      <c r="K247" s="13" t="n">
        <f aca="false">IF(I247="","",I247*2-J247)</f>
        <v>6</v>
      </c>
      <c r="L247" s="9" t="str">
        <f aca="false">IF(K247="","",IF(K247&gt;=8,"1 - quick win",IF(K247&gt;=6,"2 - build early",IF(K247&gt;=4,"3 - slower climb","4 - monitor only"))))</f>
        <v>2 - build early</v>
      </c>
      <c r="M247" s="9" t="s">
        <v>42</v>
      </c>
      <c r="N247" s="9" t="s">
        <v>600</v>
      </c>
      <c r="O247" s="9" t="s">
        <v>598</v>
      </c>
      <c r="P247" s="9"/>
    </row>
    <row r="248" customFormat="false" ht="23.85" hidden="false" customHeight="false" outlineLevel="0" collapsed="false">
      <c r="A248" s="14" t="s">
        <v>601</v>
      </c>
      <c r="B248" s="14" t="s">
        <v>48</v>
      </c>
      <c r="C248" s="14" t="s">
        <v>591</v>
      </c>
      <c r="D248" s="14" t="s">
        <v>67</v>
      </c>
      <c r="E248" s="14" t="s">
        <v>118</v>
      </c>
      <c r="F248" s="14" t="s">
        <v>41</v>
      </c>
      <c r="G248" s="10"/>
      <c r="H248" s="11"/>
      <c r="I248" s="15" t="n">
        <v>5</v>
      </c>
      <c r="J248" s="15" t="n">
        <v>1</v>
      </c>
      <c r="K248" s="16" t="n">
        <f aca="false">IF(I248="","",I248*2-J248)</f>
        <v>9</v>
      </c>
      <c r="L248" s="14" t="str">
        <f aca="false">IF(K248="","",IF(K248&gt;=8,"1 - quick win",IF(K248&gt;=6,"2 - build early",IF(K248&gt;=4,"3 - slower climb","4 - monitor only"))))</f>
        <v>1 - quick win</v>
      </c>
      <c r="M248" s="14" t="s">
        <v>42</v>
      </c>
      <c r="N248" s="14" t="s">
        <v>602</v>
      </c>
      <c r="O248" s="14" t="s">
        <v>603</v>
      </c>
      <c r="P248" s="14"/>
    </row>
    <row r="249" customFormat="false" ht="15" hidden="false" customHeight="false" outlineLevel="0" collapsed="false">
      <c r="A249" s="9" t="s">
        <v>604</v>
      </c>
      <c r="B249" s="9" t="s">
        <v>48</v>
      </c>
      <c r="C249" s="9" t="s">
        <v>591</v>
      </c>
      <c r="D249" s="9" t="s">
        <v>67</v>
      </c>
      <c r="E249" s="9" t="s">
        <v>118</v>
      </c>
      <c r="F249" s="9" t="s">
        <v>41</v>
      </c>
      <c r="G249" s="10"/>
      <c r="H249" s="11"/>
      <c r="I249" s="12" t="n">
        <v>5</v>
      </c>
      <c r="J249" s="12" t="n">
        <v>1</v>
      </c>
      <c r="K249" s="13" t="n">
        <f aca="false">IF(I249="","",I249*2-J249)</f>
        <v>9</v>
      </c>
      <c r="L249" s="9" t="str">
        <f aca="false">IF(K249="","",IF(K249&gt;=8,"1 - quick win",IF(K249&gt;=6,"2 - build early",IF(K249&gt;=4,"3 - slower climb","4 - monitor only"))))</f>
        <v>1 - quick win</v>
      </c>
      <c r="M249" s="9" t="s">
        <v>42</v>
      </c>
      <c r="N249" s="9" t="s">
        <v>605</v>
      </c>
      <c r="O249" s="9" t="s">
        <v>606</v>
      </c>
      <c r="P249" s="9"/>
    </row>
    <row r="250" customFormat="false" ht="23.85" hidden="false" customHeight="false" outlineLevel="0" collapsed="false">
      <c r="A250" s="14" t="s">
        <v>607</v>
      </c>
      <c r="B250" s="14" t="s">
        <v>57</v>
      </c>
      <c r="C250" s="14" t="s">
        <v>591</v>
      </c>
      <c r="D250" s="14" t="s">
        <v>67</v>
      </c>
      <c r="E250" s="14" t="s">
        <v>118</v>
      </c>
      <c r="F250" s="14" t="s">
        <v>41</v>
      </c>
      <c r="G250" s="10"/>
      <c r="H250" s="11"/>
      <c r="I250" s="15" t="n">
        <v>4</v>
      </c>
      <c r="J250" s="15" t="n">
        <v>2</v>
      </c>
      <c r="K250" s="16" t="n">
        <f aca="false">IF(I250="","",I250*2-J250)</f>
        <v>6</v>
      </c>
      <c r="L250" s="14" t="str">
        <f aca="false">IF(K250="","",IF(K250&gt;=8,"1 - quick win",IF(K250&gt;=6,"2 - build early",IF(K250&gt;=4,"3 - slower climb","4 - monitor only"))))</f>
        <v>2 - build early</v>
      </c>
      <c r="M250" s="14" t="s">
        <v>42</v>
      </c>
      <c r="N250" s="14" t="s">
        <v>608</v>
      </c>
      <c r="O250" s="14" t="s">
        <v>123</v>
      </c>
      <c r="P250" s="14"/>
    </row>
    <row r="251" customFormat="false" ht="15" hidden="false" customHeight="false" outlineLevel="0" collapsed="false">
      <c r="A251" s="9" t="s">
        <v>609</v>
      </c>
      <c r="B251" s="9" t="s">
        <v>57</v>
      </c>
      <c r="C251" s="9" t="s">
        <v>591</v>
      </c>
      <c r="D251" s="9" t="s">
        <v>67</v>
      </c>
      <c r="E251" s="9" t="s">
        <v>118</v>
      </c>
      <c r="F251" s="9" t="s">
        <v>41</v>
      </c>
      <c r="G251" s="10"/>
      <c r="H251" s="11"/>
      <c r="I251" s="12" t="n">
        <v>5</v>
      </c>
      <c r="J251" s="12" t="n">
        <v>2</v>
      </c>
      <c r="K251" s="13" t="n">
        <f aca="false">IF(I251="","",I251*2-J251)</f>
        <v>8</v>
      </c>
      <c r="L251" s="9" t="str">
        <f aca="false">IF(K251="","",IF(K251&gt;=8,"1 - quick win",IF(K251&gt;=6,"2 - build early",IF(K251&gt;=4,"3 - slower climb","4 - monitor only"))))</f>
        <v>1 - quick win</v>
      </c>
      <c r="M251" s="9" t="s">
        <v>42</v>
      </c>
      <c r="N251" s="9" t="s">
        <v>610</v>
      </c>
      <c r="O251" s="9" t="s">
        <v>123</v>
      </c>
      <c r="P251" s="9"/>
    </row>
    <row r="252" customFormat="false" ht="23.85" hidden="false" customHeight="false" outlineLevel="0" collapsed="false">
      <c r="A252" s="14" t="s">
        <v>611</v>
      </c>
      <c r="B252" s="14" t="s">
        <v>48</v>
      </c>
      <c r="C252" s="14" t="s">
        <v>591</v>
      </c>
      <c r="D252" s="14" t="s">
        <v>67</v>
      </c>
      <c r="E252" s="14" t="s">
        <v>58</v>
      </c>
      <c r="F252" s="14" t="s">
        <v>41</v>
      </c>
      <c r="G252" s="10"/>
      <c r="H252" s="11"/>
      <c r="I252" s="15" t="n">
        <v>5</v>
      </c>
      <c r="J252" s="15" t="n">
        <v>2</v>
      </c>
      <c r="K252" s="16" t="n">
        <f aca="false">IF(I252="","",I252*2-J252)</f>
        <v>8</v>
      </c>
      <c r="L252" s="14" t="str">
        <f aca="false">IF(K252="","",IF(K252&gt;=8,"1 - quick win",IF(K252&gt;=6,"2 - build early",IF(K252&gt;=4,"3 - slower climb","4 - monitor only"))))</f>
        <v>1 - quick win</v>
      </c>
      <c r="M252" s="14" t="s">
        <v>42</v>
      </c>
      <c r="N252" s="14" t="s">
        <v>612</v>
      </c>
      <c r="O252" s="14" t="s">
        <v>613</v>
      </c>
      <c r="P252" s="14"/>
    </row>
    <row r="253" customFormat="false" ht="15" hidden="false" customHeight="false" outlineLevel="0" collapsed="false">
      <c r="A253" s="9" t="s">
        <v>614</v>
      </c>
      <c r="B253" s="9" t="s">
        <v>57</v>
      </c>
      <c r="C253" s="9" t="s">
        <v>591</v>
      </c>
      <c r="D253" s="9" t="s">
        <v>67</v>
      </c>
      <c r="E253" s="9" t="s">
        <v>58</v>
      </c>
      <c r="F253" s="9" t="s">
        <v>41</v>
      </c>
      <c r="G253" s="10"/>
      <c r="H253" s="11"/>
      <c r="I253" s="12" t="n">
        <v>4</v>
      </c>
      <c r="J253" s="12" t="n">
        <v>1</v>
      </c>
      <c r="K253" s="13" t="n">
        <f aca="false">IF(I253="","",I253*2-J253)</f>
        <v>7</v>
      </c>
      <c r="L253" s="9" t="str">
        <f aca="false">IF(K253="","",IF(K253&gt;=8,"1 - quick win",IF(K253&gt;=6,"2 - build early",IF(K253&gt;=4,"3 - slower climb","4 - monitor only"))))</f>
        <v>2 - build early</v>
      </c>
      <c r="M253" s="9" t="s">
        <v>42</v>
      </c>
      <c r="N253" s="9" t="s">
        <v>615</v>
      </c>
      <c r="O253" s="9" t="s">
        <v>613</v>
      </c>
      <c r="P253" s="9"/>
    </row>
    <row r="254" customFormat="false" ht="23.85" hidden="false" customHeight="false" outlineLevel="0" collapsed="false">
      <c r="A254" s="14" t="s">
        <v>616</v>
      </c>
      <c r="B254" s="14" t="s">
        <v>57</v>
      </c>
      <c r="C254" s="14" t="s">
        <v>591</v>
      </c>
      <c r="D254" s="14" t="s">
        <v>67</v>
      </c>
      <c r="E254" s="14" t="s">
        <v>58</v>
      </c>
      <c r="F254" s="14" t="s">
        <v>41</v>
      </c>
      <c r="G254" s="10"/>
      <c r="H254" s="11"/>
      <c r="I254" s="15" t="n">
        <v>4</v>
      </c>
      <c r="J254" s="15" t="n">
        <v>2</v>
      </c>
      <c r="K254" s="16" t="n">
        <f aca="false">IF(I254="","",I254*2-J254)</f>
        <v>6</v>
      </c>
      <c r="L254" s="14" t="str">
        <f aca="false">IF(K254="","",IF(K254&gt;=8,"1 - quick win",IF(K254&gt;=6,"2 - build early",IF(K254&gt;=4,"3 - slower climb","4 - monitor only"))))</f>
        <v>2 - build early</v>
      </c>
      <c r="M254" s="14" t="s">
        <v>42</v>
      </c>
      <c r="N254" s="14" t="s">
        <v>617</v>
      </c>
      <c r="O254" s="14" t="s">
        <v>598</v>
      </c>
      <c r="P254" s="14"/>
    </row>
    <row r="255" customFormat="false" ht="15" hidden="false" customHeight="false" outlineLevel="0" collapsed="false">
      <c r="A255" s="9" t="s">
        <v>618</v>
      </c>
      <c r="B255" s="9" t="s">
        <v>57</v>
      </c>
      <c r="C255" s="9" t="s">
        <v>591</v>
      </c>
      <c r="D255" s="9" t="s">
        <v>67</v>
      </c>
      <c r="E255" s="9" t="s">
        <v>118</v>
      </c>
      <c r="F255" s="9" t="s">
        <v>41</v>
      </c>
      <c r="G255" s="10"/>
      <c r="H255" s="11"/>
      <c r="I255" s="12" t="n">
        <v>3</v>
      </c>
      <c r="J255" s="12" t="n">
        <v>1</v>
      </c>
      <c r="K255" s="13" t="n">
        <f aca="false">IF(I255="","",I255*2-J255)</f>
        <v>5</v>
      </c>
      <c r="L255" s="9" t="str">
        <f aca="false">IF(K255="","",IF(K255&gt;=8,"1 - quick win",IF(K255&gt;=6,"2 - build early",IF(K255&gt;=4,"3 - slower climb","4 - monitor only"))))</f>
        <v>3 - slower climb</v>
      </c>
      <c r="M255" s="9" t="s">
        <v>54</v>
      </c>
      <c r="N255" s="9" t="s">
        <v>619</v>
      </c>
      <c r="O255" s="9" t="s">
        <v>219</v>
      </c>
      <c r="P255" s="9"/>
    </row>
    <row r="256" customFormat="false" ht="15" hidden="false" customHeight="false" outlineLevel="0" collapsed="false">
      <c r="A256" s="14" t="s">
        <v>620</v>
      </c>
      <c r="B256" s="14" t="s">
        <v>57</v>
      </c>
      <c r="C256" s="14" t="s">
        <v>591</v>
      </c>
      <c r="D256" s="14" t="s">
        <v>67</v>
      </c>
      <c r="E256" s="14" t="s">
        <v>118</v>
      </c>
      <c r="F256" s="14" t="s">
        <v>41</v>
      </c>
      <c r="G256" s="10"/>
      <c r="H256" s="11"/>
      <c r="I256" s="15" t="n">
        <v>4</v>
      </c>
      <c r="J256" s="15" t="n">
        <v>1</v>
      </c>
      <c r="K256" s="16" t="n">
        <f aca="false">IF(I256="","",I256*2-J256)</f>
        <v>7</v>
      </c>
      <c r="L256" s="14" t="str">
        <f aca="false">IF(K256="","",IF(K256&gt;=8,"1 - quick win",IF(K256&gt;=6,"2 - build early",IF(K256&gt;=4,"3 - slower climb","4 - monitor only"))))</f>
        <v>2 - build early</v>
      </c>
      <c r="M256" s="14" t="s">
        <v>42</v>
      </c>
      <c r="N256" s="14" t="s">
        <v>621</v>
      </c>
      <c r="O256" s="14" t="s">
        <v>603</v>
      </c>
      <c r="P256" s="14"/>
    </row>
    <row r="257" customFormat="false" ht="15" hidden="false" customHeight="false" outlineLevel="0" collapsed="false">
      <c r="A257" s="9" t="s">
        <v>622</v>
      </c>
      <c r="B257" s="9" t="s">
        <v>57</v>
      </c>
      <c r="C257" s="9" t="s">
        <v>591</v>
      </c>
      <c r="D257" s="9" t="s">
        <v>67</v>
      </c>
      <c r="E257" s="9" t="s">
        <v>118</v>
      </c>
      <c r="F257" s="9" t="s">
        <v>41</v>
      </c>
      <c r="G257" s="10"/>
      <c r="H257" s="11"/>
      <c r="I257" s="12" t="n">
        <v>3</v>
      </c>
      <c r="J257" s="12" t="n">
        <v>1</v>
      </c>
      <c r="K257" s="13" t="n">
        <f aca="false">IF(I257="","",I257*2-J257)</f>
        <v>5</v>
      </c>
      <c r="L257" s="9" t="str">
        <f aca="false">IF(K257="","",IF(K257&gt;=8,"1 - quick win",IF(K257&gt;=6,"2 - build early",IF(K257&gt;=4,"3 - slower climb","4 - monitor only"))))</f>
        <v>3 - slower climb</v>
      </c>
      <c r="M257" s="9" t="s">
        <v>54</v>
      </c>
      <c r="N257" s="9" t="s">
        <v>481</v>
      </c>
      <c r="O257" s="9" t="s">
        <v>120</v>
      </c>
      <c r="P257" s="9"/>
    </row>
    <row r="258" customFormat="false" ht="15" hidden="false" customHeight="false" outlineLevel="0" collapsed="false">
      <c r="A258" s="14" t="s">
        <v>623</v>
      </c>
      <c r="B258" s="14" t="s">
        <v>48</v>
      </c>
      <c r="C258" s="14" t="s">
        <v>591</v>
      </c>
      <c r="D258" s="14" t="s">
        <v>67</v>
      </c>
      <c r="E258" s="14" t="s">
        <v>58</v>
      </c>
      <c r="F258" s="14" t="s">
        <v>41</v>
      </c>
      <c r="G258" s="10"/>
      <c r="H258" s="11"/>
      <c r="I258" s="15" t="n">
        <v>5</v>
      </c>
      <c r="J258" s="15" t="n">
        <v>2</v>
      </c>
      <c r="K258" s="16" t="n">
        <f aca="false">IF(I258="","",I258*2-J258)</f>
        <v>8</v>
      </c>
      <c r="L258" s="14" t="str">
        <f aca="false">IF(K258="","",IF(K258&gt;=8,"1 - quick win",IF(K258&gt;=6,"2 - build early",IF(K258&gt;=4,"3 - slower climb","4 - monitor only"))))</f>
        <v>1 - quick win</v>
      </c>
      <c r="M258" s="14" t="s">
        <v>42</v>
      </c>
      <c r="N258" s="14" t="s">
        <v>624</v>
      </c>
      <c r="O258" s="14" t="s">
        <v>625</v>
      </c>
      <c r="P258" s="14"/>
    </row>
    <row r="259" customFormat="false" ht="23.85" hidden="false" customHeight="false" outlineLevel="0" collapsed="false">
      <c r="A259" s="9" t="s">
        <v>626</v>
      </c>
      <c r="B259" s="9" t="s">
        <v>37</v>
      </c>
      <c r="C259" s="9" t="s">
        <v>591</v>
      </c>
      <c r="D259" s="9" t="s">
        <v>117</v>
      </c>
      <c r="E259" s="9" t="s">
        <v>58</v>
      </c>
      <c r="F259" s="9" t="s">
        <v>41</v>
      </c>
      <c r="G259" s="10"/>
      <c r="H259" s="11"/>
      <c r="I259" s="12" t="n">
        <v>4</v>
      </c>
      <c r="J259" s="12" t="n">
        <v>4</v>
      </c>
      <c r="K259" s="13" t="n">
        <f aca="false">IF(I259="","",I259*2-J259)</f>
        <v>4</v>
      </c>
      <c r="L259" s="9" t="str">
        <f aca="false">IF(K259="","",IF(K259&gt;=8,"1 - quick win",IF(K259&gt;=6,"2 - build early",IF(K259&gt;=4,"3 - slower climb","4 - monitor only"))))</f>
        <v>3 - slower climb</v>
      </c>
      <c r="M259" s="9" t="s">
        <v>54</v>
      </c>
      <c r="N259" s="9" t="s">
        <v>627</v>
      </c>
      <c r="O259" s="9" t="s">
        <v>625</v>
      </c>
      <c r="P259" s="9"/>
    </row>
    <row r="260" customFormat="false" ht="23.85" hidden="false" customHeight="false" outlineLevel="0" collapsed="false">
      <c r="A260" s="14" t="s">
        <v>628</v>
      </c>
      <c r="B260" s="14" t="s">
        <v>48</v>
      </c>
      <c r="C260" s="14" t="s">
        <v>591</v>
      </c>
      <c r="D260" s="14" t="s">
        <v>117</v>
      </c>
      <c r="E260" s="14" t="s">
        <v>58</v>
      </c>
      <c r="F260" s="14" t="s">
        <v>41</v>
      </c>
      <c r="G260" s="10"/>
      <c r="H260" s="11"/>
      <c r="I260" s="15" t="n">
        <v>4</v>
      </c>
      <c r="J260" s="15" t="n">
        <v>3</v>
      </c>
      <c r="K260" s="16" t="n">
        <f aca="false">IF(I260="","",I260*2-J260)</f>
        <v>5</v>
      </c>
      <c r="L260" s="14" t="str">
        <f aca="false">IF(K260="","",IF(K260&gt;=8,"1 - quick win",IF(K260&gt;=6,"2 - build early",IF(K260&gt;=4,"3 - slower climb","4 - monitor only"))))</f>
        <v>3 - slower climb</v>
      </c>
      <c r="M260" s="14" t="s">
        <v>42</v>
      </c>
      <c r="N260" s="14" t="s">
        <v>629</v>
      </c>
      <c r="O260" s="14" t="s">
        <v>625</v>
      </c>
      <c r="P260" s="14"/>
    </row>
    <row r="261" customFormat="false" ht="23.85" hidden="false" customHeight="false" outlineLevel="0" collapsed="false">
      <c r="A261" s="9" t="s">
        <v>630</v>
      </c>
      <c r="B261" s="9" t="s">
        <v>112</v>
      </c>
      <c r="C261" s="9" t="s">
        <v>591</v>
      </c>
      <c r="D261" s="9" t="s">
        <v>67</v>
      </c>
      <c r="E261" s="9" t="s">
        <v>58</v>
      </c>
      <c r="F261" s="9" t="s">
        <v>41</v>
      </c>
      <c r="G261" s="10"/>
      <c r="H261" s="11"/>
      <c r="I261" s="12" t="n">
        <v>4</v>
      </c>
      <c r="J261" s="12" t="n">
        <v>3</v>
      </c>
      <c r="K261" s="13" t="n">
        <f aca="false">IF(I261="","",I261*2-J261)</f>
        <v>5</v>
      </c>
      <c r="L261" s="9" t="str">
        <f aca="false">IF(K261="","",IF(K261&gt;=8,"1 - quick win",IF(K261&gt;=6,"2 - build early",IF(K261&gt;=4,"3 - slower climb","4 - monitor only"))))</f>
        <v>3 - slower climb</v>
      </c>
      <c r="M261" s="9" t="s">
        <v>42</v>
      </c>
      <c r="N261" s="9" t="s">
        <v>631</v>
      </c>
      <c r="O261" s="9" t="s">
        <v>598</v>
      </c>
      <c r="P261" s="9"/>
    </row>
    <row r="262" customFormat="false" ht="23.85" hidden="false" customHeight="false" outlineLevel="0" collapsed="false">
      <c r="A262" s="14" t="s">
        <v>632</v>
      </c>
      <c r="B262" s="14" t="s">
        <v>112</v>
      </c>
      <c r="C262" s="14" t="s">
        <v>633</v>
      </c>
      <c r="D262" s="14" t="s">
        <v>108</v>
      </c>
      <c r="E262" s="14" t="s">
        <v>58</v>
      </c>
      <c r="F262" s="14" t="s">
        <v>41</v>
      </c>
      <c r="G262" s="10"/>
      <c r="H262" s="11"/>
      <c r="I262" s="15" t="n">
        <v>5</v>
      </c>
      <c r="J262" s="15" t="n">
        <v>2</v>
      </c>
      <c r="K262" s="16" t="n">
        <f aca="false">IF(I262="","",I262*2-J262)</f>
        <v>8</v>
      </c>
      <c r="L262" s="14" t="str">
        <f aca="false">IF(K262="","",IF(K262&gt;=8,"1 - quick win",IF(K262&gt;=6,"2 - build early",IF(K262&gt;=4,"3 - slower climb","4 - monitor only"))))</f>
        <v>1 - quick win</v>
      </c>
      <c r="M262" s="14" t="s">
        <v>42</v>
      </c>
      <c r="N262" s="14" t="s">
        <v>634</v>
      </c>
      <c r="O262" s="14" t="s">
        <v>506</v>
      </c>
      <c r="P262" s="14"/>
    </row>
    <row r="263" customFormat="false" ht="15" hidden="false" customHeight="false" outlineLevel="0" collapsed="false">
      <c r="A263" s="9" t="s">
        <v>635</v>
      </c>
      <c r="B263" s="9" t="s">
        <v>57</v>
      </c>
      <c r="C263" s="9" t="s">
        <v>633</v>
      </c>
      <c r="D263" s="9" t="s">
        <v>49</v>
      </c>
      <c r="E263" s="9" t="s">
        <v>177</v>
      </c>
      <c r="F263" s="9" t="s">
        <v>41</v>
      </c>
      <c r="G263" s="10"/>
      <c r="H263" s="11"/>
      <c r="I263" s="12" t="n">
        <v>4</v>
      </c>
      <c r="J263" s="12" t="n">
        <v>1</v>
      </c>
      <c r="K263" s="13" t="n">
        <f aca="false">IF(I263="","",I263*2-J263)</f>
        <v>7</v>
      </c>
      <c r="L263" s="9" t="str">
        <f aca="false">IF(K263="","",IF(K263&gt;=8,"1 - quick win",IF(K263&gt;=6,"2 - build early",IF(K263&gt;=4,"3 - slower climb","4 - monitor only"))))</f>
        <v>2 - build early</v>
      </c>
      <c r="M263" s="9" t="s">
        <v>42</v>
      </c>
      <c r="N263" s="9" t="s">
        <v>636</v>
      </c>
      <c r="O263" s="9" t="s">
        <v>506</v>
      </c>
      <c r="P263" s="9"/>
    </row>
    <row r="264" customFormat="false" ht="15" hidden="false" customHeight="false" outlineLevel="0" collapsed="false">
      <c r="A264" s="14" t="s">
        <v>637</v>
      </c>
      <c r="B264" s="14" t="s">
        <v>57</v>
      </c>
      <c r="C264" s="14" t="s">
        <v>633</v>
      </c>
      <c r="D264" s="14" t="s">
        <v>49</v>
      </c>
      <c r="E264" s="14" t="s">
        <v>177</v>
      </c>
      <c r="F264" s="14" t="s">
        <v>41</v>
      </c>
      <c r="G264" s="10"/>
      <c r="H264" s="11"/>
      <c r="I264" s="15" t="n">
        <v>3</v>
      </c>
      <c r="J264" s="15" t="n">
        <v>1</v>
      </c>
      <c r="K264" s="16" t="n">
        <f aca="false">IF(I264="","",I264*2-J264)</f>
        <v>5</v>
      </c>
      <c r="L264" s="14" t="str">
        <f aca="false">IF(K264="","",IF(K264&gt;=8,"1 - quick win",IF(K264&gt;=6,"2 - build early",IF(K264&gt;=4,"3 - slower climb","4 - monitor only"))))</f>
        <v>3 - slower climb</v>
      </c>
      <c r="M264" s="14" t="s">
        <v>54</v>
      </c>
      <c r="N264" s="14" t="s">
        <v>638</v>
      </c>
      <c r="O264" s="14" t="s">
        <v>506</v>
      </c>
      <c r="P264" s="14"/>
    </row>
    <row r="265" customFormat="false" ht="23.85" hidden="false" customHeight="false" outlineLevel="0" collapsed="false">
      <c r="A265" s="9" t="s">
        <v>639</v>
      </c>
      <c r="B265" s="9" t="s">
        <v>112</v>
      </c>
      <c r="C265" s="9" t="s">
        <v>633</v>
      </c>
      <c r="D265" s="9" t="s">
        <v>108</v>
      </c>
      <c r="E265" s="9" t="s">
        <v>177</v>
      </c>
      <c r="F265" s="9" t="s">
        <v>41</v>
      </c>
      <c r="G265" s="10"/>
      <c r="H265" s="11"/>
      <c r="I265" s="12" t="n">
        <v>4</v>
      </c>
      <c r="J265" s="12" t="n">
        <v>1</v>
      </c>
      <c r="K265" s="13" t="n">
        <f aca="false">IF(I265="","",I265*2-J265)</f>
        <v>7</v>
      </c>
      <c r="L265" s="9" t="str">
        <f aca="false">IF(K265="","",IF(K265&gt;=8,"1 - quick win",IF(K265&gt;=6,"2 - build early",IF(K265&gt;=4,"3 - slower climb","4 - monitor only"))))</f>
        <v>2 - build early</v>
      </c>
      <c r="M265" s="9" t="s">
        <v>42</v>
      </c>
      <c r="N265" s="9" t="s">
        <v>640</v>
      </c>
      <c r="O265" s="9" t="s">
        <v>506</v>
      </c>
      <c r="P265" s="9"/>
    </row>
    <row r="266" customFormat="false" ht="23.85" hidden="false" customHeight="false" outlineLevel="0" collapsed="false">
      <c r="A266" s="14" t="s">
        <v>641</v>
      </c>
      <c r="B266" s="14" t="s">
        <v>112</v>
      </c>
      <c r="C266" s="14" t="s">
        <v>633</v>
      </c>
      <c r="D266" s="14" t="s">
        <v>117</v>
      </c>
      <c r="E266" s="14" t="s">
        <v>177</v>
      </c>
      <c r="F266" s="14" t="s">
        <v>41</v>
      </c>
      <c r="G266" s="10"/>
      <c r="H266" s="11"/>
      <c r="I266" s="15" t="n">
        <v>4</v>
      </c>
      <c r="J266" s="15" t="n">
        <v>1</v>
      </c>
      <c r="K266" s="16" t="n">
        <f aca="false">IF(I266="","",I266*2-J266)</f>
        <v>7</v>
      </c>
      <c r="L266" s="14" t="str">
        <f aca="false">IF(K266="","",IF(K266&gt;=8,"1 - quick win",IF(K266&gt;=6,"2 - build early",IF(K266&gt;=4,"3 - slower climb","4 - monitor only"))))</f>
        <v>2 - build early</v>
      </c>
      <c r="M266" s="14" t="s">
        <v>42</v>
      </c>
      <c r="N266" s="14" t="s">
        <v>642</v>
      </c>
      <c r="O266" s="14" t="s">
        <v>120</v>
      </c>
      <c r="P266" s="14"/>
    </row>
    <row r="267" customFormat="false" ht="23.85" hidden="false" customHeight="false" outlineLevel="0" collapsed="false">
      <c r="A267" s="9" t="s">
        <v>643</v>
      </c>
      <c r="B267" s="9" t="s">
        <v>112</v>
      </c>
      <c r="C267" s="9" t="s">
        <v>633</v>
      </c>
      <c r="D267" s="9" t="s">
        <v>132</v>
      </c>
      <c r="E267" s="9" t="s">
        <v>118</v>
      </c>
      <c r="F267" s="9" t="s">
        <v>41</v>
      </c>
      <c r="G267" s="10"/>
      <c r="H267" s="11"/>
      <c r="I267" s="12" t="n">
        <v>5</v>
      </c>
      <c r="J267" s="12" t="n">
        <v>1</v>
      </c>
      <c r="K267" s="13" t="n">
        <f aca="false">IF(I267="","",I267*2-J267)</f>
        <v>9</v>
      </c>
      <c r="L267" s="9" t="str">
        <f aca="false">IF(K267="","",IF(K267&gt;=8,"1 - quick win",IF(K267&gt;=6,"2 - build early",IF(K267&gt;=4,"3 - slower climb","4 - monitor only"))))</f>
        <v>1 - quick win</v>
      </c>
      <c r="M267" s="9" t="s">
        <v>42</v>
      </c>
      <c r="N267" s="9" t="s">
        <v>644</v>
      </c>
      <c r="O267" s="9" t="s">
        <v>175</v>
      </c>
      <c r="P267" s="9"/>
    </row>
    <row r="268" customFormat="false" ht="15" hidden="false" customHeight="false" outlineLevel="0" collapsed="false">
      <c r="A268" s="14" t="s">
        <v>645</v>
      </c>
      <c r="B268" s="14" t="s">
        <v>112</v>
      </c>
      <c r="C268" s="14" t="s">
        <v>633</v>
      </c>
      <c r="D268" s="14" t="s">
        <v>49</v>
      </c>
      <c r="E268" s="14" t="s">
        <v>118</v>
      </c>
      <c r="F268" s="14" t="s">
        <v>41</v>
      </c>
      <c r="G268" s="10"/>
      <c r="H268" s="11"/>
      <c r="I268" s="15" t="n">
        <v>4</v>
      </c>
      <c r="J268" s="15" t="n">
        <v>1</v>
      </c>
      <c r="K268" s="16" t="n">
        <f aca="false">IF(I268="","",I268*2-J268)</f>
        <v>7</v>
      </c>
      <c r="L268" s="14" t="str">
        <f aca="false">IF(K268="","",IF(K268&gt;=8,"1 - quick win",IF(K268&gt;=6,"2 - build early",IF(K268&gt;=4,"3 - slower climb","4 - monitor only"))))</f>
        <v>2 - build early</v>
      </c>
      <c r="M268" s="14" t="s">
        <v>42</v>
      </c>
      <c r="N268" s="14" t="s">
        <v>646</v>
      </c>
      <c r="O268" s="14" t="s">
        <v>123</v>
      </c>
      <c r="P268" s="14"/>
    </row>
    <row r="269" customFormat="false" ht="15" hidden="false" customHeight="false" outlineLevel="0" collapsed="false">
      <c r="A269" s="9" t="s">
        <v>647</v>
      </c>
      <c r="B269" s="9" t="s">
        <v>57</v>
      </c>
      <c r="C269" s="9" t="s">
        <v>633</v>
      </c>
      <c r="D269" s="9" t="s">
        <v>132</v>
      </c>
      <c r="E269" s="9" t="s">
        <v>173</v>
      </c>
      <c r="F269" s="9" t="s">
        <v>41</v>
      </c>
      <c r="G269" s="10"/>
      <c r="H269" s="11"/>
      <c r="I269" s="12" t="n">
        <v>3</v>
      </c>
      <c r="J269" s="12" t="n">
        <v>1</v>
      </c>
      <c r="K269" s="13" t="n">
        <f aca="false">IF(I269="","",I269*2-J269)</f>
        <v>5</v>
      </c>
      <c r="L269" s="9" t="str">
        <f aca="false">IF(K269="","",IF(K269&gt;=8,"1 - quick win",IF(K269&gt;=6,"2 - build early",IF(K269&gt;=4,"3 - slower climb","4 - monitor only"))))</f>
        <v>3 - slower climb</v>
      </c>
      <c r="M269" s="9" t="s">
        <v>54</v>
      </c>
      <c r="N269" s="9" t="s">
        <v>648</v>
      </c>
      <c r="O269" s="9" t="s">
        <v>649</v>
      </c>
      <c r="P269" s="9"/>
    </row>
    <row r="270" customFormat="false" ht="23.85" hidden="false" customHeight="false" outlineLevel="0" collapsed="false">
      <c r="A270" s="14" t="s">
        <v>650</v>
      </c>
      <c r="B270" s="14" t="s">
        <v>112</v>
      </c>
      <c r="C270" s="14" t="s">
        <v>633</v>
      </c>
      <c r="D270" s="14" t="s">
        <v>132</v>
      </c>
      <c r="E270" s="14" t="s">
        <v>118</v>
      </c>
      <c r="F270" s="14" t="s">
        <v>41</v>
      </c>
      <c r="G270" s="10"/>
      <c r="H270" s="11"/>
      <c r="I270" s="15" t="n">
        <v>4</v>
      </c>
      <c r="J270" s="15" t="n">
        <v>1</v>
      </c>
      <c r="K270" s="16" t="n">
        <f aca="false">IF(I270="","",I270*2-J270)</f>
        <v>7</v>
      </c>
      <c r="L270" s="14" t="str">
        <f aca="false">IF(K270="","",IF(K270&gt;=8,"1 - quick win",IF(K270&gt;=6,"2 - build early",IF(K270&gt;=4,"3 - slower climb","4 - monitor only"))))</f>
        <v>2 - build early</v>
      </c>
      <c r="M270" s="14" t="s">
        <v>42</v>
      </c>
      <c r="N270" s="14" t="s">
        <v>651</v>
      </c>
      <c r="O270" s="14" t="s">
        <v>559</v>
      </c>
      <c r="P270" s="14"/>
    </row>
    <row r="271" customFormat="false" ht="23.85" hidden="false" customHeight="false" outlineLevel="0" collapsed="false">
      <c r="A271" s="9" t="s">
        <v>652</v>
      </c>
      <c r="B271" s="9" t="s">
        <v>112</v>
      </c>
      <c r="C271" s="9" t="s">
        <v>633</v>
      </c>
      <c r="D271" s="9" t="s">
        <v>108</v>
      </c>
      <c r="E271" s="9" t="s">
        <v>177</v>
      </c>
      <c r="F271" s="9" t="s">
        <v>41</v>
      </c>
      <c r="G271" s="10"/>
      <c r="H271" s="11"/>
      <c r="I271" s="12" t="n">
        <v>3</v>
      </c>
      <c r="J271" s="12" t="n">
        <v>1</v>
      </c>
      <c r="K271" s="13" t="n">
        <f aca="false">IF(I271="","",I271*2-J271)</f>
        <v>5</v>
      </c>
      <c r="L271" s="9" t="str">
        <f aca="false">IF(K271="","",IF(K271&gt;=8,"1 - quick win",IF(K271&gt;=6,"2 - build early",IF(K271&gt;=4,"3 - slower climb","4 - monitor only"))))</f>
        <v>3 - slower climb</v>
      </c>
      <c r="M271" s="9" t="s">
        <v>54</v>
      </c>
      <c r="N271" s="9" t="s">
        <v>556</v>
      </c>
      <c r="O271" s="9" t="s">
        <v>506</v>
      </c>
      <c r="P271" s="9"/>
    </row>
    <row r="272" customFormat="false" ht="15" hidden="false" customHeight="false" outlineLevel="0" collapsed="false">
      <c r="A272" s="14" t="s">
        <v>653</v>
      </c>
      <c r="B272" s="14" t="s">
        <v>112</v>
      </c>
      <c r="C272" s="14" t="s">
        <v>633</v>
      </c>
      <c r="D272" s="14" t="s">
        <v>132</v>
      </c>
      <c r="E272" s="14" t="s">
        <v>118</v>
      </c>
      <c r="F272" s="14" t="s">
        <v>41</v>
      </c>
      <c r="G272" s="10"/>
      <c r="H272" s="11"/>
      <c r="I272" s="15" t="n">
        <v>4</v>
      </c>
      <c r="J272" s="15" t="n">
        <v>1</v>
      </c>
      <c r="K272" s="16" t="n">
        <f aca="false">IF(I272="","",I272*2-J272)</f>
        <v>7</v>
      </c>
      <c r="L272" s="14" t="str">
        <f aca="false">IF(K272="","",IF(K272&gt;=8,"1 - quick win",IF(K272&gt;=6,"2 - build early",IF(K272&gt;=4,"3 - slower climb","4 - monitor only"))))</f>
        <v>2 - build early</v>
      </c>
      <c r="M272" s="14" t="s">
        <v>42</v>
      </c>
      <c r="N272" s="14" t="s">
        <v>654</v>
      </c>
      <c r="O272" s="14" t="s">
        <v>655</v>
      </c>
      <c r="P272" s="14"/>
    </row>
    <row r="273" customFormat="false" ht="23.85" hidden="false" customHeight="false" outlineLevel="0" collapsed="false">
      <c r="A273" s="9" t="s">
        <v>656</v>
      </c>
      <c r="B273" s="9" t="s">
        <v>57</v>
      </c>
      <c r="C273" s="9" t="s">
        <v>633</v>
      </c>
      <c r="D273" s="9" t="s">
        <v>49</v>
      </c>
      <c r="E273" s="9" t="s">
        <v>58</v>
      </c>
      <c r="F273" s="9" t="s">
        <v>41</v>
      </c>
      <c r="G273" s="10"/>
      <c r="H273" s="11"/>
      <c r="I273" s="12" t="n">
        <v>4</v>
      </c>
      <c r="J273" s="12" t="n">
        <v>1</v>
      </c>
      <c r="K273" s="13" t="n">
        <f aca="false">IF(I273="","",I273*2-J273)</f>
        <v>7</v>
      </c>
      <c r="L273" s="9" t="str">
        <f aca="false">IF(K273="","",IF(K273&gt;=8,"1 - quick win",IF(K273&gt;=6,"2 - build early",IF(K273&gt;=4,"3 - slower climb","4 - monitor only"))))</f>
        <v>2 - build early</v>
      </c>
      <c r="M273" s="9" t="s">
        <v>42</v>
      </c>
      <c r="N273" s="9" t="s">
        <v>657</v>
      </c>
      <c r="O273" s="9" t="s">
        <v>281</v>
      </c>
      <c r="P273" s="9"/>
    </row>
    <row r="274" customFormat="false" ht="23.85" hidden="false" customHeight="false" outlineLevel="0" collapsed="false">
      <c r="A274" s="14" t="s">
        <v>658</v>
      </c>
      <c r="B274" s="14" t="s">
        <v>112</v>
      </c>
      <c r="C274" s="14" t="s">
        <v>659</v>
      </c>
      <c r="D274" s="14" t="s">
        <v>132</v>
      </c>
      <c r="E274" s="14" t="s">
        <v>58</v>
      </c>
      <c r="F274" s="14" t="s">
        <v>41</v>
      </c>
      <c r="G274" s="10"/>
      <c r="H274" s="11"/>
      <c r="I274" s="15" t="n">
        <v>4</v>
      </c>
      <c r="J274" s="15" t="n">
        <v>2</v>
      </c>
      <c r="K274" s="16" t="n">
        <f aca="false">IF(I274="","",I274*2-J274)</f>
        <v>6</v>
      </c>
      <c r="L274" s="14" t="str">
        <f aca="false">IF(K274="","",IF(K274&gt;=8,"1 - quick win",IF(K274&gt;=6,"2 - build early",IF(K274&gt;=4,"3 - slower climb","4 - monitor only"))))</f>
        <v>2 - build early</v>
      </c>
      <c r="M274" s="14" t="s">
        <v>42</v>
      </c>
      <c r="N274" s="14" t="s">
        <v>660</v>
      </c>
      <c r="O274" s="14" t="s">
        <v>661</v>
      </c>
      <c r="P274" s="14"/>
    </row>
    <row r="275" customFormat="false" ht="15" hidden="false" customHeight="false" outlineLevel="0" collapsed="false">
      <c r="A275" s="9" t="s">
        <v>662</v>
      </c>
      <c r="B275" s="9" t="s">
        <v>112</v>
      </c>
      <c r="C275" s="9" t="s">
        <v>659</v>
      </c>
      <c r="D275" s="9" t="s">
        <v>132</v>
      </c>
      <c r="E275" s="9" t="s">
        <v>118</v>
      </c>
      <c r="F275" s="9" t="s">
        <v>41</v>
      </c>
      <c r="G275" s="10"/>
      <c r="H275" s="11"/>
      <c r="I275" s="12" t="n">
        <v>5</v>
      </c>
      <c r="J275" s="12" t="n">
        <v>3</v>
      </c>
      <c r="K275" s="13" t="n">
        <f aca="false">IF(I275="","",I275*2-J275)</f>
        <v>7</v>
      </c>
      <c r="L275" s="9" t="str">
        <f aca="false">IF(K275="","",IF(K275&gt;=8,"1 - quick win",IF(K275&gt;=6,"2 - build early",IF(K275&gt;=4,"3 - slower climb","4 - monitor only"))))</f>
        <v>2 - build early</v>
      </c>
      <c r="M275" s="9" t="s">
        <v>42</v>
      </c>
      <c r="N275" s="9" t="s">
        <v>663</v>
      </c>
      <c r="O275" s="9" t="s">
        <v>564</v>
      </c>
      <c r="P275" s="9"/>
    </row>
    <row r="276" customFormat="false" ht="23.85" hidden="false" customHeight="false" outlineLevel="0" collapsed="false">
      <c r="A276" s="14" t="s">
        <v>664</v>
      </c>
      <c r="B276" s="14" t="s">
        <v>57</v>
      </c>
      <c r="C276" s="14" t="s">
        <v>659</v>
      </c>
      <c r="D276" s="14" t="s">
        <v>117</v>
      </c>
      <c r="E276" s="14" t="s">
        <v>58</v>
      </c>
      <c r="F276" s="14" t="s">
        <v>41</v>
      </c>
      <c r="G276" s="10"/>
      <c r="H276" s="11"/>
      <c r="I276" s="15" t="n">
        <v>4</v>
      </c>
      <c r="J276" s="15" t="n">
        <v>1</v>
      </c>
      <c r="K276" s="16" t="n">
        <f aca="false">IF(I276="","",I276*2-J276)</f>
        <v>7</v>
      </c>
      <c r="L276" s="14" t="str">
        <f aca="false">IF(K276="","",IF(K276&gt;=8,"1 - quick win",IF(K276&gt;=6,"2 - build early",IF(K276&gt;=4,"3 - slower climb","4 - monitor only"))))</f>
        <v>2 - build early</v>
      </c>
      <c r="M276" s="14" t="s">
        <v>42</v>
      </c>
      <c r="N276" s="14" t="s">
        <v>665</v>
      </c>
      <c r="O276" s="14" t="s">
        <v>428</v>
      </c>
      <c r="P276" s="14"/>
    </row>
    <row r="277" customFormat="false" ht="23.85" hidden="false" customHeight="false" outlineLevel="0" collapsed="false">
      <c r="A277" s="9" t="s">
        <v>666</v>
      </c>
      <c r="B277" s="9" t="s">
        <v>57</v>
      </c>
      <c r="C277" s="9" t="s">
        <v>659</v>
      </c>
      <c r="D277" s="9" t="s">
        <v>108</v>
      </c>
      <c r="E277" s="9" t="s">
        <v>118</v>
      </c>
      <c r="F277" s="9" t="s">
        <v>41</v>
      </c>
      <c r="G277" s="10"/>
      <c r="H277" s="11"/>
      <c r="I277" s="12" t="n">
        <v>4</v>
      </c>
      <c r="J277" s="12" t="n">
        <v>1</v>
      </c>
      <c r="K277" s="13" t="n">
        <f aca="false">IF(I277="","",I277*2-J277)</f>
        <v>7</v>
      </c>
      <c r="L277" s="9" t="str">
        <f aca="false">IF(K277="","",IF(K277&gt;=8,"1 - quick win",IF(K277&gt;=6,"2 - build early",IF(K277&gt;=4,"3 - slower climb","4 - monitor only"))))</f>
        <v>2 - build early</v>
      </c>
      <c r="M277" s="9" t="s">
        <v>42</v>
      </c>
      <c r="N277" s="9" t="s">
        <v>667</v>
      </c>
      <c r="O277" s="9" t="s">
        <v>668</v>
      </c>
      <c r="P277" s="9"/>
    </row>
    <row r="278" customFormat="false" ht="15" hidden="false" customHeight="false" outlineLevel="0" collapsed="false">
      <c r="A278" s="14" t="s">
        <v>669</v>
      </c>
      <c r="B278" s="14" t="s">
        <v>57</v>
      </c>
      <c r="C278" s="14" t="s">
        <v>659</v>
      </c>
      <c r="D278" s="14" t="s">
        <v>49</v>
      </c>
      <c r="E278" s="14" t="s">
        <v>118</v>
      </c>
      <c r="F278" s="14" t="s">
        <v>41</v>
      </c>
      <c r="G278" s="10"/>
      <c r="H278" s="11"/>
      <c r="I278" s="15" t="n">
        <v>3</v>
      </c>
      <c r="J278" s="15" t="n">
        <v>1</v>
      </c>
      <c r="K278" s="16" t="n">
        <f aca="false">IF(I278="","",I278*2-J278)</f>
        <v>5</v>
      </c>
      <c r="L278" s="14" t="str">
        <f aca="false">IF(K278="","",IF(K278&gt;=8,"1 - quick win",IF(K278&gt;=6,"2 - build early",IF(K278&gt;=4,"3 - slower climb","4 - monitor only"))))</f>
        <v>3 - slower climb</v>
      </c>
      <c r="M278" s="14" t="s">
        <v>54</v>
      </c>
      <c r="N278" s="14" t="s">
        <v>670</v>
      </c>
      <c r="O278" s="14" t="s">
        <v>671</v>
      </c>
      <c r="P278" s="14"/>
    </row>
    <row r="279" customFormat="false" ht="23.85" hidden="false" customHeight="false" outlineLevel="0" collapsed="false">
      <c r="A279" s="9" t="s">
        <v>672</v>
      </c>
      <c r="B279" s="9" t="s">
        <v>112</v>
      </c>
      <c r="C279" s="9" t="s">
        <v>659</v>
      </c>
      <c r="D279" s="9" t="s">
        <v>67</v>
      </c>
      <c r="E279" s="9" t="s">
        <v>58</v>
      </c>
      <c r="F279" s="9" t="s">
        <v>41</v>
      </c>
      <c r="G279" s="10"/>
      <c r="H279" s="11"/>
      <c r="I279" s="12" t="n">
        <v>5</v>
      </c>
      <c r="J279" s="12" t="n">
        <v>1</v>
      </c>
      <c r="K279" s="13" t="n">
        <f aca="false">IF(I279="","",I279*2-J279)</f>
        <v>9</v>
      </c>
      <c r="L279" s="9" t="str">
        <f aca="false">IF(K279="","",IF(K279&gt;=8,"1 - quick win",IF(K279&gt;=6,"2 - build early",IF(K279&gt;=4,"3 - slower climb","4 - monitor only"))))</f>
        <v>1 - quick win</v>
      </c>
      <c r="M279" s="9" t="s">
        <v>42</v>
      </c>
      <c r="N279" s="9" t="s">
        <v>673</v>
      </c>
      <c r="O279" s="9" t="s">
        <v>613</v>
      </c>
      <c r="P279" s="9"/>
    </row>
    <row r="280" customFormat="false" ht="15" hidden="false" customHeight="false" outlineLevel="0" collapsed="false">
      <c r="A280" s="14" t="s">
        <v>674</v>
      </c>
      <c r="B280" s="14" t="s">
        <v>57</v>
      </c>
      <c r="C280" s="14" t="s">
        <v>659</v>
      </c>
      <c r="D280" s="14" t="s">
        <v>49</v>
      </c>
      <c r="E280" s="14" t="s">
        <v>118</v>
      </c>
      <c r="F280" s="14" t="s">
        <v>41</v>
      </c>
      <c r="G280" s="10"/>
      <c r="H280" s="11"/>
      <c r="I280" s="15" t="n">
        <v>4</v>
      </c>
      <c r="J280" s="15" t="n">
        <v>2</v>
      </c>
      <c r="K280" s="16" t="n">
        <f aca="false">IF(I280="","",I280*2-J280)</f>
        <v>6</v>
      </c>
      <c r="L280" s="14" t="str">
        <f aca="false">IF(K280="","",IF(K280&gt;=8,"1 - quick win",IF(K280&gt;=6,"2 - build early",IF(K280&gt;=4,"3 - slower climb","4 - monitor only"))))</f>
        <v>2 - build early</v>
      </c>
      <c r="M280" s="14" t="s">
        <v>42</v>
      </c>
      <c r="N280" s="14" t="s">
        <v>675</v>
      </c>
      <c r="O280" s="14" t="s">
        <v>486</v>
      </c>
      <c r="P280" s="14"/>
    </row>
    <row r="281" customFormat="false" ht="15" hidden="false" customHeight="false" outlineLevel="0" collapsed="false">
      <c r="A281" s="9" t="s">
        <v>676</v>
      </c>
      <c r="B281" s="9" t="s">
        <v>57</v>
      </c>
      <c r="C281" s="9" t="s">
        <v>659</v>
      </c>
      <c r="D281" s="9" t="s">
        <v>49</v>
      </c>
      <c r="E281" s="9" t="s">
        <v>40</v>
      </c>
      <c r="F281" s="9" t="s">
        <v>41</v>
      </c>
      <c r="G281" s="10"/>
      <c r="H281" s="11"/>
      <c r="I281" s="12" t="n">
        <v>4</v>
      </c>
      <c r="J281" s="12" t="n">
        <v>1</v>
      </c>
      <c r="K281" s="13" t="n">
        <f aca="false">IF(I281="","",I281*2-J281)</f>
        <v>7</v>
      </c>
      <c r="L281" s="9" t="str">
        <f aca="false">IF(K281="","",IF(K281&gt;=8,"1 - quick win",IF(K281&gt;=6,"2 - build early",IF(K281&gt;=4,"3 - slower climb","4 - monitor only"))))</f>
        <v>2 - build early</v>
      </c>
      <c r="M281" s="9" t="s">
        <v>42</v>
      </c>
      <c r="N281" s="9" t="s">
        <v>677</v>
      </c>
      <c r="O281" s="9" t="s">
        <v>63</v>
      </c>
      <c r="P281" s="9"/>
    </row>
    <row r="282" customFormat="false" ht="23.85" hidden="false" customHeight="false" outlineLevel="0" collapsed="false">
      <c r="A282" s="14" t="s">
        <v>678</v>
      </c>
      <c r="B282" s="14" t="s">
        <v>57</v>
      </c>
      <c r="C282" s="14" t="s">
        <v>659</v>
      </c>
      <c r="D282" s="14" t="s">
        <v>132</v>
      </c>
      <c r="E282" s="14" t="s">
        <v>118</v>
      </c>
      <c r="F282" s="14" t="s">
        <v>41</v>
      </c>
      <c r="G282" s="10"/>
      <c r="H282" s="11"/>
      <c r="I282" s="15" t="n">
        <v>2</v>
      </c>
      <c r="J282" s="15" t="n">
        <v>1</v>
      </c>
      <c r="K282" s="16" t="n">
        <f aca="false">IF(I282="","",I282*2-J282)</f>
        <v>3</v>
      </c>
      <c r="L282" s="14" t="str">
        <f aca="false">IF(K282="","",IF(K282&gt;=8,"1 - quick win",IF(K282&gt;=6,"2 - build early",IF(K282&gt;=4,"3 - slower climb","4 - monitor only"))))</f>
        <v>4 - monitor only</v>
      </c>
      <c r="M282" s="14" t="s">
        <v>54</v>
      </c>
      <c r="N282" s="14" t="s">
        <v>679</v>
      </c>
      <c r="O282" s="14" t="s">
        <v>564</v>
      </c>
      <c r="P282" s="14"/>
    </row>
    <row r="283" customFormat="false" ht="23.85" hidden="false" customHeight="false" outlineLevel="0" collapsed="false">
      <c r="A283" s="9" t="s">
        <v>680</v>
      </c>
      <c r="B283" s="9" t="s">
        <v>48</v>
      </c>
      <c r="C283" s="9" t="s">
        <v>681</v>
      </c>
      <c r="D283" s="9" t="s">
        <v>67</v>
      </c>
      <c r="E283" s="9" t="s">
        <v>118</v>
      </c>
      <c r="F283" s="9" t="s">
        <v>228</v>
      </c>
      <c r="G283" s="10"/>
      <c r="H283" s="11"/>
      <c r="I283" s="12" t="n">
        <v>5</v>
      </c>
      <c r="J283" s="12" t="n">
        <v>3</v>
      </c>
      <c r="K283" s="13" t="n">
        <f aca="false">IF(I283="","",I283*2-J283)</f>
        <v>7</v>
      </c>
      <c r="L283" s="9" t="str">
        <f aca="false">IF(K283="","",IF(K283&gt;=8,"1 - quick win",IF(K283&gt;=6,"2 - build early",IF(K283&gt;=4,"3 - slower climb","4 - monitor only"))))</f>
        <v>2 - build early</v>
      </c>
      <c r="M283" s="9" t="s">
        <v>42</v>
      </c>
      <c r="N283" s="9" t="s">
        <v>682</v>
      </c>
      <c r="O283" s="9" t="s">
        <v>683</v>
      </c>
      <c r="P283" s="9" t="s">
        <v>684</v>
      </c>
    </row>
    <row r="284" customFormat="false" ht="15" hidden="false" customHeight="false" outlineLevel="0" collapsed="false">
      <c r="A284" s="14" t="s">
        <v>685</v>
      </c>
      <c r="B284" s="14" t="s">
        <v>57</v>
      </c>
      <c r="C284" s="14" t="s">
        <v>681</v>
      </c>
      <c r="D284" s="14" t="s">
        <v>67</v>
      </c>
      <c r="E284" s="14" t="s">
        <v>118</v>
      </c>
      <c r="F284" s="14" t="s">
        <v>228</v>
      </c>
      <c r="G284" s="10"/>
      <c r="H284" s="11"/>
      <c r="I284" s="15" t="n">
        <v>5</v>
      </c>
      <c r="J284" s="15" t="n">
        <v>2</v>
      </c>
      <c r="K284" s="16" t="n">
        <f aca="false">IF(I284="","",I284*2-J284)</f>
        <v>8</v>
      </c>
      <c r="L284" s="14" t="str">
        <f aca="false">IF(K284="","",IF(K284&gt;=8,"1 - quick win",IF(K284&gt;=6,"2 - build early",IF(K284&gt;=4,"3 - slower climb","4 - monitor only"))))</f>
        <v>1 - quick win</v>
      </c>
      <c r="M284" s="14" t="s">
        <v>42</v>
      </c>
      <c r="N284" s="14" t="s">
        <v>686</v>
      </c>
      <c r="O284" s="14" t="s">
        <v>683</v>
      </c>
      <c r="P284" s="14" t="s">
        <v>684</v>
      </c>
    </row>
    <row r="285" customFormat="false" ht="15" hidden="false" customHeight="false" outlineLevel="0" collapsed="false">
      <c r="A285" s="9" t="s">
        <v>687</v>
      </c>
      <c r="B285" s="9" t="s">
        <v>57</v>
      </c>
      <c r="C285" s="9" t="s">
        <v>681</v>
      </c>
      <c r="D285" s="9" t="s">
        <v>67</v>
      </c>
      <c r="E285" s="9" t="s">
        <v>118</v>
      </c>
      <c r="F285" s="9" t="s">
        <v>228</v>
      </c>
      <c r="G285" s="10"/>
      <c r="H285" s="11"/>
      <c r="I285" s="12" t="n">
        <v>5</v>
      </c>
      <c r="J285" s="12" t="n">
        <v>3</v>
      </c>
      <c r="K285" s="13" t="n">
        <f aca="false">IF(I285="","",I285*2-J285)</f>
        <v>7</v>
      </c>
      <c r="L285" s="9" t="str">
        <f aca="false">IF(K285="","",IF(K285&gt;=8,"1 - quick win",IF(K285&gt;=6,"2 - build early",IF(K285&gt;=4,"3 - slower climb","4 - monitor only"))))</f>
        <v>2 - build early</v>
      </c>
      <c r="M285" s="9" t="s">
        <v>42</v>
      </c>
      <c r="N285" s="9" t="s">
        <v>688</v>
      </c>
      <c r="O285" s="9" t="s">
        <v>683</v>
      </c>
      <c r="P285" s="9" t="s">
        <v>684</v>
      </c>
    </row>
    <row r="286" customFormat="false" ht="15" hidden="false" customHeight="false" outlineLevel="0" collapsed="false">
      <c r="A286" s="14" t="s">
        <v>689</v>
      </c>
      <c r="B286" s="14" t="s">
        <v>57</v>
      </c>
      <c r="C286" s="14" t="s">
        <v>681</v>
      </c>
      <c r="D286" s="14" t="s">
        <v>67</v>
      </c>
      <c r="E286" s="14" t="s">
        <v>68</v>
      </c>
      <c r="F286" s="14" t="s">
        <v>228</v>
      </c>
      <c r="G286" s="10"/>
      <c r="H286" s="11"/>
      <c r="I286" s="15" t="n">
        <v>5</v>
      </c>
      <c r="J286" s="15" t="n">
        <v>2</v>
      </c>
      <c r="K286" s="16" t="n">
        <f aca="false">IF(I286="","",I286*2-J286)</f>
        <v>8</v>
      </c>
      <c r="L286" s="14" t="str">
        <f aca="false">IF(K286="","",IF(K286&gt;=8,"1 - quick win",IF(K286&gt;=6,"2 - build early",IF(K286&gt;=4,"3 - slower climb","4 - monitor only"))))</f>
        <v>1 - quick win</v>
      </c>
      <c r="M286" s="14" t="s">
        <v>54</v>
      </c>
      <c r="N286" s="14" t="s">
        <v>690</v>
      </c>
      <c r="O286" s="14" t="s">
        <v>683</v>
      </c>
      <c r="P286" s="14" t="s">
        <v>684</v>
      </c>
    </row>
    <row r="287" customFormat="false" ht="23.85" hidden="false" customHeight="false" outlineLevel="0" collapsed="false">
      <c r="A287" s="9" t="s">
        <v>691</v>
      </c>
      <c r="B287" s="9" t="s">
        <v>57</v>
      </c>
      <c r="C287" s="9" t="s">
        <v>681</v>
      </c>
      <c r="D287" s="9" t="s">
        <v>108</v>
      </c>
      <c r="E287" s="9" t="s">
        <v>68</v>
      </c>
      <c r="F287" s="9" t="s">
        <v>228</v>
      </c>
      <c r="G287" s="10"/>
      <c r="H287" s="11"/>
      <c r="I287" s="12" t="n">
        <v>5</v>
      </c>
      <c r="J287" s="12" t="n">
        <v>2</v>
      </c>
      <c r="K287" s="13" t="n">
        <f aca="false">IF(I287="","",I287*2-J287)</f>
        <v>8</v>
      </c>
      <c r="L287" s="9" t="str">
        <f aca="false">IF(K287="","",IF(K287&gt;=8,"1 - quick win",IF(K287&gt;=6,"2 - build early",IF(K287&gt;=4,"3 - slower climb","4 - monitor only"))))</f>
        <v>1 - quick win</v>
      </c>
      <c r="M287" s="9" t="s">
        <v>42</v>
      </c>
      <c r="N287" s="9" t="s">
        <v>692</v>
      </c>
      <c r="O287" s="9" t="s">
        <v>683</v>
      </c>
      <c r="P287" s="9" t="s">
        <v>684</v>
      </c>
    </row>
    <row r="288" customFormat="false" ht="15" hidden="false" customHeight="false" outlineLevel="0" collapsed="false">
      <c r="A288" s="14" t="s">
        <v>693</v>
      </c>
      <c r="B288" s="14" t="s">
        <v>48</v>
      </c>
      <c r="C288" s="14" t="s">
        <v>681</v>
      </c>
      <c r="D288" s="14" t="s">
        <v>67</v>
      </c>
      <c r="E288" s="14" t="s">
        <v>118</v>
      </c>
      <c r="F288" s="14" t="s">
        <v>520</v>
      </c>
      <c r="G288" s="10"/>
      <c r="H288" s="11"/>
      <c r="I288" s="15" t="n">
        <v>5</v>
      </c>
      <c r="J288" s="15" t="n">
        <v>2</v>
      </c>
      <c r="K288" s="16" t="n">
        <f aca="false">IF(I288="","",I288*2-J288)</f>
        <v>8</v>
      </c>
      <c r="L288" s="14" t="str">
        <f aca="false">IF(K288="","",IF(K288&gt;=8,"1 - quick win",IF(K288&gt;=6,"2 - build early",IF(K288&gt;=4,"3 - slower climb","4 - monitor only"))))</f>
        <v>1 - quick win</v>
      </c>
      <c r="M288" s="14" t="s">
        <v>42</v>
      </c>
      <c r="N288" s="14" t="s">
        <v>694</v>
      </c>
      <c r="O288" s="14" t="s">
        <v>695</v>
      </c>
      <c r="P288" s="14" t="s">
        <v>684</v>
      </c>
    </row>
    <row r="289" customFormat="false" ht="15" hidden="false" customHeight="false" outlineLevel="0" collapsed="false">
      <c r="A289" s="9" t="s">
        <v>696</v>
      </c>
      <c r="B289" s="9" t="s">
        <v>48</v>
      </c>
      <c r="C289" s="9" t="s">
        <v>681</v>
      </c>
      <c r="D289" s="9" t="s">
        <v>67</v>
      </c>
      <c r="E289" s="9" t="s">
        <v>118</v>
      </c>
      <c r="F289" s="9" t="s">
        <v>520</v>
      </c>
      <c r="G289" s="10"/>
      <c r="H289" s="11"/>
      <c r="I289" s="12" t="n">
        <v>4</v>
      </c>
      <c r="J289" s="12" t="n">
        <v>3</v>
      </c>
      <c r="K289" s="13" t="n">
        <f aca="false">IF(I289="","",I289*2-J289)</f>
        <v>5</v>
      </c>
      <c r="L289" s="9" t="str">
        <f aca="false">IF(K289="","",IF(K289&gt;=8,"1 - quick win",IF(K289&gt;=6,"2 - build early",IF(K289&gt;=4,"3 - slower climb","4 - monitor only"))))</f>
        <v>3 - slower climb</v>
      </c>
      <c r="M289" s="9" t="s">
        <v>54</v>
      </c>
      <c r="N289" s="9" t="s">
        <v>697</v>
      </c>
      <c r="O289" s="9" t="s">
        <v>695</v>
      </c>
      <c r="P289" s="9" t="s">
        <v>684</v>
      </c>
    </row>
    <row r="290" customFormat="false" ht="15" hidden="false" customHeight="false" outlineLevel="0" collapsed="false">
      <c r="A290" s="14" t="s">
        <v>698</v>
      </c>
      <c r="B290" s="14" t="s">
        <v>57</v>
      </c>
      <c r="C290" s="14" t="s">
        <v>681</v>
      </c>
      <c r="D290" s="14" t="s">
        <v>67</v>
      </c>
      <c r="E290" s="14" t="s">
        <v>118</v>
      </c>
      <c r="F290" s="14" t="s">
        <v>520</v>
      </c>
      <c r="G290" s="10"/>
      <c r="H290" s="11"/>
      <c r="I290" s="15" t="n">
        <v>5</v>
      </c>
      <c r="J290" s="15" t="n">
        <v>2</v>
      </c>
      <c r="K290" s="16" t="n">
        <f aca="false">IF(I290="","",I290*2-J290)</f>
        <v>8</v>
      </c>
      <c r="L290" s="14" t="str">
        <f aca="false">IF(K290="","",IF(K290&gt;=8,"1 - quick win",IF(K290&gt;=6,"2 - build early",IF(K290&gt;=4,"3 - slower climb","4 - monitor only"))))</f>
        <v>1 - quick win</v>
      </c>
      <c r="M290" s="14" t="s">
        <v>42</v>
      </c>
      <c r="N290" s="14" t="s">
        <v>153</v>
      </c>
      <c r="O290" s="14" t="s">
        <v>695</v>
      </c>
      <c r="P290" s="14" t="s">
        <v>684</v>
      </c>
    </row>
    <row r="291" customFormat="false" ht="23.85" hidden="false" customHeight="false" outlineLevel="0" collapsed="false">
      <c r="A291" s="9" t="s">
        <v>699</v>
      </c>
      <c r="B291" s="9" t="s">
        <v>57</v>
      </c>
      <c r="C291" s="9" t="s">
        <v>681</v>
      </c>
      <c r="D291" s="9" t="s">
        <v>108</v>
      </c>
      <c r="E291" s="9" t="s">
        <v>68</v>
      </c>
      <c r="F291" s="9" t="s">
        <v>520</v>
      </c>
      <c r="G291" s="10"/>
      <c r="H291" s="11"/>
      <c r="I291" s="12" t="n">
        <v>4</v>
      </c>
      <c r="J291" s="12" t="n">
        <v>2</v>
      </c>
      <c r="K291" s="13" t="n">
        <f aca="false">IF(I291="","",I291*2-J291)</f>
        <v>6</v>
      </c>
      <c r="L291" s="9" t="str">
        <f aca="false">IF(K291="","",IF(K291&gt;=8,"1 - quick win",IF(K291&gt;=6,"2 - build early",IF(K291&gt;=4,"3 - slower climb","4 - monitor only"))))</f>
        <v>2 - build early</v>
      </c>
      <c r="M291" s="9" t="s">
        <v>42</v>
      </c>
      <c r="N291" s="9" t="s">
        <v>700</v>
      </c>
      <c r="O291" s="9" t="s">
        <v>695</v>
      </c>
      <c r="P291" s="9" t="s">
        <v>684</v>
      </c>
    </row>
    <row r="292" customFormat="false" ht="15" hidden="false" customHeight="false" outlineLevel="0" collapsed="false">
      <c r="A292" s="14" t="s">
        <v>701</v>
      </c>
      <c r="B292" s="14" t="s">
        <v>48</v>
      </c>
      <c r="C292" s="14" t="s">
        <v>681</v>
      </c>
      <c r="D292" s="14" t="s">
        <v>67</v>
      </c>
      <c r="E292" s="14" t="s">
        <v>118</v>
      </c>
      <c r="F292" s="14" t="s">
        <v>525</v>
      </c>
      <c r="G292" s="10"/>
      <c r="H292" s="11"/>
      <c r="I292" s="15" t="n">
        <v>4</v>
      </c>
      <c r="J292" s="15" t="n">
        <v>2</v>
      </c>
      <c r="K292" s="16" t="n">
        <f aca="false">IF(I292="","",I292*2-J292)</f>
        <v>6</v>
      </c>
      <c r="L292" s="14" t="str">
        <f aca="false">IF(K292="","",IF(K292&gt;=8,"1 - quick win",IF(K292&gt;=6,"2 - build early",IF(K292&gt;=4,"3 - slower climb","4 - monitor only"))))</f>
        <v>2 - build early</v>
      </c>
      <c r="M292" s="14" t="s">
        <v>42</v>
      </c>
      <c r="N292" s="14" t="s">
        <v>702</v>
      </c>
      <c r="O292" s="14" t="s">
        <v>703</v>
      </c>
      <c r="P292" s="14" t="s">
        <v>704</v>
      </c>
    </row>
    <row r="293" customFormat="false" ht="23.85" hidden="false" customHeight="false" outlineLevel="0" collapsed="false">
      <c r="A293" s="9" t="s">
        <v>705</v>
      </c>
      <c r="B293" s="9" t="s">
        <v>57</v>
      </c>
      <c r="C293" s="9" t="s">
        <v>681</v>
      </c>
      <c r="D293" s="9" t="s">
        <v>108</v>
      </c>
      <c r="E293" s="9" t="s">
        <v>68</v>
      </c>
      <c r="F293" s="9" t="s">
        <v>525</v>
      </c>
      <c r="G293" s="10"/>
      <c r="H293" s="11"/>
      <c r="I293" s="12" t="n">
        <v>4</v>
      </c>
      <c r="J293" s="12" t="n">
        <v>2</v>
      </c>
      <c r="K293" s="13" t="n">
        <f aca="false">IF(I293="","",I293*2-J293)</f>
        <v>6</v>
      </c>
      <c r="L293" s="9" t="str">
        <f aca="false">IF(K293="","",IF(K293&gt;=8,"1 - quick win",IF(K293&gt;=6,"2 - build early",IF(K293&gt;=4,"3 - slower climb","4 - monitor only"))))</f>
        <v>2 - build early</v>
      </c>
      <c r="M293" s="9" t="s">
        <v>42</v>
      </c>
      <c r="N293" s="9" t="s">
        <v>706</v>
      </c>
      <c r="O293" s="9" t="s">
        <v>703</v>
      </c>
      <c r="P293" s="9" t="s">
        <v>704</v>
      </c>
    </row>
    <row r="294" customFormat="false" ht="15" hidden="false" customHeight="false" outlineLevel="0" collapsed="false">
      <c r="A294" s="14" t="s">
        <v>707</v>
      </c>
      <c r="B294" s="14" t="s">
        <v>57</v>
      </c>
      <c r="C294" s="14" t="s">
        <v>681</v>
      </c>
      <c r="D294" s="14" t="s">
        <v>67</v>
      </c>
      <c r="E294" s="14" t="s">
        <v>118</v>
      </c>
      <c r="F294" s="14" t="s">
        <v>525</v>
      </c>
      <c r="G294" s="10"/>
      <c r="H294" s="11"/>
      <c r="I294" s="15" t="n">
        <v>4</v>
      </c>
      <c r="J294" s="15" t="n">
        <v>2</v>
      </c>
      <c r="K294" s="16" t="n">
        <f aca="false">IF(I294="","",I294*2-J294)</f>
        <v>6</v>
      </c>
      <c r="L294" s="14" t="str">
        <f aca="false">IF(K294="","",IF(K294&gt;=8,"1 - quick win",IF(K294&gt;=6,"2 - build early",IF(K294&gt;=4,"3 - slower climb","4 - monitor only"))))</f>
        <v>2 - build early</v>
      </c>
      <c r="M294" s="14" t="s">
        <v>42</v>
      </c>
      <c r="N294" s="14" t="s">
        <v>708</v>
      </c>
      <c r="O294" s="14" t="s">
        <v>703</v>
      </c>
      <c r="P294" s="14" t="s">
        <v>704</v>
      </c>
    </row>
    <row r="295" customFormat="false" ht="23.85" hidden="false" customHeight="false" outlineLevel="0" collapsed="false">
      <c r="A295" s="9" t="s">
        <v>709</v>
      </c>
      <c r="B295" s="9" t="s">
        <v>57</v>
      </c>
      <c r="C295" s="9" t="s">
        <v>681</v>
      </c>
      <c r="D295" s="9" t="s">
        <v>67</v>
      </c>
      <c r="E295" s="9" t="s">
        <v>118</v>
      </c>
      <c r="F295" s="9" t="s">
        <v>710</v>
      </c>
      <c r="G295" s="10"/>
      <c r="H295" s="11"/>
      <c r="I295" s="12" t="n">
        <v>3</v>
      </c>
      <c r="J295" s="12" t="n">
        <v>1</v>
      </c>
      <c r="K295" s="13" t="n">
        <f aca="false">IF(I295="","",I295*2-J295)</f>
        <v>5</v>
      </c>
      <c r="L295" s="9" t="str">
        <f aca="false">IF(K295="","",IF(K295&gt;=8,"1 - quick win",IF(K295&gt;=6,"2 - build early",IF(K295&gt;=4,"3 - slower climb","4 - monitor only"))))</f>
        <v>3 - slower climb</v>
      </c>
      <c r="M295" s="9" t="s">
        <v>54</v>
      </c>
      <c r="N295" s="9" t="s">
        <v>711</v>
      </c>
      <c r="O295" s="9" t="s">
        <v>712</v>
      </c>
      <c r="P295" s="9" t="s">
        <v>704</v>
      </c>
    </row>
    <row r="296" customFormat="false" ht="23.85" hidden="false" customHeight="false" outlineLevel="0" collapsed="false">
      <c r="A296" s="14" t="s">
        <v>713</v>
      </c>
      <c r="B296" s="14" t="s">
        <v>48</v>
      </c>
      <c r="C296" s="14" t="s">
        <v>681</v>
      </c>
      <c r="D296" s="14" t="s">
        <v>67</v>
      </c>
      <c r="E296" s="14" t="s">
        <v>118</v>
      </c>
      <c r="F296" s="14" t="s">
        <v>530</v>
      </c>
      <c r="G296" s="10"/>
      <c r="H296" s="11"/>
      <c r="I296" s="15" t="n">
        <v>2</v>
      </c>
      <c r="J296" s="15" t="n">
        <v>1</v>
      </c>
      <c r="K296" s="16" t="n">
        <f aca="false">IF(I296="","",I296*2-J296)</f>
        <v>3</v>
      </c>
      <c r="L296" s="14" t="str">
        <f aca="false">IF(K296="","",IF(K296&gt;=8,"1 - quick win",IF(K296&gt;=6,"2 - build early",IF(K296&gt;=4,"3 - slower climb","4 - monitor only"))))</f>
        <v>4 - monitor only</v>
      </c>
      <c r="M296" s="14" t="s">
        <v>54</v>
      </c>
      <c r="N296" s="14" t="s">
        <v>714</v>
      </c>
      <c r="O296" s="14" t="s">
        <v>715</v>
      </c>
      <c r="P296" s="14" t="s">
        <v>716</v>
      </c>
    </row>
    <row r="297" customFormat="false" ht="15" hidden="false" customHeight="false" outlineLevel="0" collapsed="false">
      <c r="A297" s="9" t="s">
        <v>717</v>
      </c>
      <c r="B297" s="9" t="s">
        <v>48</v>
      </c>
      <c r="C297" s="9" t="s">
        <v>681</v>
      </c>
      <c r="D297" s="9" t="s">
        <v>67</v>
      </c>
      <c r="E297" s="9" t="s">
        <v>118</v>
      </c>
      <c r="F297" s="9" t="s">
        <v>718</v>
      </c>
      <c r="G297" s="10"/>
      <c r="H297" s="11"/>
      <c r="I297" s="12" t="n">
        <v>2</v>
      </c>
      <c r="J297" s="12" t="n">
        <v>1</v>
      </c>
      <c r="K297" s="13" t="n">
        <f aca="false">IF(I297="","",I297*2-J297)</f>
        <v>3</v>
      </c>
      <c r="L297" s="9" t="str">
        <f aca="false">IF(K297="","",IF(K297&gt;=8,"1 - quick win",IF(K297&gt;=6,"2 - build early",IF(K297&gt;=4,"3 - slower climb","4 - monitor only"))))</f>
        <v>4 - monitor only</v>
      </c>
      <c r="M297" s="9" t="s">
        <v>311</v>
      </c>
      <c r="N297" s="9" t="s">
        <v>719</v>
      </c>
      <c r="O297" s="9" t="s">
        <v>720</v>
      </c>
      <c r="P297" s="9" t="s">
        <v>716</v>
      </c>
    </row>
    <row r="298" customFormat="false" ht="23.85" hidden="false" customHeight="false" outlineLevel="0" collapsed="false">
      <c r="A298" s="14" t="s">
        <v>721</v>
      </c>
      <c r="B298" s="14" t="s">
        <v>48</v>
      </c>
      <c r="C298" s="14" t="s">
        <v>681</v>
      </c>
      <c r="D298" s="14" t="s">
        <v>67</v>
      </c>
      <c r="E298" s="14" t="s">
        <v>118</v>
      </c>
      <c r="F298" s="14" t="s">
        <v>722</v>
      </c>
      <c r="G298" s="10"/>
      <c r="H298" s="11"/>
      <c r="I298" s="15" t="n">
        <v>2</v>
      </c>
      <c r="J298" s="15" t="n">
        <v>1</v>
      </c>
      <c r="K298" s="16" t="n">
        <f aca="false">IF(I298="","",I298*2-J298)</f>
        <v>3</v>
      </c>
      <c r="L298" s="14" t="str">
        <f aca="false">IF(K298="","",IF(K298&gt;=8,"1 - quick win",IF(K298&gt;=6,"2 - build early",IF(K298&gt;=4,"3 - slower climb","4 - monitor only"))))</f>
        <v>4 - monitor only</v>
      </c>
      <c r="M298" s="14" t="s">
        <v>311</v>
      </c>
      <c r="N298" s="14" t="s">
        <v>723</v>
      </c>
      <c r="O298" s="14" t="s">
        <v>720</v>
      </c>
      <c r="P298" s="14" t="s">
        <v>716</v>
      </c>
    </row>
    <row r="299" customFormat="false" ht="15" hidden="false" customHeight="false" outlineLevel="0" collapsed="false">
      <c r="A299" s="9" t="s">
        <v>724</v>
      </c>
      <c r="B299" s="9" t="s">
        <v>48</v>
      </c>
      <c r="C299" s="9" t="s">
        <v>681</v>
      </c>
      <c r="D299" s="9" t="s">
        <v>67</v>
      </c>
      <c r="E299" s="9" t="s">
        <v>118</v>
      </c>
      <c r="F299" s="9" t="s">
        <v>725</v>
      </c>
      <c r="G299" s="10"/>
      <c r="H299" s="11"/>
      <c r="I299" s="12" t="n">
        <v>1</v>
      </c>
      <c r="J299" s="12" t="n">
        <v>1</v>
      </c>
      <c r="K299" s="13" t="n">
        <f aca="false">IF(I299="","",I299*2-J299)</f>
        <v>1</v>
      </c>
      <c r="L299" s="9" t="str">
        <f aca="false">IF(K299="","",IF(K299&gt;=8,"1 - quick win",IF(K299&gt;=6,"2 - build early",IF(K299&gt;=4,"3 - slower climb","4 - monitor only"))))</f>
        <v>4 - monitor only</v>
      </c>
      <c r="M299" s="9" t="s">
        <v>311</v>
      </c>
      <c r="N299" s="9" t="s">
        <v>726</v>
      </c>
      <c r="O299" s="9" t="s">
        <v>727</v>
      </c>
      <c r="P299" s="9" t="s">
        <v>728</v>
      </c>
    </row>
    <row r="300" customFormat="false" ht="15" hidden="false" customHeight="false" outlineLevel="0" collapsed="false">
      <c r="A300" s="14" t="s">
        <v>729</v>
      </c>
      <c r="B300" s="14" t="s">
        <v>48</v>
      </c>
      <c r="C300" s="14" t="s">
        <v>681</v>
      </c>
      <c r="D300" s="14" t="s">
        <v>67</v>
      </c>
      <c r="E300" s="14" t="s">
        <v>118</v>
      </c>
      <c r="F300" s="14" t="s">
        <v>730</v>
      </c>
      <c r="G300" s="10"/>
      <c r="H300" s="11"/>
      <c r="I300" s="15" t="n">
        <v>1</v>
      </c>
      <c r="J300" s="15" t="n">
        <v>1</v>
      </c>
      <c r="K300" s="16" t="n">
        <f aca="false">IF(I300="","",I300*2-J300)</f>
        <v>1</v>
      </c>
      <c r="L300" s="14" t="str">
        <f aca="false">IF(K300="","",IF(K300&gt;=8,"1 - quick win",IF(K300&gt;=6,"2 - build early",IF(K300&gt;=4,"3 - slower climb","4 - monitor only"))))</f>
        <v>4 - monitor only</v>
      </c>
      <c r="M300" s="14" t="s">
        <v>311</v>
      </c>
      <c r="N300" s="14" t="s">
        <v>731</v>
      </c>
      <c r="O300" s="14" t="s">
        <v>727</v>
      </c>
      <c r="P300" s="14" t="s">
        <v>728</v>
      </c>
    </row>
    <row r="301" customFormat="false" ht="23.85" hidden="false" customHeight="false" outlineLevel="0" collapsed="false">
      <c r="A301" s="9" t="s">
        <v>732</v>
      </c>
      <c r="B301" s="9" t="s">
        <v>48</v>
      </c>
      <c r="C301" s="9" t="s">
        <v>681</v>
      </c>
      <c r="D301" s="9" t="s">
        <v>67</v>
      </c>
      <c r="E301" s="9" t="s">
        <v>118</v>
      </c>
      <c r="F301" s="9" t="s">
        <v>733</v>
      </c>
      <c r="G301" s="10"/>
      <c r="H301" s="11"/>
      <c r="I301" s="12" t="n">
        <v>1</v>
      </c>
      <c r="J301" s="12" t="n">
        <v>1</v>
      </c>
      <c r="K301" s="13" t="n">
        <f aca="false">IF(I301="","",I301*2-J301)</f>
        <v>1</v>
      </c>
      <c r="L301" s="9" t="str">
        <f aca="false">IF(K301="","",IF(K301&gt;=8,"1 - quick win",IF(K301&gt;=6,"2 - build early",IF(K301&gt;=4,"3 - slower climb","4 - monitor only"))))</f>
        <v>4 - monitor only</v>
      </c>
      <c r="M301" s="9" t="s">
        <v>311</v>
      </c>
      <c r="N301" s="9" t="s">
        <v>734</v>
      </c>
      <c r="O301" s="9" t="s">
        <v>727</v>
      </c>
      <c r="P301" s="9" t="s">
        <v>728</v>
      </c>
    </row>
    <row r="302" customFormat="false" ht="23.85" hidden="false" customHeight="false" outlineLevel="0" collapsed="false">
      <c r="A302" s="14" t="s">
        <v>735</v>
      </c>
      <c r="B302" s="14" t="s">
        <v>48</v>
      </c>
      <c r="C302" s="14" t="s">
        <v>681</v>
      </c>
      <c r="D302" s="14" t="s">
        <v>67</v>
      </c>
      <c r="E302" s="14" t="s">
        <v>118</v>
      </c>
      <c r="F302" s="14" t="s">
        <v>736</v>
      </c>
      <c r="G302" s="10"/>
      <c r="H302" s="11"/>
      <c r="I302" s="15" t="n">
        <v>1</v>
      </c>
      <c r="J302" s="15" t="n">
        <v>1</v>
      </c>
      <c r="K302" s="16" t="n">
        <f aca="false">IF(I302="","",I302*2-J302)</f>
        <v>1</v>
      </c>
      <c r="L302" s="14" t="str">
        <f aca="false">IF(K302="","",IF(K302&gt;=8,"1 - quick win",IF(K302&gt;=6,"2 - build early",IF(K302&gt;=4,"3 - slower climb","4 - monitor only"))))</f>
        <v>4 - monitor only</v>
      </c>
      <c r="M302" s="14" t="s">
        <v>311</v>
      </c>
      <c r="N302" s="14" t="s">
        <v>737</v>
      </c>
      <c r="O302" s="14" t="s">
        <v>727</v>
      </c>
      <c r="P302" s="14" t="s">
        <v>728</v>
      </c>
    </row>
    <row r="303" customFormat="false" ht="23.85" hidden="false" customHeight="false" outlineLevel="0" collapsed="false">
      <c r="A303" s="9" t="s">
        <v>738</v>
      </c>
      <c r="B303" s="9" t="s">
        <v>48</v>
      </c>
      <c r="C303" s="9" t="s">
        <v>739</v>
      </c>
      <c r="D303" s="9" t="s">
        <v>67</v>
      </c>
      <c r="E303" s="9" t="s">
        <v>118</v>
      </c>
      <c r="F303" s="9" t="s">
        <v>740</v>
      </c>
      <c r="G303" s="10"/>
      <c r="H303" s="11"/>
      <c r="I303" s="12" t="n">
        <v>5</v>
      </c>
      <c r="J303" s="12" t="n">
        <v>3</v>
      </c>
      <c r="K303" s="13" t="n">
        <f aca="false">IF(I303="","",I303*2-J303)</f>
        <v>7</v>
      </c>
      <c r="L303" s="9" t="str">
        <f aca="false">IF(K303="","",IF(K303&gt;=8,"1 - quick win",IF(K303&gt;=6,"2 - build early",IF(K303&gt;=4,"3 - slower climb","4 - monitor only"))))</f>
        <v>2 - build early</v>
      </c>
      <c r="M303" s="9" t="s">
        <v>42</v>
      </c>
      <c r="N303" s="9" t="s">
        <v>741</v>
      </c>
      <c r="O303" s="9" t="s">
        <v>742</v>
      </c>
      <c r="P303" s="9" t="s">
        <v>743</v>
      </c>
    </row>
    <row r="304" customFormat="false" ht="23.85" hidden="false" customHeight="false" outlineLevel="0" collapsed="false">
      <c r="A304" s="14" t="s">
        <v>744</v>
      </c>
      <c r="B304" s="14" t="s">
        <v>48</v>
      </c>
      <c r="C304" s="14" t="s">
        <v>739</v>
      </c>
      <c r="D304" s="14" t="s">
        <v>67</v>
      </c>
      <c r="E304" s="14" t="s">
        <v>118</v>
      </c>
      <c r="F304" s="14" t="s">
        <v>740</v>
      </c>
      <c r="G304" s="10"/>
      <c r="H304" s="11"/>
      <c r="I304" s="15" t="n">
        <v>4</v>
      </c>
      <c r="J304" s="15" t="n">
        <v>2</v>
      </c>
      <c r="K304" s="16" t="n">
        <f aca="false">IF(I304="","",I304*2-J304)</f>
        <v>6</v>
      </c>
      <c r="L304" s="14" t="str">
        <f aca="false">IF(K304="","",IF(K304&gt;=8,"1 - quick win",IF(K304&gt;=6,"2 - build early",IF(K304&gt;=4,"3 - slower climb","4 - monitor only"))))</f>
        <v>2 - build early</v>
      </c>
      <c r="M304" s="14" t="s">
        <v>42</v>
      </c>
      <c r="N304" s="14" t="s">
        <v>745</v>
      </c>
      <c r="O304" s="14" t="s">
        <v>742</v>
      </c>
      <c r="P304" s="14" t="s">
        <v>746</v>
      </c>
    </row>
    <row r="305" customFormat="false" ht="23.85" hidden="false" customHeight="false" outlineLevel="0" collapsed="false">
      <c r="A305" s="9" t="s">
        <v>747</v>
      </c>
      <c r="B305" s="9" t="s">
        <v>57</v>
      </c>
      <c r="C305" s="9" t="s">
        <v>739</v>
      </c>
      <c r="D305" s="9" t="s">
        <v>67</v>
      </c>
      <c r="E305" s="9" t="s">
        <v>118</v>
      </c>
      <c r="F305" s="9" t="s">
        <v>740</v>
      </c>
      <c r="G305" s="10"/>
      <c r="H305" s="11"/>
      <c r="I305" s="12" t="n">
        <v>4</v>
      </c>
      <c r="J305" s="12" t="n">
        <v>1</v>
      </c>
      <c r="K305" s="13" t="n">
        <f aca="false">IF(I305="","",I305*2-J305)</f>
        <v>7</v>
      </c>
      <c r="L305" s="9" t="str">
        <f aca="false">IF(K305="","",IF(K305&gt;=8,"1 - quick win",IF(K305&gt;=6,"2 - build early",IF(K305&gt;=4,"3 - slower climb","4 - monitor only"))))</f>
        <v>2 - build early</v>
      </c>
      <c r="M305" s="9" t="s">
        <v>42</v>
      </c>
      <c r="N305" s="9" t="s">
        <v>748</v>
      </c>
      <c r="O305" s="9" t="s">
        <v>742</v>
      </c>
      <c r="P305" s="9" t="s">
        <v>746</v>
      </c>
    </row>
    <row r="306" customFormat="false" ht="23.85" hidden="false" customHeight="false" outlineLevel="0" collapsed="false">
      <c r="A306" s="14" t="s">
        <v>749</v>
      </c>
      <c r="B306" s="14" t="s">
        <v>48</v>
      </c>
      <c r="C306" s="14" t="s">
        <v>739</v>
      </c>
      <c r="D306" s="14" t="s">
        <v>67</v>
      </c>
      <c r="E306" s="14" t="s">
        <v>118</v>
      </c>
      <c r="F306" s="14" t="s">
        <v>750</v>
      </c>
      <c r="G306" s="10"/>
      <c r="H306" s="11"/>
      <c r="I306" s="15" t="n">
        <v>3</v>
      </c>
      <c r="J306" s="15" t="n">
        <v>1</v>
      </c>
      <c r="K306" s="16" t="n">
        <f aca="false">IF(I306="","",I306*2-J306)</f>
        <v>5</v>
      </c>
      <c r="L306" s="14" t="str">
        <f aca="false">IF(K306="","",IF(K306&gt;=8,"1 - quick win",IF(K306&gt;=6,"2 - build early",IF(K306&gt;=4,"3 - slower climb","4 - monitor only"))))</f>
        <v>3 - slower climb</v>
      </c>
      <c r="M306" s="14" t="s">
        <v>54</v>
      </c>
      <c r="N306" s="14" t="s">
        <v>751</v>
      </c>
      <c r="O306" s="14" t="s">
        <v>752</v>
      </c>
      <c r="P306" s="14" t="s">
        <v>753</v>
      </c>
    </row>
    <row r="307" customFormat="false" ht="15" hidden="false" customHeight="false" outlineLevel="0" collapsed="false">
      <c r="A307" s="9" t="s">
        <v>754</v>
      </c>
      <c r="B307" s="9" t="s">
        <v>48</v>
      </c>
      <c r="C307" s="9" t="s">
        <v>739</v>
      </c>
      <c r="D307" s="9" t="s">
        <v>67</v>
      </c>
      <c r="E307" s="9" t="s">
        <v>118</v>
      </c>
      <c r="F307" s="9" t="s">
        <v>755</v>
      </c>
      <c r="G307" s="10"/>
      <c r="H307" s="11"/>
      <c r="I307" s="12" t="n">
        <v>4</v>
      </c>
      <c r="J307" s="12" t="n">
        <v>2</v>
      </c>
      <c r="K307" s="13" t="n">
        <f aca="false">IF(I307="","",I307*2-J307)</f>
        <v>6</v>
      </c>
      <c r="L307" s="9" t="str">
        <f aca="false">IF(K307="","",IF(K307&gt;=8,"1 - quick win",IF(K307&gt;=6,"2 - build early",IF(K307&gt;=4,"3 - slower climb","4 - monitor only"))))</f>
        <v>2 - build early</v>
      </c>
      <c r="M307" s="9" t="s">
        <v>42</v>
      </c>
      <c r="N307" s="9" t="s">
        <v>756</v>
      </c>
      <c r="O307" s="9" t="s">
        <v>757</v>
      </c>
      <c r="P307" s="9" t="s">
        <v>758</v>
      </c>
    </row>
    <row r="308" customFormat="false" ht="15" hidden="false" customHeight="false" outlineLevel="0" collapsed="false">
      <c r="A308" s="14" t="s">
        <v>759</v>
      </c>
      <c r="B308" s="14" t="s">
        <v>48</v>
      </c>
      <c r="C308" s="14" t="s">
        <v>739</v>
      </c>
      <c r="D308" s="14" t="s">
        <v>67</v>
      </c>
      <c r="E308" s="14" t="s">
        <v>118</v>
      </c>
      <c r="F308" s="14" t="s">
        <v>760</v>
      </c>
      <c r="G308" s="10"/>
      <c r="H308" s="11"/>
      <c r="I308" s="15" t="n">
        <v>3</v>
      </c>
      <c r="J308" s="15" t="n">
        <v>1</v>
      </c>
      <c r="K308" s="16" t="n">
        <f aca="false">IF(I308="","",I308*2-J308)</f>
        <v>5</v>
      </c>
      <c r="L308" s="14" t="str">
        <f aca="false">IF(K308="","",IF(K308&gt;=8,"1 - quick win",IF(K308&gt;=6,"2 - build early",IF(K308&gt;=4,"3 - slower climb","4 - monitor only"))))</f>
        <v>3 - slower climb</v>
      </c>
      <c r="M308" s="14" t="s">
        <v>54</v>
      </c>
      <c r="N308" s="14" t="s">
        <v>761</v>
      </c>
      <c r="O308" s="14" t="s">
        <v>762</v>
      </c>
      <c r="P308" s="14" t="s">
        <v>763</v>
      </c>
    </row>
    <row r="309" customFormat="false" ht="15" hidden="false" customHeight="false" outlineLevel="0" collapsed="false">
      <c r="A309" s="9" t="s">
        <v>764</v>
      </c>
      <c r="B309" s="9" t="s">
        <v>48</v>
      </c>
      <c r="C309" s="9" t="s">
        <v>739</v>
      </c>
      <c r="D309" s="9" t="s">
        <v>67</v>
      </c>
      <c r="E309" s="9" t="s">
        <v>118</v>
      </c>
      <c r="F309" s="9" t="s">
        <v>765</v>
      </c>
      <c r="G309" s="10"/>
      <c r="H309" s="11"/>
      <c r="I309" s="12" t="n">
        <v>2</v>
      </c>
      <c r="J309" s="12" t="n">
        <v>1</v>
      </c>
      <c r="K309" s="13" t="n">
        <f aca="false">IF(I309="","",I309*2-J309)</f>
        <v>3</v>
      </c>
      <c r="L309" s="9" t="str">
        <f aca="false">IF(K309="","",IF(K309&gt;=8,"1 - quick win",IF(K309&gt;=6,"2 - build early",IF(K309&gt;=4,"3 - slower climb","4 - monitor only"))))</f>
        <v>4 - monitor only</v>
      </c>
      <c r="M309" s="9" t="s">
        <v>311</v>
      </c>
      <c r="N309" s="9" t="s">
        <v>766</v>
      </c>
      <c r="O309" s="9" t="s">
        <v>762</v>
      </c>
      <c r="P309" s="9" t="s">
        <v>763</v>
      </c>
    </row>
    <row r="310" customFormat="false" ht="15" hidden="false" customHeight="false" outlineLevel="0" collapsed="false">
      <c r="A310" s="14" t="s">
        <v>767</v>
      </c>
      <c r="B310" s="14" t="s">
        <v>57</v>
      </c>
      <c r="C310" s="14" t="s">
        <v>739</v>
      </c>
      <c r="D310" s="14" t="s">
        <v>67</v>
      </c>
      <c r="E310" s="14" t="s">
        <v>118</v>
      </c>
      <c r="F310" s="14" t="s">
        <v>768</v>
      </c>
      <c r="G310" s="10"/>
      <c r="H310" s="11"/>
      <c r="I310" s="15" t="n">
        <v>2</v>
      </c>
      <c r="J310" s="15" t="n">
        <v>1</v>
      </c>
      <c r="K310" s="16" t="n">
        <f aca="false">IF(I310="","",I310*2-J310)</f>
        <v>3</v>
      </c>
      <c r="L310" s="14" t="str">
        <f aca="false">IF(K310="","",IF(K310&gt;=8,"1 - quick win",IF(K310&gt;=6,"2 - build early",IF(K310&gt;=4,"3 - slower climb","4 - monitor only"))))</f>
        <v>4 - monitor only</v>
      </c>
      <c r="M310" s="14" t="s">
        <v>311</v>
      </c>
      <c r="N310" s="14" t="s">
        <v>769</v>
      </c>
      <c r="O310" s="14" t="s">
        <v>757</v>
      </c>
      <c r="P310" s="14" t="s">
        <v>758</v>
      </c>
    </row>
    <row r="311" customFormat="false" ht="15" hidden="false" customHeight="false" outlineLevel="0" collapsed="false">
      <c r="A311" s="9" t="s">
        <v>770</v>
      </c>
      <c r="B311" s="9" t="s">
        <v>48</v>
      </c>
      <c r="C311" s="9" t="s">
        <v>739</v>
      </c>
      <c r="D311" s="9" t="s">
        <v>67</v>
      </c>
      <c r="E311" s="9" t="s">
        <v>118</v>
      </c>
      <c r="F311" s="9" t="s">
        <v>771</v>
      </c>
      <c r="G311" s="10"/>
      <c r="H311" s="11"/>
      <c r="I311" s="12" t="n">
        <v>2</v>
      </c>
      <c r="J311" s="12" t="n">
        <v>1</v>
      </c>
      <c r="K311" s="13" t="n">
        <f aca="false">IF(I311="","",I311*2-J311)</f>
        <v>3</v>
      </c>
      <c r="L311" s="9" t="str">
        <f aca="false">IF(K311="","",IF(K311&gt;=8,"1 - quick win",IF(K311&gt;=6,"2 - build early",IF(K311&gt;=4,"3 - slower climb","4 - monitor only"))))</f>
        <v>4 - monitor only</v>
      </c>
      <c r="M311" s="9" t="s">
        <v>311</v>
      </c>
      <c r="N311" s="9" t="s">
        <v>772</v>
      </c>
      <c r="O311" s="9" t="s">
        <v>773</v>
      </c>
      <c r="P311" s="9" t="s">
        <v>774</v>
      </c>
    </row>
    <row r="312" customFormat="false" ht="15" hidden="false" customHeight="false" outlineLevel="0" collapsed="false">
      <c r="A312" s="14" t="s">
        <v>775</v>
      </c>
      <c r="B312" s="14" t="s">
        <v>48</v>
      </c>
      <c r="C312" s="14" t="s">
        <v>739</v>
      </c>
      <c r="D312" s="14" t="s">
        <v>67</v>
      </c>
      <c r="E312" s="14" t="s">
        <v>118</v>
      </c>
      <c r="F312" s="14" t="s">
        <v>776</v>
      </c>
      <c r="G312" s="10"/>
      <c r="H312" s="11"/>
      <c r="I312" s="15" t="n">
        <v>1</v>
      </c>
      <c r="J312" s="15" t="n">
        <v>1</v>
      </c>
      <c r="K312" s="16" t="n">
        <f aca="false">IF(I312="","",I312*2-J312)</f>
        <v>1</v>
      </c>
      <c r="L312" s="14" t="str">
        <f aca="false">IF(K312="","",IF(K312&gt;=8,"1 - quick win",IF(K312&gt;=6,"2 - build early",IF(K312&gt;=4,"3 - slower climb","4 - monitor only"))))</f>
        <v>4 - monitor only</v>
      </c>
      <c r="M312" s="14" t="s">
        <v>311</v>
      </c>
      <c r="N312" s="14" t="s">
        <v>777</v>
      </c>
      <c r="O312" s="14" t="s">
        <v>313</v>
      </c>
      <c r="P312" s="14" t="s">
        <v>728</v>
      </c>
    </row>
    <row r="313" customFormat="false" ht="23.85" hidden="false" customHeight="false" outlineLevel="0" collapsed="false">
      <c r="A313" s="9" t="s">
        <v>778</v>
      </c>
      <c r="B313" s="9" t="s">
        <v>48</v>
      </c>
      <c r="C313" s="9" t="s">
        <v>739</v>
      </c>
      <c r="D313" s="9" t="s">
        <v>67</v>
      </c>
      <c r="E313" s="9" t="s">
        <v>68</v>
      </c>
      <c r="F313" s="9" t="s">
        <v>740</v>
      </c>
      <c r="G313" s="10"/>
      <c r="H313" s="11"/>
      <c r="I313" s="12" t="n">
        <v>2</v>
      </c>
      <c r="J313" s="12" t="n">
        <v>5</v>
      </c>
      <c r="K313" s="13" t="n">
        <f aca="false">IF(I313="","",I313*2-J313)</f>
        <v>-1</v>
      </c>
      <c r="L313" s="9" t="str">
        <f aca="false">IF(K313="","",IF(K313&gt;=8,"1 - quick win",IF(K313&gt;=6,"2 - build early",IF(K313&gt;=4,"3 - slower climb","4 - monitor only"))))</f>
        <v>4 - monitor only</v>
      </c>
      <c r="M313" s="9" t="s">
        <v>311</v>
      </c>
      <c r="N313" s="9" t="s">
        <v>779</v>
      </c>
      <c r="O313" s="9" t="s">
        <v>313</v>
      </c>
      <c r="P313" s="9" t="s">
        <v>780</v>
      </c>
    </row>
    <row r="314" customFormat="false" ht="15" hidden="false" customHeight="false" outlineLevel="0" collapsed="false">
      <c r="A314" s="14" t="s">
        <v>781</v>
      </c>
      <c r="B314" s="14" t="s">
        <v>48</v>
      </c>
      <c r="C314" s="14" t="s">
        <v>739</v>
      </c>
      <c r="D314" s="14" t="s">
        <v>67</v>
      </c>
      <c r="E314" s="14" t="s">
        <v>68</v>
      </c>
      <c r="F314" s="14" t="s">
        <v>782</v>
      </c>
      <c r="G314" s="10"/>
      <c r="H314" s="11"/>
      <c r="I314" s="15" t="n">
        <v>1</v>
      </c>
      <c r="J314" s="15" t="n">
        <v>4</v>
      </c>
      <c r="K314" s="16" t="n">
        <f aca="false">IF(I314="","",I314*2-J314)</f>
        <v>-2</v>
      </c>
      <c r="L314" s="14" t="str">
        <f aca="false">IF(K314="","",IF(K314&gt;=8,"1 - quick win",IF(K314&gt;=6,"2 - build early",IF(K314&gt;=4,"3 - slower climb","4 - monitor only"))))</f>
        <v>4 - monitor only</v>
      </c>
      <c r="M314" s="14" t="s">
        <v>311</v>
      </c>
      <c r="N314" s="14" t="s">
        <v>783</v>
      </c>
      <c r="O314" s="14" t="s">
        <v>313</v>
      </c>
      <c r="P314" s="14" t="s">
        <v>728</v>
      </c>
    </row>
    <row r="315" customFormat="false" ht="15" hidden="false" customHeight="false" outlineLevel="0" collapsed="false">
      <c r="A315" s="9" t="s">
        <v>784</v>
      </c>
      <c r="B315" s="9" t="s">
        <v>48</v>
      </c>
      <c r="C315" s="9" t="s">
        <v>739</v>
      </c>
      <c r="D315" s="9" t="s">
        <v>67</v>
      </c>
      <c r="E315" s="9" t="s">
        <v>68</v>
      </c>
      <c r="F315" s="9" t="s">
        <v>785</v>
      </c>
      <c r="G315" s="10"/>
      <c r="H315" s="11"/>
      <c r="I315" s="12" t="n">
        <v>1</v>
      </c>
      <c r="J315" s="12" t="n">
        <v>4</v>
      </c>
      <c r="K315" s="13" t="n">
        <f aca="false">IF(I315="","",I315*2-J315)</f>
        <v>-2</v>
      </c>
      <c r="L315" s="9" t="str">
        <f aca="false">IF(K315="","",IF(K315&gt;=8,"1 - quick win",IF(K315&gt;=6,"2 - build early",IF(K315&gt;=4,"3 - slower climb","4 - monitor only"))))</f>
        <v>4 - monitor only</v>
      </c>
      <c r="M315" s="9" t="s">
        <v>311</v>
      </c>
      <c r="N315" s="9" t="s">
        <v>786</v>
      </c>
      <c r="O315" s="9" t="s">
        <v>313</v>
      </c>
      <c r="P315" s="9" t="s">
        <v>728</v>
      </c>
    </row>
    <row r="316" customFormat="false" ht="23.85" hidden="false" customHeight="false" outlineLevel="0" collapsed="false">
      <c r="A316" s="14" t="s">
        <v>787</v>
      </c>
      <c r="B316" s="14" t="s">
        <v>48</v>
      </c>
      <c r="C316" s="14" t="s">
        <v>739</v>
      </c>
      <c r="D316" s="14" t="s">
        <v>67</v>
      </c>
      <c r="E316" s="14" t="s">
        <v>68</v>
      </c>
      <c r="F316" s="14" t="s">
        <v>788</v>
      </c>
      <c r="G316" s="10"/>
      <c r="H316" s="11"/>
      <c r="I316" s="15" t="n">
        <v>1</v>
      </c>
      <c r="J316" s="15" t="n">
        <v>4</v>
      </c>
      <c r="K316" s="16" t="n">
        <f aca="false">IF(I316="","",I316*2-J316)</f>
        <v>-2</v>
      </c>
      <c r="L316" s="14" t="str">
        <f aca="false">IF(K316="","",IF(K316&gt;=8,"1 - quick win",IF(K316&gt;=6,"2 - build early",IF(K316&gt;=4,"3 - slower climb","4 - monitor only"))))</f>
        <v>4 - monitor only</v>
      </c>
      <c r="M316" s="14" t="s">
        <v>311</v>
      </c>
      <c r="N316" s="14" t="s">
        <v>789</v>
      </c>
      <c r="O316" s="14" t="s">
        <v>313</v>
      </c>
      <c r="P316" s="14" t="s">
        <v>728</v>
      </c>
    </row>
    <row r="317" customFormat="false" ht="15" hidden="false" customHeight="false" outlineLevel="0" collapsed="false">
      <c r="A317" s="9" t="s">
        <v>790</v>
      </c>
      <c r="B317" s="9" t="s">
        <v>57</v>
      </c>
      <c r="C317" s="9" t="s">
        <v>739</v>
      </c>
      <c r="D317" s="9" t="s">
        <v>67</v>
      </c>
      <c r="E317" s="9" t="s">
        <v>118</v>
      </c>
      <c r="F317" s="9" t="s">
        <v>791</v>
      </c>
      <c r="G317" s="10"/>
      <c r="H317" s="11"/>
      <c r="I317" s="12" t="n">
        <v>2</v>
      </c>
      <c r="J317" s="12" t="n">
        <v>1</v>
      </c>
      <c r="K317" s="13" t="n">
        <f aca="false">IF(I317="","",I317*2-J317)</f>
        <v>3</v>
      </c>
      <c r="L317" s="9" t="str">
        <f aca="false">IF(K317="","",IF(K317&gt;=8,"1 - quick win",IF(K317&gt;=6,"2 - build early",IF(K317&gt;=4,"3 - slower climb","4 - monitor only"))))</f>
        <v>4 - monitor only</v>
      </c>
      <c r="M317" s="9" t="s">
        <v>311</v>
      </c>
      <c r="N317" s="9" t="s">
        <v>792</v>
      </c>
      <c r="O317" s="9" t="s">
        <v>793</v>
      </c>
      <c r="P317" s="9" t="s">
        <v>716</v>
      </c>
    </row>
    <row r="318" customFormat="false" ht="15" hidden="false" customHeight="false" outlineLevel="0" collapsed="false">
      <c r="A318" s="14" t="s">
        <v>794</v>
      </c>
      <c r="B318" s="14" t="s">
        <v>57</v>
      </c>
      <c r="C318" s="14" t="s">
        <v>739</v>
      </c>
      <c r="D318" s="14" t="s">
        <v>67</v>
      </c>
      <c r="E318" s="14" t="s">
        <v>118</v>
      </c>
      <c r="F318" s="14" t="s">
        <v>795</v>
      </c>
      <c r="G318" s="10"/>
      <c r="H318" s="11"/>
      <c r="I318" s="15" t="n">
        <v>2</v>
      </c>
      <c r="J318" s="15" t="n">
        <v>1</v>
      </c>
      <c r="K318" s="16" t="n">
        <f aca="false">IF(I318="","",I318*2-J318)</f>
        <v>3</v>
      </c>
      <c r="L318" s="14" t="str">
        <f aca="false">IF(K318="","",IF(K318&gt;=8,"1 - quick win",IF(K318&gt;=6,"2 - build early",IF(K318&gt;=4,"3 - slower climb","4 - monitor only"))))</f>
        <v>4 - monitor only</v>
      </c>
      <c r="M318" s="14" t="s">
        <v>311</v>
      </c>
      <c r="N318" s="14" t="s">
        <v>796</v>
      </c>
      <c r="O318" s="14" t="s">
        <v>793</v>
      </c>
      <c r="P318" s="14" t="s">
        <v>716</v>
      </c>
    </row>
    <row r="319" customFormat="false" ht="23.85" hidden="false" customHeight="false" outlineLevel="0" collapsed="false">
      <c r="A319" s="9" t="s">
        <v>797</v>
      </c>
      <c r="B319" s="9" t="s">
        <v>112</v>
      </c>
      <c r="C319" s="9" t="s">
        <v>798</v>
      </c>
      <c r="D319" s="9" t="s">
        <v>39</v>
      </c>
      <c r="E319" s="9" t="s">
        <v>58</v>
      </c>
      <c r="F319" s="9" t="s">
        <v>41</v>
      </c>
      <c r="G319" s="10"/>
      <c r="H319" s="11"/>
      <c r="I319" s="12" t="n">
        <v>5</v>
      </c>
      <c r="J319" s="12" t="n">
        <v>2</v>
      </c>
      <c r="K319" s="13" t="n">
        <f aca="false">IF(I319="","",I319*2-J319)</f>
        <v>8</v>
      </c>
      <c r="L319" s="9" t="str">
        <f aca="false">IF(K319="","",IF(K319&gt;=8,"1 - quick win",IF(K319&gt;=6,"2 - build early",IF(K319&gt;=4,"3 - slower climb","4 - monitor only"))))</f>
        <v>1 - quick win</v>
      </c>
      <c r="M319" s="9" t="s">
        <v>42</v>
      </c>
      <c r="N319" s="9" t="s">
        <v>799</v>
      </c>
      <c r="O319" s="9" t="s">
        <v>179</v>
      </c>
      <c r="P319" s="9"/>
    </row>
    <row r="320" customFormat="false" ht="23.85" hidden="false" customHeight="false" outlineLevel="0" collapsed="false">
      <c r="A320" s="14" t="s">
        <v>800</v>
      </c>
      <c r="B320" s="14" t="s">
        <v>112</v>
      </c>
      <c r="C320" s="14" t="s">
        <v>798</v>
      </c>
      <c r="D320" s="14" t="s">
        <v>39</v>
      </c>
      <c r="E320" s="14" t="s">
        <v>58</v>
      </c>
      <c r="F320" s="14" t="s">
        <v>41</v>
      </c>
      <c r="G320" s="10"/>
      <c r="H320" s="11"/>
      <c r="I320" s="15" t="n">
        <v>5</v>
      </c>
      <c r="J320" s="15" t="n">
        <v>2</v>
      </c>
      <c r="K320" s="16" t="n">
        <f aca="false">IF(I320="","",I320*2-J320)</f>
        <v>8</v>
      </c>
      <c r="L320" s="14" t="str">
        <f aca="false">IF(K320="","",IF(K320&gt;=8,"1 - quick win",IF(K320&gt;=6,"2 - build early",IF(K320&gt;=4,"3 - slower climb","4 - monitor only"))))</f>
        <v>1 - quick win</v>
      </c>
      <c r="M320" s="14" t="s">
        <v>42</v>
      </c>
      <c r="N320" s="14" t="s">
        <v>799</v>
      </c>
      <c r="O320" s="14" t="s">
        <v>110</v>
      </c>
      <c r="P320" s="14"/>
    </row>
    <row r="321" customFormat="false" ht="23.85" hidden="false" customHeight="false" outlineLevel="0" collapsed="false">
      <c r="A321" s="9" t="s">
        <v>801</v>
      </c>
      <c r="B321" s="9" t="s">
        <v>112</v>
      </c>
      <c r="C321" s="9" t="s">
        <v>798</v>
      </c>
      <c r="D321" s="9" t="s">
        <v>39</v>
      </c>
      <c r="E321" s="9" t="s">
        <v>58</v>
      </c>
      <c r="F321" s="9" t="s">
        <v>41</v>
      </c>
      <c r="G321" s="10"/>
      <c r="H321" s="11"/>
      <c r="I321" s="12" t="n">
        <v>4</v>
      </c>
      <c r="J321" s="12" t="n">
        <v>1</v>
      </c>
      <c r="K321" s="13" t="n">
        <f aca="false">IF(I321="","",I321*2-J321)</f>
        <v>7</v>
      </c>
      <c r="L321" s="9" t="str">
        <f aca="false">IF(K321="","",IF(K321&gt;=8,"1 - quick win",IF(K321&gt;=6,"2 - build early",IF(K321&gt;=4,"3 - slower climb","4 - monitor only"))))</f>
        <v>2 - build early</v>
      </c>
      <c r="M321" s="9" t="s">
        <v>42</v>
      </c>
      <c r="N321" s="9" t="s">
        <v>799</v>
      </c>
      <c r="O321" s="9" t="s">
        <v>63</v>
      </c>
      <c r="P321" s="9"/>
    </row>
    <row r="322" customFormat="false" ht="23.85" hidden="false" customHeight="false" outlineLevel="0" collapsed="false">
      <c r="A322" s="14" t="s">
        <v>802</v>
      </c>
      <c r="B322" s="14" t="s">
        <v>112</v>
      </c>
      <c r="C322" s="14" t="s">
        <v>798</v>
      </c>
      <c r="D322" s="14" t="s">
        <v>39</v>
      </c>
      <c r="E322" s="14" t="s">
        <v>58</v>
      </c>
      <c r="F322" s="14" t="s">
        <v>41</v>
      </c>
      <c r="G322" s="10"/>
      <c r="H322" s="11"/>
      <c r="I322" s="15" t="n">
        <v>4</v>
      </c>
      <c r="J322" s="15" t="n">
        <v>1</v>
      </c>
      <c r="K322" s="16" t="n">
        <f aca="false">IF(I322="","",I322*2-J322)</f>
        <v>7</v>
      </c>
      <c r="L322" s="14" t="str">
        <f aca="false">IF(K322="","",IF(K322&gt;=8,"1 - quick win",IF(K322&gt;=6,"2 - build early",IF(K322&gt;=4,"3 - slower climb","4 - monitor only"))))</f>
        <v>2 - build early</v>
      </c>
      <c r="M322" s="14" t="s">
        <v>42</v>
      </c>
      <c r="N322" s="14" t="s">
        <v>799</v>
      </c>
      <c r="O322" s="14" t="s">
        <v>120</v>
      </c>
      <c r="P322" s="14"/>
    </row>
    <row r="323" customFormat="false" ht="23.85" hidden="false" customHeight="false" outlineLevel="0" collapsed="false">
      <c r="A323" s="9" t="s">
        <v>803</v>
      </c>
      <c r="B323" s="9" t="s">
        <v>112</v>
      </c>
      <c r="C323" s="9" t="s">
        <v>798</v>
      </c>
      <c r="D323" s="9" t="s">
        <v>39</v>
      </c>
      <c r="E323" s="9" t="s">
        <v>58</v>
      </c>
      <c r="F323" s="9" t="s">
        <v>41</v>
      </c>
      <c r="G323" s="10"/>
      <c r="H323" s="11"/>
      <c r="I323" s="12" t="n">
        <v>5</v>
      </c>
      <c r="J323" s="12" t="n">
        <v>1</v>
      </c>
      <c r="K323" s="13" t="n">
        <f aca="false">IF(I323="","",I323*2-J323)</f>
        <v>9</v>
      </c>
      <c r="L323" s="9" t="str">
        <f aca="false">IF(K323="","",IF(K323&gt;=8,"1 - quick win",IF(K323&gt;=6,"2 - build early",IF(K323&gt;=4,"3 - slower climb","4 - monitor only"))))</f>
        <v>1 - quick win</v>
      </c>
      <c r="M323" s="9" t="s">
        <v>42</v>
      </c>
      <c r="N323" s="9" t="s">
        <v>799</v>
      </c>
      <c r="O323" s="9" t="s">
        <v>175</v>
      </c>
      <c r="P323" s="9"/>
    </row>
    <row r="324" customFormat="false" ht="23.85" hidden="false" customHeight="false" outlineLevel="0" collapsed="false">
      <c r="A324" s="14" t="s">
        <v>804</v>
      </c>
      <c r="B324" s="14" t="s">
        <v>112</v>
      </c>
      <c r="C324" s="14" t="s">
        <v>798</v>
      </c>
      <c r="D324" s="14" t="s">
        <v>39</v>
      </c>
      <c r="E324" s="14" t="s">
        <v>58</v>
      </c>
      <c r="F324" s="14" t="s">
        <v>41</v>
      </c>
      <c r="G324" s="10"/>
      <c r="H324" s="11"/>
      <c r="I324" s="15" t="n">
        <v>5</v>
      </c>
      <c r="J324" s="15" t="n">
        <v>1</v>
      </c>
      <c r="K324" s="16" t="n">
        <f aca="false">IF(I324="","",I324*2-J324)</f>
        <v>9</v>
      </c>
      <c r="L324" s="14" t="str">
        <f aca="false">IF(K324="","",IF(K324&gt;=8,"1 - quick win",IF(K324&gt;=6,"2 - build early",IF(K324&gt;=4,"3 - slower climb","4 - monitor only"))))</f>
        <v>1 - quick win</v>
      </c>
      <c r="M324" s="14" t="s">
        <v>42</v>
      </c>
      <c r="N324" s="14" t="s">
        <v>799</v>
      </c>
      <c r="O324" s="14" t="s">
        <v>200</v>
      </c>
      <c r="P324" s="14"/>
    </row>
    <row r="325" customFormat="false" ht="23.85" hidden="false" customHeight="false" outlineLevel="0" collapsed="false">
      <c r="A325" s="9" t="s">
        <v>805</v>
      </c>
      <c r="B325" s="9" t="s">
        <v>112</v>
      </c>
      <c r="C325" s="9" t="s">
        <v>798</v>
      </c>
      <c r="D325" s="9" t="s">
        <v>39</v>
      </c>
      <c r="E325" s="9" t="s">
        <v>58</v>
      </c>
      <c r="F325" s="9" t="s">
        <v>41</v>
      </c>
      <c r="G325" s="10"/>
      <c r="H325" s="11"/>
      <c r="I325" s="12" t="n">
        <v>4</v>
      </c>
      <c r="J325" s="12" t="n">
        <v>1</v>
      </c>
      <c r="K325" s="13" t="n">
        <f aca="false">IF(I325="","",I325*2-J325)</f>
        <v>7</v>
      </c>
      <c r="L325" s="9" t="str">
        <f aca="false">IF(K325="","",IF(K325&gt;=8,"1 - quick win",IF(K325&gt;=6,"2 - build early",IF(K325&gt;=4,"3 - slower climb","4 - monitor only"))))</f>
        <v>2 - build early</v>
      </c>
      <c r="M325" s="9" t="s">
        <v>42</v>
      </c>
      <c r="N325" s="9" t="s">
        <v>799</v>
      </c>
      <c r="O325" s="9" t="s">
        <v>506</v>
      </c>
      <c r="P325" s="9"/>
    </row>
    <row r="326" customFormat="false" ht="23.85" hidden="false" customHeight="false" outlineLevel="0" collapsed="false">
      <c r="A326" s="14" t="s">
        <v>806</v>
      </c>
      <c r="B326" s="14" t="s">
        <v>112</v>
      </c>
      <c r="C326" s="14" t="s">
        <v>798</v>
      </c>
      <c r="D326" s="14" t="s">
        <v>39</v>
      </c>
      <c r="E326" s="14" t="s">
        <v>58</v>
      </c>
      <c r="F326" s="14" t="s">
        <v>41</v>
      </c>
      <c r="G326" s="10"/>
      <c r="H326" s="11"/>
      <c r="I326" s="15" t="n">
        <v>3</v>
      </c>
      <c r="J326" s="15" t="n">
        <v>1</v>
      </c>
      <c r="K326" s="16" t="n">
        <f aca="false">IF(I326="","",I326*2-J326)</f>
        <v>5</v>
      </c>
      <c r="L326" s="14" t="str">
        <f aca="false">IF(K326="","",IF(K326&gt;=8,"1 - quick win",IF(K326&gt;=6,"2 - build early",IF(K326&gt;=4,"3 - slower climb","4 - monitor only"))))</f>
        <v>3 - slower climb</v>
      </c>
      <c r="M326" s="14" t="s">
        <v>42</v>
      </c>
      <c r="N326" s="14" t="s">
        <v>799</v>
      </c>
      <c r="O326" s="14" t="s">
        <v>649</v>
      </c>
      <c r="P326" s="14"/>
    </row>
    <row r="327" customFormat="false" ht="23.85" hidden="false" customHeight="false" outlineLevel="0" collapsed="false">
      <c r="A327" s="9" t="s">
        <v>807</v>
      </c>
      <c r="B327" s="9" t="s">
        <v>112</v>
      </c>
      <c r="C327" s="9" t="s">
        <v>798</v>
      </c>
      <c r="D327" s="9" t="s">
        <v>39</v>
      </c>
      <c r="E327" s="9" t="s">
        <v>58</v>
      </c>
      <c r="F327" s="9" t="s">
        <v>41</v>
      </c>
      <c r="G327" s="10"/>
      <c r="H327" s="11"/>
      <c r="I327" s="12" t="n">
        <v>4</v>
      </c>
      <c r="J327" s="12" t="n">
        <v>1</v>
      </c>
      <c r="K327" s="13" t="n">
        <f aca="false">IF(I327="","",I327*2-J327)</f>
        <v>7</v>
      </c>
      <c r="L327" s="9" t="str">
        <f aca="false">IF(K327="","",IF(K327&gt;=8,"1 - quick win",IF(K327&gt;=6,"2 - build early",IF(K327&gt;=4,"3 - slower climb","4 - monitor only"))))</f>
        <v>2 - build early</v>
      </c>
      <c r="M327" s="9" t="s">
        <v>42</v>
      </c>
      <c r="N327" s="9" t="s">
        <v>799</v>
      </c>
      <c r="O327" s="9" t="s">
        <v>398</v>
      </c>
      <c r="P327" s="9"/>
    </row>
    <row r="328" customFormat="false" ht="23.85" hidden="false" customHeight="false" outlineLevel="0" collapsed="false">
      <c r="A328" s="14" t="s">
        <v>808</v>
      </c>
      <c r="B328" s="14" t="s">
        <v>112</v>
      </c>
      <c r="C328" s="14" t="s">
        <v>798</v>
      </c>
      <c r="D328" s="14" t="s">
        <v>39</v>
      </c>
      <c r="E328" s="14" t="s">
        <v>58</v>
      </c>
      <c r="F328" s="14" t="s">
        <v>41</v>
      </c>
      <c r="G328" s="10"/>
      <c r="H328" s="11"/>
      <c r="I328" s="15" t="n">
        <v>3</v>
      </c>
      <c r="J328" s="15" t="n">
        <v>1</v>
      </c>
      <c r="K328" s="16" t="n">
        <f aca="false">IF(I328="","",I328*2-J328)</f>
        <v>5</v>
      </c>
      <c r="L328" s="14" t="str">
        <f aca="false">IF(K328="","",IF(K328&gt;=8,"1 - quick win",IF(K328&gt;=6,"2 - build early",IF(K328&gt;=4,"3 - slower climb","4 - monitor only"))))</f>
        <v>3 - slower climb</v>
      </c>
      <c r="M328" s="14" t="s">
        <v>42</v>
      </c>
      <c r="N328" s="14" t="s">
        <v>799</v>
      </c>
      <c r="O328" s="14" t="s">
        <v>354</v>
      </c>
      <c r="P328" s="14"/>
    </row>
    <row r="329" customFormat="false" ht="23.85" hidden="false" customHeight="false" outlineLevel="0" collapsed="false">
      <c r="A329" s="9" t="s">
        <v>809</v>
      </c>
      <c r="B329" s="9" t="s">
        <v>112</v>
      </c>
      <c r="C329" s="9" t="s">
        <v>798</v>
      </c>
      <c r="D329" s="9" t="s">
        <v>39</v>
      </c>
      <c r="E329" s="9" t="s">
        <v>58</v>
      </c>
      <c r="F329" s="9" t="s">
        <v>41</v>
      </c>
      <c r="G329" s="10"/>
      <c r="H329" s="11"/>
      <c r="I329" s="12" t="n">
        <v>5</v>
      </c>
      <c r="J329" s="12" t="n">
        <v>5</v>
      </c>
      <c r="K329" s="13" t="n">
        <f aca="false">IF(I329="","",I329*2-J329)</f>
        <v>5</v>
      </c>
      <c r="L329" s="9" t="str">
        <f aca="false">IF(K329="","",IF(K329&gt;=8,"1 - quick win",IF(K329&gt;=6,"2 - build early",IF(K329&gt;=4,"3 - slower climb","4 - monitor only"))))</f>
        <v>3 - slower climb</v>
      </c>
      <c r="M329" s="9" t="s">
        <v>42</v>
      </c>
      <c r="N329" s="9" t="s">
        <v>799</v>
      </c>
      <c r="O329" s="9" t="s">
        <v>145</v>
      </c>
      <c r="P329" s="9"/>
    </row>
    <row r="330" customFormat="false" ht="23.85" hidden="false" customHeight="false" outlineLevel="0" collapsed="false">
      <c r="A330" s="14" t="s">
        <v>810</v>
      </c>
      <c r="B330" s="14" t="s">
        <v>112</v>
      </c>
      <c r="C330" s="14" t="s">
        <v>798</v>
      </c>
      <c r="D330" s="14" t="s">
        <v>39</v>
      </c>
      <c r="E330" s="14" t="s">
        <v>58</v>
      </c>
      <c r="F330" s="14" t="s">
        <v>41</v>
      </c>
      <c r="G330" s="10"/>
      <c r="H330" s="11"/>
      <c r="I330" s="15" t="n">
        <v>5</v>
      </c>
      <c r="J330" s="15" t="n">
        <v>3</v>
      </c>
      <c r="K330" s="16" t="n">
        <f aca="false">IF(I330="","",I330*2-J330)</f>
        <v>7</v>
      </c>
      <c r="L330" s="14" t="str">
        <f aca="false">IF(K330="","",IF(K330&gt;=8,"1 - quick win",IF(K330&gt;=6,"2 - build early",IF(K330&gt;=4,"3 - slower climb","4 - monitor only"))))</f>
        <v>2 - build early</v>
      </c>
      <c r="M330" s="14" t="s">
        <v>42</v>
      </c>
      <c r="N330" s="14" t="s">
        <v>799</v>
      </c>
      <c r="O330" s="14" t="s">
        <v>97</v>
      </c>
      <c r="P330" s="14"/>
    </row>
    <row r="331" customFormat="false" ht="23.85" hidden="false" customHeight="false" outlineLevel="0" collapsed="false">
      <c r="A331" s="9" t="s">
        <v>811</v>
      </c>
      <c r="B331" s="9" t="s">
        <v>112</v>
      </c>
      <c r="C331" s="9" t="s">
        <v>798</v>
      </c>
      <c r="D331" s="9" t="s">
        <v>39</v>
      </c>
      <c r="E331" s="9" t="s">
        <v>58</v>
      </c>
      <c r="F331" s="9" t="s">
        <v>41</v>
      </c>
      <c r="G331" s="10"/>
      <c r="H331" s="11"/>
      <c r="I331" s="12" t="n">
        <v>4</v>
      </c>
      <c r="J331" s="12" t="n">
        <v>2</v>
      </c>
      <c r="K331" s="13" t="n">
        <f aca="false">IF(I331="","",I331*2-J331)</f>
        <v>6</v>
      </c>
      <c r="L331" s="9" t="str">
        <f aca="false">IF(K331="","",IF(K331&gt;=8,"1 - quick win",IF(K331&gt;=6,"2 - build early",IF(K331&gt;=4,"3 - slower climb","4 - monitor only"))))</f>
        <v>2 - build early</v>
      </c>
      <c r="M331" s="9" t="s">
        <v>42</v>
      </c>
      <c r="N331" s="9" t="s">
        <v>799</v>
      </c>
      <c r="O331" s="9" t="s">
        <v>214</v>
      </c>
      <c r="P331" s="9"/>
    </row>
    <row r="332" customFormat="false" ht="23.85" hidden="false" customHeight="false" outlineLevel="0" collapsed="false">
      <c r="A332" s="14" t="s">
        <v>812</v>
      </c>
      <c r="B332" s="14" t="s">
        <v>112</v>
      </c>
      <c r="C332" s="14" t="s">
        <v>798</v>
      </c>
      <c r="D332" s="14" t="s">
        <v>39</v>
      </c>
      <c r="E332" s="14" t="s">
        <v>58</v>
      </c>
      <c r="F332" s="14" t="s">
        <v>41</v>
      </c>
      <c r="G332" s="10"/>
      <c r="H332" s="11"/>
      <c r="I332" s="15" t="n">
        <v>5</v>
      </c>
      <c r="J332" s="15" t="n">
        <v>2</v>
      </c>
      <c r="K332" s="16" t="n">
        <f aca="false">IF(I332="","",I332*2-J332)</f>
        <v>8</v>
      </c>
      <c r="L332" s="14" t="str">
        <f aca="false">IF(K332="","",IF(K332&gt;=8,"1 - quick win",IF(K332&gt;=6,"2 - build early",IF(K332&gt;=4,"3 - slower climb","4 - monitor only"))))</f>
        <v>1 - quick win</v>
      </c>
      <c r="M332" s="14" t="s">
        <v>42</v>
      </c>
      <c r="N332" s="14" t="s">
        <v>799</v>
      </c>
      <c r="O332" s="14" t="s">
        <v>452</v>
      </c>
      <c r="P332" s="14"/>
    </row>
    <row r="333" customFormat="false" ht="23.85" hidden="false" customHeight="false" outlineLevel="0" collapsed="false">
      <c r="A333" s="9" t="s">
        <v>813</v>
      </c>
      <c r="B333" s="9" t="s">
        <v>112</v>
      </c>
      <c r="C333" s="9" t="s">
        <v>798</v>
      </c>
      <c r="D333" s="9" t="s">
        <v>39</v>
      </c>
      <c r="E333" s="9" t="s">
        <v>58</v>
      </c>
      <c r="F333" s="9" t="s">
        <v>41</v>
      </c>
      <c r="G333" s="10"/>
      <c r="H333" s="11"/>
      <c r="I333" s="12" t="n">
        <v>3</v>
      </c>
      <c r="J333" s="12" t="n">
        <v>1</v>
      </c>
      <c r="K333" s="13" t="n">
        <f aca="false">IF(I333="","",I333*2-J333)</f>
        <v>5</v>
      </c>
      <c r="L333" s="9" t="str">
        <f aca="false">IF(K333="","",IF(K333&gt;=8,"1 - quick win",IF(K333&gt;=6,"2 - build early",IF(K333&gt;=4,"3 - slower climb","4 - monitor only"))))</f>
        <v>3 - slower climb</v>
      </c>
      <c r="M333" s="9" t="s">
        <v>42</v>
      </c>
      <c r="N333" s="9" t="s">
        <v>799</v>
      </c>
      <c r="O333" s="9" t="s">
        <v>247</v>
      </c>
      <c r="P333" s="9"/>
    </row>
    <row r="334" customFormat="false" ht="23.85" hidden="false" customHeight="false" outlineLevel="0" collapsed="false">
      <c r="A334" s="14" t="s">
        <v>814</v>
      </c>
      <c r="B334" s="14" t="s">
        <v>112</v>
      </c>
      <c r="C334" s="14" t="s">
        <v>798</v>
      </c>
      <c r="D334" s="14" t="s">
        <v>39</v>
      </c>
      <c r="E334" s="14" t="s">
        <v>58</v>
      </c>
      <c r="F334" s="14" t="s">
        <v>41</v>
      </c>
      <c r="G334" s="10"/>
      <c r="H334" s="11"/>
      <c r="I334" s="15" t="n">
        <v>4</v>
      </c>
      <c r="J334" s="15" t="n">
        <v>3</v>
      </c>
      <c r="K334" s="16" t="n">
        <f aca="false">IF(I334="","",I334*2-J334)</f>
        <v>5</v>
      </c>
      <c r="L334" s="14" t="str">
        <f aca="false">IF(K334="","",IF(K334&gt;=8,"1 - quick win",IF(K334&gt;=6,"2 - build early",IF(K334&gt;=4,"3 - slower climb","4 - monitor only"))))</f>
        <v>3 - slower climb</v>
      </c>
      <c r="M334" s="14" t="s">
        <v>42</v>
      </c>
      <c r="N334" s="14" t="s">
        <v>799</v>
      </c>
      <c r="O334" s="14" t="s">
        <v>564</v>
      </c>
      <c r="P334" s="14"/>
    </row>
    <row r="335" customFormat="false" ht="23.85" hidden="false" customHeight="false" outlineLevel="0" collapsed="false">
      <c r="A335" s="9" t="s">
        <v>815</v>
      </c>
      <c r="B335" s="9" t="s">
        <v>112</v>
      </c>
      <c r="C335" s="9" t="s">
        <v>798</v>
      </c>
      <c r="D335" s="9" t="s">
        <v>39</v>
      </c>
      <c r="E335" s="9" t="s">
        <v>58</v>
      </c>
      <c r="F335" s="9" t="s">
        <v>41</v>
      </c>
      <c r="G335" s="10"/>
      <c r="H335" s="11"/>
      <c r="I335" s="12" t="n">
        <v>3</v>
      </c>
      <c r="J335" s="12" t="n">
        <v>1</v>
      </c>
      <c r="K335" s="13" t="n">
        <f aca="false">IF(I335="","",I335*2-J335)</f>
        <v>5</v>
      </c>
      <c r="L335" s="9" t="str">
        <f aca="false">IF(K335="","",IF(K335&gt;=8,"1 - quick win",IF(K335&gt;=6,"2 - build early",IF(K335&gt;=4,"3 - slower climb","4 - monitor only"))))</f>
        <v>3 - slower climb</v>
      </c>
      <c r="M335" s="9" t="s">
        <v>42</v>
      </c>
      <c r="N335" s="9" t="s">
        <v>799</v>
      </c>
      <c r="O335" s="9" t="s">
        <v>354</v>
      </c>
      <c r="P335" s="9"/>
    </row>
    <row r="336" customFormat="false" ht="23.85" hidden="false" customHeight="false" outlineLevel="0" collapsed="false">
      <c r="A336" s="14" t="s">
        <v>816</v>
      </c>
      <c r="B336" s="14" t="s">
        <v>112</v>
      </c>
      <c r="C336" s="14" t="s">
        <v>798</v>
      </c>
      <c r="D336" s="14" t="s">
        <v>39</v>
      </c>
      <c r="E336" s="14" t="s">
        <v>58</v>
      </c>
      <c r="F336" s="14" t="s">
        <v>41</v>
      </c>
      <c r="G336" s="10"/>
      <c r="H336" s="11"/>
      <c r="I336" s="15" t="n">
        <v>4</v>
      </c>
      <c r="J336" s="15" t="n">
        <v>1</v>
      </c>
      <c r="K336" s="16" t="n">
        <f aca="false">IF(I336="","",I336*2-J336)</f>
        <v>7</v>
      </c>
      <c r="L336" s="14" t="str">
        <f aca="false">IF(K336="","",IF(K336&gt;=8,"1 - quick win",IF(K336&gt;=6,"2 - build early",IF(K336&gt;=4,"3 - slower climb","4 - monitor only"))))</f>
        <v>2 - build early</v>
      </c>
      <c r="M336" s="14" t="s">
        <v>42</v>
      </c>
      <c r="N336" s="14" t="s">
        <v>799</v>
      </c>
      <c r="O336" s="14" t="s">
        <v>219</v>
      </c>
      <c r="P336" s="14"/>
    </row>
    <row r="337" customFormat="false" ht="23.85" hidden="false" customHeight="false" outlineLevel="0" collapsed="false">
      <c r="A337" s="9" t="s">
        <v>817</v>
      </c>
      <c r="B337" s="9" t="s">
        <v>112</v>
      </c>
      <c r="C337" s="9" t="s">
        <v>798</v>
      </c>
      <c r="D337" s="9" t="s">
        <v>39</v>
      </c>
      <c r="E337" s="9" t="s">
        <v>58</v>
      </c>
      <c r="F337" s="9" t="s">
        <v>41</v>
      </c>
      <c r="G337" s="10"/>
      <c r="H337" s="11"/>
      <c r="I337" s="12" t="n">
        <v>5</v>
      </c>
      <c r="J337" s="12" t="n">
        <v>2</v>
      </c>
      <c r="K337" s="13" t="n">
        <f aca="false">IF(I337="","",I337*2-J337)</f>
        <v>8</v>
      </c>
      <c r="L337" s="9" t="str">
        <f aca="false">IF(K337="","",IF(K337&gt;=8,"1 - quick win",IF(K337&gt;=6,"2 - build early",IF(K337&gt;=4,"3 - slower climb","4 - monitor only"))))</f>
        <v>1 - quick win</v>
      </c>
      <c r="M337" s="9" t="s">
        <v>42</v>
      </c>
      <c r="N337" s="9" t="s">
        <v>799</v>
      </c>
      <c r="O337" s="9" t="s">
        <v>123</v>
      </c>
      <c r="P337" s="9"/>
    </row>
    <row r="338" customFormat="false" ht="23.85" hidden="false" customHeight="false" outlineLevel="0" collapsed="false">
      <c r="A338" s="14" t="s">
        <v>818</v>
      </c>
      <c r="B338" s="14" t="s">
        <v>112</v>
      </c>
      <c r="C338" s="14" t="s">
        <v>798</v>
      </c>
      <c r="D338" s="14" t="s">
        <v>39</v>
      </c>
      <c r="E338" s="14" t="s">
        <v>58</v>
      </c>
      <c r="F338" s="14" t="s">
        <v>41</v>
      </c>
      <c r="G338" s="10"/>
      <c r="H338" s="11"/>
      <c r="I338" s="15" t="n">
        <v>3</v>
      </c>
      <c r="J338" s="15" t="n">
        <v>1</v>
      </c>
      <c r="K338" s="16" t="n">
        <f aca="false">IF(I338="","",I338*2-J338)</f>
        <v>5</v>
      </c>
      <c r="L338" s="14" t="str">
        <f aca="false">IF(K338="","",IF(K338&gt;=8,"1 - quick win",IF(K338&gt;=6,"2 - build early",IF(K338&gt;=4,"3 - slower climb","4 - monitor only"))))</f>
        <v>3 - slower climb</v>
      </c>
      <c r="M338" s="14" t="s">
        <v>42</v>
      </c>
      <c r="N338" s="14" t="s">
        <v>799</v>
      </c>
      <c r="O338" s="14" t="s">
        <v>559</v>
      </c>
      <c r="P338" s="14"/>
    </row>
    <row r="339" customFormat="false" ht="23.85" hidden="false" customHeight="false" outlineLevel="0" collapsed="false">
      <c r="A339" s="9" t="s">
        <v>819</v>
      </c>
      <c r="B339" s="9" t="s">
        <v>112</v>
      </c>
      <c r="C339" s="9" t="s">
        <v>798</v>
      </c>
      <c r="D339" s="9" t="s">
        <v>39</v>
      </c>
      <c r="E339" s="9" t="s">
        <v>58</v>
      </c>
      <c r="F339" s="9" t="s">
        <v>41</v>
      </c>
      <c r="G339" s="10"/>
      <c r="H339" s="11"/>
      <c r="I339" s="12" t="n">
        <v>4</v>
      </c>
      <c r="J339" s="12" t="n">
        <v>1</v>
      </c>
      <c r="K339" s="13" t="n">
        <f aca="false">IF(I339="","",I339*2-J339)</f>
        <v>7</v>
      </c>
      <c r="L339" s="9" t="str">
        <f aca="false">IF(K339="","",IF(K339&gt;=8,"1 - quick win",IF(K339&gt;=6,"2 - build early",IF(K339&gt;=4,"3 - slower climb","4 - monitor only"))))</f>
        <v>2 - build early</v>
      </c>
      <c r="M339" s="9" t="s">
        <v>42</v>
      </c>
      <c r="N339" s="9" t="s">
        <v>799</v>
      </c>
      <c r="O339" s="9" t="s">
        <v>559</v>
      </c>
      <c r="P339" s="9"/>
    </row>
    <row r="340" customFormat="false" ht="23.85" hidden="false" customHeight="false" outlineLevel="0" collapsed="false">
      <c r="A340" s="14" t="s">
        <v>820</v>
      </c>
      <c r="B340" s="14" t="s">
        <v>112</v>
      </c>
      <c r="C340" s="14" t="s">
        <v>798</v>
      </c>
      <c r="D340" s="14" t="s">
        <v>39</v>
      </c>
      <c r="E340" s="14" t="s">
        <v>58</v>
      </c>
      <c r="F340" s="14" t="s">
        <v>41</v>
      </c>
      <c r="G340" s="10"/>
      <c r="H340" s="11"/>
      <c r="I340" s="15" t="n">
        <v>4</v>
      </c>
      <c r="J340" s="15" t="n">
        <v>3</v>
      </c>
      <c r="K340" s="16" t="n">
        <f aca="false">IF(I340="","",I340*2-J340)</f>
        <v>5</v>
      </c>
      <c r="L340" s="14" t="str">
        <f aca="false">IF(K340="","",IF(K340&gt;=8,"1 - quick win",IF(K340&gt;=6,"2 - build early",IF(K340&gt;=4,"3 - slower climb","4 - monitor only"))))</f>
        <v>3 - slower climb</v>
      </c>
      <c r="M340" s="14" t="s">
        <v>42</v>
      </c>
      <c r="N340" s="14" t="s">
        <v>799</v>
      </c>
      <c r="O340" s="14" t="s">
        <v>141</v>
      </c>
      <c r="P340" s="14"/>
    </row>
    <row r="341" customFormat="false" ht="23.85" hidden="false" customHeight="false" outlineLevel="0" collapsed="false">
      <c r="A341" s="9" t="s">
        <v>821</v>
      </c>
      <c r="B341" s="9" t="s">
        <v>112</v>
      </c>
      <c r="C341" s="9" t="s">
        <v>798</v>
      </c>
      <c r="D341" s="9" t="s">
        <v>39</v>
      </c>
      <c r="E341" s="9" t="s">
        <v>58</v>
      </c>
      <c r="F341" s="9" t="s">
        <v>41</v>
      </c>
      <c r="G341" s="10"/>
      <c r="H341" s="11"/>
      <c r="I341" s="12" t="n">
        <v>5</v>
      </c>
      <c r="J341" s="12" t="n">
        <v>2</v>
      </c>
      <c r="K341" s="13" t="n">
        <f aca="false">IF(I341="","",I341*2-J341)</f>
        <v>8</v>
      </c>
      <c r="L341" s="9" t="str">
        <f aca="false">IF(K341="","",IF(K341&gt;=8,"1 - quick win",IF(K341&gt;=6,"2 - build early",IF(K341&gt;=4,"3 - slower climb","4 - monitor only"))))</f>
        <v>1 - quick win</v>
      </c>
      <c r="M341" s="9" t="s">
        <v>42</v>
      </c>
      <c r="N341" s="9" t="s">
        <v>799</v>
      </c>
      <c r="O341" s="9" t="s">
        <v>341</v>
      </c>
      <c r="P341" s="9"/>
    </row>
    <row r="342" customFormat="false" ht="23.85" hidden="false" customHeight="false" outlineLevel="0" collapsed="false">
      <c r="A342" s="14" t="s">
        <v>822</v>
      </c>
      <c r="B342" s="14" t="s">
        <v>112</v>
      </c>
      <c r="C342" s="14" t="s">
        <v>798</v>
      </c>
      <c r="D342" s="14" t="s">
        <v>39</v>
      </c>
      <c r="E342" s="14" t="s">
        <v>58</v>
      </c>
      <c r="F342" s="14" t="s">
        <v>41</v>
      </c>
      <c r="G342" s="10"/>
      <c r="H342" s="11"/>
      <c r="I342" s="15" t="n">
        <v>4</v>
      </c>
      <c r="J342" s="15" t="n">
        <v>1</v>
      </c>
      <c r="K342" s="16" t="n">
        <f aca="false">IF(I342="","",I342*2-J342)</f>
        <v>7</v>
      </c>
      <c r="L342" s="14" t="str">
        <f aca="false">IF(K342="","",IF(K342&gt;=8,"1 - quick win",IF(K342&gt;=6,"2 - build early",IF(K342&gt;=4,"3 - slower climb","4 - monitor only"))))</f>
        <v>2 - build early</v>
      </c>
      <c r="M342" s="14" t="s">
        <v>42</v>
      </c>
      <c r="N342" s="14" t="s">
        <v>799</v>
      </c>
      <c r="O342" s="14" t="s">
        <v>372</v>
      </c>
      <c r="P342" s="14"/>
    </row>
    <row r="343" customFormat="false" ht="23.85" hidden="false" customHeight="false" outlineLevel="0" collapsed="false">
      <c r="A343" s="9" t="s">
        <v>823</v>
      </c>
      <c r="B343" s="9" t="s">
        <v>112</v>
      </c>
      <c r="C343" s="9" t="s">
        <v>798</v>
      </c>
      <c r="D343" s="9" t="s">
        <v>39</v>
      </c>
      <c r="E343" s="9" t="s">
        <v>58</v>
      </c>
      <c r="F343" s="9" t="s">
        <v>41</v>
      </c>
      <c r="G343" s="10"/>
      <c r="H343" s="11"/>
      <c r="I343" s="12" t="n">
        <v>5</v>
      </c>
      <c r="J343" s="12" t="n">
        <v>2</v>
      </c>
      <c r="K343" s="13" t="n">
        <f aca="false">IF(I343="","",I343*2-J343)</f>
        <v>8</v>
      </c>
      <c r="L343" s="9" t="str">
        <f aca="false">IF(K343="","",IF(K343&gt;=8,"1 - quick win",IF(K343&gt;=6,"2 - build early",IF(K343&gt;=4,"3 - slower climb","4 - monitor only"))))</f>
        <v>1 - quick win</v>
      </c>
      <c r="M343" s="9" t="s">
        <v>42</v>
      </c>
      <c r="N343" s="9" t="s">
        <v>799</v>
      </c>
      <c r="O343" s="9" t="s">
        <v>432</v>
      </c>
      <c r="P343" s="9"/>
    </row>
    <row r="344" customFormat="false" ht="23.85" hidden="false" customHeight="false" outlineLevel="0" collapsed="false">
      <c r="A344" s="14" t="s">
        <v>824</v>
      </c>
      <c r="B344" s="14" t="s">
        <v>112</v>
      </c>
      <c r="C344" s="14" t="s">
        <v>798</v>
      </c>
      <c r="D344" s="14" t="s">
        <v>39</v>
      </c>
      <c r="E344" s="14" t="s">
        <v>58</v>
      </c>
      <c r="F344" s="14" t="s">
        <v>41</v>
      </c>
      <c r="G344" s="10"/>
      <c r="H344" s="11"/>
      <c r="I344" s="15" t="n">
        <v>5</v>
      </c>
      <c r="J344" s="15" t="n">
        <v>2</v>
      </c>
      <c r="K344" s="16" t="n">
        <f aca="false">IF(I344="","",I344*2-J344)</f>
        <v>8</v>
      </c>
      <c r="L344" s="14" t="str">
        <f aca="false">IF(K344="","",IF(K344&gt;=8,"1 - quick win",IF(K344&gt;=6,"2 - build early",IF(K344&gt;=4,"3 - slower climb","4 - monitor only"))))</f>
        <v>1 - quick win</v>
      </c>
      <c r="M344" s="14" t="s">
        <v>42</v>
      </c>
      <c r="N344" s="14" t="s">
        <v>799</v>
      </c>
      <c r="O344" s="14" t="s">
        <v>432</v>
      </c>
      <c r="P344" s="14"/>
    </row>
    <row r="345" customFormat="false" ht="23.85" hidden="false" customHeight="false" outlineLevel="0" collapsed="false">
      <c r="A345" s="9" t="s">
        <v>825</v>
      </c>
      <c r="B345" s="9" t="s">
        <v>112</v>
      </c>
      <c r="C345" s="9" t="s">
        <v>798</v>
      </c>
      <c r="D345" s="9" t="s">
        <v>39</v>
      </c>
      <c r="E345" s="9" t="s">
        <v>58</v>
      </c>
      <c r="F345" s="9" t="s">
        <v>41</v>
      </c>
      <c r="G345" s="10"/>
      <c r="H345" s="11"/>
      <c r="I345" s="12" t="n">
        <v>5</v>
      </c>
      <c r="J345" s="12" t="n">
        <v>2</v>
      </c>
      <c r="K345" s="13" t="n">
        <f aca="false">IF(I345="","",I345*2-J345)</f>
        <v>8</v>
      </c>
      <c r="L345" s="9" t="str">
        <f aca="false">IF(K345="","",IF(K345&gt;=8,"1 - quick win",IF(K345&gt;=6,"2 - build early",IF(K345&gt;=4,"3 - slower climb","4 - monitor only"))))</f>
        <v>1 - quick win</v>
      </c>
      <c r="M345" s="9" t="s">
        <v>42</v>
      </c>
      <c r="N345" s="9" t="s">
        <v>799</v>
      </c>
      <c r="O345" s="9" t="s">
        <v>432</v>
      </c>
      <c r="P345" s="9"/>
    </row>
    <row r="346" customFormat="false" ht="23.85" hidden="false" customHeight="false" outlineLevel="0" collapsed="false">
      <c r="A346" s="14" t="s">
        <v>826</v>
      </c>
      <c r="B346" s="14" t="s">
        <v>112</v>
      </c>
      <c r="C346" s="14" t="s">
        <v>798</v>
      </c>
      <c r="D346" s="14" t="s">
        <v>39</v>
      </c>
      <c r="E346" s="14" t="s">
        <v>58</v>
      </c>
      <c r="F346" s="14" t="s">
        <v>41</v>
      </c>
      <c r="G346" s="10"/>
      <c r="H346" s="11"/>
      <c r="I346" s="15" t="n">
        <v>5</v>
      </c>
      <c r="J346" s="15" t="n">
        <v>1</v>
      </c>
      <c r="K346" s="16" t="n">
        <f aca="false">IF(I346="","",I346*2-J346)</f>
        <v>9</v>
      </c>
      <c r="L346" s="14" t="str">
        <f aca="false">IF(K346="","",IF(K346&gt;=8,"1 - quick win",IF(K346&gt;=6,"2 - build early",IF(K346&gt;=4,"3 - slower climb","4 - monitor only"))))</f>
        <v>1 - quick win</v>
      </c>
      <c r="M346" s="14" t="s">
        <v>42</v>
      </c>
      <c r="N346" s="14" t="s">
        <v>799</v>
      </c>
      <c r="O346" s="14" t="s">
        <v>598</v>
      </c>
      <c r="P346" s="14"/>
    </row>
    <row r="347" customFormat="false" ht="23.85" hidden="false" customHeight="false" outlineLevel="0" collapsed="false">
      <c r="A347" s="9" t="s">
        <v>827</v>
      </c>
      <c r="B347" s="9" t="s">
        <v>112</v>
      </c>
      <c r="C347" s="9" t="s">
        <v>798</v>
      </c>
      <c r="D347" s="9" t="s">
        <v>39</v>
      </c>
      <c r="E347" s="9" t="s">
        <v>58</v>
      </c>
      <c r="F347" s="9" t="s">
        <v>41</v>
      </c>
      <c r="G347" s="10"/>
      <c r="H347" s="11"/>
      <c r="I347" s="12" t="n">
        <v>5</v>
      </c>
      <c r="J347" s="12" t="n">
        <v>2</v>
      </c>
      <c r="K347" s="13" t="n">
        <f aca="false">IF(I347="","",I347*2-J347)</f>
        <v>8</v>
      </c>
      <c r="L347" s="9" t="str">
        <f aca="false">IF(K347="","",IF(K347&gt;=8,"1 - quick win",IF(K347&gt;=6,"2 - build early",IF(K347&gt;=4,"3 - slower climb","4 - monitor only"))))</f>
        <v>1 - quick win</v>
      </c>
      <c r="M347" s="9" t="s">
        <v>42</v>
      </c>
      <c r="N347" s="9" t="s">
        <v>799</v>
      </c>
      <c r="O347" s="9" t="s">
        <v>598</v>
      </c>
      <c r="P347" s="9"/>
    </row>
    <row r="348" customFormat="false" ht="23.85" hidden="false" customHeight="false" outlineLevel="0" collapsed="false">
      <c r="A348" s="14" t="s">
        <v>828</v>
      </c>
      <c r="B348" s="14" t="s">
        <v>112</v>
      </c>
      <c r="C348" s="14" t="s">
        <v>798</v>
      </c>
      <c r="D348" s="14" t="s">
        <v>39</v>
      </c>
      <c r="E348" s="14" t="s">
        <v>58</v>
      </c>
      <c r="F348" s="14" t="s">
        <v>41</v>
      </c>
      <c r="G348" s="10"/>
      <c r="H348" s="11"/>
      <c r="I348" s="15" t="n">
        <v>4</v>
      </c>
      <c r="J348" s="15" t="n">
        <v>1</v>
      </c>
      <c r="K348" s="16" t="n">
        <f aca="false">IF(I348="","",I348*2-J348)</f>
        <v>7</v>
      </c>
      <c r="L348" s="14" t="str">
        <f aca="false">IF(K348="","",IF(K348&gt;=8,"1 - quick win",IF(K348&gt;=6,"2 - build early",IF(K348&gt;=4,"3 - slower climb","4 - monitor only"))))</f>
        <v>2 - build early</v>
      </c>
      <c r="M348" s="14" t="s">
        <v>42</v>
      </c>
      <c r="N348" s="14" t="s">
        <v>799</v>
      </c>
      <c r="O348" s="14" t="s">
        <v>603</v>
      </c>
      <c r="P348" s="14"/>
    </row>
    <row r="349" customFormat="false" ht="23.85" hidden="false" customHeight="false" outlineLevel="0" collapsed="false">
      <c r="A349" s="9" t="s">
        <v>829</v>
      </c>
      <c r="B349" s="9" t="s">
        <v>112</v>
      </c>
      <c r="C349" s="9" t="s">
        <v>798</v>
      </c>
      <c r="D349" s="9" t="s">
        <v>39</v>
      </c>
      <c r="E349" s="9" t="s">
        <v>58</v>
      </c>
      <c r="F349" s="9" t="s">
        <v>41</v>
      </c>
      <c r="G349" s="10"/>
      <c r="H349" s="11"/>
      <c r="I349" s="12" t="n">
        <v>4</v>
      </c>
      <c r="J349" s="12" t="n">
        <v>1</v>
      </c>
      <c r="K349" s="13" t="n">
        <f aca="false">IF(I349="","",I349*2-J349)</f>
        <v>7</v>
      </c>
      <c r="L349" s="9" t="str">
        <f aca="false">IF(K349="","",IF(K349&gt;=8,"1 - quick win",IF(K349&gt;=6,"2 - build early",IF(K349&gt;=4,"3 - slower climb","4 - monitor only"))))</f>
        <v>2 - build early</v>
      </c>
      <c r="M349" s="9" t="s">
        <v>42</v>
      </c>
      <c r="N349" s="9" t="s">
        <v>799</v>
      </c>
      <c r="O349" s="9" t="s">
        <v>613</v>
      </c>
      <c r="P349" s="9"/>
    </row>
    <row r="350" customFormat="false" ht="23.85" hidden="false" customHeight="false" outlineLevel="0" collapsed="false">
      <c r="A350" s="14" t="s">
        <v>830</v>
      </c>
      <c r="B350" s="14" t="s">
        <v>112</v>
      </c>
      <c r="C350" s="14" t="s">
        <v>798</v>
      </c>
      <c r="D350" s="14" t="s">
        <v>39</v>
      </c>
      <c r="E350" s="14" t="s">
        <v>58</v>
      </c>
      <c r="F350" s="14" t="s">
        <v>41</v>
      </c>
      <c r="G350" s="10"/>
      <c r="H350" s="11"/>
      <c r="I350" s="15" t="n">
        <v>4</v>
      </c>
      <c r="J350" s="15" t="n">
        <v>1</v>
      </c>
      <c r="K350" s="16" t="n">
        <f aca="false">IF(I350="","",I350*2-J350)</f>
        <v>7</v>
      </c>
      <c r="L350" s="14" t="str">
        <f aca="false">IF(K350="","",IF(K350&gt;=8,"1 - quick win",IF(K350&gt;=6,"2 - build early",IF(K350&gt;=4,"3 - slower climb","4 - monitor only"))))</f>
        <v>2 - build early</v>
      </c>
      <c r="M350" s="14" t="s">
        <v>42</v>
      </c>
      <c r="N350" s="14" t="s">
        <v>799</v>
      </c>
      <c r="O350" s="14" t="s">
        <v>258</v>
      </c>
      <c r="P350" s="14"/>
    </row>
    <row r="351" customFormat="false" ht="23.85" hidden="false" customHeight="false" outlineLevel="0" collapsed="false">
      <c r="A351" s="9" t="s">
        <v>831</v>
      </c>
      <c r="B351" s="9" t="s">
        <v>112</v>
      </c>
      <c r="C351" s="9" t="s">
        <v>798</v>
      </c>
      <c r="D351" s="9" t="s">
        <v>39</v>
      </c>
      <c r="E351" s="9" t="s">
        <v>58</v>
      </c>
      <c r="F351" s="9" t="s">
        <v>41</v>
      </c>
      <c r="G351" s="10"/>
      <c r="H351" s="11"/>
      <c r="I351" s="12" t="n">
        <v>4</v>
      </c>
      <c r="J351" s="12" t="n">
        <v>1</v>
      </c>
      <c r="K351" s="13" t="n">
        <f aca="false">IF(I351="","",I351*2-J351)</f>
        <v>7</v>
      </c>
      <c r="L351" s="9" t="str">
        <f aca="false">IF(K351="","",IF(K351&gt;=8,"1 - quick win",IF(K351&gt;=6,"2 - build early",IF(K351&gt;=4,"3 - slower climb","4 - monitor only"))))</f>
        <v>2 - build early</v>
      </c>
      <c r="M351" s="9" t="s">
        <v>42</v>
      </c>
      <c r="N351" s="9" t="s">
        <v>799</v>
      </c>
      <c r="O351" s="9" t="s">
        <v>554</v>
      </c>
      <c r="P351" s="9"/>
    </row>
    <row r="352" customFormat="false" ht="23.85" hidden="false" customHeight="false" outlineLevel="0" collapsed="false">
      <c r="A352" s="14" t="s">
        <v>832</v>
      </c>
      <c r="B352" s="14" t="s">
        <v>112</v>
      </c>
      <c r="C352" s="14" t="s">
        <v>798</v>
      </c>
      <c r="D352" s="14" t="s">
        <v>39</v>
      </c>
      <c r="E352" s="14" t="s">
        <v>58</v>
      </c>
      <c r="F352" s="14" t="s">
        <v>41</v>
      </c>
      <c r="G352" s="10"/>
      <c r="H352" s="11"/>
      <c r="I352" s="15" t="n">
        <v>5</v>
      </c>
      <c r="J352" s="15" t="n">
        <v>3</v>
      </c>
      <c r="K352" s="16" t="n">
        <f aca="false">IF(I352="","",I352*2-J352)</f>
        <v>7</v>
      </c>
      <c r="L352" s="14" t="str">
        <f aca="false">IF(K352="","",IF(K352&gt;=8,"1 - quick win",IF(K352&gt;=6,"2 - build early",IF(K352&gt;=4,"3 - slower climb","4 - monitor only"))))</f>
        <v>2 - build early</v>
      </c>
      <c r="M352" s="14" t="s">
        <v>42</v>
      </c>
      <c r="N352" s="14" t="s">
        <v>799</v>
      </c>
      <c r="O352" s="14" t="s">
        <v>432</v>
      </c>
      <c r="P352" s="14"/>
    </row>
    <row r="353" customFormat="false" ht="23.85" hidden="false" customHeight="false" outlineLevel="0" collapsed="false">
      <c r="A353" s="9" t="s">
        <v>833</v>
      </c>
      <c r="B353" s="9" t="s">
        <v>112</v>
      </c>
      <c r="C353" s="9" t="s">
        <v>798</v>
      </c>
      <c r="D353" s="9" t="s">
        <v>39</v>
      </c>
      <c r="E353" s="9" t="s">
        <v>58</v>
      </c>
      <c r="F353" s="9" t="s">
        <v>41</v>
      </c>
      <c r="G353" s="10"/>
      <c r="H353" s="11"/>
      <c r="I353" s="12" t="n">
        <v>5</v>
      </c>
      <c r="J353" s="12" t="n">
        <v>2</v>
      </c>
      <c r="K353" s="13" t="n">
        <f aca="false">IF(I353="","",I353*2-J353)</f>
        <v>8</v>
      </c>
      <c r="L353" s="9" t="str">
        <f aca="false">IF(K353="","",IF(K353&gt;=8,"1 - quick win",IF(K353&gt;=6,"2 - build early",IF(K353&gt;=4,"3 - slower climb","4 - monitor only"))))</f>
        <v>1 - quick win</v>
      </c>
      <c r="M353" s="9" t="s">
        <v>42</v>
      </c>
      <c r="N353" s="9" t="s">
        <v>799</v>
      </c>
      <c r="O353" s="9" t="s">
        <v>432</v>
      </c>
      <c r="P353" s="9"/>
    </row>
    <row r="354" customFormat="false" ht="23.85" hidden="false" customHeight="false" outlineLevel="0" collapsed="false">
      <c r="A354" s="14" t="s">
        <v>834</v>
      </c>
      <c r="B354" s="14" t="s">
        <v>112</v>
      </c>
      <c r="C354" s="14" t="s">
        <v>798</v>
      </c>
      <c r="D354" s="14" t="s">
        <v>39</v>
      </c>
      <c r="E354" s="14" t="s">
        <v>58</v>
      </c>
      <c r="F354" s="14" t="s">
        <v>41</v>
      </c>
      <c r="G354" s="10"/>
      <c r="H354" s="11"/>
      <c r="I354" s="15" t="n">
        <v>5</v>
      </c>
      <c r="J354" s="15" t="n">
        <v>1</v>
      </c>
      <c r="K354" s="16" t="n">
        <f aca="false">IF(I354="","",I354*2-J354)</f>
        <v>9</v>
      </c>
      <c r="L354" s="14" t="str">
        <f aca="false">IF(K354="","",IF(K354&gt;=8,"1 - quick win",IF(K354&gt;=6,"2 - build early",IF(K354&gt;=4,"3 - slower climb","4 - monitor only"))))</f>
        <v>1 - quick win</v>
      </c>
      <c r="M354" s="14" t="s">
        <v>42</v>
      </c>
      <c r="N354" s="14" t="s">
        <v>799</v>
      </c>
      <c r="O354" s="14" t="s">
        <v>294</v>
      </c>
      <c r="P354" s="14"/>
    </row>
    <row r="355" customFormat="false" ht="23.85" hidden="false" customHeight="false" outlineLevel="0" collapsed="false">
      <c r="A355" s="9" t="s">
        <v>835</v>
      </c>
      <c r="B355" s="9" t="s">
        <v>112</v>
      </c>
      <c r="C355" s="9" t="s">
        <v>798</v>
      </c>
      <c r="D355" s="9" t="s">
        <v>39</v>
      </c>
      <c r="E355" s="9" t="s">
        <v>58</v>
      </c>
      <c r="F355" s="9" t="s">
        <v>41</v>
      </c>
      <c r="G355" s="10"/>
      <c r="H355" s="11"/>
      <c r="I355" s="12" t="n">
        <v>5</v>
      </c>
      <c r="J355" s="12" t="n">
        <v>1</v>
      </c>
      <c r="K355" s="13" t="n">
        <f aca="false">IF(I355="","",I355*2-J355)</f>
        <v>9</v>
      </c>
      <c r="L355" s="9" t="str">
        <f aca="false">IF(K355="","",IF(K355&gt;=8,"1 - quick win",IF(K355&gt;=6,"2 - build early",IF(K355&gt;=4,"3 - slower climb","4 - monitor only"))))</f>
        <v>1 - quick win</v>
      </c>
      <c r="M355" s="9" t="s">
        <v>42</v>
      </c>
      <c r="N355" s="9" t="s">
        <v>799</v>
      </c>
      <c r="O355" s="9" t="s">
        <v>258</v>
      </c>
      <c r="P355" s="9"/>
    </row>
    <row r="356" customFormat="false" ht="23.85" hidden="false" customHeight="false" outlineLevel="0" collapsed="false">
      <c r="A356" s="14" t="s">
        <v>836</v>
      </c>
      <c r="B356" s="14" t="s">
        <v>112</v>
      </c>
      <c r="C356" s="14" t="s">
        <v>798</v>
      </c>
      <c r="D356" s="14" t="s">
        <v>39</v>
      </c>
      <c r="E356" s="14" t="s">
        <v>58</v>
      </c>
      <c r="F356" s="14" t="s">
        <v>41</v>
      </c>
      <c r="G356" s="10"/>
      <c r="H356" s="11"/>
      <c r="I356" s="15" t="n">
        <v>5</v>
      </c>
      <c r="J356" s="15" t="n">
        <v>1</v>
      </c>
      <c r="K356" s="16" t="n">
        <f aca="false">IF(I356="","",I356*2-J356)</f>
        <v>9</v>
      </c>
      <c r="L356" s="14" t="str">
        <f aca="false">IF(K356="","",IF(K356&gt;=8,"1 - quick win",IF(K356&gt;=6,"2 - build early",IF(K356&gt;=4,"3 - slower climb","4 - monitor only"))))</f>
        <v>1 - quick win</v>
      </c>
      <c r="M356" s="14" t="s">
        <v>42</v>
      </c>
      <c r="N356" s="14" t="s">
        <v>799</v>
      </c>
      <c r="O356" s="14" t="s">
        <v>175</v>
      </c>
      <c r="P356" s="14"/>
    </row>
    <row r="357" customFormat="false" ht="23.85" hidden="false" customHeight="false" outlineLevel="0" collapsed="false">
      <c r="A357" s="9" t="s">
        <v>837</v>
      </c>
      <c r="B357" s="9" t="s">
        <v>112</v>
      </c>
      <c r="C357" s="9" t="s">
        <v>798</v>
      </c>
      <c r="D357" s="9" t="s">
        <v>39</v>
      </c>
      <c r="E357" s="9" t="s">
        <v>58</v>
      </c>
      <c r="F357" s="9" t="s">
        <v>41</v>
      </c>
      <c r="G357" s="10"/>
      <c r="H357" s="11"/>
      <c r="I357" s="12" t="n">
        <v>5</v>
      </c>
      <c r="J357" s="12" t="n">
        <v>1</v>
      </c>
      <c r="K357" s="13" t="n">
        <f aca="false">IF(I357="","",I357*2-J357)</f>
        <v>9</v>
      </c>
      <c r="L357" s="9" t="str">
        <f aca="false">IF(K357="","",IF(K357&gt;=8,"1 - quick win",IF(K357&gt;=6,"2 - build early",IF(K357&gt;=4,"3 - slower climb","4 - monitor only"))))</f>
        <v>1 - quick win</v>
      </c>
      <c r="M357" s="9" t="s">
        <v>42</v>
      </c>
      <c r="N357" s="9" t="s">
        <v>799</v>
      </c>
      <c r="O357" s="9" t="s">
        <v>363</v>
      </c>
      <c r="P357" s="9"/>
    </row>
    <row r="358" customFormat="false" ht="23.85" hidden="false" customHeight="false" outlineLevel="0" collapsed="false">
      <c r="A358" s="14" t="s">
        <v>838</v>
      </c>
      <c r="B358" s="14" t="s">
        <v>112</v>
      </c>
      <c r="C358" s="14" t="s">
        <v>798</v>
      </c>
      <c r="D358" s="14" t="s">
        <v>39</v>
      </c>
      <c r="E358" s="14" t="s">
        <v>58</v>
      </c>
      <c r="F358" s="14" t="s">
        <v>41</v>
      </c>
      <c r="G358" s="10"/>
      <c r="H358" s="11"/>
      <c r="I358" s="15" t="n">
        <v>4</v>
      </c>
      <c r="J358" s="15" t="n">
        <v>1</v>
      </c>
      <c r="K358" s="16" t="n">
        <f aca="false">IF(I358="","",I358*2-J358)</f>
        <v>7</v>
      </c>
      <c r="L358" s="14" t="str">
        <f aca="false">IF(K358="","",IF(K358&gt;=8,"1 - quick win",IF(K358&gt;=6,"2 - build early",IF(K358&gt;=4,"3 - slower climb","4 - monitor only"))))</f>
        <v>2 - build early</v>
      </c>
      <c r="M358" s="14" t="s">
        <v>42</v>
      </c>
      <c r="N358" s="14" t="s">
        <v>799</v>
      </c>
      <c r="O358" s="14" t="s">
        <v>175</v>
      </c>
      <c r="P358" s="14"/>
    </row>
    <row r="359" customFormat="false" ht="23.85" hidden="false" customHeight="false" outlineLevel="0" collapsed="false">
      <c r="A359" s="9" t="s">
        <v>839</v>
      </c>
      <c r="B359" s="9" t="s">
        <v>112</v>
      </c>
      <c r="C359" s="9" t="s">
        <v>798</v>
      </c>
      <c r="D359" s="9" t="s">
        <v>39</v>
      </c>
      <c r="E359" s="9" t="s">
        <v>58</v>
      </c>
      <c r="F359" s="9" t="s">
        <v>41</v>
      </c>
      <c r="G359" s="10"/>
      <c r="H359" s="11"/>
      <c r="I359" s="12" t="n">
        <v>5</v>
      </c>
      <c r="J359" s="12" t="n">
        <v>2</v>
      </c>
      <c r="K359" s="13" t="n">
        <f aca="false">IF(I359="","",I359*2-J359)</f>
        <v>8</v>
      </c>
      <c r="L359" s="9" t="str">
        <f aca="false">IF(K359="","",IF(K359&gt;=8,"1 - quick win",IF(K359&gt;=6,"2 - build early",IF(K359&gt;=4,"3 - slower climb","4 - monitor only"))))</f>
        <v>1 - quick win</v>
      </c>
      <c r="M359" s="9" t="s">
        <v>42</v>
      </c>
      <c r="N359" s="9" t="s">
        <v>799</v>
      </c>
      <c r="O359" s="9" t="s">
        <v>341</v>
      </c>
      <c r="P359" s="9"/>
    </row>
    <row r="360" customFormat="false" ht="23.85" hidden="false" customHeight="false" outlineLevel="0" collapsed="false">
      <c r="A360" s="14" t="s">
        <v>840</v>
      </c>
      <c r="B360" s="14" t="s">
        <v>112</v>
      </c>
      <c r="C360" s="14" t="s">
        <v>798</v>
      </c>
      <c r="D360" s="14" t="s">
        <v>39</v>
      </c>
      <c r="E360" s="14" t="s">
        <v>58</v>
      </c>
      <c r="F360" s="14" t="s">
        <v>41</v>
      </c>
      <c r="G360" s="10"/>
      <c r="H360" s="11"/>
      <c r="I360" s="15" t="n">
        <v>5</v>
      </c>
      <c r="J360" s="15" t="n">
        <v>2</v>
      </c>
      <c r="K360" s="16" t="n">
        <f aca="false">IF(I360="","",I360*2-J360)</f>
        <v>8</v>
      </c>
      <c r="L360" s="14" t="str">
        <f aca="false">IF(K360="","",IF(K360&gt;=8,"1 - quick win",IF(K360&gt;=6,"2 - build early",IF(K360&gt;=4,"3 - slower climb","4 - monitor only"))))</f>
        <v>1 - quick win</v>
      </c>
      <c r="M360" s="14" t="s">
        <v>42</v>
      </c>
      <c r="N360" s="14" t="s">
        <v>799</v>
      </c>
      <c r="O360" s="14" t="s">
        <v>141</v>
      </c>
      <c r="P360" s="14"/>
    </row>
    <row r="361" customFormat="false" ht="23.85" hidden="false" customHeight="false" outlineLevel="0" collapsed="false">
      <c r="A361" s="9" t="s">
        <v>841</v>
      </c>
      <c r="B361" s="9" t="s">
        <v>112</v>
      </c>
      <c r="C361" s="9" t="s">
        <v>798</v>
      </c>
      <c r="D361" s="9" t="s">
        <v>39</v>
      </c>
      <c r="E361" s="9" t="s">
        <v>58</v>
      </c>
      <c r="F361" s="9" t="s">
        <v>41</v>
      </c>
      <c r="G361" s="10"/>
      <c r="H361" s="11"/>
      <c r="I361" s="12" t="n">
        <v>5</v>
      </c>
      <c r="J361" s="12" t="n">
        <v>2</v>
      </c>
      <c r="K361" s="13" t="n">
        <f aca="false">IF(I361="","",I361*2-J361)</f>
        <v>8</v>
      </c>
      <c r="L361" s="9" t="str">
        <f aca="false">IF(K361="","",IF(K361&gt;=8,"1 - quick win",IF(K361&gt;=6,"2 - build early",IF(K361&gt;=4,"3 - slower climb","4 - monitor only"))))</f>
        <v>1 - quick win</v>
      </c>
      <c r="M361" s="9" t="s">
        <v>42</v>
      </c>
      <c r="N361" s="9" t="s">
        <v>799</v>
      </c>
      <c r="O361" s="9" t="s">
        <v>141</v>
      </c>
      <c r="P361" s="9"/>
    </row>
    <row r="362" customFormat="false" ht="23.85" hidden="false" customHeight="false" outlineLevel="0" collapsed="false">
      <c r="A362" s="14" t="s">
        <v>842</v>
      </c>
      <c r="B362" s="14" t="s">
        <v>112</v>
      </c>
      <c r="C362" s="14" t="s">
        <v>798</v>
      </c>
      <c r="D362" s="14" t="s">
        <v>39</v>
      </c>
      <c r="E362" s="14" t="s">
        <v>58</v>
      </c>
      <c r="F362" s="14" t="s">
        <v>41</v>
      </c>
      <c r="G362" s="10"/>
      <c r="H362" s="11"/>
      <c r="I362" s="15" t="n">
        <v>4</v>
      </c>
      <c r="J362" s="15" t="n">
        <v>1</v>
      </c>
      <c r="K362" s="16" t="n">
        <f aca="false">IF(I362="","",I362*2-J362)</f>
        <v>7</v>
      </c>
      <c r="L362" s="14" t="str">
        <f aca="false">IF(K362="","",IF(K362&gt;=8,"1 - quick win",IF(K362&gt;=6,"2 - build early",IF(K362&gt;=4,"3 - slower climb","4 - monitor only"))))</f>
        <v>2 - build early</v>
      </c>
      <c r="M362" s="14" t="s">
        <v>42</v>
      </c>
      <c r="N362" s="14" t="s">
        <v>799</v>
      </c>
      <c r="O362" s="14" t="s">
        <v>486</v>
      </c>
      <c r="P362" s="14"/>
    </row>
    <row r="363" customFormat="false" ht="23.85" hidden="false" customHeight="false" outlineLevel="0" collapsed="false">
      <c r="A363" s="9" t="s">
        <v>843</v>
      </c>
      <c r="B363" s="9" t="s">
        <v>112</v>
      </c>
      <c r="C363" s="9" t="s">
        <v>798</v>
      </c>
      <c r="D363" s="9" t="s">
        <v>39</v>
      </c>
      <c r="E363" s="9" t="s">
        <v>58</v>
      </c>
      <c r="F363" s="9" t="s">
        <v>41</v>
      </c>
      <c r="G363" s="10"/>
      <c r="H363" s="11"/>
      <c r="I363" s="12" t="n">
        <v>5</v>
      </c>
      <c r="J363" s="12" t="n">
        <v>1</v>
      </c>
      <c r="K363" s="13" t="n">
        <f aca="false">IF(I363="","",I363*2-J363)</f>
        <v>9</v>
      </c>
      <c r="L363" s="9" t="str">
        <f aca="false">IF(K363="","",IF(K363&gt;=8,"1 - quick win",IF(K363&gt;=6,"2 - build early",IF(K363&gt;=4,"3 - slower climb","4 - monitor only"))))</f>
        <v>1 - quick win</v>
      </c>
      <c r="M363" s="9" t="s">
        <v>42</v>
      </c>
      <c r="N363" s="9" t="s">
        <v>799</v>
      </c>
      <c r="O363" s="9" t="s">
        <v>351</v>
      </c>
      <c r="P363" s="9"/>
    </row>
    <row r="364" customFormat="false" ht="23.85" hidden="false" customHeight="false" outlineLevel="0" collapsed="false">
      <c r="A364" s="14" t="s">
        <v>844</v>
      </c>
      <c r="B364" s="14" t="s">
        <v>112</v>
      </c>
      <c r="C364" s="14" t="s">
        <v>798</v>
      </c>
      <c r="D364" s="14" t="s">
        <v>39</v>
      </c>
      <c r="E364" s="14" t="s">
        <v>58</v>
      </c>
      <c r="F364" s="14" t="s">
        <v>41</v>
      </c>
      <c r="G364" s="10"/>
      <c r="H364" s="11"/>
      <c r="I364" s="15" t="n">
        <v>5</v>
      </c>
      <c r="J364" s="15" t="n">
        <v>1</v>
      </c>
      <c r="K364" s="16" t="n">
        <f aca="false">IF(I364="","",I364*2-J364)</f>
        <v>9</v>
      </c>
      <c r="L364" s="14" t="str">
        <f aca="false">IF(K364="","",IF(K364&gt;=8,"1 - quick win",IF(K364&gt;=6,"2 - build early",IF(K364&gt;=4,"3 - slower climb","4 - monitor only"))))</f>
        <v>1 - quick win</v>
      </c>
      <c r="M364" s="14" t="s">
        <v>42</v>
      </c>
      <c r="N364" s="14" t="s">
        <v>799</v>
      </c>
      <c r="O364" s="14" t="s">
        <v>447</v>
      </c>
      <c r="P364" s="14"/>
    </row>
    <row r="365" customFormat="false" ht="23.85" hidden="false" customHeight="false" outlineLevel="0" collapsed="false">
      <c r="A365" s="9" t="s">
        <v>845</v>
      </c>
      <c r="B365" s="9" t="s">
        <v>112</v>
      </c>
      <c r="C365" s="9" t="s">
        <v>798</v>
      </c>
      <c r="D365" s="9" t="s">
        <v>39</v>
      </c>
      <c r="E365" s="9" t="s">
        <v>58</v>
      </c>
      <c r="F365" s="9" t="s">
        <v>41</v>
      </c>
      <c r="G365" s="10"/>
      <c r="H365" s="11"/>
      <c r="I365" s="12" t="n">
        <v>5</v>
      </c>
      <c r="J365" s="12" t="n">
        <v>2</v>
      </c>
      <c r="K365" s="13" t="n">
        <f aca="false">IF(I365="","",I365*2-J365)</f>
        <v>8</v>
      </c>
      <c r="L365" s="9" t="str">
        <f aca="false">IF(K365="","",IF(K365&gt;=8,"1 - quick win",IF(K365&gt;=6,"2 - build early",IF(K365&gt;=4,"3 - slower climb","4 - monitor only"))))</f>
        <v>1 - quick win</v>
      </c>
      <c r="M365" s="9" t="s">
        <v>42</v>
      </c>
      <c r="N365" s="9" t="s">
        <v>799</v>
      </c>
      <c r="O365" s="9" t="s">
        <v>447</v>
      </c>
      <c r="P365" s="9"/>
    </row>
    <row r="366" customFormat="false" ht="23.85" hidden="false" customHeight="false" outlineLevel="0" collapsed="false">
      <c r="A366" s="14" t="s">
        <v>846</v>
      </c>
      <c r="B366" s="14" t="s">
        <v>112</v>
      </c>
      <c r="C366" s="14" t="s">
        <v>798</v>
      </c>
      <c r="D366" s="14" t="s">
        <v>39</v>
      </c>
      <c r="E366" s="14" t="s">
        <v>58</v>
      </c>
      <c r="F366" s="14" t="s">
        <v>41</v>
      </c>
      <c r="G366" s="10"/>
      <c r="H366" s="11"/>
      <c r="I366" s="15" t="n">
        <v>5</v>
      </c>
      <c r="J366" s="15" t="n">
        <v>1</v>
      </c>
      <c r="K366" s="16" t="n">
        <f aca="false">IF(I366="","",I366*2-J366)</f>
        <v>9</v>
      </c>
      <c r="L366" s="14" t="str">
        <f aca="false">IF(K366="","",IF(K366&gt;=8,"1 - quick win",IF(K366&gt;=6,"2 - build early",IF(K366&gt;=4,"3 - slower climb","4 - monitor only"))))</f>
        <v>1 - quick win</v>
      </c>
      <c r="M366" s="14" t="s">
        <v>42</v>
      </c>
      <c r="N366" s="14" t="s">
        <v>799</v>
      </c>
      <c r="O366" s="14" t="s">
        <v>447</v>
      </c>
      <c r="P366" s="14"/>
    </row>
    <row r="367" customFormat="false" ht="23.85" hidden="false" customHeight="false" outlineLevel="0" collapsed="false">
      <c r="A367" s="9" t="s">
        <v>847</v>
      </c>
      <c r="B367" s="9" t="s">
        <v>112</v>
      </c>
      <c r="C367" s="9" t="s">
        <v>798</v>
      </c>
      <c r="D367" s="9" t="s">
        <v>39</v>
      </c>
      <c r="E367" s="9" t="s">
        <v>58</v>
      </c>
      <c r="F367" s="9" t="s">
        <v>41</v>
      </c>
      <c r="G367" s="10"/>
      <c r="H367" s="11"/>
      <c r="I367" s="12" t="n">
        <v>4</v>
      </c>
      <c r="J367" s="12" t="n">
        <v>1</v>
      </c>
      <c r="K367" s="13" t="n">
        <f aca="false">IF(I367="","",I367*2-J367)</f>
        <v>7</v>
      </c>
      <c r="L367" s="9" t="str">
        <f aca="false">IF(K367="","",IF(K367&gt;=8,"1 - quick win",IF(K367&gt;=6,"2 - build early",IF(K367&gt;=4,"3 - slower climb","4 - monitor only"))))</f>
        <v>2 - build early</v>
      </c>
      <c r="M367" s="9" t="s">
        <v>42</v>
      </c>
      <c r="N367" s="9" t="s">
        <v>799</v>
      </c>
      <c r="O367" s="9" t="s">
        <v>274</v>
      </c>
      <c r="P367" s="9"/>
    </row>
    <row r="368" customFormat="false" ht="23.85" hidden="false" customHeight="false" outlineLevel="0" collapsed="false">
      <c r="A368" s="14" t="s">
        <v>848</v>
      </c>
      <c r="B368" s="14" t="s">
        <v>112</v>
      </c>
      <c r="C368" s="14" t="s">
        <v>798</v>
      </c>
      <c r="D368" s="14" t="s">
        <v>39</v>
      </c>
      <c r="E368" s="14" t="s">
        <v>58</v>
      </c>
      <c r="F368" s="14" t="s">
        <v>41</v>
      </c>
      <c r="G368" s="10"/>
      <c r="H368" s="11"/>
      <c r="I368" s="15" t="n">
        <v>5</v>
      </c>
      <c r="J368" s="15" t="n">
        <v>1</v>
      </c>
      <c r="K368" s="16" t="n">
        <f aca="false">IF(I368="","",I368*2-J368)</f>
        <v>9</v>
      </c>
      <c r="L368" s="14" t="str">
        <f aca="false">IF(K368="","",IF(K368&gt;=8,"1 - quick win",IF(K368&gt;=6,"2 - build early",IF(K368&gt;=4,"3 - slower climb","4 - monitor only"))))</f>
        <v>1 - quick win</v>
      </c>
      <c r="M368" s="14" t="s">
        <v>42</v>
      </c>
      <c r="N368" s="14" t="s">
        <v>799</v>
      </c>
      <c r="O368" s="14" t="s">
        <v>175</v>
      </c>
      <c r="P368" s="14"/>
    </row>
    <row r="369" customFormat="false" ht="23.85" hidden="false" customHeight="false" outlineLevel="0" collapsed="false">
      <c r="A369" s="9" t="s">
        <v>849</v>
      </c>
      <c r="B369" s="9" t="s">
        <v>112</v>
      </c>
      <c r="C369" s="9" t="s">
        <v>798</v>
      </c>
      <c r="D369" s="9" t="s">
        <v>39</v>
      </c>
      <c r="E369" s="9" t="s">
        <v>58</v>
      </c>
      <c r="F369" s="9" t="s">
        <v>41</v>
      </c>
      <c r="G369" s="10"/>
      <c r="H369" s="11"/>
      <c r="I369" s="12" t="n">
        <v>4</v>
      </c>
      <c r="J369" s="12" t="n">
        <v>1</v>
      </c>
      <c r="K369" s="13" t="n">
        <f aca="false">IF(I369="","",I369*2-J369)</f>
        <v>7</v>
      </c>
      <c r="L369" s="9" t="str">
        <f aca="false">IF(K369="","",IF(K369&gt;=8,"1 - quick win",IF(K369&gt;=6,"2 - build early",IF(K369&gt;=4,"3 - slower climb","4 - monitor only"))))</f>
        <v>2 - build early</v>
      </c>
      <c r="M369" s="9" t="s">
        <v>42</v>
      </c>
      <c r="N369" s="9" t="s">
        <v>799</v>
      </c>
      <c r="O369" s="9" t="s">
        <v>372</v>
      </c>
      <c r="P369" s="9"/>
    </row>
    <row r="370" customFormat="false" ht="23.85" hidden="false" customHeight="false" outlineLevel="0" collapsed="false">
      <c r="A370" s="14" t="s">
        <v>850</v>
      </c>
      <c r="B370" s="14" t="s">
        <v>112</v>
      </c>
      <c r="C370" s="14" t="s">
        <v>798</v>
      </c>
      <c r="D370" s="14" t="s">
        <v>39</v>
      </c>
      <c r="E370" s="14" t="s">
        <v>58</v>
      </c>
      <c r="F370" s="14" t="s">
        <v>41</v>
      </c>
      <c r="G370" s="10"/>
      <c r="H370" s="11"/>
      <c r="I370" s="15" t="n">
        <v>4</v>
      </c>
      <c r="J370" s="15" t="n">
        <v>1</v>
      </c>
      <c r="K370" s="16" t="n">
        <f aca="false">IF(I370="","",I370*2-J370)</f>
        <v>7</v>
      </c>
      <c r="L370" s="14" t="str">
        <f aca="false">IF(K370="","",IF(K370&gt;=8,"1 - quick win",IF(K370&gt;=6,"2 - build early",IF(K370&gt;=4,"3 - slower climb","4 - monitor only"))))</f>
        <v>2 - build early</v>
      </c>
      <c r="M370" s="14" t="s">
        <v>42</v>
      </c>
      <c r="N370" s="14" t="s">
        <v>799</v>
      </c>
      <c r="O370" s="14" t="s">
        <v>447</v>
      </c>
      <c r="P370" s="14"/>
    </row>
    <row r="371" customFormat="false" ht="23.85" hidden="false" customHeight="false" outlineLevel="0" collapsed="false">
      <c r="A371" s="9" t="s">
        <v>851</v>
      </c>
      <c r="B371" s="9" t="s">
        <v>112</v>
      </c>
      <c r="C371" s="9" t="s">
        <v>798</v>
      </c>
      <c r="D371" s="9" t="s">
        <v>39</v>
      </c>
      <c r="E371" s="9" t="s">
        <v>58</v>
      </c>
      <c r="F371" s="9" t="s">
        <v>41</v>
      </c>
      <c r="G371" s="10"/>
      <c r="H371" s="11"/>
      <c r="I371" s="12" t="n">
        <v>5</v>
      </c>
      <c r="J371" s="12" t="n">
        <v>1</v>
      </c>
      <c r="K371" s="13" t="n">
        <f aca="false">IF(I371="","",I371*2-J371)</f>
        <v>9</v>
      </c>
      <c r="L371" s="9" t="str">
        <f aca="false">IF(K371="","",IF(K371&gt;=8,"1 - quick win",IF(K371&gt;=6,"2 - build early",IF(K371&gt;=4,"3 - slower climb","4 - monitor only"))))</f>
        <v>1 - quick win</v>
      </c>
      <c r="M371" s="9" t="s">
        <v>42</v>
      </c>
      <c r="N371" s="9" t="s">
        <v>799</v>
      </c>
      <c r="O371" s="9" t="s">
        <v>175</v>
      </c>
      <c r="P371" s="9"/>
    </row>
    <row r="372" customFormat="false" ht="23.85" hidden="false" customHeight="false" outlineLevel="0" collapsed="false">
      <c r="A372" s="14" t="s">
        <v>852</v>
      </c>
      <c r="B372" s="14" t="s">
        <v>112</v>
      </c>
      <c r="C372" s="14" t="s">
        <v>798</v>
      </c>
      <c r="D372" s="14" t="s">
        <v>39</v>
      </c>
      <c r="E372" s="14" t="s">
        <v>58</v>
      </c>
      <c r="F372" s="14" t="s">
        <v>41</v>
      </c>
      <c r="G372" s="10"/>
      <c r="H372" s="11"/>
      <c r="I372" s="15" t="n">
        <v>5</v>
      </c>
      <c r="J372" s="15" t="n">
        <v>1</v>
      </c>
      <c r="K372" s="16" t="n">
        <f aca="false">IF(I372="","",I372*2-J372)</f>
        <v>9</v>
      </c>
      <c r="L372" s="14" t="str">
        <f aca="false">IF(K372="","",IF(K372&gt;=8,"1 - quick win",IF(K372&gt;=6,"2 - build early",IF(K372&gt;=4,"3 - slower climb","4 - monitor only"))))</f>
        <v>1 - quick win</v>
      </c>
      <c r="M372" s="14" t="s">
        <v>42</v>
      </c>
      <c r="N372" s="14" t="s">
        <v>799</v>
      </c>
      <c r="O372" s="14" t="s">
        <v>258</v>
      </c>
      <c r="P372" s="14"/>
    </row>
    <row r="373" customFormat="false" ht="23.85" hidden="false" customHeight="false" outlineLevel="0" collapsed="false">
      <c r="A373" s="9" t="s">
        <v>853</v>
      </c>
      <c r="B373" s="9" t="s">
        <v>112</v>
      </c>
      <c r="C373" s="9" t="s">
        <v>798</v>
      </c>
      <c r="D373" s="9" t="s">
        <v>39</v>
      </c>
      <c r="E373" s="9" t="s">
        <v>58</v>
      </c>
      <c r="F373" s="9" t="s">
        <v>41</v>
      </c>
      <c r="G373" s="10"/>
      <c r="H373" s="11"/>
      <c r="I373" s="12" t="n">
        <v>5</v>
      </c>
      <c r="J373" s="12" t="n">
        <v>5</v>
      </c>
      <c r="K373" s="13" t="n">
        <f aca="false">IF(I373="","",I373*2-J373)</f>
        <v>5</v>
      </c>
      <c r="L373" s="9" t="str">
        <f aca="false">IF(K373="","",IF(K373&gt;=8,"1 - quick win",IF(K373&gt;=6,"2 - build early",IF(K373&gt;=4,"3 - slower climb","4 - monitor only"))))</f>
        <v>3 - slower climb</v>
      </c>
      <c r="M373" s="9" t="s">
        <v>42</v>
      </c>
      <c r="N373" s="9" t="s">
        <v>799</v>
      </c>
      <c r="O373" s="9" t="s">
        <v>593</v>
      </c>
      <c r="P373" s="9"/>
    </row>
    <row r="374" customFormat="false" ht="23.85" hidden="false" customHeight="false" outlineLevel="0" collapsed="false">
      <c r="A374" s="14" t="s">
        <v>854</v>
      </c>
      <c r="B374" s="14" t="s">
        <v>112</v>
      </c>
      <c r="C374" s="14" t="s">
        <v>798</v>
      </c>
      <c r="D374" s="14" t="s">
        <v>39</v>
      </c>
      <c r="E374" s="14" t="s">
        <v>58</v>
      </c>
      <c r="F374" s="14" t="s">
        <v>41</v>
      </c>
      <c r="G374" s="10"/>
      <c r="H374" s="11"/>
      <c r="I374" s="15" t="n">
        <v>5</v>
      </c>
      <c r="J374" s="15" t="n">
        <v>4</v>
      </c>
      <c r="K374" s="16" t="n">
        <f aca="false">IF(I374="","",I374*2-J374)</f>
        <v>6</v>
      </c>
      <c r="L374" s="14" t="str">
        <f aca="false">IF(K374="","",IF(K374&gt;=8,"1 - quick win",IF(K374&gt;=6,"2 - build early",IF(K374&gt;=4,"3 - slower climb","4 - monitor only"))))</f>
        <v>2 - build early</v>
      </c>
      <c r="M374" s="14" t="s">
        <v>42</v>
      </c>
      <c r="N374" s="14" t="s">
        <v>799</v>
      </c>
      <c r="O374" s="14" t="s">
        <v>598</v>
      </c>
      <c r="P374" s="14"/>
    </row>
    <row r="375" customFormat="false" ht="23.85" hidden="false" customHeight="false" outlineLevel="0" collapsed="false">
      <c r="A375" s="9" t="s">
        <v>855</v>
      </c>
      <c r="B375" s="9" t="s">
        <v>112</v>
      </c>
      <c r="C375" s="9" t="s">
        <v>798</v>
      </c>
      <c r="D375" s="9" t="s">
        <v>39</v>
      </c>
      <c r="E375" s="9" t="s">
        <v>58</v>
      </c>
      <c r="F375" s="9" t="s">
        <v>41</v>
      </c>
      <c r="G375" s="10"/>
      <c r="H375" s="11"/>
      <c r="I375" s="12" t="n">
        <v>5</v>
      </c>
      <c r="J375" s="12" t="n">
        <v>2</v>
      </c>
      <c r="K375" s="13" t="n">
        <f aca="false">IF(I375="","",I375*2-J375)</f>
        <v>8</v>
      </c>
      <c r="L375" s="9" t="str">
        <f aca="false">IF(K375="","",IF(K375&gt;=8,"1 - quick win",IF(K375&gt;=6,"2 - build early",IF(K375&gt;=4,"3 - slower climb","4 - monitor only"))))</f>
        <v>1 - quick win</v>
      </c>
      <c r="M375" s="9" t="s">
        <v>42</v>
      </c>
      <c r="N375" s="9" t="s">
        <v>799</v>
      </c>
      <c r="O375" s="9" t="s">
        <v>613</v>
      </c>
      <c r="P375" s="9"/>
    </row>
    <row r="376" customFormat="false" ht="23.85" hidden="false" customHeight="false" outlineLevel="0" collapsed="false">
      <c r="A376" s="14" t="s">
        <v>856</v>
      </c>
      <c r="B376" s="14" t="s">
        <v>112</v>
      </c>
      <c r="C376" s="14" t="s">
        <v>798</v>
      </c>
      <c r="D376" s="14" t="s">
        <v>39</v>
      </c>
      <c r="E376" s="14" t="s">
        <v>58</v>
      </c>
      <c r="F376" s="14" t="s">
        <v>41</v>
      </c>
      <c r="G376" s="10"/>
      <c r="H376" s="11"/>
      <c r="I376" s="15" t="n">
        <v>5</v>
      </c>
      <c r="J376" s="15" t="n">
        <v>1</v>
      </c>
      <c r="K376" s="16" t="n">
        <f aca="false">IF(I376="","",I376*2-J376)</f>
        <v>9</v>
      </c>
      <c r="L376" s="14" t="str">
        <f aca="false">IF(K376="","",IF(K376&gt;=8,"1 - quick win",IF(K376&gt;=6,"2 - build early",IF(K376&gt;=4,"3 - slower climb","4 - monitor only"))))</f>
        <v>1 - quick win</v>
      </c>
      <c r="M376" s="14" t="s">
        <v>42</v>
      </c>
      <c r="N376" s="14" t="s">
        <v>799</v>
      </c>
      <c r="O376" s="14" t="s">
        <v>258</v>
      </c>
      <c r="P376" s="14"/>
    </row>
    <row r="377" customFormat="false" ht="23.85" hidden="false" customHeight="false" outlineLevel="0" collapsed="false">
      <c r="A377" s="9" t="s">
        <v>857</v>
      </c>
      <c r="B377" s="9" t="s">
        <v>112</v>
      </c>
      <c r="C377" s="9" t="s">
        <v>798</v>
      </c>
      <c r="D377" s="9" t="s">
        <v>39</v>
      </c>
      <c r="E377" s="9" t="s">
        <v>58</v>
      </c>
      <c r="F377" s="9" t="s">
        <v>41</v>
      </c>
      <c r="G377" s="10"/>
      <c r="H377" s="11"/>
      <c r="I377" s="12" t="n">
        <v>5</v>
      </c>
      <c r="J377" s="12" t="n">
        <v>2</v>
      </c>
      <c r="K377" s="13" t="n">
        <f aca="false">IF(I377="","",I377*2-J377)</f>
        <v>8</v>
      </c>
      <c r="L377" s="9" t="str">
        <f aca="false">IF(K377="","",IF(K377&gt;=8,"1 - quick win",IF(K377&gt;=6,"2 - build early",IF(K377&gt;=4,"3 - slower climb","4 - monitor only"))))</f>
        <v>1 - quick win</v>
      </c>
      <c r="M377" s="9" t="s">
        <v>42</v>
      </c>
      <c r="N377" s="9" t="s">
        <v>799</v>
      </c>
      <c r="O377" s="9" t="s">
        <v>123</v>
      </c>
      <c r="P377" s="9"/>
    </row>
    <row r="378" customFormat="false" ht="23.85" hidden="false" customHeight="false" outlineLevel="0" collapsed="false">
      <c r="A378" s="14" t="s">
        <v>858</v>
      </c>
      <c r="B378" s="14" t="s">
        <v>112</v>
      </c>
      <c r="C378" s="14" t="s">
        <v>798</v>
      </c>
      <c r="D378" s="14" t="s">
        <v>39</v>
      </c>
      <c r="E378" s="14" t="s">
        <v>58</v>
      </c>
      <c r="F378" s="14" t="s">
        <v>41</v>
      </c>
      <c r="G378" s="10"/>
      <c r="H378" s="11"/>
      <c r="I378" s="15" t="n">
        <v>5</v>
      </c>
      <c r="J378" s="15" t="n">
        <v>1</v>
      </c>
      <c r="K378" s="16" t="n">
        <f aca="false">IF(I378="","",I378*2-J378)</f>
        <v>9</v>
      </c>
      <c r="L378" s="14" t="str">
        <f aca="false">IF(K378="","",IF(K378&gt;=8,"1 - quick win",IF(K378&gt;=6,"2 - build early",IF(K378&gt;=4,"3 - slower climb","4 - monitor only"))))</f>
        <v>1 - quick win</v>
      </c>
      <c r="M378" s="14" t="s">
        <v>42</v>
      </c>
      <c r="N378" s="14" t="s">
        <v>799</v>
      </c>
      <c r="O378" s="14" t="s">
        <v>603</v>
      </c>
      <c r="P378" s="14"/>
    </row>
    <row r="379" customFormat="false" ht="23.85" hidden="false" customHeight="false" outlineLevel="0" collapsed="false">
      <c r="A379" s="9" t="s">
        <v>859</v>
      </c>
      <c r="B379" s="9" t="s">
        <v>112</v>
      </c>
      <c r="C379" s="9" t="s">
        <v>798</v>
      </c>
      <c r="D379" s="9" t="s">
        <v>39</v>
      </c>
      <c r="E379" s="9" t="s">
        <v>58</v>
      </c>
      <c r="F379" s="9" t="s">
        <v>41</v>
      </c>
      <c r="G379" s="10"/>
      <c r="H379" s="11"/>
      <c r="I379" s="12" t="n">
        <v>4</v>
      </c>
      <c r="J379" s="12" t="n">
        <v>1</v>
      </c>
      <c r="K379" s="13" t="n">
        <f aca="false">IF(I379="","",I379*2-J379)</f>
        <v>7</v>
      </c>
      <c r="L379" s="9" t="str">
        <f aca="false">IF(K379="","",IF(K379&gt;=8,"1 - quick win",IF(K379&gt;=6,"2 - build early",IF(K379&gt;=4,"3 - slower climb","4 - monitor only"))))</f>
        <v>2 - build early</v>
      </c>
      <c r="M379" s="9" t="s">
        <v>42</v>
      </c>
      <c r="N379" s="9" t="s">
        <v>799</v>
      </c>
      <c r="O379" s="9" t="s">
        <v>291</v>
      </c>
      <c r="P379" s="9"/>
    </row>
    <row r="380" customFormat="false" ht="23.85" hidden="false" customHeight="false" outlineLevel="0" collapsed="false">
      <c r="A380" s="14" t="s">
        <v>860</v>
      </c>
      <c r="B380" s="14" t="s">
        <v>112</v>
      </c>
      <c r="C380" s="14" t="s">
        <v>798</v>
      </c>
      <c r="D380" s="14" t="s">
        <v>39</v>
      </c>
      <c r="E380" s="14" t="s">
        <v>58</v>
      </c>
      <c r="F380" s="14" t="s">
        <v>41</v>
      </c>
      <c r="G380" s="10"/>
      <c r="H380" s="11"/>
      <c r="I380" s="15" t="n">
        <v>5</v>
      </c>
      <c r="J380" s="15" t="n">
        <v>4</v>
      </c>
      <c r="K380" s="16" t="n">
        <f aca="false">IF(I380="","",I380*2-J380)</f>
        <v>6</v>
      </c>
      <c r="L380" s="14" t="str">
        <f aca="false">IF(K380="","",IF(K380&gt;=8,"1 - quick win",IF(K380&gt;=6,"2 - build early",IF(K380&gt;=4,"3 - slower climb","4 - monitor only"))))</f>
        <v>2 - build early</v>
      </c>
      <c r="M380" s="14" t="s">
        <v>42</v>
      </c>
      <c r="N380" s="14" t="s">
        <v>799</v>
      </c>
      <c r="O380" s="14" t="s">
        <v>145</v>
      </c>
      <c r="P380" s="14"/>
    </row>
    <row r="381" customFormat="false" ht="23.85" hidden="false" customHeight="false" outlineLevel="0" collapsed="false">
      <c r="A381" s="9" t="s">
        <v>861</v>
      </c>
      <c r="B381" s="9" t="s">
        <v>112</v>
      </c>
      <c r="C381" s="9" t="s">
        <v>798</v>
      </c>
      <c r="D381" s="9" t="s">
        <v>39</v>
      </c>
      <c r="E381" s="9" t="s">
        <v>58</v>
      </c>
      <c r="F381" s="9" t="s">
        <v>41</v>
      </c>
      <c r="G381" s="10"/>
      <c r="H381" s="11"/>
      <c r="I381" s="12" t="n">
        <v>5</v>
      </c>
      <c r="J381" s="12" t="n">
        <v>3</v>
      </c>
      <c r="K381" s="13" t="n">
        <f aca="false">IF(I381="","",I381*2-J381)</f>
        <v>7</v>
      </c>
      <c r="L381" s="9" t="str">
        <f aca="false">IF(K381="","",IF(K381&gt;=8,"1 - quick win",IF(K381&gt;=6,"2 - build early",IF(K381&gt;=4,"3 - slower climb","4 - monitor only"))))</f>
        <v>2 - build early</v>
      </c>
      <c r="M381" s="9" t="s">
        <v>42</v>
      </c>
      <c r="N381" s="9" t="s">
        <v>799</v>
      </c>
      <c r="O381" s="9" t="s">
        <v>97</v>
      </c>
      <c r="P381" s="9"/>
    </row>
    <row r="382" customFormat="false" ht="23.85" hidden="false" customHeight="false" outlineLevel="0" collapsed="false">
      <c r="A382" s="14" t="s">
        <v>862</v>
      </c>
      <c r="B382" s="14" t="s">
        <v>112</v>
      </c>
      <c r="C382" s="14" t="s">
        <v>798</v>
      </c>
      <c r="D382" s="14" t="s">
        <v>39</v>
      </c>
      <c r="E382" s="14" t="s">
        <v>58</v>
      </c>
      <c r="F382" s="14" t="s">
        <v>41</v>
      </c>
      <c r="G382" s="10"/>
      <c r="H382" s="11"/>
      <c r="I382" s="15" t="n">
        <v>5</v>
      </c>
      <c r="J382" s="15" t="n">
        <v>2</v>
      </c>
      <c r="K382" s="16" t="n">
        <f aca="false">IF(I382="","",I382*2-J382)</f>
        <v>8</v>
      </c>
      <c r="L382" s="14" t="str">
        <f aca="false">IF(K382="","",IF(K382&gt;=8,"1 - quick win",IF(K382&gt;=6,"2 - build early",IF(K382&gt;=4,"3 - slower climb","4 - monitor only"))))</f>
        <v>1 - quick win</v>
      </c>
      <c r="M382" s="14" t="s">
        <v>42</v>
      </c>
      <c r="N382" s="14" t="s">
        <v>799</v>
      </c>
      <c r="O382" s="14" t="s">
        <v>341</v>
      </c>
      <c r="P382" s="14"/>
    </row>
    <row r="383" customFormat="false" ht="23.85" hidden="false" customHeight="false" outlineLevel="0" collapsed="false">
      <c r="A383" s="9" t="s">
        <v>863</v>
      </c>
      <c r="B383" s="9" t="s">
        <v>112</v>
      </c>
      <c r="C383" s="9" t="s">
        <v>798</v>
      </c>
      <c r="D383" s="9" t="s">
        <v>39</v>
      </c>
      <c r="E383" s="9" t="s">
        <v>58</v>
      </c>
      <c r="F383" s="9" t="s">
        <v>41</v>
      </c>
      <c r="G383" s="10"/>
      <c r="H383" s="11"/>
      <c r="I383" s="12" t="n">
        <v>5</v>
      </c>
      <c r="J383" s="12" t="n">
        <v>2</v>
      </c>
      <c r="K383" s="13" t="n">
        <f aca="false">IF(I383="","",I383*2-J383)</f>
        <v>8</v>
      </c>
      <c r="L383" s="9" t="str">
        <f aca="false">IF(K383="","",IF(K383&gt;=8,"1 - quick win",IF(K383&gt;=6,"2 - build early",IF(K383&gt;=4,"3 - slower climb","4 - monitor only"))))</f>
        <v>1 - quick win</v>
      </c>
      <c r="M383" s="9" t="s">
        <v>42</v>
      </c>
      <c r="N383" s="9" t="s">
        <v>799</v>
      </c>
      <c r="O383" s="9" t="s">
        <v>510</v>
      </c>
      <c r="P383" s="9"/>
    </row>
    <row r="384" customFormat="false" ht="23.85" hidden="false" customHeight="false" outlineLevel="0" collapsed="false">
      <c r="A384" s="14" t="s">
        <v>864</v>
      </c>
      <c r="B384" s="14" t="s">
        <v>112</v>
      </c>
      <c r="C384" s="14" t="s">
        <v>798</v>
      </c>
      <c r="D384" s="14" t="s">
        <v>39</v>
      </c>
      <c r="E384" s="14" t="s">
        <v>58</v>
      </c>
      <c r="F384" s="14" t="s">
        <v>41</v>
      </c>
      <c r="G384" s="10"/>
      <c r="H384" s="11"/>
      <c r="I384" s="15" t="n">
        <v>4</v>
      </c>
      <c r="J384" s="15" t="n">
        <v>1</v>
      </c>
      <c r="K384" s="16" t="n">
        <f aca="false">IF(I384="","",I384*2-J384)</f>
        <v>7</v>
      </c>
      <c r="L384" s="14" t="str">
        <f aca="false">IF(K384="","",IF(K384&gt;=8,"1 - quick win",IF(K384&gt;=6,"2 - build early",IF(K384&gt;=4,"3 - slower climb","4 - monitor only"))))</f>
        <v>2 - build early</v>
      </c>
      <c r="M384" s="14" t="s">
        <v>42</v>
      </c>
      <c r="N384" s="14" t="s">
        <v>799</v>
      </c>
      <c r="O384" s="14" t="s">
        <v>522</v>
      </c>
      <c r="P384" s="14"/>
    </row>
    <row r="385" customFormat="false" ht="23.85" hidden="false" customHeight="false" outlineLevel="0" collapsed="false">
      <c r="A385" s="9" t="s">
        <v>865</v>
      </c>
      <c r="B385" s="9" t="s">
        <v>112</v>
      </c>
      <c r="C385" s="9" t="s">
        <v>798</v>
      </c>
      <c r="D385" s="9" t="s">
        <v>39</v>
      </c>
      <c r="E385" s="9" t="s">
        <v>58</v>
      </c>
      <c r="F385" s="9" t="s">
        <v>41</v>
      </c>
      <c r="G385" s="10"/>
      <c r="H385" s="11"/>
      <c r="I385" s="12" t="n">
        <v>4</v>
      </c>
      <c r="J385" s="12" t="n">
        <v>1</v>
      </c>
      <c r="K385" s="13" t="n">
        <f aca="false">IF(I385="","",I385*2-J385)</f>
        <v>7</v>
      </c>
      <c r="L385" s="9" t="str">
        <f aca="false">IF(K385="","",IF(K385&gt;=8,"1 - quick win",IF(K385&gt;=6,"2 - build early",IF(K385&gt;=4,"3 - slower climb","4 - monitor only"))))</f>
        <v>2 - build early</v>
      </c>
      <c r="M385" s="9" t="s">
        <v>42</v>
      </c>
      <c r="N385" s="9" t="s">
        <v>799</v>
      </c>
      <c r="O385" s="9" t="s">
        <v>655</v>
      </c>
      <c r="P385" s="9"/>
    </row>
    <row r="386" customFormat="false" ht="23.85" hidden="false" customHeight="false" outlineLevel="0" collapsed="false">
      <c r="A386" s="14" t="s">
        <v>866</v>
      </c>
      <c r="B386" s="14" t="s">
        <v>112</v>
      </c>
      <c r="C386" s="14" t="s">
        <v>798</v>
      </c>
      <c r="D386" s="14" t="s">
        <v>39</v>
      </c>
      <c r="E386" s="14" t="s">
        <v>58</v>
      </c>
      <c r="F386" s="14" t="s">
        <v>41</v>
      </c>
      <c r="G386" s="10"/>
      <c r="H386" s="11"/>
      <c r="I386" s="15" t="n">
        <v>4</v>
      </c>
      <c r="J386" s="15" t="n">
        <v>1</v>
      </c>
      <c r="K386" s="16" t="n">
        <f aca="false">IF(I386="","",I386*2-J386)</f>
        <v>7</v>
      </c>
      <c r="L386" s="14" t="str">
        <f aca="false">IF(K386="","",IF(K386&gt;=8,"1 - quick win",IF(K386&gt;=6,"2 - build early",IF(K386&gt;=4,"3 - slower climb","4 - monitor only"))))</f>
        <v>2 - build early</v>
      </c>
      <c r="M386" s="14" t="s">
        <v>42</v>
      </c>
      <c r="N386" s="14" t="s">
        <v>799</v>
      </c>
      <c r="O386" s="14" t="s">
        <v>128</v>
      </c>
      <c r="P386" s="14"/>
    </row>
    <row r="387" customFormat="false" ht="23.85" hidden="false" customHeight="false" outlineLevel="0" collapsed="false">
      <c r="A387" s="9" t="s">
        <v>867</v>
      </c>
      <c r="B387" s="9" t="s">
        <v>112</v>
      </c>
      <c r="C387" s="9" t="s">
        <v>798</v>
      </c>
      <c r="D387" s="9" t="s">
        <v>39</v>
      </c>
      <c r="E387" s="9" t="s">
        <v>58</v>
      </c>
      <c r="F387" s="9" t="s">
        <v>41</v>
      </c>
      <c r="G387" s="10"/>
      <c r="H387" s="11"/>
      <c r="I387" s="12" t="n">
        <v>4</v>
      </c>
      <c r="J387" s="12" t="n">
        <v>1</v>
      </c>
      <c r="K387" s="13" t="n">
        <f aca="false">IF(I387="","",I387*2-J387)</f>
        <v>7</v>
      </c>
      <c r="L387" s="9" t="str">
        <f aca="false">IF(K387="","",IF(K387&gt;=8,"1 - quick win",IF(K387&gt;=6,"2 - build early",IF(K387&gt;=4,"3 - slower climb","4 - monitor only"))))</f>
        <v>2 - build early</v>
      </c>
      <c r="M387" s="9" t="s">
        <v>42</v>
      </c>
      <c r="N387" s="9" t="s">
        <v>799</v>
      </c>
      <c r="O387" s="9" t="s">
        <v>184</v>
      </c>
      <c r="P387" s="9"/>
    </row>
    <row r="388" customFormat="false" ht="23.85" hidden="false" customHeight="false" outlineLevel="0" collapsed="false">
      <c r="A388" s="14" t="s">
        <v>868</v>
      </c>
      <c r="B388" s="14" t="s">
        <v>112</v>
      </c>
      <c r="C388" s="14" t="s">
        <v>798</v>
      </c>
      <c r="D388" s="14" t="s">
        <v>39</v>
      </c>
      <c r="E388" s="14" t="s">
        <v>58</v>
      </c>
      <c r="F388" s="14" t="s">
        <v>41</v>
      </c>
      <c r="G388" s="10"/>
      <c r="H388" s="11"/>
      <c r="I388" s="15" t="n">
        <v>4</v>
      </c>
      <c r="J388" s="15" t="n">
        <v>1</v>
      </c>
      <c r="K388" s="16" t="n">
        <f aca="false">IF(I388="","",I388*2-J388)</f>
        <v>7</v>
      </c>
      <c r="L388" s="14" t="str">
        <f aca="false">IF(K388="","",IF(K388&gt;=8,"1 - quick win",IF(K388&gt;=6,"2 - build early",IF(K388&gt;=4,"3 - slower climb","4 - monitor only"))))</f>
        <v>2 - build early</v>
      </c>
      <c r="M388" s="14" t="s">
        <v>42</v>
      </c>
      <c r="N388" s="14" t="s">
        <v>799</v>
      </c>
      <c r="O388" s="14" t="s">
        <v>465</v>
      </c>
      <c r="P388" s="14"/>
    </row>
    <row r="389" customFormat="false" ht="23.85" hidden="false" customHeight="false" outlineLevel="0" collapsed="false">
      <c r="A389" s="9" t="s">
        <v>869</v>
      </c>
      <c r="B389" s="9" t="s">
        <v>112</v>
      </c>
      <c r="C389" s="9" t="s">
        <v>798</v>
      </c>
      <c r="D389" s="9" t="s">
        <v>39</v>
      </c>
      <c r="E389" s="9" t="s">
        <v>58</v>
      </c>
      <c r="F389" s="9" t="s">
        <v>41</v>
      </c>
      <c r="G389" s="10"/>
      <c r="H389" s="11"/>
      <c r="I389" s="12" t="n">
        <v>5</v>
      </c>
      <c r="J389" s="12" t="n">
        <v>1</v>
      </c>
      <c r="K389" s="13" t="n">
        <f aca="false">IF(I389="","",I389*2-J389)</f>
        <v>9</v>
      </c>
      <c r="L389" s="9" t="str">
        <f aca="false">IF(K389="","",IF(K389&gt;=8,"1 - quick win",IF(K389&gt;=6,"2 - build early",IF(K389&gt;=4,"3 - slower climb","4 - monitor only"))))</f>
        <v>1 - quick win</v>
      </c>
      <c r="M389" s="9" t="s">
        <v>42</v>
      </c>
      <c r="N389" s="9" t="s">
        <v>799</v>
      </c>
      <c r="O389" s="9" t="s">
        <v>452</v>
      </c>
      <c r="P389" s="9"/>
    </row>
    <row r="390" customFormat="false" ht="23.85" hidden="false" customHeight="false" outlineLevel="0" collapsed="false">
      <c r="A390" s="14" t="s">
        <v>870</v>
      </c>
      <c r="B390" s="14" t="s">
        <v>112</v>
      </c>
      <c r="C390" s="14" t="s">
        <v>798</v>
      </c>
      <c r="D390" s="14" t="s">
        <v>39</v>
      </c>
      <c r="E390" s="14" t="s">
        <v>58</v>
      </c>
      <c r="F390" s="14" t="s">
        <v>41</v>
      </c>
      <c r="G390" s="10"/>
      <c r="H390" s="11"/>
      <c r="I390" s="15" t="n">
        <v>5</v>
      </c>
      <c r="J390" s="15" t="n">
        <v>3</v>
      </c>
      <c r="K390" s="16" t="n">
        <f aca="false">IF(I390="","",I390*2-J390)</f>
        <v>7</v>
      </c>
      <c r="L390" s="14" t="str">
        <f aca="false">IF(K390="","",IF(K390&gt;=8,"1 - quick win",IF(K390&gt;=6,"2 - build early",IF(K390&gt;=4,"3 - slower climb","4 - monitor only"))))</f>
        <v>2 - build early</v>
      </c>
      <c r="M390" s="14" t="s">
        <v>42</v>
      </c>
      <c r="N390" s="14" t="s">
        <v>799</v>
      </c>
      <c r="O390" s="14" t="s">
        <v>398</v>
      </c>
      <c r="P390" s="14"/>
    </row>
    <row r="391" customFormat="false" ht="23.85" hidden="false" customHeight="false" outlineLevel="0" collapsed="false">
      <c r="A391" s="9" t="s">
        <v>871</v>
      </c>
      <c r="B391" s="9" t="s">
        <v>112</v>
      </c>
      <c r="C391" s="9" t="s">
        <v>798</v>
      </c>
      <c r="D391" s="9" t="s">
        <v>39</v>
      </c>
      <c r="E391" s="9" t="s">
        <v>58</v>
      </c>
      <c r="F391" s="9" t="s">
        <v>41</v>
      </c>
      <c r="G391" s="10"/>
      <c r="H391" s="11"/>
      <c r="I391" s="12" t="n">
        <v>5</v>
      </c>
      <c r="J391" s="12" t="n">
        <v>3</v>
      </c>
      <c r="K391" s="13" t="n">
        <f aca="false">IF(I391="","",I391*2-J391)</f>
        <v>7</v>
      </c>
      <c r="L391" s="9" t="str">
        <f aca="false">IF(K391="","",IF(K391&gt;=8,"1 - quick win",IF(K391&gt;=6,"2 - build early",IF(K391&gt;=4,"3 - slower climb","4 - monitor only"))))</f>
        <v>2 - build early</v>
      </c>
      <c r="M391" s="9" t="s">
        <v>42</v>
      </c>
      <c r="N391" s="9" t="s">
        <v>799</v>
      </c>
      <c r="O391" s="9" t="s">
        <v>398</v>
      </c>
      <c r="P391" s="9"/>
    </row>
    <row r="392" customFormat="false" ht="23.85" hidden="false" customHeight="false" outlineLevel="0" collapsed="false">
      <c r="A392" s="14" t="s">
        <v>872</v>
      </c>
      <c r="B392" s="14" t="s">
        <v>112</v>
      </c>
      <c r="C392" s="14" t="s">
        <v>798</v>
      </c>
      <c r="D392" s="14" t="s">
        <v>39</v>
      </c>
      <c r="E392" s="14" t="s">
        <v>58</v>
      </c>
      <c r="F392" s="14" t="s">
        <v>41</v>
      </c>
      <c r="G392" s="10"/>
      <c r="H392" s="11"/>
      <c r="I392" s="15" t="n">
        <v>4</v>
      </c>
      <c r="J392" s="15" t="n">
        <v>1</v>
      </c>
      <c r="K392" s="16" t="n">
        <f aca="false">IF(I392="","",I392*2-J392)</f>
        <v>7</v>
      </c>
      <c r="L392" s="14" t="str">
        <f aca="false">IF(K392="","",IF(K392&gt;=8,"1 - quick win",IF(K392&gt;=6,"2 - build early",IF(K392&gt;=4,"3 - slower climb","4 - monitor only"))))</f>
        <v>2 - build early</v>
      </c>
      <c r="M392" s="14" t="s">
        <v>42</v>
      </c>
      <c r="N392" s="14" t="s">
        <v>799</v>
      </c>
      <c r="O392" s="14" t="s">
        <v>418</v>
      </c>
      <c r="P392" s="14"/>
    </row>
    <row r="393" customFormat="false" ht="23.85" hidden="false" customHeight="false" outlineLevel="0" collapsed="false">
      <c r="A393" s="9" t="s">
        <v>873</v>
      </c>
      <c r="B393" s="9" t="s">
        <v>112</v>
      </c>
      <c r="C393" s="9" t="s">
        <v>798</v>
      </c>
      <c r="D393" s="9" t="s">
        <v>39</v>
      </c>
      <c r="E393" s="9" t="s">
        <v>58</v>
      </c>
      <c r="F393" s="9" t="s">
        <v>41</v>
      </c>
      <c r="G393" s="10"/>
      <c r="H393" s="11"/>
      <c r="I393" s="12" t="n">
        <v>4</v>
      </c>
      <c r="J393" s="12" t="n">
        <v>1</v>
      </c>
      <c r="K393" s="13" t="n">
        <f aca="false">IF(I393="","",I393*2-J393)</f>
        <v>7</v>
      </c>
      <c r="L393" s="9" t="str">
        <f aca="false">IF(K393="","",IF(K393&gt;=8,"1 - quick win",IF(K393&gt;=6,"2 - build early",IF(K393&gt;=4,"3 - slower climb","4 - monitor only"))))</f>
        <v>2 - build early</v>
      </c>
      <c r="M393" s="9" t="s">
        <v>42</v>
      </c>
      <c r="N393" s="9" t="s">
        <v>799</v>
      </c>
      <c r="O393" s="9" t="s">
        <v>423</v>
      </c>
      <c r="P393" s="9"/>
    </row>
    <row r="394" customFormat="false" ht="23.85" hidden="false" customHeight="false" outlineLevel="0" collapsed="false">
      <c r="A394" s="14" t="s">
        <v>874</v>
      </c>
      <c r="B394" s="14" t="s">
        <v>112</v>
      </c>
      <c r="C394" s="14" t="s">
        <v>798</v>
      </c>
      <c r="D394" s="14" t="s">
        <v>39</v>
      </c>
      <c r="E394" s="14" t="s">
        <v>58</v>
      </c>
      <c r="F394" s="14" t="s">
        <v>41</v>
      </c>
      <c r="G394" s="10"/>
      <c r="H394" s="11"/>
      <c r="I394" s="15" t="n">
        <v>5</v>
      </c>
      <c r="J394" s="15" t="n">
        <v>1</v>
      </c>
      <c r="K394" s="16" t="n">
        <f aca="false">IF(I394="","",I394*2-J394)</f>
        <v>9</v>
      </c>
      <c r="L394" s="14" t="str">
        <f aca="false">IF(K394="","",IF(K394&gt;=8,"1 - quick win",IF(K394&gt;=6,"2 - build early",IF(K394&gt;=4,"3 - slower climb","4 - monitor only"))))</f>
        <v>1 - quick win</v>
      </c>
      <c r="M394" s="14" t="s">
        <v>42</v>
      </c>
      <c r="N394" s="14" t="s">
        <v>799</v>
      </c>
      <c r="O394" s="14" t="s">
        <v>564</v>
      </c>
      <c r="P394" s="14"/>
    </row>
    <row r="395" customFormat="false" ht="23.85" hidden="false" customHeight="false" outlineLevel="0" collapsed="false">
      <c r="A395" s="9" t="s">
        <v>875</v>
      </c>
      <c r="B395" s="9" t="s">
        <v>112</v>
      </c>
      <c r="C395" s="9" t="s">
        <v>798</v>
      </c>
      <c r="D395" s="9" t="s">
        <v>39</v>
      </c>
      <c r="E395" s="9" t="s">
        <v>58</v>
      </c>
      <c r="F395" s="9" t="s">
        <v>41</v>
      </c>
      <c r="G395" s="10"/>
      <c r="H395" s="11"/>
      <c r="I395" s="12" t="n">
        <v>4</v>
      </c>
      <c r="J395" s="12" t="n">
        <v>1</v>
      </c>
      <c r="K395" s="13" t="n">
        <f aca="false">IF(I395="","",I395*2-J395)</f>
        <v>7</v>
      </c>
      <c r="L395" s="9" t="str">
        <f aca="false">IF(K395="","",IF(K395&gt;=8,"1 - quick win",IF(K395&gt;=6,"2 - build early",IF(K395&gt;=4,"3 - slower climb","4 - monitor only"))))</f>
        <v>2 - build early</v>
      </c>
      <c r="M395" s="9" t="s">
        <v>42</v>
      </c>
      <c r="N395" s="9" t="s">
        <v>799</v>
      </c>
      <c r="O395" s="9" t="s">
        <v>123</v>
      </c>
      <c r="P395" s="9"/>
    </row>
    <row r="396" customFormat="false" ht="23.85" hidden="false" customHeight="false" outlineLevel="0" collapsed="false">
      <c r="A396" s="14" t="s">
        <v>876</v>
      </c>
      <c r="B396" s="14" t="s">
        <v>112</v>
      </c>
      <c r="C396" s="14" t="s">
        <v>798</v>
      </c>
      <c r="D396" s="14" t="s">
        <v>39</v>
      </c>
      <c r="E396" s="14" t="s">
        <v>58</v>
      </c>
      <c r="F396" s="14" t="s">
        <v>41</v>
      </c>
      <c r="G396" s="10"/>
      <c r="H396" s="11"/>
      <c r="I396" s="15" t="n">
        <v>5</v>
      </c>
      <c r="J396" s="15" t="n">
        <v>1</v>
      </c>
      <c r="K396" s="16" t="n">
        <f aca="false">IF(I396="","",I396*2-J396)</f>
        <v>9</v>
      </c>
      <c r="L396" s="14" t="str">
        <f aca="false">IF(K396="","",IF(K396&gt;=8,"1 - quick win",IF(K396&gt;=6,"2 - build early",IF(K396&gt;=4,"3 - slower climb","4 - monitor only"))))</f>
        <v>1 - quick win</v>
      </c>
      <c r="M396" s="14" t="s">
        <v>42</v>
      </c>
      <c r="N396" s="14" t="s">
        <v>799</v>
      </c>
      <c r="O396" s="14" t="s">
        <v>432</v>
      </c>
      <c r="P396" s="14"/>
    </row>
    <row r="397" customFormat="false" ht="23.85" hidden="false" customHeight="false" outlineLevel="0" collapsed="false">
      <c r="A397" s="9" t="s">
        <v>877</v>
      </c>
      <c r="B397" s="9" t="s">
        <v>112</v>
      </c>
      <c r="C397" s="9" t="s">
        <v>798</v>
      </c>
      <c r="D397" s="9" t="s">
        <v>39</v>
      </c>
      <c r="E397" s="9" t="s">
        <v>58</v>
      </c>
      <c r="F397" s="9" t="s">
        <v>41</v>
      </c>
      <c r="G397" s="10"/>
      <c r="H397" s="11"/>
      <c r="I397" s="12" t="n">
        <v>5</v>
      </c>
      <c r="J397" s="12" t="n">
        <v>1</v>
      </c>
      <c r="K397" s="13" t="n">
        <f aca="false">IF(I397="","",I397*2-J397)</f>
        <v>9</v>
      </c>
      <c r="L397" s="9" t="str">
        <f aca="false">IF(K397="","",IF(K397&gt;=8,"1 - quick win",IF(K397&gt;=6,"2 - build early",IF(K397&gt;=4,"3 - slower climb","4 - monitor only"))))</f>
        <v>1 - quick win</v>
      </c>
      <c r="M397" s="9" t="s">
        <v>42</v>
      </c>
      <c r="N397" s="9" t="s">
        <v>799</v>
      </c>
      <c r="O397" s="9" t="s">
        <v>175</v>
      </c>
      <c r="P397" s="9"/>
    </row>
    <row r="398" customFormat="false" ht="23.85" hidden="false" customHeight="false" outlineLevel="0" collapsed="false">
      <c r="A398" s="14" t="s">
        <v>878</v>
      </c>
      <c r="B398" s="14" t="s">
        <v>112</v>
      </c>
      <c r="C398" s="14" t="s">
        <v>798</v>
      </c>
      <c r="D398" s="14" t="s">
        <v>39</v>
      </c>
      <c r="E398" s="14" t="s">
        <v>58</v>
      </c>
      <c r="F398" s="14" t="s">
        <v>41</v>
      </c>
      <c r="G398" s="10"/>
      <c r="H398" s="11"/>
      <c r="I398" s="15" t="n">
        <v>4</v>
      </c>
      <c r="J398" s="15" t="n">
        <v>1</v>
      </c>
      <c r="K398" s="16" t="n">
        <f aca="false">IF(I398="","",I398*2-J398)</f>
        <v>7</v>
      </c>
      <c r="L398" s="14" t="str">
        <f aca="false">IF(K398="","",IF(K398&gt;=8,"1 - quick win",IF(K398&gt;=6,"2 - build early",IF(K398&gt;=4,"3 - slower climb","4 - monitor only"))))</f>
        <v>2 - build early</v>
      </c>
      <c r="M398" s="14" t="s">
        <v>42</v>
      </c>
      <c r="N398" s="14" t="s">
        <v>799</v>
      </c>
      <c r="O398" s="14" t="s">
        <v>141</v>
      </c>
      <c r="P398" s="14"/>
    </row>
    <row r="399" customFormat="false" ht="23.85" hidden="false" customHeight="false" outlineLevel="0" collapsed="false">
      <c r="A399" s="9" t="s">
        <v>879</v>
      </c>
      <c r="B399" s="9" t="s">
        <v>112</v>
      </c>
      <c r="C399" s="9" t="s">
        <v>798</v>
      </c>
      <c r="D399" s="9" t="s">
        <v>39</v>
      </c>
      <c r="E399" s="9" t="s">
        <v>58</v>
      </c>
      <c r="F399" s="9" t="s">
        <v>41</v>
      </c>
      <c r="G399" s="10"/>
      <c r="H399" s="11"/>
      <c r="I399" s="12" t="n">
        <v>5</v>
      </c>
      <c r="J399" s="12" t="n">
        <v>2</v>
      </c>
      <c r="K399" s="13" t="n">
        <f aca="false">IF(I399="","",I399*2-J399)</f>
        <v>8</v>
      </c>
      <c r="L399" s="9" t="str">
        <f aca="false">IF(K399="","",IF(K399&gt;=8,"1 - quick win",IF(K399&gt;=6,"2 - build early",IF(K399&gt;=4,"3 - slower climb","4 - monitor only"))))</f>
        <v>1 - quick win</v>
      </c>
      <c r="M399" s="9" t="s">
        <v>42</v>
      </c>
      <c r="N399" s="9" t="s">
        <v>799</v>
      </c>
      <c r="O399" s="9" t="s">
        <v>200</v>
      </c>
      <c r="P399" s="9"/>
    </row>
    <row r="400" customFormat="false" ht="23.85" hidden="false" customHeight="false" outlineLevel="0" collapsed="false">
      <c r="A400" s="14" t="s">
        <v>880</v>
      </c>
      <c r="B400" s="14" t="s">
        <v>112</v>
      </c>
      <c r="C400" s="14" t="s">
        <v>798</v>
      </c>
      <c r="D400" s="14" t="s">
        <v>39</v>
      </c>
      <c r="E400" s="14" t="s">
        <v>58</v>
      </c>
      <c r="F400" s="14" t="s">
        <v>41</v>
      </c>
      <c r="G400" s="10"/>
      <c r="H400" s="11"/>
      <c r="I400" s="15" t="n">
        <v>5</v>
      </c>
      <c r="J400" s="15" t="n">
        <v>2</v>
      </c>
      <c r="K400" s="16" t="n">
        <f aca="false">IF(I400="","",I400*2-J400)</f>
        <v>8</v>
      </c>
      <c r="L400" s="14" t="str">
        <f aca="false">IF(K400="","",IF(K400&gt;=8,"1 - quick win",IF(K400&gt;=6,"2 - build early",IF(K400&gt;=4,"3 - slower climb","4 - monitor only"))))</f>
        <v>1 - quick win</v>
      </c>
      <c r="M400" s="14" t="s">
        <v>42</v>
      </c>
      <c r="N400" s="14" t="s">
        <v>799</v>
      </c>
      <c r="O400" s="14" t="s">
        <v>203</v>
      </c>
      <c r="P400" s="14"/>
    </row>
    <row r="401" customFormat="false" ht="23.85" hidden="false" customHeight="false" outlineLevel="0" collapsed="false">
      <c r="A401" s="9" t="s">
        <v>881</v>
      </c>
      <c r="B401" s="9" t="s">
        <v>112</v>
      </c>
      <c r="C401" s="9" t="s">
        <v>798</v>
      </c>
      <c r="D401" s="9" t="s">
        <v>39</v>
      </c>
      <c r="E401" s="9" t="s">
        <v>58</v>
      </c>
      <c r="F401" s="9" t="s">
        <v>41</v>
      </c>
      <c r="G401" s="10"/>
      <c r="H401" s="11"/>
      <c r="I401" s="12" t="n">
        <v>5</v>
      </c>
      <c r="J401" s="12" t="n">
        <v>1</v>
      </c>
      <c r="K401" s="13" t="n">
        <f aca="false">IF(I401="","",I401*2-J401)</f>
        <v>9</v>
      </c>
      <c r="L401" s="9" t="str">
        <f aca="false">IF(K401="","",IF(K401&gt;=8,"1 - quick win",IF(K401&gt;=6,"2 - build early",IF(K401&gt;=4,"3 - slower climb","4 - monitor only"))))</f>
        <v>1 - quick win</v>
      </c>
      <c r="M401" s="9" t="s">
        <v>42</v>
      </c>
      <c r="N401" s="9" t="s">
        <v>799</v>
      </c>
      <c r="O401" s="9" t="s">
        <v>274</v>
      </c>
      <c r="P401" s="9"/>
    </row>
    <row r="402" customFormat="false" ht="23.85" hidden="false" customHeight="false" outlineLevel="0" collapsed="false">
      <c r="A402" s="14" t="s">
        <v>882</v>
      </c>
      <c r="B402" s="14" t="s">
        <v>112</v>
      </c>
      <c r="C402" s="14" t="s">
        <v>798</v>
      </c>
      <c r="D402" s="14" t="s">
        <v>39</v>
      </c>
      <c r="E402" s="14" t="s">
        <v>58</v>
      </c>
      <c r="F402" s="14" t="s">
        <v>41</v>
      </c>
      <c r="G402" s="10"/>
      <c r="H402" s="11"/>
      <c r="I402" s="15" t="n">
        <v>5</v>
      </c>
      <c r="J402" s="15" t="n">
        <v>1</v>
      </c>
      <c r="K402" s="16" t="n">
        <f aca="false">IF(I402="","",I402*2-J402)</f>
        <v>9</v>
      </c>
      <c r="L402" s="14" t="str">
        <f aca="false">IF(K402="","",IF(K402&gt;=8,"1 - quick win",IF(K402&gt;=6,"2 - build early",IF(K402&gt;=4,"3 - slower climb","4 - monitor only"))))</f>
        <v>1 - quick win</v>
      </c>
      <c r="M402" s="14" t="s">
        <v>42</v>
      </c>
      <c r="N402" s="14" t="s">
        <v>799</v>
      </c>
      <c r="O402" s="14" t="s">
        <v>499</v>
      </c>
      <c r="P402" s="14"/>
    </row>
    <row r="403" customFormat="false" ht="23.85" hidden="false" customHeight="false" outlineLevel="0" collapsed="false">
      <c r="A403" s="9" t="s">
        <v>883</v>
      </c>
      <c r="B403" s="9" t="s">
        <v>112</v>
      </c>
      <c r="C403" s="9" t="s">
        <v>798</v>
      </c>
      <c r="D403" s="9" t="s">
        <v>39</v>
      </c>
      <c r="E403" s="9" t="s">
        <v>58</v>
      </c>
      <c r="F403" s="9" t="s">
        <v>41</v>
      </c>
      <c r="G403" s="10"/>
      <c r="H403" s="11"/>
      <c r="I403" s="12" t="n">
        <v>4</v>
      </c>
      <c r="J403" s="12" t="n">
        <v>1</v>
      </c>
      <c r="K403" s="13" t="n">
        <f aca="false">IF(I403="","",I403*2-J403)</f>
        <v>7</v>
      </c>
      <c r="L403" s="9" t="str">
        <f aca="false">IF(K403="","",IF(K403&gt;=8,"1 - quick win",IF(K403&gt;=6,"2 - build early",IF(K403&gt;=4,"3 - slower climb","4 - monitor only"))))</f>
        <v>2 - build early</v>
      </c>
      <c r="M403" s="9" t="s">
        <v>42</v>
      </c>
      <c r="N403" s="9" t="s">
        <v>799</v>
      </c>
      <c r="O403" s="9" t="s">
        <v>208</v>
      </c>
      <c r="P403" s="9"/>
    </row>
    <row r="404" customFormat="false" ht="23.85" hidden="false" customHeight="false" outlineLevel="0" collapsed="false">
      <c r="A404" s="14" t="s">
        <v>884</v>
      </c>
      <c r="B404" s="14" t="s">
        <v>112</v>
      </c>
      <c r="C404" s="14" t="s">
        <v>798</v>
      </c>
      <c r="D404" s="14" t="s">
        <v>39</v>
      </c>
      <c r="E404" s="14" t="s">
        <v>58</v>
      </c>
      <c r="F404" s="14" t="s">
        <v>41</v>
      </c>
      <c r="G404" s="10"/>
      <c r="H404" s="11"/>
      <c r="I404" s="15" t="n">
        <v>4</v>
      </c>
      <c r="J404" s="15" t="n">
        <v>1</v>
      </c>
      <c r="K404" s="16" t="n">
        <f aca="false">IF(I404="","",I404*2-J404)</f>
        <v>7</v>
      </c>
      <c r="L404" s="14" t="str">
        <f aca="false">IF(K404="","",IF(K404&gt;=8,"1 - quick win",IF(K404&gt;=6,"2 - build early",IF(K404&gt;=4,"3 - slower climb","4 - monitor only"))))</f>
        <v>2 - build early</v>
      </c>
      <c r="M404" s="14" t="s">
        <v>42</v>
      </c>
      <c r="N404" s="14" t="s">
        <v>799</v>
      </c>
      <c r="O404" s="14" t="s">
        <v>208</v>
      </c>
      <c r="P404" s="14"/>
    </row>
    <row r="405" customFormat="false" ht="23.85" hidden="false" customHeight="false" outlineLevel="0" collapsed="false">
      <c r="A405" s="9" t="s">
        <v>885</v>
      </c>
      <c r="B405" s="9" t="s">
        <v>112</v>
      </c>
      <c r="C405" s="9" t="s">
        <v>798</v>
      </c>
      <c r="D405" s="9" t="s">
        <v>39</v>
      </c>
      <c r="E405" s="9" t="s">
        <v>58</v>
      </c>
      <c r="F405" s="9" t="s">
        <v>41</v>
      </c>
      <c r="G405" s="10"/>
      <c r="H405" s="11"/>
      <c r="I405" s="12" t="n">
        <v>4</v>
      </c>
      <c r="J405" s="12" t="n">
        <v>1</v>
      </c>
      <c r="K405" s="13" t="n">
        <f aca="false">IF(I405="","",I405*2-J405)</f>
        <v>7</v>
      </c>
      <c r="L405" s="9" t="str">
        <f aca="false">IF(K405="","",IF(K405&gt;=8,"1 - quick win",IF(K405&gt;=6,"2 - build early",IF(K405&gt;=4,"3 - slower climb","4 - monitor only"))))</f>
        <v>2 - build early</v>
      </c>
      <c r="M405" s="9" t="s">
        <v>42</v>
      </c>
      <c r="N405" s="9" t="s">
        <v>799</v>
      </c>
      <c r="O405" s="9" t="s">
        <v>649</v>
      </c>
      <c r="P405" s="9"/>
    </row>
    <row r="406" customFormat="false" ht="23.85" hidden="false" customHeight="false" outlineLevel="0" collapsed="false">
      <c r="A406" s="14" t="s">
        <v>886</v>
      </c>
      <c r="B406" s="14" t="s">
        <v>112</v>
      </c>
      <c r="C406" s="14" t="s">
        <v>798</v>
      </c>
      <c r="D406" s="14" t="s">
        <v>39</v>
      </c>
      <c r="E406" s="14" t="s">
        <v>58</v>
      </c>
      <c r="F406" s="14" t="s">
        <v>41</v>
      </c>
      <c r="G406" s="10"/>
      <c r="H406" s="11"/>
      <c r="I406" s="15" t="n">
        <v>4</v>
      </c>
      <c r="J406" s="15" t="n">
        <v>1</v>
      </c>
      <c r="K406" s="16" t="n">
        <f aca="false">IF(I406="","",I406*2-J406)</f>
        <v>7</v>
      </c>
      <c r="L406" s="14" t="str">
        <f aca="false">IF(K406="","",IF(K406&gt;=8,"1 - quick win",IF(K406&gt;=6,"2 - build early",IF(K406&gt;=4,"3 - slower climb","4 - monitor only"))))</f>
        <v>2 - build early</v>
      </c>
      <c r="M406" s="14" t="s">
        <v>42</v>
      </c>
      <c r="N406" s="14" t="s">
        <v>799</v>
      </c>
      <c r="O406" s="14" t="s">
        <v>554</v>
      </c>
      <c r="P406" s="14"/>
    </row>
    <row r="408" customFormat="false" ht="95.5" hidden="false" customHeight="false" outlineLevel="0" collapsed="false">
      <c r="A408" s="2" t="s">
        <v>887</v>
      </c>
    </row>
  </sheetData>
  <autoFilter ref="A24:P406"/>
  <dataValidations count="1">
    <dataValidation allowBlank="true" error="Opportunity and competition are scored 1 to 5." errorStyle="stop" errorTitle="1 to 5 only" operator="between" showDropDown="false" showErrorMessage="false" showInputMessage="false" sqref="I25:J406"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3" topLeftCell="B24" activePane="bottomRight" state="frozen"/>
      <selection pane="topLeft" activeCell="A1" activeCellId="0" sqref="A1"/>
      <selection pane="topRight" activeCell="B1" activeCellId="0" sqref="B1"/>
      <selection pane="bottomLeft" activeCell="A24" activeCellId="0" sqref="A2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6"/>
    <col collapsed="false" customWidth="true" hidden="false" outlineLevel="0" max="3" min="3" style="0" width="16"/>
    <col collapsed="false" customWidth="true" hidden="false" outlineLevel="0" max="4" min="4" style="0" width="26"/>
    <col collapsed="false" customWidth="true" hidden="false" outlineLevel="0" max="5" min="5" style="0" width="44"/>
    <col collapsed="false" customWidth="true" hidden="false" outlineLevel="0" max="6" min="6" style="0" width="34"/>
    <col collapsed="false" customWidth="true" hidden="false" outlineLevel="0" max="7" min="7" style="0" width="18"/>
    <col collapsed="false" customWidth="true" hidden="false" outlineLevel="0" max="8" min="8" style="0" width="14"/>
    <col collapsed="false" customWidth="true" hidden="false" outlineLevel="0" max="9" min="9" style="0" width="20"/>
    <col collapsed="false" customWidth="true" hidden="false" outlineLevel="0" max="10" min="10" style="0" width="30"/>
    <col collapsed="false" customWidth="true" hidden="false" outlineLevel="0" max="11" min="11" style="0" width="10"/>
    <col collapsed="false" customWidth="true" hidden="false" outlineLevel="0" max="12" min="12" style="0" width="42"/>
    <col collapsed="false" customWidth="true" hidden="false" outlineLevel="0" max="13" min="13" style="0" width="34"/>
    <col collapsed="false" customWidth="true" hidden="false" outlineLevel="0" max="14" min="14" style="0" width="9"/>
    <col collapsed="false" customWidth="true" hidden="false" outlineLevel="0" max="15" min="15" style="0" width="52"/>
    <col collapsed="false" customWidth="true" hidden="false" outlineLevel="0" max="16" min="16" style="0" width="50"/>
    <col collapsed="false" customWidth="true" hidden="false" outlineLevel="0" max="17" min="17" style="0" width="46"/>
    <col collapsed="false" customWidth="true" hidden="false" outlineLevel="0" max="18" min="18" style="0" width="44"/>
    <col collapsed="false" customWidth="true" hidden="false" outlineLevel="0" max="19" min="19" style="0" width="34"/>
    <col collapsed="false" customWidth="true" hidden="false" outlineLevel="0" max="20" min="20" style="0" width="56"/>
    <col collapsed="false" customWidth="true" hidden="false" outlineLevel="0" max="21" min="21" style="0" width="48"/>
    <col collapsed="false" customWidth="true" hidden="false" outlineLevel="0" max="22" min="22" style="0" width="68"/>
  </cols>
  <sheetData>
    <row r="1" customFormat="false" ht="35.8" hidden="false" customHeight="false" outlineLevel="0" collapsed="false">
      <c r="A1" s="1" t="s">
        <v>888</v>
      </c>
    </row>
    <row r="2" customFormat="false" ht="32.8" hidden="false" customHeight="false" outlineLevel="0" collapsed="false">
      <c r="A2" s="2" t="s">
        <v>889</v>
      </c>
    </row>
    <row r="4" customFormat="false" ht="15" hidden="false" customHeight="false" outlineLevel="0" collapsed="false">
      <c r="A4" s="3" t="s">
        <v>2</v>
      </c>
    </row>
    <row r="5" customFormat="false" ht="12.75" hidden="false" customHeight="true" outlineLevel="0" collapsed="false">
      <c r="A5" s="4" t="s">
        <v>890</v>
      </c>
    </row>
    <row r="6" customFormat="false" ht="12.75" hidden="false" customHeight="true" outlineLevel="0" collapsed="false">
      <c r="A6" s="4" t="s">
        <v>891</v>
      </c>
    </row>
    <row r="7" customFormat="false" ht="12.75" hidden="false" customHeight="true" outlineLevel="0" collapsed="false">
      <c r="A7" s="4" t="s">
        <v>892</v>
      </c>
    </row>
    <row r="8" customFormat="false" ht="12.75" hidden="false" customHeight="true" outlineLevel="0" collapsed="false">
      <c r="A8" s="5" t="s">
        <v>893</v>
      </c>
    </row>
    <row r="9" customFormat="false" ht="12.75" hidden="false" customHeight="true" outlineLevel="0" collapsed="false">
      <c r="A9" s="5" t="s">
        <v>894</v>
      </c>
    </row>
    <row r="10" customFormat="false" ht="12.75" hidden="false" customHeight="true" outlineLevel="0" collapsed="false">
      <c r="A10" s="4" t="s">
        <v>895</v>
      </c>
    </row>
    <row r="11" customFormat="false" ht="12.75" hidden="false" customHeight="true" outlineLevel="0" collapsed="false">
      <c r="A11" s="4" t="s">
        <v>896</v>
      </c>
    </row>
    <row r="13" customFormat="false" ht="15" hidden="false" customHeight="false" outlineLevel="0" collapsed="false">
      <c r="A13" s="3" t="s">
        <v>897</v>
      </c>
    </row>
    <row r="14" customFormat="false" ht="15" hidden="false" customHeight="false" outlineLevel="0" collapsed="false">
      <c r="A14" s="6" t="s">
        <v>898</v>
      </c>
      <c r="B14" s="7" t="n">
        <f aca="false">COUNTA(A24:A113)</f>
        <v>90</v>
      </c>
    </row>
    <row r="15" customFormat="false" ht="15" hidden="false" customHeight="false" outlineLevel="0" collapsed="false">
      <c r="A15" s="6" t="s">
        <v>899</v>
      </c>
      <c r="B15" s="7" t="n">
        <f aca="false">COUNTIF(N24:N113,1)</f>
        <v>57</v>
      </c>
    </row>
    <row r="16" customFormat="false" ht="15" hidden="false" customHeight="false" outlineLevel="0" collapsed="false">
      <c r="A16" s="6" t="s">
        <v>900</v>
      </c>
      <c r="B16" s="7" t="n">
        <f aca="false">COUNTIF(N24:N113,2)</f>
        <v>30</v>
      </c>
    </row>
    <row r="17" customFormat="false" ht="15" hidden="false" customHeight="false" outlineLevel="0" collapsed="false">
      <c r="A17" s="6" t="s">
        <v>901</v>
      </c>
      <c r="B17" s="7" t="n">
        <f aca="false">COUNTIF(N24:N113,3)</f>
        <v>3</v>
      </c>
    </row>
    <row r="18" customFormat="false" ht="15" hidden="false" customHeight="false" outlineLevel="0" collapsed="false">
      <c r="A18" s="6" t="s">
        <v>902</v>
      </c>
      <c r="B18" s="7" t="n">
        <f aca="false">COUNTIF(C24:C113,"Pillar page")</f>
        <v>19</v>
      </c>
    </row>
    <row r="19" customFormat="false" ht="15" hidden="false" customHeight="false" outlineLevel="0" collapsed="false">
      <c r="A19" s="6" t="s">
        <v>903</v>
      </c>
      <c r="B19" s="7" t="n">
        <f aca="false">COUNTIF(C24:C113,"Comparison")</f>
        <v>10</v>
      </c>
    </row>
    <row r="20" customFormat="false" ht="15" hidden="false" customHeight="false" outlineLevel="0" collapsed="false">
      <c r="A20" s="6" t="s">
        <v>904</v>
      </c>
      <c r="B20" s="7" t="n">
        <f aca="false">COUNTIF(C24:C113,"Calculator / tool")</f>
        <v>2</v>
      </c>
    </row>
    <row r="21" customFormat="false" ht="15" hidden="false" customHeight="false" outlineLevel="0" collapsed="false">
      <c r="A21" s="6" t="s">
        <v>905</v>
      </c>
      <c r="B21" s="7" t="n">
        <f aca="false">SUM(K24:K113)</f>
        <v>198800</v>
      </c>
    </row>
    <row r="23" customFormat="false" ht="33.75" hidden="false" customHeight="true" outlineLevel="0" collapsed="false">
      <c r="A23" s="8" t="s">
        <v>906</v>
      </c>
      <c r="B23" s="8" t="s">
        <v>907</v>
      </c>
      <c r="C23" s="8" t="s">
        <v>908</v>
      </c>
      <c r="D23" s="8" t="s">
        <v>909</v>
      </c>
      <c r="E23" s="8" t="s">
        <v>910</v>
      </c>
      <c r="F23" s="8" t="s">
        <v>911</v>
      </c>
      <c r="G23" s="8" t="s">
        <v>23</v>
      </c>
      <c r="H23" s="8" t="s">
        <v>24</v>
      </c>
      <c r="I23" s="8" t="s">
        <v>912</v>
      </c>
      <c r="J23" s="8" t="s">
        <v>913</v>
      </c>
      <c r="K23" s="8" t="s">
        <v>914</v>
      </c>
      <c r="L23" s="8" t="s">
        <v>915</v>
      </c>
      <c r="M23" s="8" t="s">
        <v>916</v>
      </c>
      <c r="N23" s="8" t="s">
        <v>917</v>
      </c>
      <c r="O23" s="8" t="s">
        <v>918</v>
      </c>
      <c r="P23" s="8" t="s">
        <v>919</v>
      </c>
      <c r="Q23" s="8" t="s">
        <v>920</v>
      </c>
      <c r="R23" s="8" t="s">
        <v>921</v>
      </c>
      <c r="S23" s="8" t="s">
        <v>922</v>
      </c>
      <c r="T23" s="8" t="s">
        <v>923</v>
      </c>
      <c r="U23" s="8" t="s">
        <v>924</v>
      </c>
      <c r="V23" s="8" t="s">
        <v>925</v>
      </c>
    </row>
    <row r="24" customFormat="false" ht="57.45" hidden="false" customHeight="false" outlineLevel="0" collapsed="false">
      <c r="A24" s="17" t="s">
        <v>926</v>
      </c>
      <c r="B24" s="9" t="s">
        <v>927</v>
      </c>
      <c r="C24" s="9" t="s">
        <v>928</v>
      </c>
      <c r="D24" s="9" t="s">
        <v>36</v>
      </c>
      <c r="E24" s="9" t="s">
        <v>929</v>
      </c>
      <c r="F24" s="9" t="s">
        <v>930</v>
      </c>
      <c r="G24" s="9" t="s">
        <v>49</v>
      </c>
      <c r="H24" s="9" t="s">
        <v>40</v>
      </c>
      <c r="I24" s="9" t="s">
        <v>41</v>
      </c>
      <c r="J24" s="9"/>
      <c r="K24" s="18" t="n">
        <v>2200</v>
      </c>
      <c r="L24" s="9" t="s">
        <v>931</v>
      </c>
      <c r="M24" s="9" t="s">
        <v>932</v>
      </c>
      <c r="N24" s="13" t="n">
        <v>1</v>
      </c>
      <c r="O24" s="9" t="s">
        <v>933</v>
      </c>
      <c r="P24" s="9" t="s">
        <v>934</v>
      </c>
      <c r="Q24" s="9" t="s">
        <v>935</v>
      </c>
      <c r="R24" s="9" t="s">
        <v>936</v>
      </c>
      <c r="S24" s="9" t="s">
        <v>937</v>
      </c>
      <c r="T24" s="9" t="s">
        <v>938</v>
      </c>
      <c r="U24" s="9" t="s">
        <v>939</v>
      </c>
      <c r="V24" s="9" t="s">
        <v>940</v>
      </c>
    </row>
    <row r="25" customFormat="false" ht="57.45" hidden="false" customHeight="false" outlineLevel="0" collapsed="false">
      <c r="A25" s="19" t="s">
        <v>941</v>
      </c>
      <c r="B25" s="14" t="s">
        <v>927</v>
      </c>
      <c r="C25" s="14" t="s">
        <v>928</v>
      </c>
      <c r="D25" s="14" t="s">
        <v>94</v>
      </c>
      <c r="E25" s="14" t="s">
        <v>942</v>
      </c>
      <c r="F25" s="14" t="s">
        <v>861</v>
      </c>
      <c r="G25" s="14" t="s">
        <v>49</v>
      </c>
      <c r="H25" s="14" t="s">
        <v>68</v>
      </c>
      <c r="I25" s="14" t="s">
        <v>41</v>
      </c>
      <c r="J25" s="14"/>
      <c r="K25" s="20" t="n">
        <v>2400</v>
      </c>
      <c r="L25" s="14" t="s">
        <v>943</v>
      </c>
      <c r="M25" s="14" t="s">
        <v>944</v>
      </c>
      <c r="N25" s="16" t="n">
        <v>1</v>
      </c>
      <c r="O25" s="14" t="s">
        <v>945</v>
      </c>
      <c r="P25" s="14" t="s">
        <v>946</v>
      </c>
      <c r="Q25" s="14" t="s">
        <v>947</v>
      </c>
      <c r="R25" s="14" t="s">
        <v>948</v>
      </c>
      <c r="S25" s="14" t="s">
        <v>949</v>
      </c>
      <c r="T25" s="14" t="s">
        <v>950</v>
      </c>
      <c r="U25" s="14" t="s">
        <v>939</v>
      </c>
      <c r="V25" s="14" t="s">
        <v>951</v>
      </c>
    </row>
    <row r="26" customFormat="false" ht="57.45" hidden="false" customHeight="false" outlineLevel="0" collapsed="false">
      <c r="A26" s="17" t="s">
        <v>952</v>
      </c>
      <c r="B26" s="9" t="s">
        <v>927</v>
      </c>
      <c r="C26" s="9" t="s">
        <v>953</v>
      </c>
      <c r="D26" s="9" t="s">
        <v>339</v>
      </c>
      <c r="E26" s="9" t="s">
        <v>954</v>
      </c>
      <c r="F26" s="9" t="s">
        <v>862</v>
      </c>
      <c r="G26" s="9" t="s">
        <v>49</v>
      </c>
      <c r="H26" s="9" t="s">
        <v>40</v>
      </c>
      <c r="I26" s="9" t="s">
        <v>41</v>
      </c>
      <c r="J26" s="9"/>
      <c r="K26" s="18" t="n">
        <v>1800</v>
      </c>
      <c r="L26" s="9" t="s">
        <v>955</v>
      </c>
      <c r="M26" s="9" t="s">
        <v>956</v>
      </c>
      <c r="N26" s="13" t="n">
        <v>1</v>
      </c>
      <c r="O26" s="9" t="s">
        <v>957</v>
      </c>
      <c r="P26" s="9" t="s">
        <v>958</v>
      </c>
      <c r="Q26" s="9" t="s">
        <v>959</v>
      </c>
      <c r="R26" s="9" t="s">
        <v>960</v>
      </c>
      <c r="S26" s="9" t="s">
        <v>961</v>
      </c>
      <c r="T26" s="9" t="s">
        <v>962</v>
      </c>
      <c r="U26" s="9" t="s">
        <v>963</v>
      </c>
      <c r="V26" s="9" t="s">
        <v>964</v>
      </c>
    </row>
    <row r="27" customFormat="false" ht="57.45" hidden="false" customHeight="false" outlineLevel="0" collapsed="false">
      <c r="A27" s="19" t="s">
        <v>965</v>
      </c>
      <c r="B27" s="14" t="s">
        <v>927</v>
      </c>
      <c r="C27" s="14" t="s">
        <v>966</v>
      </c>
      <c r="D27" s="14" t="s">
        <v>342</v>
      </c>
      <c r="E27" s="14" t="s">
        <v>967</v>
      </c>
      <c r="F27" s="14" t="s">
        <v>968</v>
      </c>
      <c r="G27" s="14" t="s">
        <v>49</v>
      </c>
      <c r="H27" s="14" t="s">
        <v>68</v>
      </c>
      <c r="I27" s="14" t="s">
        <v>41</v>
      </c>
      <c r="J27" s="14"/>
      <c r="K27" s="20" t="n">
        <v>1400</v>
      </c>
      <c r="L27" s="14" t="s">
        <v>969</v>
      </c>
      <c r="M27" s="14" t="s">
        <v>970</v>
      </c>
      <c r="N27" s="16" t="n">
        <v>2</v>
      </c>
      <c r="O27" s="14" t="s">
        <v>971</v>
      </c>
      <c r="P27" s="14" t="s">
        <v>972</v>
      </c>
      <c r="Q27" s="14" t="s">
        <v>973</v>
      </c>
      <c r="R27" s="14" t="s">
        <v>974</v>
      </c>
      <c r="S27" s="14" t="s">
        <v>975</v>
      </c>
      <c r="T27" s="14" t="s">
        <v>976</v>
      </c>
      <c r="U27" s="14" t="s">
        <v>963</v>
      </c>
      <c r="V27" s="14" t="s">
        <v>977</v>
      </c>
    </row>
    <row r="28" customFormat="false" ht="46.25" hidden="false" customHeight="false" outlineLevel="0" collapsed="false">
      <c r="A28" s="17" t="s">
        <v>978</v>
      </c>
      <c r="B28" s="9" t="s">
        <v>927</v>
      </c>
      <c r="C28" s="9" t="s">
        <v>928</v>
      </c>
      <c r="D28" s="9" t="s">
        <v>268</v>
      </c>
      <c r="E28" s="9" t="s">
        <v>979</v>
      </c>
      <c r="F28" s="9" t="s">
        <v>980</v>
      </c>
      <c r="G28" s="9" t="s">
        <v>49</v>
      </c>
      <c r="H28" s="9" t="s">
        <v>68</v>
      </c>
      <c r="I28" s="9" t="s">
        <v>41</v>
      </c>
      <c r="J28" s="9"/>
      <c r="K28" s="18" t="n">
        <v>2000</v>
      </c>
      <c r="L28" s="9" t="s">
        <v>981</v>
      </c>
      <c r="M28" s="9" t="s">
        <v>982</v>
      </c>
      <c r="N28" s="13" t="n">
        <v>1</v>
      </c>
      <c r="O28" s="9" t="s">
        <v>983</v>
      </c>
      <c r="P28" s="9" t="s">
        <v>984</v>
      </c>
      <c r="Q28" s="9" t="s">
        <v>985</v>
      </c>
      <c r="R28" s="9" t="s">
        <v>986</v>
      </c>
      <c r="S28" s="9" t="s">
        <v>987</v>
      </c>
      <c r="T28" s="9" t="s">
        <v>988</v>
      </c>
      <c r="U28" s="9" t="s">
        <v>939</v>
      </c>
      <c r="V28" s="9" t="s">
        <v>989</v>
      </c>
    </row>
    <row r="29" customFormat="false" ht="46.25" hidden="false" customHeight="false" outlineLevel="0" collapsed="false">
      <c r="A29" s="19" t="s">
        <v>990</v>
      </c>
      <c r="B29" s="14" t="s">
        <v>927</v>
      </c>
      <c r="C29" s="14" t="s">
        <v>953</v>
      </c>
      <c r="D29" s="14" t="s">
        <v>61</v>
      </c>
      <c r="E29" s="14" t="s">
        <v>991</v>
      </c>
      <c r="F29" s="14" t="s">
        <v>801</v>
      </c>
      <c r="G29" s="14" t="s">
        <v>49</v>
      </c>
      <c r="H29" s="14" t="s">
        <v>40</v>
      </c>
      <c r="I29" s="14" t="s">
        <v>41</v>
      </c>
      <c r="J29" s="14"/>
      <c r="K29" s="20" t="n">
        <v>2600</v>
      </c>
      <c r="L29" s="14" t="s">
        <v>992</v>
      </c>
      <c r="M29" s="14" t="s">
        <v>993</v>
      </c>
      <c r="N29" s="16" t="n">
        <v>1</v>
      </c>
      <c r="O29" s="14" t="s">
        <v>994</v>
      </c>
      <c r="P29" s="14" t="s">
        <v>995</v>
      </c>
      <c r="Q29" s="14" t="s">
        <v>996</v>
      </c>
      <c r="R29" s="14" t="s">
        <v>997</v>
      </c>
      <c r="S29" s="14" t="s">
        <v>998</v>
      </c>
      <c r="T29" s="14" t="s">
        <v>999</v>
      </c>
      <c r="U29" s="14" t="s">
        <v>1000</v>
      </c>
      <c r="V29" s="14" t="s">
        <v>1001</v>
      </c>
    </row>
    <row r="30" customFormat="false" ht="57.45" hidden="false" customHeight="false" outlineLevel="0" collapsed="false">
      <c r="A30" s="17" t="s">
        <v>1002</v>
      </c>
      <c r="B30" s="9" t="s">
        <v>927</v>
      </c>
      <c r="C30" s="9" t="s">
        <v>953</v>
      </c>
      <c r="D30" s="9" t="s">
        <v>656</v>
      </c>
      <c r="E30" s="9" t="s">
        <v>1003</v>
      </c>
      <c r="F30" s="9" t="s">
        <v>1004</v>
      </c>
      <c r="G30" s="9" t="s">
        <v>39</v>
      </c>
      <c r="H30" s="9" t="s">
        <v>58</v>
      </c>
      <c r="I30" s="9" t="s">
        <v>41</v>
      </c>
      <c r="J30" s="9"/>
      <c r="K30" s="18" t="n">
        <v>4000</v>
      </c>
      <c r="L30" s="9" t="s">
        <v>1005</v>
      </c>
      <c r="M30" s="9" t="s">
        <v>1006</v>
      </c>
      <c r="N30" s="13" t="n">
        <v>1</v>
      </c>
      <c r="O30" s="9" t="s">
        <v>1007</v>
      </c>
      <c r="P30" s="9" t="s">
        <v>946</v>
      </c>
      <c r="Q30" s="9" t="s">
        <v>947</v>
      </c>
      <c r="R30" s="9" t="s">
        <v>1008</v>
      </c>
      <c r="S30" s="9" t="s">
        <v>1009</v>
      </c>
      <c r="T30" s="9" t="s">
        <v>950</v>
      </c>
      <c r="U30" s="9" t="s">
        <v>939</v>
      </c>
      <c r="V30" s="9" t="s">
        <v>1010</v>
      </c>
    </row>
    <row r="31" customFormat="false" ht="57.45" hidden="false" customHeight="false" outlineLevel="0" collapsed="false">
      <c r="A31" s="19" t="s">
        <v>1011</v>
      </c>
      <c r="B31" s="14" t="s">
        <v>1012</v>
      </c>
      <c r="C31" s="14" t="s">
        <v>953</v>
      </c>
      <c r="D31" s="14" t="s">
        <v>250</v>
      </c>
      <c r="E31" s="14" t="s">
        <v>1013</v>
      </c>
      <c r="F31" s="14" t="s">
        <v>1014</v>
      </c>
      <c r="G31" s="14" t="s">
        <v>49</v>
      </c>
      <c r="H31" s="14" t="s">
        <v>118</v>
      </c>
      <c r="I31" s="14" t="s">
        <v>41</v>
      </c>
      <c r="J31" s="14"/>
      <c r="K31" s="20" t="n">
        <v>1800</v>
      </c>
      <c r="L31" s="14" t="s">
        <v>1015</v>
      </c>
      <c r="M31" s="14" t="s">
        <v>1016</v>
      </c>
      <c r="N31" s="16" t="n">
        <v>1</v>
      </c>
      <c r="O31" s="14" t="s">
        <v>1017</v>
      </c>
      <c r="P31" s="14" t="s">
        <v>934</v>
      </c>
      <c r="Q31" s="14" t="s">
        <v>935</v>
      </c>
      <c r="R31" s="14" t="s">
        <v>1018</v>
      </c>
      <c r="S31" s="14" t="s">
        <v>1019</v>
      </c>
      <c r="T31" s="14" t="s">
        <v>938</v>
      </c>
      <c r="U31" s="14" t="s">
        <v>939</v>
      </c>
      <c r="V31" s="14" t="s">
        <v>1020</v>
      </c>
    </row>
    <row r="32" customFormat="false" ht="57.45" hidden="false" customHeight="false" outlineLevel="0" collapsed="false">
      <c r="A32" s="17" t="s">
        <v>1021</v>
      </c>
      <c r="B32" s="9" t="s">
        <v>1012</v>
      </c>
      <c r="C32" s="9" t="s">
        <v>953</v>
      </c>
      <c r="D32" s="9" t="s">
        <v>254</v>
      </c>
      <c r="E32" s="9" t="s">
        <v>1022</v>
      </c>
      <c r="F32" s="9" t="s">
        <v>835</v>
      </c>
      <c r="G32" s="9" t="s">
        <v>132</v>
      </c>
      <c r="H32" s="9" t="s">
        <v>118</v>
      </c>
      <c r="I32" s="9" t="s">
        <v>41</v>
      </c>
      <c r="J32" s="9"/>
      <c r="K32" s="18" t="n">
        <v>2000</v>
      </c>
      <c r="L32" s="9" t="s">
        <v>1023</v>
      </c>
      <c r="M32" s="9" t="s">
        <v>1024</v>
      </c>
      <c r="N32" s="13" t="n">
        <v>1</v>
      </c>
      <c r="O32" s="9" t="s">
        <v>1025</v>
      </c>
      <c r="P32" s="9" t="s">
        <v>934</v>
      </c>
      <c r="Q32" s="9" t="s">
        <v>935</v>
      </c>
      <c r="R32" s="9" t="s">
        <v>1026</v>
      </c>
      <c r="S32" s="9" t="s">
        <v>1027</v>
      </c>
      <c r="T32" s="9" t="s">
        <v>938</v>
      </c>
      <c r="U32" s="9" t="s">
        <v>1028</v>
      </c>
      <c r="V32" s="9" t="s">
        <v>1029</v>
      </c>
    </row>
    <row r="33" customFormat="false" ht="57.45" hidden="false" customHeight="false" outlineLevel="0" collapsed="false">
      <c r="A33" s="19" t="s">
        <v>1030</v>
      </c>
      <c r="B33" s="14" t="s">
        <v>1012</v>
      </c>
      <c r="C33" s="14" t="s">
        <v>953</v>
      </c>
      <c r="D33" s="14" t="s">
        <v>282</v>
      </c>
      <c r="E33" s="14" t="s">
        <v>1031</v>
      </c>
      <c r="F33" s="14" t="s">
        <v>1032</v>
      </c>
      <c r="G33" s="14" t="s">
        <v>49</v>
      </c>
      <c r="H33" s="14" t="s">
        <v>118</v>
      </c>
      <c r="I33" s="14" t="s">
        <v>41</v>
      </c>
      <c r="J33" s="14"/>
      <c r="K33" s="20" t="n">
        <v>1800</v>
      </c>
      <c r="L33" s="14" t="s">
        <v>1033</v>
      </c>
      <c r="M33" s="14" t="s">
        <v>1034</v>
      </c>
      <c r="N33" s="16" t="n">
        <v>2</v>
      </c>
      <c r="O33" s="14" t="s">
        <v>1035</v>
      </c>
      <c r="P33" s="14" t="s">
        <v>934</v>
      </c>
      <c r="Q33" s="14" t="s">
        <v>935</v>
      </c>
      <c r="R33" s="14" t="s">
        <v>1036</v>
      </c>
      <c r="S33" s="14" t="s">
        <v>1037</v>
      </c>
      <c r="T33" s="14" t="s">
        <v>938</v>
      </c>
      <c r="U33" s="14" t="s">
        <v>939</v>
      </c>
      <c r="V33" s="14" t="s">
        <v>1038</v>
      </c>
    </row>
    <row r="34" customFormat="false" ht="46.25" hidden="false" customHeight="false" outlineLevel="0" collapsed="false">
      <c r="A34" s="17" t="s">
        <v>1039</v>
      </c>
      <c r="B34" s="9" t="s">
        <v>1012</v>
      </c>
      <c r="C34" s="9" t="s">
        <v>953</v>
      </c>
      <c r="D34" s="9" t="s">
        <v>286</v>
      </c>
      <c r="E34" s="9" t="s">
        <v>1040</v>
      </c>
      <c r="F34" s="9" t="s">
        <v>1041</v>
      </c>
      <c r="G34" s="9" t="s">
        <v>49</v>
      </c>
      <c r="H34" s="9" t="s">
        <v>118</v>
      </c>
      <c r="I34" s="9" t="s">
        <v>41</v>
      </c>
      <c r="J34" s="9"/>
      <c r="K34" s="18" t="n">
        <v>2000</v>
      </c>
      <c r="L34" s="9" t="s">
        <v>1042</v>
      </c>
      <c r="M34" s="9" t="s">
        <v>1034</v>
      </c>
      <c r="N34" s="13" t="n">
        <v>2</v>
      </c>
      <c r="O34" s="9" t="s">
        <v>1043</v>
      </c>
      <c r="P34" s="9" t="s">
        <v>984</v>
      </c>
      <c r="Q34" s="9" t="s">
        <v>985</v>
      </c>
      <c r="R34" s="9" t="s">
        <v>1044</v>
      </c>
      <c r="S34" s="9" t="s">
        <v>1045</v>
      </c>
      <c r="T34" s="9" t="s">
        <v>988</v>
      </c>
      <c r="U34" s="9" t="s">
        <v>939</v>
      </c>
      <c r="V34" s="9" t="s">
        <v>1046</v>
      </c>
    </row>
    <row r="35" customFormat="false" ht="57.45" hidden="false" customHeight="false" outlineLevel="0" collapsed="false">
      <c r="A35" s="19" t="s">
        <v>1047</v>
      </c>
      <c r="B35" s="14" t="s">
        <v>1012</v>
      </c>
      <c r="C35" s="14" t="s">
        <v>928</v>
      </c>
      <c r="D35" s="14" t="s">
        <v>292</v>
      </c>
      <c r="E35" s="14" t="s">
        <v>1048</v>
      </c>
      <c r="F35" s="14" t="s">
        <v>834</v>
      </c>
      <c r="G35" s="14" t="s">
        <v>132</v>
      </c>
      <c r="H35" s="14" t="s">
        <v>118</v>
      </c>
      <c r="I35" s="14" t="s">
        <v>41</v>
      </c>
      <c r="J35" s="14"/>
      <c r="K35" s="20" t="n">
        <v>2800</v>
      </c>
      <c r="L35" s="14" t="s">
        <v>1049</v>
      </c>
      <c r="M35" s="14" t="s">
        <v>1050</v>
      </c>
      <c r="N35" s="16" t="n">
        <v>1</v>
      </c>
      <c r="O35" s="14" t="s">
        <v>1051</v>
      </c>
      <c r="P35" s="14" t="s">
        <v>1052</v>
      </c>
      <c r="Q35" s="14" t="s">
        <v>1053</v>
      </c>
      <c r="R35" s="14" t="s">
        <v>1054</v>
      </c>
      <c r="S35" s="14" t="s">
        <v>1055</v>
      </c>
      <c r="T35" s="14" t="s">
        <v>1056</v>
      </c>
      <c r="U35" s="14" t="s">
        <v>1028</v>
      </c>
      <c r="V35" s="14" t="s">
        <v>1057</v>
      </c>
    </row>
    <row r="36" customFormat="false" ht="57.45" hidden="false" customHeight="false" outlineLevel="0" collapsed="false">
      <c r="A36" s="17" t="s">
        <v>1058</v>
      </c>
      <c r="B36" s="9" t="s">
        <v>1012</v>
      </c>
      <c r="C36" s="9" t="s">
        <v>953</v>
      </c>
      <c r="D36" s="9" t="s">
        <v>297</v>
      </c>
      <c r="E36" s="9" t="s">
        <v>1059</v>
      </c>
      <c r="F36" s="9" t="s">
        <v>1060</v>
      </c>
      <c r="G36" s="9" t="s">
        <v>132</v>
      </c>
      <c r="H36" s="9" t="s">
        <v>118</v>
      </c>
      <c r="I36" s="9" t="s">
        <v>41</v>
      </c>
      <c r="J36" s="9"/>
      <c r="K36" s="18" t="n">
        <v>2200</v>
      </c>
      <c r="L36" s="9" t="s">
        <v>1061</v>
      </c>
      <c r="M36" s="9" t="s">
        <v>1034</v>
      </c>
      <c r="N36" s="13" t="n">
        <v>2</v>
      </c>
      <c r="O36" s="9" t="s">
        <v>1062</v>
      </c>
      <c r="P36" s="9" t="s">
        <v>1052</v>
      </c>
      <c r="Q36" s="9" t="s">
        <v>1053</v>
      </c>
      <c r="R36" s="9" t="s">
        <v>1063</v>
      </c>
      <c r="S36" s="9" t="s">
        <v>1064</v>
      </c>
      <c r="T36" s="9" t="s">
        <v>1056</v>
      </c>
      <c r="U36" s="9" t="s">
        <v>1028</v>
      </c>
      <c r="V36" s="9" t="s">
        <v>1065</v>
      </c>
    </row>
    <row r="37" customFormat="false" ht="57.45" hidden="false" customHeight="false" outlineLevel="0" collapsed="false">
      <c r="A37" s="19" t="s">
        <v>1066</v>
      </c>
      <c r="B37" s="14" t="s">
        <v>1012</v>
      </c>
      <c r="C37" s="14" t="s">
        <v>953</v>
      </c>
      <c r="D37" s="14" t="s">
        <v>300</v>
      </c>
      <c r="E37" s="14" t="s">
        <v>1067</v>
      </c>
      <c r="F37" s="14" t="s">
        <v>1068</v>
      </c>
      <c r="G37" s="14" t="s">
        <v>49</v>
      </c>
      <c r="H37" s="14" t="s">
        <v>118</v>
      </c>
      <c r="I37" s="14" t="s">
        <v>41</v>
      </c>
      <c r="J37" s="14"/>
      <c r="K37" s="20" t="n">
        <v>1800</v>
      </c>
      <c r="L37" s="14" t="s">
        <v>1069</v>
      </c>
      <c r="M37" s="14" t="s">
        <v>1034</v>
      </c>
      <c r="N37" s="16" t="n">
        <v>2</v>
      </c>
      <c r="O37" s="14" t="s">
        <v>1070</v>
      </c>
      <c r="P37" s="14" t="s">
        <v>946</v>
      </c>
      <c r="Q37" s="14" t="s">
        <v>947</v>
      </c>
      <c r="R37" s="14" t="s">
        <v>1071</v>
      </c>
      <c r="S37" s="14" t="s">
        <v>1072</v>
      </c>
      <c r="T37" s="14" t="s">
        <v>950</v>
      </c>
      <c r="U37" s="14" t="s">
        <v>963</v>
      </c>
      <c r="V37" s="14" t="s">
        <v>1073</v>
      </c>
    </row>
    <row r="38" customFormat="false" ht="46.25" hidden="false" customHeight="false" outlineLevel="0" collapsed="false">
      <c r="A38" s="17" t="s">
        <v>1074</v>
      </c>
      <c r="B38" s="9" t="s">
        <v>1012</v>
      </c>
      <c r="C38" s="9" t="s">
        <v>928</v>
      </c>
      <c r="D38" s="9" t="s">
        <v>150</v>
      </c>
      <c r="E38" s="9" t="s">
        <v>1075</v>
      </c>
      <c r="F38" s="9" t="s">
        <v>809</v>
      </c>
      <c r="G38" s="9" t="s">
        <v>39</v>
      </c>
      <c r="H38" s="9" t="s">
        <v>40</v>
      </c>
      <c r="I38" s="9" t="s">
        <v>41</v>
      </c>
      <c r="J38" s="9"/>
      <c r="K38" s="18" t="n">
        <v>2600</v>
      </c>
      <c r="L38" s="9" t="s">
        <v>1076</v>
      </c>
      <c r="M38" s="9" t="s">
        <v>1077</v>
      </c>
      <c r="N38" s="13" t="n">
        <v>1</v>
      </c>
      <c r="O38" s="9" t="s">
        <v>1078</v>
      </c>
      <c r="P38" s="9" t="s">
        <v>972</v>
      </c>
      <c r="Q38" s="9" t="s">
        <v>973</v>
      </c>
      <c r="R38" s="9" t="s">
        <v>1079</v>
      </c>
      <c r="S38" s="9" t="s">
        <v>1080</v>
      </c>
      <c r="T38" s="9" t="s">
        <v>976</v>
      </c>
      <c r="U38" s="9" t="s">
        <v>939</v>
      </c>
      <c r="V38" s="9" t="s">
        <v>1081</v>
      </c>
    </row>
    <row r="39" customFormat="false" ht="91" hidden="false" customHeight="false" outlineLevel="0" collapsed="false">
      <c r="A39" s="19" t="s">
        <v>1082</v>
      </c>
      <c r="B39" s="14" t="s">
        <v>1012</v>
      </c>
      <c r="C39" s="14" t="s">
        <v>966</v>
      </c>
      <c r="D39" s="14" t="s">
        <v>189</v>
      </c>
      <c r="E39" s="14" t="s">
        <v>1083</v>
      </c>
      <c r="F39" s="14" t="s">
        <v>867</v>
      </c>
      <c r="G39" s="14" t="s">
        <v>132</v>
      </c>
      <c r="H39" s="14" t="s">
        <v>118</v>
      </c>
      <c r="I39" s="14" t="s">
        <v>41</v>
      </c>
      <c r="J39" s="14"/>
      <c r="K39" s="20" t="n">
        <v>2400</v>
      </c>
      <c r="L39" s="14" t="s">
        <v>1084</v>
      </c>
      <c r="M39" s="14" t="s">
        <v>1085</v>
      </c>
      <c r="N39" s="16" t="n">
        <v>1</v>
      </c>
      <c r="O39" s="14" t="s">
        <v>1086</v>
      </c>
      <c r="P39" s="14" t="s">
        <v>946</v>
      </c>
      <c r="Q39" s="14" t="s">
        <v>947</v>
      </c>
      <c r="R39" s="14" t="s">
        <v>1087</v>
      </c>
      <c r="S39" s="14" t="s">
        <v>1088</v>
      </c>
      <c r="T39" s="14" t="s">
        <v>950</v>
      </c>
      <c r="U39" s="14" t="s">
        <v>1089</v>
      </c>
      <c r="V39" s="14" t="s">
        <v>1090</v>
      </c>
    </row>
    <row r="40" customFormat="false" ht="57.45" hidden="false" customHeight="false" outlineLevel="0" collapsed="false">
      <c r="A40" s="17" t="s">
        <v>1091</v>
      </c>
      <c r="B40" s="9" t="s">
        <v>1012</v>
      </c>
      <c r="C40" s="9" t="s">
        <v>966</v>
      </c>
      <c r="D40" s="9" t="s">
        <v>165</v>
      </c>
      <c r="E40" s="9" t="s">
        <v>1092</v>
      </c>
      <c r="F40" s="9" t="s">
        <v>1093</v>
      </c>
      <c r="G40" s="9" t="s">
        <v>49</v>
      </c>
      <c r="H40" s="9" t="s">
        <v>118</v>
      </c>
      <c r="I40" s="9" t="s">
        <v>41</v>
      </c>
      <c r="J40" s="9"/>
      <c r="K40" s="18" t="n">
        <v>1600</v>
      </c>
      <c r="L40" s="9" t="s">
        <v>1094</v>
      </c>
      <c r="M40" s="9" t="s">
        <v>1085</v>
      </c>
      <c r="N40" s="13" t="n">
        <v>2</v>
      </c>
      <c r="O40" s="9" t="s">
        <v>1095</v>
      </c>
      <c r="P40" s="9" t="s">
        <v>946</v>
      </c>
      <c r="Q40" s="9" t="s">
        <v>947</v>
      </c>
      <c r="R40" s="9" t="s">
        <v>1096</v>
      </c>
      <c r="S40" s="9" t="s">
        <v>1097</v>
      </c>
      <c r="T40" s="9" t="s">
        <v>950</v>
      </c>
      <c r="U40" s="9" t="s">
        <v>939</v>
      </c>
      <c r="V40" s="9" t="s">
        <v>1098</v>
      </c>
    </row>
    <row r="41" customFormat="false" ht="46.25" hidden="false" customHeight="false" outlineLevel="0" collapsed="false">
      <c r="A41" s="19" t="s">
        <v>1099</v>
      </c>
      <c r="B41" s="14" t="s">
        <v>1012</v>
      </c>
      <c r="C41" s="14" t="s">
        <v>966</v>
      </c>
      <c r="D41" s="14" t="s">
        <v>158</v>
      </c>
      <c r="E41" s="14" t="s">
        <v>1100</v>
      </c>
      <c r="F41" s="14" t="s">
        <v>161</v>
      </c>
      <c r="G41" s="14" t="s">
        <v>39</v>
      </c>
      <c r="H41" s="14" t="s">
        <v>58</v>
      </c>
      <c r="I41" s="14" t="s">
        <v>41</v>
      </c>
      <c r="J41" s="14"/>
      <c r="K41" s="20" t="n">
        <v>1200</v>
      </c>
      <c r="L41" s="14" t="s">
        <v>1101</v>
      </c>
      <c r="M41" s="14" t="s">
        <v>1102</v>
      </c>
      <c r="N41" s="16" t="n">
        <v>2</v>
      </c>
      <c r="O41" s="14" t="s">
        <v>1103</v>
      </c>
      <c r="P41" s="14" t="s">
        <v>1104</v>
      </c>
      <c r="Q41" s="14" t="s">
        <v>1105</v>
      </c>
      <c r="R41" s="14" t="s">
        <v>1106</v>
      </c>
      <c r="S41" s="14" t="s">
        <v>1107</v>
      </c>
      <c r="T41" s="14" t="s">
        <v>1108</v>
      </c>
      <c r="U41" s="14" t="s">
        <v>939</v>
      </c>
      <c r="V41" s="14" t="s">
        <v>1109</v>
      </c>
    </row>
    <row r="42" customFormat="false" ht="46.25" hidden="false" customHeight="false" outlineLevel="0" collapsed="false">
      <c r="A42" s="17" t="s">
        <v>1110</v>
      </c>
      <c r="B42" s="9" t="s">
        <v>1012</v>
      </c>
      <c r="C42" s="9" t="s">
        <v>953</v>
      </c>
      <c r="D42" s="9" t="s">
        <v>211</v>
      </c>
      <c r="E42" s="9" t="s">
        <v>1111</v>
      </c>
      <c r="F42" s="9" t="s">
        <v>811</v>
      </c>
      <c r="G42" s="9" t="s">
        <v>49</v>
      </c>
      <c r="H42" s="9" t="s">
        <v>68</v>
      </c>
      <c r="I42" s="9" t="s">
        <v>41</v>
      </c>
      <c r="J42" s="9"/>
      <c r="K42" s="18" t="n">
        <v>1800</v>
      </c>
      <c r="L42" s="9" t="s">
        <v>1112</v>
      </c>
      <c r="M42" s="9" t="s">
        <v>1034</v>
      </c>
      <c r="N42" s="13" t="n">
        <v>2</v>
      </c>
      <c r="O42" s="9" t="s">
        <v>1113</v>
      </c>
      <c r="P42" s="9" t="s">
        <v>972</v>
      </c>
      <c r="Q42" s="9" t="s">
        <v>973</v>
      </c>
      <c r="R42" s="9" t="s">
        <v>1114</v>
      </c>
      <c r="S42" s="9" t="s">
        <v>1115</v>
      </c>
      <c r="T42" s="9" t="s">
        <v>976</v>
      </c>
      <c r="U42" s="9" t="s">
        <v>939</v>
      </c>
      <c r="V42" s="9" t="s">
        <v>1116</v>
      </c>
    </row>
    <row r="43" customFormat="false" ht="57.45" hidden="false" customHeight="false" outlineLevel="0" collapsed="false">
      <c r="A43" s="19" t="s">
        <v>1117</v>
      </c>
      <c r="B43" s="14" t="s">
        <v>1012</v>
      </c>
      <c r="C43" s="14" t="s">
        <v>953</v>
      </c>
      <c r="D43" s="14" t="s">
        <v>124</v>
      </c>
      <c r="E43" s="14" t="s">
        <v>1118</v>
      </c>
      <c r="F43" s="14" t="s">
        <v>875</v>
      </c>
      <c r="G43" s="14" t="s">
        <v>49</v>
      </c>
      <c r="H43" s="14" t="s">
        <v>118</v>
      </c>
      <c r="I43" s="14" t="s">
        <v>41</v>
      </c>
      <c r="J43" s="14"/>
      <c r="K43" s="20" t="n">
        <v>2000</v>
      </c>
      <c r="L43" s="14" t="s">
        <v>1119</v>
      </c>
      <c r="M43" s="14" t="s">
        <v>1034</v>
      </c>
      <c r="N43" s="16" t="n">
        <v>1</v>
      </c>
      <c r="O43" s="14" t="s">
        <v>1120</v>
      </c>
      <c r="P43" s="14" t="s">
        <v>946</v>
      </c>
      <c r="Q43" s="14" t="s">
        <v>947</v>
      </c>
      <c r="R43" s="14" t="s">
        <v>1121</v>
      </c>
      <c r="S43" s="14" t="s">
        <v>1122</v>
      </c>
      <c r="T43" s="14" t="s">
        <v>950</v>
      </c>
      <c r="U43" s="14" t="s">
        <v>939</v>
      </c>
      <c r="V43" s="14" t="s">
        <v>1123</v>
      </c>
    </row>
    <row r="44" customFormat="false" ht="57.45" hidden="false" customHeight="false" outlineLevel="0" collapsed="false">
      <c r="A44" s="17" t="s">
        <v>1124</v>
      </c>
      <c r="B44" s="9" t="s">
        <v>1012</v>
      </c>
      <c r="C44" s="9" t="s">
        <v>953</v>
      </c>
      <c r="D44" s="9" t="s">
        <v>126</v>
      </c>
      <c r="E44" s="9" t="s">
        <v>1125</v>
      </c>
      <c r="F44" s="9" t="s">
        <v>866</v>
      </c>
      <c r="G44" s="9" t="s">
        <v>49</v>
      </c>
      <c r="H44" s="9" t="s">
        <v>68</v>
      </c>
      <c r="I44" s="9" t="s">
        <v>41</v>
      </c>
      <c r="J44" s="9"/>
      <c r="K44" s="18" t="n">
        <v>2200</v>
      </c>
      <c r="L44" s="9" t="s">
        <v>1126</v>
      </c>
      <c r="M44" s="9" t="s">
        <v>1034</v>
      </c>
      <c r="N44" s="13" t="n">
        <v>2</v>
      </c>
      <c r="O44" s="9" t="s">
        <v>1127</v>
      </c>
      <c r="P44" s="9" t="s">
        <v>946</v>
      </c>
      <c r="Q44" s="9" t="s">
        <v>947</v>
      </c>
      <c r="R44" s="9" t="s">
        <v>1128</v>
      </c>
      <c r="S44" s="9" t="s">
        <v>1129</v>
      </c>
      <c r="T44" s="9" t="s">
        <v>950</v>
      </c>
      <c r="U44" s="9" t="s">
        <v>1130</v>
      </c>
      <c r="V44" s="9" t="s">
        <v>1131</v>
      </c>
    </row>
    <row r="45" customFormat="false" ht="57.45" hidden="false" customHeight="false" outlineLevel="0" collapsed="false">
      <c r="A45" s="19" t="s">
        <v>1132</v>
      </c>
      <c r="B45" s="14" t="s">
        <v>1012</v>
      </c>
      <c r="C45" s="14" t="s">
        <v>67</v>
      </c>
      <c r="D45" s="14" t="s">
        <v>220</v>
      </c>
      <c r="E45" s="14" t="s">
        <v>1133</v>
      </c>
      <c r="F45" s="14" t="s">
        <v>816</v>
      </c>
      <c r="G45" s="14" t="s">
        <v>67</v>
      </c>
      <c r="H45" s="14" t="s">
        <v>118</v>
      </c>
      <c r="I45" s="14" t="s">
        <v>41</v>
      </c>
      <c r="J45" s="14"/>
      <c r="K45" s="20" t="n">
        <v>2600</v>
      </c>
      <c r="L45" s="14" t="s">
        <v>1134</v>
      </c>
      <c r="M45" s="14" t="s">
        <v>1135</v>
      </c>
      <c r="N45" s="16" t="n">
        <v>1</v>
      </c>
      <c r="O45" s="14" t="s">
        <v>1136</v>
      </c>
      <c r="P45" s="14" t="s">
        <v>1104</v>
      </c>
      <c r="Q45" s="14" t="s">
        <v>1105</v>
      </c>
      <c r="R45" s="14" t="s">
        <v>1137</v>
      </c>
      <c r="S45" s="14" t="s">
        <v>1138</v>
      </c>
      <c r="T45" s="14" t="s">
        <v>1108</v>
      </c>
      <c r="U45" s="14" t="s">
        <v>1139</v>
      </c>
      <c r="V45" s="14" t="s">
        <v>1140</v>
      </c>
    </row>
    <row r="46" customFormat="false" ht="57.45" hidden="false" customHeight="false" outlineLevel="0" collapsed="false">
      <c r="A46" s="17" t="s">
        <v>1141</v>
      </c>
      <c r="B46" s="9" t="s">
        <v>1142</v>
      </c>
      <c r="C46" s="9" t="s">
        <v>928</v>
      </c>
      <c r="D46" s="9" t="s">
        <v>323</v>
      </c>
      <c r="E46" s="9" t="s">
        <v>1143</v>
      </c>
      <c r="F46" s="9" t="s">
        <v>821</v>
      </c>
      <c r="G46" s="9" t="s">
        <v>117</v>
      </c>
      <c r="H46" s="9" t="s">
        <v>118</v>
      </c>
      <c r="I46" s="9" t="s">
        <v>41</v>
      </c>
      <c r="J46" s="9"/>
      <c r="K46" s="18" t="n">
        <v>2400</v>
      </c>
      <c r="L46" s="9" t="s">
        <v>1144</v>
      </c>
      <c r="M46" s="9" t="s">
        <v>1145</v>
      </c>
      <c r="N46" s="13" t="n">
        <v>1</v>
      </c>
      <c r="O46" s="9" t="s">
        <v>1146</v>
      </c>
      <c r="P46" s="9" t="s">
        <v>958</v>
      </c>
      <c r="Q46" s="9" t="s">
        <v>959</v>
      </c>
      <c r="R46" s="9" t="s">
        <v>1147</v>
      </c>
      <c r="S46" s="9" t="s">
        <v>1148</v>
      </c>
      <c r="T46" s="9" t="s">
        <v>962</v>
      </c>
      <c r="U46" s="9" t="s">
        <v>963</v>
      </c>
      <c r="V46" s="9" t="s">
        <v>1149</v>
      </c>
    </row>
    <row r="47" customFormat="false" ht="91" hidden="false" customHeight="false" outlineLevel="0" collapsed="false">
      <c r="A47" s="19" t="s">
        <v>1150</v>
      </c>
      <c r="B47" s="14" t="s">
        <v>1142</v>
      </c>
      <c r="C47" s="14" t="s">
        <v>928</v>
      </c>
      <c r="D47" s="14" t="s">
        <v>347</v>
      </c>
      <c r="E47" s="14" t="s">
        <v>1151</v>
      </c>
      <c r="F47" s="14" t="s">
        <v>843</v>
      </c>
      <c r="G47" s="14" t="s">
        <v>117</v>
      </c>
      <c r="H47" s="14" t="s">
        <v>118</v>
      </c>
      <c r="I47" s="14" t="s">
        <v>41</v>
      </c>
      <c r="J47" s="14"/>
      <c r="K47" s="20" t="n">
        <v>2600</v>
      </c>
      <c r="L47" s="14" t="s">
        <v>1152</v>
      </c>
      <c r="M47" s="14" t="s">
        <v>1153</v>
      </c>
      <c r="N47" s="16" t="n">
        <v>1</v>
      </c>
      <c r="O47" s="14" t="s">
        <v>1154</v>
      </c>
      <c r="P47" s="14" t="s">
        <v>958</v>
      </c>
      <c r="Q47" s="14" t="s">
        <v>959</v>
      </c>
      <c r="R47" s="14" t="s">
        <v>1155</v>
      </c>
      <c r="S47" s="14" t="s">
        <v>1156</v>
      </c>
      <c r="T47" s="14" t="s">
        <v>962</v>
      </c>
      <c r="U47" s="14" t="s">
        <v>1157</v>
      </c>
      <c r="V47" s="14" t="s">
        <v>1158</v>
      </c>
    </row>
    <row r="48" customFormat="false" ht="113.4" hidden="false" customHeight="false" outlineLevel="0" collapsed="false">
      <c r="A48" s="17" t="s">
        <v>1159</v>
      </c>
      <c r="B48" s="9" t="s">
        <v>1142</v>
      </c>
      <c r="C48" s="9" t="s">
        <v>1160</v>
      </c>
      <c r="D48" s="9" t="s">
        <v>349</v>
      </c>
      <c r="E48" s="9" t="s">
        <v>1161</v>
      </c>
      <c r="F48" s="9" t="s">
        <v>843</v>
      </c>
      <c r="G48" s="9" t="s">
        <v>117</v>
      </c>
      <c r="H48" s="9" t="s">
        <v>118</v>
      </c>
      <c r="I48" s="9" t="s">
        <v>41</v>
      </c>
      <c r="J48" s="9"/>
      <c r="K48" s="18" t="n">
        <v>1200</v>
      </c>
      <c r="L48" s="9" t="s">
        <v>1162</v>
      </c>
      <c r="M48" s="9" t="s">
        <v>1163</v>
      </c>
      <c r="N48" s="13" t="n">
        <v>1</v>
      </c>
      <c r="O48" s="9" t="s">
        <v>1164</v>
      </c>
      <c r="P48" s="9" t="s">
        <v>958</v>
      </c>
      <c r="Q48" s="9" t="s">
        <v>959</v>
      </c>
      <c r="R48" s="9" t="s">
        <v>1165</v>
      </c>
      <c r="S48" s="9" t="s">
        <v>1166</v>
      </c>
      <c r="T48" s="9" t="s">
        <v>962</v>
      </c>
      <c r="U48" s="9" t="s">
        <v>1167</v>
      </c>
      <c r="V48" s="9" t="s">
        <v>1168</v>
      </c>
    </row>
    <row r="49" customFormat="false" ht="57.45" hidden="false" customHeight="false" outlineLevel="0" collapsed="false">
      <c r="A49" s="19" t="s">
        <v>1169</v>
      </c>
      <c r="B49" s="14" t="s">
        <v>1142</v>
      </c>
      <c r="C49" s="14" t="s">
        <v>966</v>
      </c>
      <c r="D49" s="14" t="s">
        <v>361</v>
      </c>
      <c r="E49" s="14" t="s">
        <v>1170</v>
      </c>
      <c r="F49" s="14" t="s">
        <v>837</v>
      </c>
      <c r="G49" s="14" t="s">
        <v>132</v>
      </c>
      <c r="H49" s="14" t="s">
        <v>118</v>
      </c>
      <c r="I49" s="14" t="s">
        <v>41</v>
      </c>
      <c r="J49" s="14"/>
      <c r="K49" s="20" t="n">
        <v>2200</v>
      </c>
      <c r="L49" s="14" t="s">
        <v>1171</v>
      </c>
      <c r="M49" s="14" t="s">
        <v>1172</v>
      </c>
      <c r="N49" s="16" t="n">
        <v>1</v>
      </c>
      <c r="O49" s="14" t="s">
        <v>1173</v>
      </c>
      <c r="P49" s="14" t="s">
        <v>972</v>
      </c>
      <c r="Q49" s="14" t="s">
        <v>973</v>
      </c>
      <c r="R49" s="14" t="s">
        <v>1174</v>
      </c>
      <c r="S49" s="14" t="s">
        <v>1175</v>
      </c>
      <c r="T49" s="14" t="s">
        <v>976</v>
      </c>
      <c r="U49" s="14" t="s">
        <v>963</v>
      </c>
      <c r="V49" s="14" t="s">
        <v>1176</v>
      </c>
    </row>
    <row r="50" customFormat="false" ht="68.65" hidden="false" customHeight="false" outlineLevel="0" collapsed="false">
      <c r="A50" s="17" t="s">
        <v>1177</v>
      </c>
      <c r="B50" s="9" t="s">
        <v>1142</v>
      </c>
      <c r="C50" s="9" t="s">
        <v>928</v>
      </c>
      <c r="D50" s="9" t="s">
        <v>334</v>
      </c>
      <c r="E50" s="9" t="s">
        <v>1178</v>
      </c>
      <c r="F50" s="9" t="s">
        <v>802</v>
      </c>
      <c r="G50" s="9" t="s">
        <v>117</v>
      </c>
      <c r="H50" s="9" t="s">
        <v>58</v>
      </c>
      <c r="I50" s="9" t="s">
        <v>41</v>
      </c>
      <c r="J50" s="9"/>
      <c r="K50" s="18" t="n">
        <v>2000</v>
      </c>
      <c r="L50" s="9" t="s">
        <v>1179</v>
      </c>
      <c r="M50" s="9" t="s">
        <v>1180</v>
      </c>
      <c r="N50" s="13" t="n">
        <v>1</v>
      </c>
      <c r="O50" s="9" t="s">
        <v>1181</v>
      </c>
      <c r="P50" s="9" t="s">
        <v>995</v>
      </c>
      <c r="Q50" s="9" t="s">
        <v>996</v>
      </c>
      <c r="R50" s="9" t="s">
        <v>1182</v>
      </c>
      <c r="S50" s="9" t="s">
        <v>1183</v>
      </c>
      <c r="T50" s="9" t="s">
        <v>999</v>
      </c>
      <c r="U50" s="9" t="s">
        <v>1184</v>
      </c>
      <c r="V50" s="9" t="s">
        <v>1073</v>
      </c>
    </row>
    <row r="51" customFormat="false" ht="68.65" hidden="false" customHeight="false" outlineLevel="0" collapsed="false">
      <c r="A51" s="19" t="s">
        <v>1185</v>
      </c>
      <c r="B51" s="14" t="s">
        <v>1142</v>
      </c>
      <c r="C51" s="14" t="s">
        <v>1160</v>
      </c>
      <c r="D51" s="14" t="s">
        <v>352</v>
      </c>
      <c r="E51" s="14" t="s">
        <v>1186</v>
      </c>
      <c r="F51" s="14" t="s">
        <v>808</v>
      </c>
      <c r="G51" s="14" t="s">
        <v>117</v>
      </c>
      <c r="H51" s="14" t="s">
        <v>173</v>
      </c>
      <c r="I51" s="14" t="s">
        <v>41</v>
      </c>
      <c r="J51" s="14"/>
      <c r="K51" s="20" t="n">
        <v>1600</v>
      </c>
      <c r="L51" s="14" t="s">
        <v>1187</v>
      </c>
      <c r="M51" s="14" t="s">
        <v>1188</v>
      </c>
      <c r="N51" s="16" t="n">
        <v>2</v>
      </c>
      <c r="O51" s="14" t="s">
        <v>1189</v>
      </c>
      <c r="P51" s="14" t="s">
        <v>958</v>
      </c>
      <c r="Q51" s="14" t="s">
        <v>959</v>
      </c>
      <c r="R51" s="14" t="s">
        <v>1190</v>
      </c>
      <c r="S51" s="14" t="s">
        <v>1191</v>
      </c>
      <c r="T51" s="14" t="s">
        <v>962</v>
      </c>
      <c r="U51" s="14" t="s">
        <v>1192</v>
      </c>
      <c r="V51" s="14" t="s">
        <v>1193</v>
      </c>
    </row>
    <row r="52" customFormat="false" ht="57.45" hidden="false" customHeight="false" outlineLevel="0" collapsed="false">
      <c r="A52" s="17" t="s">
        <v>1194</v>
      </c>
      <c r="B52" s="9" t="s">
        <v>1142</v>
      </c>
      <c r="C52" s="9" t="s">
        <v>953</v>
      </c>
      <c r="D52" s="9" t="s">
        <v>370</v>
      </c>
      <c r="E52" s="9" t="s">
        <v>1195</v>
      </c>
      <c r="F52" s="9" t="s">
        <v>849</v>
      </c>
      <c r="G52" s="9" t="s">
        <v>132</v>
      </c>
      <c r="H52" s="9" t="s">
        <v>118</v>
      </c>
      <c r="I52" s="9" t="s">
        <v>41</v>
      </c>
      <c r="J52" s="9"/>
      <c r="K52" s="18" t="n">
        <v>2000</v>
      </c>
      <c r="L52" s="9" t="s">
        <v>1196</v>
      </c>
      <c r="M52" s="9" t="s">
        <v>1197</v>
      </c>
      <c r="N52" s="13" t="n">
        <v>2</v>
      </c>
      <c r="O52" s="9" t="s">
        <v>1198</v>
      </c>
      <c r="P52" s="9" t="s">
        <v>946</v>
      </c>
      <c r="Q52" s="9" t="s">
        <v>947</v>
      </c>
      <c r="R52" s="9" t="s">
        <v>1199</v>
      </c>
      <c r="S52" s="9" t="s">
        <v>1200</v>
      </c>
      <c r="T52" s="9" t="s">
        <v>950</v>
      </c>
      <c r="U52" s="9" t="s">
        <v>939</v>
      </c>
      <c r="V52" s="9" t="s">
        <v>1201</v>
      </c>
    </row>
    <row r="53" customFormat="false" ht="57.45" hidden="false" customHeight="false" outlineLevel="0" collapsed="false">
      <c r="A53" s="19" t="s">
        <v>1202</v>
      </c>
      <c r="B53" s="14" t="s">
        <v>1142</v>
      </c>
      <c r="C53" s="14" t="s">
        <v>966</v>
      </c>
      <c r="D53" s="14" t="s">
        <v>379</v>
      </c>
      <c r="E53" s="14" t="s">
        <v>1203</v>
      </c>
      <c r="F53" s="14" t="s">
        <v>822</v>
      </c>
      <c r="G53" s="14" t="s">
        <v>132</v>
      </c>
      <c r="H53" s="14" t="s">
        <v>118</v>
      </c>
      <c r="I53" s="14" t="s">
        <v>41</v>
      </c>
      <c r="J53" s="14"/>
      <c r="K53" s="20" t="n">
        <v>1400</v>
      </c>
      <c r="L53" s="14" t="s">
        <v>1204</v>
      </c>
      <c r="M53" s="14" t="s">
        <v>1205</v>
      </c>
      <c r="N53" s="16" t="n">
        <v>2</v>
      </c>
      <c r="O53" s="14" t="s">
        <v>1206</v>
      </c>
      <c r="P53" s="14" t="s">
        <v>958</v>
      </c>
      <c r="Q53" s="14" t="s">
        <v>959</v>
      </c>
      <c r="R53" s="14" t="s">
        <v>1207</v>
      </c>
      <c r="S53" s="14" t="s">
        <v>1208</v>
      </c>
      <c r="T53" s="14" t="s">
        <v>962</v>
      </c>
      <c r="U53" s="14" t="s">
        <v>963</v>
      </c>
      <c r="V53" s="14" t="s">
        <v>1209</v>
      </c>
    </row>
    <row r="54" customFormat="false" ht="68.65" hidden="false" customHeight="false" outlineLevel="0" collapsed="false">
      <c r="A54" s="17" t="s">
        <v>1210</v>
      </c>
      <c r="B54" s="9" t="s">
        <v>1142</v>
      </c>
      <c r="C54" s="9" t="s">
        <v>966</v>
      </c>
      <c r="D54" s="9" t="s">
        <v>381</v>
      </c>
      <c r="E54" s="9" t="s">
        <v>1211</v>
      </c>
      <c r="F54" s="9" t="s">
        <v>876</v>
      </c>
      <c r="G54" s="9" t="s">
        <v>132</v>
      </c>
      <c r="H54" s="9" t="s">
        <v>118</v>
      </c>
      <c r="I54" s="9" t="s">
        <v>41</v>
      </c>
      <c r="J54" s="9"/>
      <c r="K54" s="18" t="n">
        <v>1800</v>
      </c>
      <c r="L54" s="9" t="s">
        <v>1212</v>
      </c>
      <c r="M54" s="9" t="s">
        <v>1205</v>
      </c>
      <c r="N54" s="13" t="n">
        <v>1</v>
      </c>
      <c r="O54" s="9" t="s">
        <v>1213</v>
      </c>
      <c r="P54" s="9" t="s">
        <v>934</v>
      </c>
      <c r="Q54" s="9" t="s">
        <v>935</v>
      </c>
      <c r="R54" s="9" t="s">
        <v>1214</v>
      </c>
      <c r="S54" s="9" t="s">
        <v>1215</v>
      </c>
      <c r="T54" s="9" t="s">
        <v>938</v>
      </c>
      <c r="U54" s="9" t="s">
        <v>1216</v>
      </c>
      <c r="V54" s="9" t="s">
        <v>1217</v>
      </c>
    </row>
    <row r="55" customFormat="false" ht="57.45" hidden="false" customHeight="false" outlineLevel="0" collapsed="false">
      <c r="A55" s="19" t="s">
        <v>1218</v>
      </c>
      <c r="B55" s="14" t="s">
        <v>1219</v>
      </c>
      <c r="C55" s="14" t="s">
        <v>67</v>
      </c>
      <c r="D55" s="14" t="s">
        <v>594</v>
      </c>
      <c r="E55" s="14" t="s">
        <v>1220</v>
      </c>
      <c r="F55" s="14" t="s">
        <v>853</v>
      </c>
      <c r="G55" s="14" t="s">
        <v>67</v>
      </c>
      <c r="H55" s="14" t="s">
        <v>118</v>
      </c>
      <c r="I55" s="14" t="s">
        <v>41</v>
      </c>
      <c r="J55" s="14"/>
      <c r="K55" s="20" t="n">
        <v>2600</v>
      </c>
      <c r="L55" s="14" t="s">
        <v>1221</v>
      </c>
      <c r="M55" s="14" t="s">
        <v>1222</v>
      </c>
      <c r="N55" s="16" t="n">
        <v>1</v>
      </c>
      <c r="O55" s="14" t="s">
        <v>1223</v>
      </c>
      <c r="P55" s="14" t="s">
        <v>1104</v>
      </c>
      <c r="Q55" s="14" t="s">
        <v>1105</v>
      </c>
      <c r="R55" s="14" t="s">
        <v>1224</v>
      </c>
      <c r="S55" s="14" t="s">
        <v>1225</v>
      </c>
      <c r="T55" s="14" t="s">
        <v>1108</v>
      </c>
      <c r="U55" s="14" t="s">
        <v>1139</v>
      </c>
      <c r="V55" s="14" t="s">
        <v>1226</v>
      </c>
    </row>
    <row r="56" customFormat="false" ht="79.85" hidden="false" customHeight="false" outlineLevel="0" collapsed="false">
      <c r="A56" s="17" t="s">
        <v>1227</v>
      </c>
      <c r="B56" s="9" t="s">
        <v>1219</v>
      </c>
      <c r="C56" s="9" t="s">
        <v>67</v>
      </c>
      <c r="D56" s="9" t="s">
        <v>596</v>
      </c>
      <c r="E56" s="9" t="s">
        <v>1228</v>
      </c>
      <c r="F56" s="9" t="s">
        <v>826</v>
      </c>
      <c r="G56" s="9" t="s">
        <v>67</v>
      </c>
      <c r="H56" s="9" t="s">
        <v>58</v>
      </c>
      <c r="I56" s="9" t="s">
        <v>41</v>
      </c>
      <c r="J56" s="9"/>
      <c r="K56" s="18" t="n">
        <v>2400</v>
      </c>
      <c r="L56" s="9" t="s">
        <v>1229</v>
      </c>
      <c r="M56" s="9" t="s">
        <v>1230</v>
      </c>
      <c r="N56" s="13" t="n">
        <v>1</v>
      </c>
      <c r="O56" s="9" t="s">
        <v>1231</v>
      </c>
      <c r="P56" s="9" t="s">
        <v>1104</v>
      </c>
      <c r="Q56" s="9" t="s">
        <v>1105</v>
      </c>
      <c r="R56" s="9" t="s">
        <v>1232</v>
      </c>
      <c r="S56" s="9" t="s">
        <v>1233</v>
      </c>
      <c r="T56" s="9" t="s">
        <v>1108</v>
      </c>
      <c r="U56" s="9" t="s">
        <v>1234</v>
      </c>
      <c r="V56" s="9" t="s">
        <v>1235</v>
      </c>
    </row>
    <row r="57" customFormat="false" ht="57.45" hidden="false" customHeight="false" outlineLevel="0" collapsed="false">
      <c r="A57" s="19" t="s">
        <v>1236</v>
      </c>
      <c r="B57" s="14" t="s">
        <v>1219</v>
      </c>
      <c r="C57" s="14" t="s">
        <v>67</v>
      </c>
      <c r="D57" s="14" t="s">
        <v>601</v>
      </c>
      <c r="E57" s="14" t="s">
        <v>1237</v>
      </c>
      <c r="F57" s="14" t="s">
        <v>858</v>
      </c>
      <c r="G57" s="14" t="s">
        <v>67</v>
      </c>
      <c r="H57" s="14" t="s">
        <v>118</v>
      </c>
      <c r="I57" s="14" t="s">
        <v>41</v>
      </c>
      <c r="J57" s="14"/>
      <c r="K57" s="20" t="n">
        <v>2400</v>
      </c>
      <c r="L57" s="14" t="s">
        <v>1238</v>
      </c>
      <c r="M57" s="14" t="s">
        <v>1239</v>
      </c>
      <c r="N57" s="16" t="n">
        <v>1</v>
      </c>
      <c r="O57" s="14" t="s">
        <v>1240</v>
      </c>
      <c r="P57" s="14" t="s">
        <v>1104</v>
      </c>
      <c r="Q57" s="14" t="s">
        <v>1105</v>
      </c>
      <c r="R57" s="14" t="s">
        <v>1241</v>
      </c>
      <c r="S57" s="14" t="s">
        <v>1242</v>
      </c>
      <c r="T57" s="14" t="s">
        <v>1108</v>
      </c>
      <c r="U57" s="14" t="s">
        <v>1139</v>
      </c>
      <c r="V57" s="14" t="s">
        <v>1243</v>
      </c>
    </row>
    <row r="58" customFormat="false" ht="102.2" hidden="false" customHeight="false" outlineLevel="0" collapsed="false">
      <c r="A58" s="17" t="s">
        <v>1244</v>
      </c>
      <c r="B58" s="9" t="s">
        <v>1219</v>
      </c>
      <c r="C58" s="9" t="s">
        <v>67</v>
      </c>
      <c r="D58" s="9" t="s">
        <v>604</v>
      </c>
      <c r="E58" s="9" t="s">
        <v>1245</v>
      </c>
      <c r="F58" s="9" t="s">
        <v>1246</v>
      </c>
      <c r="G58" s="9" t="s">
        <v>67</v>
      </c>
      <c r="H58" s="9" t="s">
        <v>118</v>
      </c>
      <c r="I58" s="9" t="s">
        <v>41</v>
      </c>
      <c r="J58" s="9"/>
      <c r="K58" s="18" t="n">
        <v>2200</v>
      </c>
      <c r="L58" s="9" t="s">
        <v>1247</v>
      </c>
      <c r="M58" s="9" t="s">
        <v>1239</v>
      </c>
      <c r="N58" s="13" t="n">
        <v>2</v>
      </c>
      <c r="O58" s="9" t="s">
        <v>1248</v>
      </c>
      <c r="P58" s="9" t="s">
        <v>1104</v>
      </c>
      <c r="Q58" s="9" t="s">
        <v>1105</v>
      </c>
      <c r="R58" s="9" t="s">
        <v>1249</v>
      </c>
      <c r="S58" s="9" t="s">
        <v>1250</v>
      </c>
      <c r="T58" s="9" t="s">
        <v>1108</v>
      </c>
      <c r="U58" s="9" t="s">
        <v>1251</v>
      </c>
      <c r="V58" s="9" t="s">
        <v>1252</v>
      </c>
    </row>
    <row r="59" customFormat="false" ht="57.45" hidden="false" customHeight="false" outlineLevel="0" collapsed="false">
      <c r="A59" s="19" t="s">
        <v>1253</v>
      </c>
      <c r="B59" s="14" t="s">
        <v>1219</v>
      </c>
      <c r="C59" s="14" t="s">
        <v>67</v>
      </c>
      <c r="D59" s="14" t="s">
        <v>609</v>
      </c>
      <c r="E59" s="14" t="s">
        <v>1254</v>
      </c>
      <c r="F59" s="14" t="s">
        <v>857</v>
      </c>
      <c r="G59" s="14" t="s">
        <v>67</v>
      </c>
      <c r="H59" s="14" t="s">
        <v>118</v>
      </c>
      <c r="I59" s="14" t="s">
        <v>41</v>
      </c>
      <c r="J59" s="14"/>
      <c r="K59" s="20" t="n">
        <v>2400</v>
      </c>
      <c r="L59" s="14" t="s">
        <v>1255</v>
      </c>
      <c r="M59" s="14" t="s">
        <v>1256</v>
      </c>
      <c r="N59" s="16" t="n">
        <v>1</v>
      </c>
      <c r="O59" s="14" t="s">
        <v>1257</v>
      </c>
      <c r="P59" s="14" t="s">
        <v>1104</v>
      </c>
      <c r="Q59" s="14" t="s">
        <v>1105</v>
      </c>
      <c r="R59" s="14" t="s">
        <v>1258</v>
      </c>
      <c r="S59" s="14" t="s">
        <v>1259</v>
      </c>
      <c r="T59" s="14" t="s">
        <v>1108</v>
      </c>
      <c r="U59" s="14" t="s">
        <v>1139</v>
      </c>
      <c r="V59" s="14" t="s">
        <v>1260</v>
      </c>
    </row>
    <row r="60" customFormat="false" ht="57.45" hidden="false" customHeight="false" outlineLevel="0" collapsed="false">
      <c r="A60" s="17" t="s">
        <v>1261</v>
      </c>
      <c r="B60" s="9" t="s">
        <v>1219</v>
      </c>
      <c r="C60" s="9" t="s">
        <v>67</v>
      </c>
      <c r="D60" s="9" t="s">
        <v>611</v>
      </c>
      <c r="E60" s="9" t="s">
        <v>1262</v>
      </c>
      <c r="F60" s="9" t="s">
        <v>855</v>
      </c>
      <c r="G60" s="9" t="s">
        <v>67</v>
      </c>
      <c r="H60" s="9" t="s">
        <v>58</v>
      </c>
      <c r="I60" s="9" t="s">
        <v>41</v>
      </c>
      <c r="J60" s="9"/>
      <c r="K60" s="18" t="n">
        <v>2400</v>
      </c>
      <c r="L60" s="9" t="s">
        <v>1263</v>
      </c>
      <c r="M60" s="9" t="s">
        <v>1264</v>
      </c>
      <c r="N60" s="13" t="n">
        <v>1</v>
      </c>
      <c r="O60" s="9" t="s">
        <v>1265</v>
      </c>
      <c r="P60" s="9" t="s">
        <v>934</v>
      </c>
      <c r="Q60" s="9" t="s">
        <v>935</v>
      </c>
      <c r="R60" s="9" t="s">
        <v>1266</v>
      </c>
      <c r="S60" s="9" t="s">
        <v>1267</v>
      </c>
      <c r="T60" s="9" t="s">
        <v>938</v>
      </c>
      <c r="U60" s="9" t="s">
        <v>1139</v>
      </c>
      <c r="V60" s="9" t="s">
        <v>1268</v>
      </c>
    </row>
    <row r="61" customFormat="false" ht="91" hidden="false" customHeight="false" outlineLevel="0" collapsed="false">
      <c r="A61" s="19" t="s">
        <v>1269</v>
      </c>
      <c r="B61" s="14" t="s">
        <v>1219</v>
      </c>
      <c r="C61" s="14" t="s">
        <v>67</v>
      </c>
      <c r="D61" s="14" t="s">
        <v>256</v>
      </c>
      <c r="E61" s="14" t="s">
        <v>1270</v>
      </c>
      <c r="F61" s="14" t="s">
        <v>852</v>
      </c>
      <c r="G61" s="14" t="s">
        <v>67</v>
      </c>
      <c r="H61" s="14" t="s">
        <v>118</v>
      </c>
      <c r="I61" s="14" t="s">
        <v>41</v>
      </c>
      <c r="J61" s="14"/>
      <c r="K61" s="20" t="n">
        <v>2600</v>
      </c>
      <c r="L61" s="14" t="s">
        <v>1271</v>
      </c>
      <c r="M61" s="14" t="s">
        <v>1256</v>
      </c>
      <c r="N61" s="16" t="n">
        <v>1</v>
      </c>
      <c r="O61" s="14" t="s">
        <v>1272</v>
      </c>
      <c r="P61" s="14" t="s">
        <v>958</v>
      </c>
      <c r="Q61" s="14" t="s">
        <v>959</v>
      </c>
      <c r="R61" s="14" t="s">
        <v>1273</v>
      </c>
      <c r="S61" s="14" t="s">
        <v>1274</v>
      </c>
      <c r="T61" s="14" t="s">
        <v>962</v>
      </c>
      <c r="U61" s="14" t="s">
        <v>1275</v>
      </c>
      <c r="V61" s="14" t="s">
        <v>1276</v>
      </c>
    </row>
    <row r="62" customFormat="false" ht="57.45" hidden="false" customHeight="false" outlineLevel="0" collapsed="false">
      <c r="A62" s="17" t="s">
        <v>1277</v>
      </c>
      <c r="B62" s="9" t="s">
        <v>1219</v>
      </c>
      <c r="C62" s="9" t="s">
        <v>67</v>
      </c>
      <c r="D62" s="9" t="s">
        <v>289</v>
      </c>
      <c r="E62" s="9" t="s">
        <v>1278</v>
      </c>
      <c r="F62" s="9" t="s">
        <v>859</v>
      </c>
      <c r="G62" s="9" t="s">
        <v>67</v>
      </c>
      <c r="H62" s="9" t="s">
        <v>118</v>
      </c>
      <c r="I62" s="9" t="s">
        <v>41</v>
      </c>
      <c r="J62" s="9"/>
      <c r="K62" s="18" t="n">
        <v>2000</v>
      </c>
      <c r="L62" s="9" t="s">
        <v>1279</v>
      </c>
      <c r="M62" s="9" t="s">
        <v>1239</v>
      </c>
      <c r="N62" s="13" t="n">
        <v>2</v>
      </c>
      <c r="O62" s="9" t="s">
        <v>1280</v>
      </c>
      <c r="P62" s="9" t="s">
        <v>1104</v>
      </c>
      <c r="Q62" s="9" t="s">
        <v>1105</v>
      </c>
      <c r="R62" s="9" t="s">
        <v>1281</v>
      </c>
      <c r="S62" s="9" t="s">
        <v>1282</v>
      </c>
      <c r="T62" s="9" t="s">
        <v>1108</v>
      </c>
      <c r="U62" s="9" t="s">
        <v>1139</v>
      </c>
      <c r="V62" s="9" t="s">
        <v>1283</v>
      </c>
    </row>
    <row r="63" customFormat="false" ht="57.45" hidden="false" customHeight="false" outlineLevel="0" collapsed="false">
      <c r="A63" s="19" t="s">
        <v>1284</v>
      </c>
      <c r="B63" s="14" t="s">
        <v>1219</v>
      </c>
      <c r="C63" s="14" t="s">
        <v>67</v>
      </c>
      <c r="D63" s="14" t="s">
        <v>622</v>
      </c>
      <c r="E63" s="14" t="s">
        <v>1285</v>
      </c>
      <c r="F63" s="14" t="s">
        <v>1286</v>
      </c>
      <c r="G63" s="14" t="s">
        <v>67</v>
      </c>
      <c r="H63" s="14" t="s">
        <v>118</v>
      </c>
      <c r="I63" s="14" t="s">
        <v>41</v>
      </c>
      <c r="J63" s="14"/>
      <c r="K63" s="20" t="n">
        <v>1600</v>
      </c>
      <c r="L63" s="14" t="s">
        <v>1287</v>
      </c>
      <c r="M63" s="14" t="s">
        <v>1239</v>
      </c>
      <c r="N63" s="16" t="n">
        <v>3</v>
      </c>
      <c r="O63" s="14" t="s">
        <v>1288</v>
      </c>
      <c r="P63" s="14" t="s">
        <v>1104</v>
      </c>
      <c r="Q63" s="14" t="s">
        <v>1105</v>
      </c>
      <c r="R63" s="14" t="s">
        <v>1289</v>
      </c>
      <c r="S63" s="14" t="s">
        <v>1290</v>
      </c>
      <c r="T63" s="14" t="s">
        <v>1108</v>
      </c>
      <c r="U63" s="14" t="s">
        <v>1139</v>
      </c>
      <c r="V63" s="14" t="s">
        <v>1073</v>
      </c>
    </row>
    <row r="64" customFormat="false" ht="79.85" hidden="false" customHeight="false" outlineLevel="0" collapsed="false">
      <c r="A64" s="17" t="s">
        <v>1291</v>
      </c>
      <c r="B64" s="9" t="s">
        <v>1219</v>
      </c>
      <c r="C64" s="9" t="s">
        <v>928</v>
      </c>
      <c r="D64" s="9" t="s">
        <v>623</v>
      </c>
      <c r="E64" s="9" t="s">
        <v>1292</v>
      </c>
      <c r="F64" s="9" t="s">
        <v>1293</v>
      </c>
      <c r="G64" s="9" t="s">
        <v>67</v>
      </c>
      <c r="H64" s="9" t="s">
        <v>58</v>
      </c>
      <c r="I64" s="9" t="s">
        <v>41</v>
      </c>
      <c r="J64" s="9"/>
      <c r="K64" s="18" t="n">
        <v>2400</v>
      </c>
      <c r="L64" s="9" t="s">
        <v>1294</v>
      </c>
      <c r="M64" s="9" t="s">
        <v>1295</v>
      </c>
      <c r="N64" s="13" t="n">
        <v>1</v>
      </c>
      <c r="O64" s="9" t="s">
        <v>1296</v>
      </c>
      <c r="P64" s="9" t="s">
        <v>1104</v>
      </c>
      <c r="Q64" s="9" t="s">
        <v>1105</v>
      </c>
      <c r="R64" s="9" t="s">
        <v>1297</v>
      </c>
      <c r="S64" s="9" t="s">
        <v>1298</v>
      </c>
      <c r="T64" s="9" t="s">
        <v>1108</v>
      </c>
      <c r="U64" s="9" t="s">
        <v>1299</v>
      </c>
      <c r="V64" s="9" t="s">
        <v>1300</v>
      </c>
    </row>
    <row r="65" customFormat="false" ht="57.45" hidden="false" customHeight="false" outlineLevel="0" collapsed="false">
      <c r="A65" s="19" t="s">
        <v>1301</v>
      </c>
      <c r="B65" s="14" t="s">
        <v>1302</v>
      </c>
      <c r="C65" s="14" t="s">
        <v>928</v>
      </c>
      <c r="D65" s="14" t="s">
        <v>429</v>
      </c>
      <c r="E65" s="14" t="s">
        <v>1303</v>
      </c>
      <c r="F65" s="14" t="s">
        <v>823</v>
      </c>
      <c r="G65" s="14" t="s">
        <v>132</v>
      </c>
      <c r="H65" s="14" t="s">
        <v>118</v>
      </c>
      <c r="I65" s="14" t="s">
        <v>41</v>
      </c>
      <c r="J65" s="14"/>
      <c r="K65" s="20" t="n">
        <v>3000</v>
      </c>
      <c r="L65" s="14" t="s">
        <v>1304</v>
      </c>
      <c r="M65" s="14" t="s">
        <v>1305</v>
      </c>
      <c r="N65" s="16" t="n">
        <v>1</v>
      </c>
      <c r="O65" s="14" t="s">
        <v>1306</v>
      </c>
      <c r="P65" s="14" t="s">
        <v>934</v>
      </c>
      <c r="Q65" s="14" t="s">
        <v>935</v>
      </c>
      <c r="R65" s="14" t="s">
        <v>1307</v>
      </c>
      <c r="S65" s="14" t="s">
        <v>1308</v>
      </c>
      <c r="T65" s="14" t="s">
        <v>938</v>
      </c>
      <c r="U65" s="14" t="s">
        <v>1028</v>
      </c>
      <c r="V65" s="14" t="s">
        <v>1309</v>
      </c>
    </row>
    <row r="66" customFormat="false" ht="57.45" hidden="false" customHeight="false" outlineLevel="0" collapsed="false">
      <c r="A66" s="17" t="s">
        <v>1310</v>
      </c>
      <c r="B66" s="9" t="s">
        <v>1302</v>
      </c>
      <c r="C66" s="9" t="s">
        <v>966</v>
      </c>
      <c r="D66" s="9" t="s">
        <v>439</v>
      </c>
      <c r="E66" s="9" t="s">
        <v>1311</v>
      </c>
      <c r="F66" s="9" t="s">
        <v>825</v>
      </c>
      <c r="G66" s="9" t="s">
        <v>132</v>
      </c>
      <c r="H66" s="9" t="s">
        <v>118</v>
      </c>
      <c r="I66" s="9" t="s">
        <v>41</v>
      </c>
      <c r="J66" s="9"/>
      <c r="K66" s="18" t="n">
        <v>1600</v>
      </c>
      <c r="L66" s="9" t="s">
        <v>1312</v>
      </c>
      <c r="M66" s="9" t="s">
        <v>1313</v>
      </c>
      <c r="N66" s="13" t="n">
        <v>1</v>
      </c>
      <c r="O66" s="9" t="s">
        <v>1314</v>
      </c>
      <c r="P66" s="9" t="s">
        <v>946</v>
      </c>
      <c r="Q66" s="9" t="s">
        <v>947</v>
      </c>
      <c r="R66" s="9" t="s">
        <v>1315</v>
      </c>
      <c r="S66" s="9" t="s">
        <v>1316</v>
      </c>
      <c r="T66" s="9" t="s">
        <v>950</v>
      </c>
      <c r="U66" s="9" t="s">
        <v>1317</v>
      </c>
      <c r="V66" s="9" t="s">
        <v>1318</v>
      </c>
    </row>
    <row r="67" customFormat="false" ht="46.25" hidden="false" customHeight="false" outlineLevel="0" collapsed="false">
      <c r="A67" s="19" t="s">
        <v>1319</v>
      </c>
      <c r="B67" s="14" t="s">
        <v>1302</v>
      </c>
      <c r="C67" s="14" t="s">
        <v>928</v>
      </c>
      <c r="D67" s="14" t="s">
        <v>450</v>
      </c>
      <c r="E67" s="14" t="s">
        <v>1320</v>
      </c>
      <c r="F67" s="14" t="s">
        <v>869</v>
      </c>
      <c r="G67" s="14" t="s">
        <v>132</v>
      </c>
      <c r="H67" s="14" t="s">
        <v>118</v>
      </c>
      <c r="I67" s="14" t="s">
        <v>41</v>
      </c>
      <c r="J67" s="14"/>
      <c r="K67" s="20" t="n">
        <v>2400</v>
      </c>
      <c r="L67" s="14" t="s">
        <v>1321</v>
      </c>
      <c r="M67" s="14" t="s">
        <v>1322</v>
      </c>
      <c r="N67" s="16" t="n">
        <v>1</v>
      </c>
      <c r="O67" s="14" t="s">
        <v>1323</v>
      </c>
      <c r="P67" s="14" t="s">
        <v>958</v>
      </c>
      <c r="Q67" s="14" t="s">
        <v>959</v>
      </c>
      <c r="R67" s="14" t="s">
        <v>1324</v>
      </c>
      <c r="S67" s="14" t="s">
        <v>1325</v>
      </c>
      <c r="T67" s="14" t="s">
        <v>962</v>
      </c>
      <c r="U67" s="14" t="s">
        <v>1028</v>
      </c>
      <c r="V67" s="14" t="s">
        <v>1326</v>
      </c>
    </row>
    <row r="68" customFormat="false" ht="46.25" hidden="false" customHeight="false" outlineLevel="0" collapsed="false">
      <c r="A68" s="17" t="s">
        <v>1327</v>
      </c>
      <c r="B68" s="9" t="s">
        <v>1302</v>
      </c>
      <c r="C68" s="9" t="s">
        <v>928</v>
      </c>
      <c r="D68" s="9" t="s">
        <v>448</v>
      </c>
      <c r="E68" s="9" t="s">
        <v>1328</v>
      </c>
      <c r="F68" s="9" t="s">
        <v>845</v>
      </c>
      <c r="G68" s="9" t="s">
        <v>132</v>
      </c>
      <c r="H68" s="9" t="s">
        <v>118</v>
      </c>
      <c r="I68" s="9" t="s">
        <v>41</v>
      </c>
      <c r="J68" s="9"/>
      <c r="K68" s="18" t="n">
        <v>2800</v>
      </c>
      <c r="L68" s="9" t="s">
        <v>1329</v>
      </c>
      <c r="M68" s="9" t="s">
        <v>1330</v>
      </c>
      <c r="N68" s="13" t="n">
        <v>1</v>
      </c>
      <c r="O68" s="9" t="s">
        <v>1331</v>
      </c>
      <c r="P68" s="9" t="s">
        <v>984</v>
      </c>
      <c r="Q68" s="9" t="s">
        <v>985</v>
      </c>
      <c r="R68" s="9" t="s">
        <v>1332</v>
      </c>
      <c r="S68" s="9" t="s">
        <v>1333</v>
      </c>
      <c r="T68" s="9" t="s">
        <v>988</v>
      </c>
      <c r="U68" s="9" t="s">
        <v>1028</v>
      </c>
      <c r="V68" s="9" t="s">
        <v>1334</v>
      </c>
    </row>
    <row r="69" customFormat="false" ht="79.85" hidden="false" customHeight="false" outlineLevel="0" collapsed="false">
      <c r="A69" s="19" t="s">
        <v>1335</v>
      </c>
      <c r="B69" s="14" t="s">
        <v>1302</v>
      </c>
      <c r="C69" s="14" t="s">
        <v>928</v>
      </c>
      <c r="D69" s="14" t="s">
        <v>514</v>
      </c>
      <c r="E69" s="14" t="s">
        <v>1336</v>
      </c>
      <c r="F69" s="14" t="s">
        <v>864</v>
      </c>
      <c r="G69" s="14" t="s">
        <v>132</v>
      </c>
      <c r="H69" s="14" t="s">
        <v>118</v>
      </c>
      <c r="I69" s="14" t="s">
        <v>41</v>
      </c>
      <c r="J69" s="14"/>
      <c r="K69" s="20" t="n">
        <v>3200</v>
      </c>
      <c r="L69" s="14" t="s">
        <v>1337</v>
      </c>
      <c r="M69" s="14" t="s">
        <v>1338</v>
      </c>
      <c r="N69" s="16" t="n">
        <v>1</v>
      </c>
      <c r="O69" s="14" t="s">
        <v>1339</v>
      </c>
      <c r="P69" s="14" t="s">
        <v>1104</v>
      </c>
      <c r="Q69" s="14" t="s">
        <v>1105</v>
      </c>
      <c r="R69" s="14" t="s">
        <v>1340</v>
      </c>
      <c r="S69" s="14" t="s">
        <v>1341</v>
      </c>
      <c r="T69" s="14" t="s">
        <v>1108</v>
      </c>
      <c r="U69" s="14" t="s">
        <v>1342</v>
      </c>
      <c r="V69" s="14" t="s">
        <v>1343</v>
      </c>
    </row>
    <row r="70" customFormat="false" ht="79.85" hidden="false" customHeight="false" outlineLevel="0" collapsed="false">
      <c r="A70" s="17" t="s">
        <v>1344</v>
      </c>
      <c r="B70" s="9" t="s">
        <v>1302</v>
      </c>
      <c r="C70" s="9" t="s">
        <v>953</v>
      </c>
      <c r="D70" s="9" t="s">
        <v>507</v>
      </c>
      <c r="E70" s="9" t="s">
        <v>1345</v>
      </c>
      <c r="F70" s="9" t="s">
        <v>863</v>
      </c>
      <c r="G70" s="9" t="s">
        <v>132</v>
      </c>
      <c r="H70" s="9" t="s">
        <v>118</v>
      </c>
      <c r="I70" s="9" t="s">
        <v>228</v>
      </c>
      <c r="J70" s="9" t="s">
        <v>1346</v>
      </c>
      <c r="K70" s="18" t="n">
        <v>2200</v>
      </c>
      <c r="L70" s="9" t="s">
        <v>1347</v>
      </c>
      <c r="M70" s="9" t="s">
        <v>1348</v>
      </c>
      <c r="N70" s="13" t="n">
        <v>1</v>
      </c>
      <c r="O70" s="9" t="s">
        <v>1349</v>
      </c>
      <c r="P70" s="9" t="s">
        <v>984</v>
      </c>
      <c r="Q70" s="9" t="s">
        <v>985</v>
      </c>
      <c r="R70" s="9" t="s">
        <v>1350</v>
      </c>
      <c r="S70" s="9" t="s">
        <v>1351</v>
      </c>
      <c r="T70" s="9" t="s">
        <v>988</v>
      </c>
      <c r="U70" s="9" t="s">
        <v>1342</v>
      </c>
      <c r="V70" s="9" t="s">
        <v>1352</v>
      </c>
    </row>
    <row r="71" customFormat="false" ht="46.25" hidden="false" customHeight="false" outlineLevel="0" collapsed="false">
      <c r="A71" s="19" t="s">
        <v>1353</v>
      </c>
      <c r="B71" s="14" t="s">
        <v>1302</v>
      </c>
      <c r="C71" s="14" t="s">
        <v>966</v>
      </c>
      <c r="D71" s="14" t="s">
        <v>539</v>
      </c>
      <c r="E71" s="14" t="s">
        <v>1354</v>
      </c>
      <c r="F71" s="14" t="s">
        <v>844</v>
      </c>
      <c r="G71" s="14" t="s">
        <v>132</v>
      </c>
      <c r="H71" s="14" t="s">
        <v>118</v>
      </c>
      <c r="I71" s="14" t="s">
        <v>41</v>
      </c>
      <c r="J71" s="14"/>
      <c r="K71" s="20" t="n">
        <v>1800</v>
      </c>
      <c r="L71" s="14" t="s">
        <v>1355</v>
      </c>
      <c r="M71" s="14" t="s">
        <v>1356</v>
      </c>
      <c r="N71" s="16" t="n">
        <v>1</v>
      </c>
      <c r="O71" s="14" t="s">
        <v>1357</v>
      </c>
      <c r="P71" s="14" t="s">
        <v>958</v>
      </c>
      <c r="Q71" s="14" t="s">
        <v>959</v>
      </c>
      <c r="R71" s="14" t="s">
        <v>1358</v>
      </c>
      <c r="S71" s="14" t="s">
        <v>1359</v>
      </c>
      <c r="T71" s="14" t="s">
        <v>962</v>
      </c>
      <c r="U71" s="14" t="s">
        <v>1028</v>
      </c>
      <c r="V71" s="14" t="s">
        <v>1360</v>
      </c>
    </row>
    <row r="72" customFormat="false" ht="57.45" hidden="false" customHeight="false" outlineLevel="0" collapsed="false">
      <c r="A72" s="17" t="s">
        <v>1361</v>
      </c>
      <c r="B72" s="9" t="s">
        <v>1302</v>
      </c>
      <c r="C72" s="9" t="s">
        <v>928</v>
      </c>
      <c r="D72" s="9" t="s">
        <v>470</v>
      </c>
      <c r="E72" s="9" t="s">
        <v>1362</v>
      </c>
      <c r="F72" s="9" t="s">
        <v>848</v>
      </c>
      <c r="G72" s="9" t="s">
        <v>132</v>
      </c>
      <c r="H72" s="9" t="s">
        <v>118</v>
      </c>
      <c r="I72" s="9" t="s">
        <v>41</v>
      </c>
      <c r="J72" s="9"/>
      <c r="K72" s="18" t="n">
        <v>2400</v>
      </c>
      <c r="L72" s="9" t="s">
        <v>1363</v>
      </c>
      <c r="M72" s="9" t="s">
        <v>1330</v>
      </c>
      <c r="N72" s="13" t="n">
        <v>1</v>
      </c>
      <c r="O72" s="9" t="s">
        <v>1364</v>
      </c>
      <c r="P72" s="9" t="s">
        <v>946</v>
      </c>
      <c r="Q72" s="9" t="s">
        <v>947</v>
      </c>
      <c r="R72" s="9" t="s">
        <v>1365</v>
      </c>
      <c r="S72" s="9" t="s">
        <v>1366</v>
      </c>
      <c r="T72" s="9" t="s">
        <v>950</v>
      </c>
      <c r="U72" s="9" t="s">
        <v>1367</v>
      </c>
      <c r="V72" s="9" t="s">
        <v>1368</v>
      </c>
    </row>
    <row r="73" customFormat="false" ht="57.45" hidden="false" customHeight="false" outlineLevel="0" collapsed="false">
      <c r="A73" s="19" t="s">
        <v>1369</v>
      </c>
      <c r="B73" s="14" t="s">
        <v>1302</v>
      </c>
      <c r="C73" s="14" t="s">
        <v>953</v>
      </c>
      <c r="D73" s="14" t="s">
        <v>468</v>
      </c>
      <c r="E73" s="14" t="s">
        <v>1370</v>
      </c>
      <c r="F73" s="14" t="s">
        <v>846</v>
      </c>
      <c r="G73" s="14" t="s">
        <v>132</v>
      </c>
      <c r="H73" s="14" t="s">
        <v>118</v>
      </c>
      <c r="I73" s="14" t="s">
        <v>41</v>
      </c>
      <c r="J73" s="14"/>
      <c r="K73" s="20" t="n">
        <v>1800</v>
      </c>
      <c r="L73" s="14" t="s">
        <v>1371</v>
      </c>
      <c r="M73" s="14" t="s">
        <v>1356</v>
      </c>
      <c r="N73" s="16" t="n">
        <v>2</v>
      </c>
      <c r="O73" s="14" t="s">
        <v>1372</v>
      </c>
      <c r="P73" s="14" t="s">
        <v>934</v>
      </c>
      <c r="Q73" s="14" t="s">
        <v>935</v>
      </c>
      <c r="R73" s="14" t="s">
        <v>1373</v>
      </c>
      <c r="S73" s="14" t="s">
        <v>1374</v>
      </c>
      <c r="T73" s="14" t="s">
        <v>938</v>
      </c>
      <c r="U73" s="14" t="s">
        <v>1028</v>
      </c>
      <c r="V73" s="14" t="s">
        <v>1375</v>
      </c>
    </row>
    <row r="74" customFormat="false" ht="79.85" hidden="false" customHeight="false" outlineLevel="0" collapsed="false">
      <c r="A74" s="17" t="s">
        <v>1376</v>
      </c>
      <c r="B74" s="9" t="s">
        <v>1302</v>
      </c>
      <c r="C74" s="9" t="s">
        <v>966</v>
      </c>
      <c r="D74" s="9" t="s">
        <v>463</v>
      </c>
      <c r="E74" s="9" t="s">
        <v>1377</v>
      </c>
      <c r="F74" s="9" t="s">
        <v>868</v>
      </c>
      <c r="G74" s="9" t="s">
        <v>132</v>
      </c>
      <c r="H74" s="9" t="s">
        <v>118</v>
      </c>
      <c r="I74" s="9" t="s">
        <v>41</v>
      </c>
      <c r="J74" s="9"/>
      <c r="K74" s="18" t="n">
        <v>2000</v>
      </c>
      <c r="L74" s="9" t="s">
        <v>1378</v>
      </c>
      <c r="M74" s="9" t="s">
        <v>1322</v>
      </c>
      <c r="N74" s="13" t="n">
        <v>1</v>
      </c>
      <c r="O74" s="9" t="s">
        <v>1379</v>
      </c>
      <c r="P74" s="9" t="s">
        <v>946</v>
      </c>
      <c r="Q74" s="9" t="s">
        <v>947</v>
      </c>
      <c r="R74" s="9" t="s">
        <v>1380</v>
      </c>
      <c r="S74" s="9" t="s">
        <v>1381</v>
      </c>
      <c r="T74" s="9" t="s">
        <v>950</v>
      </c>
      <c r="U74" s="9" t="s">
        <v>1342</v>
      </c>
      <c r="V74" s="9" t="s">
        <v>1382</v>
      </c>
    </row>
    <row r="75" customFormat="false" ht="46.25" hidden="false" customHeight="false" outlineLevel="0" collapsed="false">
      <c r="A75" s="19" t="s">
        <v>1383</v>
      </c>
      <c r="B75" s="14" t="s">
        <v>1302</v>
      </c>
      <c r="C75" s="14" t="s">
        <v>953</v>
      </c>
      <c r="D75" s="14" t="s">
        <v>489</v>
      </c>
      <c r="E75" s="14" t="s">
        <v>1384</v>
      </c>
      <c r="F75" s="14" t="s">
        <v>842</v>
      </c>
      <c r="G75" s="14" t="s">
        <v>132</v>
      </c>
      <c r="H75" s="14" t="s">
        <v>118</v>
      </c>
      <c r="I75" s="14" t="s">
        <v>41</v>
      </c>
      <c r="J75" s="14"/>
      <c r="K75" s="20" t="n">
        <v>2000</v>
      </c>
      <c r="L75" s="14" t="s">
        <v>1385</v>
      </c>
      <c r="M75" s="14" t="s">
        <v>1322</v>
      </c>
      <c r="N75" s="16" t="n">
        <v>2</v>
      </c>
      <c r="O75" s="14" t="s">
        <v>1386</v>
      </c>
      <c r="P75" s="14" t="s">
        <v>1104</v>
      </c>
      <c r="Q75" s="14" t="s">
        <v>1105</v>
      </c>
      <c r="R75" s="14" t="s">
        <v>1387</v>
      </c>
      <c r="S75" s="14" t="s">
        <v>1388</v>
      </c>
      <c r="T75" s="14" t="s">
        <v>1108</v>
      </c>
      <c r="U75" s="14" t="s">
        <v>1028</v>
      </c>
      <c r="V75" s="14" t="s">
        <v>1389</v>
      </c>
    </row>
    <row r="76" customFormat="false" ht="57.45" hidden="false" customHeight="false" outlineLevel="0" collapsed="false">
      <c r="A76" s="17" t="s">
        <v>1390</v>
      </c>
      <c r="B76" s="9" t="s">
        <v>1302</v>
      </c>
      <c r="C76" s="9" t="s">
        <v>1391</v>
      </c>
      <c r="D76" s="9" t="s">
        <v>1392</v>
      </c>
      <c r="E76" s="9" t="s">
        <v>1393</v>
      </c>
      <c r="F76" s="9" t="s">
        <v>881</v>
      </c>
      <c r="G76" s="9" t="s">
        <v>132</v>
      </c>
      <c r="H76" s="9" t="s">
        <v>118</v>
      </c>
      <c r="I76" s="9" t="s">
        <v>41</v>
      </c>
      <c r="J76" s="9"/>
      <c r="K76" s="18" t="n">
        <v>2600</v>
      </c>
      <c r="L76" s="9" t="s">
        <v>1394</v>
      </c>
      <c r="M76" s="9" t="s">
        <v>1395</v>
      </c>
      <c r="N76" s="13" t="n">
        <v>1</v>
      </c>
      <c r="O76" s="9" t="s">
        <v>1396</v>
      </c>
      <c r="P76" s="9" t="s">
        <v>946</v>
      </c>
      <c r="Q76" s="9" t="s">
        <v>947</v>
      </c>
      <c r="R76" s="9" t="s">
        <v>1397</v>
      </c>
      <c r="S76" s="9" t="s">
        <v>1398</v>
      </c>
      <c r="T76" s="9" t="s">
        <v>950</v>
      </c>
      <c r="U76" s="9" t="s">
        <v>1028</v>
      </c>
      <c r="V76" s="9" t="s">
        <v>1399</v>
      </c>
    </row>
    <row r="77" customFormat="false" ht="46.25" hidden="false" customHeight="false" outlineLevel="0" collapsed="false">
      <c r="A77" s="19" t="s">
        <v>1400</v>
      </c>
      <c r="B77" s="14" t="s">
        <v>1302</v>
      </c>
      <c r="C77" s="14" t="s">
        <v>1391</v>
      </c>
      <c r="D77" s="14" t="s">
        <v>198</v>
      </c>
      <c r="E77" s="14" t="s">
        <v>1401</v>
      </c>
      <c r="F77" s="14" t="s">
        <v>880</v>
      </c>
      <c r="G77" s="14" t="s">
        <v>132</v>
      </c>
      <c r="H77" s="14" t="s">
        <v>118</v>
      </c>
      <c r="I77" s="14" t="s">
        <v>41</v>
      </c>
      <c r="J77" s="14"/>
      <c r="K77" s="20" t="n">
        <v>2800</v>
      </c>
      <c r="L77" s="14" t="s">
        <v>1402</v>
      </c>
      <c r="M77" s="14" t="s">
        <v>1403</v>
      </c>
      <c r="N77" s="16" t="n">
        <v>1</v>
      </c>
      <c r="O77" s="14" t="s">
        <v>1404</v>
      </c>
      <c r="P77" s="14" t="s">
        <v>972</v>
      </c>
      <c r="Q77" s="14" t="s">
        <v>973</v>
      </c>
      <c r="R77" s="14" t="s">
        <v>1405</v>
      </c>
      <c r="S77" s="14" t="s">
        <v>1406</v>
      </c>
      <c r="T77" s="14" t="s">
        <v>976</v>
      </c>
      <c r="U77" s="14" t="s">
        <v>1028</v>
      </c>
      <c r="V77" s="14" t="s">
        <v>1407</v>
      </c>
    </row>
    <row r="78" customFormat="false" ht="46.25" hidden="false" customHeight="false" outlineLevel="0" collapsed="false">
      <c r="A78" s="17" t="s">
        <v>1408</v>
      </c>
      <c r="B78" s="9" t="s">
        <v>1302</v>
      </c>
      <c r="C78" s="9" t="s">
        <v>953</v>
      </c>
      <c r="D78" s="9" t="s">
        <v>209</v>
      </c>
      <c r="E78" s="9" t="s">
        <v>1409</v>
      </c>
      <c r="F78" s="9" t="s">
        <v>883</v>
      </c>
      <c r="G78" s="9" t="s">
        <v>132</v>
      </c>
      <c r="H78" s="9" t="s">
        <v>118</v>
      </c>
      <c r="I78" s="9" t="s">
        <v>41</v>
      </c>
      <c r="J78" s="9"/>
      <c r="K78" s="18" t="n">
        <v>3000</v>
      </c>
      <c r="L78" s="9" t="s">
        <v>1410</v>
      </c>
      <c r="M78" s="9" t="s">
        <v>1411</v>
      </c>
      <c r="N78" s="13" t="n">
        <v>1</v>
      </c>
      <c r="O78" s="9" t="s">
        <v>1412</v>
      </c>
      <c r="P78" s="9" t="s">
        <v>972</v>
      </c>
      <c r="Q78" s="9" t="s">
        <v>973</v>
      </c>
      <c r="R78" s="9" t="s">
        <v>1413</v>
      </c>
      <c r="S78" s="9" t="s">
        <v>1414</v>
      </c>
      <c r="T78" s="9" t="s">
        <v>976</v>
      </c>
      <c r="U78" s="9" t="s">
        <v>1028</v>
      </c>
      <c r="V78" s="9" t="s">
        <v>1415</v>
      </c>
    </row>
    <row r="79" customFormat="false" ht="57.45" hidden="false" customHeight="false" outlineLevel="0" collapsed="false">
      <c r="A79" s="19" t="s">
        <v>1416</v>
      </c>
      <c r="B79" s="14" t="s">
        <v>1302</v>
      </c>
      <c r="C79" s="14" t="s">
        <v>953</v>
      </c>
      <c r="D79" s="14" t="s">
        <v>500</v>
      </c>
      <c r="E79" s="14" t="s">
        <v>1417</v>
      </c>
      <c r="F79" s="14" t="s">
        <v>882</v>
      </c>
      <c r="G79" s="14" t="s">
        <v>132</v>
      </c>
      <c r="H79" s="14" t="s">
        <v>118</v>
      </c>
      <c r="I79" s="14" t="s">
        <v>41</v>
      </c>
      <c r="J79" s="14"/>
      <c r="K79" s="20" t="n">
        <v>2200</v>
      </c>
      <c r="L79" s="14" t="s">
        <v>1418</v>
      </c>
      <c r="M79" s="14" t="s">
        <v>1322</v>
      </c>
      <c r="N79" s="16" t="n">
        <v>1</v>
      </c>
      <c r="O79" s="14" t="s">
        <v>1419</v>
      </c>
      <c r="P79" s="14" t="s">
        <v>984</v>
      </c>
      <c r="Q79" s="14" t="s">
        <v>985</v>
      </c>
      <c r="R79" s="14" t="s">
        <v>1420</v>
      </c>
      <c r="S79" s="14" t="s">
        <v>1421</v>
      </c>
      <c r="T79" s="14" t="s">
        <v>988</v>
      </c>
      <c r="U79" s="14" t="s">
        <v>1422</v>
      </c>
      <c r="V79" s="14" t="s">
        <v>1423</v>
      </c>
    </row>
    <row r="80" customFormat="false" ht="46.25" hidden="false" customHeight="false" outlineLevel="0" collapsed="false">
      <c r="A80" s="17" t="s">
        <v>1424</v>
      </c>
      <c r="B80" s="9" t="s">
        <v>1302</v>
      </c>
      <c r="C80" s="9" t="s">
        <v>1391</v>
      </c>
      <c r="D80" s="9" t="s">
        <v>272</v>
      </c>
      <c r="E80" s="9" t="s">
        <v>1425</v>
      </c>
      <c r="F80" s="9" t="s">
        <v>847</v>
      </c>
      <c r="G80" s="9" t="s">
        <v>132</v>
      </c>
      <c r="H80" s="9" t="s">
        <v>177</v>
      </c>
      <c r="I80" s="9" t="s">
        <v>41</v>
      </c>
      <c r="J80" s="9"/>
      <c r="K80" s="18" t="n">
        <v>1800</v>
      </c>
      <c r="L80" s="9" t="s">
        <v>1426</v>
      </c>
      <c r="M80" s="9" t="s">
        <v>1411</v>
      </c>
      <c r="N80" s="13" t="n">
        <v>2</v>
      </c>
      <c r="O80" s="9" t="s">
        <v>1427</v>
      </c>
      <c r="P80" s="9" t="s">
        <v>984</v>
      </c>
      <c r="Q80" s="9" t="s">
        <v>985</v>
      </c>
      <c r="R80" s="9" t="s">
        <v>1428</v>
      </c>
      <c r="S80" s="9" t="s">
        <v>1429</v>
      </c>
      <c r="T80" s="9" t="s">
        <v>988</v>
      </c>
      <c r="U80" s="9" t="s">
        <v>1028</v>
      </c>
      <c r="V80" s="9" t="s">
        <v>1430</v>
      </c>
    </row>
    <row r="81" customFormat="false" ht="46.25" hidden="false" customHeight="false" outlineLevel="0" collapsed="false">
      <c r="A81" s="19" t="s">
        <v>1431</v>
      </c>
      <c r="B81" s="14" t="s">
        <v>1302</v>
      </c>
      <c r="C81" s="14" t="s">
        <v>966</v>
      </c>
      <c r="D81" s="14" t="s">
        <v>480</v>
      </c>
      <c r="E81" s="14" t="s">
        <v>1432</v>
      </c>
      <c r="F81" s="14" t="s">
        <v>1433</v>
      </c>
      <c r="G81" s="14" t="s">
        <v>132</v>
      </c>
      <c r="H81" s="14" t="s">
        <v>118</v>
      </c>
      <c r="I81" s="14" t="s">
        <v>41</v>
      </c>
      <c r="J81" s="14"/>
      <c r="K81" s="20" t="n">
        <v>1600</v>
      </c>
      <c r="L81" s="14" t="s">
        <v>1434</v>
      </c>
      <c r="M81" s="14" t="s">
        <v>1356</v>
      </c>
      <c r="N81" s="16" t="n">
        <v>2</v>
      </c>
      <c r="O81" s="14" t="s">
        <v>1435</v>
      </c>
      <c r="P81" s="14" t="s">
        <v>958</v>
      </c>
      <c r="Q81" s="14" t="s">
        <v>959</v>
      </c>
      <c r="R81" s="14" t="s">
        <v>1436</v>
      </c>
      <c r="S81" s="14" t="s">
        <v>1437</v>
      </c>
      <c r="T81" s="14" t="s">
        <v>962</v>
      </c>
      <c r="U81" s="14" t="s">
        <v>1028</v>
      </c>
      <c r="V81" s="14" t="s">
        <v>1073</v>
      </c>
    </row>
    <row r="82" customFormat="false" ht="46.25" hidden="false" customHeight="false" outlineLevel="0" collapsed="false">
      <c r="A82" s="17" t="s">
        <v>1438</v>
      </c>
      <c r="B82" s="9" t="s">
        <v>1439</v>
      </c>
      <c r="C82" s="9" t="s">
        <v>928</v>
      </c>
      <c r="D82" s="9" t="s">
        <v>551</v>
      </c>
      <c r="E82" s="9" t="s">
        <v>1440</v>
      </c>
      <c r="F82" s="9" t="s">
        <v>831</v>
      </c>
      <c r="G82" s="9" t="s">
        <v>132</v>
      </c>
      <c r="H82" s="9" t="s">
        <v>118</v>
      </c>
      <c r="I82" s="9" t="s">
        <v>41</v>
      </c>
      <c r="J82" s="9"/>
      <c r="K82" s="18" t="n">
        <v>3000</v>
      </c>
      <c r="L82" s="9" t="s">
        <v>1441</v>
      </c>
      <c r="M82" s="9" t="s">
        <v>1442</v>
      </c>
      <c r="N82" s="13" t="n">
        <v>1</v>
      </c>
      <c r="O82" s="9" t="s">
        <v>1443</v>
      </c>
      <c r="P82" s="9" t="s">
        <v>1104</v>
      </c>
      <c r="Q82" s="9" t="s">
        <v>1105</v>
      </c>
      <c r="R82" s="9" t="s">
        <v>1444</v>
      </c>
      <c r="S82" s="9" t="s">
        <v>1445</v>
      </c>
      <c r="T82" s="9" t="s">
        <v>1108</v>
      </c>
      <c r="U82" s="9" t="s">
        <v>1130</v>
      </c>
      <c r="V82" s="9" t="s">
        <v>1446</v>
      </c>
    </row>
    <row r="83" customFormat="false" ht="79.85" hidden="false" customHeight="false" outlineLevel="0" collapsed="false">
      <c r="A83" s="19" t="s">
        <v>1447</v>
      </c>
      <c r="B83" s="14" t="s">
        <v>1439</v>
      </c>
      <c r="C83" s="14" t="s">
        <v>1448</v>
      </c>
      <c r="D83" s="14" t="s">
        <v>584</v>
      </c>
      <c r="E83" s="14" t="s">
        <v>1449</v>
      </c>
      <c r="F83" s="14" t="s">
        <v>1450</v>
      </c>
      <c r="G83" s="14" t="s">
        <v>67</v>
      </c>
      <c r="H83" s="14" t="s">
        <v>118</v>
      </c>
      <c r="I83" s="14" t="s">
        <v>41</v>
      </c>
      <c r="J83" s="14"/>
      <c r="K83" s="20" t="n">
        <v>3400</v>
      </c>
      <c r="L83" s="14" t="s">
        <v>1451</v>
      </c>
      <c r="M83" s="14" t="s">
        <v>1452</v>
      </c>
      <c r="N83" s="16" t="n">
        <v>1</v>
      </c>
      <c r="O83" s="14" t="s">
        <v>1453</v>
      </c>
      <c r="P83" s="14" t="s">
        <v>1104</v>
      </c>
      <c r="Q83" s="14" t="s">
        <v>1105</v>
      </c>
      <c r="R83" s="14" t="s">
        <v>1454</v>
      </c>
      <c r="S83" s="14" t="s">
        <v>1455</v>
      </c>
      <c r="T83" s="14" t="s">
        <v>1108</v>
      </c>
      <c r="U83" s="14" t="s">
        <v>1456</v>
      </c>
      <c r="V83" s="14" t="s">
        <v>1457</v>
      </c>
    </row>
    <row r="84" customFormat="false" ht="46.25" hidden="false" customHeight="false" outlineLevel="0" collapsed="false">
      <c r="A84" s="17" t="s">
        <v>1458</v>
      </c>
      <c r="B84" s="9" t="s">
        <v>1439</v>
      </c>
      <c r="C84" s="9" t="s">
        <v>953</v>
      </c>
      <c r="D84" s="9" t="s">
        <v>560</v>
      </c>
      <c r="E84" s="9" t="s">
        <v>1459</v>
      </c>
      <c r="F84" s="9" t="s">
        <v>819</v>
      </c>
      <c r="G84" s="9" t="s">
        <v>132</v>
      </c>
      <c r="H84" s="9" t="s">
        <v>118</v>
      </c>
      <c r="I84" s="9" t="s">
        <v>41</v>
      </c>
      <c r="J84" s="9"/>
      <c r="K84" s="18" t="n">
        <v>2000</v>
      </c>
      <c r="L84" s="9" t="s">
        <v>1460</v>
      </c>
      <c r="M84" s="9" t="s">
        <v>1461</v>
      </c>
      <c r="N84" s="13" t="n">
        <v>2</v>
      </c>
      <c r="O84" s="9" t="s">
        <v>1462</v>
      </c>
      <c r="P84" s="9" t="s">
        <v>984</v>
      </c>
      <c r="Q84" s="9" t="s">
        <v>985</v>
      </c>
      <c r="R84" s="9" t="s">
        <v>1463</v>
      </c>
      <c r="S84" s="9" t="s">
        <v>1464</v>
      </c>
      <c r="T84" s="9" t="s">
        <v>988</v>
      </c>
      <c r="U84" s="9" t="s">
        <v>1130</v>
      </c>
      <c r="V84" s="9" t="s">
        <v>1465</v>
      </c>
    </row>
    <row r="85" customFormat="false" ht="57.45" hidden="false" customHeight="false" outlineLevel="0" collapsed="false">
      <c r="A85" s="19" t="s">
        <v>1466</v>
      </c>
      <c r="B85" s="14" t="s">
        <v>1439</v>
      </c>
      <c r="C85" s="14" t="s">
        <v>953</v>
      </c>
      <c r="D85" s="14" t="s">
        <v>562</v>
      </c>
      <c r="E85" s="14" t="s">
        <v>1467</v>
      </c>
      <c r="F85" s="14" t="s">
        <v>874</v>
      </c>
      <c r="G85" s="14" t="s">
        <v>132</v>
      </c>
      <c r="H85" s="14" t="s">
        <v>118</v>
      </c>
      <c r="I85" s="14" t="s">
        <v>41</v>
      </c>
      <c r="J85" s="14"/>
      <c r="K85" s="20" t="n">
        <v>2400</v>
      </c>
      <c r="L85" s="14" t="s">
        <v>1468</v>
      </c>
      <c r="M85" s="14" t="s">
        <v>1469</v>
      </c>
      <c r="N85" s="16" t="n">
        <v>1</v>
      </c>
      <c r="O85" s="14" t="s">
        <v>1470</v>
      </c>
      <c r="P85" s="14" t="s">
        <v>946</v>
      </c>
      <c r="Q85" s="14" t="s">
        <v>947</v>
      </c>
      <c r="R85" s="14" t="s">
        <v>1471</v>
      </c>
      <c r="S85" s="14" t="s">
        <v>1472</v>
      </c>
      <c r="T85" s="14" t="s">
        <v>950</v>
      </c>
      <c r="U85" s="14" t="s">
        <v>1473</v>
      </c>
      <c r="V85" s="14" t="s">
        <v>1474</v>
      </c>
    </row>
    <row r="86" customFormat="false" ht="57.45" hidden="false" customHeight="false" outlineLevel="0" collapsed="false">
      <c r="A86" s="17" t="s">
        <v>1475</v>
      </c>
      <c r="B86" s="9" t="s">
        <v>1439</v>
      </c>
      <c r="C86" s="9" t="s">
        <v>953</v>
      </c>
      <c r="D86" s="9" t="s">
        <v>245</v>
      </c>
      <c r="E86" s="9" t="s">
        <v>1476</v>
      </c>
      <c r="F86" s="9" t="s">
        <v>813</v>
      </c>
      <c r="G86" s="9" t="s">
        <v>132</v>
      </c>
      <c r="H86" s="9" t="s">
        <v>118</v>
      </c>
      <c r="I86" s="9" t="s">
        <v>41</v>
      </c>
      <c r="J86" s="9"/>
      <c r="K86" s="18" t="n">
        <v>2200</v>
      </c>
      <c r="L86" s="9" t="s">
        <v>1477</v>
      </c>
      <c r="M86" s="9" t="s">
        <v>1478</v>
      </c>
      <c r="N86" s="13" t="n">
        <v>2</v>
      </c>
      <c r="O86" s="9" t="s">
        <v>1479</v>
      </c>
      <c r="P86" s="9" t="s">
        <v>946</v>
      </c>
      <c r="Q86" s="9" t="s">
        <v>947</v>
      </c>
      <c r="R86" s="9" t="s">
        <v>1480</v>
      </c>
      <c r="S86" s="9" t="s">
        <v>1481</v>
      </c>
      <c r="T86" s="9" t="s">
        <v>950</v>
      </c>
      <c r="U86" s="9" t="s">
        <v>1130</v>
      </c>
      <c r="V86" s="9" t="s">
        <v>1482</v>
      </c>
    </row>
    <row r="87" customFormat="false" ht="46.25" hidden="false" customHeight="false" outlineLevel="0" collapsed="false">
      <c r="A87" s="19" t="s">
        <v>1483</v>
      </c>
      <c r="B87" s="14" t="s">
        <v>1439</v>
      </c>
      <c r="C87" s="14" t="s">
        <v>953</v>
      </c>
      <c r="D87" s="14" t="s">
        <v>222</v>
      </c>
      <c r="E87" s="14" t="s">
        <v>1484</v>
      </c>
      <c r="F87" s="14" t="s">
        <v>225</v>
      </c>
      <c r="G87" s="14" t="s">
        <v>132</v>
      </c>
      <c r="H87" s="14" t="s">
        <v>118</v>
      </c>
      <c r="I87" s="14" t="s">
        <v>41</v>
      </c>
      <c r="J87" s="14"/>
      <c r="K87" s="20" t="n">
        <v>2600</v>
      </c>
      <c r="L87" s="14" t="s">
        <v>1485</v>
      </c>
      <c r="M87" s="14" t="s">
        <v>1486</v>
      </c>
      <c r="N87" s="16" t="n">
        <v>2</v>
      </c>
      <c r="O87" s="14" t="s">
        <v>1487</v>
      </c>
      <c r="P87" s="14" t="s">
        <v>984</v>
      </c>
      <c r="Q87" s="14" t="s">
        <v>985</v>
      </c>
      <c r="R87" s="14" t="s">
        <v>1488</v>
      </c>
      <c r="S87" s="14" t="s">
        <v>1489</v>
      </c>
      <c r="T87" s="14" t="s">
        <v>988</v>
      </c>
      <c r="U87" s="14" t="s">
        <v>1130</v>
      </c>
      <c r="V87" s="14" t="s">
        <v>1490</v>
      </c>
    </row>
    <row r="88" customFormat="false" ht="46.25" hidden="false" customHeight="false" outlineLevel="0" collapsed="false">
      <c r="A88" s="17" t="s">
        <v>1491</v>
      </c>
      <c r="B88" s="9" t="s">
        <v>1439</v>
      </c>
      <c r="C88" s="9" t="s">
        <v>1492</v>
      </c>
      <c r="D88" s="9" t="s">
        <v>575</v>
      </c>
      <c r="E88" s="9" t="s">
        <v>1493</v>
      </c>
      <c r="F88" s="9" t="s">
        <v>1494</v>
      </c>
      <c r="G88" s="9" t="s">
        <v>132</v>
      </c>
      <c r="H88" s="9" t="s">
        <v>118</v>
      </c>
      <c r="I88" s="9" t="s">
        <v>228</v>
      </c>
      <c r="J88" s="9" t="s">
        <v>1495</v>
      </c>
      <c r="K88" s="18" t="n">
        <v>2000</v>
      </c>
      <c r="L88" s="9" t="s">
        <v>1496</v>
      </c>
      <c r="M88" s="9" t="s">
        <v>1497</v>
      </c>
      <c r="N88" s="13" t="n">
        <v>1</v>
      </c>
      <c r="O88" s="9" t="s">
        <v>1498</v>
      </c>
      <c r="P88" s="9" t="s">
        <v>984</v>
      </c>
      <c r="Q88" s="9" t="s">
        <v>985</v>
      </c>
      <c r="R88" s="9" t="s">
        <v>1499</v>
      </c>
      <c r="S88" s="9" t="s">
        <v>1500</v>
      </c>
      <c r="T88" s="9" t="s">
        <v>988</v>
      </c>
      <c r="U88" s="9" t="s">
        <v>1130</v>
      </c>
      <c r="V88" s="9" t="s">
        <v>1501</v>
      </c>
    </row>
    <row r="89" customFormat="false" ht="68.65" hidden="false" customHeight="false" outlineLevel="0" collapsed="false">
      <c r="A89" s="19" t="s">
        <v>1502</v>
      </c>
      <c r="B89" s="14" t="s">
        <v>1439</v>
      </c>
      <c r="C89" s="14" t="s">
        <v>1492</v>
      </c>
      <c r="D89" s="14" t="s">
        <v>580</v>
      </c>
      <c r="E89" s="14" t="s">
        <v>1503</v>
      </c>
      <c r="F89" s="14" t="s">
        <v>1504</v>
      </c>
      <c r="G89" s="14" t="s">
        <v>132</v>
      </c>
      <c r="H89" s="14" t="s">
        <v>118</v>
      </c>
      <c r="I89" s="14" t="s">
        <v>520</v>
      </c>
      <c r="J89" s="14" t="s">
        <v>1505</v>
      </c>
      <c r="K89" s="20" t="n">
        <v>2200</v>
      </c>
      <c r="L89" s="14" t="s">
        <v>1506</v>
      </c>
      <c r="M89" s="14" t="s">
        <v>1507</v>
      </c>
      <c r="N89" s="16" t="n">
        <v>1</v>
      </c>
      <c r="O89" s="14" t="s">
        <v>1508</v>
      </c>
      <c r="P89" s="14" t="s">
        <v>984</v>
      </c>
      <c r="Q89" s="14" t="s">
        <v>985</v>
      </c>
      <c r="R89" s="14" t="s">
        <v>1509</v>
      </c>
      <c r="S89" s="14" t="s">
        <v>1510</v>
      </c>
      <c r="T89" s="14" t="s">
        <v>988</v>
      </c>
      <c r="U89" s="14" t="s">
        <v>1511</v>
      </c>
      <c r="V89" s="14" t="s">
        <v>1512</v>
      </c>
    </row>
    <row r="90" customFormat="false" ht="46.25" hidden="false" customHeight="false" outlineLevel="0" collapsed="false">
      <c r="A90" s="17" t="s">
        <v>1513</v>
      </c>
      <c r="B90" s="9" t="s">
        <v>1439</v>
      </c>
      <c r="C90" s="9" t="s">
        <v>1492</v>
      </c>
      <c r="D90" s="9" t="s">
        <v>701</v>
      </c>
      <c r="E90" s="9" t="s">
        <v>1514</v>
      </c>
      <c r="F90" s="9" t="s">
        <v>1515</v>
      </c>
      <c r="G90" s="9" t="s">
        <v>132</v>
      </c>
      <c r="H90" s="9" t="s">
        <v>118</v>
      </c>
      <c r="I90" s="9" t="s">
        <v>525</v>
      </c>
      <c r="J90" s="9" t="s">
        <v>1516</v>
      </c>
      <c r="K90" s="18" t="n">
        <v>1800</v>
      </c>
      <c r="L90" s="9" t="s">
        <v>1517</v>
      </c>
      <c r="M90" s="9" t="s">
        <v>1518</v>
      </c>
      <c r="N90" s="13" t="n">
        <v>2</v>
      </c>
      <c r="O90" s="9" t="s">
        <v>1519</v>
      </c>
      <c r="P90" s="9" t="s">
        <v>984</v>
      </c>
      <c r="Q90" s="9" t="s">
        <v>985</v>
      </c>
      <c r="R90" s="9" t="s">
        <v>1520</v>
      </c>
      <c r="S90" s="9" t="s">
        <v>1521</v>
      </c>
      <c r="T90" s="9" t="s">
        <v>988</v>
      </c>
      <c r="U90" s="9" t="s">
        <v>1130</v>
      </c>
      <c r="V90" s="9" t="s">
        <v>1522</v>
      </c>
    </row>
    <row r="91" customFormat="false" ht="46.25" hidden="false" customHeight="false" outlineLevel="0" collapsed="false">
      <c r="A91" s="19" t="s">
        <v>1523</v>
      </c>
      <c r="B91" s="14" t="s">
        <v>1439</v>
      </c>
      <c r="C91" s="14" t="s">
        <v>1492</v>
      </c>
      <c r="D91" s="14" t="s">
        <v>713</v>
      </c>
      <c r="E91" s="14" t="s">
        <v>529</v>
      </c>
      <c r="F91" s="14" t="s">
        <v>1524</v>
      </c>
      <c r="G91" s="14" t="s">
        <v>132</v>
      </c>
      <c r="H91" s="14" t="s">
        <v>118</v>
      </c>
      <c r="I91" s="14" t="s">
        <v>530</v>
      </c>
      <c r="J91" s="14" t="s">
        <v>1525</v>
      </c>
      <c r="K91" s="20" t="n">
        <v>1800</v>
      </c>
      <c r="L91" s="14" t="s">
        <v>1526</v>
      </c>
      <c r="M91" s="14" t="s">
        <v>1478</v>
      </c>
      <c r="N91" s="16" t="n">
        <v>2</v>
      </c>
      <c r="O91" s="14" t="s">
        <v>1527</v>
      </c>
      <c r="P91" s="14" t="s">
        <v>984</v>
      </c>
      <c r="Q91" s="14" t="s">
        <v>985</v>
      </c>
      <c r="R91" s="14" t="s">
        <v>1528</v>
      </c>
      <c r="S91" s="14" t="s">
        <v>1529</v>
      </c>
      <c r="T91" s="14" t="s">
        <v>988</v>
      </c>
      <c r="U91" s="14" t="s">
        <v>1130</v>
      </c>
      <c r="V91" s="14" t="s">
        <v>1530</v>
      </c>
    </row>
    <row r="92" customFormat="false" ht="57.45" hidden="false" customHeight="false" outlineLevel="0" collapsed="false">
      <c r="A92" s="17" t="s">
        <v>1531</v>
      </c>
      <c r="B92" s="9" t="s">
        <v>1439</v>
      </c>
      <c r="C92" s="9" t="s">
        <v>928</v>
      </c>
      <c r="D92" s="9" t="s">
        <v>390</v>
      </c>
      <c r="E92" s="9" t="s">
        <v>1532</v>
      </c>
      <c r="F92" s="9" t="s">
        <v>843</v>
      </c>
      <c r="G92" s="9" t="s">
        <v>49</v>
      </c>
      <c r="H92" s="9" t="s">
        <v>118</v>
      </c>
      <c r="I92" s="9" t="s">
        <v>41</v>
      </c>
      <c r="J92" s="9"/>
      <c r="K92" s="18" t="n">
        <v>2600</v>
      </c>
      <c r="L92" s="9" t="s">
        <v>1533</v>
      </c>
      <c r="M92" s="9" t="s">
        <v>1534</v>
      </c>
      <c r="N92" s="13" t="n">
        <v>1</v>
      </c>
      <c r="O92" s="9" t="s">
        <v>1535</v>
      </c>
      <c r="P92" s="9" t="s">
        <v>946</v>
      </c>
      <c r="Q92" s="9" t="s">
        <v>947</v>
      </c>
      <c r="R92" s="9" t="s">
        <v>1536</v>
      </c>
      <c r="S92" s="9" t="s">
        <v>1537</v>
      </c>
      <c r="T92" s="9" t="s">
        <v>950</v>
      </c>
      <c r="U92" s="9" t="s">
        <v>1538</v>
      </c>
      <c r="V92" s="9" t="s">
        <v>1539</v>
      </c>
    </row>
    <row r="93" customFormat="false" ht="57.45" hidden="false" customHeight="false" outlineLevel="0" collapsed="false">
      <c r="A93" s="19" t="s">
        <v>1540</v>
      </c>
      <c r="B93" s="14" t="s">
        <v>1439</v>
      </c>
      <c r="C93" s="14" t="s">
        <v>928</v>
      </c>
      <c r="D93" s="14" t="s">
        <v>412</v>
      </c>
      <c r="E93" s="14" t="s">
        <v>1541</v>
      </c>
      <c r="F93" s="14" t="s">
        <v>870</v>
      </c>
      <c r="G93" s="14" t="s">
        <v>132</v>
      </c>
      <c r="H93" s="14" t="s">
        <v>118</v>
      </c>
      <c r="I93" s="14" t="s">
        <v>41</v>
      </c>
      <c r="J93" s="14"/>
      <c r="K93" s="20" t="n">
        <v>2600</v>
      </c>
      <c r="L93" s="14" t="s">
        <v>1542</v>
      </c>
      <c r="M93" s="14" t="s">
        <v>1543</v>
      </c>
      <c r="N93" s="16" t="n">
        <v>1</v>
      </c>
      <c r="O93" s="14" t="s">
        <v>1544</v>
      </c>
      <c r="P93" s="14" t="s">
        <v>946</v>
      </c>
      <c r="Q93" s="14" t="s">
        <v>947</v>
      </c>
      <c r="R93" s="14" t="s">
        <v>1545</v>
      </c>
      <c r="S93" s="14" t="s">
        <v>1546</v>
      </c>
      <c r="T93" s="14" t="s">
        <v>950</v>
      </c>
      <c r="U93" s="14" t="s">
        <v>1538</v>
      </c>
      <c r="V93" s="14" t="s">
        <v>1547</v>
      </c>
    </row>
    <row r="94" customFormat="false" ht="57.45" hidden="false" customHeight="false" outlineLevel="0" collapsed="false">
      <c r="A94" s="17" t="s">
        <v>1548</v>
      </c>
      <c r="B94" s="9" t="s">
        <v>1439</v>
      </c>
      <c r="C94" s="9" t="s">
        <v>966</v>
      </c>
      <c r="D94" s="9" t="s">
        <v>405</v>
      </c>
      <c r="E94" s="9" t="s">
        <v>1549</v>
      </c>
      <c r="F94" s="9" t="s">
        <v>1550</v>
      </c>
      <c r="G94" s="9" t="s">
        <v>132</v>
      </c>
      <c r="H94" s="9" t="s">
        <v>118</v>
      </c>
      <c r="I94" s="9" t="s">
        <v>41</v>
      </c>
      <c r="J94" s="9"/>
      <c r="K94" s="18" t="n">
        <v>2400</v>
      </c>
      <c r="L94" s="9" t="s">
        <v>1551</v>
      </c>
      <c r="M94" s="9" t="s">
        <v>1552</v>
      </c>
      <c r="N94" s="13" t="n">
        <v>1</v>
      </c>
      <c r="O94" s="9" t="s">
        <v>1553</v>
      </c>
      <c r="P94" s="9" t="s">
        <v>958</v>
      </c>
      <c r="Q94" s="9" t="s">
        <v>959</v>
      </c>
      <c r="R94" s="9" t="s">
        <v>1554</v>
      </c>
      <c r="S94" s="9" t="s">
        <v>1555</v>
      </c>
      <c r="T94" s="9" t="s">
        <v>962</v>
      </c>
      <c r="U94" s="9" t="s">
        <v>1556</v>
      </c>
      <c r="V94" s="9" t="s">
        <v>1557</v>
      </c>
    </row>
    <row r="95" customFormat="false" ht="91" hidden="false" customHeight="false" outlineLevel="0" collapsed="false">
      <c r="A95" s="19" t="s">
        <v>1558</v>
      </c>
      <c r="B95" s="14" t="s">
        <v>1439</v>
      </c>
      <c r="C95" s="14" t="s">
        <v>953</v>
      </c>
      <c r="D95" s="14" t="s">
        <v>416</v>
      </c>
      <c r="E95" s="14" t="s">
        <v>1559</v>
      </c>
      <c r="F95" s="14" t="s">
        <v>872</v>
      </c>
      <c r="G95" s="14" t="s">
        <v>108</v>
      </c>
      <c r="H95" s="14" t="s">
        <v>118</v>
      </c>
      <c r="I95" s="14" t="s">
        <v>41</v>
      </c>
      <c r="J95" s="14"/>
      <c r="K95" s="20" t="n">
        <v>2000</v>
      </c>
      <c r="L95" s="14" t="s">
        <v>1560</v>
      </c>
      <c r="M95" s="14" t="s">
        <v>1561</v>
      </c>
      <c r="N95" s="16" t="n">
        <v>2</v>
      </c>
      <c r="O95" s="14" t="s">
        <v>1562</v>
      </c>
      <c r="P95" s="14" t="s">
        <v>1563</v>
      </c>
      <c r="Q95" s="14" t="s">
        <v>1564</v>
      </c>
      <c r="R95" s="14" t="s">
        <v>1565</v>
      </c>
      <c r="S95" s="14" t="s">
        <v>1566</v>
      </c>
      <c r="T95" s="14" t="s">
        <v>1567</v>
      </c>
      <c r="U95" s="14" t="s">
        <v>1568</v>
      </c>
      <c r="V95" s="14" t="s">
        <v>1569</v>
      </c>
    </row>
    <row r="96" customFormat="false" ht="57.45" hidden="false" customHeight="false" outlineLevel="0" collapsed="false">
      <c r="A96" s="17" t="s">
        <v>1570</v>
      </c>
      <c r="B96" s="9" t="s">
        <v>1439</v>
      </c>
      <c r="C96" s="9" t="s">
        <v>953</v>
      </c>
      <c r="D96" s="9" t="s">
        <v>421</v>
      </c>
      <c r="E96" s="9" t="s">
        <v>424</v>
      </c>
      <c r="F96" s="9" t="s">
        <v>873</v>
      </c>
      <c r="G96" s="9" t="s">
        <v>132</v>
      </c>
      <c r="H96" s="9" t="s">
        <v>118</v>
      </c>
      <c r="I96" s="9" t="s">
        <v>41</v>
      </c>
      <c r="J96" s="9"/>
      <c r="K96" s="18" t="n">
        <v>1800</v>
      </c>
      <c r="L96" s="9" t="s">
        <v>1560</v>
      </c>
      <c r="M96" s="9" t="s">
        <v>1571</v>
      </c>
      <c r="N96" s="13" t="n">
        <v>2</v>
      </c>
      <c r="O96" s="9" t="s">
        <v>1572</v>
      </c>
      <c r="P96" s="9" t="s">
        <v>946</v>
      </c>
      <c r="Q96" s="9" t="s">
        <v>947</v>
      </c>
      <c r="R96" s="9" t="s">
        <v>1573</v>
      </c>
      <c r="S96" s="9" t="s">
        <v>1574</v>
      </c>
      <c r="T96" s="9" t="s">
        <v>950</v>
      </c>
      <c r="U96" s="9" t="s">
        <v>1575</v>
      </c>
      <c r="V96" s="9" t="s">
        <v>1576</v>
      </c>
    </row>
    <row r="97" customFormat="false" ht="57.45" hidden="false" customHeight="false" outlineLevel="0" collapsed="false">
      <c r="A97" s="19" t="s">
        <v>1577</v>
      </c>
      <c r="B97" s="14" t="s">
        <v>1578</v>
      </c>
      <c r="C97" s="14" t="s">
        <v>928</v>
      </c>
      <c r="D97" s="14" t="s">
        <v>632</v>
      </c>
      <c r="E97" s="14" t="s">
        <v>1579</v>
      </c>
      <c r="F97" s="14" t="s">
        <v>797</v>
      </c>
      <c r="G97" s="14" t="s">
        <v>108</v>
      </c>
      <c r="H97" s="14" t="s">
        <v>177</v>
      </c>
      <c r="I97" s="14" t="s">
        <v>41</v>
      </c>
      <c r="J97" s="14"/>
      <c r="K97" s="20" t="n">
        <v>2400</v>
      </c>
      <c r="L97" s="14" t="s">
        <v>1580</v>
      </c>
      <c r="M97" s="14" t="s">
        <v>1305</v>
      </c>
      <c r="N97" s="16" t="n">
        <v>1</v>
      </c>
      <c r="O97" s="14" t="s">
        <v>1581</v>
      </c>
      <c r="P97" s="14" t="s">
        <v>1563</v>
      </c>
      <c r="Q97" s="14" t="s">
        <v>1564</v>
      </c>
      <c r="R97" s="14" t="s">
        <v>1582</v>
      </c>
      <c r="S97" s="14" t="s">
        <v>1583</v>
      </c>
      <c r="T97" s="14" t="s">
        <v>1567</v>
      </c>
      <c r="U97" s="14" t="s">
        <v>1584</v>
      </c>
      <c r="V97" s="14" t="s">
        <v>1585</v>
      </c>
    </row>
    <row r="98" customFormat="false" ht="46.25" hidden="false" customHeight="false" outlineLevel="0" collapsed="false">
      <c r="A98" s="17" t="s">
        <v>1586</v>
      </c>
      <c r="B98" s="9" t="s">
        <v>1578</v>
      </c>
      <c r="C98" s="9" t="s">
        <v>953</v>
      </c>
      <c r="D98" s="9" t="s">
        <v>647</v>
      </c>
      <c r="E98" s="9" t="s">
        <v>1587</v>
      </c>
      <c r="F98" s="9" t="s">
        <v>1588</v>
      </c>
      <c r="G98" s="9" t="s">
        <v>49</v>
      </c>
      <c r="H98" s="9" t="s">
        <v>173</v>
      </c>
      <c r="I98" s="9" t="s">
        <v>41</v>
      </c>
      <c r="J98" s="9"/>
      <c r="K98" s="18" t="n">
        <v>1600</v>
      </c>
      <c r="L98" s="9" t="s">
        <v>1589</v>
      </c>
      <c r="M98" s="9" t="s">
        <v>1590</v>
      </c>
      <c r="N98" s="13" t="n">
        <v>2</v>
      </c>
      <c r="O98" s="9" t="s">
        <v>1591</v>
      </c>
      <c r="P98" s="9" t="s">
        <v>972</v>
      </c>
      <c r="Q98" s="9" t="s">
        <v>973</v>
      </c>
      <c r="R98" s="9" t="s">
        <v>1592</v>
      </c>
      <c r="S98" s="9" t="s">
        <v>1593</v>
      </c>
      <c r="T98" s="9" t="s">
        <v>976</v>
      </c>
      <c r="U98" s="9" t="s">
        <v>939</v>
      </c>
      <c r="V98" s="9" t="s">
        <v>1594</v>
      </c>
    </row>
    <row r="99" customFormat="false" ht="46.25" hidden="false" customHeight="false" outlineLevel="0" collapsed="false">
      <c r="A99" s="19" t="s">
        <v>1595</v>
      </c>
      <c r="B99" s="14" t="s">
        <v>1578</v>
      </c>
      <c r="C99" s="14" t="s">
        <v>953</v>
      </c>
      <c r="D99" s="14" t="s">
        <v>653</v>
      </c>
      <c r="E99" s="14" t="s">
        <v>1596</v>
      </c>
      <c r="F99" s="14" t="s">
        <v>1597</v>
      </c>
      <c r="G99" s="14" t="s">
        <v>132</v>
      </c>
      <c r="H99" s="14" t="s">
        <v>118</v>
      </c>
      <c r="I99" s="14" t="s">
        <v>41</v>
      </c>
      <c r="J99" s="14"/>
      <c r="K99" s="20" t="n">
        <v>2200</v>
      </c>
      <c r="L99" s="14" t="s">
        <v>1598</v>
      </c>
      <c r="M99" s="14" t="s">
        <v>1599</v>
      </c>
      <c r="N99" s="16" t="n">
        <v>2</v>
      </c>
      <c r="O99" s="14" t="s">
        <v>1600</v>
      </c>
      <c r="P99" s="14" t="s">
        <v>972</v>
      </c>
      <c r="Q99" s="14" t="s">
        <v>973</v>
      </c>
      <c r="R99" s="14" t="s">
        <v>1601</v>
      </c>
      <c r="S99" s="14" t="s">
        <v>1602</v>
      </c>
      <c r="T99" s="14" t="s">
        <v>976</v>
      </c>
      <c r="U99" s="14" t="s">
        <v>939</v>
      </c>
      <c r="V99" s="14" t="s">
        <v>1603</v>
      </c>
    </row>
    <row r="100" customFormat="false" ht="46.25" hidden="false" customHeight="false" outlineLevel="0" collapsed="false">
      <c r="A100" s="17" t="s">
        <v>1604</v>
      </c>
      <c r="B100" s="9" t="s">
        <v>1578</v>
      </c>
      <c r="C100" s="9" t="s">
        <v>1605</v>
      </c>
      <c r="D100" s="9" t="s">
        <v>180</v>
      </c>
      <c r="E100" s="9" t="s">
        <v>1606</v>
      </c>
      <c r="F100" s="9" t="s">
        <v>841</v>
      </c>
      <c r="G100" s="9" t="s">
        <v>67</v>
      </c>
      <c r="H100" s="9" t="s">
        <v>118</v>
      </c>
      <c r="I100" s="9" t="s">
        <v>41</v>
      </c>
      <c r="J100" s="9"/>
      <c r="K100" s="18" t="n">
        <v>1600</v>
      </c>
      <c r="L100" s="9" t="s">
        <v>1607</v>
      </c>
      <c r="M100" s="9" t="s">
        <v>1608</v>
      </c>
      <c r="N100" s="13" t="n">
        <v>1</v>
      </c>
      <c r="O100" s="9" t="s">
        <v>1609</v>
      </c>
      <c r="P100" s="9" t="s">
        <v>995</v>
      </c>
      <c r="Q100" s="9" t="s">
        <v>996</v>
      </c>
      <c r="R100" s="9" t="s">
        <v>1610</v>
      </c>
      <c r="S100" s="9" t="s">
        <v>1611</v>
      </c>
      <c r="T100" s="9" t="s">
        <v>999</v>
      </c>
      <c r="U100" s="9" t="s">
        <v>1612</v>
      </c>
      <c r="V100" s="9" t="s">
        <v>1613</v>
      </c>
    </row>
    <row r="101" customFormat="false" ht="79.85" hidden="false" customHeight="false" outlineLevel="0" collapsed="false">
      <c r="A101" s="19" t="s">
        <v>1614</v>
      </c>
      <c r="B101" s="14" t="s">
        <v>1578</v>
      </c>
      <c r="C101" s="14" t="s">
        <v>953</v>
      </c>
      <c r="D101" s="14" t="s">
        <v>658</v>
      </c>
      <c r="E101" s="14" t="s">
        <v>1615</v>
      </c>
      <c r="F101" s="14" t="s">
        <v>1616</v>
      </c>
      <c r="G101" s="14" t="s">
        <v>132</v>
      </c>
      <c r="H101" s="14" t="s">
        <v>58</v>
      </c>
      <c r="I101" s="14" t="s">
        <v>41</v>
      </c>
      <c r="J101" s="14"/>
      <c r="K101" s="20" t="n">
        <v>2200</v>
      </c>
      <c r="L101" s="14" t="s">
        <v>1617</v>
      </c>
      <c r="M101" s="14" t="s">
        <v>1618</v>
      </c>
      <c r="N101" s="16" t="n">
        <v>1</v>
      </c>
      <c r="O101" s="14" t="s">
        <v>1619</v>
      </c>
      <c r="P101" s="14" t="s">
        <v>995</v>
      </c>
      <c r="Q101" s="14" t="s">
        <v>996</v>
      </c>
      <c r="R101" s="14" t="s">
        <v>1620</v>
      </c>
      <c r="S101" s="14" t="s">
        <v>1621</v>
      </c>
      <c r="T101" s="14" t="s">
        <v>999</v>
      </c>
      <c r="U101" s="14" t="s">
        <v>1622</v>
      </c>
      <c r="V101" s="14" t="s">
        <v>1623</v>
      </c>
    </row>
    <row r="102" customFormat="false" ht="91" hidden="false" customHeight="false" outlineLevel="0" collapsed="false">
      <c r="A102" s="17" t="s">
        <v>1624</v>
      </c>
      <c r="B102" s="9" t="s">
        <v>1578</v>
      </c>
      <c r="C102" s="9" t="s">
        <v>953</v>
      </c>
      <c r="D102" s="9" t="s">
        <v>426</v>
      </c>
      <c r="E102" s="9" t="s">
        <v>1625</v>
      </c>
      <c r="F102" s="9" t="s">
        <v>1626</v>
      </c>
      <c r="G102" s="9" t="s">
        <v>117</v>
      </c>
      <c r="H102" s="9" t="s">
        <v>58</v>
      </c>
      <c r="I102" s="9" t="s">
        <v>41</v>
      </c>
      <c r="J102" s="9"/>
      <c r="K102" s="18" t="n">
        <v>2000</v>
      </c>
      <c r="L102" s="9" t="s">
        <v>1627</v>
      </c>
      <c r="M102" s="9" t="s">
        <v>1628</v>
      </c>
      <c r="N102" s="13" t="n">
        <v>2</v>
      </c>
      <c r="O102" s="9" t="s">
        <v>1629</v>
      </c>
      <c r="P102" s="9" t="s">
        <v>995</v>
      </c>
      <c r="Q102" s="9" t="s">
        <v>996</v>
      </c>
      <c r="R102" s="9" t="s">
        <v>1630</v>
      </c>
      <c r="S102" s="9" t="s">
        <v>1631</v>
      </c>
      <c r="T102" s="9" t="s">
        <v>999</v>
      </c>
      <c r="U102" s="9" t="s">
        <v>1632</v>
      </c>
      <c r="V102" s="9" t="s">
        <v>1633</v>
      </c>
    </row>
    <row r="103" customFormat="false" ht="57.45" hidden="false" customHeight="false" outlineLevel="0" collapsed="false">
      <c r="A103" s="19" t="s">
        <v>1634</v>
      </c>
      <c r="B103" s="14" t="s">
        <v>1578</v>
      </c>
      <c r="C103" s="14" t="s">
        <v>953</v>
      </c>
      <c r="D103" s="14" t="s">
        <v>666</v>
      </c>
      <c r="E103" s="14" t="s">
        <v>1635</v>
      </c>
      <c r="F103" s="14" t="s">
        <v>1636</v>
      </c>
      <c r="G103" s="14" t="s">
        <v>108</v>
      </c>
      <c r="H103" s="14" t="s">
        <v>118</v>
      </c>
      <c r="I103" s="14" t="s">
        <v>41</v>
      </c>
      <c r="J103" s="14"/>
      <c r="K103" s="20" t="n">
        <v>1600</v>
      </c>
      <c r="L103" s="14" t="s">
        <v>1637</v>
      </c>
      <c r="M103" s="14" t="s">
        <v>1628</v>
      </c>
      <c r="N103" s="16" t="n">
        <v>2</v>
      </c>
      <c r="O103" s="14" t="s">
        <v>1638</v>
      </c>
      <c r="P103" s="14" t="s">
        <v>946</v>
      </c>
      <c r="Q103" s="14" t="s">
        <v>947</v>
      </c>
      <c r="R103" s="14" t="s">
        <v>1639</v>
      </c>
      <c r="S103" s="14" t="s">
        <v>1640</v>
      </c>
      <c r="T103" s="14" t="s">
        <v>950</v>
      </c>
      <c r="U103" s="14" t="s">
        <v>1641</v>
      </c>
      <c r="V103" s="14" t="s">
        <v>1642</v>
      </c>
    </row>
    <row r="104" customFormat="false" ht="57.45" hidden="false" customHeight="false" outlineLevel="0" collapsed="false">
      <c r="A104" s="17" t="s">
        <v>1643</v>
      </c>
      <c r="B104" s="9" t="s">
        <v>1578</v>
      </c>
      <c r="C104" s="9" t="s">
        <v>953</v>
      </c>
      <c r="D104" s="9" t="s">
        <v>672</v>
      </c>
      <c r="E104" s="9" t="s">
        <v>1644</v>
      </c>
      <c r="F104" s="9" t="s">
        <v>1645</v>
      </c>
      <c r="G104" s="9" t="s">
        <v>67</v>
      </c>
      <c r="H104" s="9" t="s">
        <v>58</v>
      </c>
      <c r="I104" s="9" t="s">
        <v>41</v>
      </c>
      <c r="J104" s="9"/>
      <c r="K104" s="18" t="n">
        <v>2000</v>
      </c>
      <c r="L104" s="9" t="s">
        <v>1646</v>
      </c>
      <c r="M104" s="9" t="s">
        <v>1647</v>
      </c>
      <c r="N104" s="13" t="n">
        <v>1</v>
      </c>
      <c r="O104" s="9" t="s">
        <v>1648</v>
      </c>
      <c r="P104" s="9" t="s">
        <v>934</v>
      </c>
      <c r="Q104" s="9" t="s">
        <v>935</v>
      </c>
      <c r="R104" s="9" t="s">
        <v>1649</v>
      </c>
      <c r="S104" s="9" t="s">
        <v>1650</v>
      </c>
      <c r="T104" s="9" t="s">
        <v>938</v>
      </c>
      <c r="U104" s="9" t="s">
        <v>1139</v>
      </c>
      <c r="V104" s="9" t="s">
        <v>1651</v>
      </c>
    </row>
    <row r="105" customFormat="false" ht="68.65" hidden="false" customHeight="false" outlineLevel="0" collapsed="false">
      <c r="A105" s="19" t="s">
        <v>1652</v>
      </c>
      <c r="B105" s="14" t="s">
        <v>1578</v>
      </c>
      <c r="C105" s="14" t="s">
        <v>928</v>
      </c>
      <c r="D105" s="14" t="s">
        <v>328</v>
      </c>
      <c r="E105" s="14" t="s">
        <v>1653</v>
      </c>
      <c r="F105" s="14" t="s">
        <v>1654</v>
      </c>
      <c r="G105" s="14" t="s">
        <v>117</v>
      </c>
      <c r="H105" s="14" t="s">
        <v>58</v>
      </c>
      <c r="I105" s="14" t="s">
        <v>41</v>
      </c>
      <c r="J105" s="14"/>
      <c r="K105" s="20" t="n">
        <v>2400</v>
      </c>
      <c r="L105" s="14" t="s">
        <v>1655</v>
      </c>
      <c r="M105" s="14" t="s">
        <v>1656</v>
      </c>
      <c r="N105" s="16" t="n">
        <v>1</v>
      </c>
      <c r="O105" s="14" t="s">
        <v>1657</v>
      </c>
      <c r="P105" s="14" t="s">
        <v>995</v>
      </c>
      <c r="Q105" s="14" t="s">
        <v>996</v>
      </c>
      <c r="R105" s="14" t="s">
        <v>1658</v>
      </c>
      <c r="S105" s="14" t="s">
        <v>1659</v>
      </c>
      <c r="T105" s="14" t="s">
        <v>999</v>
      </c>
      <c r="U105" s="14" t="s">
        <v>1660</v>
      </c>
      <c r="V105" s="14" t="s">
        <v>1073</v>
      </c>
    </row>
    <row r="106" customFormat="false" ht="46.25" hidden="false" customHeight="false" outlineLevel="0" collapsed="false">
      <c r="A106" s="17" t="s">
        <v>1661</v>
      </c>
      <c r="B106" s="9" t="s">
        <v>1662</v>
      </c>
      <c r="C106" s="9" t="s">
        <v>1448</v>
      </c>
      <c r="D106" s="9" t="s">
        <v>194</v>
      </c>
      <c r="E106" s="9" t="s">
        <v>1663</v>
      </c>
      <c r="F106" s="9" t="s">
        <v>1664</v>
      </c>
      <c r="G106" s="9" t="s">
        <v>39</v>
      </c>
      <c r="H106" s="9" t="s">
        <v>58</v>
      </c>
      <c r="I106" s="9" t="s">
        <v>41</v>
      </c>
      <c r="J106" s="9"/>
      <c r="K106" s="18" t="n">
        <v>2400</v>
      </c>
      <c r="L106" s="9" t="s">
        <v>1665</v>
      </c>
      <c r="M106" s="9" t="s">
        <v>1666</v>
      </c>
      <c r="N106" s="13" t="n">
        <v>1</v>
      </c>
      <c r="O106" s="9" t="s">
        <v>1667</v>
      </c>
      <c r="P106" s="9" t="s">
        <v>1104</v>
      </c>
      <c r="Q106" s="9" t="s">
        <v>1105</v>
      </c>
      <c r="R106" s="9" t="s">
        <v>1668</v>
      </c>
      <c r="S106" s="9" t="s">
        <v>1669</v>
      </c>
      <c r="T106" s="9" t="s">
        <v>1108</v>
      </c>
      <c r="U106" s="9" t="s">
        <v>1670</v>
      </c>
      <c r="V106" s="9" t="s">
        <v>1671</v>
      </c>
    </row>
    <row r="107" customFormat="false" ht="68.65" hidden="false" customHeight="false" outlineLevel="0" collapsed="false">
      <c r="A107" s="19" t="s">
        <v>1672</v>
      </c>
      <c r="B107" s="14" t="s">
        <v>1662</v>
      </c>
      <c r="C107" s="14" t="s">
        <v>1492</v>
      </c>
      <c r="D107" s="14" t="s">
        <v>680</v>
      </c>
      <c r="E107" s="14" t="s">
        <v>1673</v>
      </c>
      <c r="F107" s="14" t="s">
        <v>1674</v>
      </c>
      <c r="G107" s="14" t="s">
        <v>67</v>
      </c>
      <c r="H107" s="14" t="s">
        <v>118</v>
      </c>
      <c r="I107" s="14" t="s">
        <v>228</v>
      </c>
      <c r="J107" s="14" t="s">
        <v>1675</v>
      </c>
      <c r="K107" s="20" t="n">
        <v>2400</v>
      </c>
      <c r="L107" s="14" t="s">
        <v>1676</v>
      </c>
      <c r="M107" s="14" t="s">
        <v>1677</v>
      </c>
      <c r="N107" s="16" t="n">
        <v>1</v>
      </c>
      <c r="O107" s="14" t="s">
        <v>1678</v>
      </c>
      <c r="P107" s="14" t="s">
        <v>1104</v>
      </c>
      <c r="Q107" s="14" t="s">
        <v>1105</v>
      </c>
      <c r="R107" s="14" t="s">
        <v>1679</v>
      </c>
      <c r="S107" s="14" t="s">
        <v>1680</v>
      </c>
      <c r="T107" s="14" t="s">
        <v>1108</v>
      </c>
      <c r="U107" s="14" t="s">
        <v>1681</v>
      </c>
      <c r="V107" s="14" t="s">
        <v>1682</v>
      </c>
    </row>
    <row r="108" customFormat="false" ht="91" hidden="false" customHeight="false" outlineLevel="0" collapsed="false">
      <c r="A108" s="17" t="s">
        <v>1683</v>
      </c>
      <c r="B108" s="9" t="s">
        <v>1662</v>
      </c>
      <c r="C108" s="9" t="s">
        <v>1492</v>
      </c>
      <c r="D108" s="9" t="s">
        <v>744</v>
      </c>
      <c r="E108" s="9" t="s">
        <v>1684</v>
      </c>
      <c r="F108" s="9" t="s">
        <v>1685</v>
      </c>
      <c r="G108" s="9" t="s">
        <v>67</v>
      </c>
      <c r="H108" s="9" t="s">
        <v>118</v>
      </c>
      <c r="I108" s="9" t="s">
        <v>740</v>
      </c>
      <c r="J108" s="9" t="s">
        <v>1686</v>
      </c>
      <c r="K108" s="18" t="n">
        <v>2000</v>
      </c>
      <c r="L108" s="9" t="s">
        <v>1687</v>
      </c>
      <c r="M108" s="9" t="s">
        <v>1688</v>
      </c>
      <c r="N108" s="13" t="n">
        <v>1</v>
      </c>
      <c r="O108" s="9" t="s">
        <v>1689</v>
      </c>
      <c r="P108" s="9" t="s">
        <v>1104</v>
      </c>
      <c r="Q108" s="9" t="s">
        <v>1105</v>
      </c>
      <c r="R108" s="9" t="s">
        <v>1690</v>
      </c>
      <c r="S108" s="9" t="s">
        <v>1691</v>
      </c>
      <c r="T108" s="9" t="s">
        <v>1108</v>
      </c>
      <c r="U108" s="9" t="s">
        <v>1692</v>
      </c>
      <c r="V108" s="9" t="s">
        <v>1693</v>
      </c>
    </row>
    <row r="109" customFormat="false" ht="68.65" hidden="false" customHeight="false" outlineLevel="0" collapsed="false">
      <c r="A109" s="19" t="s">
        <v>1694</v>
      </c>
      <c r="B109" s="14" t="s">
        <v>1662</v>
      </c>
      <c r="C109" s="14" t="s">
        <v>1492</v>
      </c>
      <c r="D109" s="14" t="s">
        <v>693</v>
      </c>
      <c r="E109" s="14" t="s">
        <v>1695</v>
      </c>
      <c r="F109" s="14" t="s">
        <v>1696</v>
      </c>
      <c r="G109" s="14" t="s">
        <v>67</v>
      </c>
      <c r="H109" s="14" t="s">
        <v>118</v>
      </c>
      <c r="I109" s="14" t="s">
        <v>520</v>
      </c>
      <c r="J109" s="14" t="s">
        <v>1697</v>
      </c>
      <c r="K109" s="20" t="n">
        <v>2400</v>
      </c>
      <c r="L109" s="14" t="s">
        <v>1698</v>
      </c>
      <c r="M109" s="14" t="s">
        <v>1699</v>
      </c>
      <c r="N109" s="16" t="n">
        <v>1</v>
      </c>
      <c r="O109" s="14" t="s">
        <v>1700</v>
      </c>
      <c r="P109" s="14" t="s">
        <v>1104</v>
      </c>
      <c r="Q109" s="14" t="s">
        <v>1105</v>
      </c>
      <c r="R109" s="14" t="s">
        <v>1701</v>
      </c>
      <c r="S109" s="14" t="s">
        <v>1702</v>
      </c>
      <c r="T109" s="14" t="s">
        <v>1108</v>
      </c>
      <c r="U109" s="14" t="s">
        <v>1703</v>
      </c>
      <c r="V109" s="14" t="s">
        <v>1704</v>
      </c>
    </row>
    <row r="110" customFormat="false" ht="46.25" hidden="false" customHeight="false" outlineLevel="0" collapsed="false">
      <c r="A110" s="17" t="s">
        <v>1705</v>
      </c>
      <c r="B110" s="9" t="s">
        <v>1662</v>
      </c>
      <c r="C110" s="9" t="s">
        <v>1492</v>
      </c>
      <c r="D110" s="9" t="s">
        <v>701</v>
      </c>
      <c r="E110" s="9" t="s">
        <v>1706</v>
      </c>
      <c r="F110" s="9" t="s">
        <v>1707</v>
      </c>
      <c r="G110" s="9" t="s">
        <v>67</v>
      </c>
      <c r="H110" s="9" t="s">
        <v>118</v>
      </c>
      <c r="I110" s="9" t="s">
        <v>525</v>
      </c>
      <c r="J110" s="9" t="s">
        <v>1708</v>
      </c>
      <c r="K110" s="18" t="n">
        <v>2000</v>
      </c>
      <c r="L110" s="9" t="s">
        <v>1709</v>
      </c>
      <c r="M110" s="9" t="s">
        <v>1699</v>
      </c>
      <c r="N110" s="13" t="n">
        <v>2</v>
      </c>
      <c r="O110" s="9" t="s">
        <v>1710</v>
      </c>
      <c r="P110" s="9" t="s">
        <v>1104</v>
      </c>
      <c r="Q110" s="9" t="s">
        <v>1105</v>
      </c>
      <c r="R110" s="9" t="s">
        <v>1711</v>
      </c>
      <c r="S110" s="9" t="s">
        <v>1712</v>
      </c>
      <c r="T110" s="9" t="s">
        <v>1108</v>
      </c>
      <c r="U110" s="9" t="s">
        <v>1130</v>
      </c>
      <c r="V110" s="9" t="s">
        <v>1713</v>
      </c>
    </row>
    <row r="111" customFormat="false" ht="46.25" hidden="false" customHeight="false" outlineLevel="0" collapsed="false">
      <c r="A111" s="19" t="s">
        <v>1714</v>
      </c>
      <c r="B111" s="14" t="s">
        <v>1662</v>
      </c>
      <c r="C111" s="14" t="s">
        <v>1492</v>
      </c>
      <c r="D111" s="14" t="s">
        <v>749</v>
      </c>
      <c r="E111" s="14" t="s">
        <v>1715</v>
      </c>
      <c r="F111" s="14" t="s">
        <v>1716</v>
      </c>
      <c r="G111" s="14" t="s">
        <v>67</v>
      </c>
      <c r="H111" s="14" t="s">
        <v>118</v>
      </c>
      <c r="I111" s="14" t="s">
        <v>750</v>
      </c>
      <c r="J111" s="14" t="s">
        <v>1717</v>
      </c>
      <c r="K111" s="20" t="n">
        <v>1600</v>
      </c>
      <c r="L111" s="14" t="s">
        <v>1718</v>
      </c>
      <c r="M111" s="14" t="s">
        <v>1688</v>
      </c>
      <c r="N111" s="16" t="n">
        <v>3</v>
      </c>
      <c r="O111" s="14" t="s">
        <v>1719</v>
      </c>
      <c r="P111" s="14" t="s">
        <v>1104</v>
      </c>
      <c r="Q111" s="14" t="s">
        <v>1105</v>
      </c>
      <c r="R111" s="14" t="s">
        <v>1720</v>
      </c>
      <c r="S111" s="14" t="s">
        <v>1721</v>
      </c>
      <c r="T111" s="14" t="s">
        <v>1108</v>
      </c>
      <c r="U111" s="14" t="s">
        <v>1130</v>
      </c>
      <c r="V111" s="14" t="s">
        <v>1722</v>
      </c>
    </row>
    <row r="112" customFormat="false" ht="57.45" hidden="false" customHeight="false" outlineLevel="0" collapsed="false">
      <c r="A112" s="17" t="s">
        <v>1723</v>
      </c>
      <c r="B112" s="9" t="s">
        <v>1662</v>
      </c>
      <c r="C112" s="9" t="s">
        <v>1492</v>
      </c>
      <c r="D112" s="9" t="s">
        <v>713</v>
      </c>
      <c r="E112" s="9" t="s">
        <v>1724</v>
      </c>
      <c r="F112" s="9" t="s">
        <v>1725</v>
      </c>
      <c r="G112" s="9" t="s">
        <v>67</v>
      </c>
      <c r="H112" s="9" t="s">
        <v>118</v>
      </c>
      <c r="I112" s="9" t="s">
        <v>1726</v>
      </c>
      <c r="J112" s="9" t="s">
        <v>1727</v>
      </c>
      <c r="K112" s="18" t="n">
        <v>2600</v>
      </c>
      <c r="L112" s="9" t="s">
        <v>1728</v>
      </c>
      <c r="M112" s="9" t="s">
        <v>1729</v>
      </c>
      <c r="N112" s="13" t="n">
        <v>3</v>
      </c>
      <c r="O112" s="9" t="s">
        <v>1730</v>
      </c>
      <c r="P112" s="9" t="s">
        <v>1104</v>
      </c>
      <c r="Q112" s="9" t="s">
        <v>1105</v>
      </c>
      <c r="R112" s="9" t="s">
        <v>1731</v>
      </c>
      <c r="S112" s="9" t="s">
        <v>1732</v>
      </c>
      <c r="T112" s="9" t="s">
        <v>1108</v>
      </c>
      <c r="U112" s="9" t="s">
        <v>1130</v>
      </c>
      <c r="V112" s="9" t="s">
        <v>1733</v>
      </c>
    </row>
    <row r="113" customFormat="false" ht="68.65" hidden="false" customHeight="false" outlineLevel="0" collapsed="false">
      <c r="A113" s="19" t="s">
        <v>1734</v>
      </c>
      <c r="B113" s="14" t="s">
        <v>1662</v>
      </c>
      <c r="C113" s="14" t="s">
        <v>1605</v>
      </c>
      <c r="D113" s="14" t="s">
        <v>1735</v>
      </c>
      <c r="E113" s="14" t="s">
        <v>1736</v>
      </c>
      <c r="F113" s="14" t="s">
        <v>1737</v>
      </c>
      <c r="G113" s="14" t="s">
        <v>39</v>
      </c>
      <c r="H113" s="14" t="s">
        <v>58</v>
      </c>
      <c r="I113" s="14" t="s">
        <v>41</v>
      </c>
      <c r="J113" s="14"/>
      <c r="K113" s="20" t="n">
        <v>4000</v>
      </c>
      <c r="L113" s="14" t="s">
        <v>1738</v>
      </c>
      <c r="M113" s="14" t="s">
        <v>1739</v>
      </c>
      <c r="N113" s="16" t="n">
        <v>1</v>
      </c>
      <c r="O113" s="14" t="s">
        <v>1740</v>
      </c>
      <c r="P113" s="14" t="s">
        <v>946</v>
      </c>
      <c r="Q113" s="14" t="s">
        <v>947</v>
      </c>
      <c r="R113" s="14" t="s">
        <v>1741</v>
      </c>
      <c r="S113" s="14" t="s">
        <v>1742</v>
      </c>
      <c r="T113" s="14" t="s">
        <v>950</v>
      </c>
      <c r="U113" s="14" t="s">
        <v>1743</v>
      </c>
      <c r="V113" s="14" t="s">
        <v>1744</v>
      </c>
    </row>
  </sheetData>
  <autoFilter ref="A23:V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4"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3" min="3" style="0" width="68"/>
    <col collapsed="false" customWidth="true" hidden="false" outlineLevel="0" max="4" min="4" style="0" width="74"/>
    <col collapsed="false" customWidth="true" hidden="false" outlineLevel="0" max="5" min="5" style="0" width="62"/>
    <col collapsed="false" customWidth="true" hidden="false" outlineLevel="0" max="6" min="6" style="0" width="22"/>
    <col collapsed="false" customWidth="true" hidden="false" outlineLevel="0" max="7" min="7" style="0" width="30"/>
  </cols>
  <sheetData>
    <row r="1" customFormat="false" ht="35.8" hidden="false" customHeight="false" outlineLevel="0" collapsed="false">
      <c r="A1" s="1" t="s">
        <v>1745</v>
      </c>
    </row>
    <row r="2" customFormat="false" ht="32.8" hidden="false" customHeight="false" outlineLevel="0" collapsed="false">
      <c r="A2" s="2" t="s">
        <v>1746</v>
      </c>
    </row>
    <row r="4" customFormat="false" ht="15" hidden="false" customHeight="false" outlineLevel="0" collapsed="false">
      <c r="A4" s="3" t="s">
        <v>2</v>
      </c>
    </row>
    <row r="5" customFormat="false" ht="12.75" hidden="false" customHeight="true" outlineLevel="0" collapsed="false">
      <c r="A5" s="4" t="s">
        <v>1747</v>
      </c>
    </row>
    <row r="6" customFormat="false" ht="12.75" hidden="false" customHeight="true" outlineLevel="0" collapsed="false">
      <c r="A6" s="4" t="s">
        <v>1748</v>
      </c>
    </row>
    <row r="7" customFormat="false" ht="12.75" hidden="false" customHeight="true" outlineLevel="0" collapsed="false">
      <c r="A7" s="4" t="s">
        <v>1749</v>
      </c>
    </row>
    <row r="8" customFormat="false" ht="12.75" hidden="false" customHeight="true" outlineLevel="0" collapsed="false">
      <c r="A8" s="4" t="s">
        <v>1750</v>
      </c>
    </row>
    <row r="9" customFormat="false" ht="12.75" hidden="false" customHeight="true" outlineLevel="0" collapsed="false">
      <c r="A9" s="5" t="s">
        <v>1751</v>
      </c>
    </row>
    <row r="10" customFormat="false" ht="12.75" hidden="false" customHeight="true" outlineLevel="0" collapsed="false">
      <c r="A10" s="5" t="s">
        <v>1752</v>
      </c>
    </row>
    <row r="11" customFormat="false" ht="12.75" hidden="false" customHeight="true" outlineLevel="0" collapsed="false">
      <c r="A11" s="4" t="s">
        <v>1753</v>
      </c>
    </row>
    <row r="14" customFormat="false" ht="33.75" hidden="false" customHeight="true" outlineLevel="0" collapsed="false">
      <c r="A14" s="8" t="s">
        <v>1754</v>
      </c>
      <c r="B14" s="8" t="s">
        <v>1755</v>
      </c>
      <c r="C14" s="8" t="s">
        <v>1756</v>
      </c>
      <c r="D14" s="8" t="s">
        <v>1757</v>
      </c>
      <c r="E14" s="8" t="s">
        <v>1758</v>
      </c>
      <c r="F14" s="8" t="s">
        <v>1759</v>
      </c>
      <c r="G14" s="8" t="s">
        <v>1760</v>
      </c>
    </row>
    <row r="15" customFormat="false" ht="18" hidden="false" customHeight="true" outlineLevel="0" collapsed="false">
      <c r="A15" s="21" t="s">
        <v>1761</v>
      </c>
      <c r="B15" s="21"/>
      <c r="C15" s="21"/>
      <c r="D15" s="21"/>
      <c r="E15" s="21"/>
      <c r="F15" s="21"/>
      <c r="G15" s="21"/>
    </row>
    <row r="16" customFormat="false" ht="23.85" hidden="false" customHeight="false" outlineLevel="0" collapsed="false">
      <c r="A16" s="22" t="s">
        <v>1761</v>
      </c>
      <c r="B16" s="23" t="s">
        <v>1762</v>
      </c>
      <c r="C16" s="9" t="s">
        <v>1763</v>
      </c>
      <c r="D16" s="9" t="s">
        <v>1764</v>
      </c>
      <c r="E16" s="9" t="s">
        <v>1765</v>
      </c>
      <c r="F16" s="9" t="s">
        <v>1766</v>
      </c>
      <c r="G16" s="9" t="s">
        <v>1767</v>
      </c>
    </row>
    <row r="17" customFormat="false" ht="23.85" hidden="false" customHeight="false" outlineLevel="0" collapsed="false">
      <c r="A17" s="24" t="s">
        <v>1761</v>
      </c>
      <c r="B17" s="25" t="s">
        <v>1768</v>
      </c>
      <c r="C17" s="14" t="s">
        <v>1769</v>
      </c>
      <c r="D17" s="14" t="s">
        <v>1770</v>
      </c>
      <c r="E17" s="14" t="s">
        <v>1771</v>
      </c>
      <c r="F17" s="14" t="s">
        <v>1772</v>
      </c>
      <c r="G17" s="14" t="s">
        <v>1767</v>
      </c>
    </row>
    <row r="18" customFormat="false" ht="23.85" hidden="false" customHeight="false" outlineLevel="0" collapsed="false">
      <c r="A18" s="22" t="s">
        <v>1761</v>
      </c>
      <c r="B18" s="23" t="s">
        <v>1773</v>
      </c>
      <c r="C18" s="9" t="s">
        <v>1774</v>
      </c>
      <c r="D18" s="9" t="s">
        <v>1775</v>
      </c>
      <c r="E18" s="9" t="s">
        <v>1776</v>
      </c>
      <c r="F18" s="9" t="s">
        <v>1766</v>
      </c>
      <c r="G18" s="9" t="s">
        <v>1767</v>
      </c>
    </row>
    <row r="19" customFormat="false" ht="23.85" hidden="false" customHeight="false" outlineLevel="0" collapsed="false">
      <c r="A19" s="24" t="s">
        <v>1761</v>
      </c>
      <c r="B19" s="25" t="s">
        <v>1777</v>
      </c>
      <c r="C19" s="14" t="s">
        <v>1778</v>
      </c>
      <c r="D19" s="14" t="s">
        <v>1779</v>
      </c>
      <c r="E19" s="14" t="s">
        <v>1780</v>
      </c>
      <c r="F19" s="14" t="s">
        <v>1766</v>
      </c>
      <c r="G19" s="14" t="s">
        <v>1767</v>
      </c>
    </row>
    <row r="20" customFormat="false" ht="15" hidden="false" customHeight="false" outlineLevel="0" collapsed="false">
      <c r="A20" s="22" t="s">
        <v>1761</v>
      </c>
      <c r="B20" s="23" t="s">
        <v>1781</v>
      </c>
      <c r="C20" s="9" t="s">
        <v>1782</v>
      </c>
      <c r="D20" s="9" t="s">
        <v>1783</v>
      </c>
      <c r="E20" s="9" t="s">
        <v>1784</v>
      </c>
      <c r="F20" s="9" t="s">
        <v>1766</v>
      </c>
      <c r="G20" s="9" t="s">
        <v>1767</v>
      </c>
    </row>
    <row r="21" customFormat="false" ht="15" hidden="false" customHeight="false" outlineLevel="0" collapsed="false">
      <c r="A21" s="24" t="s">
        <v>1761</v>
      </c>
      <c r="B21" s="25" t="s">
        <v>1785</v>
      </c>
      <c r="C21" s="14" t="s">
        <v>1786</v>
      </c>
      <c r="D21" s="14" t="s">
        <v>1787</v>
      </c>
      <c r="E21" s="14" t="s">
        <v>1788</v>
      </c>
      <c r="F21" s="14" t="s">
        <v>1789</v>
      </c>
      <c r="G21" s="14" t="s">
        <v>1767</v>
      </c>
    </row>
    <row r="22" customFormat="false" ht="18" hidden="false" customHeight="true" outlineLevel="0" collapsed="false">
      <c r="A22" s="21" t="s">
        <v>1790</v>
      </c>
      <c r="B22" s="21"/>
      <c r="C22" s="21"/>
      <c r="D22" s="21"/>
      <c r="E22" s="21"/>
      <c r="F22" s="21"/>
      <c r="G22" s="21"/>
    </row>
    <row r="23" customFormat="false" ht="23.85" hidden="false" customHeight="false" outlineLevel="0" collapsed="false">
      <c r="A23" s="22" t="s">
        <v>1790</v>
      </c>
      <c r="B23" s="23" t="s">
        <v>1791</v>
      </c>
      <c r="C23" s="9" t="s">
        <v>1792</v>
      </c>
      <c r="D23" s="9" t="s">
        <v>1793</v>
      </c>
      <c r="E23" s="9" t="s">
        <v>1794</v>
      </c>
      <c r="F23" s="9" t="s">
        <v>1766</v>
      </c>
      <c r="G23" s="9" t="s">
        <v>1767</v>
      </c>
    </row>
    <row r="24" customFormat="false" ht="23.85" hidden="false" customHeight="false" outlineLevel="0" collapsed="false">
      <c r="A24" s="24" t="s">
        <v>1790</v>
      </c>
      <c r="B24" s="25" t="s">
        <v>1795</v>
      </c>
      <c r="C24" s="14" t="s">
        <v>1796</v>
      </c>
      <c r="D24" s="14" t="s">
        <v>1797</v>
      </c>
      <c r="E24" s="14" t="s">
        <v>1798</v>
      </c>
      <c r="F24" s="14" t="s">
        <v>1766</v>
      </c>
      <c r="G24" s="14" t="s">
        <v>1767</v>
      </c>
    </row>
    <row r="25" customFormat="false" ht="23.85" hidden="false" customHeight="false" outlineLevel="0" collapsed="false">
      <c r="A25" s="22" t="s">
        <v>1790</v>
      </c>
      <c r="B25" s="23" t="s">
        <v>1799</v>
      </c>
      <c r="C25" s="9" t="s">
        <v>1800</v>
      </c>
      <c r="D25" s="9" t="s">
        <v>1801</v>
      </c>
      <c r="E25" s="9" t="s">
        <v>1802</v>
      </c>
      <c r="F25" s="9" t="s">
        <v>1789</v>
      </c>
      <c r="G25" s="9" t="s">
        <v>1767</v>
      </c>
    </row>
    <row r="26" customFormat="false" ht="15" hidden="false" customHeight="false" outlineLevel="0" collapsed="false">
      <c r="A26" s="24" t="s">
        <v>1790</v>
      </c>
      <c r="B26" s="25" t="s">
        <v>1803</v>
      </c>
      <c r="C26" s="14" t="s">
        <v>1804</v>
      </c>
      <c r="D26" s="14" t="s">
        <v>1805</v>
      </c>
      <c r="E26" s="14" t="s">
        <v>1806</v>
      </c>
      <c r="F26" s="14" t="s">
        <v>1766</v>
      </c>
      <c r="G26" s="14" t="s">
        <v>1767</v>
      </c>
    </row>
    <row r="27" customFormat="false" ht="15" hidden="false" customHeight="false" outlineLevel="0" collapsed="false">
      <c r="A27" s="22" t="s">
        <v>1790</v>
      </c>
      <c r="B27" s="23" t="s">
        <v>1807</v>
      </c>
      <c r="C27" s="9" t="s">
        <v>1808</v>
      </c>
      <c r="D27" s="9" t="s">
        <v>1809</v>
      </c>
      <c r="E27" s="9" t="s">
        <v>1810</v>
      </c>
      <c r="F27" s="9" t="s">
        <v>1789</v>
      </c>
      <c r="G27" s="9" t="s">
        <v>1767</v>
      </c>
    </row>
    <row r="28" customFormat="false" ht="15" hidden="false" customHeight="false" outlineLevel="0" collapsed="false">
      <c r="A28" s="24" t="s">
        <v>1790</v>
      </c>
      <c r="B28" s="25" t="s">
        <v>1811</v>
      </c>
      <c r="C28" s="14" t="s">
        <v>1812</v>
      </c>
      <c r="D28" s="14" t="s">
        <v>1813</v>
      </c>
      <c r="E28" s="14" t="s">
        <v>1814</v>
      </c>
      <c r="F28" s="14" t="s">
        <v>1766</v>
      </c>
      <c r="G28" s="14" t="s">
        <v>1767</v>
      </c>
    </row>
    <row r="29" customFormat="false" ht="23.85" hidden="false" customHeight="false" outlineLevel="0" collapsed="false">
      <c r="A29" s="22" t="s">
        <v>1790</v>
      </c>
      <c r="B29" s="23" t="s">
        <v>1815</v>
      </c>
      <c r="C29" s="9" t="s">
        <v>1816</v>
      </c>
      <c r="D29" s="9" t="s">
        <v>1817</v>
      </c>
      <c r="E29" s="9" t="s">
        <v>1818</v>
      </c>
      <c r="F29" s="9" t="s">
        <v>1766</v>
      </c>
      <c r="G29" s="9" t="s">
        <v>1767</v>
      </c>
    </row>
    <row r="30" customFormat="false" ht="15" hidden="false" customHeight="false" outlineLevel="0" collapsed="false">
      <c r="A30" s="24" t="s">
        <v>1790</v>
      </c>
      <c r="B30" s="25" t="s">
        <v>1819</v>
      </c>
      <c r="C30" s="14" t="s">
        <v>1820</v>
      </c>
      <c r="D30" s="14" t="s">
        <v>1821</v>
      </c>
      <c r="E30" s="14" t="s">
        <v>1822</v>
      </c>
      <c r="F30" s="14" t="s">
        <v>1789</v>
      </c>
      <c r="G30" s="14" t="s">
        <v>1767</v>
      </c>
    </row>
    <row r="31" customFormat="false" ht="18" hidden="false" customHeight="true" outlineLevel="0" collapsed="false">
      <c r="A31" s="21" t="s">
        <v>1823</v>
      </c>
      <c r="B31" s="21"/>
      <c r="C31" s="21"/>
      <c r="D31" s="21"/>
      <c r="E31" s="21"/>
      <c r="F31" s="21"/>
      <c r="G31" s="21"/>
    </row>
    <row r="32" customFormat="false" ht="23.85" hidden="false" customHeight="false" outlineLevel="0" collapsed="false">
      <c r="A32" s="22" t="s">
        <v>1823</v>
      </c>
      <c r="B32" s="23" t="s">
        <v>1824</v>
      </c>
      <c r="C32" s="9" t="s">
        <v>1825</v>
      </c>
      <c r="D32" s="9" t="s">
        <v>1826</v>
      </c>
      <c r="E32" s="9" t="s">
        <v>1827</v>
      </c>
      <c r="F32" s="9" t="s">
        <v>1766</v>
      </c>
      <c r="G32" s="9" t="s">
        <v>1767</v>
      </c>
    </row>
    <row r="33" customFormat="false" ht="23.85" hidden="false" customHeight="false" outlineLevel="0" collapsed="false">
      <c r="A33" s="24" t="s">
        <v>1823</v>
      </c>
      <c r="B33" s="25" t="s">
        <v>1828</v>
      </c>
      <c r="C33" s="14" t="s">
        <v>1829</v>
      </c>
      <c r="D33" s="14" t="s">
        <v>1830</v>
      </c>
      <c r="E33" s="14" t="s">
        <v>1831</v>
      </c>
      <c r="F33" s="14" t="s">
        <v>1766</v>
      </c>
      <c r="G33" s="14" t="s">
        <v>1767</v>
      </c>
    </row>
    <row r="34" customFormat="false" ht="15" hidden="false" customHeight="false" outlineLevel="0" collapsed="false">
      <c r="A34" s="22" t="s">
        <v>1823</v>
      </c>
      <c r="B34" s="23" t="s">
        <v>1832</v>
      </c>
      <c r="C34" s="9" t="s">
        <v>1833</v>
      </c>
      <c r="D34" s="9" t="s">
        <v>1834</v>
      </c>
      <c r="E34" s="9" t="s">
        <v>1835</v>
      </c>
      <c r="F34" s="9" t="s">
        <v>1789</v>
      </c>
      <c r="G34" s="9" t="s">
        <v>1767</v>
      </c>
    </row>
    <row r="35" customFormat="false" ht="23.85" hidden="false" customHeight="false" outlineLevel="0" collapsed="false">
      <c r="A35" s="24" t="s">
        <v>1823</v>
      </c>
      <c r="B35" s="25" t="s">
        <v>1836</v>
      </c>
      <c r="C35" s="14" t="s">
        <v>1837</v>
      </c>
      <c r="D35" s="14" t="s">
        <v>1838</v>
      </c>
      <c r="E35" s="14" t="s">
        <v>1839</v>
      </c>
      <c r="F35" s="14" t="s">
        <v>1789</v>
      </c>
      <c r="G35" s="14" t="s">
        <v>1767</v>
      </c>
    </row>
    <row r="36" customFormat="false" ht="23.85" hidden="false" customHeight="false" outlineLevel="0" collapsed="false">
      <c r="A36" s="22" t="s">
        <v>1823</v>
      </c>
      <c r="B36" s="23" t="s">
        <v>1840</v>
      </c>
      <c r="C36" s="9" t="s">
        <v>1841</v>
      </c>
      <c r="D36" s="9" t="s">
        <v>1842</v>
      </c>
      <c r="E36" s="9" t="s">
        <v>1843</v>
      </c>
      <c r="F36" s="9" t="s">
        <v>1844</v>
      </c>
      <c r="G36" s="9" t="s">
        <v>1767</v>
      </c>
    </row>
    <row r="37" customFormat="false" ht="23.85" hidden="false" customHeight="false" outlineLevel="0" collapsed="false">
      <c r="A37" s="24" t="s">
        <v>1823</v>
      </c>
      <c r="B37" s="25" t="s">
        <v>1845</v>
      </c>
      <c r="C37" s="14" t="s">
        <v>1846</v>
      </c>
      <c r="D37" s="14" t="s">
        <v>1847</v>
      </c>
      <c r="E37" s="14" t="s">
        <v>1848</v>
      </c>
      <c r="F37" s="14" t="s">
        <v>1766</v>
      </c>
      <c r="G37" s="14" t="s">
        <v>1767</v>
      </c>
    </row>
    <row r="38" customFormat="false" ht="23.85" hidden="false" customHeight="false" outlineLevel="0" collapsed="false">
      <c r="A38" s="22" t="s">
        <v>1823</v>
      </c>
      <c r="B38" s="23" t="s">
        <v>1849</v>
      </c>
      <c r="C38" s="9" t="s">
        <v>1850</v>
      </c>
      <c r="D38" s="9" t="s">
        <v>1851</v>
      </c>
      <c r="E38" s="9" t="s">
        <v>1852</v>
      </c>
      <c r="F38" s="9" t="s">
        <v>1766</v>
      </c>
      <c r="G38" s="9" t="s">
        <v>1767</v>
      </c>
    </row>
    <row r="39" customFormat="false" ht="23.85" hidden="false" customHeight="false" outlineLevel="0" collapsed="false">
      <c r="A39" s="24" t="s">
        <v>1823</v>
      </c>
      <c r="B39" s="25" t="s">
        <v>1853</v>
      </c>
      <c r="C39" s="14" t="s">
        <v>1854</v>
      </c>
      <c r="D39" s="14" t="s">
        <v>1855</v>
      </c>
      <c r="E39" s="14" t="s">
        <v>1856</v>
      </c>
      <c r="F39" s="14" t="s">
        <v>1772</v>
      </c>
      <c r="G39" s="14" t="s">
        <v>1767</v>
      </c>
    </row>
    <row r="40" customFormat="false" ht="23.85" hidden="false" customHeight="false" outlineLevel="0" collapsed="false">
      <c r="A40" s="22" t="s">
        <v>1823</v>
      </c>
      <c r="B40" s="23" t="s">
        <v>1857</v>
      </c>
      <c r="C40" s="9" t="s">
        <v>1858</v>
      </c>
      <c r="D40" s="9" t="s">
        <v>1859</v>
      </c>
      <c r="E40" s="9" t="s">
        <v>1860</v>
      </c>
      <c r="F40" s="9" t="s">
        <v>1844</v>
      </c>
      <c r="G40" s="9" t="s">
        <v>1767</v>
      </c>
    </row>
    <row r="41" customFormat="false" ht="23.85" hidden="false" customHeight="false" outlineLevel="0" collapsed="false">
      <c r="A41" s="24" t="s">
        <v>1823</v>
      </c>
      <c r="B41" s="25" t="s">
        <v>1861</v>
      </c>
      <c r="C41" s="14" t="s">
        <v>1862</v>
      </c>
      <c r="D41" s="14" t="s">
        <v>1863</v>
      </c>
      <c r="E41" s="14" t="s">
        <v>1864</v>
      </c>
      <c r="F41" s="14" t="s">
        <v>1772</v>
      </c>
      <c r="G41" s="14" t="s">
        <v>1767</v>
      </c>
    </row>
    <row r="42" customFormat="false" ht="15" hidden="false" customHeight="false" outlineLevel="0" collapsed="false">
      <c r="A42" s="22" t="s">
        <v>1823</v>
      </c>
      <c r="B42" s="23" t="s">
        <v>1865</v>
      </c>
      <c r="C42" s="9" t="s">
        <v>1866</v>
      </c>
      <c r="D42" s="9" t="s">
        <v>1867</v>
      </c>
      <c r="E42" s="9" t="s">
        <v>1868</v>
      </c>
      <c r="F42" s="9" t="s">
        <v>1789</v>
      </c>
      <c r="G42" s="9" t="s">
        <v>1767</v>
      </c>
    </row>
    <row r="43" customFormat="false" ht="18" hidden="false" customHeight="true" outlineLevel="0" collapsed="false">
      <c r="A43" s="21" t="s">
        <v>1869</v>
      </c>
      <c r="B43" s="21"/>
      <c r="C43" s="21"/>
      <c r="D43" s="21"/>
      <c r="E43" s="21"/>
      <c r="F43" s="21"/>
      <c r="G43" s="21"/>
    </row>
    <row r="44" customFormat="false" ht="15" hidden="false" customHeight="false" outlineLevel="0" collapsed="false">
      <c r="A44" s="24" t="s">
        <v>1869</v>
      </c>
      <c r="B44" s="25" t="s">
        <v>1870</v>
      </c>
      <c r="C44" s="14" t="s">
        <v>1871</v>
      </c>
      <c r="D44" s="14" t="s">
        <v>1872</v>
      </c>
      <c r="E44" s="14" t="s">
        <v>1873</v>
      </c>
      <c r="F44" s="14" t="s">
        <v>1844</v>
      </c>
      <c r="G44" s="14" t="s">
        <v>1767</v>
      </c>
    </row>
    <row r="45" customFormat="false" ht="15" hidden="false" customHeight="false" outlineLevel="0" collapsed="false">
      <c r="A45" s="22" t="s">
        <v>1869</v>
      </c>
      <c r="B45" s="23" t="s">
        <v>1874</v>
      </c>
      <c r="C45" s="9" t="s">
        <v>1875</v>
      </c>
      <c r="D45" s="9" t="s">
        <v>1876</v>
      </c>
      <c r="E45" s="9" t="s">
        <v>1877</v>
      </c>
      <c r="F45" s="9" t="s">
        <v>1789</v>
      </c>
      <c r="G45" s="9" t="s">
        <v>1767</v>
      </c>
    </row>
    <row r="46" customFormat="false" ht="23.85" hidden="false" customHeight="false" outlineLevel="0" collapsed="false">
      <c r="A46" s="24" t="s">
        <v>1869</v>
      </c>
      <c r="B46" s="25" t="s">
        <v>1878</v>
      </c>
      <c r="C46" s="14" t="s">
        <v>1879</v>
      </c>
      <c r="D46" s="14" t="s">
        <v>1880</v>
      </c>
      <c r="E46" s="14" t="s">
        <v>1881</v>
      </c>
      <c r="F46" s="14" t="s">
        <v>1844</v>
      </c>
      <c r="G46" s="14" t="s">
        <v>1767</v>
      </c>
    </row>
    <row r="47" customFormat="false" ht="23.85" hidden="false" customHeight="false" outlineLevel="0" collapsed="false">
      <c r="A47" s="22" t="s">
        <v>1869</v>
      </c>
      <c r="B47" s="23" t="s">
        <v>1882</v>
      </c>
      <c r="C47" s="9" t="s">
        <v>1883</v>
      </c>
      <c r="D47" s="9" t="s">
        <v>1884</v>
      </c>
      <c r="E47" s="9" t="s">
        <v>1885</v>
      </c>
      <c r="F47" s="9" t="s">
        <v>1844</v>
      </c>
      <c r="G47" s="9" t="s">
        <v>1767</v>
      </c>
    </row>
    <row r="48" customFormat="false" ht="15" hidden="false" customHeight="false" outlineLevel="0" collapsed="false">
      <c r="A48" s="24" t="s">
        <v>1869</v>
      </c>
      <c r="B48" s="25" t="s">
        <v>1886</v>
      </c>
      <c r="C48" s="14" t="s">
        <v>1887</v>
      </c>
      <c r="D48" s="14" t="s">
        <v>1888</v>
      </c>
      <c r="E48" s="14" t="s">
        <v>1889</v>
      </c>
      <c r="F48" s="14" t="s">
        <v>1844</v>
      </c>
      <c r="G48" s="14" t="s">
        <v>1767</v>
      </c>
    </row>
    <row r="49" customFormat="false" ht="23.85" hidden="false" customHeight="false" outlineLevel="0" collapsed="false">
      <c r="A49" s="22" t="s">
        <v>1869</v>
      </c>
      <c r="B49" s="23" t="s">
        <v>1890</v>
      </c>
      <c r="C49" s="9" t="s">
        <v>1891</v>
      </c>
      <c r="D49" s="9" t="s">
        <v>1892</v>
      </c>
      <c r="E49" s="9" t="s">
        <v>1893</v>
      </c>
      <c r="F49" s="9" t="s">
        <v>1844</v>
      </c>
      <c r="G49" s="9" t="s">
        <v>1767</v>
      </c>
    </row>
    <row r="50" customFormat="false" ht="23.85" hidden="false" customHeight="false" outlineLevel="0" collapsed="false">
      <c r="A50" s="24" t="s">
        <v>1869</v>
      </c>
      <c r="B50" s="25" t="s">
        <v>1894</v>
      </c>
      <c r="C50" s="14" t="s">
        <v>1895</v>
      </c>
      <c r="D50" s="14" t="s">
        <v>1896</v>
      </c>
      <c r="E50" s="14" t="s">
        <v>1897</v>
      </c>
      <c r="F50" s="14" t="s">
        <v>1898</v>
      </c>
      <c r="G50" s="14" t="s">
        <v>1767</v>
      </c>
    </row>
    <row r="51" customFormat="false" ht="18" hidden="false" customHeight="true" outlineLevel="0" collapsed="false">
      <c r="A51" s="21" t="s">
        <v>1899</v>
      </c>
      <c r="B51" s="21"/>
      <c r="C51" s="21"/>
      <c r="D51" s="21"/>
      <c r="E51" s="21"/>
      <c r="F51" s="21"/>
      <c r="G51" s="21"/>
    </row>
    <row r="52" customFormat="false" ht="23.85" hidden="false" customHeight="false" outlineLevel="0" collapsed="false">
      <c r="A52" s="22" t="s">
        <v>1899</v>
      </c>
      <c r="B52" s="23" t="s">
        <v>1900</v>
      </c>
      <c r="C52" s="9" t="s">
        <v>1901</v>
      </c>
      <c r="D52" s="9" t="s">
        <v>1902</v>
      </c>
      <c r="E52" s="9" t="s">
        <v>1903</v>
      </c>
      <c r="F52" s="9" t="s">
        <v>1766</v>
      </c>
      <c r="G52" s="9" t="s">
        <v>1767</v>
      </c>
    </row>
    <row r="53" customFormat="false" ht="23.85" hidden="false" customHeight="false" outlineLevel="0" collapsed="false">
      <c r="A53" s="24" t="s">
        <v>1899</v>
      </c>
      <c r="B53" s="25" t="s">
        <v>1904</v>
      </c>
      <c r="C53" s="14" t="s">
        <v>1905</v>
      </c>
      <c r="D53" s="14" t="s">
        <v>1906</v>
      </c>
      <c r="E53" s="14" t="s">
        <v>1903</v>
      </c>
      <c r="F53" s="14" t="s">
        <v>1766</v>
      </c>
      <c r="G53" s="14" t="s">
        <v>1767</v>
      </c>
    </row>
    <row r="54" customFormat="false" ht="23.85" hidden="false" customHeight="false" outlineLevel="0" collapsed="false">
      <c r="A54" s="22" t="s">
        <v>1899</v>
      </c>
      <c r="B54" s="23" t="s">
        <v>1907</v>
      </c>
      <c r="C54" s="9" t="s">
        <v>1908</v>
      </c>
      <c r="D54" s="9" t="s">
        <v>1909</v>
      </c>
      <c r="E54" s="9" t="s">
        <v>1903</v>
      </c>
      <c r="F54" s="9" t="s">
        <v>1766</v>
      </c>
      <c r="G54" s="9" t="s">
        <v>1767</v>
      </c>
    </row>
    <row r="55" customFormat="false" ht="15" hidden="false" customHeight="false" outlineLevel="0" collapsed="false">
      <c r="A55" s="24" t="s">
        <v>1899</v>
      </c>
      <c r="B55" s="25" t="s">
        <v>1910</v>
      </c>
      <c r="C55" s="14" t="s">
        <v>1911</v>
      </c>
      <c r="D55" s="14" t="s">
        <v>1912</v>
      </c>
      <c r="E55" s="14" t="s">
        <v>1903</v>
      </c>
      <c r="F55" s="14" t="s">
        <v>1766</v>
      </c>
      <c r="G55" s="14" t="s">
        <v>1767</v>
      </c>
    </row>
    <row r="56" customFormat="false" ht="15" hidden="false" customHeight="false" outlineLevel="0" collapsed="false">
      <c r="A56" s="22" t="s">
        <v>1899</v>
      </c>
      <c r="B56" s="23" t="s">
        <v>1913</v>
      </c>
      <c r="C56" s="9" t="s">
        <v>1914</v>
      </c>
      <c r="D56" s="9" t="s">
        <v>1915</v>
      </c>
      <c r="E56" s="9" t="s">
        <v>1903</v>
      </c>
      <c r="F56" s="9" t="s">
        <v>1766</v>
      </c>
      <c r="G56" s="9" t="s">
        <v>1767</v>
      </c>
    </row>
    <row r="57" customFormat="false" ht="15" hidden="false" customHeight="false" outlineLevel="0" collapsed="false">
      <c r="A57" s="24" t="s">
        <v>1899</v>
      </c>
      <c r="B57" s="25" t="s">
        <v>1916</v>
      </c>
      <c r="C57" s="14" t="s">
        <v>1917</v>
      </c>
      <c r="D57" s="14" t="s">
        <v>1918</v>
      </c>
      <c r="E57" s="14" t="s">
        <v>1903</v>
      </c>
      <c r="F57" s="14" t="s">
        <v>1766</v>
      </c>
      <c r="G57" s="14" t="s">
        <v>1767</v>
      </c>
    </row>
    <row r="58" customFormat="false" ht="15" hidden="false" customHeight="false" outlineLevel="0" collapsed="false">
      <c r="A58" s="22" t="s">
        <v>1899</v>
      </c>
      <c r="B58" s="23" t="s">
        <v>1919</v>
      </c>
      <c r="C58" s="9" t="s">
        <v>1920</v>
      </c>
      <c r="D58" s="9" t="s">
        <v>1921</v>
      </c>
      <c r="E58" s="9" t="s">
        <v>1903</v>
      </c>
      <c r="F58" s="9" t="s">
        <v>1766</v>
      </c>
      <c r="G58" s="9" t="s">
        <v>1767</v>
      </c>
    </row>
    <row r="59" customFormat="false" ht="15" hidden="false" customHeight="false" outlineLevel="0" collapsed="false">
      <c r="A59" s="24" t="s">
        <v>1899</v>
      </c>
      <c r="B59" s="25" t="s">
        <v>1922</v>
      </c>
      <c r="C59" s="14" t="s">
        <v>1923</v>
      </c>
      <c r="D59" s="14" t="s">
        <v>1924</v>
      </c>
      <c r="E59" s="14" t="s">
        <v>1903</v>
      </c>
      <c r="F59" s="14" t="s">
        <v>1766</v>
      </c>
      <c r="G59" s="14" t="s">
        <v>1767</v>
      </c>
    </row>
    <row r="60" customFormat="false" ht="15" hidden="false" customHeight="false" outlineLevel="0" collapsed="false">
      <c r="A60" s="22" t="s">
        <v>1899</v>
      </c>
      <c r="B60" s="23" t="s">
        <v>1925</v>
      </c>
      <c r="C60" s="9" t="s">
        <v>1926</v>
      </c>
      <c r="D60" s="9" t="s">
        <v>1927</v>
      </c>
      <c r="E60" s="9" t="s">
        <v>1903</v>
      </c>
      <c r="F60" s="9" t="s">
        <v>1766</v>
      </c>
      <c r="G60" s="9" t="s">
        <v>1767</v>
      </c>
    </row>
    <row r="61" customFormat="false" ht="23.85" hidden="false" customHeight="false" outlineLevel="0" collapsed="false">
      <c r="A61" s="24" t="s">
        <v>1899</v>
      </c>
      <c r="B61" s="25" t="s">
        <v>1928</v>
      </c>
      <c r="C61" s="14" t="s">
        <v>1929</v>
      </c>
      <c r="D61" s="14" t="s">
        <v>1930</v>
      </c>
      <c r="E61" s="14" t="s">
        <v>1903</v>
      </c>
      <c r="F61" s="14" t="s">
        <v>1766</v>
      </c>
      <c r="G61" s="14" t="s">
        <v>1767</v>
      </c>
    </row>
    <row r="62" customFormat="false" ht="15" hidden="false" customHeight="false" outlineLevel="0" collapsed="false">
      <c r="A62" s="22" t="s">
        <v>1899</v>
      </c>
      <c r="B62" s="23" t="s">
        <v>1931</v>
      </c>
      <c r="C62" s="9" t="s">
        <v>1932</v>
      </c>
      <c r="D62" s="9" t="s">
        <v>1933</v>
      </c>
      <c r="E62" s="9" t="s">
        <v>1903</v>
      </c>
      <c r="F62" s="9" t="s">
        <v>1766</v>
      </c>
      <c r="G62" s="9" t="s">
        <v>1767</v>
      </c>
    </row>
    <row r="63" customFormat="false" ht="15" hidden="false" customHeight="false" outlineLevel="0" collapsed="false">
      <c r="A63" s="24" t="s">
        <v>1899</v>
      </c>
      <c r="B63" s="25" t="s">
        <v>1934</v>
      </c>
      <c r="C63" s="14" t="s">
        <v>1935</v>
      </c>
      <c r="D63" s="14" t="s">
        <v>1936</v>
      </c>
      <c r="E63" s="14" t="s">
        <v>1903</v>
      </c>
      <c r="F63" s="14" t="s">
        <v>1766</v>
      </c>
      <c r="G63" s="14" t="s">
        <v>1767</v>
      </c>
    </row>
    <row r="64" customFormat="false" ht="15" hidden="false" customHeight="false" outlineLevel="0" collapsed="false">
      <c r="A64" s="22" t="s">
        <v>1899</v>
      </c>
      <c r="B64" s="23" t="s">
        <v>1937</v>
      </c>
      <c r="C64" s="9" t="s">
        <v>1938</v>
      </c>
      <c r="D64" s="9" t="s">
        <v>1939</v>
      </c>
      <c r="E64" s="9" t="s">
        <v>1903</v>
      </c>
      <c r="F64" s="9" t="s">
        <v>1766</v>
      </c>
      <c r="G64" s="9" t="s">
        <v>1767</v>
      </c>
    </row>
    <row r="65" customFormat="false" ht="23.85" hidden="false" customHeight="false" outlineLevel="0" collapsed="false">
      <c r="A65" s="24" t="s">
        <v>1899</v>
      </c>
      <c r="B65" s="25" t="s">
        <v>1940</v>
      </c>
      <c r="C65" s="14" t="s">
        <v>1941</v>
      </c>
      <c r="D65" s="14" t="s">
        <v>1942</v>
      </c>
      <c r="E65" s="14" t="s">
        <v>1903</v>
      </c>
      <c r="F65" s="14" t="s">
        <v>1766</v>
      </c>
      <c r="G65" s="14" t="s">
        <v>1767</v>
      </c>
    </row>
    <row r="66" customFormat="false" ht="18" hidden="false" customHeight="true" outlineLevel="0" collapsed="false">
      <c r="A66" s="21" t="s">
        <v>1943</v>
      </c>
      <c r="B66" s="21"/>
      <c r="C66" s="21"/>
      <c r="D66" s="21"/>
      <c r="E66" s="21"/>
      <c r="F66" s="21"/>
      <c r="G66" s="21"/>
    </row>
    <row r="67" customFormat="false" ht="23.85" hidden="false" customHeight="false" outlineLevel="0" collapsed="false">
      <c r="A67" s="22" t="s">
        <v>1943</v>
      </c>
      <c r="B67" s="23" t="s">
        <v>1944</v>
      </c>
      <c r="C67" s="9" t="s">
        <v>1945</v>
      </c>
      <c r="D67" s="9" t="s">
        <v>1946</v>
      </c>
      <c r="E67" s="9" t="s">
        <v>1947</v>
      </c>
      <c r="F67" s="9" t="s">
        <v>1789</v>
      </c>
      <c r="G67" s="9" t="s">
        <v>1767</v>
      </c>
    </row>
    <row r="68" customFormat="false" ht="23.85" hidden="false" customHeight="false" outlineLevel="0" collapsed="false">
      <c r="A68" s="24" t="s">
        <v>1943</v>
      </c>
      <c r="B68" s="25" t="s">
        <v>1948</v>
      </c>
      <c r="C68" s="14" t="s">
        <v>1949</v>
      </c>
      <c r="D68" s="14" t="s">
        <v>1946</v>
      </c>
      <c r="E68" s="14" t="s">
        <v>1947</v>
      </c>
      <c r="F68" s="14" t="s">
        <v>1789</v>
      </c>
      <c r="G68" s="14" t="s">
        <v>1767</v>
      </c>
    </row>
    <row r="69" customFormat="false" ht="23.85" hidden="false" customHeight="false" outlineLevel="0" collapsed="false">
      <c r="A69" s="22" t="s">
        <v>1943</v>
      </c>
      <c r="B69" s="23" t="s">
        <v>1950</v>
      </c>
      <c r="C69" s="9" t="s">
        <v>1951</v>
      </c>
      <c r="D69" s="9" t="s">
        <v>1946</v>
      </c>
      <c r="E69" s="9" t="s">
        <v>1947</v>
      </c>
      <c r="F69" s="9" t="s">
        <v>1789</v>
      </c>
      <c r="G69" s="9" t="s">
        <v>1767</v>
      </c>
    </row>
    <row r="70" customFormat="false" ht="23.85" hidden="false" customHeight="false" outlineLevel="0" collapsed="false">
      <c r="A70" s="24" t="s">
        <v>1943</v>
      </c>
      <c r="B70" s="25" t="s">
        <v>1952</v>
      </c>
      <c r="C70" s="14" t="s">
        <v>1953</v>
      </c>
      <c r="D70" s="14" t="s">
        <v>1946</v>
      </c>
      <c r="E70" s="14" t="s">
        <v>1947</v>
      </c>
      <c r="F70" s="14" t="s">
        <v>1789</v>
      </c>
      <c r="G70" s="14" t="s">
        <v>1767</v>
      </c>
    </row>
    <row r="71" customFormat="false" ht="23.85" hidden="false" customHeight="false" outlineLevel="0" collapsed="false">
      <c r="A71" s="22" t="s">
        <v>1943</v>
      </c>
      <c r="B71" s="23" t="s">
        <v>1954</v>
      </c>
      <c r="C71" s="9" t="s">
        <v>1955</v>
      </c>
      <c r="D71" s="9" t="s">
        <v>1946</v>
      </c>
      <c r="E71" s="9" t="s">
        <v>1947</v>
      </c>
      <c r="F71" s="9" t="s">
        <v>1789</v>
      </c>
      <c r="G71" s="9" t="s">
        <v>1767</v>
      </c>
    </row>
    <row r="72" customFormat="false" ht="23.85" hidden="false" customHeight="false" outlineLevel="0" collapsed="false">
      <c r="A72" s="24" t="s">
        <v>1943</v>
      </c>
      <c r="B72" s="25" t="s">
        <v>1956</v>
      </c>
      <c r="C72" s="14" t="s">
        <v>1957</v>
      </c>
      <c r="D72" s="14" t="s">
        <v>1946</v>
      </c>
      <c r="E72" s="14" t="s">
        <v>1947</v>
      </c>
      <c r="F72" s="14" t="s">
        <v>1789</v>
      </c>
      <c r="G72" s="14" t="s">
        <v>1767</v>
      </c>
    </row>
    <row r="73" customFormat="false" ht="23.85" hidden="false" customHeight="false" outlineLevel="0" collapsed="false">
      <c r="A73" s="22" t="s">
        <v>1943</v>
      </c>
      <c r="B73" s="23" t="s">
        <v>1958</v>
      </c>
      <c r="C73" s="9" t="s">
        <v>1959</v>
      </c>
      <c r="D73" s="9" t="s">
        <v>1946</v>
      </c>
      <c r="E73" s="9" t="s">
        <v>1947</v>
      </c>
      <c r="F73" s="9" t="s">
        <v>1789</v>
      </c>
      <c r="G73" s="9" t="s">
        <v>1767</v>
      </c>
    </row>
    <row r="74" customFormat="false" ht="23.85" hidden="false" customHeight="false" outlineLevel="0" collapsed="false">
      <c r="A74" s="24" t="s">
        <v>1943</v>
      </c>
      <c r="B74" s="25" t="s">
        <v>1960</v>
      </c>
      <c r="C74" s="14" t="s">
        <v>1961</v>
      </c>
      <c r="D74" s="14" t="s">
        <v>1946</v>
      </c>
      <c r="E74" s="14" t="s">
        <v>1947</v>
      </c>
      <c r="F74" s="14" t="s">
        <v>1789</v>
      </c>
      <c r="G74" s="14" t="s">
        <v>1767</v>
      </c>
    </row>
    <row r="75" customFormat="false" ht="23.85" hidden="false" customHeight="false" outlineLevel="0" collapsed="false">
      <c r="A75" s="22" t="s">
        <v>1943</v>
      </c>
      <c r="B75" s="23" t="s">
        <v>1962</v>
      </c>
      <c r="C75" s="9" t="s">
        <v>1963</v>
      </c>
      <c r="D75" s="9" t="s">
        <v>1946</v>
      </c>
      <c r="E75" s="9" t="s">
        <v>1947</v>
      </c>
      <c r="F75" s="9" t="s">
        <v>1789</v>
      </c>
      <c r="G75" s="9" t="s">
        <v>1767</v>
      </c>
    </row>
    <row r="76" customFormat="false" ht="23.85" hidden="false" customHeight="false" outlineLevel="0" collapsed="false">
      <c r="A76" s="24" t="s">
        <v>1943</v>
      </c>
      <c r="B76" s="25" t="s">
        <v>1964</v>
      </c>
      <c r="C76" s="14" t="s">
        <v>1965</v>
      </c>
      <c r="D76" s="14" t="s">
        <v>1946</v>
      </c>
      <c r="E76" s="14" t="s">
        <v>1947</v>
      </c>
      <c r="F76" s="14" t="s">
        <v>1789</v>
      </c>
      <c r="G76" s="14" t="s">
        <v>1767</v>
      </c>
    </row>
    <row r="77" customFormat="false" ht="18" hidden="false" customHeight="true" outlineLevel="0" collapsed="false">
      <c r="A77" s="21" t="s">
        <v>1966</v>
      </c>
      <c r="B77" s="21"/>
      <c r="C77" s="21"/>
      <c r="D77" s="21"/>
      <c r="E77" s="21"/>
      <c r="F77" s="21"/>
      <c r="G77" s="21"/>
    </row>
    <row r="78" customFormat="false" ht="23.85" hidden="false" customHeight="false" outlineLevel="0" collapsed="false">
      <c r="A78" s="22" t="s">
        <v>1966</v>
      </c>
      <c r="B78" s="23" t="s">
        <v>1967</v>
      </c>
      <c r="C78" s="9" t="s">
        <v>918</v>
      </c>
      <c r="D78" s="9" t="s">
        <v>1968</v>
      </c>
      <c r="E78" s="9" t="s">
        <v>1969</v>
      </c>
      <c r="F78" s="9" t="s">
        <v>1766</v>
      </c>
      <c r="G78" s="9" t="s">
        <v>1767</v>
      </c>
    </row>
    <row r="79" customFormat="false" ht="23.85" hidden="false" customHeight="false" outlineLevel="0" collapsed="false">
      <c r="A79" s="24" t="s">
        <v>1966</v>
      </c>
      <c r="B79" s="25" t="s">
        <v>1970</v>
      </c>
      <c r="C79" s="14" t="s">
        <v>1971</v>
      </c>
      <c r="D79" s="14" t="s">
        <v>1972</v>
      </c>
      <c r="E79" s="14" t="s">
        <v>1969</v>
      </c>
      <c r="F79" s="14" t="s">
        <v>1766</v>
      </c>
      <c r="G79" s="14" t="s">
        <v>1767</v>
      </c>
    </row>
    <row r="80" customFormat="false" ht="23.85" hidden="false" customHeight="false" outlineLevel="0" collapsed="false">
      <c r="A80" s="22" t="s">
        <v>1966</v>
      </c>
      <c r="B80" s="23" t="s">
        <v>1973</v>
      </c>
      <c r="C80" s="9" t="s">
        <v>1974</v>
      </c>
      <c r="D80" s="9" t="s">
        <v>1975</v>
      </c>
      <c r="E80" s="9" t="s">
        <v>1969</v>
      </c>
      <c r="F80" s="9" t="s">
        <v>1766</v>
      </c>
      <c r="G80" s="9" t="s">
        <v>1767</v>
      </c>
    </row>
    <row r="81" customFormat="false" ht="23.85" hidden="false" customHeight="false" outlineLevel="0" collapsed="false">
      <c r="A81" s="24" t="s">
        <v>1966</v>
      </c>
      <c r="B81" s="25" t="s">
        <v>1976</v>
      </c>
      <c r="C81" s="14" t="s">
        <v>1977</v>
      </c>
      <c r="D81" s="14" t="s">
        <v>1978</v>
      </c>
      <c r="E81" s="14" t="s">
        <v>1969</v>
      </c>
      <c r="F81" s="14" t="s">
        <v>1766</v>
      </c>
      <c r="G81" s="14" t="s">
        <v>1767</v>
      </c>
    </row>
    <row r="82" customFormat="false" ht="23.85" hidden="false" customHeight="false" outlineLevel="0" collapsed="false">
      <c r="A82" s="22" t="s">
        <v>1966</v>
      </c>
      <c r="B82" s="23" t="s">
        <v>1979</v>
      </c>
      <c r="C82" s="9" t="s">
        <v>1980</v>
      </c>
      <c r="D82" s="9" t="s">
        <v>1981</v>
      </c>
      <c r="E82" s="9" t="s">
        <v>1969</v>
      </c>
      <c r="F82" s="9" t="s">
        <v>1766</v>
      </c>
      <c r="G82" s="9" t="s">
        <v>1767</v>
      </c>
    </row>
    <row r="83" customFormat="false" ht="23.85" hidden="false" customHeight="false" outlineLevel="0" collapsed="false">
      <c r="A83" s="24" t="s">
        <v>1966</v>
      </c>
      <c r="B83" s="25" t="s">
        <v>1982</v>
      </c>
      <c r="C83" s="14" t="s">
        <v>1983</v>
      </c>
      <c r="D83" s="14" t="s">
        <v>1984</v>
      </c>
      <c r="E83" s="14" t="s">
        <v>1969</v>
      </c>
      <c r="F83" s="14" t="s">
        <v>1766</v>
      </c>
      <c r="G83" s="14" t="s">
        <v>1767</v>
      </c>
    </row>
    <row r="84" customFormat="false" ht="23.85" hidden="false" customHeight="false" outlineLevel="0" collapsed="false">
      <c r="A84" s="22" t="s">
        <v>1966</v>
      </c>
      <c r="B84" s="23" t="s">
        <v>1985</v>
      </c>
      <c r="C84" s="9" t="s">
        <v>921</v>
      </c>
      <c r="D84" s="9" t="s">
        <v>1986</v>
      </c>
      <c r="E84" s="9" t="s">
        <v>1969</v>
      </c>
      <c r="F84" s="9" t="s">
        <v>1766</v>
      </c>
      <c r="G84" s="9" t="s">
        <v>1767</v>
      </c>
    </row>
    <row r="85" customFormat="false" ht="23.85" hidden="false" customHeight="false" outlineLevel="0" collapsed="false">
      <c r="A85" s="24" t="s">
        <v>1966</v>
      </c>
      <c r="B85" s="25" t="s">
        <v>1987</v>
      </c>
      <c r="C85" s="14" t="s">
        <v>922</v>
      </c>
      <c r="D85" s="14" t="s">
        <v>1988</v>
      </c>
      <c r="E85" s="14" t="s">
        <v>1969</v>
      </c>
      <c r="F85" s="14" t="s">
        <v>1766</v>
      </c>
      <c r="G85" s="14" t="s">
        <v>1767</v>
      </c>
    </row>
    <row r="86" customFormat="false" ht="23.85" hidden="false" customHeight="false" outlineLevel="0" collapsed="false">
      <c r="A86" s="22" t="s">
        <v>1966</v>
      </c>
      <c r="B86" s="23" t="s">
        <v>1989</v>
      </c>
      <c r="C86" s="9" t="s">
        <v>1990</v>
      </c>
      <c r="D86" s="9" t="s">
        <v>1991</v>
      </c>
      <c r="E86" s="9" t="s">
        <v>1969</v>
      </c>
      <c r="F86" s="9" t="s">
        <v>1766</v>
      </c>
      <c r="G86" s="9" t="s">
        <v>1767</v>
      </c>
    </row>
    <row r="87" customFormat="false" ht="23.85" hidden="false" customHeight="false" outlineLevel="0" collapsed="false">
      <c r="A87" s="24" t="s">
        <v>1966</v>
      </c>
      <c r="B87" s="25" t="s">
        <v>1992</v>
      </c>
      <c r="C87" s="14" t="s">
        <v>1993</v>
      </c>
      <c r="D87" s="14" t="s">
        <v>1994</v>
      </c>
      <c r="E87" s="14" t="s">
        <v>1969</v>
      </c>
      <c r="F87" s="14" t="s">
        <v>1766</v>
      </c>
      <c r="G87" s="14" t="s">
        <v>1767</v>
      </c>
    </row>
    <row r="88" customFormat="false" ht="23.85" hidden="false" customHeight="false" outlineLevel="0" collapsed="false">
      <c r="A88" s="22" t="s">
        <v>1966</v>
      </c>
      <c r="B88" s="23" t="s">
        <v>1995</v>
      </c>
      <c r="C88" s="9" t="s">
        <v>1996</v>
      </c>
      <c r="D88" s="9" t="s">
        <v>1997</v>
      </c>
      <c r="E88" s="9" t="s">
        <v>1969</v>
      </c>
      <c r="F88" s="9" t="s">
        <v>1766</v>
      </c>
      <c r="G88" s="9" t="s">
        <v>1767</v>
      </c>
    </row>
    <row r="89" customFormat="false" ht="23.85" hidden="false" customHeight="false" outlineLevel="0" collapsed="false">
      <c r="A89" s="24" t="s">
        <v>1966</v>
      </c>
      <c r="B89" s="25" t="s">
        <v>1998</v>
      </c>
      <c r="C89" s="14" t="s">
        <v>1999</v>
      </c>
      <c r="D89" s="14" t="s">
        <v>2000</v>
      </c>
      <c r="E89" s="14" t="s">
        <v>1969</v>
      </c>
      <c r="F89" s="14" t="s">
        <v>1766</v>
      </c>
      <c r="G89" s="14" t="s">
        <v>1767</v>
      </c>
    </row>
    <row r="90" customFormat="false" ht="18" hidden="false" customHeight="true" outlineLevel="0" collapsed="false">
      <c r="A90" s="21" t="s">
        <v>2001</v>
      </c>
      <c r="B90" s="21"/>
      <c r="C90" s="21"/>
      <c r="D90" s="21"/>
      <c r="E90" s="21"/>
      <c r="F90" s="21"/>
      <c r="G90" s="21"/>
    </row>
    <row r="91" customFormat="false" ht="23.85" hidden="false" customHeight="false" outlineLevel="0" collapsed="false">
      <c r="A91" s="22" t="s">
        <v>2001</v>
      </c>
      <c r="B91" s="23" t="s">
        <v>2002</v>
      </c>
      <c r="C91" s="9" t="s">
        <v>2003</v>
      </c>
      <c r="D91" s="9" t="s">
        <v>2004</v>
      </c>
      <c r="E91" s="9" t="s">
        <v>2005</v>
      </c>
      <c r="F91" s="9" t="s">
        <v>1844</v>
      </c>
      <c r="G91" s="9" t="s">
        <v>1767</v>
      </c>
    </row>
    <row r="92" customFormat="false" ht="23.85" hidden="false" customHeight="false" outlineLevel="0" collapsed="false">
      <c r="A92" s="24" t="s">
        <v>2001</v>
      </c>
      <c r="B92" s="25" t="s">
        <v>2006</v>
      </c>
      <c r="C92" s="14" t="s">
        <v>2007</v>
      </c>
      <c r="D92" s="14" t="s">
        <v>2008</v>
      </c>
      <c r="E92" s="14" t="s">
        <v>2005</v>
      </c>
      <c r="F92" s="14" t="s">
        <v>1844</v>
      </c>
      <c r="G92" s="14" t="s">
        <v>1767</v>
      </c>
    </row>
    <row r="93" customFormat="false" ht="23.85" hidden="false" customHeight="false" outlineLevel="0" collapsed="false">
      <c r="A93" s="22" t="s">
        <v>2001</v>
      </c>
      <c r="B93" s="23" t="s">
        <v>2009</v>
      </c>
      <c r="C93" s="9" t="s">
        <v>2010</v>
      </c>
      <c r="D93" s="9" t="s">
        <v>2011</v>
      </c>
      <c r="E93" s="9" t="s">
        <v>2005</v>
      </c>
      <c r="F93" s="9" t="s">
        <v>1844</v>
      </c>
      <c r="G93" s="9" t="s">
        <v>1767</v>
      </c>
    </row>
    <row r="94" customFormat="false" ht="15" hidden="false" customHeight="false" outlineLevel="0" collapsed="false">
      <c r="A94" s="24" t="s">
        <v>2001</v>
      </c>
      <c r="B94" s="25" t="s">
        <v>2012</v>
      </c>
      <c r="C94" s="14" t="s">
        <v>2013</v>
      </c>
      <c r="D94" s="14" t="s">
        <v>2014</v>
      </c>
      <c r="E94" s="14" t="s">
        <v>2005</v>
      </c>
      <c r="F94" s="14" t="s">
        <v>1844</v>
      </c>
      <c r="G94" s="14" t="s">
        <v>1767</v>
      </c>
    </row>
    <row r="95" customFormat="false" ht="15" hidden="false" customHeight="false" outlineLevel="0" collapsed="false">
      <c r="A95" s="22" t="s">
        <v>2001</v>
      </c>
      <c r="B95" s="23" t="s">
        <v>2015</v>
      </c>
      <c r="C95" s="9" t="s">
        <v>2016</v>
      </c>
      <c r="D95" s="9" t="s">
        <v>2017</v>
      </c>
      <c r="E95" s="9" t="s">
        <v>2005</v>
      </c>
      <c r="F95" s="9" t="s">
        <v>1844</v>
      </c>
      <c r="G95" s="9" t="s">
        <v>1767</v>
      </c>
    </row>
    <row r="96" customFormat="false" ht="23.85" hidden="false" customHeight="false" outlineLevel="0" collapsed="false">
      <c r="A96" s="24" t="s">
        <v>2001</v>
      </c>
      <c r="B96" s="25" t="s">
        <v>2018</v>
      </c>
      <c r="C96" s="14" t="s">
        <v>2019</v>
      </c>
      <c r="D96" s="14" t="s">
        <v>2020</v>
      </c>
      <c r="E96" s="14" t="s">
        <v>2005</v>
      </c>
      <c r="F96" s="14" t="s">
        <v>1844</v>
      </c>
      <c r="G96" s="14" t="s">
        <v>1767</v>
      </c>
    </row>
    <row r="97" customFormat="false" ht="23.85" hidden="false" customHeight="false" outlineLevel="0" collapsed="false">
      <c r="A97" s="22" t="s">
        <v>2001</v>
      </c>
      <c r="B97" s="23" t="s">
        <v>2021</v>
      </c>
      <c r="C97" s="9" t="s">
        <v>2022</v>
      </c>
      <c r="D97" s="9" t="s">
        <v>2023</v>
      </c>
      <c r="E97" s="9" t="s">
        <v>2005</v>
      </c>
      <c r="F97" s="9" t="s">
        <v>1844</v>
      </c>
      <c r="G97" s="9" t="s">
        <v>1767</v>
      </c>
    </row>
    <row r="98" customFormat="false" ht="23.85" hidden="false" customHeight="false" outlineLevel="0" collapsed="false">
      <c r="A98" s="24" t="s">
        <v>2001</v>
      </c>
      <c r="B98" s="25" t="s">
        <v>2024</v>
      </c>
      <c r="C98" s="14" t="s">
        <v>2025</v>
      </c>
      <c r="D98" s="14" t="s">
        <v>2026</v>
      </c>
      <c r="E98" s="14" t="s">
        <v>2005</v>
      </c>
      <c r="F98" s="14" t="s">
        <v>1844</v>
      </c>
      <c r="G98" s="14" t="s">
        <v>1767</v>
      </c>
    </row>
    <row r="99" customFormat="false" ht="15" hidden="false" customHeight="false" outlineLevel="0" collapsed="false">
      <c r="A99" s="22" t="s">
        <v>2001</v>
      </c>
      <c r="B99" s="23" t="s">
        <v>2027</v>
      </c>
      <c r="C99" s="9" t="s">
        <v>2028</v>
      </c>
      <c r="D99" s="9" t="s">
        <v>2029</v>
      </c>
      <c r="E99" s="9" t="s">
        <v>2005</v>
      </c>
      <c r="F99" s="9" t="s">
        <v>1844</v>
      </c>
      <c r="G99" s="9" t="s">
        <v>1767</v>
      </c>
    </row>
    <row r="100" customFormat="false" ht="15" hidden="false" customHeight="false" outlineLevel="0" collapsed="false">
      <c r="A100" s="24" t="s">
        <v>2001</v>
      </c>
      <c r="B100" s="25" t="s">
        <v>2030</v>
      </c>
      <c r="C100" s="14" t="s">
        <v>2031</v>
      </c>
      <c r="D100" s="14" t="s">
        <v>2032</v>
      </c>
      <c r="E100" s="14" t="s">
        <v>2005</v>
      </c>
      <c r="F100" s="14" t="s">
        <v>1844</v>
      </c>
      <c r="G100" s="14" t="s">
        <v>1767</v>
      </c>
    </row>
    <row r="101" customFormat="false" ht="18" hidden="false" customHeight="true" outlineLevel="0" collapsed="false">
      <c r="A101" s="21" t="s">
        <v>2033</v>
      </c>
      <c r="B101" s="21"/>
      <c r="C101" s="21"/>
      <c r="D101" s="21"/>
      <c r="E101" s="21"/>
      <c r="F101" s="21"/>
      <c r="G101" s="21"/>
    </row>
    <row r="102" customFormat="false" ht="23.85" hidden="false" customHeight="false" outlineLevel="0" collapsed="false">
      <c r="A102" s="22" t="s">
        <v>2033</v>
      </c>
      <c r="B102" s="23" t="s">
        <v>2034</v>
      </c>
      <c r="C102" s="9" t="s">
        <v>2035</v>
      </c>
      <c r="D102" s="9" t="s">
        <v>2036</v>
      </c>
      <c r="E102" s="9" t="s">
        <v>2037</v>
      </c>
      <c r="F102" s="9" t="s">
        <v>1844</v>
      </c>
      <c r="G102" s="9" t="s">
        <v>1767</v>
      </c>
    </row>
    <row r="103" customFormat="false" ht="23.85" hidden="false" customHeight="false" outlineLevel="0" collapsed="false">
      <c r="A103" s="24" t="s">
        <v>2033</v>
      </c>
      <c r="B103" s="25" t="s">
        <v>2038</v>
      </c>
      <c r="C103" s="14" t="s">
        <v>2039</v>
      </c>
      <c r="D103" s="14" t="s">
        <v>2040</v>
      </c>
      <c r="E103" s="14" t="s">
        <v>2037</v>
      </c>
      <c r="F103" s="14" t="s">
        <v>1844</v>
      </c>
      <c r="G103" s="14" t="s">
        <v>1767</v>
      </c>
    </row>
    <row r="104" customFormat="false" ht="23.85" hidden="false" customHeight="false" outlineLevel="0" collapsed="false">
      <c r="A104" s="22" t="s">
        <v>2033</v>
      </c>
      <c r="B104" s="23" t="s">
        <v>2041</v>
      </c>
      <c r="C104" s="9" t="s">
        <v>2042</v>
      </c>
      <c r="D104" s="9" t="s">
        <v>2043</v>
      </c>
      <c r="E104" s="9" t="s">
        <v>2037</v>
      </c>
      <c r="F104" s="9" t="s">
        <v>1844</v>
      </c>
      <c r="G104" s="9" t="s">
        <v>1767</v>
      </c>
    </row>
    <row r="105" customFormat="false" ht="23.85" hidden="false" customHeight="false" outlineLevel="0" collapsed="false">
      <c r="A105" s="24" t="s">
        <v>2033</v>
      </c>
      <c r="B105" s="25" t="s">
        <v>2044</v>
      </c>
      <c r="C105" s="14" t="s">
        <v>2045</v>
      </c>
      <c r="D105" s="14" t="s">
        <v>2046</v>
      </c>
      <c r="E105" s="14" t="s">
        <v>2037</v>
      </c>
      <c r="F105" s="14" t="s">
        <v>1844</v>
      </c>
      <c r="G105" s="14" t="s">
        <v>1767</v>
      </c>
    </row>
    <row r="106" customFormat="false" ht="23.85" hidden="false" customHeight="false" outlineLevel="0" collapsed="false">
      <c r="A106" s="22" t="s">
        <v>2033</v>
      </c>
      <c r="B106" s="23" t="s">
        <v>2047</v>
      </c>
      <c r="C106" s="9" t="s">
        <v>2048</v>
      </c>
      <c r="D106" s="9" t="s">
        <v>2049</v>
      </c>
      <c r="E106" s="9" t="s">
        <v>2037</v>
      </c>
      <c r="F106" s="9" t="s">
        <v>1844</v>
      </c>
      <c r="G106" s="9" t="s">
        <v>1767</v>
      </c>
    </row>
    <row r="107" customFormat="false" ht="23.85" hidden="false" customHeight="false" outlineLevel="0" collapsed="false">
      <c r="A107" s="24" t="s">
        <v>2033</v>
      </c>
      <c r="B107" s="25" t="s">
        <v>2050</v>
      </c>
      <c r="C107" s="14" t="s">
        <v>2051</v>
      </c>
      <c r="D107" s="14" t="s">
        <v>2052</v>
      </c>
      <c r="E107" s="14" t="s">
        <v>2037</v>
      </c>
      <c r="F107" s="14" t="s">
        <v>1844</v>
      </c>
      <c r="G107" s="14" t="s">
        <v>1767</v>
      </c>
    </row>
    <row r="108" customFormat="false" ht="23.85" hidden="false" customHeight="false" outlineLevel="0" collapsed="false">
      <c r="A108" s="22" t="s">
        <v>2033</v>
      </c>
      <c r="B108" s="23" t="s">
        <v>2053</v>
      </c>
      <c r="C108" s="9" t="s">
        <v>2054</v>
      </c>
      <c r="D108" s="9" t="s">
        <v>2055</v>
      </c>
      <c r="E108" s="9" t="s">
        <v>2037</v>
      </c>
      <c r="F108" s="9" t="s">
        <v>1844</v>
      </c>
      <c r="G108" s="9" t="s">
        <v>1767</v>
      </c>
    </row>
    <row r="109" customFormat="false" ht="23.85" hidden="false" customHeight="false" outlineLevel="0" collapsed="false">
      <c r="A109" s="24" t="s">
        <v>2033</v>
      </c>
      <c r="B109" s="25" t="s">
        <v>2056</v>
      </c>
      <c r="C109" s="14" t="s">
        <v>2057</v>
      </c>
      <c r="D109" s="14" t="s">
        <v>2058</v>
      </c>
      <c r="E109" s="14" t="s">
        <v>2037</v>
      </c>
      <c r="F109" s="14" t="s">
        <v>1844</v>
      </c>
      <c r="G109" s="14" t="s">
        <v>1767</v>
      </c>
    </row>
    <row r="110" customFormat="false" ht="23.85" hidden="false" customHeight="false" outlineLevel="0" collapsed="false">
      <c r="A110" s="22" t="s">
        <v>2033</v>
      </c>
      <c r="B110" s="23" t="s">
        <v>2059</v>
      </c>
      <c r="C110" s="9" t="s">
        <v>2060</v>
      </c>
      <c r="D110" s="9" t="s">
        <v>2061</v>
      </c>
      <c r="E110" s="9" t="s">
        <v>2037</v>
      </c>
      <c r="F110" s="9" t="s">
        <v>1844</v>
      </c>
      <c r="G110" s="9" t="s">
        <v>1767</v>
      </c>
    </row>
    <row r="111" customFormat="false" ht="23.85" hidden="false" customHeight="false" outlineLevel="0" collapsed="false">
      <c r="A111" s="24" t="s">
        <v>2033</v>
      </c>
      <c r="B111" s="25" t="s">
        <v>2062</v>
      </c>
      <c r="C111" s="14" t="s">
        <v>2063</v>
      </c>
      <c r="D111" s="14" t="s">
        <v>2064</v>
      </c>
      <c r="E111" s="14" t="s">
        <v>2037</v>
      </c>
      <c r="F111" s="14" t="s">
        <v>1844</v>
      </c>
      <c r="G111" s="14" t="s">
        <v>1767</v>
      </c>
    </row>
    <row r="112" customFormat="false" ht="18" hidden="false" customHeight="true" outlineLevel="0" collapsed="false">
      <c r="A112" s="21" t="s">
        <v>2065</v>
      </c>
      <c r="B112" s="21"/>
      <c r="C112" s="21"/>
      <c r="D112" s="21"/>
      <c r="E112" s="21"/>
      <c r="F112" s="21"/>
      <c r="G112" s="21"/>
    </row>
    <row r="113" customFormat="false" ht="23.85" hidden="false" customHeight="false" outlineLevel="0" collapsed="false">
      <c r="A113" s="22" t="s">
        <v>2065</v>
      </c>
      <c r="B113" s="23" t="s">
        <v>2066</v>
      </c>
      <c r="C113" s="9" t="s">
        <v>2067</v>
      </c>
      <c r="D113" s="9" t="s">
        <v>2068</v>
      </c>
      <c r="E113" s="9" t="s">
        <v>2069</v>
      </c>
      <c r="F113" s="9" t="s">
        <v>1766</v>
      </c>
      <c r="G113" s="9" t="s">
        <v>1767</v>
      </c>
    </row>
    <row r="114" customFormat="false" ht="23.85" hidden="false" customHeight="false" outlineLevel="0" collapsed="false">
      <c r="A114" s="24" t="s">
        <v>2065</v>
      </c>
      <c r="B114" s="25" t="s">
        <v>2070</v>
      </c>
      <c r="C114" s="14" t="s">
        <v>2071</v>
      </c>
      <c r="D114" s="14" t="s">
        <v>2072</v>
      </c>
      <c r="E114" s="14" t="s">
        <v>2073</v>
      </c>
      <c r="F114" s="14" t="s">
        <v>1789</v>
      </c>
      <c r="G114" s="14" t="s">
        <v>1767</v>
      </c>
    </row>
    <row r="115" customFormat="false" ht="46.25" hidden="false" customHeight="false" outlineLevel="0" collapsed="false">
      <c r="A115" s="22" t="s">
        <v>2065</v>
      </c>
      <c r="B115" s="23" t="s">
        <v>2074</v>
      </c>
      <c r="C115" s="9" t="s">
        <v>2075</v>
      </c>
      <c r="D115" s="9" t="s">
        <v>2076</v>
      </c>
      <c r="E115" s="9" t="s">
        <v>2077</v>
      </c>
      <c r="F115" s="9" t="s">
        <v>1766</v>
      </c>
      <c r="G115" s="9" t="s">
        <v>1767</v>
      </c>
    </row>
    <row r="116" customFormat="false" ht="15" hidden="false" customHeight="false" outlineLevel="0" collapsed="false">
      <c r="A116" s="24" t="s">
        <v>2065</v>
      </c>
      <c r="B116" s="25" t="s">
        <v>2078</v>
      </c>
      <c r="C116" s="14" t="s">
        <v>2079</v>
      </c>
      <c r="D116" s="14" t="s">
        <v>2080</v>
      </c>
      <c r="E116" s="14" t="s">
        <v>2081</v>
      </c>
      <c r="F116" s="14" t="s">
        <v>1844</v>
      </c>
      <c r="G116" s="14" t="s">
        <v>1767</v>
      </c>
    </row>
    <row r="117" customFormat="false" ht="23.85" hidden="false" customHeight="false" outlineLevel="0" collapsed="false">
      <c r="A117" s="22" t="s">
        <v>2065</v>
      </c>
      <c r="B117" s="23" t="s">
        <v>2082</v>
      </c>
      <c r="C117" s="9" t="s">
        <v>2083</v>
      </c>
      <c r="D117" s="9" t="s">
        <v>2084</v>
      </c>
      <c r="E117" s="9" t="s">
        <v>2085</v>
      </c>
      <c r="F117" s="9" t="s">
        <v>1772</v>
      </c>
      <c r="G117" s="9" t="s">
        <v>1767</v>
      </c>
    </row>
    <row r="118" customFormat="false" ht="18" hidden="false" customHeight="true" outlineLevel="0" collapsed="false">
      <c r="A118" s="21" t="s">
        <v>2086</v>
      </c>
      <c r="B118" s="21"/>
      <c r="C118" s="21"/>
      <c r="D118" s="21"/>
      <c r="E118" s="21"/>
      <c r="F118" s="21"/>
      <c r="G118" s="21"/>
    </row>
    <row r="119" customFormat="false" ht="15" hidden="false" customHeight="false" outlineLevel="0" collapsed="false">
      <c r="A119" s="24" t="s">
        <v>2086</v>
      </c>
      <c r="B119" s="25" t="s">
        <v>2087</v>
      </c>
      <c r="C119" s="14" t="s">
        <v>2088</v>
      </c>
      <c r="D119" s="14" t="s">
        <v>2089</v>
      </c>
      <c r="E119" s="14" t="s">
        <v>2090</v>
      </c>
      <c r="F119" s="14" t="s">
        <v>1898</v>
      </c>
      <c r="G119" s="14" t="s">
        <v>1767</v>
      </c>
    </row>
    <row r="120" customFormat="false" ht="15" hidden="false" customHeight="false" outlineLevel="0" collapsed="false">
      <c r="A120" s="22" t="s">
        <v>2086</v>
      </c>
      <c r="B120" s="23" t="s">
        <v>2091</v>
      </c>
      <c r="C120" s="9" t="s">
        <v>2092</v>
      </c>
      <c r="D120" s="9" t="s">
        <v>2089</v>
      </c>
      <c r="E120" s="9" t="s">
        <v>2090</v>
      </c>
      <c r="F120" s="9" t="s">
        <v>1898</v>
      </c>
      <c r="G120" s="9" t="s">
        <v>1767</v>
      </c>
    </row>
    <row r="121" customFormat="false" ht="15" hidden="false" customHeight="false" outlineLevel="0" collapsed="false">
      <c r="A121" s="24" t="s">
        <v>2086</v>
      </c>
      <c r="B121" s="25" t="s">
        <v>2093</v>
      </c>
      <c r="C121" s="14" t="s">
        <v>2094</v>
      </c>
      <c r="D121" s="14" t="s">
        <v>2089</v>
      </c>
      <c r="E121" s="14" t="s">
        <v>2090</v>
      </c>
      <c r="F121" s="14" t="s">
        <v>1898</v>
      </c>
      <c r="G121" s="14" t="s">
        <v>1767</v>
      </c>
    </row>
    <row r="122" customFormat="false" ht="23.85" hidden="false" customHeight="false" outlineLevel="0" collapsed="false">
      <c r="A122" s="22" t="s">
        <v>2086</v>
      </c>
      <c r="B122" s="23" t="s">
        <v>2095</v>
      </c>
      <c r="C122" s="9" t="s">
        <v>2096</v>
      </c>
      <c r="D122" s="9" t="s">
        <v>2089</v>
      </c>
      <c r="E122" s="9" t="s">
        <v>2090</v>
      </c>
      <c r="F122" s="9" t="s">
        <v>1898</v>
      </c>
      <c r="G122" s="9" t="s">
        <v>1767</v>
      </c>
    </row>
    <row r="123" customFormat="false" ht="15" hidden="false" customHeight="false" outlineLevel="0" collapsed="false">
      <c r="A123" s="24" t="s">
        <v>2086</v>
      </c>
      <c r="B123" s="25" t="s">
        <v>2097</v>
      </c>
      <c r="C123" s="14" t="s">
        <v>2098</v>
      </c>
      <c r="D123" s="14" t="s">
        <v>2089</v>
      </c>
      <c r="E123" s="14" t="s">
        <v>2090</v>
      </c>
      <c r="F123" s="14" t="s">
        <v>1898</v>
      </c>
      <c r="G123" s="14" t="s">
        <v>1767</v>
      </c>
    </row>
    <row r="124" customFormat="false" ht="23.85" hidden="false" customHeight="false" outlineLevel="0" collapsed="false">
      <c r="A124" s="22" t="s">
        <v>2086</v>
      </c>
      <c r="B124" s="23" t="s">
        <v>2099</v>
      </c>
      <c r="C124" s="9" t="s">
        <v>2100</v>
      </c>
      <c r="D124" s="9" t="s">
        <v>2089</v>
      </c>
      <c r="E124" s="9" t="s">
        <v>2090</v>
      </c>
      <c r="F124" s="9" t="s">
        <v>1898</v>
      </c>
      <c r="G124" s="9" t="s">
        <v>1767</v>
      </c>
    </row>
    <row r="125" customFormat="false" ht="15" hidden="false" customHeight="false" outlineLevel="0" collapsed="false">
      <c r="A125" s="24" t="s">
        <v>2086</v>
      </c>
      <c r="B125" s="25" t="s">
        <v>2101</v>
      </c>
      <c r="C125" s="14" t="s">
        <v>2102</v>
      </c>
      <c r="D125" s="14" t="s">
        <v>2089</v>
      </c>
      <c r="E125" s="14" t="s">
        <v>2090</v>
      </c>
      <c r="F125" s="14" t="s">
        <v>1898</v>
      </c>
      <c r="G125" s="14" t="s">
        <v>1767</v>
      </c>
    </row>
    <row r="126" customFormat="false" ht="15" hidden="false" customHeight="false" outlineLevel="0" collapsed="false">
      <c r="A126" s="22" t="s">
        <v>2086</v>
      </c>
      <c r="B126" s="23" t="s">
        <v>2103</v>
      </c>
      <c r="C126" s="9" t="s">
        <v>2104</v>
      </c>
      <c r="D126" s="9" t="s">
        <v>2089</v>
      </c>
      <c r="E126" s="9" t="s">
        <v>2090</v>
      </c>
      <c r="F126" s="9" t="s">
        <v>1898</v>
      </c>
      <c r="G126" s="9" t="s">
        <v>1767</v>
      </c>
    </row>
    <row r="127" customFormat="false" ht="15" hidden="false" customHeight="false" outlineLevel="0" collapsed="false">
      <c r="A127" s="24" t="s">
        <v>2086</v>
      </c>
      <c r="B127" s="25" t="s">
        <v>2105</v>
      </c>
      <c r="C127" s="14" t="s">
        <v>2106</v>
      </c>
      <c r="D127" s="14" t="s">
        <v>2089</v>
      </c>
      <c r="E127" s="14" t="s">
        <v>2090</v>
      </c>
      <c r="F127" s="14" t="s">
        <v>1898</v>
      </c>
      <c r="G127" s="14" t="s">
        <v>1767</v>
      </c>
    </row>
    <row r="128" customFormat="false" ht="15" hidden="false" customHeight="false" outlineLevel="0" collapsed="false">
      <c r="A128" s="22" t="s">
        <v>2086</v>
      </c>
      <c r="B128" s="23" t="s">
        <v>2107</v>
      </c>
      <c r="C128" s="9" t="s">
        <v>2108</v>
      </c>
      <c r="D128" s="9" t="s">
        <v>2089</v>
      </c>
      <c r="E128" s="9" t="s">
        <v>2090</v>
      </c>
      <c r="F128" s="9" t="s">
        <v>1898</v>
      </c>
      <c r="G128" s="9" t="s">
        <v>1767</v>
      </c>
    </row>
    <row r="129" customFormat="false" ht="15" hidden="false" customHeight="false" outlineLevel="0" collapsed="false">
      <c r="A129" s="24" t="s">
        <v>2086</v>
      </c>
      <c r="B129" s="25" t="s">
        <v>2109</v>
      </c>
      <c r="C129" s="14" t="s">
        <v>2110</v>
      </c>
      <c r="D129" s="14" t="s">
        <v>2089</v>
      </c>
      <c r="E129" s="14" t="s">
        <v>2090</v>
      </c>
      <c r="F129" s="14" t="s">
        <v>1898</v>
      </c>
      <c r="G129" s="14" t="s">
        <v>1767</v>
      </c>
    </row>
    <row r="130" customFormat="false" ht="15" hidden="false" customHeight="false" outlineLevel="0" collapsed="false">
      <c r="A130" s="22" t="s">
        <v>2086</v>
      </c>
      <c r="B130" s="23" t="s">
        <v>2111</v>
      </c>
      <c r="C130" s="9" t="s">
        <v>2112</v>
      </c>
      <c r="D130" s="9" t="s">
        <v>2089</v>
      </c>
      <c r="E130" s="9" t="s">
        <v>2090</v>
      </c>
      <c r="F130" s="9" t="s">
        <v>1898</v>
      </c>
      <c r="G130" s="9" t="s">
        <v>1767</v>
      </c>
    </row>
    <row r="131" customFormat="false" ht="15" hidden="false" customHeight="false" outlineLevel="0" collapsed="false">
      <c r="A131" s="24" t="s">
        <v>2086</v>
      </c>
      <c r="B131" s="25" t="s">
        <v>2113</v>
      </c>
      <c r="C131" s="14" t="s">
        <v>2114</v>
      </c>
      <c r="D131" s="14" t="s">
        <v>2089</v>
      </c>
      <c r="E131" s="14" t="s">
        <v>2090</v>
      </c>
      <c r="F131" s="14" t="s">
        <v>1898</v>
      </c>
      <c r="G131" s="14" t="s">
        <v>1767</v>
      </c>
    </row>
    <row r="132" customFormat="false" ht="15" hidden="false" customHeight="false" outlineLevel="0" collapsed="false">
      <c r="A132" s="22" t="s">
        <v>2086</v>
      </c>
      <c r="B132" s="23" t="s">
        <v>2115</v>
      </c>
      <c r="C132" s="9" t="s">
        <v>2116</v>
      </c>
      <c r="D132" s="9" t="s">
        <v>2089</v>
      </c>
      <c r="E132" s="9" t="s">
        <v>2090</v>
      </c>
      <c r="F132" s="9" t="s">
        <v>1898</v>
      </c>
      <c r="G132" s="9" t="s">
        <v>1767</v>
      </c>
    </row>
    <row r="133" customFormat="false" ht="15" hidden="false" customHeight="false" outlineLevel="0" collapsed="false">
      <c r="A133" s="24" t="s">
        <v>2086</v>
      </c>
      <c r="B133" s="25" t="s">
        <v>2117</v>
      </c>
      <c r="C133" s="14" t="s">
        <v>2118</v>
      </c>
      <c r="D133" s="14" t="s">
        <v>2089</v>
      </c>
      <c r="E133" s="14" t="s">
        <v>2090</v>
      </c>
      <c r="F133" s="14" t="s">
        <v>1898</v>
      </c>
      <c r="G133" s="14" t="s">
        <v>1767</v>
      </c>
    </row>
    <row r="134" customFormat="false" ht="15" hidden="false" customHeight="false" outlineLevel="0" collapsed="false">
      <c r="A134" s="22" t="s">
        <v>2086</v>
      </c>
      <c r="B134" s="23" t="s">
        <v>2119</v>
      </c>
      <c r="C134" s="9" t="s">
        <v>2120</v>
      </c>
      <c r="D134" s="9" t="s">
        <v>2089</v>
      </c>
      <c r="E134" s="9" t="s">
        <v>2090</v>
      </c>
      <c r="F134" s="9" t="s">
        <v>1898</v>
      </c>
      <c r="G134" s="9" t="s">
        <v>1767</v>
      </c>
    </row>
    <row r="135" customFormat="false" ht="15" hidden="false" customHeight="false" outlineLevel="0" collapsed="false">
      <c r="A135" s="24" t="s">
        <v>2086</v>
      </c>
      <c r="B135" s="25" t="s">
        <v>2121</v>
      </c>
      <c r="C135" s="14" t="s">
        <v>2122</v>
      </c>
      <c r="D135" s="14" t="s">
        <v>2089</v>
      </c>
      <c r="E135" s="14" t="s">
        <v>2090</v>
      </c>
      <c r="F135" s="14" t="s">
        <v>1898</v>
      </c>
      <c r="G135" s="14" t="s">
        <v>1767</v>
      </c>
    </row>
    <row r="136" customFormat="false" ht="15" hidden="false" customHeight="false" outlineLevel="0" collapsed="false">
      <c r="A136" s="22" t="s">
        <v>2086</v>
      </c>
      <c r="B136" s="23" t="s">
        <v>2123</v>
      </c>
      <c r="C136" s="9" t="s">
        <v>2124</v>
      </c>
      <c r="D136" s="9" t="s">
        <v>2089</v>
      </c>
      <c r="E136" s="9" t="s">
        <v>2090</v>
      </c>
      <c r="F136" s="9" t="s">
        <v>1898</v>
      </c>
      <c r="G136" s="9" t="s">
        <v>1767</v>
      </c>
    </row>
    <row r="137" customFormat="false" ht="18" hidden="false" customHeight="true" outlineLevel="0" collapsed="false">
      <c r="A137" s="21" t="s">
        <v>2125</v>
      </c>
      <c r="B137" s="21"/>
      <c r="C137" s="21"/>
      <c r="D137" s="21"/>
      <c r="E137" s="21"/>
      <c r="F137" s="21"/>
      <c r="G137" s="21"/>
    </row>
    <row r="138" customFormat="false" ht="23.85" hidden="false" customHeight="false" outlineLevel="0" collapsed="false">
      <c r="A138" s="24" t="s">
        <v>2125</v>
      </c>
      <c r="B138" s="25" t="s">
        <v>2126</v>
      </c>
      <c r="C138" s="14" t="s">
        <v>2127</v>
      </c>
      <c r="D138" s="14" t="s">
        <v>2128</v>
      </c>
      <c r="E138" s="14" t="s">
        <v>2129</v>
      </c>
      <c r="F138" s="14" t="s">
        <v>1898</v>
      </c>
      <c r="G138" s="14" t="s">
        <v>2130</v>
      </c>
    </row>
    <row r="139" customFormat="false" ht="23.85" hidden="false" customHeight="false" outlineLevel="0" collapsed="false">
      <c r="A139" s="22" t="s">
        <v>2125</v>
      </c>
      <c r="B139" s="23" t="s">
        <v>2131</v>
      </c>
      <c r="C139" s="9" t="s">
        <v>2132</v>
      </c>
      <c r="D139" s="9" t="s">
        <v>2133</v>
      </c>
      <c r="E139" s="9" t="s">
        <v>2134</v>
      </c>
      <c r="F139" s="9" t="s">
        <v>1898</v>
      </c>
      <c r="G139" s="9" t="s">
        <v>2130</v>
      </c>
    </row>
    <row r="140" customFormat="false" ht="23.85" hidden="false" customHeight="false" outlineLevel="0" collapsed="false">
      <c r="A140" s="24" t="s">
        <v>2125</v>
      </c>
      <c r="B140" s="25" t="s">
        <v>2135</v>
      </c>
      <c r="C140" s="14" t="s">
        <v>2136</v>
      </c>
      <c r="D140" s="14" t="s">
        <v>2137</v>
      </c>
      <c r="E140" s="14" t="s">
        <v>2138</v>
      </c>
      <c r="F140" s="14" t="s">
        <v>1898</v>
      </c>
      <c r="G140" s="14" t="s">
        <v>2130</v>
      </c>
    </row>
    <row r="141" customFormat="false" ht="23.85" hidden="false" customHeight="false" outlineLevel="0" collapsed="false">
      <c r="A141" s="22" t="s">
        <v>2125</v>
      </c>
      <c r="B141" s="23" t="s">
        <v>2139</v>
      </c>
      <c r="C141" s="9" t="s">
        <v>2140</v>
      </c>
      <c r="D141" s="9" t="s">
        <v>2141</v>
      </c>
      <c r="E141" s="9" t="s">
        <v>2142</v>
      </c>
      <c r="F141" s="9" t="s">
        <v>1898</v>
      </c>
      <c r="G141" s="9" t="s">
        <v>2130</v>
      </c>
    </row>
    <row r="142" customFormat="false" ht="23.85" hidden="false" customHeight="false" outlineLevel="0" collapsed="false">
      <c r="A142" s="24" t="s">
        <v>2125</v>
      </c>
      <c r="B142" s="25" t="s">
        <v>2143</v>
      </c>
      <c r="C142" s="14" t="s">
        <v>2144</v>
      </c>
      <c r="D142" s="14" t="s">
        <v>2145</v>
      </c>
      <c r="E142" s="14" t="s">
        <v>2146</v>
      </c>
      <c r="F142" s="14" t="s">
        <v>1898</v>
      </c>
      <c r="G142" s="14" t="s">
        <v>2130</v>
      </c>
    </row>
    <row r="143" customFormat="false" ht="23.85" hidden="false" customHeight="false" outlineLevel="0" collapsed="false">
      <c r="A143" s="22" t="s">
        <v>2125</v>
      </c>
      <c r="B143" s="23" t="s">
        <v>2147</v>
      </c>
      <c r="C143" s="9" t="s">
        <v>2148</v>
      </c>
      <c r="D143" s="9" t="s">
        <v>2149</v>
      </c>
      <c r="E143" s="9" t="s">
        <v>2150</v>
      </c>
      <c r="F143" s="9" t="s">
        <v>1898</v>
      </c>
      <c r="G143" s="9" t="s">
        <v>2130</v>
      </c>
    </row>
    <row r="144" customFormat="false" ht="23.85" hidden="false" customHeight="false" outlineLevel="0" collapsed="false">
      <c r="A144" s="24" t="s">
        <v>2125</v>
      </c>
      <c r="B144" s="25" t="s">
        <v>2151</v>
      </c>
      <c r="C144" s="14" t="s">
        <v>2152</v>
      </c>
      <c r="D144" s="14" t="s">
        <v>2153</v>
      </c>
      <c r="E144" s="14" t="s">
        <v>2154</v>
      </c>
      <c r="F144" s="14" t="s">
        <v>1898</v>
      </c>
      <c r="G144" s="14" t="s">
        <v>2130</v>
      </c>
    </row>
    <row r="145" customFormat="false" ht="35.05" hidden="false" customHeight="false" outlineLevel="0" collapsed="false">
      <c r="A145" s="22" t="s">
        <v>2125</v>
      </c>
      <c r="B145" s="23" t="s">
        <v>2155</v>
      </c>
      <c r="C145" s="9" t="s">
        <v>2156</v>
      </c>
      <c r="D145" s="9" t="s">
        <v>2157</v>
      </c>
      <c r="E145" s="9" t="s">
        <v>2158</v>
      </c>
      <c r="F145" s="9" t="s">
        <v>1898</v>
      </c>
      <c r="G145" s="9" t="s">
        <v>2130</v>
      </c>
    </row>
    <row r="146" customFormat="false" ht="23.85" hidden="false" customHeight="false" outlineLevel="0" collapsed="false">
      <c r="A146" s="24" t="s">
        <v>2125</v>
      </c>
      <c r="B146" s="25" t="s">
        <v>2159</v>
      </c>
      <c r="C146" s="14" t="s">
        <v>2160</v>
      </c>
      <c r="D146" s="14" t="s">
        <v>2161</v>
      </c>
      <c r="E146" s="14" t="s">
        <v>2162</v>
      </c>
      <c r="F146" s="14" t="s">
        <v>1898</v>
      </c>
      <c r="G146" s="14" t="s">
        <v>2130</v>
      </c>
    </row>
    <row r="147" customFormat="false" ht="23.85" hidden="false" customHeight="false" outlineLevel="0" collapsed="false">
      <c r="A147" s="22" t="s">
        <v>2125</v>
      </c>
      <c r="B147" s="23" t="s">
        <v>2163</v>
      </c>
      <c r="C147" s="9" t="s">
        <v>2164</v>
      </c>
      <c r="D147" s="9" t="s">
        <v>2165</v>
      </c>
      <c r="E147" s="9" t="s">
        <v>2166</v>
      </c>
      <c r="F147" s="9" t="s">
        <v>1898</v>
      </c>
      <c r="G147" s="9" t="s">
        <v>2130</v>
      </c>
    </row>
    <row r="148" customFormat="false" ht="23.85" hidden="false" customHeight="false" outlineLevel="0" collapsed="false">
      <c r="A148" s="24" t="s">
        <v>2125</v>
      </c>
      <c r="B148" s="25" t="s">
        <v>2167</v>
      </c>
      <c r="C148" s="14" t="s">
        <v>2168</v>
      </c>
      <c r="D148" s="14" t="s">
        <v>2169</v>
      </c>
      <c r="E148" s="14" t="s">
        <v>2170</v>
      </c>
      <c r="F148" s="14" t="s">
        <v>1898</v>
      </c>
      <c r="G148" s="14" t="s">
        <v>2130</v>
      </c>
    </row>
    <row r="149" customFormat="false" ht="23.85" hidden="false" customHeight="false" outlineLevel="0" collapsed="false">
      <c r="A149" s="22" t="s">
        <v>2125</v>
      </c>
      <c r="B149" s="23" t="s">
        <v>2171</v>
      </c>
      <c r="C149" s="9" t="s">
        <v>2172</v>
      </c>
      <c r="D149" s="9" t="s">
        <v>2173</v>
      </c>
      <c r="E149" s="9" t="s">
        <v>2174</v>
      </c>
      <c r="F149" s="9" t="s">
        <v>1898</v>
      </c>
      <c r="G149" s="9" t="s">
        <v>2130</v>
      </c>
    </row>
    <row r="150" customFormat="false" ht="23.85" hidden="false" customHeight="false" outlineLevel="0" collapsed="false">
      <c r="A150" s="24" t="s">
        <v>2125</v>
      </c>
      <c r="B150" s="25" t="s">
        <v>2175</v>
      </c>
      <c r="C150" s="14" t="s">
        <v>2176</v>
      </c>
      <c r="D150" s="14" t="s">
        <v>2177</v>
      </c>
      <c r="E150" s="14" t="s">
        <v>2178</v>
      </c>
      <c r="F150" s="14" t="s">
        <v>1898</v>
      </c>
      <c r="G150" s="14" t="s">
        <v>2130</v>
      </c>
    </row>
    <row r="151" customFormat="false" ht="23.85" hidden="false" customHeight="false" outlineLevel="0" collapsed="false">
      <c r="A151" s="22" t="s">
        <v>2125</v>
      </c>
      <c r="B151" s="23" t="s">
        <v>2179</v>
      </c>
      <c r="C151" s="9" t="s">
        <v>2180</v>
      </c>
      <c r="D151" s="9" t="s">
        <v>2181</v>
      </c>
      <c r="E151" s="9" t="s">
        <v>2182</v>
      </c>
      <c r="F151" s="9" t="s">
        <v>1898</v>
      </c>
      <c r="G151" s="9" t="s">
        <v>2130</v>
      </c>
    </row>
    <row r="153" customFormat="false" ht="74.6" hidden="false" customHeight="false" outlineLevel="0" collapsed="false">
      <c r="A153" s="2" t="s">
        <v>2183</v>
      </c>
    </row>
  </sheetData>
  <autoFilter ref="A14:G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2026-09-29T16:55:30Z</dcterms:created>
  <dc:creator>openpyxl</dc:creator>
  <dc:description/>
  <dc:language>en-US</dc:language>
  <cp:lastModifiedBy/>
  <dcterms:modified xsi:type="dcterms:W3CDTF">2026-09-29T16:55:30Z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